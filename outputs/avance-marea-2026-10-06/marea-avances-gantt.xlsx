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2c826b8c949e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ronograma" sheetId="1" r:id="R4a395a587f54483f"/>
    <x:sheet name="Detalle" sheetId="2" r:id="R57beaaf214fb4b21"/>
  </x:sheets>
  <x:definedNames>
    <x:definedName name="_xlnm.Print_Area" localSheetId="0">'Cronograma'!$A$1:$S$1949</x:definedName>
    <x:definedName name="_xlnm.Print_Titles" localSheetId="0">'Cronograma'!$1:$9</x:definedName>
    <x:definedName name="_xlnm.Print_Area" localSheetId="1">'Detalle'!$A$1:$U$947</x:definedName>
    <x:definedName name="_xlnm.Print_Titles" localSheetId="1">'Detalle'!$1:$8,'Detalle'!$A:$C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"/>
    <x:numFmt numFmtId="201" formatCode="dd mmm"/>
    <x:numFmt numFmtId="202" formatCode=";;;"/>
    <x:numFmt numFmtId="203" formatCode="dd/mm/yyyy"/>
    <x:numFmt numFmtId="204" formatCode="0"/>
    <x:numFmt numFmtId="205" formatCode="0.0"/>
  </x:numFmts>
  <x:fonts count="10">
    <x:font>
      <x:sz val="11"/>
      <x:name val="Carlito"/>
    </x:font>
    <x:font>
      <x:sz val="10"/>
      <x:color rgb="FF102149"/>
      <x:name val="Arial"/>
    </x:font>
    <x:font>
      <x:b/>
      <x:sz val="15"/>
      <x:color rgb="FF0B255E"/>
      <x:name val="Arial"/>
    </x:font>
    <x:font>
      <x:sz val="10"/>
      <x:color rgb="FF66738B"/>
      <x:name val="Arial"/>
    </x:font>
    <x:font>
      <x:b/>
      <x:sz val="10"/>
      <x:color rgb="FF0B255E"/>
      <x:name val="Arial"/>
    </x:font>
    <x:font>
      <x:b/>
      <x:sz val="10"/>
      <x:color rgb="FFFFFFFF"/>
      <x:name val="Arial"/>
    </x:font>
    <x:font>
      <x:b/>
      <x:sz val="10"/>
      <x:color rgb="FF102149"/>
      <x:name val="Arial"/>
    </x:font>
    <x:font>
      <x:sz val="10"/>
      <x:color rgb="FF0B255E"/>
      <x:name val="Arial"/>
    </x:font>
    <x:font>
      <x:b/>
      <x:sz val="10"/>
      <x:color rgb="FF0D4397"/>
      <x:name val="Arial"/>
    </x:font>
    <x:font>
      <x:b/>
      <x:sz val="10"/>
      <x:color rgb="FF22C5C1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D4397"/>
      </x:patternFill>
    </x:fill>
    <x:fill>
      <x:patternFill patternType="solid">
        <x:fgColor rgb="FF22C5C1"/>
      </x:patternFill>
    </x:fill>
    <x:fill>
      <x:patternFill patternType="solid">
        <x:fgColor rgb="FFFFF0DF"/>
      </x:patternFill>
    </x:fill>
    <x:fill>
      <x:patternFill patternType="solid">
        <x:fgColor rgb="FF0B255E"/>
      </x:patternFill>
    </x:fill>
    <x:fill>
      <x:patternFill patternType="solid">
        <x:fgColor rgb="FFEAF6FD"/>
      </x:patternFill>
    </x:fill>
    <x:fill>
      <x:patternFill patternType="solid">
        <x:fgColor rgb="FFDDF5EF"/>
      </x:patternFill>
    </x:fill>
    <x:fill>
      <x:patternFill patternType="solid">
        <x:fgColor rgb="FFFAF9F6"/>
      </x:patternFill>
    </x:fill>
    <x:fill>
      <x:patternFill patternType="solid">
        <x:fgColor rgb="FFD9E5F0"/>
      </x:patternFill>
    </x:fill>
  </x:fills>
  <x:borders count="2">
    <x:border/>
    <x:border>
      <x:left style="thin">
        <x:color rgb="FFD9E5F0"/>
      </x:left>
      <x:right style="thin">
        <x:color rgb="FFD9E5F0"/>
      </x:right>
      <x:top style="thin">
        <x:color rgb="FFD9E5F0"/>
      </x:top>
      <x:bottom style="thin">
        <x:color rgb="FFD9E5F0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200" fontId="7" fillId="7" borderId="0" xfId="0" applyNumberFormat="1" applyFont="1" applyFill="1" applyBorder="1" applyAlignment="1">
      <x:alignment horizontal="center" vertical="center"/>
    </x:xf>
    <x:xf numFmtId="201" fontId="7" fillId="7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 vertical="center"/>
    </x:xf>
    <x:xf numFmtId="200" fontId="7" fillId="7" borderId="1" xfId="0" applyNumberFormat="1" applyFont="1" applyFill="1" applyBorder="1" applyAlignment="1">
      <x:alignment horizontal="center" vertical="center"/>
    </x:xf>
    <x:xf numFmtId="201" fontId="7" fillId="7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3" fontId="1" fillId="7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2" borderId="0" xfId="0" applyNumberFormat="1" applyFont="1" applyFill="1" applyBorder="1" applyAlignment="1">
      <x:alignment vertical="top" wrapText="1"/>
    </x:xf>
    <x:xf numFmtId="204" fontId="1" fillId="2" borderId="0" xfId="0" applyNumberFormat="1" applyFont="1" applyFill="1" applyBorder="1" applyAlignment="1">
      <x:alignment vertical="top" wrapText="1"/>
    </x:xf>
    <x:xf numFmtId="205" fontId="1" fillId="5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203" fontId="1" fillId="7" borderId="1" xfId="0" applyNumberFormat="1" applyFont="1" applyFill="1" applyBorder="1" applyAlignment="1">
      <x:alignment vertical="top" wrapText="1"/>
    </x:xf>
    <x:xf numFmtId="204" fontId="1" fillId="2" borderId="1" xfId="0" applyNumberFormat="1" applyFont="1" applyFill="1" applyBorder="1" applyAlignment="1">
      <x:alignment vertical="top" wrapText="1"/>
    </x:xf>
    <x:xf numFmtId="203" fontId="1" fillId="5" borderId="1" xfId="0" applyNumberFormat="1" applyFont="1" applyFill="1" applyBorder="1" applyAlignment="1">
      <x:alignment vertical="top" wrapText="1"/>
    </x:xf>
    <x:xf numFmtId="205" fontId="1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203" fontId="1" fillId="2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center"/>
    </x:xf>
    <x:xf numFmtId="202" fontId="1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202" fontId="5" fillId="6" borderId="1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204" fontId="1" fillId="2" borderId="1" xfId="0" applyNumberFormat="1" applyFont="1" applyFill="1" applyBorder="1" applyAlignment="1">
      <x:alignment horizontal="center" vertical="center"/>
    </x:xf>
    <x:xf numFmtId="205" fontId="1" fillId="2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0D4397"/>
        </x:patternFill>
      </x:fill>
    </x:dxf>
    <x:dxf>
      <x:fill>
        <x:patternFill patternType="solid">
          <x:bgColor rgb="FF22C5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9906401f24557" /><Relationship Type="http://schemas.openxmlformats.org/officeDocument/2006/relationships/theme" Target="/xl/theme/theme1.xml" Id="R49dd0603fc8d4ff6" /><Relationship Type="http://schemas.openxmlformats.org/officeDocument/2006/relationships/sharedStrings" Target="/xl/sharedStrings.xml" Id="R4475ca387bb04d64" /><Relationship Type="http://schemas.openxmlformats.org/officeDocument/2006/relationships/worksheet" Target="/xl/worksheets/sheet1.xml" Id="R4a395a587f54483f" /><Relationship Type="http://schemas.openxmlformats.org/officeDocument/2006/relationships/worksheet" Target="/xl/worksheets/sheet2.xml" Id="R57beaaf214fb4b21" /></Relationships>
</file>

<file path=xl/tables/table1.xml><?xml version="1.0" encoding="utf-8"?>
<x:table xmlns:x="http://schemas.openxmlformats.org/spreadsheetml/2006/main" id="1" name="MareaActivities" displayName="MareaActivities" ref="A8:U947" headerRowCount="1" totalsRowCount="0" totalsRowShown="0">
  <x:autoFilter ref="A8:U947"/>
  <x:tableColumns count="21">
    <x:tableColumn id="1" name="ID"/>
    <x:tableColumn id="2" name="Etapa / módulo"/>
    <x:tableColumn id="3" name="Tarea superior"/>
    <x:tableColumn id="4" name="Actividad"/>
    <x:tableColumn id="5" name="Resultado / entregable"/>
    <x:tableColumn id="6" name="Estado al corte"/>
    <x:tableColumn id="7" name="E inicio"/>
    <x:tableColumn id="8" name="E fin"/>
    <x:tableColumn id="9" name="E bloques"/>
    <x:tableColumn id="10" name="R inicio"/>
    <x:tableColumn id="11" name="R fin"/>
    <x:tableColumn id="12" name="R bloques"/>
    <x:tableColumn id="13" name="Responsable asignado"/>
    <x:tableColumn id="14" name="Realizado por"/>
    <x:tableColumn id="15" name="Fecha de evidencia"/>
    <x:tableColumn id="16" name="Tipo de evidencia"/>
    <x:tableColumn id="17" name="Dependencias técnicas"/>
    <x:tableColumn id="18" name="Para cerrar / completar"/>
    <x:tableColumn id="19" name="Observaciones"/>
    <x:tableColumn id="20" name="Fuentes ID"/>
    <x:tableColumn id="21" name="Referencias verificabl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7ed5cbe6be48f3" /></Relationships>
</file>

<file path=xl/worksheets/sheet1.xml><?xml version="1.0" encoding="utf-8"?>
<x:worksheet xmlns:x="http://schemas.openxmlformats.org/spreadsheetml/2006/main">
  <x:sheetPr>
    <x:tabColor rgb="FF0B255E"/>
    <x:pageSetUpPr fitToPage="1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1" hidden="0" customWidth="1"/>
    <x:col min="2" max="2" width="56" hidden="0" customWidth="1"/>
    <x:col min="3" max="3" width="4" hidden="0" customWidth="1"/>
    <x:col min="4" max="4" width="9" hidden="0" customWidth="1"/>
    <x:col min="5" max="5" width="14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19" hidden="0" customWidth="1"/>
    <x:col min="19" max="19" width="19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6" customHeight="1">
      <x:c r="A2" s="4" t="str">
        <x:v>MAREA · Cronograma detallado de actividades</x:v>
      </x:c>
      <x:c r="B2" s="4" t="str">
        <x:v>MAREA · Cronograma detallado de actividades</x:v>
      </x:c>
      <x:c r="C2" s="4" t="str">
        <x:v>MAREA · Cronograma detallado de actividades</x:v>
      </x:c>
      <x:c r="D2" s="4" t="str">
        <x:v>MAREA · Cronograma detallado de actividades</x:v>
      </x:c>
      <x:c r="E2" s="4" t="str">
        <x:v>MAREA · Cronograma detallado de actividades</x:v>
      </x:c>
      <x:c r="F2" s="4" t="str">
        <x:v>MAREA · Cronograma detallado de actividades</x:v>
      </x:c>
      <x:c r="G2" s="4" t="str">
        <x:v>MAREA · Cronograma detallado de actividades</x:v>
      </x:c>
      <x:c r="H2" s="4" t="str">
        <x:v>MAREA · Cronograma detallado de actividades</x:v>
      </x:c>
      <x:c r="I2" s="4" t="str">
        <x:v>MAREA · Cronograma detallado de actividades</x:v>
      </x:c>
      <x:c r="J2" s="4" t="str">
        <x:v>MAREA · Cronograma detallado de actividades</x:v>
      </x:c>
      <x:c r="K2" s="4" t="str">
        <x:v>MAREA · Cronograma detallado de actividades</x:v>
      </x:c>
      <x:c r="L2" s="4" t="str">
        <x:v>MAREA · Cronograma detallado de actividades</x:v>
      </x:c>
      <x:c r="M2" s="4" t="str">
        <x:v>MAREA · Cronograma detallado de actividades</x:v>
      </x:c>
      <x:c r="N2" s="4" t="str">
        <x:v>MAREA · Cronograma detallado de actividades</x:v>
      </x:c>
      <x:c r="O2" s="4" t="str">
        <x:v>MAREA · Cronograma detallado de actividades</x:v>
      </x:c>
      <x:c r="P2" s="4" t="str">
        <x:v>MAREA · Cronograma detallado de actividades</x:v>
      </x:c>
      <x:c r="Q2" s="4" t="str">
        <x:v>MAREA · Cronograma detallado de actividades</x:v>
      </x:c>
      <x:c r="R2" s="4" t="str">
        <x:v>MAREA · Cronograma detallado de actividades</x:v>
      </x:c>
      <x:c r="S2" s="4" t="str">
        <x:v>MAREA · Cronograma detallado de actividades</x:v>
      </x:c>
    </x:row>
    <x:row r="3" ht="20" customHeight="1">
      <x:c r="A3" s="5" t="str">
        <x:v>01 septiembre–18 noviembre 2026 | Estado al 06 octubre | Bloques de calendario, no horas</x:v>
      </x:c>
      <x:c r="B3" s="5" t="str">
        <x:v>01 septiembre–18 noviembre 2026 | Estado al 06 octubre | Bloques de calendario, no horas</x:v>
      </x:c>
      <x:c r="C3" s="5" t="str">
        <x:v>01 septiembre–18 noviembre 2026 | Estado al 06 octubre | Bloques de calendario, no horas</x:v>
      </x:c>
      <x:c r="D3" s="5" t="str">
        <x:v>01 septiembre–18 noviembre 2026 | Estado al 06 octubre | Bloques de calendario, no horas</x:v>
      </x:c>
      <x:c r="E3" s="5" t="str">
        <x:v>01 septiembre–18 noviembre 2026 | Estado al 06 octubre | Bloques de calendario, no horas</x:v>
      </x:c>
      <x:c r="F3" s="5" t="str">
        <x:v>01 septiembre–18 noviembre 2026 | Estado al 06 octubre | Bloques de calendario, no horas</x:v>
      </x:c>
      <x:c r="G3" s="5" t="str">
        <x:v>01 septiembre–18 noviembre 2026 | Estado al 06 octubre | Bloques de calendario, no horas</x:v>
      </x:c>
      <x:c r="H3" s="5" t="str">
        <x:v>01 septiembre–18 noviembre 2026 | Estado al 06 octubre | Bloques de calendario, no horas</x:v>
      </x:c>
      <x:c r="I3" s="5" t="str">
        <x:v>01 septiembre–18 noviembre 2026 | Estado al 06 octubre | Bloques de calendario, no horas</x:v>
      </x:c>
      <x:c r="J3" s="5" t="str">
        <x:v>01 septiembre–18 noviembre 2026 | Estado al 06 octubre | Bloques de calendario, no horas</x:v>
      </x:c>
      <x:c r="K3" s="5" t="str">
        <x:v>01 septiembre–18 noviembre 2026 | Estado al 06 octubre | Bloques de calendario, no horas</x:v>
      </x:c>
      <x:c r="L3" s="5" t="str">
        <x:v>01 septiembre–18 noviembre 2026 | Estado al 06 octubre | Bloques de calendario, no horas</x:v>
      </x:c>
      <x:c r="M3" s="5" t="str">
        <x:v>01 septiembre–18 noviembre 2026 | Estado al 06 octubre | Bloques de calendario, no horas</x:v>
      </x:c>
      <x:c r="N3" s="5" t="str">
        <x:v>01 septiembre–18 noviembre 2026 | Estado al 06 octubre | Bloques de calendario, no horas</x:v>
      </x:c>
      <x:c r="O3" s="5" t="str">
        <x:v>01 septiembre–18 noviembre 2026 | Estado al 06 octubre | Bloques de calendario, no horas</x:v>
      </x:c>
      <x:c r="P3" s="5" t="str">
        <x:v>01 septiembre–18 noviembre 2026 | Estado al 06 octubre | Bloques de calendario, no horas</x:v>
      </x:c>
      <x:c r="Q3" s="5" t="str">
        <x:v>01 septiembre–18 noviembre 2026 | Estado al 06 octubre | Bloques de calendario, no horas</x:v>
      </x:c>
      <x:c r="R3" s="5" t="str">
        <x:v>01 septiembre–18 noviembre 2026 | Estado al 06 octubre | Bloques de calendario, no horas</x:v>
      </x:c>
      <x:c r="S3" s="5" t="str">
        <x:v>01 septiembre–18 noviembre 2026 | Estado al 06 octubre | Bloques de calendario, no horas</x:v>
      </x:c>
    </x:row>
    <x:row r="4" ht="25" customHeight="1">
      <x:c r="A4" s="6" t="str">
        <x:v>R = tiempo que tomó la tarea. Sin intervalo documentado, R queda vacía. Fechas de commits y reportes están en Detalle.</x:v>
      </x:c>
      <x:c r="B4" s="6" t="str">
        <x:v>R = tiempo que tomó la tarea. Sin intervalo documentado, R queda vacía. Fechas de commits y reportes están en Detalle.</x:v>
      </x:c>
      <x:c r="C4" s="6" t="str">
        <x:v>R = tiempo que tomó la tarea. Sin intervalo documentado, R queda vacía. Fechas de commits y reportes están en Detalle.</x:v>
      </x:c>
      <x:c r="D4" s="6" t="str">
        <x:v>R = tiempo que tomó la tarea. Sin intervalo documentado, R queda vacía. Fechas de commits y reportes están en Detalle.</x:v>
      </x:c>
      <x:c r="E4" s="6" t="str">
        <x:v>R = tiempo que tomó la tarea. Sin intervalo documentado, R queda vacía. Fechas de commits y reportes están en Detalle.</x:v>
      </x:c>
      <x:c r="F4" s="6" t="str">
        <x:v>R = tiempo que tomó la tarea. Sin intervalo documentado, R queda vacía. Fechas de commits y reportes están en Detalle.</x:v>
      </x:c>
      <x:c r="G4" s="6" t="str">
        <x:v>R = tiempo que tomó la tarea. Sin intervalo documentado, R queda vacía. Fechas de commits y reportes están en Detalle.</x:v>
      </x:c>
      <x:c r="H4" s="6" t="str">
        <x:v>R = tiempo que tomó la tarea. Sin intervalo documentado, R queda vacía. Fechas de commits y reportes están en Detalle.</x:v>
      </x:c>
      <x:c r="I4" s="6" t="str">
        <x:v>R = tiempo que tomó la tarea. Sin intervalo documentado, R queda vacía. Fechas de commits y reportes están en Detalle.</x:v>
      </x:c>
      <x:c r="J4" s="6" t="str">
        <x:v>R = tiempo que tomó la tarea. Sin intervalo documentado, R queda vacía. Fechas de commits y reportes están en Detalle.</x:v>
      </x:c>
      <x:c r="K4" s="6" t="str">
        <x:v>R = tiempo que tomó la tarea. Sin intervalo documentado, R queda vacía. Fechas de commits y reportes están en Detalle.</x:v>
      </x:c>
      <x:c r="L4" s="6" t="str">
        <x:v>R = tiempo que tomó la tarea. Sin intervalo documentado, R queda vacía. Fechas de commits y reportes están en Detalle.</x:v>
      </x:c>
      <x:c r="M4" s="6" t="str">
        <x:v>R = tiempo que tomó la tarea. Sin intervalo documentado, R queda vacía. Fechas de commits y reportes están en Detalle.</x:v>
      </x:c>
      <x:c r="N4" s="6" t="str">
        <x:v>R = tiempo que tomó la tarea. Sin intervalo documentado, R queda vacía. Fechas de commits y reportes están en Detalle.</x:v>
      </x:c>
      <x:c r="O4" s="6" t="str">
        <x:v>R = tiempo que tomó la tarea. Sin intervalo documentado, R queda vacía. Fechas de commits y reportes están en Detalle.</x:v>
      </x:c>
      <x:c r="P4" s="6" t="str">
        <x:v>R = tiempo que tomó la tarea. Sin intervalo documentado, R queda vacía. Fechas de commits y reportes están en Detalle.</x:v>
      </x:c>
      <x:c r="Q4" s="6" t="str">
        <x:v>R = tiempo que tomó la tarea. Sin intervalo documentado, R queda vacía. Fechas de commits y reportes están en Detalle.</x:v>
      </x:c>
      <x:c r="R4" s="6" t="str">
        <x:v>R = tiempo que tomó la tarea. Sin intervalo documentado, R queda vacía. Fechas de commits y reportes están en Detalle.</x:v>
      </x:c>
      <x:c r="S4" s="6" t="str">
        <x:v>R = tiempo que tomó la tarea. Sin intervalo documentado, R queda vacía. Fechas de commits y reportes están en Detalle.</x:v>
      </x:c>
    </x:row>
    <x:row r="5" ht="23" customHeight="1">
      <x:c r="A5" s="7" t="str">
        <x:v>939 subtareas · 62 grupos</x:v>
      </x:c>
      <x:c r="B5" s="7" t="str">
        <x:v>939 subtareas · 62 grupos</x:v>
      </x:c>
      <x:c r="C5" s="7" t="str">
        <x:v>939 subtareas · 62 grupos</x:v>
      </x:c>
      <x:c r="D5" s="7" t="str">
        <x:v>939 subtareas · 62 grupos</x:v>
      </x:c>
      <x:c r="E5" s="7" t="str">
        <x:v>939 subtareas · 62 grupos</x:v>
      </x:c>
      <x:c r="F5" s="10" t="str">
        <x:v>E · Duración estimada</x:v>
      </x:c>
      <x:c r="G5" s="10" t="str">
        <x:v>E · Duración estimada</x:v>
      </x:c>
      <x:c r="H5" s="10" t="str">
        <x:v>E · Duración estimada</x:v>
      </x:c>
      <x:c r="I5" s="10" t="str">
        <x:v>E · Duración estimada</x:v>
      </x:c>
      <x:c r="J5" s="13" t="str">
        <x:v>R · Duración real</x:v>
      </x:c>
      <x:c r="K5" s="13" t="str">
        <x:v>R · Duración real</x:v>
      </x:c>
      <x:c r="L5" s="13" t="str">
        <x:v>R · Duración real</x:v>
      </x:c>
      <x:c r="M5" s="13" t="str">
        <x:v>R · Duración real</x:v>
      </x:c>
      <x:c r="N5" s="15" t="str">
        <x:v>Nombres editables en Detalle</x:v>
      </x:c>
      <x:c r="O5" s="15" t="str">
        <x:v>Nombres editables en Detalle</x:v>
      </x:c>
      <x:c r="P5" s="15" t="str">
        <x:v>Nombres editables en Detalle</x:v>
      </x:c>
      <x:c r="Q5" s="15" t="str">
        <x:v>Nombres editables en Detalle</x:v>
      </x:c>
      <x:c r="R5" s="15" t="str">
        <x:v>Nombres editables en Detalle</x:v>
      </x:c>
      <x:c r="S5" s="15" t="str">
        <x:v>Nombres editables en Detalle</x:v>
      </x:c>
    </x:row>
    <x:row r="6" ht="22" customHeight="1">
      <x:c r="A6" s="26" t="str">
        <x:v>ID</x:v>
      </x:c>
      <x:c r="B6" s="26" t="str">
        <x:v>ACTIVIDAD</x:v>
      </x:c>
      <x:c r="C6" s="26" t="str">
        <x:v>E/R</x:v>
      </x:c>
      <x:c r="D6" s="26" t="str">
        <x:v>Tiempo
(bloques)</x:v>
      </x:c>
      <x:c r="E6" s="26" t="str">
        <x:v>Estado</x:v>
      </x:c>
      <x:c r="F6" s="27" t="str">
        <x:v>SEPTIEMBRE</x:v>
      </x:c>
      <x:c r="G6" s="27" t="str">
        <x:v>SEPTIEMBRE</x:v>
      </x:c>
      <x:c r="H6" s="27" t="str">
        <x:v>SEPTIEMBRE</x:v>
      </x:c>
      <x:c r="I6" s="27" t="str">
        <x:v>SEPTIEMBRE</x:v>
      </x:c>
      <x:c r="J6" s="27" t="str">
        <x:v>OCTUBRE</x:v>
      </x:c>
      <x:c r="K6" s="27" t="str">
        <x:v>OCTUBRE</x:v>
      </x:c>
      <x:c r="L6" s="27" t="str">
        <x:v>OCTUBRE</x:v>
      </x:c>
      <x:c r="M6" s="27" t="str">
        <x:v>OCTUBRE</x:v>
      </x:c>
      <x:c r="N6" s="27" t="str">
        <x:v>NOVIEMBRE</x:v>
      </x:c>
      <x:c r="O6" s="27" t="str">
        <x:v>NOVIEMBRE</x:v>
      </x:c>
      <x:c r="P6" s="27" t="str">
        <x:v>NOVIEMBRE</x:v>
      </x:c>
      <x:c r="Q6" s="27" t="str">
        <x:v>NOVIEMBRE</x:v>
      </x:c>
      <x:c r="R6" s="26" t="str">
        <x:v>Responsable
asignado</x:v>
      </x:c>
      <x:c r="S6" s="26" t="str">
        <x:v>Realizado
por</x:v>
      </x:c>
    </x:row>
    <x:row r="7" ht="17" customHeight="1">
      <x:c r="A7" s="26" t="str">
        <x:v>ID</x:v>
      </x:c>
      <x:c r="B7" s="26" t="str">
        <x:v>ACTIVIDAD</x:v>
      </x:c>
      <x:c r="C7" s="26" t="str">
        <x:v>E/R</x:v>
      </x:c>
      <x:c r="D7" s="26" t="str">
        <x:v>Tiempo
(bloques)</x:v>
      </x:c>
      <x:c r="E7" s="26" t="str">
        <x:v>Estado</x:v>
      </x:c>
      <x:c r="F7" s="28" t="str">
        <x:v>S1</x:v>
      </x:c>
      <x:c r="G7" s="28" t="str">
        <x:v>S2</x:v>
      </x:c>
      <x:c r="H7" s="28" t="str">
        <x:v>S3</x:v>
      </x:c>
      <x:c r="I7" s="28" t="str">
        <x:v>S4</x:v>
      </x:c>
      <x:c r="J7" s="28" t="str">
        <x:v>S1</x:v>
      </x:c>
      <x:c r="K7" s="28" t="str">
        <x:v>S2</x:v>
      </x:c>
      <x:c r="L7" s="28" t="str">
        <x:v>S3</x:v>
      </x:c>
      <x:c r="M7" s="28" t="str">
        <x:v>S4</x:v>
      </x:c>
      <x:c r="N7" s="28" t="str">
        <x:v>S1</x:v>
      </x:c>
      <x:c r="O7" s="28" t="str">
        <x:v>S2</x:v>
      </x:c>
      <x:c r="P7" s="28" t="str">
        <x:v>S3</x:v>
      </x:c>
      <x:c r="Q7" s="28" t="str">
        <x:v>S4</x:v>
      </x:c>
      <x:c r="R7" s="26" t="str">
        <x:v>Responsable
asignado</x:v>
      </x:c>
      <x:c r="S7" s="26" t="str">
        <x:v>Realizado
por</x:v>
      </x:c>
    </x:row>
    <x:row r="8" ht="17" customHeight="1">
      <x:c r="A8" s="26" t="str">
        <x:v>ID</x:v>
      </x:c>
      <x:c r="B8" s="26" t="str">
        <x:v>ACTIVIDAD</x:v>
      </x:c>
      <x:c r="C8" s="26" t="str">
        <x:v>E/R</x:v>
      </x:c>
      <x:c r="D8" s="26" t="str">
        <x:v>Tiempo
(bloques)</x:v>
      </x:c>
      <x:c r="E8" s="26" t="str">
        <x:v>Estado</x:v>
      </x:c>
      <x:c r="F8" s="29" t="n">
        <x:v>46266</x:v>
      </x:c>
      <x:c r="G8" s="29" t="n">
        <x:v>46273</x:v>
      </x:c>
      <x:c r="H8" s="29" t="n">
        <x:v>46280</x:v>
      </x:c>
      <x:c r="I8" s="29" t="n">
        <x:v>46287</x:v>
      </x:c>
      <x:c r="J8" s="29" t="n">
        <x:v>46296</x:v>
      </x:c>
      <x:c r="K8" s="29" t="n">
        <x:v>46303</x:v>
      </x:c>
      <x:c r="L8" s="29" t="n">
        <x:v>46310</x:v>
      </x:c>
      <x:c r="M8" s="29" t="n">
        <x:v>46317</x:v>
      </x:c>
      <x:c r="N8" s="29" t="n">
        <x:v>46327</x:v>
      </x:c>
      <x:c r="O8" s="29" t="n">
        <x:v>46334</x:v>
      </x:c>
      <x:c r="P8" s="29" t="n">
        <x:v>46341</x:v>
      </x:c>
      <x:c r="Q8" s="29" t="str">
        <x:v>Fuera</x:v>
      </x:c>
      <x:c r="R8" s="26" t="str">
        <x:v>Responsable
asignado</x:v>
      </x:c>
      <x:c r="S8" s="26" t="str">
        <x:v>Realizado
por</x:v>
      </x:c>
    </x:row>
    <x:row r="9" ht="17" customHeight="1">
      <x:c r="A9" s="26" t="str">
        <x:v>ID</x:v>
      </x:c>
      <x:c r="B9" s="26" t="str">
        <x:v>ACTIVIDAD</x:v>
      </x:c>
      <x:c r="C9" s="26" t="str">
        <x:v>E/R</x:v>
      </x:c>
      <x:c r="D9" s="26" t="str">
        <x:v>Tiempo
(bloques)</x:v>
      </x:c>
      <x:c r="E9" s="26" t="str">
        <x:v>Estado</x:v>
      </x:c>
      <x:c r="F9" s="30" t="n">
        <x:v>46272</x:v>
      </x:c>
      <x:c r="G9" s="30" t="n">
        <x:v>46279</x:v>
      </x:c>
      <x:c r="H9" s="30" t="n">
        <x:v>46286</x:v>
      </x:c>
      <x:c r="I9" s="30" t="n">
        <x:v>46295</x:v>
      </x:c>
      <x:c r="J9" s="30" t="n">
        <x:v>46302</x:v>
      </x:c>
      <x:c r="K9" s="30" t="n">
        <x:v>46309</x:v>
      </x:c>
      <x:c r="L9" s="30" t="n">
        <x:v>46316</x:v>
      </x:c>
      <x:c r="M9" s="30" t="n">
        <x:v>46326</x:v>
      </x:c>
      <x:c r="N9" s="30" t="n">
        <x:v>46333</x:v>
      </x:c>
      <x:c r="O9" s="30" t="n">
        <x:v>46340</x:v>
      </x:c>
      <x:c r="P9" s="30" t="n">
        <x:v>46344</x:v>
      </x:c>
      <x:c r="Q9" s="30" t="str">
        <x:v>de plazo</x:v>
      </x:c>
      <x:c r="R9" s="26" t="str">
        <x:v>Responsable
asignado</x:v>
      </x:c>
      <x:c r="S9" s="26" t="str">
        <x:v>Realizado
por</x:v>
      </x:c>
    </x:row>
    <x:row r="10" ht="20" customHeight="1">
      <x:c r="A10" s="52" t="str">
        <x:v>INV01 · Investigación del problema y requisitos</x:v>
      </x:c>
      <x:c r="B10" s="52" t="str">
        <x:v>INV01 · Investigación del problema y requisitos</x:v>
      </x:c>
      <x:c r="C10" s="52" t="str">
        <x:v>INV01 · Investigación del problema y requisitos</x:v>
      </x:c>
      <x:c r="D10" s="52" t="str">
        <x:v>INV01 · Investigación del problema y requisitos</x:v>
      </x:c>
      <x:c r="E10" s="52" t="str">
        <x:v>INV01 · Investigación del problema y requisitos</x:v>
      </x:c>
      <x:c r="F10" s="53" t="str">
        <x:v>INV01 · Investigación del problema y requisitos</x:v>
      </x:c>
      <x:c r="G10" s="53" t="str">
        <x:v>INV01 · Investigación del problema y requisitos</x:v>
      </x:c>
      <x:c r="H10" s="53" t="str">
        <x:v>INV01 · Investigación del problema y requisitos</x:v>
      </x:c>
      <x:c r="I10" s="53" t="str">
        <x:v>INV01 · Investigación del problema y requisitos</x:v>
      </x:c>
      <x:c r="J10" s="53" t="str">
        <x:v>INV01 · Investigación del problema y requisitos</x:v>
      </x:c>
      <x:c r="K10" s="53" t="str">
        <x:v>INV01 · Investigación del problema y requisitos</x:v>
      </x:c>
      <x:c r="L10" s="53" t="str">
        <x:v>INV01 · Investigación del problema y requisitos</x:v>
      </x:c>
      <x:c r="M10" s="53" t="str">
        <x:v>INV01 · Investigación del problema y requisitos</x:v>
      </x:c>
      <x:c r="N10" s="53" t="str">
        <x:v>INV01 · Investigación del problema y requisitos</x:v>
      </x:c>
      <x:c r="O10" s="53" t="str">
        <x:v>INV01 · Investigación del problema y requisitos</x:v>
      </x:c>
      <x:c r="P10" s="53" t="str">
        <x:v>INV01 · Investigación del problema y requisitos</x:v>
      </x:c>
      <x:c r="Q10" s="52" t="str">
        <x:v>INV01 · Investigación del problema y requisitos</x:v>
      </x:c>
      <x:c r="R10" s="52" t="str">
        <x:v>INV01 · Investigación del problema y requisitos</x:v>
      </x:c>
      <x:c r="S10" s="52" t="str">
        <x:v>INV01 · Investigación del problema y requisitos</x:v>
      </x:c>
    </x:row>
    <x:row r="11" ht="16" customHeight="1">
      <x:c r="A11" s="56" t="str">
        <x:v>INV01.001</x:v>
      </x:c>
      <x:c r="B11" s="57" t="str">
        <x:v>Delimitar el problema de conexión comunitaria</x:v>
      </x:c>
      <x:c r="C11" s="62" t="str">
        <x:v>E</x:v>
      </x:c>
      <x:c r="D11" s="64" t="n">
        <x:f>'Detalle'!I9</x:f>
        <x:v>1</x:v>
      </x:c>
      <x:c r="E11" s="60" t="str">
        <x:f>'Detalle'!F9</x:f>
        <x:v>Completado</x:v>
      </x:c>
      <x:c r="F11" s="32" t="n">
        <x:f>IF(AND(F$8&lt;='Detalle'!$H9,F$9&gt;='Detalle'!$G9),1,"")</x:f>
        <x:v>1</x:v>
      </x:c>
      <x:c r="G11" s="32" t="str">
        <x:f>IF(AND(G$8&lt;='Detalle'!$H9,G$9&gt;='Detalle'!$G9),1,"")</x:f>
      </x:c>
      <x:c r="H11" s="32" t="str">
        <x:f>IF(AND(H$8&lt;='Detalle'!$H9,H$9&gt;='Detalle'!$G9),1,"")</x:f>
      </x:c>
      <x:c r="I11" s="32" t="str">
        <x:f>IF(AND(I$8&lt;='Detalle'!$H9,I$9&gt;='Detalle'!$G9),1,"")</x:f>
      </x:c>
      <x:c r="J11" s="32" t="str">
        <x:f>IF(AND(J$8&lt;='Detalle'!$H9,J$9&gt;='Detalle'!$G9),1,"")</x:f>
      </x:c>
      <x:c r="K11" s="32" t="str">
        <x:f>IF(AND(K$8&lt;='Detalle'!$H9,K$9&gt;='Detalle'!$G9),1,"")</x:f>
      </x:c>
      <x:c r="L11" s="32" t="str">
        <x:f>IF(AND(L$8&lt;='Detalle'!$H9,L$9&gt;='Detalle'!$G9),1,"")</x:f>
      </x:c>
      <x:c r="M11" s="32" t="str">
        <x:f>IF(AND(M$8&lt;='Detalle'!$H9,M$9&gt;='Detalle'!$G9),1,"")</x:f>
      </x:c>
      <x:c r="N11" s="32" t="str">
        <x:f>IF(AND(N$8&lt;='Detalle'!$H9,N$9&gt;='Detalle'!$G9),1,"")</x:f>
      </x:c>
      <x:c r="O11" s="32" t="str">
        <x:f>IF(AND(O$8&lt;='Detalle'!$H9,O$9&gt;='Detalle'!$G9),1,"")</x:f>
      </x:c>
      <x:c r="P11" s="32" t="str">
        <x:f>IF(AND(P$8&lt;='Detalle'!$H9,P$9&gt;='Detalle'!$G9),1,"")</x:f>
      </x:c>
      <x:c r="Q11" s="68"/>
      <x:c r="R11" s="67" t="str">
        <x:f>IF('Detalle'!M9="","",'Detalle'!M9)</x:f>
      </x:c>
      <x:c r="S11" s="67" t="str">
        <x:f>IF('Detalle'!N9="","",'Detalle'!N9)</x:f>
      </x:c>
    </x:row>
    <x:row r="12" ht="16" customHeight="1">
      <x:c r="A12" s="56" t="str">
        <x:v>INV01.001</x:v>
      </x:c>
      <x:c r="B12" s="57" t="str">
        <x:v>Delimitar el problema de conexión comunitaria</x:v>
      </x:c>
      <x:c r="C12" s="63" t="str">
        <x:v>R</x:v>
      </x:c>
      <x:c r="D12" s="65" t="str">
        <x:f>IF('Detalle'!L9="","",'Detalle'!L9)</x:f>
      </x:c>
      <x:c r="E12" s="60" t="str"/>
      <x:c r="F12" s="32" t="str">
        <x:f>IF(OR('Detalle'!$J9="",'Detalle'!$K9="",'Detalle'!$L9=""),"",IF(AND(F$8&lt;='Detalle'!$K9,F$9&gt;='Detalle'!$J9),1,""))</x:f>
      </x:c>
      <x:c r="G12" s="32" t="str">
        <x:f>IF(OR('Detalle'!$J9="",'Detalle'!$K9="",'Detalle'!$L9=""),"",IF(AND(G$8&lt;='Detalle'!$K9,G$9&gt;='Detalle'!$J9),1,""))</x:f>
      </x:c>
      <x:c r="H12" s="32" t="str">
        <x:f>IF(OR('Detalle'!$J9="",'Detalle'!$K9="",'Detalle'!$L9=""),"",IF(AND(H$8&lt;='Detalle'!$K9,H$9&gt;='Detalle'!$J9),1,""))</x:f>
      </x:c>
      <x:c r="I12" s="32" t="str">
        <x:f>IF(OR('Detalle'!$J9="",'Detalle'!$K9="",'Detalle'!$L9=""),"",IF(AND(I$8&lt;='Detalle'!$K9,I$9&gt;='Detalle'!$J9),1,""))</x:f>
      </x:c>
      <x:c r="J12" s="32" t="str">
        <x:f>IF(OR('Detalle'!$J9="",'Detalle'!$K9="",'Detalle'!$L9=""),"",IF(AND(J$8&lt;='Detalle'!$K9,J$9&gt;='Detalle'!$J9),1,""))</x:f>
      </x:c>
      <x:c r="K12" s="32" t="str">
        <x:f>IF(OR('Detalle'!$J9="",'Detalle'!$K9="",'Detalle'!$L9=""),"",IF(AND(K$8&lt;='Detalle'!$K9,K$9&gt;='Detalle'!$J9),1,""))</x:f>
      </x:c>
      <x:c r="L12" s="32" t="str">
        <x:f>IF(OR('Detalle'!$J9="",'Detalle'!$K9="",'Detalle'!$L9=""),"",IF(AND(L$8&lt;='Detalle'!$K9,L$9&gt;='Detalle'!$J9),1,""))</x:f>
      </x:c>
      <x:c r="M12" s="32" t="str">
        <x:f>IF(OR('Detalle'!$J9="",'Detalle'!$K9="",'Detalle'!$L9=""),"",IF(AND(M$8&lt;='Detalle'!$K9,M$9&gt;='Detalle'!$J9),1,""))</x:f>
      </x:c>
      <x:c r="N12" s="32" t="str">
        <x:f>IF(OR('Detalle'!$J9="",'Detalle'!$K9="",'Detalle'!$L9=""),"",IF(AND(N$8&lt;='Detalle'!$K9,N$9&gt;='Detalle'!$J9),1,""))</x:f>
      </x:c>
      <x:c r="O12" s="32" t="str">
        <x:f>IF(OR('Detalle'!$J9="",'Detalle'!$K9="",'Detalle'!$L9=""),"",IF(AND(O$8&lt;='Detalle'!$K9,O$9&gt;='Detalle'!$J9),1,""))</x:f>
      </x:c>
      <x:c r="P12" s="32" t="str">
        <x:f>IF(OR('Detalle'!$J9="",'Detalle'!$K9="",'Detalle'!$L9=""),"",IF(AND(P$8&lt;='Detalle'!$K9,P$9&gt;='Detalle'!$J9),1,""))</x:f>
      </x:c>
      <x:c r="Q12" s="68"/>
      <x:c r="R12" s="67" t="str"/>
      <x:c r="S12" s="67" t="str"/>
    </x:row>
    <x:row r="13" ht="16" customHeight="1">
      <x:c r="A13" s="56" t="str">
        <x:v>INV01.002</x:v>
      </x:c>
      <x:c r="B13" s="57" t="str">
        <x:v>Identificar al usuario general</x:v>
      </x:c>
      <x:c r="C13" s="62" t="str">
        <x:v>E</x:v>
      </x:c>
      <x:c r="D13" s="64" t="n">
        <x:f>'Detalle'!I10</x:f>
        <x:v>1</x:v>
      </x:c>
      <x:c r="E13" s="60" t="str">
        <x:f>'Detalle'!F10</x:f>
        <x:v>Completado</x:v>
      </x:c>
      <x:c r="F13" s="32" t="n">
        <x:f>IF(AND(F$8&lt;='Detalle'!$H10,F$9&gt;='Detalle'!$G10),1,"")</x:f>
        <x:v>1</x:v>
      </x:c>
      <x:c r="G13" s="32" t="str">
        <x:f>IF(AND(G$8&lt;='Detalle'!$H10,G$9&gt;='Detalle'!$G10),1,"")</x:f>
      </x:c>
      <x:c r="H13" s="32" t="str">
        <x:f>IF(AND(H$8&lt;='Detalle'!$H10,H$9&gt;='Detalle'!$G10),1,"")</x:f>
      </x:c>
      <x:c r="I13" s="32" t="str">
        <x:f>IF(AND(I$8&lt;='Detalle'!$H10,I$9&gt;='Detalle'!$G10),1,"")</x:f>
      </x:c>
      <x:c r="J13" s="32" t="str">
        <x:f>IF(AND(J$8&lt;='Detalle'!$H10,J$9&gt;='Detalle'!$G10),1,"")</x:f>
      </x:c>
      <x:c r="K13" s="32" t="str">
        <x:f>IF(AND(K$8&lt;='Detalle'!$H10,K$9&gt;='Detalle'!$G10),1,"")</x:f>
      </x:c>
      <x:c r="L13" s="32" t="str">
        <x:f>IF(AND(L$8&lt;='Detalle'!$H10,L$9&gt;='Detalle'!$G10),1,"")</x:f>
      </x:c>
      <x:c r="M13" s="32" t="str">
        <x:f>IF(AND(M$8&lt;='Detalle'!$H10,M$9&gt;='Detalle'!$G10),1,"")</x:f>
      </x:c>
      <x:c r="N13" s="32" t="str">
        <x:f>IF(AND(N$8&lt;='Detalle'!$H10,N$9&gt;='Detalle'!$G10),1,"")</x:f>
      </x:c>
      <x:c r="O13" s="32" t="str">
        <x:f>IF(AND(O$8&lt;='Detalle'!$H10,O$9&gt;='Detalle'!$G10),1,"")</x:f>
      </x:c>
      <x:c r="P13" s="32" t="str">
        <x:f>IF(AND(P$8&lt;='Detalle'!$H10,P$9&gt;='Detalle'!$G10),1,"")</x:f>
      </x:c>
      <x:c r="Q13" s="68"/>
      <x:c r="R13" s="67" t="str">
        <x:f>IF('Detalle'!M10="","",'Detalle'!M10)</x:f>
      </x:c>
      <x:c r="S13" s="67" t="str">
        <x:f>IF('Detalle'!N10="","",'Detalle'!N10)</x:f>
      </x:c>
    </x:row>
    <x:row r="14" ht="16" customHeight="1">
      <x:c r="A14" s="56" t="str">
        <x:v>INV01.002</x:v>
      </x:c>
      <x:c r="B14" s="57" t="str">
        <x:v>Identificar al usuario general</x:v>
      </x:c>
      <x:c r="C14" s="63" t="str">
        <x:v>R</x:v>
      </x:c>
      <x:c r="D14" s="65" t="str">
        <x:f>IF('Detalle'!L10="","",'Detalle'!L10)</x:f>
      </x:c>
      <x:c r="E14" s="60" t="str"/>
      <x:c r="F14" s="32" t="str">
        <x:f>IF(OR('Detalle'!$J10="",'Detalle'!$K10="",'Detalle'!$L10=""),"",IF(AND(F$8&lt;='Detalle'!$K10,F$9&gt;='Detalle'!$J10),1,""))</x:f>
      </x:c>
      <x:c r="G14" s="32" t="str">
        <x:f>IF(OR('Detalle'!$J10="",'Detalle'!$K10="",'Detalle'!$L10=""),"",IF(AND(G$8&lt;='Detalle'!$K10,G$9&gt;='Detalle'!$J10),1,""))</x:f>
      </x:c>
      <x:c r="H14" s="32" t="str">
        <x:f>IF(OR('Detalle'!$J10="",'Detalle'!$K10="",'Detalle'!$L10=""),"",IF(AND(H$8&lt;='Detalle'!$K10,H$9&gt;='Detalle'!$J10),1,""))</x:f>
      </x:c>
      <x:c r="I14" s="32" t="str">
        <x:f>IF(OR('Detalle'!$J10="",'Detalle'!$K10="",'Detalle'!$L10=""),"",IF(AND(I$8&lt;='Detalle'!$K10,I$9&gt;='Detalle'!$J10),1,""))</x:f>
      </x:c>
      <x:c r="J14" s="32" t="str">
        <x:f>IF(OR('Detalle'!$J10="",'Detalle'!$K10="",'Detalle'!$L10=""),"",IF(AND(J$8&lt;='Detalle'!$K10,J$9&gt;='Detalle'!$J10),1,""))</x:f>
      </x:c>
      <x:c r="K14" s="32" t="str">
        <x:f>IF(OR('Detalle'!$J10="",'Detalle'!$K10="",'Detalle'!$L10=""),"",IF(AND(K$8&lt;='Detalle'!$K10,K$9&gt;='Detalle'!$J10),1,""))</x:f>
      </x:c>
      <x:c r="L14" s="32" t="str">
        <x:f>IF(OR('Detalle'!$J10="",'Detalle'!$K10="",'Detalle'!$L10=""),"",IF(AND(L$8&lt;='Detalle'!$K10,L$9&gt;='Detalle'!$J10),1,""))</x:f>
      </x:c>
      <x:c r="M14" s="32" t="str">
        <x:f>IF(OR('Detalle'!$J10="",'Detalle'!$K10="",'Detalle'!$L10=""),"",IF(AND(M$8&lt;='Detalle'!$K10,M$9&gt;='Detalle'!$J10),1,""))</x:f>
      </x:c>
      <x:c r="N14" s="32" t="str">
        <x:f>IF(OR('Detalle'!$J10="",'Detalle'!$K10="",'Detalle'!$L10=""),"",IF(AND(N$8&lt;='Detalle'!$K10,N$9&gt;='Detalle'!$J10),1,""))</x:f>
      </x:c>
      <x:c r="O14" s="32" t="str">
        <x:f>IF(OR('Detalle'!$J10="",'Detalle'!$K10="",'Detalle'!$L10=""),"",IF(AND(O$8&lt;='Detalle'!$K10,O$9&gt;='Detalle'!$J10),1,""))</x:f>
      </x:c>
      <x:c r="P14" s="32" t="str">
        <x:f>IF(OR('Detalle'!$J10="",'Detalle'!$K10="",'Detalle'!$L10=""),"",IF(AND(P$8&lt;='Detalle'!$K10,P$9&gt;='Detalle'!$J10),1,""))</x:f>
      </x:c>
      <x:c r="Q14" s="68"/>
      <x:c r="R14" s="67" t="str"/>
      <x:c r="S14" s="67" t="str"/>
    </x:row>
    <x:row r="15" ht="16" customHeight="1">
      <x:c r="A15" s="56" t="str">
        <x:v>INV01.003</x:v>
      </x:c>
      <x:c r="B15" s="57" t="str">
        <x:v>Identificar necesidades de artistas y creadores</x:v>
      </x:c>
      <x:c r="C15" s="62" t="str">
        <x:v>E</x:v>
      </x:c>
      <x:c r="D15" s="64" t="n">
        <x:f>'Detalle'!I11</x:f>
        <x:v>1</x:v>
      </x:c>
      <x:c r="E15" s="60" t="str">
        <x:f>'Detalle'!F11</x:f>
        <x:v>Completado</x:v>
      </x:c>
      <x:c r="F15" s="32" t="n">
        <x:f>IF(AND(F$8&lt;='Detalle'!$H11,F$9&gt;='Detalle'!$G11),1,"")</x:f>
        <x:v>1</x:v>
      </x:c>
      <x:c r="G15" s="32" t="str">
        <x:f>IF(AND(G$8&lt;='Detalle'!$H11,G$9&gt;='Detalle'!$G11),1,"")</x:f>
      </x:c>
      <x:c r="H15" s="32" t="str">
        <x:f>IF(AND(H$8&lt;='Detalle'!$H11,H$9&gt;='Detalle'!$G11),1,"")</x:f>
      </x:c>
      <x:c r="I15" s="32" t="str">
        <x:f>IF(AND(I$8&lt;='Detalle'!$H11,I$9&gt;='Detalle'!$G11),1,"")</x:f>
      </x:c>
      <x:c r="J15" s="32" t="str">
        <x:f>IF(AND(J$8&lt;='Detalle'!$H11,J$9&gt;='Detalle'!$G11),1,"")</x:f>
      </x:c>
      <x:c r="K15" s="32" t="str">
        <x:f>IF(AND(K$8&lt;='Detalle'!$H11,K$9&gt;='Detalle'!$G11),1,"")</x:f>
      </x:c>
      <x:c r="L15" s="32" t="str">
        <x:f>IF(AND(L$8&lt;='Detalle'!$H11,L$9&gt;='Detalle'!$G11),1,"")</x:f>
      </x:c>
      <x:c r="M15" s="32" t="str">
        <x:f>IF(AND(M$8&lt;='Detalle'!$H11,M$9&gt;='Detalle'!$G11),1,"")</x:f>
      </x:c>
      <x:c r="N15" s="32" t="str">
        <x:f>IF(AND(N$8&lt;='Detalle'!$H11,N$9&gt;='Detalle'!$G11),1,"")</x:f>
      </x:c>
      <x:c r="O15" s="32" t="str">
        <x:f>IF(AND(O$8&lt;='Detalle'!$H11,O$9&gt;='Detalle'!$G11),1,"")</x:f>
      </x:c>
      <x:c r="P15" s="32" t="str">
        <x:f>IF(AND(P$8&lt;='Detalle'!$H11,P$9&gt;='Detalle'!$G11),1,"")</x:f>
      </x:c>
      <x:c r="Q15" s="68"/>
      <x:c r="R15" s="67" t="str">
        <x:f>IF('Detalle'!M11="","",'Detalle'!M11)</x:f>
      </x:c>
      <x:c r="S15" s="67" t="str">
        <x:f>IF('Detalle'!N11="","",'Detalle'!N11)</x:f>
      </x:c>
    </x:row>
    <x:row r="16" ht="16" customHeight="1">
      <x:c r="A16" s="56" t="str">
        <x:v>INV01.003</x:v>
      </x:c>
      <x:c r="B16" s="57" t="str">
        <x:v>Identificar necesidades de artistas y creadores</x:v>
      </x:c>
      <x:c r="C16" s="63" t="str">
        <x:v>R</x:v>
      </x:c>
      <x:c r="D16" s="65" t="str">
        <x:f>IF('Detalle'!L11="","",'Detalle'!L11)</x:f>
      </x:c>
      <x:c r="E16" s="60" t="str"/>
      <x:c r="F16" s="32" t="str">
        <x:f>IF(OR('Detalle'!$J11="",'Detalle'!$K11="",'Detalle'!$L11=""),"",IF(AND(F$8&lt;='Detalle'!$K11,F$9&gt;='Detalle'!$J11),1,""))</x:f>
      </x:c>
      <x:c r="G16" s="32" t="str">
        <x:f>IF(OR('Detalle'!$J11="",'Detalle'!$K11="",'Detalle'!$L11=""),"",IF(AND(G$8&lt;='Detalle'!$K11,G$9&gt;='Detalle'!$J11),1,""))</x:f>
      </x:c>
      <x:c r="H16" s="32" t="str">
        <x:f>IF(OR('Detalle'!$J11="",'Detalle'!$K11="",'Detalle'!$L11=""),"",IF(AND(H$8&lt;='Detalle'!$K11,H$9&gt;='Detalle'!$J11),1,""))</x:f>
      </x:c>
      <x:c r="I16" s="32" t="str">
        <x:f>IF(OR('Detalle'!$J11="",'Detalle'!$K11="",'Detalle'!$L11=""),"",IF(AND(I$8&lt;='Detalle'!$K11,I$9&gt;='Detalle'!$J11),1,""))</x:f>
      </x:c>
      <x:c r="J16" s="32" t="str">
        <x:f>IF(OR('Detalle'!$J11="",'Detalle'!$K11="",'Detalle'!$L11=""),"",IF(AND(J$8&lt;='Detalle'!$K11,J$9&gt;='Detalle'!$J11),1,""))</x:f>
      </x:c>
      <x:c r="K16" s="32" t="str">
        <x:f>IF(OR('Detalle'!$J11="",'Detalle'!$K11="",'Detalle'!$L11=""),"",IF(AND(K$8&lt;='Detalle'!$K11,K$9&gt;='Detalle'!$J11),1,""))</x:f>
      </x:c>
      <x:c r="L16" s="32" t="str">
        <x:f>IF(OR('Detalle'!$J11="",'Detalle'!$K11="",'Detalle'!$L11=""),"",IF(AND(L$8&lt;='Detalle'!$K11,L$9&gt;='Detalle'!$J11),1,""))</x:f>
      </x:c>
      <x:c r="M16" s="32" t="str">
        <x:f>IF(OR('Detalle'!$J11="",'Detalle'!$K11="",'Detalle'!$L11=""),"",IF(AND(M$8&lt;='Detalle'!$K11,M$9&gt;='Detalle'!$J11),1,""))</x:f>
      </x:c>
      <x:c r="N16" s="32" t="str">
        <x:f>IF(OR('Detalle'!$J11="",'Detalle'!$K11="",'Detalle'!$L11=""),"",IF(AND(N$8&lt;='Detalle'!$K11,N$9&gt;='Detalle'!$J11),1,""))</x:f>
      </x:c>
      <x:c r="O16" s="32" t="str">
        <x:f>IF(OR('Detalle'!$J11="",'Detalle'!$K11="",'Detalle'!$L11=""),"",IF(AND(O$8&lt;='Detalle'!$K11,O$9&gt;='Detalle'!$J11),1,""))</x:f>
      </x:c>
      <x:c r="P16" s="32" t="str">
        <x:f>IF(OR('Detalle'!$J11="",'Detalle'!$K11="",'Detalle'!$L11=""),"",IF(AND(P$8&lt;='Detalle'!$K11,P$9&gt;='Detalle'!$J11),1,""))</x:f>
      </x:c>
      <x:c r="Q16" s="68"/>
      <x:c r="R16" s="67" t="str"/>
      <x:c r="S16" s="67" t="str"/>
    </x:row>
    <x:row r="17" ht="16" customHeight="1">
      <x:c r="A17" s="56" t="str">
        <x:v>INV01.004</x:v>
      </x:c>
      <x:c r="B17" s="57" t="str">
        <x:v>Identificar necesidades de emprendimientos</x:v>
      </x:c>
      <x:c r="C17" s="62" t="str">
        <x:v>E</x:v>
      </x:c>
      <x:c r="D17" s="64" t="n">
        <x:f>'Detalle'!I12</x:f>
        <x:v>1</x:v>
      </x:c>
      <x:c r="E17" s="60" t="str">
        <x:f>'Detalle'!F12</x:f>
        <x:v>Completado</x:v>
      </x:c>
      <x:c r="F17" s="32" t="n">
        <x:f>IF(AND(F$8&lt;='Detalle'!$H12,F$9&gt;='Detalle'!$G12),1,"")</x:f>
        <x:v>1</x:v>
      </x:c>
      <x:c r="G17" s="32" t="str">
        <x:f>IF(AND(G$8&lt;='Detalle'!$H12,G$9&gt;='Detalle'!$G12),1,"")</x:f>
      </x:c>
      <x:c r="H17" s="32" t="str">
        <x:f>IF(AND(H$8&lt;='Detalle'!$H12,H$9&gt;='Detalle'!$G12),1,"")</x:f>
      </x:c>
      <x:c r="I17" s="32" t="str">
        <x:f>IF(AND(I$8&lt;='Detalle'!$H12,I$9&gt;='Detalle'!$G12),1,"")</x:f>
      </x:c>
      <x:c r="J17" s="32" t="str">
        <x:f>IF(AND(J$8&lt;='Detalle'!$H12,J$9&gt;='Detalle'!$G12),1,"")</x:f>
      </x:c>
      <x:c r="K17" s="32" t="str">
        <x:f>IF(AND(K$8&lt;='Detalle'!$H12,K$9&gt;='Detalle'!$G12),1,"")</x:f>
      </x:c>
      <x:c r="L17" s="32" t="str">
        <x:f>IF(AND(L$8&lt;='Detalle'!$H12,L$9&gt;='Detalle'!$G12),1,"")</x:f>
      </x:c>
      <x:c r="M17" s="32" t="str">
        <x:f>IF(AND(M$8&lt;='Detalle'!$H12,M$9&gt;='Detalle'!$G12),1,"")</x:f>
      </x:c>
      <x:c r="N17" s="32" t="str">
        <x:f>IF(AND(N$8&lt;='Detalle'!$H12,N$9&gt;='Detalle'!$G12),1,"")</x:f>
      </x:c>
      <x:c r="O17" s="32" t="str">
        <x:f>IF(AND(O$8&lt;='Detalle'!$H12,O$9&gt;='Detalle'!$G12),1,"")</x:f>
      </x:c>
      <x:c r="P17" s="32" t="str">
        <x:f>IF(AND(P$8&lt;='Detalle'!$H12,P$9&gt;='Detalle'!$G12),1,"")</x:f>
      </x:c>
      <x:c r="Q17" s="68"/>
      <x:c r="R17" s="67" t="str">
        <x:f>IF('Detalle'!M12="","",'Detalle'!M12)</x:f>
      </x:c>
      <x:c r="S17" s="67" t="str">
        <x:f>IF('Detalle'!N12="","",'Detalle'!N12)</x:f>
      </x:c>
    </x:row>
    <x:row r="18" ht="16" customHeight="1">
      <x:c r="A18" s="56" t="str">
        <x:v>INV01.004</x:v>
      </x:c>
      <x:c r="B18" s="57" t="str">
        <x:v>Identificar necesidades de emprendimientos</x:v>
      </x:c>
      <x:c r="C18" s="63" t="str">
        <x:v>R</x:v>
      </x:c>
      <x:c r="D18" s="65" t="str">
        <x:f>IF('Detalle'!L12="","",'Detalle'!L12)</x:f>
      </x:c>
      <x:c r="E18" s="60" t="str"/>
      <x:c r="F18" s="32" t="str">
        <x:f>IF(OR('Detalle'!$J12="",'Detalle'!$K12="",'Detalle'!$L12=""),"",IF(AND(F$8&lt;='Detalle'!$K12,F$9&gt;='Detalle'!$J12),1,""))</x:f>
      </x:c>
      <x:c r="G18" s="32" t="str">
        <x:f>IF(OR('Detalle'!$J12="",'Detalle'!$K12="",'Detalle'!$L12=""),"",IF(AND(G$8&lt;='Detalle'!$K12,G$9&gt;='Detalle'!$J12),1,""))</x:f>
      </x:c>
      <x:c r="H18" s="32" t="str">
        <x:f>IF(OR('Detalle'!$J12="",'Detalle'!$K12="",'Detalle'!$L12=""),"",IF(AND(H$8&lt;='Detalle'!$K12,H$9&gt;='Detalle'!$J12),1,""))</x:f>
      </x:c>
      <x:c r="I18" s="32" t="str">
        <x:f>IF(OR('Detalle'!$J12="",'Detalle'!$K12="",'Detalle'!$L12=""),"",IF(AND(I$8&lt;='Detalle'!$K12,I$9&gt;='Detalle'!$J12),1,""))</x:f>
      </x:c>
      <x:c r="J18" s="32" t="str">
        <x:f>IF(OR('Detalle'!$J12="",'Detalle'!$K12="",'Detalle'!$L12=""),"",IF(AND(J$8&lt;='Detalle'!$K12,J$9&gt;='Detalle'!$J12),1,""))</x:f>
      </x:c>
      <x:c r="K18" s="32" t="str">
        <x:f>IF(OR('Detalle'!$J12="",'Detalle'!$K12="",'Detalle'!$L12=""),"",IF(AND(K$8&lt;='Detalle'!$K12,K$9&gt;='Detalle'!$J12),1,""))</x:f>
      </x:c>
      <x:c r="L18" s="32" t="str">
        <x:f>IF(OR('Detalle'!$J12="",'Detalle'!$K12="",'Detalle'!$L12=""),"",IF(AND(L$8&lt;='Detalle'!$K12,L$9&gt;='Detalle'!$J12),1,""))</x:f>
      </x:c>
      <x:c r="M18" s="32" t="str">
        <x:f>IF(OR('Detalle'!$J12="",'Detalle'!$K12="",'Detalle'!$L12=""),"",IF(AND(M$8&lt;='Detalle'!$K12,M$9&gt;='Detalle'!$J12),1,""))</x:f>
      </x:c>
      <x:c r="N18" s="32" t="str">
        <x:f>IF(OR('Detalle'!$J12="",'Detalle'!$K12="",'Detalle'!$L12=""),"",IF(AND(N$8&lt;='Detalle'!$K12,N$9&gt;='Detalle'!$J12),1,""))</x:f>
      </x:c>
      <x:c r="O18" s="32" t="str">
        <x:f>IF(OR('Detalle'!$J12="",'Detalle'!$K12="",'Detalle'!$L12=""),"",IF(AND(O$8&lt;='Detalle'!$K12,O$9&gt;='Detalle'!$J12),1,""))</x:f>
      </x:c>
      <x:c r="P18" s="32" t="str">
        <x:f>IF(OR('Detalle'!$J12="",'Detalle'!$K12="",'Detalle'!$L12=""),"",IF(AND(P$8&lt;='Detalle'!$K12,P$9&gt;='Detalle'!$J12),1,""))</x:f>
      </x:c>
      <x:c r="Q18" s="68"/>
      <x:c r="R18" s="67" t="str"/>
      <x:c r="S18" s="67" t="str"/>
    </x:row>
    <x:row r="19" ht="16" customHeight="1">
      <x:c r="A19" s="56" t="str">
        <x:v>INV01.005</x:v>
      </x:c>
      <x:c r="B19" s="57" t="str">
        <x:v>Identificar necesidades de negocios</x:v>
      </x:c>
      <x:c r="C19" s="62" t="str">
        <x:v>E</x:v>
      </x:c>
      <x:c r="D19" s="64" t="n">
        <x:f>'Detalle'!I13</x:f>
        <x:v>1</x:v>
      </x:c>
      <x:c r="E19" s="60" t="str">
        <x:f>'Detalle'!F13</x:f>
        <x:v>Completado</x:v>
      </x:c>
      <x:c r="F19" s="32" t="n">
        <x:f>IF(AND(F$8&lt;='Detalle'!$H13,F$9&gt;='Detalle'!$G13),1,"")</x:f>
        <x:v>1</x:v>
      </x:c>
      <x:c r="G19" s="32" t="str">
        <x:f>IF(AND(G$8&lt;='Detalle'!$H13,G$9&gt;='Detalle'!$G13),1,"")</x:f>
      </x:c>
      <x:c r="H19" s="32" t="str">
        <x:f>IF(AND(H$8&lt;='Detalle'!$H13,H$9&gt;='Detalle'!$G13),1,"")</x:f>
      </x:c>
      <x:c r="I19" s="32" t="str">
        <x:f>IF(AND(I$8&lt;='Detalle'!$H13,I$9&gt;='Detalle'!$G13),1,"")</x:f>
      </x:c>
      <x:c r="J19" s="32" t="str">
        <x:f>IF(AND(J$8&lt;='Detalle'!$H13,J$9&gt;='Detalle'!$G13),1,"")</x:f>
      </x:c>
      <x:c r="K19" s="32" t="str">
        <x:f>IF(AND(K$8&lt;='Detalle'!$H13,K$9&gt;='Detalle'!$G13),1,"")</x:f>
      </x:c>
      <x:c r="L19" s="32" t="str">
        <x:f>IF(AND(L$8&lt;='Detalle'!$H13,L$9&gt;='Detalle'!$G13),1,"")</x:f>
      </x:c>
      <x:c r="M19" s="32" t="str">
        <x:f>IF(AND(M$8&lt;='Detalle'!$H13,M$9&gt;='Detalle'!$G13),1,"")</x:f>
      </x:c>
      <x:c r="N19" s="32" t="str">
        <x:f>IF(AND(N$8&lt;='Detalle'!$H13,N$9&gt;='Detalle'!$G13),1,"")</x:f>
      </x:c>
      <x:c r="O19" s="32" t="str">
        <x:f>IF(AND(O$8&lt;='Detalle'!$H13,O$9&gt;='Detalle'!$G13),1,"")</x:f>
      </x:c>
      <x:c r="P19" s="32" t="str">
        <x:f>IF(AND(P$8&lt;='Detalle'!$H13,P$9&gt;='Detalle'!$G13),1,"")</x:f>
      </x:c>
      <x:c r="Q19" s="68"/>
      <x:c r="R19" s="67" t="str">
        <x:f>IF('Detalle'!M13="","",'Detalle'!M13)</x:f>
      </x:c>
      <x:c r="S19" s="67" t="str">
        <x:f>IF('Detalle'!N13="","",'Detalle'!N13)</x:f>
      </x:c>
    </x:row>
    <x:row r="20" ht="16" customHeight="1">
      <x:c r="A20" s="56" t="str">
        <x:v>INV01.005</x:v>
      </x:c>
      <x:c r="B20" s="57" t="str">
        <x:v>Identificar necesidades de negocios</x:v>
      </x:c>
      <x:c r="C20" s="63" t="str">
        <x:v>R</x:v>
      </x:c>
      <x:c r="D20" s="65" t="str">
        <x:f>IF('Detalle'!L13="","",'Detalle'!L13)</x:f>
      </x:c>
      <x:c r="E20" s="60" t="str"/>
      <x:c r="F20" s="32" t="str">
        <x:f>IF(OR('Detalle'!$J13="",'Detalle'!$K13="",'Detalle'!$L13=""),"",IF(AND(F$8&lt;='Detalle'!$K13,F$9&gt;='Detalle'!$J13),1,""))</x:f>
      </x:c>
      <x:c r="G20" s="32" t="str">
        <x:f>IF(OR('Detalle'!$J13="",'Detalle'!$K13="",'Detalle'!$L13=""),"",IF(AND(G$8&lt;='Detalle'!$K13,G$9&gt;='Detalle'!$J13),1,""))</x:f>
      </x:c>
      <x:c r="H20" s="32" t="str">
        <x:f>IF(OR('Detalle'!$J13="",'Detalle'!$K13="",'Detalle'!$L13=""),"",IF(AND(H$8&lt;='Detalle'!$K13,H$9&gt;='Detalle'!$J13),1,""))</x:f>
      </x:c>
      <x:c r="I20" s="32" t="str">
        <x:f>IF(OR('Detalle'!$J13="",'Detalle'!$K13="",'Detalle'!$L13=""),"",IF(AND(I$8&lt;='Detalle'!$K13,I$9&gt;='Detalle'!$J13),1,""))</x:f>
      </x:c>
      <x:c r="J20" s="32" t="str">
        <x:f>IF(OR('Detalle'!$J13="",'Detalle'!$K13="",'Detalle'!$L13=""),"",IF(AND(J$8&lt;='Detalle'!$K13,J$9&gt;='Detalle'!$J13),1,""))</x:f>
      </x:c>
      <x:c r="K20" s="32" t="str">
        <x:f>IF(OR('Detalle'!$J13="",'Detalle'!$K13="",'Detalle'!$L13=""),"",IF(AND(K$8&lt;='Detalle'!$K13,K$9&gt;='Detalle'!$J13),1,""))</x:f>
      </x:c>
      <x:c r="L20" s="32" t="str">
        <x:f>IF(OR('Detalle'!$J13="",'Detalle'!$K13="",'Detalle'!$L13=""),"",IF(AND(L$8&lt;='Detalle'!$K13,L$9&gt;='Detalle'!$J13),1,""))</x:f>
      </x:c>
      <x:c r="M20" s="32" t="str">
        <x:f>IF(OR('Detalle'!$J13="",'Detalle'!$K13="",'Detalle'!$L13=""),"",IF(AND(M$8&lt;='Detalle'!$K13,M$9&gt;='Detalle'!$J13),1,""))</x:f>
      </x:c>
      <x:c r="N20" s="32" t="str">
        <x:f>IF(OR('Detalle'!$J13="",'Detalle'!$K13="",'Detalle'!$L13=""),"",IF(AND(N$8&lt;='Detalle'!$K13,N$9&gt;='Detalle'!$J13),1,""))</x:f>
      </x:c>
      <x:c r="O20" s="32" t="str">
        <x:f>IF(OR('Detalle'!$J13="",'Detalle'!$K13="",'Detalle'!$L13=""),"",IF(AND(O$8&lt;='Detalle'!$K13,O$9&gt;='Detalle'!$J13),1,""))</x:f>
      </x:c>
      <x:c r="P20" s="32" t="str">
        <x:f>IF(OR('Detalle'!$J13="",'Detalle'!$K13="",'Detalle'!$L13=""),"",IF(AND(P$8&lt;='Detalle'!$K13,P$9&gt;='Detalle'!$J13),1,""))</x:f>
      </x:c>
      <x:c r="Q20" s="68"/>
      <x:c r="R20" s="67" t="str"/>
      <x:c r="S20" s="67" t="str"/>
    </x:row>
    <x:row r="21" ht="16" customHeight="1">
      <x:c r="A21" s="56" t="str">
        <x:v>INV01.006</x:v>
      </x:c>
      <x:c r="B21" s="57" t="str">
        <x:v>Definir funciones de administración</x:v>
      </x:c>
      <x:c r="C21" s="62" t="str">
        <x:v>E</x:v>
      </x:c>
      <x:c r="D21" s="64" t="n">
        <x:f>'Detalle'!I14</x:f>
        <x:v>1</x:v>
      </x:c>
      <x:c r="E21" s="60" t="str">
        <x:f>'Detalle'!F14</x:f>
        <x:v>Completado</x:v>
      </x:c>
      <x:c r="F21" s="32" t="n">
        <x:f>IF(AND(F$8&lt;='Detalle'!$H14,F$9&gt;='Detalle'!$G14),1,"")</x:f>
        <x:v>1</x:v>
      </x:c>
      <x:c r="G21" s="32" t="str">
        <x:f>IF(AND(G$8&lt;='Detalle'!$H14,G$9&gt;='Detalle'!$G14),1,"")</x:f>
      </x:c>
      <x:c r="H21" s="32" t="str">
        <x:f>IF(AND(H$8&lt;='Detalle'!$H14,H$9&gt;='Detalle'!$G14),1,"")</x:f>
      </x:c>
      <x:c r="I21" s="32" t="str">
        <x:f>IF(AND(I$8&lt;='Detalle'!$H14,I$9&gt;='Detalle'!$G14),1,"")</x:f>
      </x:c>
      <x:c r="J21" s="32" t="str">
        <x:f>IF(AND(J$8&lt;='Detalle'!$H14,J$9&gt;='Detalle'!$G14),1,"")</x:f>
      </x:c>
      <x:c r="K21" s="32" t="str">
        <x:f>IF(AND(K$8&lt;='Detalle'!$H14,K$9&gt;='Detalle'!$G14),1,"")</x:f>
      </x:c>
      <x:c r="L21" s="32" t="str">
        <x:f>IF(AND(L$8&lt;='Detalle'!$H14,L$9&gt;='Detalle'!$G14),1,"")</x:f>
      </x:c>
      <x:c r="M21" s="32" t="str">
        <x:f>IF(AND(M$8&lt;='Detalle'!$H14,M$9&gt;='Detalle'!$G14),1,"")</x:f>
      </x:c>
      <x:c r="N21" s="32" t="str">
        <x:f>IF(AND(N$8&lt;='Detalle'!$H14,N$9&gt;='Detalle'!$G14),1,"")</x:f>
      </x:c>
      <x:c r="O21" s="32" t="str">
        <x:f>IF(AND(O$8&lt;='Detalle'!$H14,O$9&gt;='Detalle'!$G14),1,"")</x:f>
      </x:c>
      <x:c r="P21" s="32" t="str">
        <x:f>IF(AND(P$8&lt;='Detalle'!$H14,P$9&gt;='Detalle'!$G14),1,"")</x:f>
      </x:c>
      <x:c r="Q21" s="68"/>
      <x:c r="R21" s="67" t="str">
        <x:f>IF('Detalle'!M14="","",'Detalle'!M14)</x:f>
      </x:c>
      <x:c r="S21" s="67" t="str">
        <x:f>IF('Detalle'!N14="","",'Detalle'!N14)</x:f>
      </x:c>
    </x:row>
    <x:row r="22" ht="16" customHeight="1">
      <x:c r="A22" s="56" t="str">
        <x:v>INV01.006</x:v>
      </x:c>
      <x:c r="B22" s="57" t="str">
        <x:v>Definir funciones de administración</x:v>
      </x:c>
      <x:c r="C22" s="63" t="str">
        <x:v>R</x:v>
      </x:c>
      <x:c r="D22" s="65" t="str">
        <x:f>IF('Detalle'!L14="","",'Detalle'!L14)</x:f>
      </x:c>
      <x:c r="E22" s="60" t="str"/>
      <x:c r="F22" s="32" t="str">
        <x:f>IF(OR('Detalle'!$J14="",'Detalle'!$K14="",'Detalle'!$L14=""),"",IF(AND(F$8&lt;='Detalle'!$K14,F$9&gt;='Detalle'!$J14),1,""))</x:f>
      </x:c>
      <x:c r="G22" s="32" t="str">
        <x:f>IF(OR('Detalle'!$J14="",'Detalle'!$K14="",'Detalle'!$L14=""),"",IF(AND(G$8&lt;='Detalle'!$K14,G$9&gt;='Detalle'!$J14),1,""))</x:f>
      </x:c>
      <x:c r="H22" s="32" t="str">
        <x:f>IF(OR('Detalle'!$J14="",'Detalle'!$K14="",'Detalle'!$L14=""),"",IF(AND(H$8&lt;='Detalle'!$K14,H$9&gt;='Detalle'!$J14),1,""))</x:f>
      </x:c>
      <x:c r="I22" s="32" t="str">
        <x:f>IF(OR('Detalle'!$J14="",'Detalle'!$K14="",'Detalle'!$L14=""),"",IF(AND(I$8&lt;='Detalle'!$K14,I$9&gt;='Detalle'!$J14),1,""))</x:f>
      </x:c>
      <x:c r="J22" s="32" t="str">
        <x:f>IF(OR('Detalle'!$J14="",'Detalle'!$K14="",'Detalle'!$L14=""),"",IF(AND(J$8&lt;='Detalle'!$K14,J$9&gt;='Detalle'!$J14),1,""))</x:f>
      </x:c>
      <x:c r="K22" s="32" t="str">
        <x:f>IF(OR('Detalle'!$J14="",'Detalle'!$K14="",'Detalle'!$L14=""),"",IF(AND(K$8&lt;='Detalle'!$K14,K$9&gt;='Detalle'!$J14),1,""))</x:f>
      </x:c>
      <x:c r="L22" s="32" t="str">
        <x:f>IF(OR('Detalle'!$J14="",'Detalle'!$K14="",'Detalle'!$L14=""),"",IF(AND(L$8&lt;='Detalle'!$K14,L$9&gt;='Detalle'!$J14),1,""))</x:f>
      </x:c>
      <x:c r="M22" s="32" t="str">
        <x:f>IF(OR('Detalle'!$J14="",'Detalle'!$K14="",'Detalle'!$L14=""),"",IF(AND(M$8&lt;='Detalle'!$K14,M$9&gt;='Detalle'!$J14),1,""))</x:f>
      </x:c>
      <x:c r="N22" s="32" t="str">
        <x:f>IF(OR('Detalle'!$J14="",'Detalle'!$K14="",'Detalle'!$L14=""),"",IF(AND(N$8&lt;='Detalle'!$K14,N$9&gt;='Detalle'!$J14),1,""))</x:f>
      </x:c>
      <x:c r="O22" s="32" t="str">
        <x:f>IF(OR('Detalle'!$J14="",'Detalle'!$K14="",'Detalle'!$L14=""),"",IF(AND(O$8&lt;='Detalle'!$K14,O$9&gt;='Detalle'!$J14),1,""))</x:f>
      </x:c>
      <x:c r="P22" s="32" t="str">
        <x:f>IF(OR('Detalle'!$J14="",'Detalle'!$K14="",'Detalle'!$L14=""),"",IF(AND(P$8&lt;='Detalle'!$K14,P$9&gt;='Detalle'!$J14),1,""))</x:f>
      </x:c>
      <x:c r="Q22" s="68"/>
      <x:c r="R22" s="67" t="str"/>
      <x:c r="S22" s="67" t="str"/>
    </x:row>
    <x:row r="23" ht="16" customHeight="1">
      <x:c r="A23" s="56" t="str">
        <x:v>INV01.007</x:v>
      </x:c>
      <x:c r="B23" s="57" t="str">
        <x:v>Inventariar requisitos funcionales</x:v>
      </x:c>
      <x:c r="C23" s="62" t="str">
        <x:v>E</x:v>
      </x:c>
      <x:c r="D23" s="64" t="n">
        <x:f>'Detalle'!I15</x:f>
        <x:v>1</x:v>
      </x:c>
      <x:c r="E23" s="60" t="str">
        <x:f>'Detalle'!F15</x:f>
        <x:v>Completado</x:v>
      </x:c>
      <x:c r="F23" s="32" t="n">
        <x:f>IF(AND(F$8&lt;='Detalle'!$H15,F$9&gt;='Detalle'!$G15),1,"")</x:f>
        <x:v>1</x:v>
      </x:c>
      <x:c r="G23" s="32" t="str">
        <x:f>IF(AND(G$8&lt;='Detalle'!$H15,G$9&gt;='Detalle'!$G15),1,"")</x:f>
      </x:c>
      <x:c r="H23" s="32" t="str">
        <x:f>IF(AND(H$8&lt;='Detalle'!$H15,H$9&gt;='Detalle'!$G15),1,"")</x:f>
      </x:c>
      <x:c r="I23" s="32" t="str">
        <x:f>IF(AND(I$8&lt;='Detalle'!$H15,I$9&gt;='Detalle'!$G15),1,"")</x:f>
      </x:c>
      <x:c r="J23" s="32" t="str">
        <x:f>IF(AND(J$8&lt;='Detalle'!$H15,J$9&gt;='Detalle'!$G15),1,"")</x:f>
      </x:c>
      <x:c r="K23" s="32" t="str">
        <x:f>IF(AND(K$8&lt;='Detalle'!$H15,K$9&gt;='Detalle'!$G15),1,"")</x:f>
      </x:c>
      <x:c r="L23" s="32" t="str">
        <x:f>IF(AND(L$8&lt;='Detalle'!$H15,L$9&gt;='Detalle'!$G15),1,"")</x:f>
      </x:c>
      <x:c r="M23" s="32" t="str">
        <x:f>IF(AND(M$8&lt;='Detalle'!$H15,M$9&gt;='Detalle'!$G15),1,"")</x:f>
      </x:c>
      <x:c r="N23" s="32" t="str">
        <x:f>IF(AND(N$8&lt;='Detalle'!$H15,N$9&gt;='Detalle'!$G15),1,"")</x:f>
      </x:c>
      <x:c r="O23" s="32" t="str">
        <x:f>IF(AND(O$8&lt;='Detalle'!$H15,O$9&gt;='Detalle'!$G15),1,"")</x:f>
      </x:c>
      <x:c r="P23" s="32" t="str">
        <x:f>IF(AND(P$8&lt;='Detalle'!$H15,P$9&gt;='Detalle'!$G15),1,"")</x:f>
      </x:c>
      <x:c r="Q23" s="68"/>
      <x:c r="R23" s="67" t="str">
        <x:f>IF('Detalle'!M15="","",'Detalle'!M15)</x:f>
      </x:c>
      <x:c r="S23" s="67" t="str">
        <x:f>IF('Detalle'!N15="","",'Detalle'!N15)</x:f>
      </x:c>
    </x:row>
    <x:row r="24" ht="16" customHeight="1">
      <x:c r="A24" s="56" t="str">
        <x:v>INV01.007</x:v>
      </x:c>
      <x:c r="B24" s="57" t="str">
        <x:v>Inventariar requisitos funcionales</x:v>
      </x:c>
      <x:c r="C24" s="63" t="str">
        <x:v>R</x:v>
      </x:c>
      <x:c r="D24" s="65" t="str">
        <x:f>IF('Detalle'!L15="","",'Detalle'!L15)</x:f>
      </x:c>
      <x:c r="E24" s="60" t="str"/>
      <x:c r="F24" s="32" t="str">
        <x:f>IF(OR('Detalle'!$J15="",'Detalle'!$K15="",'Detalle'!$L15=""),"",IF(AND(F$8&lt;='Detalle'!$K15,F$9&gt;='Detalle'!$J15),1,""))</x:f>
      </x:c>
      <x:c r="G24" s="32" t="str">
        <x:f>IF(OR('Detalle'!$J15="",'Detalle'!$K15="",'Detalle'!$L15=""),"",IF(AND(G$8&lt;='Detalle'!$K15,G$9&gt;='Detalle'!$J15),1,""))</x:f>
      </x:c>
      <x:c r="H24" s="32" t="str">
        <x:f>IF(OR('Detalle'!$J15="",'Detalle'!$K15="",'Detalle'!$L15=""),"",IF(AND(H$8&lt;='Detalle'!$K15,H$9&gt;='Detalle'!$J15),1,""))</x:f>
      </x:c>
      <x:c r="I24" s="32" t="str">
        <x:f>IF(OR('Detalle'!$J15="",'Detalle'!$K15="",'Detalle'!$L15=""),"",IF(AND(I$8&lt;='Detalle'!$K15,I$9&gt;='Detalle'!$J15),1,""))</x:f>
      </x:c>
      <x:c r="J24" s="32" t="str">
        <x:f>IF(OR('Detalle'!$J15="",'Detalle'!$K15="",'Detalle'!$L15=""),"",IF(AND(J$8&lt;='Detalle'!$K15,J$9&gt;='Detalle'!$J15),1,""))</x:f>
      </x:c>
      <x:c r="K24" s="32" t="str">
        <x:f>IF(OR('Detalle'!$J15="",'Detalle'!$K15="",'Detalle'!$L15=""),"",IF(AND(K$8&lt;='Detalle'!$K15,K$9&gt;='Detalle'!$J15),1,""))</x:f>
      </x:c>
      <x:c r="L24" s="32" t="str">
        <x:f>IF(OR('Detalle'!$J15="",'Detalle'!$K15="",'Detalle'!$L15=""),"",IF(AND(L$8&lt;='Detalle'!$K15,L$9&gt;='Detalle'!$J15),1,""))</x:f>
      </x:c>
      <x:c r="M24" s="32" t="str">
        <x:f>IF(OR('Detalle'!$J15="",'Detalle'!$K15="",'Detalle'!$L15=""),"",IF(AND(M$8&lt;='Detalle'!$K15,M$9&gt;='Detalle'!$J15),1,""))</x:f>
      </x:c>
      <x:c r="N24" s="32" t="str">
        <x:f>IF(OR('Detalle'!$J15="",'Detalle'!$K15="",'Detalle'!$L15=""),"",IF(AND(N$8&lt;='Detalle'!$K15,N$9&gt;='Detalle'!$J15),1,""))</x:f>
      </x:c>
      <x:c r="O24" s="32" t="str">
        <x:f>IF(OR('Detalle'!$J15="",'Detalle'!$K15="",'Detalle'!$L15=""),"",IF(AND(O$8&lt;='Detalle'!$K15,O$9&gt;='Detalle'!$J15),1,""))</x:f>
      </x:c>
      <x:c r="P24" s="32" t="str">
        <x:f>IF(OR('Detalle'!$J15="",'Detalle'!$K15="",'Detalle'!$L15=""),"",IF(AND(P$8&lt;='Detalle'!$K15,P$9&gt;='Detalle'!$J15),1,""))</x:f>
      </x:c>
      <x:c r="Q24" s="68"/>
      <x:c r="R24" s="67" t="str"/>
      <x:c r="S24" s="67" t="str"/>
    </x:row>
    <x:row r="25" ht="16" customHeight="1">
      <x:c r="A25" s="56" t="str">
        <x:v>INV01.008</x:v>
      </x:c>
      <x:c r="B25" s="57" t="str">
        <x:v>Inventariar requisitos no funcionales</x:v>
      </x:c>
      <x:c r="C25" s="62" t="str">
        <x:v>E</x:v>
      </x:c>
      <x:c r="D25" s="64" t="n">
        <x:f>'Detalle'!I16</x:f>
        <x:v>1</x:v>
      </x:c>
      <x:c r="E25" s="60" t="str">
        <x:f>'Detalle'!F16</x:f>
        <x:v>Completado</x:v>
      </x:c>
      <x:c r="F25" s="32" t="n">
        <x:f>IF(AND(F$8&lt;='Detalle'!$H16,F$9&gt;='Detalle'!$G16),1,"")</x:f>
        <x:v>1</x:v>
      </x:c>
      <x:c r="G25" s="32" t="str">
        <x:f>IF(AND(G$8&lt;='Detalle'!$H16,G$9&gt;='Detalle'!$G16),1,"")</x:f>
      </x:c>
      <x:c r="H25" s="32" t="str">
        <x:f>IF(AND(H$8&lt;='Detalle'!$H16,H$9&gt;='Detalle'!$G16),1,"")</x:f>
      </x:c>
      <x:c r="I25" s="32" t="str">
        <x:f>IF(AND(I$8&lt;='Detalle'!$H16,I$9&gt;='Detalle'!$G16),1,"")</x:f>
      </x:c>
      <x:c r="J25" s="32" t="str">
        <x:f>IF(AND(J$8&lt;='Detalle'!$H16,J$9&gt;='Detalle'!$G16),1,"")</x:f>
      </x:c>
      <x:c r="K25" s="32" t="str">
        <x:f>IF(AND(K$8&lt;='Detalle'!$H16,K$9&gt;='Detalle'!$G16),1,"")</x:f>
      </x:c>
      <x:c r="L25" s="32" t="str">
        <x:f>IF(AND(L$8&lt;='Detalle'!$H16,L$9&gt;='Detalle'!$G16),1,"")</x:f>
      </x:c>
      <x:c r="M25" s="32" t="str">
        <x:f>IF(AND(M$8&lt;='Detalle'!$H16,M$9&gt;='Detalle'!$G16),1,"")</x:f>
      </x:c>
      <x:c r="N25" s="32" t="str">
        <x:f>IF(AND(N$8&lt;='Detalle'!$H16,N$9&gt;='Detalle'!$G16),1,"")</x:f>
      </x:c>
      <x:c r="O25" s="32" t="str">
        <x:f>IF(AND(O$8&lt;='Detalle'!$H16,O$9&gt;='Detalle'!$G16),1,"")</x:f>
      </x:c>
      <x:c r="P25" s="32" t="str">
        <x:f>IF(AND(P$8&lt;='Detalle'!$H16,P$9&gt;='Detalle'!$G16),1,"")</x:f>
      </x:c>
      <x:c r="Q25" s="68"/>
      <x:c r="R25" s="67" t="str">
        <x:f>IF('Detalle'!M16="","",'Detalle'!M16)</x:f>
      </x:c>
      <x:c r="S25" s="67" t="str">
        <x:f>IF('Detalle'!N16="","",'Detalle'!N16)</x:f>
      </x:c>
    </x:row>
    <x:row r="26" ht="16" customHeight="1">
      <x:c r="A26" s="56" t="str">
        <x:v>INV01.008</x:v>
      </x:c>
      <x:c r="B26" s="57" t="str">
        <x:v>Inventariar requisitos no funcionales</x:v>
      </x:c>
      <x:c r="C26" s="63" t="str">
        <x:v>R</x:v>
      </x:c>
      <x:c r="D26" s="65" t="str">
        <x:f>IF('Detalle'!L16="","",'Detalle'!L16)</x:f>
      </x:c>
      <x:c r="E26" s="60" t="str"/>
      <x:c r="F26" s="32" t="str">
        <x:f>IF(OR('Detalle'!$J16="",'Detalle'!$K16="",'Detalle'!$L16=""),"",IF(AND(F$8&lt;='Detalle'!$K16,F$9&gt;='Detalle'!$J16),1,""))</x:f>
      </x:c>
      <x:c r="G26" s="32" t="str">
        <x:f>IF(OR('Detalle'!$J16="",'Detalle'!$K16="",'Detalle'!$L16=""),"",IF(AND(G$8&lt;='Detalle'!$K16,G$9&gt;='Detalle'!$J16),1,""))</x:f>
      </x:c>
      <x:c r="H26" s="32" t="str">
        <x:f>IF(OR('Detalle'!$J16="",'Detalle'!$K16="",'Detalle'!$L16=""),"",IF(AND(H$8&lt;='Detalle'!$K16,H$9&gt;='Detalle'!$J16),1,""))</x:f>
      </x:c>
      <x:c r="I26" s="32" t="str">
        <x:f>IF(OR('Detalle'!$J16="",'Detalle'!$K16="",'Detalle'!$L16=""),"",IF(AND(I$8&lt;='Detalle'!$K16,I$9&gt;='Detalle'!$J16),1,""))</x:f>
      </x:c>
      <x:c r="J26" s="32" t="str">
        <x:f>IF(OR('Detalle'!$J16="",'Detalle'!$K16="",'Detalle'!$L16=""),"",IF(AND(J$8&lt;='Detalle'!$K16,J$9&gt;='Detalle'!$J16),1,""))</x:f>
      </x:c>
      <x:c r="K26" s="32" t="str">
        <x:f>IF(OR('Detalle'!$J16="",'Detalle'!$K16="",'Detalle'!$L16=""),"",IF(AND(K$8&lt;='Detalle'!$K16,K$9&gt;='Detalle'!$J16),1,""))</x:f>
      </x:c>
      <x:c r="L26" s="32" t="str">
        <x:f>IF(OR('Detalle'!$J16="",'Detalle'!$K16="",'Detalle'!$L16=""),"",IF(AND(L$8&lt;='Detalle'!$K16,L$9&gt;='Detalle'!$J16),1,""))</x:f>
      </x:c>
      <x:c r="M26" s="32" t="str">
        <x:f>IF(OR('Detalle'!$J16="",'Detalle'!$K16="",'Detalle'!$L16=""),"",IF(AND(M$8&lt;='Detalle'!$K16,M$9&gt;='Detalle'!$J16),1,""))</x:f>
      </x:c>
      <x:c r="N26" s="32" t="str">
        <x:f>IF(OR('Detalle'!$J16="",'Detalle'!$K16="",'Detalle'!$L16=""),"",IF(AND(N$8&lt;='Detalle'!$K16,N$9&gt;='Detalle'!$J16),1,""))</x:f>
      </x:c>
      <x:c r="O26" s="32" t="str">
        <x:f>IF(OR('Detalle'!$J16="",'Detalle'!$K16="",'Detalle'!$L16=""),"",IF(AND(O$8&lt;='Detalle'!$K16,O$9&gt;='Detalle'!$J16),1,""))</x:f>
      </x:c>
      <x:c r="P26" s="32" t="str">
        <x:f>IF(OR('Detalle'!$J16="",'Detalle'!$K16="",'Detalle'!$L16=""),"",IF(AND(P$8&lt;='Detalle'!$K16,P$9&gt;='Detalle'!$J16),1,""))</x:f>
      </x:c>
      <x:c r="Q26" s="68"/>
      <x:c r="R26" s="67" t="str"/>
      <x:c r="S26" s="67" t="str"/>
    </x:row>
    <x:row r="27" ht="16" customHeight="1">
      <x:c r="A27" s="56" t="str">
        <x:v>INV01.009</x:v>
      </x:c>
      <x:c r="B27" s="57" t="str">
        <x:v>Delimitar el primer MVP</x:v>
      </x:c>
      <x:c r="C27" s="62" t="str">
        <x:v>E</x:v>
      </x:c>
      <x:c r="D27" s="64" t="n">
        <x:f>'Detalle'!I17</x:f>
        <x:v>1</x:v>
      </x:c>
      <x:c r="E27" s="60" t="str">
        <x:f>'Detalle'!F17</x:f>
        <x:v>Completado</x:v>
      </x:c>
      <x:c r="F27" s="32" t="n">
        <x:f>IF(AND(F$8&lt;='Detalle'!$H17,F$9&gt;='Detalle'!$G17),1,"")</x:f>
        <x:v>1</x:v>
      </x:c>
      <x:c r="G27" s="32" t="str">
        <x:f>IF(AND(G$8&lt;='Detalle'!$H17,G$9&gt;='Detalle'!$G17),1,"")</x:f>
      </x:c>
      <x:c r="H27" s="32" t="str">
        <x:f>IF(AND(H$8&lt;='Detalle'!$H17,H$9&gt;='Detalle'!$G17),1,"")</x:f>
      </x:c>
      <x:c r="I27" s="32" t="str">
        <x:f>IF(AND(I$8&lt;='Detalle'!$H17,I$9&gt;='Detalle'!$G17),1,"")</x:f>
      </x:c>
      <x:c r="J27" s="32" t="str">
        <x:f>IF(AND(J$8&lt;='Detalle'!$H17,J$9&gt;='Detalle'!$G17),1,"")</x:f>
      </x:c>
      <x:c r="K27" s="32" t="str">
        <x:f>IF(AND(K$8&lt;='Detalle'!$H17,K$9&gt;='Detalle'!$G17),1,"")</x:f>
      </x:c>
      <x:c r="L27" s="32" t="str">
        <x:f>IF(AND(L$8&lt;='Detalle'!$H17,L$9&gt;='Detalle'!$G17),1,"")</x:f>
      </x:c>
      <x:c r="M27" s="32" t="str">
        <x:f>IF(AND(M$8&lt;='Detalle'!$H17,M$9&gt;='Detalle'!$G17),1,"")</x:f>
      </x:c>
      <x:c r="N27" s="32" t="str">
        <x:f>IF(AND(N$8&lt;='Detalle'!$H17,N$9&gt;='Detalle'!$G17),1,"")</x:f>
      </x:c>
      <x:c r="O27" s="32" t="str">
        <x:f>IF(AND(O$8&lt;='Detalle'!$H17,O$9&gt;='Detalle'!$G17),1,"")</x:f>
      </x:c>
      <x:c r="P27" s="32" t="str">
        <x:f>IF(AND(P$8&lt;='Detalle'!$H17,P$9&gt;='Detalle'!$G17),1,"")</x:f>
      </x:c>
      <x:c r="Q27" s="68"/>
      <x:c r="R27" s="67" t="str">
        <x:f>IF('Detalle'!M17="","",'Detalle'!M17)</x:f>
      </x:c>
      <x:c r="S27" s="67" t="str">
        <x:f>IF('Detalle'!N17="","",'Detalle'!N17)</x:f>
      </x:c>
    </x:row>
    <x:row r="28" ht="16" customHeight="1">
      <x:c r="A28" s="56" t="str">
        <x:v>INV01.009</x:v>
      </x:c>
      <x:c r="B28" s="57" t="str">
        <x:v>Delimitar el primer MVP</x:v>
      </x:c>
      <x:c r="C28" s="63" t="str">
        <x:v>R</x:v>
      </x:c>
      <x:c r="D28" s="65" t="str">
        <x:f>IF('Detalle'!L17="","",'Detalle'!L17)</x:f>
      </x:c>
      <x:c r="E28" s="60" t="str"/>
      <x:c r="F28" s="32" t="str">
        <x:f>IF(OR('Detalle'!$J17="",'Detalle'!$K17="",'Detalle'!$L17=""),"",IF(AND(F$8&lt;='Detalle'!$K17,F$9&gt;='Detalle'!$J17),1,""))</x:f>
      </x:c>
      <x:c r="G28" s="32" t="str">
        <x:f>IF(OR('Detalle'!$J17="",'Detalle'!$K17="",'Detalle'!$L17=""),"",IF(AND(G$8&lt;='Detalle'!$K17,G$9&gt;='Detalle'!$J17),1,""))</x:f>
      </x:c>
      <x:c r="H28" s="32" t="str">
        <x:f>IF(OR('Detalle'!$J17="",'Detalle'!$K17="",'Detalle'!$L17=""),"",IF(AND(H$8&lt;='Detalle'!$K17,H$9&gt;='Detalle'!$J17),1,""))</x:f>
      </x:c>
      <x:c r="I28" s="32" t="str">
        <x:f>IF(OR('Detalle'!$J17="",'Detalle'!$K17="",'Detalle'!$L17=""),"",IF(AND(I$8&lt;='Detalle'!$K17,I$9&gt;='Detalle'!$J17),1,""))</x:f>
      </x:c>
      <x:c r="J28" s="32" t="str">
        <x:f>IF(OR('Detalle'!$J17="",'Detalle'!$K17="",'Detalle'!$L17=""),"",IF(AND(J$8&lt;='Detalle'!$K17,J$9&gt;='Detalle'!$J17),1,""))</x:f>
      </x:c>
      <x:c r="K28" s="32" t="str">
        <x:f>IF(OR('Detalle'!$J17="",'Detalle'!$K17="",'Detalle'!$L17=""),"",IF(AND(K$8&lt;='Detalle'!$K17,K$9&gt;='Detalle'!$J17),1,""))</x:f>
      </x:c>
      <x:c r="L28" s="32" t="str">
        <x:f>IF(OR('Detalle'!$J17="",'Detalle'!$K17="",'Detalle'!$L17=""),"",IF(AND(L$8&lt;='Detalle'!$K17,L$9&gt;='Detalle'!$J17),1,""))</x:f>
      </x:c>
      <x:c r="M28" s="32" t="str">
        <x:f>IF(OR('Detalle'!$J17="",'Detalle'!$K17="",'Detalle'!$L17=""),"",IF(AND(M$8&lt;='Detalle'!$K17,M$9&gt;='Detalle'!$J17),1,""))</x:f>
      </x:c>
      <x:c r="N28" s="32" t="str">
        <x:f>IF(OR('Detalle'!$J17="",'Detalle'!$K17="",'Detalle'!$L17=""),"",IF(AND(N$8&lt;='Detalle'!$K17,N$9&gt;='Detalle'!$J17),1,""))</x:f>
      </x:c>
      <x:c r="O28" s="32" t="str">
        <x:f>IF(OR('Detalle'!$J17="",'Detalle'!$K17="",'Detalle'!$L17=""),"",IF(AND(O$8&lt;='Detalle'!$K17,O$9&gt;='Detalle'!$J17),1,""))</x:f>
      </x:c>
      <x:c r="P28" s="32" t="str">
        <x:f>IF(OR('Detalle'!$J17="",'Detalle'!$K17="",'Detalle'!$L17=""),"",IF(AND(P$8&lt;='Detalle'!$K17,P$9&gt;='Detalle'!$J17),1,""))</x:f>
      </x:c>
      <x:c r="Q28" s="68"/>
      <x:c r="R28" s="67" t="str"/>
      <x:c r="S28" s="67" t="str"/>
    </x:row>
    <x:row r="29" ht="16" customHeight="1">
      <x:c r="A29" s="56" t="str">
        <x:v>INV01.010</x:v>
      </x:c>
      <x:c r="B29" s="57" t="str">
        <x:v>Definir límites de alcance</x:v>
      </x:c>
      <x:c r="C29" s="62" t="str">
        <x:v>E</x:v>
      </x:c>
      <x:c r="D29" s="64" t="n">
        <x:f>'Detalle'!I18</x:f>
        <x:v>1</x:v>
      </x:c>
      <x:c r="E29" s="60" t="str">
        <x:f>'Detalle'!F18</x:f>
        <x:v>Completado</x:v>
      </x:c>
      <x:c r="F29" s="32" t="n">
        <x:f>IF(AND(F$8&lt;='Detalle'!$H18,F$9&gt;='Detalle'!$G18),1,"")</x:f>
        <x:v>1</x:v>
      </x:c>
      <x:c r="G29" s="32" t="str">
        <x:f>IF(AND(G$8&lt;='Detalle'!$H18,G$9&gt;='Detalle'!$G18),1,"")</x:f>
      </x:c>
      <x:c r="H29" s="32" t="str">
        <x:f>IF(AND(H$8&lt;='Detalle'!$H18,H$9&gt;='Detalle'!$G18),1,"")</x:f>
      </x:c>
      <x:c r="I29" s="32" t="str">
        <x:f>IF(AND(I$8&lt;='Detalle'!$H18,I$9&gt;='Detalle'!$G18),1,"")</x:f>
      </x:c>
      <x:c r="J29" s="32" t="str">
        <x:f>IF(AND(J$8&lt;='Detalle'!$H18,J$9&gt;='Detalle'!$G18),1,"")</x:f>
      </x:c>
      <x:c r="K29" s="32" t="str">
        <x:f>IF(AND(K$8&lt;='Detalle'!$H18,K$9&gt;='Detalle'!$G18),1,"")</x:f>
      </x:c>
      <x:c r="L29" s="32" t="str">
        <x:f>IF(AND(L$8&lt;='Detalle'!$H18,L$9&gt;='Detalle'!$G18),1,"")</x:f>
      </x:c>
      <x:c r="M29" s="32" t="str">
        <x:f>IF(AND(M$8&lt;='Detalle'!$H18,M$9&gt;='Detalle'!$G18),1,"")</x:f>
      </x:c>
      <x:c r="N29" s="32" t="str">
        <x:f>IF(AND(N$8&lt;='Detalle'!$H18,N$9&gt;='Detalle'!$G18),1,"")</x:f>
      </x:c>
      <x:c r="O29" s="32" t="str">
        <x:f>IF(AND(O$8&lt;='Detalle'!$H18,O$9&gt;='Detalle'!$G18),1,"")</x:f>
      </x:c>
      <x:c r="P29" s="32" t="str">
        <x:f>IF(AND(P$8&lt;='Detalle'!$H18,P$9&gt;='Detalle'!$G18),1,"")</x:f>
      </x:c>
      <x:c r="Q29" s="68"/>
      <x:c r="R29" s="67" t="str">
        <x:f>IF('Detalle'!M18="","",'Detalle'!M18)</x:f>
      </x:c>
      <x:c r="S29" s="67" t="str">
        <x:f>IF('Detalle'!N18="","",'Detalle'!N18)</x:f>
      </x:c>
    </x:row>
    <x:row r="30" ht="16" customHeight="1">
      <x:c r="A30" s="56" t="str">
        <x:v>INV01.010</x:v>
      </x:c>
      <x:c r="B30" s="57" t="str">
        <x:v>Definir límites de alcance</x:v>
      </x:c>
      <x:c r="C30" s="63" t="str">
        <x:v>R</x:v>
      </x:c>
      <x:c r="D30" s="65" t="str">
        <x:f>IF('Detalle'!L18="","",'Detalle'!L18)</x:f>
      </x:c>
      <x:c r="E30" s="60" t="str"/>
      <x:c r="F30" s="32" t="str">
        <x:f>IF(OR('Detalle'!$J18="",'Detalle'!$K18="",'Detalle'!$L18=""),"",IF(AND(F$8&lt;='Detalle'!$K18,F$9&gt;='Detalle'!$J18),1,""))</x:f>
      </x:c>
      <x:c r="G30" s="32" t="str">
        <x:f>IF(OR('Detalle'!$J18="",'Detalle'!$K18="",'Detalle'!$L18=""),"",IF(AND(G$8&lt;='Detalle'!$K18,G$9&gt;='Detalle'!$J18),1,""))</x:f>
      </x:c>
      <x:c r="H30" s="32" t="str">
        <x:f>IF(OR('Detalle'!$J18="",'Detalle'!$K18="",'Detalle'!$L18=""),"",IF(AND(H$8&lt;='Detalle'!$K18,H$9&gt;='Detalle'!$J18),1,""))</x:f>
      </x:c>
      <x:c r="I30" s="32" t="str">
        <x:f>IF(OR('Detalle'!$J18="",'Detalle'!$K18="",'Detalle'!$L18=""),"",IF(AND(I$8&lt;='Detalle'!$K18,I$9&gt;='Detalle'!$J18),1,""))</x:f>
      </x:c>
      <x:c r="J30" s="32" t="str">
        <x:f>IF(OR('Detalle'!$J18="",'Detalle'!$K18="",'Detalle'!$L18=""),"",IF(AND(J$8&lt;='Detalle'!$K18,J$9&gt;='Detalle'!$J18),1,""))</x:f>
      </x:c>
      <x:c r="K30" s="32" t="str">
        <x:f>IF(OR('Detalle'!$J18="",'Detalle'!$K18="",'Detalle'!$L18=""),"",IF(AND(K$8&lt;='Detalle'!$K18,K$9&gt;='Detalle'!$J18),1,""))</x:f>
      </x:c>
      <x:c r="L30" s="32" t="str">
        <x:f>IF(OR('Detalle'!$J18="",'Detalle'!$K18="",'Detalle'!$L18=""),"",IF(AND(L$8&lt;='Detalle'!$K18,L$9&gt;='Detalle'!$J18),1,""))</x:f>
      </x:c>
      <x:c r="M30" s="32" t="str">
        <x:f>IF(OR('Detalle'!$J18="",'Detalle'!$K18="",'Detalle'!$L18=""),"",IF(AND(M$8&lt;='Detalle'!$K18,M$9&gt;='Detalle'!$J18),1,""))</x:f>
      </x:c>
      <x:c r="N30" s="32" t="str">
        <x:f>IF(OR('Detalle'!$J18="",'Detalle'!$K18="",'Detalle'!$L18=""),"",IF(AND(N$8&lt;='Detalle'!$K18,N$9&gt;='Detalle'!$J18),1,""))</x:f>
      </x:c>
      <x:c r="O30" s="32" t="str">
        <x:f>IF(OR('Detalle'!$J18="",'Detalle'!$K18="",'Detalle'!$L18=""),"",IF(AND(O$8&lt;='Detalle'!$K18,O$9&gt;='Detalle'!$J18),1,""))</x:f>
      </x:c>
      <x:c r="P30" s="32" t="str">
        <x:f>IF(OR('Detalle'!$J18="",'Detalle'!$K18="",'Detalle'!$L18=""),"",IF(AND(P$8&lt;='Detalle'!$K18,P$9&gt;='Detalle'!$J18),1,""))</x:f>
      </x:c>
      <x:c r="Q30" s="68"/>
      <x:c r="R30" s="67" t="str"/>
      <x:c r="S30" s="67" t="str"/>
    </x:row>
    <x:row r="31" ht="16" customHeight="1">
      <x:c r="A31" s="56" t="str">
        <x:v>INV01.011</x:v>
      </x:c>
      <x:c r="B31" s="57" t="str">
        <x:v>Definir criterios de aceptación por módulo</x:v>
      </x:c>
      <x:c r="C31" s="62" t="str">
        <x:v>E</x:v>
      </x:c>
      <x:c r="D31" s="64" t="n">
        <x:f>'Detalle'!I19</x:f>
        <x:v>1</x:v>
      </x:c>
      <x:c r="E31" s="60" t="str">
        <x:f>'Detalle'!F19</x:f>
        <x:v>Completado</x:v>
      </x:c>
      <x:c r="F31" s="32" t="n">
        <x:f>IF(AND(F$8&lt;='Detalle'!$H19,F$9&gt;='Detalle'!$G19),1,"")</x:f>
        <x:v>1</x:v>
      </x:c>
      <x:c r="G31" s="32" t="str">
        <x:f>IF(AND(G$8&lt;='Detalle'!$H19,G$9&gt;='Detalle'!$G19),1,"")</x:f>
      </x:c>
      <x:c r="H31" s="32" t="str">
        <x:f>IF(AND(H$8&lt;='Detalle'!$H19,H$9&gt;='Detalle'!$G19),1,"")</x:f>
      </x:c>
      <x:c r="I31" s="32" t="str">
        <x:f>IF(AND(I$8&lt;='Detalle'!$H19,I$9&gt;='Detalle'!$G19),1,"")</x:f>
      </x:c>
      <x:c r="J31" s="32" t="str">
        <x:f>IF(AND(J$8&lt;='Detalle'!$H19,J$9&gt;='Detalle'!$G19),1,"")</x:f>
      </x:c>
      <x:c r="K31" s="32" t="str">
        <x:f>IF(AND(K$8&lt;='Detalle'!$H19,K$9&gt;='Detalle'!$G19),1,"")</x:f>
      </x:c>
      <x:c r="L31" s="32" t="str">
        <x:f>IF(AND(L$8&lt;='Detalle'!$H19,L$9&gt;='Detalle'!$G19),1,"")</x:f>
      </x:c>
      <x:c r="M31" s="32" t="str">
        <x:f>IF(AND(M$8&lt;='Detalle'!$H19,M$9&gt;='Detalle'!$G19),1,"")</x:f>
      </x:c>
      <x:c r="N31" s="32" t="str">
        <x:f>IF(AND(N$8&lt;='Detalle'!$H19,N$9&gt;='Detalle'!$G19),1,"")</x:f>
      </x:c>
      <x:c r="O31" s="32" t="str">
        <x:f>IF(AND(O$8&lt;='Detalle'!$H19,O$9&gt;='Detalle'!$G19),1,"")</x:f>
      </x:c>
      <x:c r="P31" s="32" t="str">
        <x:f>IF(AND(P$8&lt;='Detalle'!$H19,P$9&gt;='Detalle'!$G19),1,"")</x:f>
      </x:c>
      <x:c r="Q31" s="68"/>
      <x:c r="R31" s="67" t="str">
        <x:f>IF('Detalle'!M19="","",'Detalle'!M19)</x:f>
      </x:c>
      <x:c r="S31" s="67" t="str">
        <x:f>IF('Detalle'!N19="","",'Detalle'!N19)</x:f>
      </x:c>
    </x:row>
    <x:row r="32" ht="16" customHeight="1">
      <x:c r="A32" s="56" t="str">
        <x:v>INV01.011</x:v>
      </x:c>
      <x:c r="B32" s="57" t="str">
        <x:v>Definir criterios de aceptación por módulo</x:v>
      </x:c>
      <x:c r="C32" s="63" t="str">
        <x:v>R</x:v>
      </x:c>
      <x:c r="D32" s="65" t="str">
        <x:f>IF('Detalle'!L19="","",'Detalle'!L19)</x:f>
      </x:c>
      <x:c r="E32" s="60" t="str"/>
      <x:c r="F32" s="32" t="str">
        <x:f>IF(OR('Detalle'!$J19="",'Detalle'!$K19="",'Detalle'!$L19=""),"",IF(AND(F$8&lt;='Detalle'!$K19,F$9&gt;='Detalle'!$J19),1,""))</x:f>
      </x:c>
      <x:c r="G32" s="32" t="str">
        <x:f>IF(OR('Detalle'!$J19="",'Detalle'!$K19="",'Detalle'!$L19=""),"",IF(AND(G$8&lt;='Detalle'!$K19,G$9&gt;='Detalle'!$J19),1,""))</x:f>
      </x:c>
      <x:c r="H32" s="32" t="str">
        <x:f>IF(OR('Detalle'!$J19="",'Detalle'!$K19="",'Detalle'!$L19=""),"",IF(AND(H$8&lt;='Detalle'!$K19,H$9&gt;='Detalle'!$J19),1,""))</x:f>
      </x:c>
      <x:c r="I32" s="32" t="str">
        <x:f>IF(OR('Detalle'!$J19="",'Detalle'!$K19="",'Detalle'!$L19=""),"",IF(AND(I$8&lt;='Detalle'!$K19,I$9&gt;='Detalle'!$J19),1,""))</x:f>
      </x:c>
      <x:c r="J32" s="32" t="str">
        <x:f>IF(OR('Detalle'!$J19="",'Detalle'!$K19="",'Detalle'!$L19=""),"",IF(AND(J$8&lt;='Detalle'!$K19,J$9&gt;='Detalle'!$J19),1,""))</x:f>
      </x:c>
      <x:c r="K32" s="32" t="str">
        <x:f>IF(OR('Detalle'!$J19="",'Detalle'!$K19="",'Detalle'!$L19=""),"",IF(AND(K$8&lt;='Detalle'!$K19,K$9&gt;='Detalle'!$J19),1,""))</x:f>
      </x:c>
      <x:c r="L32" s="32" t="str">
        <x:f>IF(OR('Detalle'!$J19="",'Detalle'!$K19="",'Detalle'!$L19=""),"",IF(AND(L$8&lt;='Detalle'!$K19,L$9&gt;='Detalle'!$J19),1,""))</x:f>
      </x:c>
      <x:c r="M32" s="32" t="str">
        <x:f>IF(OR('Detalle'!$J19="",'Detalle'!$K19="",'Detalle'!$L19=""),"",IF(AND(M$8&lt;='Detalle'!$K19,M$9&gt;='Detalle'!$J19),1,""))</x:f>
      </x:c>
      <x:c r="N32" s="32" t="str">
        <x:f>IF(OR('Detalle'!$J19="",'Detalle'!$K19="",'Detalle'!$L19=""),"",IF(AND(N$8&lt;='Detalle'!$K19,N$9&gt;='Detalle'!$J19),1,""))</x:f>
      </x:c>
      <x:c r="O32" s="32" t="str">
        <x:f>IF(OR('Detalle'!$J19="",'Detalle'!$K19="",'Detalle'!$L19=""),"",IF(AND(O$8&lt;='Detalle'!$K19,O$9&gt;='Detalle'!$J19),1,""))</x:f>
      </x:c>
      <x:c r="P32" s="32" t="str">
        <x:f>IF(OR('Detalle'!$J19="",'Detalle'!$K19="",'Detalle'!$L19=""),"",IF(AND(P$8&lt;='Detalle'!$K19,P$9&gt;='Detalle'!$J19),1,""))</x:f>
      </x:c>
      <x:c r="Q32" s="68"/>
      <x:c r="R32" s="67" t="str"/>
      <x:c r="S32" s="67" t="str"/>
    </x:row>
    <x:row r="33" ht="16" customHeight="1">
      <x:c r="A33" s="56" t="str">
        <x:v>INV01.012</x:v>
      </x:c>
      <x:c r="B33" s="57" t="str">
        <x:v>Estudiar navegación social móvil y web</x:v>
      </x:c>
      <x:c r="C33" s="62" t="str">
        <x:v>E</x:v>
      </x:c>
      <x:c r="D33" s="64" t="n">
        <x:f>'Detalle'!I20</x:f>
        <x:v>1</x:v>
      </x:c>
      <x:c r="E33" s="60" t="str">
        <x:f>'Detalle'!F20</x:f>
        <x:v>Completado</x:v>
      </x:c>
      <x:c r="F33" s="32" t="n">
        <x:f>IF(AND(F$8&lt;='Detalle'!$H20,F$9&gt;='Detalle'!$G20),1,"")</x:f>
        <x:v>1</x:v>
      </x:c>
      <x:c r="G33" s="32" t="str">
        <x:f>IF(AND(G$8&lt;='Detalle'!$H20,G$9&gt;='Detalle'!$G20),1,"")</x:f>
      </x:c>
      <x:c r="H33" s="32" t="str">
        <x:f>IF(AND(H$8&lt;='Detalle'!$H20,H$9&gt;='Detalle'!$G20),1,"")</x:f>
      </x:c>
      <x:c r="I33" s="32" t="str">
        <x:f>IF(AND(I$8&lt;='Detalle'!$H20,I$9&gt;='Detalle'!$G20),1,"")</x:f>
      </x:c>
      <x:c r="J33" s="32" t="str">
        <x:f>IF(AND(J$8&lt;='Detalle'!$H20,J$9&gt;='Detalle'!$G20),1,"")</x:f>
      </x:c>
      <x:c r="K33" s="32" t="str">
        <x:f>IF(AND(K$8&lt;='Detalle'!$H20,K$9&gt;='Detalle'!$G20),1,"")</x:f>
      </x:c>
      <x:c r="L33" s="32" t="str">
        <x:f>IF(AND(L$8&lt;='Detalle'!$H20,L$9&gt;='Detalle'!$G20),1,"")</x:f>
      </x:c>
      <x:c r="M33" s="32" t="str">
        <x:f>IF(AND(M$8&lt;='Detalle'!$H20,M$9&gt;='Detalle'!$G20),1,"")</x:f>
      </x:c>
      <x:c r="N33" s="32" t="str">
        <x:f>IF(AND(N$8&lt;='Detalle'!$H20,N$9&gt;='Detalle'!$G20),1,"")</x:f>
      </x:c>
      <x:c r="O33" s="32" t="str">
        <x:f>IF(AND(O$8&lt;='Detalle'!$H20,O$9&gt;='Detalle'!$G20),1,"")</x:f>
      </x:c>
      <x:c r="P33" s="32" t="str">
        <x:f>IF(AND(P$8&lt;='Detalle'!$H20,P$9&gt;='Detalle'!$G20),1,"")</x:f>
      </x:c>
      <x:c r="Q33" s="68"/>
      <x:c r="R33" s="67" t="str">
        <x:f>IF('Detalle'!M20="","",'Detalle'!M20)</x:f>
      </x:c>
      <x:c r="S33" s="67" t="str">
        <x:f>IF('Detalle'!N20="","",'Detalle'!N20)</x:f>
      </x:c>
    </x:row>
    <x:row r="34" ht="16" customHeight="1">
      <x:c r="A34" s="56" t="str">
        <x:v>INV01.012</x:v>
      </x:c>
      <x:c r="B34" s="57" t="str">
        <x:v>Estudiar navegación social móvil y web</x:v>
      </x:c>
      <x:c r="C34" s="63" t="str">
        <x:v>R</x:v>
      </x:c>
      <x:c r="D34" s="65" t="str">
        <x:f>IF('Detalle'!L20="","",'Detalle'!L20)</x:f>
      </x:c>
      <x:c r="E34" s="60" t="str"/>
      <x:c r="F34" s="32" t="str">
        <x:f>IF(OR('Detalle'!$J20="",'Detalle'!$K20="",'Detalle'!$L20=""),"",IF(AND(F$8&lt;='Detalle'!$K20,F$9&gt;='Detalle'!$J20),1,""))</x:f>
      </x:c>
      <x:c r="G34" s="32" t="str">
        <x:f>IF(OR('Detalle'!$J20="",'Detalle'!$K20="",'Detalle'!$L20=""),"",IF(AND(G$8&lt;='Detalle'!$K20,G$9&gt;='Detalle'!$J20),1,""))</x:f>
      </x:c>
      <x:c r="H34" s="32" t="str">
        <x:f>IF(OR('Detalle'!$J20="",'Detalle'!$K20="",'Detalle'!$L20=""),"",IF(AND(H$8&lt;='Detalle'!$K20,H$9&gt;='Detalle'!$J20),1,""))</x:f>
      </x:c>
      <x:c r="I34" s="32" t="str">
        <x:f>IF(OR('Detalle'!$J20="",'Detalle'!$K20="",'Detalle'!$L20=""),"",IF(AND(I$8&lt;='Detalle'!$K20,I$9&gt;='Detalle'!$J20),1,""))</x:f>
      </x:c>
      <x:c r="J34" s="32" t="str">
        <x:f>IF(OR('Detalle'!$J20="",'Detalle'!$K20="",'Detalle'!$L20=""),"",IF(AND(J$8&lt;='Detalle'!$K20,J$9&gt;='Detalle'!$J20),1,""))</x:f>
      </x:c>
      <x:c r="K34" s="32" t="str">
        <x:f>IF(OR('Detalle'!$J20="",'Detalle'!$K20="",'Detalle'!$L20=""),"",IF(AND(K$8&lt;='Detalle'!$K20,K$9&gt;='Detalle'!$J20),1,""))</x:f>
      </x:c>
      <x:c r="L34" s="32" t="str">
        <x:f>IF(OR('Detalle'!$J20="",'Detalle'!$K20="",'Detalle'!$L20=""),"",IF(AND(L$8&lt;='Detalle'!$K20,L$9&gt;='Detalle'!$J20),1,""))</x:f>
      </x:c>
      <x:c r="M34" s="32" t="str">
        <x:f>IF(OR('Detalle'!$J20="",'Detalle'!$K20="",'Detalle'!$L20=""),"",IF(AND(M$8&lt;='Detalle'!$K20,M$9&gt;='Detalle'!$J20),1,""))</x:f>
      </x:c>
      <x:c r="N34" s="32" t="str">
        <x:f>IF(OR('Detalle'!$J20="",'Detalle'!$K20="",'Detalle'!$L20=""),"",IF(AND(N$8&lt;='Detalle'!$K20,N$9&gt;='Detalle'!$J20),1,""))</x:f>
      </x:c>
      <x:c r="O34" s="32" t="str">
        <x:f>IF(OR('Detalle'!$J20="",'Detalle'!$K20="",'Detalle'!$L20=""),"",IF(AND(O$8&lt;='Detalle'!$K20,O$9&gt;='Detalle'!$J20),1,""))</x:f>
      </x:c>
      <x:c r="P34" s="32" t="str">
        <x:f>IF(OR('Detalle'!$J20="",'Detalle'!$K20="",'Detalle'!$L20=""),"",IF(AND(P$8&lt;='Detalle'!$K20,P$9&gt;='Detalle'!$J20),1,""))</x:f>
      </x:c>
      <x:c r="Q34" s="68"/>
      <x:c r="R34" s="67" t="str"/>
      <x:c r="S34" s="67" t="str"/>
    </x:row>
    <x:row r="35" ht="20" customHeight="1">
      <x:c r="A35" s="52" t="str">
        <x:v>INV02 · Fundamentos de arquitectura, datos y seguridad</x:v>
      </x:c>
      <x:c r="B35" s="52" t="str">
        <x:v>INV02 · Fundamentos de arquitectura, datos y seguridad</x:v>
      </x:c>
      <x:c r="C35" s="52" t="str">
        <x:v>INV02 · Fundamentos de arquitectura, datos y seguridad</x:v>
      </x:c>
      <x:c r="D35" s="52" t="str">
        <x:v>INV02 · Fundamentos de arquitectura, datos y seguridad</x:v>
      </x:c>
      <x:c r="E35" s="52" t="str">
        <x:v>INV02 · Fundamentos de arquitectura, datos y seguridad</x:v>
      </x:c>
      <x:c r="F35" s="53" t="str">
        <x:v>INV02 · Fundamentos de arquitectura, datos y seguridad</x:v>
      </x:c>
      <x:c r="G35" s="53" t="str">
        <x:v>INV02 · Fundamentos de arquitectura, datos y seguridad</x:v>
      </x:c>
      <x:c r="H35" s="53" t="str">
        <x:v>INV02 · Fundamentos de arquitectura, datos y seguridad</x:v>
      </x:c>
      <x:c r="I35" s="53" t="str">
        <x:v>INV02 · Fundamentos de arquitectura, datos y seguridad</x:v>
      </x:c>
      <x:c r="J35" s="53" t="str">
        <x:v>INV02 · Fundamentos de arquitectura, datos y seguridad</x:v>
      </x:c>
      <x:c r="K35" s="53" t="str">
        <x:v>INV02 · Fundamentos de arquitectura, datos y seguridad</x:v>
      </x:c>
      <x:c r="L35" s="53" t="str">
        <x:v>INV02 · Fundamentos de arquitectura, datos y seguridad</x:v>
      </x:c>
      <x:c r="M35" s="53" t="str">
        <x:v>INV02 · Fundamentos de arquitectura, datos y seguridad</x:v>
      </x:c>
      <x:c r="N35" s="53" t="str">
        <x:v>INV02 · Fundamentos de arquitectura, datos y seguridad</x:v>
      </x:c>
      <x:c r="O35" s="53" t="str">
        <x:v>INV02 · Fundamentos de arquitectura, datos y seguridad</x:v>
      </x:c>
      <x:c r="P35" s="53" t="str">
        <x:v>INV02 · Fundamentos de arquitectura, datos y seguridad</x:v>
      </x:c>
      <x:c r="Q35" s="52" t="str">
        <x:v>INV02 · Fundamentos de arquitectura, datos y seguridad</x:v>
      </x:c>
      <x:c r="R35" s="52" t="str">
        <x:v>INV02 · Fundamentos de arquitectura, datos y seguridad</x:v>
      </x:c>
      <x:c r="S35" s="52" t="str">
        <x:v>INV02 · Fundamentos de arquitectura, datos y seguridad</x:v>
      </x:c>
    </x:row>
    <x:row r="36" ht="16" customHeight="1">
      <x:c r="A36" s="56" t="str">
        <x:v>INV02.001</x:v>
      </x:c>
      <x:c r="B36" s="57" t="str">
        <x:v>Estudiar Flutter y Dart para el cliente</x:v>
      </x:c>
      <x:c r="C36" s="62" t="str">
        <x:v>E</x:v>
      </x:c>
      <x:c r="D36" s="64" t="n">
        <x:f>'Detalle'!I21</x:f>
        <x:v>1</x:v>
      </x:c>
      <x:c r="E36" s="60" t="str">
        <x:f>'Detalle'!F21</x:f>
        <x:v>Completado</x:v>
      </x:c>
      <x:c r="F36" s="32" t="n">
        <x:f>IF(AND(F$8&lt;='Detalle'!$H21,F$9&gt;='Detalle'!$G21),1,"")</x:f>
        <x:v>1</x:v>
      </x:c>
      <x:c r="G36" s="32" t="str">
        <x:f>IF(AND(G$8&lt;='Detalle'!$H21,G$9&gt;='Detalle'!$G21),1,"")</x:f>
      </x:c>
      <x:c r="H36" s="32" t="str">
        <x:f>IF(AND(H$8&lt;='Detalle'!$H21,H$9&gt;='Detalle'!$G21),1,"")</x:f>
      </x:c>
      <x:c r="I36" s="32" t="str">
        <x:f>IF(AND(I$8&lt;='Detalle'!$H21,I$9&gt;='Detalle'!$G21),1,"")</x:f>
      </x:c>
      <x:c r="J36" s="32" t="str">
        <x:f>IF(AND(J$8&lt;='Detalle'!$H21,J$9&gt;='Detalle'!$G21),1,"")</x:f>
      </x:c>
      <x:c r="K36" s="32" t="str">
        <x:f>IF(AND(K$8&lt;='Detalle'!$H21,K$9&gt;='Detalle'!$G21),1,"")</x:f>
      </x:c>
      <x:c r="L36" s="32" t="str">
        <x:f>IF(AND(L$8&lt;='Detalle'!$H21,L$9&gt;='Detalle'!$G21),1,"")</x:f>
      </x:c>
      <x:c r="M36" s="32" t="str">
        <x:f>IF(AND(M$8&lt;='Detalle'!$H21,M$9&gt;='Detalle'!$G21),1,"")</x:f>
      </x:c>
      <x:c r="N36" s="32" t="str">
        <x:f>IF(AND(N$8&lt;='Detalle'!$H21,N$9&gt;='Detalle'!$G21),1,"")</x:f>
      </x:c>
      <x:c r="O36" s="32" t="str">
        <x:f>IF(AND(O$8&lt;='Detalle'!$H21,O$9&gt;='Detalle'!$G21),1,"")</x:f>
      </x:c>
      <x:c r="P36" s="32" t="str">
        <x:f>IF(AND(P$8&lt;='Detalle'!$H21,P$9&gt;='Detalle'!$G21),1,"")</x:f>
      </x:c>
      <x:c r="Q36" s="68"/>
      <x:c r="R36" s="67" t="str">
        <x:f>IF('Detalle'!M21="","",'Detalle'!M21)</x:f>
      </x:c>
      <x:c r="S36" s="67" t="str">
        <x:f>IF('Detalle'!N21="","",'Detalle'!N21)</x:f>
      </x:c>
    </x:row>
    <x:row r="37" ht="16" customHeight="1">
      <x:c r="A37" s="56" t="str">
        <x:v>INV02.001</x:v>
      </x:c>
      <x:c r="B37" s="57" t="str">
        <x:v>Estudiar Flutter y Dart para el cliente</x:v>
      </x:c>
      <x:c r="C37" s="63" t="str">
        <x:v>R</x:v>
      </x:c>
      <x:c r="D37" s="65" t="str">
        <x:f>IF('Detalle'!L21="","",'Detalle'!L21)</x:f>
      </x:c>
      <x:c r="E37" s="60" t="str"/>
      <x:c r="F37" s="32" t="str">
        <x:f>IF(OR('Detalle'!$J21="",'Detalle'!$K21="",'Detalle'!$L21=""),"",IF(AND(F$8&lt;='Detalle'!$K21,F$9&gt;='Detalle'!$J21),1,""))</x:f>
      </x:c>
      <x:c r="G37" s="32" t="str">
        <x:f>IF(OR('Detalle'!$J21="",'Detalle'!$K21="",'Detalle'!$L21=""),"",IF(AND(G$8&lt;='Detalle'!$K21,G$9&gt;='Detalle'!$J21),1,""))</x:f>
      </x:c>
      <x:c r="H37" s="32" t="str">
        <x:f>IF(OR('Detalle'!$J21="",'Detalle'!$K21="",'Detalle'!$L21=""),"",IF(AND(H$8&lt;='Detalle'!$K21,H$9&gt;='Detalle'!$J21),1,""))</x:f>
      </x:c>
      <x:c r="I37" s="32" t="str">
        <x:f>IF(OR('Detalle'!$J21="",'Detalle'!$K21="",'Detalle'!$L21=""),"",IF(AND(I$8&lt;='Detalle'!$K21,I$9&gt;='Detalle'!$J21),1,""))</x:f>
      </x:c>
      <x:c r="J37" s="32" t="str">
        <x:f>IF(OR('Detalle'!$J21="",'Detalle'!$K21="",'Detalle'!$L21=""),"",IF(AND(J$8&lt;='Detalle'!$K21,J$9&gt;='Detalle'!$J21),1,""))</x:f>
      </x:c>
      <x:c r="K37" s="32" t="str">
        <x:f>IF(OR('Detalle'!$J21="",'Detalle'!$K21="",'Detalle'!$L21=""),"",IF(AND(K$8&lt;='Detalle'!$K21,K$9&gt;='Detalle'!$J21),1,""))</x:f>
      </x:c>
      <x:c r="L37" s="32" t="str">
        <x:f>IF(OR('Detalle'!$J21="",'Detalle'!$K21="",'Detalle'!$L21=""),"",IF(AND(L$8&lt;='Detalle'!$K21,L$9&gt;='Detalle'!$J21),1,""))</x:f>
      </x:c>
      <x:c r="M37" s="32" t="str">
        <x:f>IF(OR('Detalle'!$J21="",'Detalle'!$K21="",'Detalle'!$L21=""),"",IF(AND(M$8&lt;='Detalle'!$K21,M$9&gt;='Detalle'!$J21),1,""))</x:f>
      </x:c>
      <x:c r="N37" s="32" t="str">
        <x:f>IF(OR('Detalle'!$J21="",'Detalle'!$K21="",'Detalle'!$L21=""),"",IF(AND(N$8&lt;='Detalle'!$K21,N$9&gt;='Detalle'!$J21),1,""))</x:f>
      </x:c>
      <x:c r="O37" s="32" t="str">
        <x:f>IF(OR('Detalle'!$J21="",'Detalle'!$K21="",'Detalle'!$L21=""),"",IF(AND(O$8&lt;='Detalle'!$K21,O$9&gt;='Detalle'!$J21),1,""))</x:f>
      </x:c>
      <x:c r="P37" s="32" t="str">
        <x:f>IF(OR('Detalle'!$J21="",'Detalle'!$K21="",'Detalle'!$L21=""),"",IF(AND(P$8&lt;='Detalle'!$K21,P$9&gt;='Detalle'!$J21),1,""))</x:f>
      </x:c>
      <x:c r="Q37" s="68"/>
      <x:c r="R37" s="67" t="str"/>
      <x:c r="S37" s="67" t="str"/>
    </x:row>
    <x:row r="38" ht="16" customHeight="1">
      <x:c r="A38" s="56" t="str">
        <x:v>INV02.002</x:v>
      </x:c>
      <x:c r="B38" s="57" t="str">
        <x:v>Estudiar integración nativa móvil</x:v>
      </x:c>
      <x:c r="C38" s="62" t="str">
        <x:v>E</x:v>
      </x:c>
      <x:c r="D38" s="64" t="n">
        <x:f>'Detalle'!I22</x:f>
        <x:v>1</x:v>
      </x:c>
      <x:c r="E38" s="60" t="str">
        <x:f>'Detalle'!F22</x:f>
        <x:v>Completado</x:v>
      </x:c>
      <x:c r="F38" s="32" t="n">
        <x:f>IF(AND(F$8&lt;='Detalle'!$H22,F$9&gt;='Detalle'!$G22),1,"")</x:f>
        <x:v>1</x:v>
      </x:c>
      <x:c r="G38" s="32" t="str">
        <x:f>IF(AND(G$8&lt;='Detalle'!$H22,G$9&gt;='Detalle'!$G22),1,"")</x:f>
      </x:c>
      <x:c r="H38" s="32" t="str">
        <x:f>IF(AND(H$8&lt;='Detalle'!$H22,H$9&gt;='Detalle'!$G22),1,"")</x:f>
      </x:c>
      <x:c r="I38" s="32" t="str">
        <x:f>IF(AND(I$8&lt;='Detalle'!$H22,I$9&gt;='Detalle'!$G22),1,"")</x:f>
      </x:c>
      <x:c r="J38" s="32" t="str">
        <x:f>IF(AND(J$8&lt;='Detalle'!$H22,J$9&gt;='Detalle'!$G22),1,"")</x:f>
      </x:c>
      <x:c r="K38" s="32" t="str">
        <x:f>IF(AND(K$8&lt;='Detalle'!$H22,K$9&gt;='Detalle'!$G22),1,"")</x:f>
      </x:c>
      <x:c r="L38" s="32" t="str">
        <x:f>IF(AND(L$8&lt;='Detalle'!$H22,L$9&gt;='Detalle'!$G22),1,"")</x:f>
      </x:c>
      <x:c r="M38" s="32" t="str">
        <x:f>IF(AND(M$8&lt;='Detalle'!$H22,M$9&gt;='Detalle'!$G22),1,"")</x:f>
      </x:c>
      <x:c r="N38" s="32" t="str">
        <x:f>IF(AND(N$8&lt;='Detalle'!$H22,N$9&gt;='Detalle'!$G22),1,"")</x:f>
      </x:c>
      <x:c r="O38" s="32" t="str">
        <x:f>IF(AND(O$8&lt;='Detalle'!$H22,O$9&gt;='Detalle'!$G22),1,"")</x:f>
      </x:c>
      <x:c r="P38" s="32" t="str">
        <x:f>IF(AND(P$8&lt;='Detalle'!$H22,P$9&gt;='Detalle'!$G22),1,"")</x:f>
      </x:c>
      <x:c r="Q38" s="68"/>
      <x:c r="R38" s="67" t="str">
        <x:f>IF('Detalle'!M22="","",'Detalle'!M22)</x:f>
      </x:c>
      <x:c r="S38" s="67" t="str">
        <x:f>IF('Detalle'!N22="","",'Detalle'!N22)</x:f>
      </x:c>
    </x:row>
    <x:row r="39" ht="16" customHeight="1">
      <x:c r="A39" s="56" t="str">
        <x:v>INV02.002</x:v>
      </x:c>
      <x:c r="B39" s="57" t="str">
        <x:v>Estudiar integración nativa móvil</x:v>
      </x:c>
      <x:c r="C39" s="63" t="str">
        <x:v>R</x:v>
      </x:c>
      <x:c r="D39" s="65" t="str">
        <x:f>IF('Detalle'!L22="","",'Detalle'!L22)</x:f>
      </x:c>
      <x:c r="E39" s="60" t="str"/>
      <x:c r="F39" s="32" t="str">
        <x:f>IF(OR('Detalle'!$J22="",'Detalle'!$K22="",'Detalle'!$L22=""),"",IF(AND(F$8&lt;='Detalle'!$K22,F$9&gt;='Detalle'!$J22),1,""))</x:f>
      </x:c>
      <x:c r="G39" s="32" t="str">
        <x:f>IF(OR('Detalle'!$J22="",'Detalle'!$K22="",'Detalle'!$L22=""),"",IF(AND(G$8&lt;='Detalle'!$K22,G$9&gt;='Detalle'!$J22),1,""))</x:f>
      </x:c>
      <x:c r="H39" s="32" t="str">
        <x:f>IF(OR('Detalle'!$J22="",'Detalle'!$K22="",'Detalle'!$L22=""),"",IF(AND(H$8&lt;='Detalle'!$K22,H$9&gt;='Detalle'!$J22),1,""))</x:f>
      </x:c>
      <x:c r="I39" s="32" t="str">
        <x:f>IF(OR('Detalle'!$J22="",'Detalle'!$K22="",'Detalle'!$L22=""),"",IF(AND(I$8&lt;='Detalle'!$K22,I$9&gt;='Detalle'!$J22),1,""))</x:f>
      </x:c>
      <x:c r="J39" s="32" t="str">
        <x:f>IF(OR('Detalle'!$J22="",'Detalle'!$K22="",'Detalle'!$L22=""),"",IF(AND(J$8&lt;='Detalle'!$K22,J$9&gt;='Detalle'!$J22),1,""))</x:f>
      </x:c>
      <x:c r="K39" s="32" t="str">
        <x:f>IF(OR('Detalle'!$J22="",'Detalle'!$K22="",'Detalle'!$L22=""),"",IF(AND(K$8&lt;='Detalle'!$K22,K$9&gt;='Detalle'!$J22),1,""))</x:f>
      </x:c>
      <x:c r="L39" s="32" t="str">
        <x:f>IF(OR('Detalle'!$J22="",'Detalle'!$K22="",'Detalle'!$L22=""),"",IF(AND(L$8&lt;='Detalle'!$K22,L$9&gt;='Detalle'!$J22),1,""))</x:f>
      </x:c>
      <x:c r="M39" s="32" t="str">
        <x:f>IF(OR('Detalle'!$J22="",'Detalle'!$K22="",'Detalle'!$L22=""),"",IF(AND(M$8&lt;='Detalle'!$K22,M$9&gt;='Detalle'!$J22),1,""))</x:f>
      </x:c>
      <x:c r="N39" s="32" t="str">
        <x:f>IF(OR('Detalle'!$J22="",'Detalle'!$K22="",'Detalle'!$L22=""),"",IF(AND(N$8&lt;='Detalle'!$K22,N$9&gt;='Detalle'!$J22),1,""))</x:f>
      </x:c>
      <x:c r="O39" s="32" t="str">
        <x:f>IF(OR('Detalle'!$J22="",'Detalle'!$K22="",'Detalle'!$L22=""),"",IF(AND(O$8&lt;='Detalle'!$K22,O$9&gt;='Detalle'!$J22),1,""))</x:f>
      </x:c>
      <x:c r="P39" s="32" t="str">
        <x:f>IF(OR('Detalle'!$J22="",'Detalle'!$K22="",'Detalle'!$L22=""),"",IF(AND(P$8&lt;='Detalle'!$K22,P$9&gt;='Detalle'!$J22),1,""))</x:f>
      </x:c>
      <x:c r="Q39" s="68"/>
      <x:c r="R39" s="67" t="str"/>
      <x:c r="S39" s="67" t="str"/>
    </x:row>
    <x:row r="40" ht="16" customHeight="1">
      <x:c r="A40" s="56" t="str">
        <x:v>INV02.003</x:v>
      </x:c>
      <x:c r="B40" s="57" t="str">
        <x:v>Estudiar Supabase como backend</x:v>
      </x:c>
      <x:c r="C40" s="62" t="str">
        <x:v>E</x:v>
      </x:c>
      <x:c r="D40" s="64" t="n">
        <x:f>'Detalle'!I23</x:f>
        <x:v>1</x:v>
      </x:c>
      <x:c r="E40" s="60" t="str">
        <x:f>'Detalle'!F23</x:f>
        <x:v>Completado</x:v>
      </x:c>
      <x:c r="F40" s="32" t="n">
        <x:f>IF(AND(F$8&lt;='Detalle'!$H23,F$9&gt;='Detalle'!$G23),1,"")</x:f>
        <x:v>1</x:v>
      </x:c>
      <x:c r="G40" s="32" t="str">
        <x:f>IF(AND(G$8&lt;='Detalle'!$H23,G$9&gt;='Detalle'!$G23),1,"")</x:f>
      </x:c>
      <x:c r="H40" s="32" t="str">
        <x:f>IF(AND(H$8&lt;='Detalle'!$H23,H$9&gt;='Detalle'!$G23),1,"")</x:f>
      </x:c>
      <x:c r="I40" s="32" t="str">
        <x:f>IF(AND(I$8&lt;='Detalle'!$H23,I$9&gt;='Detalle'!$G23),1,"")</x:f>
      </x:c>
      <x:c r="J40" s="32" t="str">
        <x:f>IF(AND(J$8&lt;='Detalle'!$H23,J$9&gt;='Detalle'!$G23),1,"")</x:f>
      </x:c>
      <x:c r="K40" s="32" t="str">
        <x:f>IF(AND(K$8&lt;='Detalle'!$H23,K$9&gt;='Detalle'!$G23),1,"")</x:f>
      </x:c>
      <x:c r="L40" s="32" t="str">
        <x:f>IF(AND(L$8&lt;='Detalle'!$H23,L$9&gt;='Detalle'!$G23),1,"")</x:f>
      </x:c>
      <x:c r="M40" s="32" t="str">
        <x:f>IF(AND(M$8&lt;='Detalle'!$H23,M$9&gt;='Detalle'!$G23),1,"")</x:f>
      </x:c>
      <x:c r="N40" s="32" t="str">
        <x:f>IF(AND(N$8&lt;='Detalle'!$H23,N$9&gt;='Detalle'!$G23),1,"")</x:f>
      </x:c>
      <x:c r="O40" s="32" t="str">
        <x:f>IF(AND(O$8&lt;='Detalle'!$H23,O$9&gt;='Detalle'!$G23),1,"")</x:f>
      </x:c>
      <x:c r="P40" s="32" t="str">
        <x:f>IF(AND(P$8&lt;='Detalle'!$H23,P$9&gt;='Detalle'!$G23),1,"")</x:f>
      </x:c>
      <x:c r="Q40" s="68"/>
      <x:c r="R40" s="67" t="str">
        <x:f>IF('Detalle'!M23="","",'Detalle'!M23)</x:f>
      </x:c>
      <x:c r="S40" s="67" t="str">
        <x:f>IF('Detalle'!N23="","",'Detalle'!N23)</x:f>
      </x:c>
    </x:row>
    <x:row r="41" ht="16" customHeight="1">
      <x:c r="A41" s="56" t="str">
        <x:v>INV02.003</x:v>
      </x:c>
      <x:c r="B41" s="57" t="str">
        <x:v>Estudiar Supabase como backend</x:v>
      </x:c>
      <x:c r="C41" s="63" t="str">
        <x:v>R</x:v>
      </x:c>
      <x:c r="D41" s="65" t="str">
        <x:f>IF('Detalle'!L23="","",'Detalle'!L23)</x:f>
      </x:c>
      <x:c r="E41" s="60" t="str"/>
      <x:c r="F41" s="32" t="str">
        <x:f>IF(OR('Detalle'!$J23="",'Detalle'!$K23="",'Detalle'!$L23=""),"",IF(AND(F$8&lt;='Detalle'!$K23,F$9&gt;='Detalle'!$J23),1,""))</x:f>
      </x:c>
      <x:c r="G41" s="32" t="str">
        <x:f>IF(OR('Detalle'!$J23="",'Detalle'!$K23="",'Detalle'!$L23=""),"",IF(AND(G$8&lt;='Detalle'!$K23,G$9&gt;='Detalle'!$J23),1,""))</x:f>
      </x:c>
      <x:c r="H41" s="32" t="str">
        <x:f>IF(OR('Detalle'!$J23="",'Detalle'!$K23="",'Detalle'!$L23=""),"",IF(AND(H$8&lt;='Detalle'!$K23,H$9&gt;='Detalle'!$J23),1,""))</x:f>
      </x:c>
      <x:c r="I41" s="32" t="str">
        <x:f>IF(OR('Detalle'!$J23="",'Detalle'!$K23="",'Detalle'!$L23=""),"",IF(AND(I$8&lt;='Detalle'!$K23,I$9&gt;='Detalle'!$J23),1,""))</x:f>
      </x:c>
      <x:c r="J41" s="32" t="str">
        <x:f>IF(OR('Detalle'!$J23="",'Detalle'!$K23="",'Detalle'!$L23=""),"",IF(AND(J$8&lt;='Detalle'!$K23,J$9&gt;='Detalle'!$J23),1,""))</x:f>
      </x:c>
      <x:c r="K41" s="32" t="str">
        <x:f>IF(OR('Detalle'!$J23="",'Detalle'!$K23="",'Detalle'!$L23=""),"",IF(AND(K$8&lt;='Detalle'!$K23,K$9&gt;='Detalle'!$J23),1,""))</x:f>
      </x:c>
      <x:c r="L41" s="32" t="str">
        <x:f>IF(OR('Detalle'!$J23="",'Detalle'!$K23="",'Detalle'!$L23=""),"",IF(AND(L$8&lt;='Detalle'!$K23,L$9&gt;='Detalle'!$J23),1,""))</x:f>
      </x:c>
      <x:c r="M41" s="32" t="str">
        <x:f>IF(OR('Detalle'!$J23="",'Detalle'!$K23="",'Detalle'!$L23=""),"",IF(AND(M$8&lt;='Detalle'!$K23,M$9&gt;='Detalle'!$J23),1,""))</x:f>
      </x:c>
      <x:c r="N41" s="32" t="str">
        <x:f>IF(OR('Detalle'!$J23="",'Detalle'!$K23="",'Detalle'!$L23=""),"",IF(AND(N$8&lt;='Detalle'!$K23,N$9&gt;='Detalle'!$J23),1,""))</x:f>
      </x:c>
      <x:c r="O41" s="32" t="str">
        <x:f>IF(OR('Detalle'!$J23="",'Detalle'!$K23="",'Detalle'!$L23=""),"",IF(AND(O$8&lt;='Detalle'!$K23,O$9&gt;='Detalle'!$J23),1,""))</x:f>
      </x:c>
      <x:c r="P41" s="32" t="str">
        <x:f>IF(OR('Detalle'!$J23="",'Detalle'!$K23="",'Detalle'!$L23=""),"",IF(AND(P$8&lt;='Detalle'!$K23,P$9&gt;='Detalle'!$J23),1,""))</x:f>
      </x:c>
      <x:c r="Q41" s="68"/>
      <x:c r="R41" s="67" t="str"/>
      <x:c r="S41" s="67" t="str"/>
    </x:row>
    <x:row r="42" ht="16" customHeight="1">
      <x:c r="A42" s="56" t="str">
        <x:v>INV02.004</x:v>
      </x:c>
      <x:c r="B42" s="57" t="str">
        <x:v>Estudiar arquitectura por funcionalidades</x:v>
      </x:c>
      <x:c r="C42" s="62" t="str">
        <x:v>E</x:v>
      </x:c>
      <x:c r="D42" s="64" t="n">
        <x:f>'Detalle'!I24</x:f>
        <x:v>1</x:v>
      </x:c>
      <x:c r="E42" s="60" t="str">
        <x:f>'Detalle'!F24</x:f>
        <x:v>Completado</x:v>
      </x:c>
      <x:c r="F42" s="32" t="n">
        <x:f>IF(AND(F$8&lt;='Detalle'!$H24,F$9&gt;='Detalle'!$G24),1,"")</x:f>
        <x:v>1</x:v>
      </x:c>
      <x:c r="G42" s="32" t="str">
        <x:f>IF(AND(G$8&lt;='Detalle'!$H24,G$9&gt;='Detalle'!$G24),1,"")</x:f>
      </x:c>
      <x:c r="H42" s="32" t="str">
        <x:f>IF(AND(H$8&lt;='Detalle'!$H24,H$9&gt;='Detalle'!$G24),1,"")</x:f>
      </x:c>
      <x:c r="I42" s="32" t="str">
        <x:f>IF(AND(I$8&lt;='Detalle'!$H24,I$9&gt;='Detalle'!$G24),1,"")</x:f>
      </x:c>
      <x:c r="J42" s="32" t="str">
        <x:f>IF(AND(J$8&lt;='Detalle'!$H24,J$9&gt;='Detalle'!$G24),1,"")</x:f>
      </x:c>
      <x:c r="K42" s="32" t="str">
        <x:f>IF(AND(K$8&lt;='Detalle'!$H24,K$9&gt;='Detalle'!$G24),1,"")</x:f>
      </x:c>
      <x:c r="L42" s="32" t="str">
        <x:f>IF(AND(L$8&lt;='Detalle'!$H24,L$9&gt;='Detalle'!$G24),1,"")</x:f>
      </x:c>
      <x:c r="M42" s="32" t="str">
        <x:f>IF(AND(M$8&lt;='Detalle'!$H24,M$9&gt;='Detalle'!$G24),1,"")</x:f>
      </x:c>
      <x:c r="N42" s="32" t="str">
        <x:f>IF(AND(N$8&lt;='Detalle'!$H24,N$9&gt;='Detalle'!$G24),1,"")</x:f>
      </x:c>
      <x:c r="O42" s="32" t="str">
        <x:f>IF(AND(O$8&lt;='Detalle'!$H24,O$9&gt;='Detalle'!$G24),1,"")</x:f>
      </x:c>
      <x:c r="P42" s="32" t="str">
        <x:f>IF(AND(P$8&lt;='Detalle'!$H24,P$9&gt;='Detalle'!$G24),1,"")</x:f>
      </x:c>
      <x:c r="Q42" s="68"/>
      <x:c r="R42" s="67" t="str">
        <x:f>IF('Detalle'!M24="","",'Detalle'!M24)</x:f>
      </x:c>
      <x:c r="S42" s="67" t="str">
        <x:f>IF('Detalle'!N24="","",'Detalle'!N24)</x:f>
      </x:c>
    </x:row>
    <x:row r="43" ht="16" customHeight="1">
      <x:c r="A43" s="56" t="str">
        <x:v>INV02.004</x:v>
      </x:c>
      <x:c r="B43" s="57" t="str">
        <x:v>Estudiar arquitectura por funcionalidades</x:v>
      </x:c>
      <x:c r="C43" s="63" t="str">
        <x:v>R</x:v>
      </x:c>
      <x:c r="D43" s="65" t="str">
        <x:f>IF('Detalle'!L24="","",'Detalle'!L24)</x:f>
      </x:c>
      <x:c r="E43" s="60" t="str"/>
      <x:c r="F43" s="32" t="str">
        <x:f>IF(OR('Detalle'!$J24="",'Detalle'!$K24="",'Detalle'!$L24=""),"",IF(AND(F$8&lt;='Detalle'!$K24,F$9&gt;='Detalle'!$J24),1,""))</x:f>
      </x:c>
      <x:c r="G43" s="32" t="str">
        <x:f>IF(OR('Detalle'!$J24="",'Detalle'!$K24="",'Detalle'!$L24=""),"",IF(AND(G$8&lt;='Detalle'!$K24,G$9&gt;='Detalle'!$J24),1,""))</x:f>
      </x:c>
      <x:c r="H43" s="32" t="str">
        <x:f>IF(OR('Detalle'!$J24="",'Detalle'!$K24="",'Detalle'!$L24=""),"",IF(AND(H$8&lt;='Detalle'!$K24,H$9&gt;='Detalle'!$J24),1,""))</x:f>
      </x:c>
      <x:c r="I43" s="32" t="str">
        <x:f>IF(OR('Detalle'!$J24="",'Detalle'!$K24="",'Detalle'!$L24=""),"",IF(AND(I$8&lt;='Detalle'!$K24,I$9&gt;='Detalle'!$J24),1,""))</x:f>
      </x:c>
      <x:c r="J43" s="32" t="str">
        <x:f>IF(OR('Detalle'!$J24="",'Detalle'!$K24="",'Detalle'!$L24=""),"",IF(AND(J$8&lt;='Detalle'!$K24,J$9&gt;='Detalle'!$J24),1,""))</x:f>
      </x:c>
      <x:c r="K43" s="32" t="str">
        <x:f>IF(OR('Detalle'!$J24="",'Detalle'!$K24="",'Detalle'!$L24=""),"",IF(AND(K$8&lt;='Detalle'!$K24,K$9&gt;='Detalle'!$J24),1,""))</x:f>
      </x:c>
      <x:c r="L43" s="32" t="str">
        <x:f>IF(OR('Detalle'!$J24="",'Detalle'!$K24="",'Detalle'!$L24=""),"",IF(AND(L$8&lt;='Detalle'!$K24,L$9&gt;='Detalle'!$J24),1,""))</x:f>
      </x:c>
      <x:c r="M43" s="32" t="str">
        <x:f>IF(OR('Detalle'!$J24="",'Detalle'!$K24="",'Detalle'!$L24=""),"",IF(AND(M$8&lt;='Detalle'!$K24,M$9&gt;='Detalle'!$J24),1,""))</x:f>
      </x:c>
      <x:c r="N43" s="32" t="str">
        <x:f>IF(OR('Detalle'!$J24="",'Detalle'!$K24="",'Detalle'!$L24=""),"",IF(AND(N$8&lt;='Detalle'!$K24,N$9&gt;='Detalle'!$J24),1,""))</x:f>
      </x:c>
      <x:c r="O43" s="32" t="str">
        <x:f>IF(OR('Detalle'!$J24="",'Detalle'!$K24="",'Detalle'!$L24=""),"",IF(AND(O$8&lt;='Detalle'!$K24,O$9&gt;='Detalle'!$J24),1,""))</x:f>
      </x:c>
      <x:c r="P43" s="32" t="str">
        <x:f>IF(OR('Detalle'!$J24="",'Detalle'!$K24="",'Detalle'!$L24=""),"",IF(AND(P$8&lt;='Detalle'!$K24,P$9&gt;='Detalle'!$J24),1,""))</x:f>
      </x:c>
      <x:c r="Q43" s="68"/>
      <x:c r="R43" s="67" t="str"/>
      <x:c r="S43" s="67" t="str"/>
    </x:row>
    <x:row r="44" ht="16" customHeight="1">
      <x:c r="A44" s="56" t="str">
        <x:v>INV02.005</x:v>
      </x:c>
      <x:c r="B44" s="57" t="str">
        <x:v>Estudiar navegación y guards</x:v>
      </x:c>
      <x:c r="C44" s="62" t="str">
        <x:v>E</x:v>
      </x:c>
      <x:c r="D44" s="64" t="n">
        <x:f>'Detalle'!I25</x:f>
        <x:v>1</x:v>
      </x:c>
      <x:c r="E44" s="60" t="str">
        <x:f>'Detalle'!F25</x:f>
        <x:v>Completado</x:v>
      </x:c>
      <x:c r="F44" s="32" t="n">
        <x:f>IF(AND(F$8&lt;='Detalle'!$H25,F$9&gt;='Detalle'!$G25),1,"")</x:f>
        <x:v>1</x:v>
      </x:c>
      <x:c r="G44" s="32" t="str">
        <x:f>IF(AND(G$8&lt;='Detalle'!$H25,G$9&gt;='Detalle'!$G25),1,"")</x:f>
      </x:c>
      <x:c r="H44" s="32" t="str">
        <x:f>IF(AND(H$8&lt;='Detalle'!$H25,H$9&gt;='Detalle'!$G25),1,"")</x:f>
      </x:c>
      <x:c r="I44" s="32" t="str">
        <x:f>IF(AND(I$8&lt;='Detalle'!$H25,I$9&gt;='Detalle'!$G25),1,"")</x:f>
      </x:c>
      <x:c r="J44" s="32" t="str">
        <x:f>IF(AND(J$8&lt;='Detalle'!$H25,J$9&gt;='Detalle'!$G25),1,"")</x:f>
      </x:c>
      <x:c r="K44" s="32" t="str">
        <x:f>IF(AND(K$8&lt;='Detalle'!$H25,K$9&gt;='Detalle'!$G25),1,"")</x:f>
      </x:c>
      <x:c r="L44" s="32" t="str">
        <x:f>IF(AND(L$8&lt;='Detalle'!$H25,L$9&gt;='Detalle'!$G25),1,"")</x:f>
      </x:c>
      <x:c r="M44" s="32" t="str">
        <x:f>IF(AND(M$8&lt;='Detalle'!$H25,M$9&gt;='Detalle'!$G25),1,"")</x:f>
      </x:c>
      <x:c r="N44" s="32" t="str">
        <x:f>IF(AND(N$8&lt;='Detalle'!$H25,N$9&gt;='Detalle'!$G25),1,"")</x:f>
      </x:c>
      <x:c r="O44" s="32" t="str">
        <x:f>IF(AND(O$8&lt;='Detalle'!$H25,O$9&gt;='Detalle'!$G25),1,"")</x:f>
      </x:c>
      <x:c r="P44" s="32" t="str">
        <x:f>IF(AND(P$8&lt;='Detalle'!$H25,P$9&gt;='Detalle'!$G25),1,"")</x:f>
      </x:c>
      <x:c r="Q44" s="68"/>
      <x:c r="R44" s="67" t="str">
        <x:f>IF('Detalle'!M25="","",'Detalle'!M25)</x:f>
      </x:c>
      <x:c r="S44" s="67" t="str">
        <x:f>IF('Detalle'!N25="","",'Detalle'!N25)</x:f>
      </x:c>
    </x:row>
    <x:row r="45" ht="16" customHeight="1">
      <x:c r="A45" s="56" t="str">
        <x:v>INV02.005</x:v>
      </x:c>
      <x:c r="B45" s="57" t="str">
        <x:v>Estudiar navegación y guards</x:v>
      </x:c>
      <x:c r="C45" s="63" t="str">
        <x:v>R</x:v>
      </x:c>
      <x:c r="D45" s="65" t="str">
        <x:f>IF('Detalle'!L25="","",'Detalle'!L25)</x:f>
      </x:c>
      <x:c r="E45" s="60" t="str"/>
      <x:c r="F45" s="32" t="str">
        <x:f>IF(OR('Detalle'!$J25="",'Detalle'!$K25="",'Detalle'!$L25=""),"",IF(AND(F$8&lt;='Detalle'!$K25,F$9&gt;='Detalle'!$J25),1,""))</x:f>
      </x:c>
      <x:c r="G45" s="32" t="str">
        <x:f>IF(OR('Detalle'!$J25="",'Detalle'!$K25="",'Detalle'!$L25=""),"",IF(AND(G$8&lt;='Detalle'!$K25,G$9&gt;='Detalle'!$J25),1,""))</x:f>
      </x:c>
      <x:c r="H45" s="32" t="str">
        <x:f>IF(OR('Detalle'!$J25="",'Detalle'!$K25="",'Detalle'!$L25=""),"",IF(AND(H$8&lt;='Detalle'!$K25,H$9&gt;='Detalle'!$J25),1,""))</x:f>
      </x:c>
      <x:c r="I45" s="32" t="str">
        <x:f>IF(OR('Detalle'!$J25="",'Detalle'!$K25="",'Detalle'!$L25=""),"",IF(AND(I$8&lt;='Detalle'!$K25,I$9&gt;='Detalle'!$J25),1,""))</x:f>
      </x:c>
      <x:c r="J45" s="32" t="str">
        <x:f>IF(OR('Detalle'!$J25="",'Detalle'!$K25="",'Detalle'!$L25=""),"",IF(AND(J$8&lt;='Detalle'!$K25,J$9&gt;='Detalle'!$J25),1,""))</x:f>
      </x:c>
      <x:c r="K45" s="32" t="str">
        <x:f>IF(OR('Detalle'!$J25="",'Detalle'!$K25="",'Detalle'!$L25=""),"",IF(AND(K$8&lt;='Detalle'!$K25,K$9&gt;='Detalle'!$J25),1,""))</x:f>
      </x:c>
      <x:c r="L45" s="32" t="str">
        <x:f>IF(OR('Detalle'!$J25="",'Detalle'!$K25="",'Detalle'!$L25=""),"",IF(AND(L$8&lt;='Detalle'!$K25,L$9&gt;='Detalle'!$J25),1,""))</x:f>
      </x:c>
      <x:c r="M45" s="32" t="str">
        <x:f>IF(OR('Detalle'!$J25="",'Detalle'!$K25="",'Detalle'!$L25=""),"",IF(AND(M$8&lt;='Detalle'!$K25,M$9&gt;='Detalle'!$J25),1,""))</x:f>
      </x:c>
      <x:c r="N45" s="32" t="str">
        <x:f>IF(OR('Detalle'!$J25="",'Detalle'!$K25="",'Detalle'!$L25=""),"",IF(AND(N$8&lt;='Detalle'!$K25,N$9&gt;='Detalle'!$J25),1,""))</x:f>
      </x:c>
      <x:c r="O45" s="32" t="str">
        <x:f>IF(OR('Detalle'!$J25="",'Detalle'!$K25="",'Detalle'!$L25=""),"",IF(AND(O$8&lt;='Detalle'!$K25,O$9&gt;='Detalle'!$J25),1,""))</x:f>
      </x:c>
      <x:c r="P45" s="32" t="str">
        <x:f>IF(OR('Detalle'!$J25="",'Detalle'!$K25="",'Detalle'!$L25=""),"",IF(AND(P$8&lt;='Detalle'!$K25,P$9&gt;='Detalle'!$J25),1,""))</x:f>
      </x:c>
      <x:c r="Q45" s="68"/>
      <x:c r="R45" s="67" t="str"/>
      <x:c r="S45" s="67" t="str"/>
    </x:row>
    <x:row r="46" ht="16" customHeight="1">
      <x:c r="A46" s="56" t="str">
        <x:v>INV02.006</x:v>
      </x:c>
      <x:c r="B46" s="57" t="str">
        <x:v>Estudiar ciclo de sesión</x:v>
      </x:c>
      <x:c r="C46" s="62" t="str">
        <x:v>E</x:v>
      </x:c>
      <x:c r="D46" s="64" t="n">
        <x:f>'Detalle'!I26</x:f>
        <x:v>1</x:v>
      </x:c>
      <x:c r="E46" s="60" t="str">
        <x:f>'Detalle'!F26</x:f>
        <x:v>Completado</x:v>
      </x:c>
      <x:c r="F46" s="32" t="n">
        <x:f>IF(AND(F$8&lt;='Detalle'!$H26,F$9&gt;='Detalle'!$G26),1,"")</x:f>
        <x:v>1</x:v>
      </x:c>
      <x:c r="G46" s="32" t="str">
        <x:f>IF(AND(G$8&lt;='Detalle'!$H26,G$9&gt;='Detalle'!$G26),1,"")</x:f>
      </x:c>
      <x:c r="H46" s="32" t="str">
        <x:f>IF(AND(H$8&lt;='Detalle'!$H26,H$9&gt;='Detalle'!$G26),1,"")</x:f>
      </x:c>
      <x:c r="I46" s="32" t="str">
        <x:f>IF(AND(I$8&lt;='Detalle'!$H26,I$9&gt;='Detalle'!$G26),1,"")</x:f>
      </x:c>
      <x:c r="J46" s="32" t="str">
        <x:f>IF(AND(J$8&lt;='Detalle'!$H26,J$9&gt;='Detalle'!$G26),1,"")</x:f>
      </x:c>
      <x:c r="K46" s="32" t="str">
        <x:f>IF(AND(K$8&lt;='Detalle'!$H26,K$9&gt;='Detalle'!$G26),1,"")</x:f>
      </x:c>
      <x:c r="L46" s="32" t="str">
        <x:f>IF(AND(L$8&lt;='Detalle'!$H26,L$9&gt;='Detalle'!$G26),1,"")</x:f>
      </x:c>
      <x:c r="M46" s="32" t="str">
        <x:f>IF(AND(M$8&lt;='Detalle'!$H26,M$9&gt;='Detalle'!$G26),1,"")</x:f>
      </x:c>
      <x:c r="N46" s="32" t="str">
        <x:f>IF(AND(N$8&lt;='Detalle'!$H26,N$9&gt;='Detalle'!$G26),1,"")</x:f>
      </x:c>
      <x:c r="O46" s="32" t="str">
        <x:f>IF(AND(O$8&lt;='Detalle'!$H26,O$9&gt;='Detalle'!$G26),1,"")</x:f>
      </x:c>
      <x:c r="P46" s="32" t="str">
        <x:f>IF(AND(P$8&lt;='Detalle'!$H26,P$9&gt;='Detalle'!$G26),1,"")</x:f>
      </x:c>
      <x:c r="Q46" s="68"/>
      <x:c r="R46" s="67" t="str">
        <x:f>IF('Detalle'!M26="","",'Detalle'!M26)</x:f>
      </x:c>
      <x:c r="S46" s="67" t="str">
        <x:f>IF('Detalle'!N26="","",'Detalle'!N26)</x:f>
      </x:c>
    </x:row>
    <x:row r="47" ht="16" customHeight="1">
      <x:c r="A47" s="56" t="str">
        <x:v>INV02.006</x:v>
      </x:c>
      <x:c r="B47" s="57" t="str">
        <x:v>Estudiar ciclo de sesión</x:v>
      </x:c>
      <x:c r="C47" s="63" t="str">
        <x:v>R</x:v>
      </x:c>
      <x:c r="D47" s="65" t="str">
        <x:f>IF('Detalle'!L26="","",'Detalle'!L26)</x:f>
      </x:c>
      <x:c r="E47" s="60" t="str"/>
      <x:c r="F47" s="32" t="str">
        <x:f>IF(OR('Detalle'!$J26="",'Detalle'!$K26="",'Detalle'!$L26=""),"",IF(AND(F$8&lt;='Detalle'!$K26,F$9&gt;='Detalle'!$J26),1,""))</x:f>
      </x:c>
      <x:c r="G47" s="32" t="str">
        <x:f>IF(OR('Detalle'!$J26="",'Detalle'!$K26="",'Detalle'!$L26=""),"",IF(AND(G$8&lt;='Detalle'!$K26,G$9&gt;='Detalle'!$J26),1,""))</x:f>
      </x:c>
      <x:c r="H47" s="32" t="str">
        <x:f>IF(OR('Detalle'!$J26="",'Detalle'!$K26="",'Detalle'!$L26=""),"",IF(AND(H$8&lt;='Detalle'!$K26,H$9&gt;='Detalle'!$J26),1,""))</x:f>
      </x:c>
      <x:c r="I47" s="32" t="str">
        <x:f>IF(OR('Detalle'!$J26="",'Detalle'!$K26="",'Detalle'!$L26=""),"",IF(AND(I$8&lt;='Detalle'!$K26,I$9&gt;='Detalle'!$J26),1,""))</x:f>
      </x:c>
      <x:c r="J47" s="32" t="str">
        <x:f>IF(OR('Detalle'!$J26="",'Detalle'!$K26="",'Detalle'!$L26=""),"",IF(AND(J$8&lt;='Detalle'!$K26,J$9&gt;='Detalle'!$J26),1,""))</x:f>
      </x:c>
      <x:c r="K47" s="32" t="str">
        <x:f>IF(OR('Detalle'!$J26="",'Detalle'!$K26="",'Detalle'!$L26=""),"",IF(AND(K$8&lt;='Detalle'!$K26,K$9&gt;='Detalle'!$J26),1,""))</x:f>
      </x:c>
      <x:c r="L47" s="32" t="str">
        <x:f>IF(OR('Detalle'!$J26="",'Detalle'!$K26="",'Detalle'!$L26=""),"",IF(AND(L$8&lt;='Detalle'!$K26,L$9&gt;='Detalle'!$J26),1,""))</x:f>
      </x:c>
      <x:c r="M47" s="32" t="str">
        <x:f>IF(OR('Detalle'!$J26="",'Detalle'!$K26="",'Detalle'!$L26=""),"",IF(AND(M$8&lt;='Detalle'!$K26,M$9&gt;='Detalle'!$J26),1,""))</x:f>
      </x:c>
      <x:c r="N47" s="32" t="str">
        <x:f>IF(OR('Detalle'!$J26="",'Detalle'!$K26="",'Detalle'!$L26=""),"",IF(AND(N$8&lt;='Detalle'!$K26,N$9&gt;='Detalle'!$J26),1,""))</x:f>
      </x:c>
      <x:c r="O47" s="32" t="str">
        <x:f>IF(OR('Detalle'!$J26="",'Detalle'!$K26="",'Detalle'!$L26=""),"",IF(AND(O$8&lt;='Detalle'!$K26,O$9&gt;='Detalle'!$J26),1,""))</x:f>
      </x:c>
      <x:c r="P47" s="32" t="str">
        <x:f>IF(OR('Detalle'!$J26="",'Detalle'!$K26="",'Detalle'!$L26=""),"",IF(AND(P$8&lt;='Detalle'!$K26,P$9&gt;='Detalle'!$J26),1,""))</x:f>
      </x:c>
      <x:c r="Q47" s="68"/>
      <x:c r="R47" s="67" t="str"/>
      <x:c r="S47" s="67" t="str"/>
    </x:row>
    <x:row r="48" ht="16" customHeight="1">
      <x:c r="A48" s="56" t="str">
        <x:v>INV02.007</x:v>
      </x:c>
      <x:c r="B48" s="57" t="str">
        <x:v>Estudiar modelado relacional</x:v>
      </x:c>
      <x:c r="C48" s="62" t="str">
        <x:v>E</x:v>
      </x:c>
      <x:c r="D48" s="64" t="n">
        <x:f>'Detalle'!I27</x:f>
        <x:v>1</x:v>
      </x:c>
      <x:c r="E48" s="60" t="str">
        <x:f>'Detalle'!F27</x:f>
        <x:v>Completado</x:v>
      </x:c>
      <x:c r="F48" s="32" t="n">
        <x:f>IF(AND(F$8&lt;='Detalle'!$H27,F$9&gt;='Detalle'!$G27),1,"")</x:f>
        <x:v>1</x:v>
      </x:c>
      <x:c r="G48" s="32" t="str">
        <x:f>IF(AND(G$8&lt;='Detalle'!$H27,G$9&gt;='Detalle'!$G27),1,"")</x:f>
      </x:c>
      <x:c r="H48" s="32" t="str">
        <x:f>IF(AND(H$8&lt;='Detalle'!$H27,H$9&gt;='Detalle'!$G27),1,"")</x:f>
      </x:c>
      <x:c r="I48" s="32" t="str">
        <x:f>IF(AND(I$8&lt;='Detalle'!$H27,I$9&gt;='Detalle'!$G27),1,"")</x:f>
      </x:c>
      <x:c r="J48" s="32" t="str">
        <x:f>IF(AND(J$8&lt;='Detalle'!$H27,J$9&gt;='Detalle'!$G27),1,"")</x:f>
      </x:c>
      <x:c r="K48" s="32" t="str">
        <x:f>IF(AND(K$8&lt;='Detalle'!$H27,K$9&gt;='Detalle'!$G27),1,"")</x:f>
      </x:c>
      <x:c r="L48" s="32" t="str">
        <x:f>IF(AND(L$8&lt;='Detalle'!$H27,L$9&gt;='Detalle'!$G27),1,"")</x:f>
      </x:c>
      <x:c r="M48" s="32" t="str">
        <x:f>IF(AND(M$8&lt;='Detalle'!$H27,M$9&gt;='Detalle'!$G27),1,"")</x:f>
      </x:c>
      <x:c r="N48" s="32" t="str">
        <x:f>IF(AND(N$8&lt;='Detalle'!$H27,N$9&gt;='Detalle'!$G27),1,"")</x:f>
      </x:c>
      <x:c r="O48" s="32" t="str">
        <x:f>IF(AND(O$8&lt;='Detalle'!$H27,O$9&gt;='Detalle'!$G27),1,"")</x:f>
      </x:c>
      <x:c r="P48" s="32" t="str">
        <x:f>IF(AND(P$8&lt;='Detalle'!$H27,P$9&gt;='Detalle'!$G27),1,"")</x:f>
      </x:c>
      <x:c r="Q48" s="68"/>
      <x:c r="R48" s="67" t="str">
        <x:f>IF('Detalle'!M27="","",'Detalle'!M27)</x:f>
      </x:c>
      <x:c r="S48" s="67" t="str">
        <x:f>IF('Detalle'!N27="","",'Detalle'!N27)</x:f>
      </x:c>
    </x:row>
    <x:row r="49" ht="16" customHeight="1">
      <x:c r="A49" s="56" t="str">
        <x:v>INV02.007</x:v>
      </x:c>
      <x:c r="B49" s="57" t="str">
        <x:v>Estudiar modelado relacional</x:v>
      </x:c>
      <x:c r="C49" s="63" t="str">
        <x:v>R</x:v>
      </x:c>
      <x:c r="D49" s="65" t="str">
        <x:f>IF('Detalle'!L27="","",'Detalle'!L27)</x:f>
      </x:c>
      <x:c r="E49" s="60" t="str"/>
      <x:c r="F49" s="32" t="str">
        <x:f>IF(OR('Detalle'!$J27="",'Detalle'!$K27="",'Detalle'!$L27=""),"",IF(AND(F$8&lt;='Detalle'!$K27,F$9&gt;='Detalle'!$J27),1,""))</x:f>
      </x:c>
      <x:c r="G49" s="32" t="str">
        <x:f>IF(OR('Detalle'!$J27="",'Detalle'!$K27="",'Detalle'!$L27=""),"",IF(AND(G$8&lt;='Detalle'!$K27,G$9&gt;='Detalle'!$J27),1,""))</x:f>
      </x:c>
      <x:c r="H49" s="32" t="str">
        <x:f>IF(OR('Detalle'!$J27="",'Detalle'!$K27="",'Detalle'!$L27=""),"",IF(AND(H$8&lt;='Detalle'!$K27,H$9&gt;='Detalle'!$J27),1,""))</x:f>
      </x:c>
      <x:c r="I49" s="32" t="str">
        <x:f>IF(OR('Detalle'!$J27="",'Detalle'!$K27="",'Detalle'!$L27=""),"",IF(AND(I$8&lt;='Detalle'!$K27,I$9&gt;='Detalle'!$J27),1,""))</x:f>
      </x:c>
      <x:c r="J49" s="32" t="str">
        <x:f>IF(OR('Detalle'!$J27="",'Detalle'!$K27="",'Detalle'!$L27=""),"",IF(AND(J$8&lt;='Detalle'!$K27,J$9&gt;='Detalle'!$J27),1,""))</x:f>
      </x:c>
      <x:c r="K49" s="32" t="str">
        <x:f>IF(OR('Detalle'!$J27="",'Detalle'!$K27="",'Detalle'!$L27=""),"",IF(AND(K$8&lt;='Detalle'!$K27,K$9&gt;='Detalle'!$J27),1,""))</x:f>
      </x:c>
      <x:c r="L49" s="32" t="str">
        <x:f>IF(OR('Detalle'!$J27="",'Detalle'!$K27="",'Detalle'!$L27=""),"",IF(AND(L$8&lt;='Detalle'!$K27,L$9&gt;='Detalle'!$J27),1,""))</x:f>
      </x:c>
      <x:c r="M49" s="32" t="str">
        <x:f>IF(OR('Detalle'!$J27="",'Detalle'!$K27="",'Detalle'!$L27=""),"",IF(AND(M$8&lt;='Detalle'!$K27,M$9&gt;='Detalle'!$J27),1,""))</x:f>
      </x:c>
      <x:c r="N49" s="32" t="str">
        <x:f>IF(OR('Detalle'!$J27="",'Detalle'!$K27="",'Detalle'!$L27=""),"",IF(AND(N$8&lt;='Detalle'!$K27,N$9&gt;='Detalle'!$J27),1,""))</x:f>
      </x:c>
      <x:c r="O49" s="32" t="str">
        <x:f>IF(OR('Detalle'!$J27="",'Detalle'!$K27="",'Detalle'!$L27=""),"",IF(AND(O$8&lt;='Detalle'!$K27,O$9&gt;='Detalle'!$J27),1,""))</x:f>
      </x:c>
      <x:c r="P49" s="32" t="str">
        <x:f>IF(OR('Detalle'!$J27="",'Detalle'!$K27="",'Detalle'!$L27=""),"",IF(AND(P$8&lt;='Detalle'!$K27,P$9&gt;='Detalle'!$J27),1,""))</x:f>
      </x:c>
      <x:c r="Q49" s="68"/>
      <x:c r="R49" s="67" t="str"/>
      <x:c r="S49" s="67" t="str"/>
    </x:row>
    <x:row r="50" ht="16" customHeight="1">
      <x:c r="A50" s="56" t="str">
        <x:v>INV02.008</x:v>
      </x:c>
      <x:c r="B50" s="57" t="str">
        <x:v>Estudiar RLS y permisos por columna</x:v>
      </x:c>
      <x:c r="C50" s="62" t="str">
        <x:v>E</x:v>
      </x:c>
      <x:c r="D50" s="64" t="n">
        <x:f>'Detalle'!I28</x:f>
        <x:v>1</x:v>
      </x:c>
      <x:c r="E50" s="60" t="str">
        <x:f>'Detalle'!F28</x:f>
        <x:v>Completado</x:v>
      </x:c>
      <x:c r="F50" s="32" t="n">
        <x:f>IF(AND(F$8&lt;='Detalle'!$H28,F$9&gt;='Detalle'!$G28),1,"")</x:f>
        <x:v>1</x:v>
      </x:c>
      <x:c r="G50" s="32" t="str">
        <x:f>IF(AND(G$8&lt;='Detalle'!$H28,G$9&gt;='Detalle'!$G28),1,"")</x:f>
      </x:c>
      <x:c r="H50" s="32" t="str">
        <x:f>IF(AND(H$8&lt;='Detalle'!$H28,H$9&gt;='Detalle'!$G28),1,"")</x:f>
      </x:c>
      <x:c r="I50" s="32" t="str">
        <x:f>IF(AND(I$8&lt;='Detalle'!$H28,I$9&gt;='Detalle'!$G28),1,"")</x:f>
      </x:c>
      <x:c r="J50" s="32" t="str">
        <x:f>IF(AND(J$8&lt;='Detalle'!$H28,J$9&gt;='Detalle'!$G28),1,"")</x:f>
      </x:c>
      <x:c r="K50" s="32" t="str">
        <x:f>IF(AND(K$8&lt;='Detalle'!$H28,K$9&gt;='Detalle'!$G28),1,"")</x:f>
      </x:c>
      <x:c r="L50" s="32" t="str">
        <x:f>IF(AND(L$8&lt;='Detalle'!$H28,L$9&gt;='Detalle'!$G28),1,"")</x:f>
      </x:c>
      <x:c r="M50" s="32" t="str">
        <x:f>IF(AND(M$8&lt;='Detalle'!$H28,M$9&gt;='Detalle'!$G28),1,"")</x:f>
      </x:c>
      <x:c r="N50" s="32" t="str">
        <x:f>IF(AND(N$8&lt;='Detalle'!$H28,N$9&gt;='Detalle'!$G28),1,"")</x:f>
      </x:c>
      <x:c r="O50" s="32" t="str">
        <x:f>IF(AND(O$8&lt;='Detalle'!$H28,O$9&gt;='Detalle'!$G28),1,"")</x:f>
      </x:c>
      <x:c r="P50" s="32" t="str">
        <x:f>IF(AND(P$8&lt;='Detalle'!$H28,P$9&gt;='Detalle'!$G28),1,"")</x:f>
      </x:c>
      <x:c r="Q50" s="68"/>
      <x:c r="R50" s="67" t="str">
        <x:f>IF('Detalle'!M28="","",'Detalle'!M28)</x:f>
      </x:c>
      <x:c r="S50" s="67" t="str">
        <x:f>IF('Detalle'!N28="","",'Detalle'!N28)</x:f>
      </x:c>
    </x:row>
    <x:row r="51" ht="16" customHeight="1">
      <x:c r="A51" s="56" t="str">
        <x:v>INV02.008</x:v>
      </x:c>
      <x:c r="B51" s="57" t="str">
        <x:v>Estudiar RLS y permisos por columna</x:v>
      </x:c>
      <x:c r="C51" s="63" t="str">
        <x:v>R</x:v>
      </x:c>
      <x:c r="D51" s="65" t="str">
        <x:f>IF('Detalle'!L28="","",'Detalle'!L28)</x:f>
      </x:c>
      <x:c r="E51" s="60" t="str"/>
      <x:c r="F51" s="32" t="str">
        <x:f>IF(OR('Detalle'!$J28="",'Detalle'!$K28="",'Detalle'!$L28=""),"",IF(AND(F$8&lt;='Detalle'!$K28,F$9&gt;='Detalle'!$J28),1,""))</x:f>
      </x:c>
      <x:c r="G51" s="32" t="str">
        <x:f>IF(OR('Detalle'!$J28="",'Detalle'!$K28="",'Detalle'!$L28=""),"",IF(AND(G$8&lt;='Detalle'!$K28,G$9&gt;='Detalle'!$J28),1,""))</x:f>
      </x:c>
      <x:c r="H51" s="32" t="str">
        <x:f>IF(OR('Detalle'!$J28="",'Detalle'!$K28="",'Detalle'!$L28=""),"",IF(AND(H$8&lt;='Detalle'!$K28,H$9&gt;='Detalle'!$J28),1,""))</x:f>
      </x:c>
      <x:c r="I51" s="32" t="str">
        <x:f>IF(OR('Detalle'!$J28="",'Detalle'!$K28="",'Detalle'!$L28=""),"",IF(AND(I$8&lt;='Detalle'!$K28,I$9&gt;='Detalle'!$J28),1,""))</x:f>
      </x:c>
      <x:c r="J51" s="32" t="str">
        <x:f>IF(OR('Detalle'!$J28="",'Detalle'!$K28="",'Detalle'!$L28=""),"",IF(AND(J$8&lt;='Detalle'!$K28,J$9&gt;='Detalle'!$J28),1,""))</x:f>
      </x:c>
      <x:c r="K51" s="32" t="str">
        <x:f>IF(OR('Detalle'!$J28="",'Detalle'!$K28="",'Detalle'!$L28=""),"",IF(AND(K$8&lt;='Detalle'!$K28,K$9&gt;='Detalle'!$J28),1,""))</x:f>
      </x:c>
      <x:c r="L51" s="32" t="str">
        <x:f>IF(OR('Detalle'!$J28="",'Detalle'!$K28="",'Detalle'!$L28=""),"",IF(AND(L$8&lt;='Detalle'!$K28,L$9&gt;='Detalle'!$J28),1,""))</x:f>
      </x:c>
      <x:c r="M51" s="32" t="str">
        <x:f>IF(OR('Detalle'!$J28="",'Detalle'!$K28="",'Detalle'!$L28=""),"",IF(AND(M$8&lt;='Detalle'!$K28,M$9&gt;='Detalle'!$J28),1,""))</x:f>
      </x:c>
      <x:c r="N51" s="32" t="str">
        <x:f>IF(OR('Detalle'!$J28="",'Detalle'!$K28="",'Detalle'!$L28=""),"",IF(AND(N$8&lt;='Detalle'!$K28,N$9&gt;='Detalle'!$J28),1,""))</x:f>
      </x:c>
      <x:c r="O51" s="32" t="str">
        <x:f>IF(OR('Detalle'!$J28="",'Detalle'!$K28="",'Detalle'!$L28=""),"",IF(AND(O$8&lt;='Detalle'!$K28,O$9&gt;='Detalle'!$J28),1,""))</x:f>
      </x:c>
      <x:c r="P51" s="32" t="str">
        <x:f>IF(OR('Detalle'!$J28="",'Detalle'!$K28="",'Detalle'!$L28=""),"",IF(AND(P$8&lt;='Detalle'!$K28,P$9&gt;='Detalle'!$J28),1,""))</x:f>
      </x:c>
      <x:c r="Q51" s="68"/>
      <x:c r="R51" s="67" t="str"/>
      <x:c r="S51" s="67" t="str"/>
    </x:row>
    <x:row r="52" ht="16" customHeight="1">
      <x:c r="A52" s="56" t="str">
        <x:v>INV02.009</x:v>
      </x:c>
      <x:c r="B52" s="57" t="str">
        <x:v>Estudiar operaciones atómicas</x:v>
      </x:c>
      <x:c r="C52" s="62" t="str">
        <x:v>E</x:v>
      </x:c>
      <x:c r="D52" s="64" t="n">
        <x:f>'Detalle'!I29</x:f>
        <x:v>1</x:v>
      </x:c>
      <x:c r="E52" s="60" t="str">
        <x:f>'Detalle'!F29</x:f>
        <x:v>Completado</x:v>
      </x:c>
      <x:c r="F52" s="32" t="n">
        <x:f>IF(AND(F$8&lt;='Detalle'!$H29,F$9&gt;='Detalle'!$G29),1,"")</x:f>
        <x:v>1</x:v>
      </x:c>
      <x:c r="G52" s="32" t="str">
        <x:f>IF(AND(G$8&lt;='Detalle'!$H29,G$9&gt;='Detalle'!$G29),1,"")</x:f>
      </x:c>
      <x:c r="H52" s="32" t="str">
        <x:f>IF(AND(H$8&lt;='Detalle'!$H29,H$9&gt;='Detalle'!$G29),1,"")</x:f>
      </x:c>
      <x:c r="I52" s="32" t="str">
        <x:f>IF(AND(I$8&lt;='Detalle'!$H29,I$9&gt;='Detalle'!$G29),1,"")</x:f>
      </x:c>
      <x:c r="J52" s="32" t="str">
        <x:f>IF(AND(J$8&lt;='Detalle'!$H29,J$9&gt;='Detalle'!$G29),1,"")</x:f>
      </x:c>
      <x:c r="K52" s="32" t="str">
        <x:f>IF(AND(K$8&lt;='Detalle'!$H29,K$9&gt;='Detalle'!$G29),1,"")</x:f>
      </x:c>
      <x:c r="L52" s="32" t="str">
        <x:f>IF(AND(L$8&lt;='Detalle'!$H29,L$9&gt;='Detalle'!$G29),1,"")</x:f>
      </x:c>
      <x:c r="M52" s="32" t="str">
        <x:f>IF(AND(M$8&lt;='Detalle'!$H29,M$9&gt;='Detalle'!$G29),1,"")</x:f>
      </x:c>
      <x:c r="N52" s="32" t="str">
        <x:f>IF(AND(N$8&lt;='Detalle'!$H29,N$9&gt;='Detalle'!$G29),1,"")</x:f>
      </x:c>
      <x:c r="O52" s="32" t="str">
        <x:f>IF(AND(O$8&lt;='Detalle'!$H29,O$9&gt;='Detalle'!$G29),1,"")</x:f>
      </x:c>
      <x:c r="P52" s="32" t="str">
        <x:f>IF(AND(P$8&lt;='Detalle'!$H29,P$9&gt;='Detalle'!$G29),1,"")</x:f>
      </x:c>
      <x:c r="Q52" s="68"/>
      <x:c r="R52" s="67" t="str">
        <x:f>IF('Detalle'!M29="","",'Detalle'!M29)</x:f>
      </x:c>
      <x:c r="S52" s="67" t="str">
        <x:f>IF('Detalle'!N29="","",'Detalle'!N29)</x:f>
      </x:c>
    </x:row>
    <x:row r="53" ht="16" customHeight="1">
      <x:c r="A53" s="56" t="str">
        <x:v>INV02.009</x:v>
      </x:c>
      <x:c r="B53" s="57" t="str">
        <x:v>Estudiar operaciones atómicas</x:v>
      </x:c>
      <x:c r="C53" s="63" t="str">
        <x:v>R</x:v>
      </x:c>
      <x:c r="D53" s="65" t="str">
        <x:f>IF('Detalle'!L29="","",'Detalle'!L29)</x:f>
      </x:c>
      <x:c r="E53" s="60" t="str"/>
      <x:c r="F53" s="32" t="str">
        <x:f>IF(OR('Detalle'!$J29="",'Detalle'!$K29="",'Detalle'!$L29=""),"",IF(AND(F$8&lt;='Detalle'!$K29,F$9&gt;='Detalle'!$J29),1,""))</x:f>
      </x:c>
      <x:c r="G53" s="32" t="str">
        <x:f>IF(OR('Detalle'!$J29="",'Detalle'!$K29="",'Detalle'!$L29=""),"",IF(AND(G$8&lt;='Detalle'!$K29,G$9&gt;='Detalle'!$J29),1,""))</x:f>
      </x:c>
      <x:c r="H53" s="32" t="str">
        <x:f>IF(OR('Detalle'!$J29="",'Detalle'!$K29="",'Detalle'!$L29=""),"",IF(AND(H$8&lt;='Detalle'!$K29,H$9&gt;='Detalle'!$J29),1,""))</x:f>
      </x:c>
      <x:c r="I53" s="32" t="str">
        <x:f>IF(OR('Detalle'!$J29="",'Detalle'!$K29="",'Detalle'!$L29=""),"",IF(AND(I$8&lt;='Detalle'!$K29,I$9&gt;='Detalle'!$J29),1,""))</x:f>
      </x:c>
      <x:c r="J53" s="32" t="str">
        <x:f>IF(OR('Detalle'!$J29="",'Detalle'!$K29="",'Detalle'!$L29=""),"",IF(AND(J$8&lt;='Detalle'!$K29,J$9&gt;='Detalle'!$J29),1,""))</x:f>
      </x:c>
      <x:c r="K53" s="32" t="str">
        <x:f>IF(OR('Detalle'!$J29="",'Detalle'!$K29="",'Detalle'!$L29=""),"",IF(AND(K$8&lt;='Detalle'!$K29,K$9&gt;='Detalle'!$J29),1,""))</x:f>
      </x:c>
      <x:c r="L53" s="32" t="str">
        <x:f>IF(OR('Detalle'!$J29="",'Detalle'!$K29="",'Detalle'!$L29=""),"",IF(AND(L$8&lt;='Detalle'!$K29,L$9&gt;='Detalle'!$J29),1,""))</x:f>
      </x:c>
      <x:c r="M53" s="32" t="str">
        <x:f>IF(OR('Detalle'!$J29="",'Detalle'!$K29="",'Detalle'!$L29=""),"",IF(AND(M$8&lt;='Detalle'!$K29,M$9&gt;='Detalle'!$J29),1,""))</x:f>
      </x:c>
      <x:c r="N53" s="32" t="str">
        <x:f>IF(OR('Detalle'!$J29="",'Detalle'!$K29="",'Detalle'!$L29=""),"",IF(AND(N$8&lt;='Detalle'!$K29,N$9&gt;='Detalle'!$J29),1,""))</x:f>
      </x:c>
      <x:c r="O53" s="32" t="str">
        <x:f>IF(OR('Detalle'!$J29="",'Detalle'!$K29="",'Detalle'!$L29=""),"",IF(AND(O$8&lt;='Detalle'!$K29,O$9&gt;='Detalle'!$J29),1,""))</x:f>
      </x:c>
      <x:c r="P53" s="32" t="str">
        <x:f>IF(OR('Detalle'!$J29="",'Detalle'!$K29="",'Detalle'!$L29=""),"",IF(AND(P$8&lt;='Detalle'!$K29,P$9&gt;='Detalle'!$J29),1,""))</x:f>
      </x:c>
      <x:c r="Q53" s="68"/>
      <x:c r="R53" s="67" t="str"/>
      <x:c r="S53" s="67" t="str"/>
    </x:row>
    <x:row r="54" ht="16" customHeight="1">
      <x:c r="A54" s="56" t="str">
        <x:v>INV02.010</x:v>
      </x:c>
      <x:c r="B54" s="57" t="str">
        <x:v>Estudiar idempotencia de operaciones</x:v>
      </x:c>
      <x:c r="C54" s="62" t="str">
        <x:v>E</x:v>
      </x:c>
      <x:c r="D54" s="64" t="n">
        <x:f>'Detalle'!I30</x:f>
        <x:v>1</x:v>
      </x:c>
      <x:c r="E54" s="60" t="str">
        <x:f>'Detalle'!F30</x:f>
        <x:v>Completado</x:v>
      </x:c>
      <x:c r="F54" s="32" t="n">
        <x:f>IF(AND(F$8&lt;='Detalle'!$H30,F$9&gt;='Detalle'!$G30),1,"")</x:f>
        <x:v>1</x:v>
      </x:c>
      <x:c r="G54" s="32" t="str">
        <x:f>IF(AND(G$8&lt;='Detalle'!$H30,G$9&gt;='Detalle'!$G30),1,"")</x:f>
      </x:c>
      <x:c r="H54" s="32" t="str">
        <x:f>IF(AND(H$8&lt;='Detalle'!$H30,H$9&gt;='Detalle'!$G30),1,"")</x:f>
      </x:c>
      <x:c r="I54" s="32" t="str">
        <x:f>IF(AND(I$8&lt;='Detalle'!$H30,I$9&gt;='Detalle'!$G30),1,"")</x:f>
      </x:c>
      <x:c r="J54" s="32" t="str">
        <x:f>IF(AND(J$8&lt;='Detalle'!$H30,J$9&gt;='Detalle'!$G30),1,"")</x:f>
      </x:c>
      <x:c r="K54" s="32" t="str">
        <x:f>IF(AND(K$8&lt;='Detalle'!$H30,K$9&gt;='Detalle'!$G30),1,"")</x:f>
      </x:c>
      <x:c r="L54" s="32" t="str">
        <x:f>IF(AND(L$8&lt;='Detalle'!$H30,L$9&gt;='Detalle'!$G30),1,"")</x:f>
      </x:c>
      <x:c r="M54" s="32" t="str">
        <x:f>IF(AND(M$8&lt;='Detalle'!$H30,M$9&gt;='Detalle'!$G30),1,"")</x:f>
      </x:c>
      <x:c r="N54" s="32" t="str">
        <x:f>IF(AND(N$8&lt;='Detalle'!$H30,N$9&gt;='Detalle'!$G30),1,"")</x:f>
      </x:c>
      <x:c r="O54" s="32" t="str">
        <x:f>IF(AND(O$8&lt;='Detalle'!$H30,O$9&gt;='Detalle'!$G30),1,"")</x:f>
      </x:c>
      <x:c r="P54" s="32" t="str">
        <x:f>IF(AND(P$8&lt;='Detalle'!$H30,P$9&gt;='Detalle'!$G30),1,"")</x:f>
      </x:c>
      <x:c r="Q54" s="68"/>
      <x:c r="R54" s="67" t="str">
        <x:f>IF('Detalle'!M30="","",'Detalle'!M30)</x:f>
      </x:c>
      <x:c r="S54" s="67" t="str">
        <x:f>IF('Detalle'!N30="","",'Detalle'!N30)</x:f>
      </x:c>
    </x:row>
    <x:row r="55" ht="16" customHeight="1">
      <x:c r="A55" s="56" t="str">
        <x:v>INV02.010</x:v>
      </x:c>
      <x:c r="B55" s="57" t="str">
        <x:v>Estudiar idempotencia de operaciones</x:v>
      </x:c>
      <x:c r="C55" s="63" t="str">
        <x:v>R</x:v>
      </x:c>
      <x:c r="D55" s="65" t="str">
        <x:f>IF('Detalle'!L30="","",'Detalle'!L30)</x:f>
      </x:c>
      <x:c r="E55" s="60" t="str"/>
      <x:c r="F55" s="32" t="str">
        <x:f>IF(OR('Detalle'!$J30="",'Detalle'!$K30="",'Detalle'!$L30=""),"",IF(AND(F$8&lt;='Detalle'!$K30,F$9&gt;='Detalle'!$J30),1,""))</x:f>
      </x:c>
      <x:c r="G55" s="32" t="str">
        <x:f>IF(OR('Detalle'!$J30="",'Detalle'!$K30="",'Detalle'!$L30=""),"",IF(AND(G$8&lt;='Detalle'!$K30,G$9&gt;='Detalle'!$J30),1,""))</x:f>
      </x:c>
      <x:c r="H55" s="32" t="str">
        <x:f>IF(OR('Detalle'!$J30="",'Detalle'!$K30="",'Detalle'!$L30=""),"",IF(AND(H$8&lt;='Detalle'!$K30,H$9&gt;='Detalle'!$J30),1,""))</x:f>
      </x:c>
      <x:c r="I55" s="32" t="str">
        <x:f>IF(OR('Detalle'!$J30="",'Detalle'!$K30="",'Detalle'!$L30=""),"",IF(AND(I$8&lt;='Detalle'!$K30,I$9&gt;='Detalle'!$J30),1,""))</x:f>
      </x:c>
      <x:c r="J55" s="32" t="str">
        <x:f>IF(OR('Detalle'!$J30="",'Detalle'!$K30="",'Detalle'!$L30=""),"",IF(AND(J$8&lt;='Detalle'!$K30,J$9&gt;='Detalle'!$J30),1,""))</x:f>
      </x:c>
      <x:c r="K55" s="32" t="str">
        <x:f>IF(OR('Detalle'!$J30="",'Detalle'!$K30="",'Detalle'!$L30=""),"",IF(AND(K$8&lt;='Detalle'!$K30,K$9&gt;='Detalle'!$J30),1,""))</x:f>
      </x:c>
      <x:c r="L55" s="32" t="str">
        <x:f>IF(OR('Detalle'!$J30="",'Detalle'!$K30="",'Detalle'!$L30=""),"",IF(AND(L$8&lt;='Detalle'!$K30,L$9&gt;='Detalle'!$J30),1,""))</x:f>
      </x:c>
      <x:c r="M55" s="32" t="str">
        <x:f>IF(OR('Detalle'!$J30="",'Detalle'!$K30="",'Detalle'!$L30=""),"",IF(AND(M$8&lt;='Detalle'!$K30,M$9&gt;='Detalle'!$J30),1,""))</x:f>
      </x:c>
      <x:c r="N55" s="32" t="str">
        <x:f>IF(OR('Detalle'!$J30="",'Detalle'!$K30="",'Detalle'!$L30=""),"",IF(AND(N$8&lt;='Detalle'!$K30,N$9&gt;='Detalle'!$J30),1,""))</x:f>
      </x:c>
      <x:c r="O55" s="32" t="str">
        <x:f>IF(OR('Detalle'!$J30="",'Detalle'!$K30="",'Detalle'!$L30=""),"",IF(AND(O$8&lt;='Detalle'!$K30,O$9&gt;='Detalle'!$J30),1,""))</x:f>
      </x:c>
      <x:c r="P55" s="32" t="str">
        <x:f>IF(OR('Detalle'!$J30="",'Detalle'!$K30="",'Detalle'!$L30=""),"",IF(AND(P$8&lt;='Detalle'!$K30,P$9&gt;='Detalle'!$J30),1,""))</x:f>
      </x:c>
      <x:c r="Q55" s="68"/>
      <x:c r="R55" s="67" t="str"/>
      <x:c r="S55" s="67" t="str"/>
    </x:row>
    <x:row r="56" ht="16" customHeight="1">
      <x:c r="A56" s="56" t="str">
        <x:v>INV02.011</x:v>
      </x:c>
      <x:c r="B56" s="57" t="str">
        <x:v>Estudiar almacenamiento privado</x:v>
      </x:c>
      <x:c r="C56" s="62" t="str">
        <x:v>E</x:v>
      </x:c>
      <x:c r="D56" s="64" t="n">
        <x:f>'Detalle'!I31</x:f>
        <x:v>1</x:v>
      </x:c>
      <x:c r="E56" s="60" t="str">
        <x:f>'Detalle'!F31</x:f>
        <x:v>Completado</x:v>
      </x:c>
      <x:c r="F56" s="32" t="n">
        <x:f>IF(AND(F$8&lt;='Detalle'!$H31,F$9&gt;='Detalle'!$G31),1,"")</x:f>
        <x:v>1</x:v>
      </x:c>
      <x:c r="G56" s="32" t="str">
        <x:f>IF(AND(G$8&lt;='Detalle'!$H31,G$9&gt;='Detalle'!$G31),1,"")</x:f>
      </x:c>
      <x:c r="H56" s="32" t="str">
        <x:f>IF(AND(H$8&lt;='Detalle'!$H31,H$9&gt;='Detalle'!$G31),1,"")</x:f>
      </x:c>
      <x:c r="I56" s="32" t="str">
        <x:f>IF(AND(I$8&lt;='Detalle'!$H31,I$9&gt;='Detalle'!$G31),1,"")</x:f>
      </x:c>
      <x:c r="J56" s="32" t="str">
        <x:f>IF(AND(J$8&lt;='Detalle'!$H31,J$9&gt;='Detalle'!$G31),1,"")</x:f>
      </x:c>
      <x:c r="K56" s="32" t="str">
        <x:f>IF(AND(K$8&lt;='Detalle'!$H31,K$9&gt;='Detalle'!$G31),1,"")</x:f>
      </x:c>
      <x:c r="L56" s="32" t="str">
        <x:f>IF(AND(L$8&lt;='Detalle'!$H31,L$9&gt;='Detalle'!$G31),1,"")</x:f>
      </x:c>
      <x:c r="M56" s="32" t="str">
        <x:f>IF(AND(M$8&lt;='Detalle'!$H31,M$9&gt;='Detalle'!$G31),1,"")</x:f>
      </x:c>
      <x:c r="N56" s="32" t="str">
        <x:f>IF(AND(N$8&lt;='Detalle'!$H31,N$9&gt;='Detalle'!$G31),1,"")</x:f>
      </x:c>
      <x:c r="O56" s="32" t="str">
        <x:f>IF(AND(O$8&lt;='Detalle'!$H31,O$9&gt;='Detalle'!$G31),1,"")</x:f>
      </x:c>
      <x:c r="P56" s="32" t="str">
        <x:f>IF(AND(P$8&lt;='Detalle'!$H31,P$9&gt;='Detalle'!$G31),1,"")</x:f>
      </x:c>
      <x:c r="Q56" s="68"/>
      <x:c r="R56" s="67" t="str">
        <x:f>IF('Detalle'!M31="","",'Detalle'!M31)</x:f>
      </x:c>
      <x:c r="S56" s="67" t="str">
        <x:f>IF('Detalle'!N31="","",'Detalle'!N31)</x:f>
      </x:c>
    </x:row>
    <x:row r="57" ht="16" customHeight="1">
      <x:c r="A57" s="56" t="str">
        <x:v>INV02.011</x:v>
      </x:c>
      <x:c r="B57" s="57" t="str">
        <x:v>Estudiar almacenamiento privado</x:v>
      </x:c>
      <x:c r="C57" s="63" t="str">
        <x:v>R</x:v>
      </x:c>
      <x:c r="D57" s="65" t="str">
        <x:f>IF('Detalle'!L31="","",'Detalle'!L31)</x:f>
      </x:c>
      <x:c r="E57" s="60" t="str"/>
      <x:c r="F57" s="32" t="str">
        <x:f>IF(OR('Detalle'!$J31="",'Detalle'!$K31="",'Detalle'!$L31=""),"",IF(AND(F$8&lt;='Detalle'!$K31,F$9&gt;='Detalle'!$J31),1,""))</x:f>
      </x:c>
      <x:c r="G57" s="32" t="str">
        <x:f>IF(OR('Detalle'!$J31="",'Detalle'!$K31="",'Detalle'!$L31=""),"",IF(AND(G$8&lt;='Detalle'!$K31,G$9&gt;='Detalle'!$J31),1,""))</x:f>
      </x:c>
      <x:c r="H57" s="32" t="str">
        <x:f>IF(OR('Detalle'!$J31="",'Detalle'!$K31="",'Detalle'!$L31=""),"",IF(AND(H$8&lt;='Detalle'!$K31,H$9&gt;='Detalle'!$J31),1,""))</x:f>
      </x:c>
      <x:c r="I57" s="32" t="str">
        <x:f>IF(OR('Detalle'!$J31="",'Detalle'!$K31="",'Detalle'!$L31=""),"",IF(AND(I$8&lt;='Detalle'!$K31,I$9&gt;='Detalle'!$J31),1,""))</x:f>
      </x:c>
      <x:c r="J57" s="32" t="str">
        <x:f>IF(OR('Detalle'!$J31="",'Detalle'!$K31="",'Detalle'!$L31=""),"",IF(AND(J$8&lt;='Detalle'!$K31,J$9&gt;='Detalle'!$J31),1,""))</x:f>
      </x:c>
      <x:c r="K57" s="32" t="str">
        <x:f>IF(OR('Detalle'!$J31="",'Detalle'!$K31="",'Detalle'!$L31=""),"",IF(AND(K$8&lt;='Detalle'!$K31,K$9&gt;='Detalle'!$J31),1,""))</x:f>
      </x:c>
      <x:c r="L57" s="32" t="str">
        <x:f>IF(OR('Detalle'!$J31="",'Detalle'!$K31="",'Detalle'!$L31=""),"",IF(AND(L$8&lt;='Detalle'!$K31,L$9&gt;='Detalle'!$J31),1,""))</x:f>
      </x:c>
      <x:c r="M57" s="32" t="str">
        <x:f>IF(OR('Detalle'!$J31="",'Detalle'!$K31="",'Detalle'!$L31=""),"",IF(AND(M$8&lt;='Detalle'!$K31,M$9&gt;='Detalle'!$J31),1,""))</x:f>
      </x:c>
      <x:c r="N57" s="32" t="str">
        <x:f>IF(OR('Detalle'!$J31="",'Detalle'!$K31="",'Detalle'!$L31=""),"",IF(AND(N$8&lt;='Detalle'!$K31,N$9&gt;='Detalle'!$J31),1,""))</x:f>
      </x:c>
      <x:c r="O57" s="32" t="str">
        <x:f>IF(OR('Detalle'!$J31="",'Detalle'!$K31="",'Detalle'!$L31=""),"",IF(AND(O$8&lt;='Detalle'!$K31,O$9&gt;='Detalle'!$J31),1,""))</x:f>
      </x:c>
      <x:c r="P57" s="32" t="str">
        <x:f>IF(OR('Detalle'!$J31="",'Detalle'!$K31="",'Detalle'!$L31=""),"",IF(AND(P$8&lt;='Detalle'!$K31,P$9&gt;='Detalle'!$J31),1,""))</x:f>
      </x:c>
      <x:c r="Q57" s="68"/>
      <x:c r="R57" s="67" t="str"/>
      <x:c r="S57" s="67" t="str"/>
    </x:row>
    <x:row r="58" ht="16" customHeight="1">
      <x:c r="A58" s="56" t="str">
        <x:v>INV02.012</x:v>
      </x:c>
      <x:c r="B58" s="57" t="str">
        <x:v>Estudiar privacidad de identidad y preferencias</x:v>
      </x:c>
      <x:c r="C58" s="62" t="str">
        <x:v>E</x:v>
      </x:c>
      <x:c r="D58" s="64" t="n">
        <x:f>'Detalle'!I32</x:f>
        <x:v>1</x:v>
      </x:c>
      <x:c r="E58" s="60" t="str">
        <x:f>'Detalle'!F32</x:f>
        <x:v>Completado</x:v>
      </x:c>
      <x:c r="F58" s="32" t="n">
        <x:f>IF(AND(F$8&lt;='Detalle'!$H32,F$9&gt;='Detalle'!$G32),1,"")</x:f>
        <x:v>1</x:v>
      </x:c>
      <x:c r="G58" s="32" t="str">
        <x:f>IF(AND(G$8&lt;='Detalle'!$H32,G$9&gt;='Detalle'!$G32),1,"")</x:f>
      </x:c>
      <x:c r="H58" s="32" t="str">
        <x:f>IF(AND(H$8&lt;='Detalle'!$H32,H$9&gt;='Detalle'!$G32),1,"")</x:f>
      </x:c>
      <x:c r="I58" s="32" t="str">
        <x:f>IF(AND(I$8&lt;='Detalle'!$H32,I$9&gt;='Detalle'!$G32),1,"")</x:f>
      </x:c>
      <x:c r="J58" s="32" t="str">
        <x:f>IF(AND(J$8&lt;='Detalle'!$H32,J$9&gt;='Detalle'!$G32),1,"")</x:f>
      </x:c>
      <x:c r="K58" s="32" t="str">
        <x:f>IF(AND(K$8&lt;='Detalle'!$H32,K$9&gt;='Detalle'!$G32),1,"")</x:f>
      </x:c>
      <x:c r="L58" s="32" t="str">
        <x:f>IF(AND(L$8&lt;='Detalle'!$H32,L$9&gt;='Detalle'!$G32),1,"")</x:f>
      </x:c>
      <x:c r="M58" s="32" t="str">
        <x:f>IF(AND(M$8&lt;='Detalle'!$H32,M$9&gt;='Detalle'!$G32),1,"")</x:f>
      </x:c>
      <x:c r="N58" s="32" t="str">
        <x:f>IF(AND(N$8&lt;='Detalle'!$H32,N$9&gt;='Detalle'!$G32),1,"")</x:f>
      </x:c>
      <x:c r="O58" s="32" t="str">
        <x:f>IF(AND(O$8&lt;='Detalle'!$H32,O$9&gt;='Detalle'!$G32),1,"")</x:f>
      </x:c>
      <x:c r="P58" s="32" t="str">
        <x:f>IF(AND(P$8&lt;='Detalle'!$H32,P$9&gt;='Detalle'!$G32),1,"")</x:f>
      </x:c>
      <x:c r="Q58" s="68"/>
      <x:c r="R58" s="67" t="str">
        <x:f>IF('Detalle'!M32="","",'Detalle'!M32)</x:f>
      </x:c>
      <x:c r="S58" s="67" t="str">
        <x:f>IF('Detalle'!N32="","",'Detalle'!N32)</x:f>
      </x:c>
    </x:row>
    <x:row r="59" ht="16" customHeight="1">
      <x:c r="A59" s="56" t="str">
        <x:v>INV02.012</x:v>
      </x:c>
      <x:c r="B59" s="57" t="str">
        <x:v>Estudiar privacidad de identidad y preferencias</x:v>
      </x:c>
      <x:c r="C59" s="63" t="str">
        <x:v>R</x:v>
      </x:c>
      <x:c r="D59" s="65" t="str">
        <x:f>IF('Detalle'!L32="","",'Detalle'!L32)</x:f>
      </x:c>
      <x:c r="E59" s="60" t="str"/>
      <x:c r="F59" s="32" t="str">
        <x:f>IF(OR('Detalle'!$J32="",'Detalle'!$K32="",'Detalle'!$L32=""),"",IF(AND(F$8&lt;='Detalle'!$K32,F$9&gt;='Detalle'!$J32),1,""))</x:f>
      </x:c>
      <x:c r="G59" s="32" t="str">
        <x:f>IF(OR('Detalle'!$J32="",'Detalle'!$K32="",'Detalle'!$L32=""),"",IF(AND(G$8&lt;='Detalle'!$K32,G$9&gt;='Detalle'!$J32),1,""))</x:f>
      </x:c>
      <x:c r="H59" s="32" t="str">
        <x:f>IF(OR('Detalle'!$J32="",'Detalle'!$K32="",'Detalle'!$L32=""),"",IF(AND(H$8&lt;='Detalle'!$K32,H$9&gt;='Detalle'!$J32),1,""))</x:f>
      </x:c>
      <x:c r="I59" s="32" t="str">
        <x:f>IF(OR('Detalle'!$J32="",'Detalle'!$K32="",'Detalle'!$L32=""),"",IF(AND(I$8&lt;='Detalle'!$K32,I$9&gt;='Detalle'!$J32),1,""))</x:f>
      </x:c>
      <x:c r="J59" s="32" t="str">
        <x:f>IF(OR('Detalle'!$J32="",'Detalle'!$K32="",'Detalle'!$L32=""),"",IF(AND(J$8&lt;='Detalle'!$K32,J$9&gt;='Detalle'!$J32),1,""))</x:f>
      </x:c>
      <x:c r="K59" s="32" t="str">
        <x:f>IF(OR('Detalle'!$J32="",'Detalle'!$K32="",'Detalle'!$L32=""),"",IF(AND(K$8&lt;='Detalle'!$K32,K$9&gt;='Detalle'!$J32),1,""))</x:f>
      </x:c>
      <x:c r="L59" s="32" t="str">
        <x:f>IF(OR('Detalle'!$J32="",'Detalle'!$K32="",'Detalle'!$L32=""),"",IF(AND(L$8&lt;='Detalle'!$K32,L$9&gt;='Detalle'!$J32),1,""))</x:f>
      </x:c>
      <x:c r="M59" s="32" t="str">
        <x:f>IF(OR('Detalle'!$J32="",'Detalle'!$K32="",'Detalle'!$L32=""),"",IF(AND(M$8&lt;='Detalle'!$K32,M$9&gt;='Detalle'!$J32),1,""))</x:f>
      </x:c>
      <x:c r="N59" s="32" t="str">
        <x:f>IF(OR('Detalle'!$J32="",'Detalle'!$K32="",'Detalle'!$L32=""),"",IF(AND(N$8&lt;='Detalle'!$K32,N$9&gt;='Detalle'!$J32),1,""))</x:f>
      </x:c>
      <x:c r="O59" s="32" t="str">
        <x:f>IF(OR('Detalle'!$J32="",'Detalle'!$K32="",'Detalle'!$L32=""),"",IF(AND(O$8&lt;='Detalle'!$K32,O$9&gt;='Detalle'!$J32),1,""))</x:f>
      </x:c>
      <x:c r="P59" s="32" t="str">
        <x:f>IF(OR('Detalle'!$J32="",'Detalle'!$K32="",'Detalle'!$L32=""),"",IF(AND(P$8&lt;='Detalle'!$K32,P$9&gt;='Detalle'!$J32),1,""))</x:f>
      </x:c>
      <x:c r="Q59" s="68"/>
      <x:c r="R59" s="67" t="str"/>
      <x:c r="S59" s="67" t="str"/>
    </x:row>
    <x:row r="60" ht="16" customHeight="1">
      <x:c r="A60" s="56" t="str">
        <x:v>INV02.013</x:v>
      </x:c>
      <x:c r="B60" s="57" t="str">
        <x:v>Estudiar diseño accesible</x:v>
      </x:c>
      <x:c r="C60" s="62" t="str">
        <x:v>E</x:v>
      </x:c>
      <x:c r="D60" s="64" t="n">
        <x:f>'Detalle'!I33</x:f>
        <x:v>1</x:v>
      </x:c>
      <x:c r="E60" s="60" t="str">
        <x:f>'Detalle'!F33</x:f>
        <x:v>Completado</x:v>
      </x:c>
      <x:c r="F60" s="32" t="n">
        <x:f>IF(AND(F$8&lt;='Detalle'!$H33,F$9&gt;='Detalle'!$G33),1,"")</x:f>
        <x:v>1</x:v>
      </x:c>
      <x:c r="G60" s="32" t="str">
        <x:f>IF(AND(G$8&lt;='Detalle'!$H33,G$9&gt;='Detalle'!$G33),1,"")</x:f>
      </x:c>
      <x:c r="H60" s="32" t="str">
        <x:f>IF(AND(H$8&lt;='Detalle'!$H33,H$9&gt;='Detalle'!$G33),1,"")</x:f>
      </x:c>
      <x:c r="I60" s="32" t="str">
        <x:f>IF(AND(I$8&lt;='Detalle'!$H33,I$9&gt;='Detalle'!$G33),1,"")</x:f>
      </x:c>
      <x:c r="J60" s="32" t="str">
        <x:f>IF(AND(J$8&lt;='Detalle'!$H33,J$9&gt;='Detalle'!$G33),1,"")</x:f>
      </x:c>
      <x:c r="K60" s="32" t="str">
        <x:f>IF(AND(K$8&lt;='Detalle'!$H33,K$9&gt;='Detalle'!$G33),1,"")</x:f>
      </x:c>
      <x:c r="L60" s="32" t="str">
        <x:f>IF(AND(L$8&lt;='Detalle'!$H33,L$9&gt;='Detalle'!$G33),1,"")</x:f>
      </x:c>
      <x:c r="M60" s="32" t="str">
        <x:f>IF(AND(M$8&lt;='Detalle'!$H33,M$9&gt;='Detalle'!$G33),1,"")</x:f>
      </x:c>
      <x:c r="N60" s="32" t="str">
        <x:f>IF(AND(N$8&lt;='Detalle'!$H33,N$9&gt;='Detalle'!$G33),1,"")</x:f>
      </x:c>
      <x:c r="O60" s="32" t="str">
        <x:f>IF(AND(O$8&lt;='Detalle'!$H33,O$9&gt;='Detalle'!$G33),1,"")</x:f>
      </x:c>
      <x:c r="P60" s="32" t="str">
        <x:f>IF(AND(P$8&lt;='Detalle'!$H33,P$9&gt;='Detalle'!$G33),1,"")</x:f>
      </x:c>
      <x:c r="Q60" s="68"/>
      <x:c r="R60" s="67" t="str">
        <x:f>IF('Detalle'!M33="","",'Detalle'!M33)</x:f>
      </x:c>
      <x:c r="S60" s="67" t="str">
        <x:f>IF('Detalle'!N33="","",'Detalle'!N33)</x:f>
      </x:c>
    </x:row>
    <x:row r="61" ht="16" customHeight="1">
      <x:c r="A61" s="56" t="str">
        <x:v>INV02.013</x:v>
      </x:c>
      <x:c r="B61" s="57" t="str">
        <x:v>Estudiar diseño accesible</x:v>
      </x:c>
      <x:c r="C61" s="63" t="str">
        <x:v>R</x:v>
      </x:c>
      <x:c r="D61" s="65" t="str">
        <x:f>IF('Detalle'!L33="","",'Detalle'!L33)</x:f>
      </x:c>
      <x:c r="E61" s="60" t="str"/>
      <x:c r="F61" s="32" t="str">
        <x:f>IF(OR('Detalle'!$J33="",'Detalle'!$K33="",'Detalle'!$L33=""),"",IF(AND(F$8&lt;='Detalle'!$K33,F$9&gt;='Detalle'!$J33),1,""))</x:f>
      </x:c>
      <x:c r="G61" s="32" t="str">
        <x:f>IF(OR('Detalle'!$J33="",'Detalle'!$K33="",'Detalle'!$L33=""),"",IF(AND(G$8&lt;='Detalle'!$K33,G$9&gt;='Detalle'!$J33),1,""))</x:f>
      </x:c>
      <x:c r="H61" s="32" t="str">
        <x:f>IF(OR('Detalle'!$J33="",'Detalle'!$K33="",'Detalle'!$L33=""),"",IF(AND(H$8&lt;='Detalle'!$K33,H$9&gt;='Detalle'!$J33),1,""))</x:f>
      </x:c>
      <x:c r="I61" s="32" t="str">
        <x:f>IF(OR('Detalle'!$J33="",'Detalle'!$K33="",'Detalle'!$L33=""),"",IF(AND(I$8&lt;='Detalle'!$K33,I$9&gt;='Detalle'!$J33),1,""))</x:f>
      </x:c>
      <x:c r="J61" s="32" t="str">
        <x:f>IF(OR('Detalle'!$J33="",'Detalle'!$K33="",'Detalle'!$L33=""),"",IF(AND(J$8&lt;='Detalle'!$K33,J$9&gt;='Detalle'!$J33),1,""))</x:f>
      </x:c>
      <x:c r="K61" s="32" t="str">
        <x:f>IF(OR('Detalle'!$J33="",'Detalle'!$K33="",'Detalle'!$L33=""),"",IF(AND(K$8&lt;='Detalle'!$K33,K$9&gt;='Detalle'!$J33),1,""))</x:f>
      </x:c>
      <x:c r="L61" s="32" t="str">
        <x:f>IF(OR('Detalle'!$J33="",'Detalle'!$K33="",'Detalle'!$L33=""),"",IF(AND(L$8&lt;='Detalle'!$K33,L$9&gt;='Detalle'!$J33),1,""))</x:f>
      </x:c>
      <x:c r="M61" s="32" t="str">
        <x:f>IF(OR('Detalle'!$J33="",'Detalle'!$K33="",'Detalle'!$L33=""),"",IF(AND(M$8&lt;='Detalle'!$K33,M$9&gt;='Detalle'!$J33),1,""))</x:f>
      </x:c>
      <x:c r="N61" s="32" t="str">
        <x:f>IF(OR('Detalle'!$J33="",'Detalle'!$K33="",'Detalle'!$L33=""),"",IF(AND(N$8&lt;='Detalle'!$K33,N$9&gt;='Detalle'!$J33),1,""))</x:f>
      </x:c>
      <x:c r="O61" s="32" t="str">
        <x:f>IF(OR('Detalle'!$J33="",'Detalle'!$K33="",'Detalle'!$L33=""),"",IF(AND(O$8&lt;='Detalle'!$K33,O$9&gt;='Detalle'!$J33),1,""))</x:f>
      </x:c>
      <x:c r="P61" s="32" t="str">
        <x:f>IF(OR('Detalle'!$J33="",'Detalle'!$K33="",'Detalle'!$L33=""),"",IF(AND(P$8&lt;='Detalle'!$K33,P$9&gt;='Detalle'!$J33),1,""))</x:f>
      </x:c>
      <x:c r="Q61" s="68"/>
      <x:c r="R61" s="67" t="str"/>
      <x:c r="S61" s="67" t="str"/>
    </x:row>
    <x:row r="62" ht="16" customHeight="1">
      <x:c r="A62" s="56" t="str">
        <x:v>INV02.014</x:v>
      </x:c>
      <x:c r="B62" s="57" t="str">
        <x:v>Estudiar pruebas por capas</x:v>
      </x:c>
      <x:c r="C62" s="62" t="str">
        <x:v>E</x:v>
      </x:c>
      <x:c r="D62" s="64" t="n">
        <x:f>'Detalle'!I34</x:f>
        <x:v>1</x:v>
      </x:c>
      <x:c r="E62" s="60" t="str">
        <x:f>'Detalle'!F34</x:f>
        <x:v>Completado</x:v>
      </x:c>
      <x:c r="F62" s="32" t="n">
        <x:f>IF(AND(F$8&lt;='Detalle'!$H34,F$9&gt;='Detalle'!$G34),1,"")</x:f>
        <x:v>1</x:v>
      </x:c>
      <x:c r="G62" s="32" t="str">
        <x:f>IF(AND(G$8&lt;='Detalle'!$H34,G$9&gt;='Detalle'!$G34),1,"")</x:f>
      </x:c>
      <x:c r="H62" s="32" t="str">
        <x:f>IF(AND(H$8&lt;='Detalle'!$H34,H$9&gt;='Detalle'!$G34),1,"")</x:f>
      </x:c>
      <x:c r="I62" s="32" t="str">
        <x:f>IF(AND(I$8&lt;='Detalle'!$H34,I$9&gt;='Detalle'!$G34),1,"")</x:f>
      </x:c>
      <x:c r="J62" s="32" t="str">
        <x:f>IF(AND(J$8&lt;='Detalle'!$H34,J$9&gt;='Detalle'!$G34),1,"")</x:f>
      </x:c>
      <x:c r="K62" s="32" t="str">
        <x:f>IF(AND(K$8&lt;='Detalle'!$H34,K$9&gt;='Detalle'!$G34),1,"")</x:f>
      </x:c>
      <x:c r="L62" s="32" t="str">
        <x:f>IF(AND(L$8&lt;='Detalle'!$H34,L$9&gt;='Detalle'!$G34),1,"")</x:f>
      </x:c>
      <x:c r="M62" s="32" t="str">
        <x:f>IF(AND(M$8&lt;='Detalle'!$H34,M$9&gt;='Detalle'!$G34),1,"")</x:f>
      </x:c>
      <x:c r="N62" s="32" t="str">
        <x:f>IF(AND(N$8&lt;='Detalle'!$H34,N$9&gt;='Detalle'!$G34),1,"")</x:f>
      </x:c>
      <x:c r="O62" s="32" t="str">
        <x:f>IF(AND(O$8&lt;='Detalle'!$H34,O$9&gt;='Detalle'!$G34),1,"")</x:f>
      </x:c>
      <x:c r="P62" s="32" t="str">
        <x:f>IF(AND(P$8&lt;='Detalle'!$H34,P$9&gt;='Detalle'!$G34),1,"")</x:f>
      </x:c>
      <x:c r="Q62" s="68"/>
      <x:c r="R62" s="67" t="str">
        <x:f>IF('Detalle'!M34="","",'Detalle'!M34)</x:f>
      </x:c>
      <x:c r="S62" s="67" t="str">
        <x:f>IF('Detalle'!N34="","",'Detalle'!N34)</x:f>
      </x:c>
    </x:row>
    <x:row r="63" ht="16" customHeight="1">
      <x:c r="A63" s="56" t="str">
        <x:v>INV02.014</x:v>
      </x:c>
      <x:c r="B63" s="57" t="str">
        <x:v>Estudiar pruebas por capas</x:v>
      </x:c>
      <x:c r="C63" s="63" t="str">
        <x:v>R</x:v>
      </x:c>
      <x:c r="D63" s="65" t="str">
        <x:f>IF('Detalle'!L34="","",'Detalle'!L34)</x:f>
      </x:c>
      <x:c r="E63" s="60" t="str"/>
      <x:c r="F63" s="32" t="str">
        <x:f>IF(OR('Detalle'!$J34="",'Detalle'!$K34="",'Detalle'!$L34=""),"",IF(AND(F$8&lt;='Detalle'!$K34,F$9&gt;='Detalle'!$J34),1,""))</x:f>
      </x:c>
      <x:c r="G63" s="32" t="str">
        <x:f>IF(OR('Detalle'!$J34="",'Detalle'!$K34="",'Detalle'!$L34=""),"",IF(AND(G$8&lt;='Detalle'!$K34,G$9&gt;='Detalle'!$J34),1,""))</x:f>
      </x:c>
      <x:c r="H63" s="32" t="str">
        <x:f>IF(OR('Detalle'!$J34="",'Detalle'!$K34="",'Detalle'!$L34=""),"",IF(AND(H$8&lt;='Detalle'!$K34,H$9&gt;='Detalle'!$J34),1,""))</x:f>
      </x:c>
      <x:c r="I63" s="32" t="str">
        <x:f>IF(OR('Detalle'!$J34="",'Detalle'!$K34="",'Detalle'!$L34=""),"",IF(AND(I$8&lt;='Detalle'!$K34,I$9&gt;='Detalle'!$J34),1,""))</x:f>
      </x:c>
      <x:c r="J63" s="32" t="str">
        <x:f>IF(OR('Detalle'!$J34="",'Detalle'!$K34="",'Detalle'!$L34=""),"",IF(AND(J$8&lt;='Detalle'!$K34,J$9&gt;='Detalle'!$J34),1,""))</x:f>
      </x:c>
      <x:c r="K63" s="32" t="str">
        <x:f>IF(OR('Detalle'!$J34="",'Detalle'!$K34="",'Detalle'!$L34=""),"",IF(AND(K$8&lt;='Detalle'!$K34,K$9&gt;='Detalle'!$J34),1,""))</x:f>
      </x:c>
      <x:c r="L63" s="32" t="str">
        <x:f>IF(OR('Detalle'!$J34="",'Detalle'!$K34="",'Detalle'!$L34=""),"",IF(AND(L$8&lt;='Detalle'!$K34,L$9&gt;='Detalle'!$J34),1,""))</x:f>
      </x:c>
      <x:c r="M63" s="32" t="str">
        <x:f>IF(OR('Detalle'!$J34="",'Detalle'!$K34="",'Detalle'!$L34=""),"",IF(AND(M$8&lt;='Detalle'!$K34,M$9&gt;='Detalle'!$J34),1,""))</x:f>
      </x:c>
      <x:c r="N63" s="32" t="str">
        <x:f>IF(OR('Detalle'!$J34="",'Detalle'!$K34="",'Detalle'!$L34=""),"",IF(AND(N$8&lt;='Detalle'!$K34,N$9&gt;='Detalle'!$J34),1,""))</x:f>
      </x:c>
      <x:c r="O63" s="32" t="str">
        <x:f>IF(OR('Detalle'!$J34="",'Detalle'!$K34="",'Detalle'!$L34=""),"",IF(AND(O$8&lt;='Detalle'!$K34,O$9&gt;='Detalle'!$J34),1,""))</x:f>
      </x:c>
      <x:c r="P63" s="32" t="str">
        <x:f>IF(OR('Detalle'!$J34="",'Detalle'!$K34="",'Detalle'!$L34=""),"",IF(AND(P$8&lt;='Detalle'!$K34,P$9&gt;='Detalle'!$J34),1,""))</x:f>
      </x:c>
      <x:c r="Q63" s="68"/>
      <x:c r="R63" s="67" t="str"/>
      <x:c r="S63" s="67" t="str"/>
    </x:row>
    <x:row r="64" ht="20" customHeight="1">
      <x:c r="A64" s="52" t="str">
        <x:v>INV03 · Fundamentos de mapas, panoramas y AR</x:v>
      </x:c>
      <x:c r="B64" s="52" t="str">
        <x:v>INV03 · Fundamentos de mapas, panoramas y AR</x:v>
      </x:c>
      <x:c r="C64" s="52" t="str">
        <x:v>INV03 · Fundamentos de mapas, panoramas y AR</x:v>
      </x:c>
      <x:c r="D64" s="52" t="str">
        <x:v>INV03 · Fundamentos de mapas, panoramas y AR</x:v>
      </x:c>
      <x:c r="E64" s="52" t="str">
        <x:v>INV03 · Fundamentos de mapas, panoramas y AR</x:v>
      </x:c>
      <x:c r="F64" s="53" t="str">
        <x:v>INV03 · Fundamentos de mapas, panoramas y AR</x:v>
      </x:c>
      <x:c r="G64" s="53" t="str">
        <x:v>INV03 · Fundamentos de mapas, panoramas y AR</x:v>
      </x:c>
      <x:c r="H64" s="53" t="str">
        <x:v>INV03 · Fundamentos de mapas, panoramas y AR</x:v>
      </x:c>
      <x:c r="I64" s="53" t="str">
        <x:v>INV03 · Fundamentos de mapas, panoramas y AR</x:v>
      </x:c>
      <x:c r="J64" s="53" t="str">
        <x:v>INV03 · Fundamentos de mapas, panoramas y AR</x:v>
      </x:c>
      <x:c r="K64" s="53" t="str">
        <x:v>INV03 · Fundamentos de mapas, panoramas y AR</x:v>
      </x:c>
      <x:c r="L64" s="53" t="str">
        <x:v>INV03 · Fundamentos de mapas, panoramas y AR</x:v>
      </x:c>
      <x:c r="M64" s="53" t="str">
        <x:v>INV03 · Fundamentos de mapas, panoramas y AR</x:v>
      </x:c>
      <x:c r="N64" s="53" t="str">
        <x:v>INV03 · Fundamentos de mapas, panoramas y AR</x:v>
      </x:c>
      <x:c r="O64" s="53" t="str">
        <x:v>INV03 · Fundamentos de mapas, panoramas y AR</x:v>
      </x:c>
      <x:c r="P64" s="53" t="str">
        <x:v>INV03 · Fundamentos de mapas, panoramas y AR</x:v>
      </x:c>
      <x:c r="Q64" s="52" t="str">
        <x:v>INV03 · Fundamentos de mapas, panoramas y AR</x:v>
      </x:c>
      <x:c r="R64" s="52" t="str">
        <x:v>INV03 · Fundamentos de mapas, panoramas y AR</x:v>
      </x:c>
      <x:c r="S64" s="52" t="str">
        <x:v>INV03 · Fundamentos de mapas, panoramas y AR</x:v>
      </x:c>
    </x:row>
    <x:row r="65" ht="16" customHeight="1">
      <x:c r="A65" s="56" t="str">
        <x:v>INV03.001</x:v>
      </x:c>
      <x:c r="B65" s="57" t="str">
        <x:v>Estudiar coordenadas y precisión de ubicación</x:v>
      </x:c>
      <x:c r="C65" s="62" t="str">
        <x:v>E</x:v>
      </x:c>
      <x:c r="D65" s="64" t="n">
        <x:f>'Detalle'!I35</x:f>
        <x:v>1</x:v>
      </x:c>
      <x:c r="E65" s="60" t="str">
        <x:f>'Detalle'!F35</x:f>
        <x:v>Completado</x:v>
      </x:c>
      <x:c r="F65" s="32" t="n">
        <x:f>IF(AND(F$8&lt;='Detalle'!$H35,F$9&gt;='Detalle'!$G35),1,"")</x:f>
        <x:v>1</x:v>
      </x:c>
      <x:c r="G65" s="32" t="str">
        <x:f>IF(AND(G$8&lt;='Detalle'!$H35,G$9&gt;='Detalle'!$G35),1,"")</x:f>
      </x:c>
      <x:c r="H65" s="32" t="str">
        <x:f>IF(AND(H$8&lt;='Detalle'!$H35,H$9&gt;='Detalle'!$G35),1,"")</x:f>
      </x:c>
      <x:c r="I65" s="32" t="str">
        <x:f>IF(AND(I$8&lt;='Detalle'!$H35,I$9&gt;='Detalle'!$G35),1,"")</x:f>
      </x:c>
      <x:c r="J65" s="32" t="str">
        <x:f>IF(AND(J$8&lt;='Detalle'!$H35,J$9&gt;='Detalle'!$G35),1,"")</x:f>
      </x:c>
      <x:c r="K65" s="32" t="str">
        <x:f>IF(AND(K$8&lt;='Detalle'!$H35,K$9&gt;='Detalle'!$G35),1,"")</x:f>
      </x:c>
      <x:c r="L65" s="32" t="str">
        <x:f>IF(AND(L$8&lt;='Detalle'!$H35,L$9&gt;='Detalle'!$G35),1,"")</x:f>
      </x:c>
      <x:c r="M65" s="32" t="str">
        <x:f>IF(AND(M$8&lt;='Detalle'!$H35,M$9&gt;='Detalle'!$G35),1,"")</x:f>
      </x:c>
      <x:c r="N65" s="32" t="str">
        <x:f>IF(AND(N$8&lt;='Detalle'!$H35,N$9&gt;='Detalle'!$G35),1,"")</x:f>
      </x:c>
      <x:c r="O65" s="32" t="str">
        <x:f>IF(AND(O$8&lt;='Detalle'!$H35,O$9&gt;='Detalle'!$G35),1,"")</x:f>
      </x:c>
      <x:c r="P65" s="32" t="str">
        <x:f>IF(AND(P$8&lt;='Detalle'!$H35,P$9&gt;='Detalle'!$G35),1,"")</x:f>
      </x:c>
      <x:c r="Q65" s="68"/>
      <x:c r="R65" s="67" t="str">
        <x:f>IF('Detalle'!M35="","",'Detalle'!M35)</x:f>
      </x:c>
      <x:c r="S65" s="67" t="str">
        <x:f>IF('Detalle'!N35="","",'Detalle'!N35)</x:f>
      </x:c>
    </x:row>
    <x:row r="66" ht="16" customHeight="1">
      <x:c r="A66" s="56" t="str">
        <x:v>INV03.001</x:v>
      </x:c>
      <x:c r="B66" s="57" t="str">
        <x:v>Estudiar coordenadas y precisión de ubicación</x:v>
      </x:c>
      <x:c r="C66" s="63" t="str">
        <x:v>R</x:v>
      </x:c>
      <x:c r="D66" s="65" t="str">
        <x:f>IF('Detalle'!L35="","",'Detalle'!L35)</x:f>
      </x:c>
      <x:c r="E66" s="60" t="str"/>
      <x:c r="F66" s="32" t="str">
        <x:f>IF(OR('Detalle'!$J35="",'Detalle'!$K35="",'Detalle'!$L35=""),"",IF(AND(F$8&lt;='Detalle'!$K35,F$9&gt;='Detalle'!$J35),1,""))</x:f>
      </x:c>
      <x:c r="G66" s="32" t="str">
        <x:f>IF(OR('Detalle'!$J35="",'Detalle'!$K35="",'Detalle'!$L35=""),"",IF(AND(G$8&lt;='Detalle'!$K35,G$9&gt;='Detalle'!$J35),1,""))</x:f>
      </x:c>
      <x:c r="H66" s="32" t="str">
        <x:f>IF(OR('Detalle'!$J35="",'Detalle'!$K35="",'Detalle'!$L35=""),"",IF(AND(H$8&lt;='Detalle'!$K35,H$9&gt;='Detalle'!$J35),1,""))</x:f>
      </x:c>
      <x:c r="I66" s="32" t="str">
        <x:f>IF(OR('Detalle'!$J35="",'Detalle'!$K35="",'Detalle'!$L35=""),"",IF(AND(I$8&lt;='Detalle'!$K35,I$9&gt;='Detalle'!$J35),1,""))</x:f>
      </x:c>
      <x:c r="J66" s="32" t="str">
        <x:f>IF(OR('Detalle'!$J35="",'Detalle'!$K35="",'Detalle'!$L35=""),"",IF(AND(J$8&lt;='Detalle'!$K35,J$9&gt;='Detalle'!$J35),1,""))</x:f>
      </x:c>
      <x:c r="K66" s="32" t="str">
        <x:f>IF(OR('Detalle'!$J35="",'Detalle'!$K35="",'Detalle'!$L35=""),"",IF(AND(K$8&lt;='Detalle'!$K35,K$9&gt;='Detalle'!$J35),1,""))</x:f>
      </x:c>
      <x:c r="L66" s="32" t="str">
        <x:f>IF(OR('Detalle'!$J35="",'Detalle'!$K35="",'Detalle'!$L35=""),"",IF(AND(L$8&lt;='Detalle'!$K35,L$9&gt;='Detalle'!$J35),1,""))</x:f>
      </x:c>
      <x:c r="M66" s="32" t="str">
        <x:f>IF(OR('Detalle'!$J35="",'Detalle'!$K35="",'Detalle'!$L35=""),"",IF(AND(M$8&lt;='Detalle'!$K35,M$9&gt;='Detalle'!$J35),1,""))</x:f>
      </x:c>
      <x:c r="N66" s="32" t="str">
        <x:f>IF(OR('Detalle'!$J35="",'Detalle'!$K35="",'Detalle'!$L35=""),"",IF(AND(N$8&lt;='Detalle'!$K35,N$9&gt;='Detalle'!$J35),1,""))</x:f>
      </x:c>
      <x:c r="O66" s="32" t="str">
        <x:f>IF(OR('Detalle'!$J35="",'Detalle'!$K35="",'Detalle'!$L35=""),"",IF(AND(O$8&lt;='Detalle'!$K35,O$9&gt;='Detalle'!$J35),1,""))</x:f>
      </x:c>
      <x:c r="P66" s="32" t="str">
        <x:f>IF(OR('Detalle'!$J35="",'Detalle'!$K35="",'Detalle'!$L35=""),"",IF(AND(P$8&lt;='Detalle'!$K35,P$9&gt;='Detalle'!$J35),1,""))</x:f>
      </x:c>
      <x:c r="Q66" s="68"/>
      <x:c r="R66" s="67" t="str"/>
      <x:c r="S66" s="67" t="str"/>
    </x:row>
    <x:row r="67" ht="16" customHeight="1">
      <x:c r="A67" s="56" t="str">
        <x:v>INV03.002</x:v>
      </x:c>
      <x:c r="B67" s="57" t="str">
        <x:v>Estudiar cartografía OpenStreetMap</x:v>
      </x:c>
      <x:c r="C67" s="62" t="str">
        <x:v>E</x:v>
      </x:c>
      <x:c r="D67" s="64" t="n">
        <x:f>'Detalle'!I36</x:f>
        <x:v>1</x:v>
      </x:c>
      <x:c r="E67" s="60" t="str">
        <x:f>'Detalle'!F36</x:f>
        <x:v>Completado</x:v>
      </x:c>
      <x:c r="F67" s="32" t="n">
        <x:f>IF(AND(F$8&lt;='Detalle'!$H36,F$9&gt;='Detalle'!$G36),1,"")</x:f>
        <x:v>1</x:v>
      </x:c>
      <x:c r="G67" s="32" t="str">
        <x:f>IF(AND(G$8&lt;='Detalle'!$H36,G$9&gt;='Detalle'!$G36),1,"")</x:f>
      </x:c>
      <x:c r="H67" s="32" t="str">
        <x:f>IF(AND(H$8&lt;='Detalle'!$H36,H$9&gt;='Detalle'!$G36),1,"")</x:f>
      </x:c>
      <x:c r="I67" s="32" t="str">
        <x:f>IF(AND(I$8&lt;='Detalle'!$H36,I$9&gt;='Detalle'!$G36),1,"")</x:f>
      </x:c>
      <x:c r="J67" s="32" t="str">
        <x:f>IF(AND(J$8&lt;='Detalle'!$H36,J$9&gt;='Detalle'!$G36),1,"")</x:f>
      </x:c>
      <x:c r="K67" s="32" t="str">
        <x:f>IF(AND(K$8&lt;='Detalle'!$H36,K$9&gt;='Detalle'!$G36),1,"")</x:f>
      </x:c>
      <x:c r="L67" s="32" t="str">
        <x:f>IF(AND(L$8&lt;='Detalle'!$H36,L$9&gt;='Detalle'!$G36),1,"")</x:f>
      </x:c>
      <x:c r="M67" s="32" t="str">
        <x:f>IF(AND(M$8&lt;='Detalle'!$H36,M$9&gt;='Detalle'!$G36),1,"")</x:f>
      </x:c>
      <x:c r="N67" s="32" t="str">
        <x:f>IF(AND(N$8&lt;='Detalle'!$H36,N$9&gt;='Detalle'!$G36),1,"")</x:f>
      </x:c>
      <x:c r="O67" s="32" t="str">
        <x:f>IF(AND(O$8&lt;='Detalle'!$H36,O$9&gt;='Detalle'!$G36),1,"")</x:f>
      </x:c>
      <x:c r="P67" s="32" t="str">
        <x:f>IF(AND(P$8&lt;='Detalle'!$H36,P$9&gt;='Detalle'!$G36),1,"")</x:f>
      </x:c>
      <x:c r="Q67" s="68"/>
      <x:c r="R67" s="67" t="str">
        <x:f>IF('Detalle'!M36="","",'Detalle'!M36)</x:f>
      </x:c>
      <x:c r="S67" s="67" t="str">
        <x:f>IF('Detalle'!N36="","",'Detalle'!N36)</x:f>
      </x:c>
    </x:row>
    <x:row r="68" ht="16" customHeight="1">
      <x:c r="A68" s="56" t="str">
        <x:v>INV03.002</x:v>
      </x:c>
      <x:c r="B68" s="57" t="str">
        <x:v>Estudiar cartografía OpenStreetMap</x:v>
      </x:c>
      <x:c r="C68" s="63" t="str">
        <x:v>R</x:v>
      </x:c>
      <x:c r="D68" s="65" t="str">
        <x:f>IF('Detalle'!L36="","",'Detalle'!L36)</x:f>
      </x:c>
      <x:c r="E68" s="60" t="str"/>
      <x:c r="F68" s="32" t="str">
        <x:f>IF(OR('Detalle'!$J36="",'Detalle'!$K36="",'Detalle'!$L36=""),"",IF(AND(F$8&lt;='Detalle'!$K36,F$9&gt;='Detalle'!$J36),1,""))</x:f>
      </x:c>
      <x:c r="G68" s="32" t="str">
        <x:f>IF(OR('Detalle'!$J36="",'Detalle'!$K36="",'Detalle'!$L36=""),"",IF(AND(G$8&lt;='Detalle'!$K36,G$9&gt;='Detalle'!$J36),1,""))</x:f>
      </x:c>
      <x:c r="H68" s="32" t="str">
        <x:f>IF(OR('Detalle'!$J36="",'Detalle'!$K36="",'Detalle'!$L36=""),"",IF(AND(H$8&lt;='Detalle'!$K36,H$9&gt;='Detalle'!$J36),1,""))</x:f>
      </x:c>
      <x:c r="I68" s="32" t="str">
        <x:f>IF(OR('Detalle'!$J36="",'Detalle'!$K36="",'Detalle'!$L36=""),"",IF(AND(I$8&lt;='Detalle'!$K36,I$9&gt;='Detalle'!$J36),1,""))</x:f>
      </x:c>
      <x:c r="J68" s="32" t="str">
        <x:f>IF(OR('Detalle'!$J36="",'Detalle'!$K36="",'Detalle'!$L36=""),"",IF(AND(J$8&lt;='Detalle'!$K36,J$9&gt;='Detalle'!$J36),1,""))</x:f>
      </x:c>
      <x:c r="K68" s="32" t="str">
        <x:f>IF(OR('Detalle'!$J36="",'Detalle'!$K36="",'Detalle'!$L36=""),"",IF(AND(K$8&lt;='Detalle'!$K36,K$9&gt;='Detalle'!$J36),1,""))</x:f>
      </x:c>
      <x:c r="L68" s="32" t="str">
        <x:f>IF(OR('Detalle'!$J36="",'Detalle'!$K36="",'Detalle'!$L36=""),"",IF(AND(L$8&lt;='Detalle'!$K36,L$9&gt;='Detalle'!$J36),1,""))</x:f>
      </x:c>
      <x:c r="M68" s="32" t="str">
        <x:f>IF(OR('Detalle'!$J36="",'Detalle'!$K36="",'Detalle'!$L36=""),"",IF(AND(M$8&lt;='Detalle'!$K36,M$9&gt;='Detalle'!$J36),1,""))</x:f>
      </x:c>
      <x:c r="N68" s="32" t="str">
        <x:f>IF(OR('Detalle'!$J36="",'Detalle'!$K36="",'Detalle'!$L36=""),"",IF(AND(N$8&lt;='Detalle'!$K36,N$9&gt;='Detalle'!$J36),1,""))</x:f>
      </x:c>
      <x:c r="O68" s="32" t="str">
        <x:f>IF(OR('Detalle'!$J36="",'Detalle'!$K36="",'Detalle'!$L36=""),"",IF(AND(O$8&lt;='Detalle'!$K36,O$9&gt;='Detalle'!$J36),1,""))</x:f>
      </x:c>
      <x:c r="P68" s="32" t="str">
        <x:f>IF(OR('Detalle'!$J36="",'Detalle'!$K36="",'Detalle'!$L36=""),"",IF(AND(P$8&lt;='Detalle'!$K36,P$9&gt;='Detalle'!$J36),1,""))</x:f>
      </x:c>
      <x:c r="Q68" s="68"/>
      <x:c r="R68" s="67" t="str"/>
      <x:c r="S68" s="67" t="str"/>
    </x:row>
    <x:row r="69" ht="16" customHeight="1">
      <x:c r="A69" s="56" t="str">
        <x:v>INV03.003</x:v>
      </x:c>
      <x:c r="B69" s="57" t="str">
        <x:v>Estudiar permisos de geolocalización</x:v>
      </x:c>
      <x:c r="C69" s="62" t="str">
        <x:v>E</x:v>
      </x:c>
      <x:c r="D69" s="64" t="n">
        <x:f>'Detalle'!I37</x:f>
        <x:v>1</x:v>
      </x:c>
      <x:c r="E69" s="60" t="str">
        <x:f>'Detalle'!F37</x:f>
        <x:v>Completado</x:v>
      </x:c>
      <x:c r="F69" s="32" t="n">
        <x:f>IF(AND(F$8&lt;='Detalle'!$H37,F$9&gt;='Detalle'!$G37),1,"")</x:f>
        <x:v>1</x:v>
      </x:c>
      <x:c r="G69" s="32" t="str">
        <x:f>IF(AND(G$8&lt;='Detalle'!$H37,G$9&gt;='Detalle'!$G37),1,"")</x:f>
      </x:c>
      <x:c r="H69" s="32" t="str">
        <x:f>IF(AND(H$8&lt;='Detalle'!$H37,H$9&gt;='Detalle'!$G37),1,"")</x:f>
      </x:c>
      <x:c r="I69" s="32" t="str">
        <x:f>IF(AND(I$8&lt;='Detalle'!$H37,I$9&gt;='Detalle'!$G37),1,"")</x:f>
      </x:c>
      <x:c r="J69" s="32" t="str">
        <x:f>IF(AND(J$8&lt;='Detalle'!$H37,J$9&gt;='Detalle'!$G37),1,"")</x:f>
      </x:c>
      <x:c r="K69" s="32" t="str">
        <x:f>IF(AND(K$8&lt;='Detalle'!$H37,K$9&gt;='Detalle'!$G37),1,"")</x:f>
      </x:c>
      <x:c r="L69" s="32" t="str">
        <x:f>IF(AND(L$8&lt;='Detalle'!$H37,L$9&gt;='Detalle'!$G37),1,"")</x:f>
      </x:c>
      <x:c r="M69" s="32" t="str">
        <x:f>IF(AND(M$8&lt;='Detalle'!$H37,M$9&gt;='Detalle'!$G37),1,"")</x:f>
      </x:c>
      <x:c r="N69" s="32" t="str">
        <x:f>IF(AND(N$8&lt;='Detalle'!$H37,N$9&gt;='Detalle'!$G37),1,"")</x:f>
      </x:c>
      <x:c r="O69" s="32" t="str">
        <x:f>IF(AND(O$8&lt;='Detalle'!$H37,O$9&gt;='Detalle'!$G37),1,"")</x:f>
      </x:c>
      <x:c r="P69" s="32" t="str">
        <x:f>IF(AND(P$8&lt;='Detalle'!$H37,P$9&gt;='Detalle'!$G37),1,"")</x:f>
      </x:c>
      <x:c r="Q69" s="68"/>
      <x:c r="R69" s="67" t="str">
        <x:f>IF('Detalle'!M37="","",'Detalle'!M37)</x:f>
      </x:c>
      <x:c r="S69" s="67" t="str">
        <x:f>IF('Detalle'!N37="","",'Detalle'!N37)</x:f>
      </x:c>
    </x:row>
    <x:row r="70" ht="16" customHeight="1">
      <x:c r="A70" s="56" t="str">
        <x:v>INV03.003</x:v>
      </x:c>
      <x:c r="B70" s="57" t="str">
        <x:v>Estudiar permisos de geolocalización</x:v>
      </x:c>
      <x:c r="C70" s="63" t="str">
        <x:v>R</x:v>
      </x:c>
      <x:c r="D70" s="65" t="str">
        <x:f>IF('Detalle'!L37="","",'Detalle'!L37)</x:f>
      </x:c>
      <x:c r="E70" s="60" t="str"/>
      <x:c r="F70" s="32" t="str">
        <x:f>IF(OR('Detalle'!$J37="",'Detalle'!$K37="",'Detalle'!$L37=""),"",IF(AND(F$8&lt;='Detalle'!$K37,F$9&gt;='Detalle'!$J37),1,""))</x:f>
      </x:c>
      <x:c r="G70" s="32" t="str">
        <x:f>IF(OR('Detalle'!$J37="",'Detalle'!$K37="",'Detalle'!$L37=""),"",IF(AND(G$8&lt;='Detalle'!$K37,G$9&gt;='Detalle'!$J37),1,""))</x:f>
      </x:c>
      <x:c r="H70" s="32" t="str">
        <x:f>IF(OR('Detalle'!$J37="",'Detalle'!$K37="",'Detalle'!$L37=""),"",IF(AND(H$8&lt;='Detalle'!$K37,H$9&gt;='Detalle'!$J37),1,""))</x:f>
      </x:c>
      <x:c r="I70" s="32" t="str">
        <x:f>IF(OR('Detalle'!$J37="",'Detalle'!$K37="",'Detalle'!$L37=""),"",IF(AND(I$8&lt;='Detalle'!$K37,I$9&gt;='Detalle'!$J37),1,""))</x:f>
      </x:c>
      <x:c r="J70" s="32" t="str">
        <x:f>IF(OR('Detalle'!$J37="",'Detalle'!$K37="",'Detalle'!$L37=""),"",IF(AND(J$8&lt;='Detalle'!$K37,J$9&gt;='Detalle'!$J37),1,""))</x:f>
      </x:c>
      <x:c r="K70" s="32" t="str">
        <x:f>IF(OR('Detalle'!$J37="",'Detalle'!$K37="",'Detalle'!$L37=""),"",IF(AND(K$8&lt;='Detalle'!$K37,K$9&gt;='Detalle'!$J37),1,""))</x:f>
      </x:c>
      <x:c r="L70" s="32" t="str">
        <x:f>IF(OR('Detalle'!$J37="",'Detalle'!$K37="",'Detalle'!$L37=""),"",IF(AND(L$8&lt;='Detalle'!$K37,L$9&gt;='Detalle'!$J37),1,""))</x:f>
      </x:c>
      <x:c r="M70" s="32" t="str">
        <x:f>IF(OR('Detalle'!$J37="",'Detalle'!$K37="",'Detalle'!$L37=""),"",IF(AND(M$8&lt;='Detalle'!$K37,M$9&gt;='Detalle'!$J37),1,""))</x:f>
      </x:c>
      <x:c r="N70" s="32" t="str">
        <x:f>IF(OR('Detalle'!$J37="",'Detalle'!$K37="",'Detalle'!$L37=""),"",IF(AND(N$8&lt;='Detalle'!$K37,N$9&gt;='Detalle'!$J37),1,""))</x:f>
      </x:c>
      <x:c r="O70" s="32" t="str">
        <x:f>IF(OR('Detalle'!$J37="",'Detalle'!$K37="",'Detalle'!$L37=""),"",IF(AND(O$8&lt;='Detalle'!$K37,O$9&gt;='Detalle'!$J37),1,""))</x:f>
      </x:c>
      <x:c r="P70" s="32" t="str">
        <x:f>IF(OR('Detalle'!$J37="",'Detalle'!$K37="",'Detalle'!$L37=""),"",IF(AND(P$8&lt;='Detalle'!$K37,P$9&gt;='Detalle'!$J37),1,""))</x:f>
      </x:c>
      <x:c r="Q70" s="68"/>
      <x:c r="R70" s="67" t="str"/>
      <x:c r="S70" s="67" t="str"/>
    </x:row>
    <x:row r="71" ht="16" customHeight="1">
      <x:c r="A71" s="56" t="str">
        <x:v>INV03.004</x:v>
      </x:c>
      <x:c r="B71" s="57" t="str">
        <x:v>Estudiar panoramas equirectangulares</x:v>
      </x:c>
      <x:c r="C71" s="62" t="str">
        <x:v>E</x:v>
      </x:c>
      <x:c r="D71" s="64" t="n">
        <x:f>'Detalle'!I38</x:f>
        <x:v>1</x:v>
      </x:c>
      <x:c r="E71" s="60" t="str">
        <x:f>'Detalle'!F38</x:f>
        <x:v>Completado</x:v>
      </x:c>
      <x:c r="F71" s="32" t="n">
        <x:f>IF(AND(F$8&lt;='Detalle'!$H38,F$9&gt;='Detalle'!$G38),1,"")</x:f>
        <x:v>1</x:v>
      </x:c>
      <x:c r="G71" s="32" t="str">
        <x:f>IF(AND(G$8&lt;='Detalle'!$H38,G$9&gt;='Detalle'!$G38),1,"")</x:f>
      </x:c>
      <x:c r="H71" s="32" t="str">
        <x:f>IF(AND(H$8&lt;='Detalle'!$H38,H$9&gt;='Detalle'!$G38),1,"")</x:f>
      </x:c>
      <x:c r="I71" s="32" t="str">
        <x:f>IF(AND(I$8&lt;='Detalle'!$H38,I$9&gt;='Detalle'!$G38),1,"")</x:f>
      </x:c>
      <x:c r="J71" s="32" t="str">
        <x:f>IF(AND(J$8&lt;='Detalle'!$H38,J$9&gt;='Detalle'!$G38),1,"")</x:f>
      </x:c>
      <x:c r="K71" s="32" t="str">
        <x:f>IF(AND(K$8&lt;='Detalle'!$H38,K$9&gt;='Detalle'!$G38),1,"")</x:f>
      </x:c>
      <x:c r="L71" s="32" t="str">
        <x:f>IF(AND(L$8&lt;='Detalle'!$H38,L$9&gt;='Detalle'!$G38),1,"")</x:f>
      </x:c>
      <x:c r="M71" s="32" t="str">
        <x:f>IF(AND(M$8&lt;='Detalle'!$H38,M$9&gt;='Detalle'!$G38),1,"")</x:f>
      </x:c>
      <x:c r="N71" s="32" t="str">
        <x:f>IF(AND(N$8&lt;='Detalle'!$H38,N$9&gt;='Detalle'!$G38),1,"")</x:f>
      </x:c>
      <x:c r="O71" s="32" t="str">
        <x:f>IF(AND(O$8&lt;='Detalle'!$H38,O$9&gt;='Detalle'!$G38),1,"")</x:f>
      </x:c>
      <x:c r="P71" s="32" t="str">
        <x:f>IF(AND(P$8&lt;='Detalle'!$H38,P$9&gt;='Detalle'!$G38),1,"")</x:f>
      </x:c>
      <x:c r="Q71" s="68"/>
      <x:c r="R71" s="67" t="str">
        <x:f>IF('Detalle'!M38="","",'Detalle'!M38)</x:f>
      </x:c>
      <x:c r="S71" s="67" t="str">
        <x:f>IF('Detalle'!N38="","",'Detalle'!N38)</x:f>
      </x:c>
    </x:row>
    <x:row r="72" ht="16" customHeight="1">
      <x:c r="A72" s="56" t="str">
        <x:v>INV03.004</x:v>
      </x:c>
      <x:c r="B72" s="57" t="str">
        <x:v>Estudiar panoramas equirectangulares</x:v>
      </x:c>
      <x:c r="C72" s="63" t="str">
        <x:v>R</x:v>
      </x:c>
      <x:c r="D72" s="65" t="str">
        <x:f>IF('Detalle'!L38="","",'Detalle'!L38)</x:f>
      </x:c>
      <x:c r="E72" s="60" t="str"/>
      <x:c r="F72" s="32" t="str">
        <x:f>IF(OR('Detalle'!$J38="",'Detalle'!$K38="",'Detalle'!$L38=""),"",IF(AND(F$8&lt;='Detalle'!$K38,F$9&gt;='Detalle'!$J38),1,""))</x:f>
      </x:c>
      <x:c r="G72" s="32" t="str">
        <x:f>IF(OR('Detalle'!$J38="",'Detalle'!$K38="",'Detalle'!$L38=""),"",IF(AND(G$8&lt;='Detalle'!$K38,G$9&gt;='Detalle'!$J38),1,""))</x:f>
      </x:c>
      <x:c r="H72" s="32" t="str">
        <x:f>IF(OR('Detalle'!$J38="",'Detalle'!$K38="",'Detalle'!$L38=""),"",IF(AND(H$8&lt;='Detalle'!$K38,H$9&gt;='Detalle'!$J38),1,""))</x:f>
      </x:c>
      <x:c r="I72" s="32" t="str">
        <x:f>IF(OR('Detalle'!$J38="",'Detalle'!$K38="",'Detalle'!$L38=""),"",IF(AND(I$8&lt;='Detalle'!$K38,I$9&gt;='Detalle'!$J38),1,""))</x:f>
      </x:c>
      <x:c r="J72" s="32" t="str">
        <x:f>IF(OR('Detalle'!$J38="",'Detalle'!$K38="",'Detalle'!$L38=""),"",IF(AND(J$8&lt;='Detalle'!$K38,J$9&gt;='Detalle'!$J38),1,""))</x:f>
      </x:c>
      <x:c r="K72" s="32" t="str">
        <x:f>IF(OR('Detalle'!$J38="",'Detalle'!$K38="",'Detalle'!$L38=""),"",IF(AND(K$8&lt;='Detalle'!$K38,K$9&gt;='Detalle'!$J38),1,""))</x:f>
      </x:c>
      <x:c r="L72" s="32" t="str">
        <x:f>IF(OR('Detalle'!$J38="",'Detalle'!$K38="",'Detalle'!$L38=""),"",IF(AND(L$8&lt;='Detalle'!$K38,L$9&gt;='Detalle'!$J38),1,""))</x:f>
      </x:c>
      <x:c r="M72" s="32" t="str">
        <x:f>IF(OR('Detalle'!$J38="",'Detalle'!$K38="",'Detalle'!$L38=""),"",IF(AND(M$8&lt;='Detalle'!$K38,M$9&gt;='Detalle'!$J38),1,""))</x:f>
      </x:c>
      <x:c r="N72" s="32" t="str">
        <x:f>IF(OR('Detalle'!$J38="",'Detalle'!$K38="",'Detalle'!$L38=""),"",IF(AND(N$8&lt;='Detalle'!$K38,N$9&gt;='Detalle'!$J38),1,""))</x:f>
      </x:c>
      <x:c r="O72" s="32" t="str">
        <x:f>IF(OR('Detalle'!$J38="",'Detalle'!$K38="",'Detalle'!$L38=""),"",IF(AND(O$8&lt;='Detalle'!$K38,O$9&gt;='Detalle'!$J38),1,""))</x:f>
      </x:c>
      <x:c r="P72" s="32" t="str">
        <x:f>IF(OR('Detalle'!$J38="",'Detalle'!$K38="",'Detalle'!$L38=""),"",IF(AND(P$8&lt;='Detalle'!$K38,P$9&gt;='Detalle'!$J38),1,""))</x:f>
      </x:c>
      <x:c r="Q72" s="68"/>
      <x:c r="R72" s="67" t="str"/>
      <x:c r="S72" s="67" t="str"/>
    </x:row>
    <x:row r="73" ht="16" customHeight="1">
      <x:c r="A73" s="56" t="str">
        <x:v>INV03.005</x:v>
      </x:c>
      <x:c r="B73" s="57" t="str">
        <x:v>Estudiar metadatos GPano</x:v>
      </x:c>
      <x:c r="C73" s="62" t="str">
        <x:v>E</x:v>
      </x:c>
      <x:c r="D73" s="64" t="n">
        <x:f>'Detalle'!I39</x:f>
        <x:v>1</x:v>
      </x:c>
      <x:c r="E73" s="60" t="str">
        <x:f>'Detalle'!F39</x:f>
        <x:v>Completado</x:v>
      </x:c>
      <x:c r="F73" s="32" t="n">
        <x:f>IF(AND(F$8&lt;='Detalle'!$H39,F$9&gt;='Detalle'!$G39),1,"")</x:f>
        <x:v>1</x:v>
      </x:c>
      <x:c r="G73" s="32" t="str">
        <x:f>IF(AND(G$8&lt;='Detalle'!$H39,G$9&gt;='Detalle'!$G39),1,"")</x:f>
      </x:c>
      <x:c r="H73" s="32" t="str">
        <x:f>IF(AND(H$8&lt;='Detalle'!$H39,H$9&gt;='Detalle'!$G39),1,"")</x:f>
      </x:c>
      <x:c r="I73" s="32" t="str">
        <x:f>IF(AND(I$8&lt;='Detalle'!$H39,I$9&gt;='Detalle'!$G39),1,"")</x:f>
      </x:c>
      <x:c r="J73" s="32" t="str">
        <x:f>IF(AND(J$8&lt;='Detalle'!$H39,J$9&gt;='Detalle'!$G39),1,"")</x:f>
      </x:c>
      <x:c r="K73" s="32" t="str">
        <x:f>IF(AND(K$8&lt;='Detalle'!$H39,K$9&gt;='Detalle'!$G39),1,"")</x:f>
      </x:c>
      <x:c r="L73" s="32" t="str">
        <x:f>IF(AND(L$8&lt;='Detalle'!$H39,L$9&gt;='Detalle'!$G39),1,"")</x:f>
      </x:c>
      <x:c r="M73" s="32" t="str">
        <x:f>IF(AND(M$8&lt;='Detalle'!$H39,M$9&gt;='Detalle'!$G39),1,"")</x:f>
      </x:c>
      <x:c r="N73" s="32" t="str">
        <x:f>IF(AND(N$8&lt;='Detalle'!$H39,N$9&gt;='Detalle'!$G39),1,"")</x:f>
      </x:c>
      <x:c r="O73" s="32" t="str">
        <x:f>IF(AND(O$8&lt;='Detalle'!$H39,O$9&gt;='Detalle'!$G39),1,"")</x:f>
      </x:c>
      <x:c r="P73" s="32" t="str">
        <x:f>IF(AND(P$8&lt;='Detalle'!$H39,P$9&gt;='Detalle'!$G39),1,"")</x:f>
      </x:c>
      <x:c r="Q73" s="68"/>
      <x:c r="R73" s="67" t="str">
        <x:f>IF('Detalle'!M39="","",'Detalle'!M39)</x:f>
      </x:c>
      <x:c r="S73" s="67" t="str">
        <x:f>IF('Detalle'!N39="","",'Detalle'!N39)</x:f>
      </x:c>
    </x:row>
    <x:row r="74" ht="16" customHeight="1">
      <x:c r="A74" s="56" t="str">
        <x:v>INV03.005</x:v>
      </x:c>
      <x:c r="B74" s="57" t="str">
        <x:v>Estudiar metadatos GPano</x:v>
      </x:c>
      <x:c r="C74" s="63" t="str">
        <x:v>R</x:v>
      </x:c>
      <x:c r="D74" s="65" t="str">
        <x:f>IF('Detalle'!L39="","",'Detalle'!L39)</x:f>
      </x:c>
      <x:c r="E74" s="60" t="str"/>
      <x:c r="F74" s="32" t="str">
        <x:f>IF(OR('Detalle'!$J39="",'Detalle'!$K39="",'Detalle'!$L39=""),"",IF(AND(F$8&lt;='Detalle'!$K39,F$9&gt;='Detalle'!$J39),1,""))</x:f>
      </x:c>
      <x:c r="G74" s="32" t="str">
        <x:f>IF(OR('Detalle'!$J39="",'Detalle'!$K39="",'Detalle'!$L39=""),"",IF(AND(G$8&lt;='Detalle'!$K39,G$9&gt;='Detalle'!$J39),1,""))</x:f>
      </x:c>
      <x:c r="H74" s="32" t="str">
        <x:f>IF(OR('Detalle'!$J39="",'Detalle'!$K39="",'Detalle'!$L39=""),"",IF(AND(H$8&lt;='Detalle'!$K39,H$9&gt;='Detalle'!$J39),1,""))</x:f>
      </x:c>
      <x:c r="I74" s="32" t="str">
        <x:f>IF(OR('Detalle'!$J39="",'Detalle'!$K39="",'Detalle'!$L39=""),"",IF(AND(I$8&lt;='Detalle'!$K39,I$9&gt;='Detalle'!$J39),1,""))</x:f>
      </x:c>
      <x:c r="J74" s="32" t="str">
        <x:f>IF(OR('Detalle'!$J39="",'Detalle'!$K39="",'Detalle'!$L39=""),"",IF(AND(J$8&lt;='Detalle'!$K39,J$9&gt;='Detalle'!$J39),1,""))</x:f>
      </x:c>
      <x:c r="K74" s="32" t="str">
        <x:f>IF(OR('Detalle'!$J39="",'Detalle'!$K39="",'Detalle'!$L39=""),"",IF(AND(K$8&lt;='Detalle'!$K39,K$9&gt;='Detalle'!$J39),1,""))</x:f>
      </x:c>
      <x:c r="L74" s="32" t="str">
        <x:f>IF(OR('Detalle'!$J39="",'Detalle'!$K39="",'Detalle'!$L39=""),"",IF(AND(L$8&lt;='Detalle'!$K39,L$9&gt;='Detalle'!$J39),1,""))</x:f>
      </x:c>
      <x:c r="M74" s="32" t="str">
        <x:f>IF(OR('Detalle'!$J39="",'Detalle'!$K39="",'Detalle'!$L39=""),"",IF(AND(M$8&lt;='Detalle'!$K39,M$9&gt;='Detalle'!$J39),1,""))</x:f>
      </x:c>
      <x:c r="N74" s="32" t="str">
        <x:f>IF(OR('Detalle'!$J39="",'Detalle'!$K39="",'Detalle'!$L39=""),"",IF(AND(N$8&lt;='Detalle'!$K39,N$9&gt;='Detalle'!$J39),1,""))</x:f>
      </x:c>
      <x:c r="O74" s="32" t="str">
        <x:f>IF(OR('Detalle'!$J39="",'Detalle'!$K39="",'Detalle'!$L39=""),"",IF(AND(O$8&lt;='Detalle'!$K39,O$9&gt;='Detalle'!$J39),1,""))</x:f>
      </x:c>
      <x:c r="P74" s="32" t="str">
        <x:f>IF(OR('Detalle'!$J39="",'Detalle'!$K39="",'Detalle'!$L39=""),"",IF(AND(P$8&lt;='Detalle'!$K39,P$9&gt;='Detalle'!$J39),1,""))</x:f>
      </x:c>
      <x:c r="Q74" s="68"/>
      <x:c r="R74" s="67" t="str"/>
      <x:c r="S74" s="67" t="str"/>
    </x:row>
    <x:row r="75" ht="16" customHeight="1">
      <x:c r="A75" s="56" t="str">
        <x:v>INV03.006</x:v>
      </x:c>
      <x:c r="B75" s="57" t="str">
        <x:v>Estudiar campo de visión y solapamiento</x:v>
      </x:c>
      <x:c r="C75" s="62" t="str">
        <x:v>E</x:v>
      </x:c>
      <x:c r="D75" s="64" t="n">
        <x:f>'Detalle'!I40</x:f>
        <x:v>1</x:v>
      </x:c>
      <x:c r="E75" s="60" t="str">
        <x:f>'Detalle'!F40</x:f>
        <x:v>Completado</x:v>
      </x:c>
      <x:c r="F75" s="32" t="n">
        <x:f>IF(AND(F$8&lt;='Detalle'!$H40,F$9&gt;='Detalle'!$G40),1,"")</x:f>
        <x:v>1</x:v>
      </x:c>
      <x:c r="G75" s="32" t="str">
        <x:f>IF(AND(G$8&lt;='Detalle'!$H40,G$9&gt;='Detalle'!$G40),1,"")</x:f>
      </x:c>
      <x:c r="H75" s="32" t="str">
        <x:f>IF(AND(H$8&lt;='Detalle'!$H40,H$9&gt;='Detalle'!$G40),1,"")</x:f>
      </x:c>
      <x:c r="I75" s="32" t="str">
        <x:f>IF(AND(I$8&lt;='Detalle'!$H40,I$9&gt;='Detalle'!$G40),1,"")</x:f>
      </x:c>
      <x:c r="J75" s="32" t="str">
        <x:f>IF(AND(J$8&lt;='Detalle'!$H40,J$9&gt;='Detalle'!$G40),1,"")</x:f>
      </x:c>
      <x:c r="K75" s="32" t="str">
        <x:f>IF(AND(K$8&lt;='Detalle'!$H40,K$9&gt;='Detalle'!$G40),1,"")</x:f>
      </x:c>
      <x:c r="L75" s="32" t="str">
        <x:f>IF(AND(L$8&lt;='Detalle'!$H40,L$9&gt;='Detalle'!$G40),1,"")</x:f>
      </x:c>
      <x:c r="M75" s="32" t="str">
        <x:f>IF(AND(M$8&lt;='Detalle'!$H40,M$9&gt;='Detalle'!$G40),1,"")</x:f>
      </x:c>
      <x:c r="N75" s="32" t="str">
        <x:f>IF(AND(N$8&lt;='Detalle'!$H40,N$9&gt;='Detalle'!$G40),1,"")</x:f>
      </x:c>
      <x:c r="O75" s="32" t="str">
        <x:f>IF(AND(O$8&lt;='Detalle'!$H40,O$9&gt;='Detalle'!$G40),1,"")</x:f>
      </x:c>
      <x:c r="P75" s="32" t="str">
        <x:f>IF(AND(P$8&lt;='Detalle'!$H40,P$9&gt;='Detalle'!$G40),1,"")</x:f>
      </x:c>
      <x:c r="Q75" s="68"/>
      <x:c r="R75" s="67" t="str">
        <x:f>IF('Detalle'!M40="","",'Detalle'!M40)</x:f>
      </x:c>
      <x:c r="S75" s="67" t="str">
        <x:f>IF('Detalle'!N40="","",'Detalle'!N40)</x:f>
      </x:c>
    </x:row>
    <x:row r="76" ht="16" customHeight="1">
      <x:c r="A76" s="56" t="str">
        <x:v>INV03.006</x:v>
      </x:c>
      <x:c r="B76" s="57" t="str">
        <x:v>Estudiar campo de visión y solapamiento</x:v>
      </x:c>
      <x:c r="C76" s="63" t="str">
        <x:v>R</x:v>
      </x:c>
      <x:c r="D76" s="65" t="str">
        <x:f>IF('Detalle'!L40="","",'Detalle'!L40)</x:f>
      </x:c>
      <x:c r="E76" s="60" t="str"/>
      <x:c r="F76" s="32" t="str">
        <x:f>IF(OR('Detalle'!$J40="",'Detalle'!$K40="",'Detalle'!$L40=""),"",IF(AND(F$8&lt;='Detalle'!$K40,F$9&gt;='Detalle'!$J40),1,""))</x:f>
      </x:c>
      <x:c r="G76" s="32" t="str">
        <x:f>IF(OR('Detalle'!$J40="",'Detalle'!$K40="",'Detalle'!$L40=""),"",IF(AND(G$8&lt;='Detalle'!$K40,G$9&gt;='Detalle'!$J40),1,""))</x:f>
      </x:c>
      <x:c r="H76" s="32" t="str">
        <x:f>IF(OR('Detalle'!$J40="",'Detalle'!$K40="",'Detalle'!$L40=""),"",IF(AND(H$8&lt;='Detalle'!$K40,H$9&gt;='Detalle'!$J40),1,""))</x:f>
      </x:c>
      <x:c r="I76" s="32" t="str">
        <x:f>IF(OR('Detalle'!$J40="",'Detalle'!$K40="",'Detalle'!$L40=""),"",IF(AND(I$8&lt;='Detalle'!$K40,I$9&gt;='Detalle'!$J40),1,""))</x:f>
      </x:c>
      <x:c r="J76" s="32" t="str">
        <x:f>IF(OR('Detalle'!$J40="",'Detalle'!$K40="",'Detalle'!$L40=""),"",IF(AND(J$8&lt;='Detalle'!$K40,J$9&gt;='Detalle'!$J40),1,""))</x:f>
      </x:c>
      <x:c r="K76" s="32" t="str">
        <x:f>IF(OR('Detalle'!$J40="",'Detalle'!$K40="",'Detalle'!$L40=""),"",IF(AND(K$8&lt;='Detalle'!$K40,K$9&gt;='Detalle'!$J40),1,""))</x:f>
      </x:c>
      <x:c r="L76" s="32" t="str">
        <x:f>IF(OR('Detalle'!$J40="",'Detalle'!$K40="",'Detalle'!$L40=""),"",IF(AND(L$8&lt;='Detalle'!$K40,L$9&gt;='Detalle'!$J40),1,""))</x:f>
      </x:c>
      <x:c r="M76" s="32" t="str">
        <x:f>IF(OR('Detalle'!$J40="",'Detalle'!$K40="",'Detalle'!$L40=""),"",IF(AND(M$8&lt;='Detalle'!$K40,M$9&gt;='Detalle'!$J40),1,""))</x:f>
      </x:c>
      <x:c r="N76" s="32" t="str">
        <x:f>IF(OR('Detalle'!$J40="",'Detalle'!$K40="",'Detalle'!$L40=""),"",IF(AND(N$8&lt;='Detalle'!$K40,N$9&gt;='Detalle'!$J40),1,""))</x:f>
      </x:c>
      <x:c r="O76" s="32" t="str">
        <x:f>IF(OR('Detalle'!$J40="",'Detalle'!$K40="",'Detalle'!$L40=""),"",IF(AND(O$8&lt;='Detalle'!$K40,O$9&gt;='Detalle'!$J40),1,""))</x:f>
      </x:c>
      <x:c r="P76" s="32" t="str">
        <x:f>IF(OR('Detalle'!$J40="",'Detalle'!$K40="",'Detalle'!$L40=""),"",IF(AND(P$8&lt;='Detalle'!$K40,P$9&gt;='Detalle'!$J40),1,""))</x:f>
      </x:c>
      <x:c r="Q76" s="68"/>
      <x:c r="R76" s="67" t="str"/>
      <x:c r="S76" s="67" t="str"/>
    </x:row>
    <x:row r="77" ht="16" customHeight="1">
      <x:c r="A77" s="56" t="str">
        <x:v>INV03.007</x:v>
      </x:c>
      <x:c r="B77" s="57" t="str">
        <x:v>Estudiar cosido Hugin y mezcla Enblend</x:v>
      </x:c>
      <x:c r="C77" s="62" t="str">
        <x:v>E</x:v>
      </x:c>
      <x:c r="D77" s="64" t="n">
        <x:f>'Detalle'!I41</x:f>
        <x:v>1</x:v>
      </x:c>
      <x:c r="E77" s="60" t="str">
        <x:f>'Detalle'!F41</x:f>
        <x:v>Completado</x:v>
      </x:c>
      <x:c r="F77" s="32" t="n">
        <x:f>IF(AND(F$8&lt;='Detalle'!$H41,F$9&gt;='Detalle'!$G41),1,"")</x:f>
        <x:v>1</x:v>
      </x:c>
      <x:c r="G77" s="32" t="str">
        <x:f>IF(AND(G$8&lt;='Detalle'!$H41,G$9&gt;='Detalle'!$G41),1,"")</x:f>
      </x:c>
      <x:c r="H77" s="32" t="str">
        <x:f>IF(AND(H$8&lt;='Detalle'!$H41,H$9&gt;='Detalle'!$G41),1,"")</x:f>
      </x:c>
      <x:c r="I77" s="32" t="str">
        <x:f>IF(AND(I$8&lt;='Detalle'!$H41,I$9&gt;='Detalle'!$G41),1,"")</x:f>
      </x:c>
      <x:c r="J77" s="32" t="str">
        <x:f>IF(AND(J$8&lt;='Detalle'!$H41,J$9&gt;='Detalle'!$G41),1,"")</x:f>
      </x:c>
      <x:c r="K77" s="32" t="str">
        <x:f>IF(AND(K$8&lt;='Detalle'!$H41,K$9&gt;='Detalle'!$G41),1,"")</x:f>
      </x:c>
      <x:c r="L77" s="32" t="str">
        <x:f>IF(AND(L$8&lt;='Detalle'!$H41,L$9&gt;='Detalle'!$G41),1,"")</x:f>
      </x:c>
      <x:c r="M77" s="32" t="str">
        <x:f>IF(AND(M$8&lt;='Detalle'!$H41,M$9&gt;='Detalle'!$G41),1,"")</x:f>
      </x:c>
      <x:c r="N77" s="32" t="str">
        <x:f>IF(AND(N$8&lt;='Detalle'!$H41,N$9&gt;='Detalle'!$G41),1,"")</x:f>
      </x:c>
      <x:c r="O77" s="32" t="str">
        <x:f>IF(AND(O$8&lt;='Detalle'!$H41,O$9&gt;='Detalle'!$G41),1,"")</x:f>
      </x:c>
      <x:c r="P77" s="32" t="str">
        <x:f>IF(AND(P$8&lt;='Detalle'!$H41,P$9&gt;='Detalle'!$G41),1,"")</x:f>
      </x:c>
      <x:c r="Q77" s="68"/>
      <x:c r="R77" s="67" t="str">
        <x:f>IF('Detalle'!M41="","",'Detalle'!M41)</x:f>
      </x:c>
      <x:c r="S77" s="67" t="str">
        <x:f>IF('Detalle'!N41="","",'Detalle'!N41)</x:f>
      </x:c>
    </x:row>
    <x:row r="78" ht="16" customHeight="1">
      <x:c r="A78" s="56" t="str">
        <x:v>INV03.007</x:v>
      </x:c>
      <x:c r="B78" s="57" t="str">
        <x:v>Estudiar cosido Hugin y mezcla Enblend</x:v>
      </x:c>
      <x:c r="C78" s="63" t="str">
        <x:v>R</x:v>
      </x:c>
      <x:c r="D78" s="65" t="str">
        <x:f>IF('Detalle'!L41="","",'Detalle'!L41)</x:f>
      </x:c>
      <x:c r="E78" s="60" t="str"/>
      <x:c r="F78" s="32" t="str">
        <x:f>IF(OR('Detalle'!$J41="",'Detalle'!$K41="",'Detalle'!$L41=""),"",IF(AND(F$8&lt;='Detalle'!$K41,F$9&gt;='Detalle'!$J41),1,""))</x:f>
      </x:c>
      <x:c r="G78" s="32" t="str">
        <x:f>IF(OR('Detalle'!$J41="",'Detalle'!$K41="",'Detalle'!$L41=""),"",IF(AND(G$8&lt;='Detalle'!$K41,G$9&gt;='Detalle'!$J41),1,""))</x:f>
      </x:c>
      <x:c r="H78" s="32" t="str">
        <x:f>IF(OR('Detalle'!$J41="",'Detalle'!$K41="",'Detalle'!$L41=""),"",IF(AND(H$8&lt;='Detalle'!$K41,H$9&gt;='Detalle'!$J41),1,""))</x:f>
      </x:c>
      <x:c r="I78" s="32" t="str">
        <x:f>IF(OR('Detalle'!$J41="",'Detalle'!$K41="",'Detalle'!$L41=""),"",IF(AND(I$8&lt;='Detalle'!$K41,I$9&gt;='Detalle'!$J41),1,""))</x:f>
      </x:c>
      <x:c r="J78" s="32" t="str">
        <x:f>IF(OR('Detalle'!$J41="",'Detalle'!$K41="",'Detalle'!$L41=""),"",IF(AND(J$8&lt;='Detalle'!$K41,J$9&gt;='Detalle'!$J41),1,""))</x:f>
      </x:c>
      <x:c r="K78" s="32" t="str">
        <x:f>IF(OR('Detalle'!$J41="",'Detalle'!$K41="",'Detalle'!$L41=""),"",IF(AND(K$8&lt;='Detalle'!$K41,K$9&gt;='Detalle'!$J41),1,""))</x:f>
      </x:c>
      <x:c r="L78" s="32" t="str">
        <x:f>IF(OR('Detalle'!$J41="",'Detalle'!$K41="",'Detalle'!$L41=""),"",IF(AND(L$8&lt;='Detalle'!$K41,L$9&gt;='Detalle'!$J41),1,""))</x:f>
      </x:c>
      <x:c r="M78" s="32" t="str">
        <x:f>IF(OR('Detalle'!$J41="",'Detalle'!$K41="",'Detalle'!$L41=""),"",IF(AND(M$8&lt;='Detalle'!$K41,M$9&gt;='Detalle'!$J41),1,""))</x:f>
      </x:c>
      <x:c r="N78" s="32" t="str">
        <x:f>IF(OR('Detalle'!$J41="",'Detalle'!$K41="",'Detalle'!$L41=""),"",IF(AND(N$8&lt;='Detalle'!$K41,N$9&gt;='Detalle'!$J41),1,""))</x:f>
      </x:c>
      <x:c r="O78" s="32" t="str">
        <x:f>IF(OR('Detalle'!$J41="",'Detalle'!$K41="",'Detalle'!$L41=""),"",IF(AND(O$8&lt;='Detalle'!$K41,O$9&gt;='Detalle'!$J41),1,""))</x:f>
      </x:c>
      <x:c r="P78" s="32" t="str">
        <x:f>IF(OR('Detalle'!$J41="",'Detalle'!$K41="",'Detalle'!$L41=""),"",IF(AND(P$8&lt;='Detalle'!$K41,P$9&gt;='Detalle'!$J41),1,""))</x:f>
      </x:c>
      <x:c r="Q78" s="68"/>
      <x:c r="R78" s="67" t="str"/>
      <x:c r="S78" s="67" t="str"/>
    </x:row>
    <x:row r="79" ht="16" customHeight="1">
      <x:c r="A79" s="56" t="str">
        <x:v>INV03.008</x:v>
      </x:c>
      <x:c r="B79" s="57" t="str">
        <x:v>Estudiar reconocimiento de imágenes AR</x:v>
      </x:c>
      <x:c r="C79" s="62" t="str">
        <x:v>E</x:v>
      </x:c>
      <x:c r="D79" s="64" t="n">
        <x:f>'Detalle'!I42</x:f>
        <x:v>1</x:v>
      </x:c>
      <x:c r="E79" s="60" t="str">
        <x:f>'Detalle'!F42</x:f>
        <x:v>Completado</x:v>
      </x:c>
      <x:c r="F79" s="32" t="n">
        <x:f>IF(AND(F$8&lt;='Detalle'!$H42,F$9&gt;='Detalle'!$G42),1,"")</x:f>
        <x:v>1</x:v>
      </x:c>
      <x:c r="G79" s="32" t="str">
        <x:f>IF(AND(G$8&lt;='Detalle'!$H42,G$9&gt;='Detalle'!$G42),1,"")</x:f>
      </x:c>
      <x:c r="H79" s="32" t="str">
        <x:f>IF(AND(H$8&lt;='Detalle'!$H42,H$9&gt;='Detalle'!$G42),1,"")</x:f>
      </x:c>
      <x:c r="I79" s="32" t="str">
        <x:f>IF(AND(I$8&lt;='Detalle'!$H42,I$9&gt;='Detalle'!$G42),1,"")</x:f>
      </x:c>
      <x:c r="J79" s="32" t="str">
        <x:f>IF(AND(J$8&lt;='Detalle'!$H42,J$9&gt;='Detalle'!$G42),1,"")</x:f>
      </x:c>
      <x:c r="K79" s="32" t="str">
        <x:f>IF(AND(K$8&lt;='Detalle'!$H42,K$9&gt;='Detalle'!$G42),1,"")</x:f>
      </x:c>
      <x:c r="L79" s="32" t="str">
        <x:f>IF(AND(L$8&lt;='Detalle'!$H42,L$9&gt;='Detalle'!$G42),1,"")</x:f>
      </x:c>
      <x:c r="M79" s="32" t="str">
        <x:f>IF(AND(M$8&lt;='Detalle'!$H42,M$9&gt;='Detalle'!$G42),1,"")</x:f>
      </x:c>
      <x:c r="N79" s="32" t="str">
        <x:f>IF(AND(N$8&lt;='Detalle'!$H42,N$9&gt;='Detalle'!$G42),1,"")</x:f>
      </x:c>
      <x:c r="O79" s="32" t="str">
        <x:f>IF(AND(O$8&lt;='Detalle'!$H42,O$9&gt;='Detalle'!$G42),1,"")</x:f>
      </x:c>
      <x:c r="P79" s="32" t="str">
        <x:f>IF(AND(P$8&lt;='Detalle'!$H42,P$9&gt;='Detalle'!$G42),1,"")</x:f>
      </x:c>
      <x:c r="Q79" s="68"/>
      <x:c r="R79" s="67" t="str">
        <x:f>IF('Detalle'!M42="","",'Detalle'!M42)</x:f>
      </x:c>
      <x:c r="S79" s="67" t="str">
        <x:f>IF('Detalle'!N42="","",'Detalle'!N42)</x:f>
      </x:c>
    </x:row>
    <x:row r="80" ht="16" customHeight="1">
      <x:c r="A80" s="56" t="str">
        <x:v>INV03.008</x:v>
      </x:c>
      <x:c r="B80" s="57" t="str">
        <x:v>Estudiar reconocimiento de imágenes AR</x:v>
      </x:c>
      <x:c r="C80" s="63" t="str">
        <x:v>R</x:v>
      </x:c>
      <x:c r="D80" s="65" t="str">
        <x:f>IF('Detalle'!L42="","",'Detalle'!L42)</x:f>
      </x:c>
      <x:c r="E80" s="60" t="str"/>
      <x:c r="F80" s="32" t="str">
        <x:f>IF(OR('Detalle'!$J42="",'Detalle'!$K42="",'Detalle'!$L42=""),"",IF(AND(F$8&lt;='Detalle'!$K42,F$9&gt;='Detalle'!$J42),1,""))</x:f>
      </x:c>
      <x:c r="G80" s="32" t="str">
        <x:f>IF(OR('Detalle'!$J42="",'Detalle'!$K42="",'Detalle'!$L42=""),"",IF(AND(G$8&lt;='Detalle'!$K42,G$9&gt;='Detalle'!$J42),1,""))</x:f>
      </x:c>
      <x:c r="H80" s="32" t="str">
        <x:f>IF(OR('Detalle'!$J42="",'Detalle'!$K42="",'Detalle'!$L42=""),"",IF(AND(H$8&lt;='Detalle'!$K42,H$9&gt;='Detalle'!$J42),1,""))</x:f>
      </x:c>
      <x:c r="I80" s="32" t="str">
        <x:f>IF(OR('Detalle'!$J42="",'Detalle'!$K42="",'Detalle'!$L42=""),"",IF(AND(I$8&lt;='Detalle'!$K42,I$9&gt;='Detalle'!$J42),1,""))</x:f>
      </x:c>
      <x:c r="J80" s="32" t="str">
        <x:f>IF(OR('Detalle'!$J42="",'Detalle'!$K42="",'Detalle'!$L42=""),"",IF(AND(J$8&lt;='Detalle'!$K42,J$9&gt;='Detalle'!$J42),1,""))</x:f>
      </x:c>
      <x:c r="K80" s="32" t="str">
        <x:f>IF(OR('Detalle'!$J42="",'Detalle'!$K42="",'Detalle'!$L42=""),"",IF(AND(K$8&lt;='Detalle'!$K42,K$9&gt;='Detalle'!$J42),1,""))</x:f>
      </x:c>
      <x:c r="L80" s="32" t="str">
        <x:f>IF(OR('Detalle'!$J42="",'Detalle'!$K42="",'Detalle'!$L42=""),"",IF(AND(L$8&lt;='Detalle'!$K42,L$9&gt;='Detalle'!$J42),1,""))</x:f>
      </x:c>
      <x:c r="M80" s="32" t="str">
        <x:f>IF(OR('Detalle'!$J42="",'Detalle'!$K42="",'Detalle'!$L42=""),"",IF(AND(M$8&lt;='Detalle'!$K42,M$9&gt;='Detalle'!$J42),1,""))</x:f>
      </x:c>
      <x:c r="N80" s="32" t="str">
        <x:f>IF(OR('Detalle'!$J42="",'Detalle'!$K42="",'Detalle'!$L42=""),"",IF(AND(N$8&lt;='Detalle'!$K42,N$9&gt;='Detalle'!$J42),1,""))</x:f>
      </x:c>
      <x:c r="O80" s="32" t="str">
        <x:f>IF(OR('Detalle'!$J42="",'Detalle'!$K42="",'Detalle'!$L42=""),"",IF(AND(O$8&lt;='Detalle'!$K42,O$9&gt;='Detalle'!$J42),1,""))</x:f>
      </x:c>
      <x:c r="P80" s="32" t="str">
        <x:f>IF(OR('Detalle'!$J42="",'Detalle'!$K42="",'Detalle'!$L42=""),"",IF(AND(P$8&lt;='Detalle'!$K42,P$9&gt;='Detalle'!$J42),1,""))</x:f>
      </x:c>
      <x:c r="Q80" s="68"/>
      <x:c r="R80" s="67" t="str"/>
      <x:c r="S80" s="67" t="str"/>
    </x:row>
    <x:row r="81" ht="16" customHeight="1">
      <x:c r="A81" s="56" t="str">
        <x:v>INV03.009</x:v>
      </x:c>
      <x:c r="B81" s="57" t="str">
        <x:v>Estudiar ARCore y ARKit</x:v>
      </x:c>
      <x:c r="C81" s="62" t="str">
        <x:v>E</x:v>
      </x:c>
      <x:c r="D81" s="64" t="n">
        <x:f>'Detalle'!I43</x:f>
        <x:v>1</x:v>
      </x:c>
      <x:c r="E81" s="60" t="str">
        <x:f>'Detalle'!F43</x:f>
        <x:v>Completado</x:v>
      </x:c>
      <x:c r="F81" s="32" t="n">
        <x:f>IF(AND(F$8&lt;='Detalle'!$H43,F$9&gt;='Detalle'!$G43),1,"")</x:f>
        <x:v>1</x:v>
      </x:c>
      <x:c r="G81" s="32" t="str">
        <x:f>IF(AND(G$8&lt;='Detalle'!$H43,G$9&gt;='Detalle'!$G43),1,"")</x:f>
      </x:c>
      <x:c r="H81" s="32" t="str">
        <x:f>IF(AND(H$8&lt;='Detalle'!$H43,H$9&gt;='Detalle'!$G43),1,"")</x:f>
      </x:c>
      <x:c r="I81" s="32" t="str">
        <x:f>IF(AND(I$8&lt;='Detalle'!$H43,I$9&gt;='Detalle'!$G43),1,"")</x:f>
      </x:c>
      <x:c r="J81" s="32" t="str">
        <x:f>IF(AND(J$8&lt;='Detalle'!$H43,J$9&gt;='Detalle'!$G43),1,"")</x:f>
      </x:c>
      <x:c r="K81" s="32" t="str">
        <x:f>IF(AND(K$8&lt;='Detalle'!$H43,K$9&gt;='Detalle'!$G43),1,"")</x:f>
      </x:c>
      <x:c r="L81" s="32" t="str">
        <x:f>IF(AND(L$8&lt;='Detalle'!$H43,L$9&gt;='Detalle'!$G43),1,"")</x:f>
      </x:c>
      <x:c r="M81" s="32" t="str">
        <x:f>IF(AND(M$8&lt;='Detalle'!$H43,M$9&gt;='Detalle'!$G43),1,"")</x:f>
      </x:c>
      <x:c r="N81" s="32" t="str">
        <x:f>IF(AND(N$8&lt;='Detalle'!$H43,N$9&gt;='Detalle'!$G43),1,"")</x:f>
      </x:c>
      <x:c r="O81" s="32" t="str">
        <x:f>IF(AND(O$8&lt;='Detalle'!$H43,O$9&gt;='Detalle'!$G43),1,"")</x:f>
      </x:c>
      <x:c r="P81" s="32" t="str">
        <x:f>IF(AND(P$8&lt;='Detalle'!$H43,P$9&gt;='Detalle'!$G43),1,"")</x:f>
      </x:c>
      <x:c r="Q81" s="68"/>
      <x:c r="R81" s="67" t="str">
        <x:f>IF('Detalle'!M43="","",'Detalle'!M43)</x:f>
      </x:c>
      <x:c r="S81" s="67" t="str">
        <x:f>IF('Detalle'!N43="","",'Detalle'!N43)</x:f>
      </x:c>
    </x:row>
    <x:row r="82" ht="16" customHeight="1">
      <x:c r="A82" s="56" t="str">
        <x:v>INV03.009</x:v>
      </x:c>
      <x:c r="B82" s="57" t="str">
        <x:v>Estudiar ARCore y ARKit</x:v>
      </x:c>
      <x:c r="C82" s="63" t="str">
        <x:v>R</x:v>
      </x:c>
      <x:c r="D82" s="65" t="str">
        <x:f>IF('Detalle'!L43="","",'Detalle'!L43)</x:f>
      </x:c>
      <x:c r="E82" s="60" t="str"/>
      <x:c r="F82" s="32" t="str">
        <x:f>IF(OR('Detalle'!$J43="",'Detalle'!$K43="",'Detalle'!$L43=""),"",IF(AND(F$8&lt;='Detalle'!$K43,F$9&gt;='Detalle'!$J43),1,""))</x:f>
      </x:c>
      <x:c r="G82" s="32" t="str">
        <x:f>IF(OR('Detalle'!$J43="",'Detalle'!$K43="",'Detalle'!$L43=""),"",IF(AND(G$8&lt;='Detalle'!$K43,G$9&gt;='Detalle'!$J43),1,""))</x:f>
      </x:c>
      <x:c r="H82" s="32" t="str">
        <x:f>IF(OR('Detalle'!$J43="",'Detalle'!$K43="",'Detalle'!$L43=""),"",IF(AND(H$8&lt;='Detalle'!$K43,H$9&gt;='Detalle'!$J43),1,""))</x:f>
      </x:c>
      <x:c r="I82" s="32" t="str">
        <x:f>IF(OR('Detalle'!$J43="",'Detalle'!$K43="",'Detalle'!$L43=""),"",IF(AND(I$8&lt;='Detalle'!$K43,I$9&gt;='Detalle'!$J43),1,""))</x:f>
      </x:c>
      <x:c r="J82" s="32" t="str">
        <x:f>IF(OR('Detalle'!$J43="",'Detalle'!$K43="",'Detalle'!$L43=""),"",IF(AND(J$8&lt;='Detalle'!$K43,J$9&gt;='Detalle'!$J43),1,""))</x:f>
      </x:c>
      <x:c r="K82" s="32" t="str">
        <x:f>IF(OR('Detalle'!$J43="",'Detalle'!$K43="",'Detalle'!$L43=""),"",IF(AND(K$8&lt;='Detalle'!$K43,K$9&gt;='Detalle'!$J43),1,""))</x:f>
      </x:c>
      <x:c r="L82" s="32" t="str">
        <x:f>IF(OR('Detalle'!$J43="",'Detalle'!$K43="",'Detalle'!$L43=""),"",IF(AND(L$8&lt;='Detalle'!$K43,L$9&gt;='Detalle'!$J43),1,""))</x:f>
      </x:c>
      <x:c r="M82" s="32" t="str">
        <x:f>IF(OR('Detalle'!$J43="",'Detalle'!$K43="",'Detalle'!$L43=""),"",IF(AND(M$8&lt;='Detalle'!$K43,M$9&gt;='Detalle'!$J43),1,""))</x:f>
      </x:c>
      <x:c r="N82" s="32" t="str">
        <x:f>IF(OR('Detalle'!$J43="",'Detalle'!$K43="",'Detalle'!$L43=""),"",IF(AND(N$8&lt;='Detalle'!$K43,N$9&gt;='Detalle'!$J43),1,""))</x:f>
      </x:c>
      <x:c r="O82" s="32" t="str">
        <x:f>IF(OR('Detalle'!$J43="",'Detalle'!$K43="",'Detalle'!$L43=""),"",IF(AND(O$8&lt;='Detalle'!$K43,O$9&gt;='Detalle'!$J43),1,""))</x:f>
      </x:c>
      <x:c r="P82" s="32" t="str">
        <x:f>IF(OR('Detalle'!$J43="",'Detalle'!$K43="",'Detalle'!$L43=""),"",IF(AND(P$8&lt;='Detalle'!$K43,P$9&gt;='Detalle'!$J43),1,""))</x:f>
      </x:c>
      <x:c r="Q82" s="68"/>
      <x:c r="R82" s="67" t="str"/>
      <x:c r="S82" s="67" t="str"/>
    </x:row>
    <x:row r="83" ht="16" customHeight="1">
      <x:c r="A83" s="56" t="str">
        <x:v>INV03.010</x:v>
      </x:c>
      <x:c r="B83" s="57" t="str">
        <x:v>Estudiar orientación yaw, pitch y roll</x:v>
      </x:c>
      <x:c r="C83" s="62" t="str">
        <x:v>E</x:v>
      </x:c>
      <x:c r="D83" s="64" t="n">
        <x:f>'Detalle'!I44</x:f>
        <x:v>1</x:v>
      </x:c>
      <x:c r="E83" s="60" t="str">
        <x:f>'Detalle'!F44</x:f>
        <x:v>Completado</x:v>
      </x:c>
      <x:c r="F83" s="32" t="n">
        <x:f>IF(AND(F$8&lt;='Detalle'!$H44,F$9&gt;='Detalle'!$G44),1,"")</x:f>
        <x:v>1</x:v>
      </x:c>
      <x:c r="G83" s="32" t="str">
        <x:f>IF(AND(G$8&lt;='Detalle'!$H44,G$9&gt;='Detalle'!$G44),1,"")</x:f>
      </x:c>
      <x:c r="H83" s="32" t="str">
        <x:f>IF(AND(H$8&lt;='Detalle'!$H44,H$9&gt;='Detalle'!$G44),1,"")</x:f>
      </x:c>
      <x:c r="I83" s="32" t="str">
        <x:f>IF(AND(I$8&lt;='Detalle'!$H44,I$9&gt;='Detalle'!$G44),1,"")</x:f>
      </x:c>
      <x:c r="J83" s="32" t="str">
        <x:f>IF(AND(J$8&lt;='Detalle'!$H44,J$9&gt;='Detalle'!$G44),1,"")</x:f>
      </x:c>
      <x:c r="K83" s="32" t="str">
        <x:f>IF(AND(K$8&lt;='Detalle'!$H44,K$9&gt;='Detalle'!$G44),1,"")</x:f>
      </x:c>
      <x:c r="L83" s="32" t="str">
        <x:f>IF(AND(L$8&lt;='Detalle'!$H44,L$9&gt;='Detalle'!$G44),1,"")</x:f>
      </x:c>
      <x:c r="M83" s="32" t="str">
        <x:f>IF(AND(M$8&lt;='Detalle'!$H44,M$9&gt;='Detalle'!$G44),1,"")</x:f>
      </x:c>
      <x:c r="N83" s="32" t="str">
        <x:f>IF(AND(N$8&lt;='Detalle'!$H44,N$9&gt;='Detalle'!$G44),1,"")</x:f>
      </x:c>
      <x:c r="O83" s="32" t="str">
        <x:f>IF(AND(O$8&lt;='Detalle'!$H44,O$9&gt;='Detalle'!$G44),1,"")</x:f>
      </x:c>
      <x:c r="P83" s="32" t="str">
        <x:f>IF(AND(P$8&lt;='Detalle'!$H44,P$9&gt;='Detalle'!$G44),1,"")</x:f>
      </x:c>
      <x:c r="Q83" s="68"/>
      <x:c r="R83" s="67" t="str">
        <x:f>IF('Detalle'!M44="","",'Detalle'!M44)</x:f>
      </x:c>
      <x:c r="S83" s="67" t="str">
        <x:f>IF('Detalle'!N44="","",'Detalle'!N44)</x:f>
      </x:c>
    </x:row>
    <x:row r="84" ht="16" customHeight="1">
      <x:c r="A84" s="56" t="str">
        <x:v>INV03.010</x:v>
      </x:c>
      <x:c r="B84" s="57" t="str">
        <x:v>Estudiar orientación yaw, pitch y roll</x:v>
      </x:c>
      <x:c r="C84" s="63" t="str">
        <x:v>R</x:v>
      </x:c>
      <x:c r="D84" s="65" t="str">
        <x:f>IF('Detalle'!L44="","",'Detalle'!L44)</x:f>
      </x:c>
      <x:c r="E84" s="60" t="str"/>
      <x:c r="F84" s="32" t="str">
        <x:f>IF(OR('Detalle'!$J44="",'Detalle'!$K44="",'Detalle'!$L44=""),"",IF(AND(F$8&lt;='Detalle'!$K44,F$9&gt;='Detalle'!$J44),1,""))</x:f>
      </x:c>
      <x:c r="G84" s="32" t="str">
        <x:f>IF(OR('Detalle'!$J44="",'Detalle'!$K44="",'Detalle'!$L44=""),"",IF(AND(G$8&lt;='Detalle'!$K44,G$9&gt;='Detalle'!$J44),1,""))</x:f>
      </x:c>
      <x:c r="H84" s="32" t="str">
        <x:f>IF(OR('Detalle'!$J44="",'Detalle'!$K44="",'Detalle'!$L44=""),"",IF(AND(H$8&lt;='Detalle'!$K44,H$9&gt;='Detalle'!$J44),1,""))</x:f>
      </x:c>
      <x:c r="I84" s="32" t="str">
        <x:f>IF(OR('Detalle'!$J44="",'Detalle'!$K44="",'Detalle'!$L44=""),"",IF(AND(I$8&lt;='Detalle'!$K44,I$9&gt;='Detalle'!$J44),1,""))</x:f>
      </x:c>
      <x:c r="J84" s="32" t="str">
        <x:f>IF(OR('Detalle'!$J44="",'Detalle'!$K44="",'Detalle'!$L44=""),"",IF(AND(J$8&lt;='Detalle'!$K44,J$9&gt;='Detalle'!$J44),1,""))</x:f>
      </x:c>
      <x:c r="K84" s="32" t="str">
        <x:f>IF(OR('Detalle'!$J44="",'Detalle'!$K44="",'Detalle'!$L44=""),"",IF(AND(K$8&lt;='Detalle'!$K44,K$9&gt;='Detalle'!$J44),1,""))</x:f>
      </x:c>
      <x:c r="L84" s="32" t="str">
        <x:f>IF(OR('Detalle'!$J44="",'Detalle'!$K44="",'Detalle'!$L44=""),"",IF(AND(L$8&lt;='Detalle'!$K44,L$9&gt;='Detalle'!$J44),1,""))</x:f>
      </x:c>
      <x:c r="M84" s="32" t="str">
        <x:f>IF(OR('Detalle'!$J44="",'Detalle'!$K44="",'Detalle'!$L44=""),"",IF(AND(M$8&lt;='Detalle'!$K44,M$9&gt;='Detalle'!$J44),1,""))</x:f>
      </x:c>
      <x:c r="N84" s="32" t="str">
        <x:f>IF(OR('Detalle'!$J44="",'Detalle'!$K44="",'Detalle'!$L44=""),"",IF(AND(N$8&lt;='Detalle'!$K44,N$9&gt;='Detalle'!$J44),1,""))</x:f>
      </x:c>
      <x:c r="O84" s="32" t="str">
        <x:f>IF(OR('Detalle'!$J44="",'Detalle'!$K44="",'Detalle'!$L44=""),"",IF(AND(O$8&lt;='Detalle'!$K44,O$9&gt;='Detalle'!$J44),1,""))</x:f>
      </x:c>
      <x:c r="P84" s="32" t="str">
        <x:f>IF(OR('Detalle'!$J44="",'Detalle'!$K44="",'Detalle'!$L44=""),"",IF(AND(P$8&lt;='Detalle'!$K44,P$9&gt;='Detalle'!$J44),1,""))</x:f>
      </x:c>
      <x:c r="Q84" s="68"/>
      <x:c r="R84" s="67" t="str"/>
      <x:c r="S84" s="67" t="str"/>
    </x:row>
    <x:row r="85" ht="16" customHeight="1">
      <x:c r="A85" s="56" t="str">
        <x:v>INV03.011</x:v>
      </x:c>
      <x:c r="B85" s="57" t="str">
        <x:v>Estudiar cargas reanudables TUS</x:v>
      </x:c>
      <x:c r="C85" s="62" t="str">
        <x:v>E</x:v>
      </x:c>
      <x:c r="D85" s="64" t="n">
        <x:f>'Detalle'!I45</x:f>
        <x:v>1</x:v>
      </x:c>
      <x:c r="E85" s="60" t="str">
        <x:f>'Detalle'!F45</x:f>
        <x:v>Completado</x:v>
      </x:c>
      <x:c r="F85" s="32" t="n">
        <x:f>IF(AND(F$8&lt;='Detalle'!$H45,F$9&gt;='Detalle'!$G45),1,"")</x:f>
        <x:v>1</x:v>
      </x:c>
      <x:c r="G85" s="32" t="str">
        <x:f>IF(AND(G$8&lt;='Detalle'!$H45,G$9&gt;='Detalle'!$G45),1,"")</x:f>
      </x:c>
      <x:c r="H85" s="32" t="str">
        <x:f>IF(AND(H$8&lt;='Detalle'!$H45,H$9&gt;='Detalle'!$G45),1,"")</x:f>
      </x:c>
      <x:c r="I85" s="32" t="str">
        <x:f>IF(AND(I$8&lt;='Detalle'!$H45,I$9&gt;='Detalle'!$G45),1,"")</x:f>
      </x:c>
      <x:c r="J85" s="32" t="str">
        <x:f>IF(AND(J$8&lt;='Detalle'!$H45,J$9&gt;='Detalle'!$G45),1,"")</x:f>
      </x:c>
      <x:c r="K85" s="32" t="str">
        <x:f>IF(AND(K$8&lt;='Detalle'!$H45,K$9&gt;='Detalle'!$G45),1,"")</x:f>
      </x:c>
      <x:c r="L85" s="32" t="str">
        <x:f>IF(AND(L$8&lt;='Detalle'!$H45,L$9&gt;='Detalle'!$G45),1,"")</x:f>
      </x:c>
      <x:c r="M85" s="32" t="str">
        <x:f>IF(AND(M$8&lt;='Detalle'!$H45,M$9&gt;='Detalle'!$G45),1,"")</x:f>
      </x:c>
      <x:c r="N85" s="32" t="str">
        <x:f>IF(AND(N$8&lt;='Detalle'!$H45,N$9&gt;='Detalle'!$G45),1,"")</x:f>
      </x:c>
      <x:c r="O85" s="32" t="str">
        <x:f>IF(AND(O$8&lt;='Detalle'!$H45,O$9&gt;='Detalle'!$G45),1,"")</x:f>
      </x:c>
      <x:c r="P85" s="32" t="str">
        <x:f>IF(AND(P$8&lt;='Detalle'!$H45,P$9&gt;='Detalle'!$G45),1,"")</x:f>
      </x:c>
      <x:c r="Q85" s="68"/>
      <x:c r="R85" s="67" t="str">
        <x:f>IF('Detalle'!M45="","",'Detalle'!M45)</x:f>
      </x:c>
      <x:c r="S85" s="67" t="str">
        <x:f>IF('Detalle'!N45="","",'Detalle'!N45)</x:f>
      </x:c>
    </x:row>
    <x:row r="86" ht="16" customHeight="1">
      <x:c r="A86" s="56" t="str">
        <x:v>INV03.011</x:v>
      </x:c>
      <x:c r="B86" s="57" t="str">
        <x:v>Estudiar cargas reanudables TUS</x:v>
      </x:c>
      <x:c r="C86" s="63" t="str">
        <x:v>R</x:v>
      </x:c>
      <x:c r="D86" s="65" t="str">
        <x:f>IF('Detalle'!L45="","",'Detalle'!L45)</x:f>
      </x:c>
      <x:c r="E86" s="60" t="str"/>
      <x:c r="F86" s="32" t="str">
        <x:f>IF(OR('Detalle'!$J45="",'Detalle'!$K45="",'Detalle'!$L45=""),"",IF(AND(F$8&lt;='Detalle'!$K45,F$9&gt;='Detalle'!$J45),1,""))</x:f>
      </x:c>
      <x:c r="G86" s="32" t="str">
        <x:f>IF(OR('Detalle'!$J45="",'Detalle'!$K45="",'Detalle'!$L45=""),"",IF(AND(G$8&lt;='Detalle'!$K45,G$9&gt;='Detalle'!$J45),1,""))</x:f>
      </x:c>
      <x:c r="H86" s="32" t="str">
        <x:f>IF(OR('Detalle'!$J45="",'Detalle'!$K45="",'Detalle'!$L45=""),"",IF(AND(H$8&lt;='Detalle'!$K45,H$9&gt;='Detalle'!$J45),1,""))</x:f>
      </x:c>
      <x:c r="I86" s="32" t="str">
        <x:f>IF(OR('Detalle'!$J45="",'Detalle'!$K45="",'Detalle'!$L45=""),"",IF(AND(I$8&lt;='Detalle'!$K45,I$9&gt;='Detalle'!$J45),1,""))</x:f>
      </x:c>
      <x:c r="J86" s="32" t="str">
        <x:f>IF(OR('Detalle'!$J45="",'Detalle'!$K45="",'Detalle'!$L45=""),"",IF(AND(J$8&lt;='Detalle'!$K45,J$9&gt;='Detalle'!$J45),1,""))</x:f>
      </x:c>
      <x:c r="K86" s="32" t="str">
        <x:f>IF(OR('Detalle'!$J45="",'Detalle'!$K45="",'Detalle'!$L45=""),"",IF(AND(K$8&lt;='Detalle'!$K45,K$9&gt;='Detalle'!$J45),1,""))</x:f>
      </x:c>
      <x:c r="L86" s="32" t="str">
        <x:f>IF(OR('Detalle'!$J45="",'Detalle'!$K45="",'Detalle'!$L45=""),"",IF(AND(L$8&lt;='Detalle'!$K45,L$9&gt;='Detalle'!$J45),1,""))</x:f>
      </x:c>
      <x:c r="M86" s="32" t="str">
        <x:f>IF(OR('Detalle'!$J45="",'Detalle'!$K45="",'Detalle'!$L45=""),"",IF(AND(M$8&lt;='Detalle'!$K45,M$9&gt;='Detalle'!$J45),1,""))</x:f>
      </x:c>
      <x:c r="N86" s="32" t="str">
        <x:f>IF(OR('Detalle'!$J45="",'Detalle'!$K45="",'Detalle'!$L45=""),"",IF(AND(N$8&lt;='Detalle'!$K45,N$9&gt;='Detalle'!$J45),1,""))</x:f>
      </x:c>
      <x:c r="O86" s="32" t="str">
        <x:f>IF(OR('Detalle'!$J45="",'Detalle'!$K45="",'Detalle'!$L45=""),"",IF(AND(O$8&lt;='Detalle'!$K45,O$9&gt;='Detalle'!$J45),1,""))</x:f>
      </x:c>
      <x:c r="P86" s="32" t="str">
        <x:f>IF(OR('Detalle'!$J45="",'Detalle'!$K45="",'Detalle'!$L45=""),"",IF(AND(P$8&lt;='Detalle'!$K45,P$9&gt;='Detalle'!$J45),1,""))</x:f>
      </x:c>
      <x:c r="Q86" s="68"/>
      <x:c r="R86" s="67" t="str"/>
      <x:c r="S86" s="67" t="str"/>
    </x:row>
    <x:row r="87" ht="16" customHeight="1">
      <x:c r="A87" s="56" t="str">
        <x:v>INV03.012</x:v>
      </x:c>
      <x:c r="B87" s="57" t="str">
        <x:v>Estudiar colas y leases de procesamiento</x:v>
      </x:c>
      <x:c r="C87" s="62" t="str">
        <x:v>E</x:v>
      </x:c>
      <x:c r="D87" s="64" t="n">
        <x:f>'Detalle'!I46</x:f>
        <x:v>1</x:v>
      </x:c>
      <x:c r="E87" s="60" t="str">
        <x:f>'Detalle'!F46</x:f>
        <x:v>Completado</x:v>
      </x:c>
      <x:c r="F87" s="32" t="n">
        <x:f>IF(AND(F$8&lt;='Detalle'!$H46,F$9&gt;='Detalle'!$G46),1,"")</x:f>
        <x:v>1</x:v>
      </x:c>
      <x:c r="G87" s="32" t="str">
        <x:f>IF(AND(G$8&lt;='Detalle'!$H46,G$9&gt;='Detalle'!$G46),1,"")</x:f>
      </x:c>
      <x:c r="H87" s="32" t="str">
        <x:f>IF(AND(H$8&lt;='Detalle'!$H46,H$9&gt;='Detalle'!$G46),1,"")</x:f>
      </x:c>
      <x:c r="I87" s="32" t="str">
        <x:f>IF(AND(I$8&lt;='Detalle'!$H46,I$9&gt;='Detalle'!$G46),1,"")</x:f>
      </x:c>
      <x:c r="J87" s="32" t="str">
        <x:f>IF(AND(J$8&lt;='Detalle'!$H46,J$9&gt;='Detalle'!$G46),1,"")</x:f>
      </x:c>
      <x:c r="K87" s="32" t="str">
        <x:f>IF(AND(K$8&lt;='Detalle'!$H46,K$9&gt;='Detalle'!$G46),1,"")</x:f>
      </x:c>
      <x:c r="L87" s="32" t="str">
        <x:f>IF(AND(L$8&lt;='Detalle'!$H46,L$9&gt;='Detalle'!$G46),1,"")</x:f>
      </x:c>
      <x:c r="M87" s="32" t="str">
        <x:f>IF(AND(M$8&lt;='Detalle'!$H46,M$9&gt;='Detalle'!$G46),1,"")</x:f>
      </x:c>
      <x:c r="N87" s="32" t="str">
        <x:f>IF(AND(N$8&lt;='Detalle'!$H46,N$9&gt;='Detalle'!$G46),1,"")</x:f>
      </x:c>
      <x:c r="O87" s="32" t="str">
        <x:f>IF(AND(O$8&lt;='Detalle'!$H46,O$9&gt;='Detalle'!$G46),1,"")</x:f>
      </x:c>
      <x:c r="P87" s="32" t="str">
        <x:f>IF(AND(P$8&lt;='Detalle'!$H46,P$9&gt;='Detalle'!$G46),1,"")</x:f>
      </x:c>
      <x:c r="Q87" s="68"/>
      <x:c r="R87" s="67" t="str">
        <x:f>IF('Detalle'!M46="","",'Detalle'!M46)</x:f>
      </x:c>
      <x:c r="S87" s="67" t="str">
        <x:f>IF('Detalle'!N46="","",'Detalle'!N46)</x:f>
      </x:c>
    </x:row>
    <x:row r="88" ht="16" customHeight="1">
      <x:c r="A88" s="56" t="str">
        <x:v>INV03.012</x:v>
      </x:c>
      <x:c r="B88" s="57" t="str">
        <x:v>Estudiar colas y leases de procesamiento</x:v>
      </x:c>
      <x:c r="C88" s="63" t="str">
        <x:v>R</x:v>
      </x:c>
      <x:c r="D88" s="65" t="str">
        <x:f>IF('Detalle'!L46="","",'Detalle'!L46)</x:f>
      </x:c>
      <x:c r="E88" s="60" t="str"/>
      <x:c r="F88" s="32" t="str">
        <x:f>IF(OR('Detalle'!$J46="",'Detalle'!$K46="",'Detalle'!$L46=""),"",IF(AND(F$8&lt;='Detalle'!$K46,F$9&gt;='Detalle'!$J46),1,""))</x:f>
      </x:c>
      <x:c r="G88" s="32" t="str">
        <x:f>IF(OR('Detalle'!$J46="",'Detalle'!$K46="",'Detalle'!$L46=""),"",IF(AND(G$8&lt;='Detalle'!$K46,G$9&gt;='Detalle'!$J46),1,""))</x:f>
      </x:c>
      <x:c r="H88" s="32" t="str">
        <x:f>IF(OR('Detalle'!$J46="",'Detalle'!$K46="",'Detalle'!$L46=""),"",IF(AND(H$8&lt;='Detalle'!$K46,H$9&gt;='Detalle'!$J46),1,""))</x:f>
      </x:c>
      <x:c r="I88" s="32" t="str">
        <x:f>IF(OR('Detalle'!$J46="",'Detalle'!$K46="",'Detalle'!$L46=""),"",IF(AND(I$8&lt;='Detalle'!$K46,I$9&gt;='Detalle'!$J46),1,""))</x:f>
      </x:c>
      <x:c r="J88" s="32" t="str">
        <x:f>IF(OR('Detalle'!$J46="",'Detalle'!$K46="",'Detalle'!$L46=""),"",IF(AND(J$8&lt;='Detalle'!$K46,J$9&gt;='Detalle'!$J46),1,""))</x:f>
      </x:c>
      <x:c r="K88" s="32" t="str">
        <x:f>IF(OR('Detalle'!$J46="",'Detalle'!$K46="",'Detalle'!$L46=""),"",IF(AND(K$8&lt;='Detalle'!$K46,K$9&gt;='Detalle'!$J46),1,""))</x:f>
      </x:c>
      <x:c r="L88" s="32" t="str">
        <x:f>IF(OR('Detalle'!$J46="",'Detalle'!$K46="",'Detalle'!$L46=""),"",IF(AND(L$8&lt;='Detalle'!$K46,L$9&gt;='Detalle'!$J46),1,""))</x:f>
      </x:c>
      <x:c r="M88" s="32" t="str">
        <x:f>IF(OR('Detalle'!$J46="",'Detalle'!$K46="",'Detalle'!$L46=""),"",IF(AND(M$8&lt;='Detalle'!$K46,M$9&gt;='Detalle'!$J46),1,""))</x:f>
      </x:c>
      <x:c r="N88" s="32" t="str">
        <x:f>IF(OR('Detalle'!$J46="",'Detalle'!$K46="",'Detalle'!$L46=""),"",IF(AND(N$8&lt;='Detalle'!$K46,N$9&gt;='Detalle'!$J46),1,""))</x:f>
      </x:c>
      <x:c r="O88" s="32" t="str">
        <x:f>IF(OR('Detalle'!$J46="",'Detalle'!$K46="",'Detalle'!$L46=""),"",IF(AND(O$8&lt;='Detalle'!$K46,O$9&gt;='Detalle'!$J46),1,""))</x:f>
      </x:c>
      <x:c r="P88" s="32" t="str">
        <x:f>IF(OR('Detalle'!$J46="",'Detalle'!$K46="",'Detalle'!$L46=""),"",IF(AND(P$8&lt;='Detalle'!$K46,P$9&gt;='Detalle'!$J46),1,""))</x:f>
      </x:c>
      <x:c r="Q88" s="68"/>
      <x:c r="R88" s="67" t="str"/>
      <x:c r="S88" s="67" t="str"/>
    </x:row>
    <x:row r="89" ht="20" customHeight="1">
      <x:c r="A89" s="52" t="str">
        <x:v>MVP01 · Base técnica y arquitectura inicial</x:v>
      </x:c>
      <x:c r="B89" s="52" t="str">
        <x:v>MVP01 · Base técnica y arquitectura inicial</x:v>
      </x:c>
      <x:c r="C89" s="52" t="str">
        <x:v>MVP01 · Base técnica y arquitectura inicial</x:v>
      </x:c>
      <x:c r="D89" s="52" t="str">
        <x:v>MVP01 · Base técnica y arquitectura inicial</x:v>
      </x:c>
      <x:c r="E89" s="52" t="str">
        <x:v>MVP01 · Base técnica y arquitectura inicial</x:v>
      </x:c>
      <x:c r="F89" s="53" t="str">
        <x:v>MVP01 · Base técnica y arquitectura inicial</x:v>
      </x:c>
      <x:c r="G89" s="53" t="str">
        <x:v>MVP01 · Base técnica y arquitectura inicial</x:v>
      </x:c>
      <x:c r="H89" s="53" t="str">
        <x:v>MVP01 · Base técnica y arquitectura inicial</x:v>
      </x:c>
      <x:c r="I89" s="53" t="str">
        <x:v>MVP01 · Base técnica y arquitectura inicial</x:v>
      </x:c>
      <x:c r="J89" s="53" t="str">
        <x:v>MVP01 · Base técnica y arquitectura inicial</x:v>
      </x:c>
      <x:c r="K89" s="53" t="str">
        <x:v>MVP01 · Base técnica y arquitectura inicial</x:v>
      </x:c>
      <x:c r="L89" s="53" t="str">
        <x:v>MVP01 · Base técnica y arquitectura inicial</x:v>
      </x:c>
      <x:c r="M89" s="53" t="str">
        <x:v>MVP01 · Base técnica y arquitectura inicial</x:v>
      </x:c>
      <x:c r="N89" s="53" t="str">
        <x:v>MVP01 · Base técnica y arquitectura inicial</x:v>
      </x:c>
      <x:c r="O89" s="53" t="str">
        <x:v>MVP01 · Base técnica y arquitectura inicial</x:v>
      </x:c>
      <x:c r="P89" s="53" t="str">
        <x:v>MVP01 · Base técnica y arquitectura inicial</x:v>
      </x:c>
      <x:c r="Q89" s="52" t="str">
        <x:v>MVP01 · Base técnica y arquitectura inicial</x:v>
      </x:c>
      <x:c r="R89" s="52" t="str">
        <x:v>MVP01 · Base técnica y arquitectura inicial</x:v>
      </x:c>
      <x:c r="S89" s="52" t="str">
        <x:v>MVP01 · Base técnica y arquitectura inicial</x:v>
      </x:c>
    </x:row>
    <x:row r="90" ht="16" customHeight="1">
      <x:c r="A90" s="56" t="str">
        <x:v>MVP01.001</x:v>
      </x:c>
      <x:c r="B90" s="57" t="str">
        <x:v>Crear el proyecto Flutter</x:v>
      </x:c>
      <x:c r="C90" s="62" t="str">
        <x:v>E</x:v>
      </x:c>
      <x:c r="D90" s="64" t="n">
        <x:f>'Detalle'!I47</x:f>
        <x:v>1</x:v>
      </x:c>
      <x:c r="E90" s="60" t="str">
        <x:f>'Detalle'!F47</x:f>
        <x:v>Completado</x:v>
      </x:c>
      <x:c r="F90" s="32" t="str">
        <x:f>IF(AND(F$8&lt;='Detalle'!$H47,F$9&gt;='Detalle'!$G47),1,"")</x:f>
      </x:c>
      <x:c r="G90" s="32" t="n">
        <x:f>IF(AND(G$8&lt;='Detalle'!$H47,G$9&gt;='Detalle'!$G47),1,"")</x:f>
        <x:v>1</x:v>
      </x:c>
      <x:c r="H90" s="32" t="str">
        <x:f>IF(AND(H$8&lt;='Detalle'!$H47,H$9&gt;='Detalle'!$G47),1,"")</x:f>
      </x:c>
      <x:c r="I90" s="32" t="str">
        <x:f>IF(AND(I$8&lt;='Detalle'!$H47,I$9&gt;='Detalle'!$G47),1,"")</x:f>
      </x:c>
      <x:c r="J90" s="32" t="str">
        <x:f>IF(AND(J$8&lt;='Detalle'!$H47,J$9&gt;='Detalle'!$G47),1,"")</x:f>
      </x:c>
      <x:c r="K90" s="32" t="str">
        <x:f>IF(AND(K$8&lt;='Detalle'!$H47,K$9&gt;='Detalle'!$G47),1,"")</x:f>
      </x:c>
      <x:c r="L90" s="32" t="str">
        <x:f>IF(AND(L$8&lt;='Detalle'!$H47,L$9&gt;='Detalle'!$G47),1,"")</x:f>
      </x:c>
      <x:c r="M90" s="32" t="str">
        <x:f>IF(AND(M$8&lt;='Detalle'!$H47,M$9&gt;='Detalle'!$G47),1,"")</x:f>
      </x:c>
      <x:c r="N90" s="32" t="str">
        <x:f>IF(AND(N$8&lt;='Detalle'!$H47,N$9&gt;='Detalle'!$G47),1,"")</x:f>
      </x:c>
      <x:c r="O90" s="32" t="str">
        <x:f>IF(AND(O$8&lt;='Detalle'!$H47,O$9&gt;='Detalle'!$G47),1,"")</x:f>
      </x:c>
      <x:c r="P90" s="32" t="str">
        <x:f>IF(AND(P$8&lt;='Detalle'!$H47,P$9&gt;='Detalle'!$G47),1,"")</x:f>
      </x:c>
      <x:c r="Q90" s="68"/>
      <x:c r="R90" s="67" t="str">
        <x:f>IF('Detalle'!M47="","",'Detalle'!M47)</x:f>
      </x:c>
      <x:c r="S90" s="67" t="str">
        <x:f>IF('Detalle'!N47="","",'Detalle'!N47)</x:f>
      </x:c>
    </x:row>
    <x:row r="91" ht="16" customHeight="1">
      <x:c r="A91" s="56" t="str">
        <x:v>MVP01.001</x:v>
      </x:c>
      <x:c r="B91" s="57" t="str">
        <x:v>Crear el proyecto Flutter</x:v>
      </x:c>
      <x:c r="C91" s="63" t="str">
        <x:v>R</x:v>
      </x:c>
      <x:c r="D91" s="65" t="str">
        <x:f>IF('Detalle'!L47="","",'Detalle'!L47)</x:f>
      </x:c>
      <x:c r="E91" s="60" t="str"/>
      <x:c r="F91" s="32" t="str">
        <x:f>IF(OR('Detalle'!$J47="",'Detalle'!$K47="",'Detalle'!$L47=""),"",IF(AND(F$8&lt;='Detalle'!$K47,F$9&gt;='Detalle'!$J47),1,""))</x:f>
      </x:c>
      <x:c r="G91" s="32" t="str">
        <x:f>IF(OR('Detalle'!$J47="",'Detalle'!$K47="",'Detalle'!$L47=""),"",IF(AND(G$8&lt;='Detalle'!$K47,G$9&gt;='Detalle'!$J47),1,""))</x:f>
      </x:c>
      <x:c r="H91" s="32" t="str">
        <x:f>IF(OR('Detalle'!$J47="",'Detalle'!$K47="",'Detalle'!$L47=""),"",IF(AND(H$8&lt;='Detalle'!$K47,H$9&gt;='Detalle'!$J47),1,""))</x:f>
      </x:c>
      <x:c r="I91" s="32" t="str">
        <x:f>IF(OR('Detalle'!$J47="",'Detalle'!$K47="",'Detalle'!$L47=""),"",IF(AND(I$8&lt;='Detalle'!$K47,I$9&gt;='Detalle'!$J47),1,""))</x:f>
      </x:c>
      <x:c r="J91" s="32" t="str">
        <x:f>IF(OR('Detalle'!$J47="",'Detalle'!$K47="",'Detalle'!$L47=""),"",IF(AND(J$8&lt;='Detalle'!$K47,J$9&gt;='Detalle'!$J47),1,""))</x:f>
      </x:c>
      <x:c r="K91" s="32" t="str">
        <x:f>IF(OR('Detalle'!$J47="",'Detalle'!$K47="",'Detalle'!$L47=""),"",IF(AND(K$8&lt;='Detalle'!$K47,K$9&gt;='Detalle'!$J47),1,""))</x:f>
      </x:c>
      <x:c r="L91" s="32" t="str">
        <x:f>IF(OR('Detalle'!$J47="",'Detalle'!$K47="",'Detalle'!$L47=""),"",IF(AND(L$8&lt;='Detalle'!$K47,L$9&gt;='Detalle'!$J47),1,""))</x:f>
      </x:c>
      <x:c r="M91" s="32" t="str">
        <x:f>IF(OR('Detalle'!$J47="",'Detalle'!$K47="",'Detalle'!$L47=""),"",IF(AND(M$8&lt;='Detalle'!$K47,M$9&gt;='Detalle'!$J47),1,""))</x:f>
      </x:c>
      <x:c r="N91" s="32" t="str">
        <x:f>IF(OR('Detalle'!$J47="",'Detalle'!$K47="",'Detalle'!$L47=""),"",IF(AND(N$8&lt;='Detalle'!$K47,N$9&gt;='Detalle'!$J47),1,""))</x:f>
      </x:c>
      <x:c r="O91" s="32" t="str">
        <x:f>IF(OR('Detalle'!$J47="",'Detalle'!$K47="",'Detalle'!$L47=""),"",IF(AND(O$8&lt;='Detalle'!$K47,O$9&gt;='Detalle'!$J47),1,""))</x:f>
      </x:c>
      <x:c r="P91" s="32" t="str">
        <x:f>IF(OR('Detalle'!$J47="",'Detalle'!$K47="",'Detalle'!$L47=""),"",IF(AND(P$8&lt;='Detalle'!$K47,P$9&gt;='Detalle'!$J47),1,""))</x:f>
      </x:c>
      <x:c r="Q91" s="68"/>
      <x:c r="R91" s="67" t="str"/>
      <x:c r="S91" s="67" t="str"/>
    </x:row>
    <x:row r="92" ht="16" customHeight="1">
      <x:c r="A92" s="56" t="str">
        <x:v>MVP01.002</x:v>
      </x:c>
      <x:c r="B92" s="57" t="str">
        <x:v>Configurar dependencias del MVP</x:v>
      </x:c>
      <x:c r="C92" s="62" t="str">
        <x:v>E</x:v>
      </x:c>
      <x:c r="D92" s="64" t="n">
        <x:f>'Detalle'!I48</x:f>
        <x:v>1</x:v>
      </x:c>
      <x:c r="E92" s="60" t="str">
        <x:f>'Detalle'!F48</x:f>
        <x:v>Completado</x:v>
      </x:c>
      <x:c r="F92" s="32" t="str">
        <x:f>IF(AND(F$8&lt;='Detalle'!$H48,F$9&gt;='Detalle'!$G48),1,"")</x:f>
      </x:c>
      <x:c r="G92" s="32" t="n">
        <x:f>IF(AND(G$8&lt;='Detalle'!$H48,G$9&gt;='Detalle'!$G48),1,"")</x:f>
        <x:v>1</x:v>
      </x:c>
      <x:c r="H92" s="32" t="str">
        <x:f>IF(AND(H$8&lt;='Detalle'!$H48,H$9&gt;='Detalle'!$G48),1,"")</x:f>
      </x:c>
      <x:c r="I92" s="32" t="str">
        <x:f>IF(AND(I$8&lt;='Detalle'!$H48,I$9&gt;='Detalle'!$G48),1,"")</x:f>
      </x:c>
      <x:c r="J92" s="32" t="str">
        <x:f>IF(AND(J$8&lt;='Detalle'!$H48,J$9&gt;='Detalle'!$G48),1,"")</x:f>
      </x:c>
      <x:c r="K92" s="32" t="str">
        <x:f>IF(AND(K$8&lt;='Detalle'!$H48,K$9&gt;='Detalle'!$G48),1,"")</x:f>
      </x:c>
      <x:c r="L92" s="32" t="str">
        <x:f>IF(AND(L$8&lt;='Detalle'!$H48,L$9&gt;='Detalle'!$G48),1,"")</x:f>
      </x:c>
      <x:c r="M92" s="32" t="str">
        <x:f>IF(AND(M$8&lt;='Detalle'!$H48,M$9&gt;='Detalle'!$G48),1,"")</x:f>
      </x:c>
      <x:c r="N92" s="32" t="str">
        <x:f>IF(AND(N$8&lt;='Detalle'!$H48,N$9&gt;='Detalle'!$G48),1,"")</x:f>
      </x:c>
      <x:c r="O92" s="32" t="str">
        <x:f>IF(AND(O$8&lt;='Detalle'!$H48,O$9&gt;='Detalle'!$G48),1,"")</x:f>
      </x:c>
      <x:c r="P92" s="32" t="str">
        <x:f>IF(AND(P$8&lt;='Detalle'!$H48,P$9&gt;='Detalle'!$G48),1,"")</x:f>
      </x:c>
      <x:c r="Q92" s="68"/>
      <x:c r="R92" s="67" t="str">
        <x:f>IF('Detalle'!M48="","",'Detalle'!M48)</x:f>
      </x:c>
      <x:c r="S92" s="67" t="str">
        <x:f>IF('Detalle'!N48="","",'Detalle'!N48)</x:f>
      </x:c>
    </x:row>
    <x:row r="93" ht="16" customHeight="1">
      <x:c r="A93" s="56" t="str">
        <x:v>MVP01.002</x:v>
      </x:c>
      <x:c r="B93" s="57" t="str">
        <x:v>Configurar dependencias del MVP</x:v>
      </x:c>
      <x:c r="C93" s="63" t="str">
        <x:v>R</x:v>
      </x:c>
      <x:c r="D93" s="65" t="str">
        <x:f>IF('Detalle'!L48="","",'Detalle'!L48)</x:f>
      </x:c>
      <x:c r="E93" s="60" t="str"/>
      <x:c r="F93" s="32" t="str">
        <x:f>IF(OR('Detalle'!$J48="",'Detalle'!$K48="",'Detalle'!$L48=""),"",IF(AND(F$8&lt;='Detalle'!$K48,F$9&gt;='Detalle'!$J48),1,""))</x:f>
      </x:c>
      <x:c r="G93" s="32" t="str">
        <x:f>IF(OR('Detalle'!$J48="",'Detalle'!$K48="",'Detalle'!$L48=""),"",IF(AND(G$8&lt;='Detalle'!$K48,G$9&gt;='Detalle'!$J48),1,""))</x:f>
      </x:c>
      <x:c r="H93" s="32" t="str">
        <x:f>IF(OR('Detalle'!$J48="",'Detalle'!$K48="",'Detalle'!$L48=""),"",IF(AND(H$8&lt;='Detalle'!$K48,H$9&gt;='Detalle'!$J48),1,""))</x:f>
      </x:c>
      <x:c r="I93" s="32" t="str">
        <x:f>IF(OR('Detalle'!$J48="",'Detalle'!$K48="",'Detalle'!$L48=""),"",IF(AND(I$8&lt;='Detalle'!$K48,I$9&gt;='Detalle'!$J48),1,""))</x:f>
      </x:c>
      <x:c r="J93" s="32" t="str">
        <x:f>IF(OR('Detalle'!$J48="",'Detalle'!$K48="",'Detalle'!$L48=""),"",IF(AND(J$8&lt;='Detalle'!$K48,J$9&gt;='Detalle'!$J48),1,""))</x:f>
      </x:c>
      <x:c r="K93" s="32" t="str">
        <x:f>IF(OR('Detalle'!$J48="",'Detalle'!$K48="",'Detalle'!$L48=""),"",IF(AND(K$8&lt;='Detalle'!$K48,K$9&gt;='Detalle'!$J48),1,""))</x:f>
      </x:c>
      <x:c r="L93" s="32" t="str">
        <x:f>IF(OR('Detalle'!$J48="",'Detalle'!$K48="",'Detalle'!$L48=""),"",IF(AND(L$8&lt;='Detalle'!$K48,L$9&gt;='Detalle'!$J48),1,""))</x:f>
      </x:c>
      <x:c r="M93" s="32" t="str">
        <x:f>IF(OR('Detalle'!$J48="",'Detalle'!$K48="",'Detalle'!$L48=""),"",IF(AND(M$8&lt;='Detalle'!$K48,M$9&gt;='Detalle'!$J48),1,""))</x:f>
      </x:c>
      <x:c r="N93" s="32" t="str">
        <x:f>IF(OR('Detalle'!$J48="",'Detalle'!$K48="",'Detalle'!$L48=""),"",IF(AND(N$8&lt;='Detalle'!$K48,N$9&gt;='Detalle'!$J48),1,""))</x:f>
      </x:c>
      <x:c r="O93" s="32" t="str">
        <x:f>IF(OR('Detalle'!$J48="",'Detalle'!$K48="",'Detalle'!$L48=""),"",IF(AND(O$8&lt;='Detalle'!$K48,O$9&gt;='Detalle'!$J48),1,""))</x:f>
      </x:c>
      <x:c r="P93" s="32" t="str">
        <x:f>IF(OR('Detalle'!$J48="",'Detalle'!$K48="",'Detalle'!$L48=""),"",IF(AND(P$8&lt;='Detalle'!$K48,P$9&gt;='Detalle'!$J48),1,""))</x:f>
      </x:c>
      <x:c r="Q93" s="68"/>
      <x:c r="R93" s="67" t="str"/>
      <x:c r="S93" s="67" t="str"/>
    </x:row>
    <x:row r="94" ht="16" customHeight="1">
      <x:c r="A94" s="56" t="str">
        <x:v>MVP01.003</x:v>
      </x:c>
      <x:c r="B94" s="57" t="str">
        <x:v>Crear la entrada main.dart</x:v>
      </x:c>
      <x:c r="C94" s="62" t="str">
        <x:v>E</x:v>
      </x:c>
      <x:c r="D94" s="64" t="n">
        <x:f>'Detalle'!I49</x:f>
        <x:v>1</x:v>
      </x:c>
      <x:c r="E94" s="60" t="str">
        <x:f>'Detalle'!F49</x:f>
        <x:v>Completado</x:v>
      </x:c>
      <x:c r="F94" s="32" t="str">
        <x:f>IF(AND(F$8&lt;='Detalle'!$H49,F$9&gt;='Detalle'!$G49),1,"")</x:f>
      </x:c>
      <x:c r="G94" s="32" t="n">
        <x:f>IF(AND(G$8&lt;='Detalle'!$H49,G$9&gt;='Detalle'!$G49),1,"")</x:f>
        <x:v>1</x:v>
      </x:c>
      <x:c r="H94" s="32" t="str">
        <x:f>IF(AND(H$8&lt;='Detalle'!$H49,H$9&gt;='Detalle'!$G49),1,"")</x:f>
      </x:c>
      <x:c r="I94" s="32" t="str">
        <x:f>IF(AND(I$8&lt;='Detalle'!$H49,I$9&gt;='Detalle'!$G49),1,"")</x:f>
      </x:c>
      <x:c r="J94" s="32" t="str">
        <x:f>IF(AND(J$8&lt;='Detalle'!$H49,J$9&gt;='Detalle'!$G49),1,"")</x:f>
      </x:c>
      <x:c r="K94" s="32" t="str">
        <x:f>IF(AND(K$8&lt;='Detalle'!$H49,K$9&gt;='Detalle'!$G49),1,"")</x:f>
      </x:c>
      <x:c r="L94" s="32" t="str">
        <x:f>IF(AND(L$8&lt;='Detalle'!$H49,L$9&gt;='Detalle'!$G49),1,"")</x:f>
      </x:c>
      <x:c r="M94" s="32" t="str">
        <x:f>IF(AND(M$8&lt;='Detalle'!$H49,M$9&gt;='Detalle'!$G49),1,"")</x:f>
      </x:c>
      <x:c r="N94" s="32" t="str">
        <x:f>IF(AND(N$8&lt;='Detalle'!$H49,N$9&gt;='Detalle'!$G49),1,"")</x:f>
      </x:c>
      <x:c r="O94" s="32" t="str">
        <x:f>IF(AND(O$8&lt;='Detalle'!$H49,O$9&gt;='Detalle'!$G49),1,"")</x:f>
      </x:c>
      <x:c r="P94" s="32" t="str">
        <x:f>IF(AND(P$8&lt;='Detalle'!$H49,P$9&gt;='Detalle'!$G49),1,"")</x:f>
      </x:c>
      <x:c r="Q94" s="68"/>
      <x:c r="R94" s="67" t="str">
        <x:f>IF('Detalle'!M49="","",'Detalle'!M49)</x:f>
      </x:c>
      <x:c r="S94" s="67" t="str">
        <x:f>IF('Detalle'!N49="","",'Detalle'!N49)</x:f>
      </x:c>
    </x:row>
    <x:row r="95" ht="16" customHeight="1">
      <x:c r="A95" s="56" t="str">
        <x:v>MVP01.003</x:v>
      </x:c>
      <x:c r="B95" s="57" t="str">
        <x:v>Crear la entrada main.dart</x:v>
      </x:c>
      <x:c r="C95" s="63" t="str">
        <x:v>R</x:v>
      </x:c>
      <x:c r="D95" s="65" t="str">
        <x:f>IF('Detalle'!L49="","",'Detalle'!L49)</x:f>
      </x:c>
      <x:c r="E95" s="60" t="str"/>
      <x:c r="F95" s="32" t="str">
        <x:f>IF(OR('Detalle'!$J49="",'Detalle'!$K49="",'Detalle'!$L49=""),"",IF(AND(F$8&lt;='Detalle'!$K49,F$9&gt;='Detalle'!$J49),1,""))</x:f>
      </x:c>
      <x:c r="G95" s="32" t="str">
        <x:f>IF(OR('Detalle'!$J49="",'Detalle'!$K49="",'Detalle'!$L49=""),"",IF(AND(G$8&lt;='Detalle'!$K49,G$9&gt;='Detalle'!$J49),1,""))</x:f>
      </x:c>
      <x:c r="H95" s="32" t="str">
        <x:f>IF(OR('Detalle'!$J49="",'Detalle'!$K49="",'Detalle'!$L49=""),"",IF(AND(H$8&lt;='Detalle'!$K49,H$9&gt;='Detalle'!$J49),1,""))</x:f>
      </x:c>
      <x:c r="I95" s="32" t="str">
        <x:f>IF(OR('Detalle'!$J49="",'Detalle'!$K49="",'Detalle'!$L49=""),"",IF(AND(I$8&lt;='Detalle'!$K49,I$9&gt;='Detalle'!$J49),1,""))</x:f>
      </x:c>
      <x:c r="J95" s="32" t="str">
        <x:f>IF(OR('Detalle'!$J49="",'Detalle'!$K49="",'Detalle'!$L49=""),"",IF(AND(J$8&lt;='Detalle'!$K49,J$9&gt;='Detalle'!$J49),1,""))</x:f>
      </x:c>
      <x:c r="K95" s="32" t="str">
        <x:f>IF(OR('Detalle'!$J49="",'Detalle'!$K49="",'Detalle'!$L49=""),"",IF(AND(K$8&lt;='Detalle'!$K49,K$9&gt;='Detalle'!$J49),1,""))</x:f>
      </x:c>
      <x:c r="L95" s="32" t="str">
        <x:f>IF(OR('Detalle'!$J49="",'Detalle'!$K49="",'Detalle'!$L49=""),"",IF(AND(L$8&lt;='Detalle'!$K49,L$9&gt;='Detalle'!$J49),1,""))</x:f>
      </x:c>
      <x:c r="M95" s="32" t="str">
        <x:f>IF(OR('Detalle'!$J49="",'Detalle'!$K49="",'Detalle'!$L49=""),"",IF(AND(M$8&lt;='Detalle'!$K49,M$9&gt;='Detalle'!$J49),1,""))</x:f>
      </x:c>
      <x:c r="N95" s="32" t="str">
        <x:f>IF(OR('Detalle'!$J49="",'Detalle'!$K49="",'Detalle'!$L49=""),"",IF(AND(N$8&lt;='Detalle'!$K49,N$9&gt;='Detalle'!$J49),1,""))</x:f>
      </x:c>
      <x:c r="O95" s="32" t="str">
        <x:f>IF(OR('Detalle'!$J49="",'Detalle'!$K49="",'Detalle'!$L49=""),"",IF(AND(O$8&lt;='Detalle'!$K49,O$9&gt;='Detalle'!$J49),1,""))</x:f>
      </x:c>
      <x:c r="P95" s="32" t="str">
        <x:f>IF(OR('Detalle'!$J49="",'Detalle'!$K49="",'Detalle'!$L49=""),"",IF(AND(P$8&lt;='Detalle'!$K49,P$9&gt;='Detalle'!$J49),1,""))</x:f>
      </x:c>
      <x:c r="Q95" s="68"/>
      <x:c r="R95" s="67" t="str"/>
      <x:c r="S95" s="67" t="str"/>
    </x:row>
    <x:row r="96" ht="16" customHeight="1">
      <x:c r="A96" s="56" t="str">
        <x:v>MVP01.004</x:v>
      </x:c>
      <x:c r="B96" s="57" t="str">
        <x:v>Leer configuración pública de Supabase</x:v>
      </x:c>
      <x:c r="C96" s="62" t="str">
        <x:v>E</x:v>
      </x:c>
      <x:c r="D96" s="64" t="n">
        <x:f>'Detalle'!I50</x:f>
        <x:v>1</x:v>
      </x:c>
      <x:c r="E96" s="60" t="str">
        <x:f>'Detalle'!F50</x:f>
        <x:v>Completado</x:v>
      </x:c>
      <x:c r="F96" s="32" t="str">
        <x:f>IF(AND(F$8&lt;='Detalle'!$H50,F$9&gt;='Detalle'!$G50),1,"")</x:f>
      </x:c>
      <x:c r="G96" s="32" t="n">
        <x:f>IF(AND(G$8&lt;='Detalle'!$H50,G$9&gt;='Detalle'!$G50),1,"")</x:f>
        <x:v>1</x:v>
      </x:c>
      <x:c r="H96" s="32" t="str">
        <x:f>IF(AND(H$8&lt;='Detalle'!$H50,H$9&gt;='Detalle'!$G50),1,"")</x:f>
      </x:c>
      <x:c r="I96" s="32" t="str">
        <x:f>IF(AND(I$8&lt;='Detalle'!$H50,I$9&gt;='Detalle'!$G50),1,"")</x:f>
      </x:c>
      <x:c r="J96" s="32" t="str">
        <x:f>IF(AND(J$8&lt;='Detalle'!$H50,J$9&gt;='Detalle'!$G50),1,"")</x:f>
      </x:c>
      <x:c r="K96" s="32" t="str">
        <x:f>IF(AND(K$8&lt;='Detalle'!$H50,K$9&gt;='Detalle'!$G50),1,"")</x:f>
      </x:c>
      <x:c r="L96" s="32" t="str">
        <x:f>IF(AND(L$8&lt;='Detalle'!$H50,L$9&gt;='Detalle'!$G50),1,"")</x:f>
      </x:c>
      <x:c r="M96" s="32" t="str">
        <x:f>IF(AND(M$8&lt;='Detalle'!$H50,M$9&gt;='Detalle'!$G50),1,"")</x:f>
      </x:c>
      <x:c r="N96" s="32" t="str">
        <x:f>IF(AND(N$8&lt;='Detalle'!$H50,N$9&gt;='Detalle'!$G50),1,"")</x:f>
      </x:c>
      <x:c r="O96" s="32" t="str">
        <x:f>IF(AND(O$8&lt;='Detalle'!$H50,O$9&gt;='Detalle'!$G50),1,"")</x:f>
      </x:c>
      <x:c r="P96" s="32" t="str">
        <x:f>IF(AND(P$8&lt;='Detalle'!$H50,P$9&gt;='Detalle'!$G50),1,"")</x:f>
      </x:c>
      <x:c r="Q96" s="68"/>
      <x:c r="R96" s="67" t="str">
        <x:f>IF('Detalle'!M50="","",'Detalle'!M50)</x:f>
      </x:c>
      <x:c r="S96" s="67" t="str">
        <x:f>IF('Detalle'!N50="","",'Detalle'!N50)</x:f>
      </x:c>
    </x:row>
    <x:row r="97" ht="16" customHeight="1">
      <x:c r="A97" s="56" t="str">
        <x:v>MVP01.004</x:v>
      </x:c>
      <x:c r="B97" s="57" t="str">
        <x:v>Leer configuración pública de Supabase</x:v>
      </x:c>
      <x:c r="C97" s="63" t="str">
        <x:v>R</x:v>
      </x:c>
      <x:c r="D97" s="65" t="str">
        <x:f>IF('Detalle'!L50="","",'Detalle'!L50)</x:f>
      </x:c>
      <x:c r="E97" s="60" t="str"/>
      <x:c r="F97" s="32" t="str">
        <x:f>IF(OR('Detalle'!$J50="",'Detalle'!$K50="",'Detalle'!$L50=""),"",IF(AND(F$8&lt;='Detalle'!$K50,F$9&gt;='Detalle'!$J50),1,""))</x:f>
      </x:c>
      <x:c r="G97" s="32" t="str">
        <x:f>IF(OR('Detalle'!$J50="",'Detalle'!$K50="",'Detalle'!$L50=""),"",IF(AND(G$8&lt;='Detalle'!$K50,G$9&gt;='Detalle'!$J50),1,""))</x:f>
      </x:c>
      <x:c r="H97" s="32" t="str">
        <x:f>IF(OR('Detalle'!$J50="",'Detalle'!$K50="",'Detalle'!$L50=""),"",IF(AND(H$8&lt;='Detalle'!$K50,H$9&gt;='Detalle'!$J50),1,""))</x:f>
      </x:c>
      <x:c r="I97" s="32" t="str">
        <x:f>IF(OR('Detalle'!$J50="",'Detalle'!$K50="",'Detalle'!$L50=""),"",IF(AND(I$8&lt;='Detalle'!$K50,I$9&gt;='Detalle'!$J50),1,""))</x:f>
      </x:c>
      <x:c r="J97" s="32" t="str">
        <x:f>IF(OR('Detalle'!$J50="",'Detalle'!$K50="",'Detalle'!$L50=""),"",IF(AND(J$8&lt;='Detalle'!$K50,J$9&gt;='Detalle'!$J50),1,""))</x:f>
      </x:c>
      <x:c r="K97" s="32" t="str">
        <x:f>IF(OR('Detalle'!$J50="",'Detalle'!$K50="",'Detalle'!$L50=""),"",IF(AND(K$8&lt;='Detalle'!$K50,K$9&gt;='Detalle'!$J50),1,""))</x:f>
      </x:c>
      <x:c r="L97" s="32" t="str">
        <x:f>IF(OR('Detalle'!$J50="",'Detalle'!$K50="",'Detalle'!$L50=""),"",IF(AND(L$8&lt;='Detalle'!$K50,L$9&gt;='Detalle'!$J50),1,""))</x:f>
      </x:c>
      <x:c r="M97" s="32" t="str">
        <x:f>IF(OR('Detalle'!$J50="",'Detalle'!$K50="",'Detalle'!$L50=""),"",IF(AND(M$8&lt;='Detalle'!$K50,M$9&gt;='Detalle'!$J50),1,""))</x:f>
      </x:c>
      <x:c r="N97" s="32" t="str">
        <x:f>IF(OR('Detalle'!$J50="",'Detalle'!$K50="",'Detalle'!$L50=""),"",IF(AND(N$8&lt;='Detalle'!$K50,N$9&gt;='Detalle'!$J50),1,""))</x:f>
      </x:c>
      <x:c r="O97" s="32" t="str">
        <x:f>IF(OR('Detalle'!$J50="",'Detalle'!$K50="",'Detalle'!$L50=""),"",IF(AND(O$8&lt;='Detalle'!$K50,O$9&gt;='Detalle'!$J50),1,""))</x:f>
      </x:c>
      <x:c r="P97" s="32" t="str">
        <x:f>IF(OR('Detalle'!$J50="",'Detalle'!$K50="",'Detalle'!$L50=""),"",IF(AND(P$8&lt;='Detalle'!$K50,P$9&gt;='Detalle'!$J50),1,""))</x:f>
      </x:c>
      <x:c r="Q97" s="68"/>
      <x:c r="R97" s="67" t="str"/>
      <x:c r="S97" s="67" t="str"/>
    </x:row>
    <x:row r="98" ht="16" customHeight="1">
      <x:c r="A98" s="56" t="str">
        <x:v>MVP01.005</x:v>
      </x:c>
      <x:c r="B98" s="57" t="str">
        <x:v>Mostrar error de configuración faltante</x:v>
      </x:c>
      <x:c r="C98" s="62" t="str">
        <x:v>E</x:v>
      </x:c>
      <x:c r="D98" s="64" t="n">
        <x:f>'Detalle'!I51</x:f>
        <x:v>1</x:v>
      </x:c>
      <x:c r="E98" s="60" t="str">
        <x:f>'Detalle'!F51</x:f>
        <x:v>Completado</x:v>
      </x:c>
      <x:c r="F98" s="32" t="str">
        <x:f>IF(AND(F$8&lt;='Detalle'!$H51,F$9&gt;='Detalle'!$G51),1,"")</x:f>
      </x:c>
      <x:c r="G98" s="32" t="n">
        <x:f>IF(AND(G$8&lt;='Detalle'!$H51,G$9&gt;='Detalle'!$G51),1,"")</x:f>
        <x:v>1</x:v>
      </x:c>
      <x:c r="H98" s="32" t="str">
        <x:f>IF(AND(H$8&lt;='Detalle'!$H51,H$9&gt;='Detalle'!$G51),1,"")</x:f>
      </x:c>
      <x:c r="I98" s="32" t="str">
        <x:f>IF(AND(I$8&lt;='Detalle'!$H51,I$9&gt;='Detalle'!$G51),1,"")</x:f>
      </x:c>
      <x:c r="J98" s="32" t="str">
        <x:f>IF(AND(J$8&lt;='Detalle'!$H51,J$9&gt;='Detalle'!$G51),1,"")</x:f>
      </x:c>
      <x:c r="K98" s="32" t="str">
        <x:f>IF(AND(K$8&lt;='Detalle'!$H51,K$9&gt;='Detalle'!$G51),1,"")</x:f>
      </x:c>
      <x:c r="L98" s="32" t="str">
        <x:f>IF(AND(L$8&lt;='Detalle'!$H51,L$9&gt;='Detalle'!$G51),1,"")</x:f>
      </x:c>
      <x:c r="M98" s="32" t="str">
        <x:f>IF(AND(M$8&lt;='Detalle'!$H51,M$9&gt;='Detalle'!$G51),1,"")</x:f>
      </x:c>
      <x:c r="N98" s="32" t="str">
        <x:f>IF(AND(N$8&lt;='Detalle'!$H51,N$9&gt;='Detalle'!$G51),1,"")</x:f>
      </x:c>
      <x:c r="O98" s="32" t="str">
        <x:f>IF(AND(O$8&lt;='Detalle'!$H51,O$9&gt;='Detalle'!$G51),1,"")</x:f>
      </x:c>
      <x:c r="P98" s="32" t="str">
        <x:f>IF(AND(P$8&lt;='Detalle'!$H51,P$9&gt;='Detalle'!$G51),1,"")</x:f>
      </x:c>
      <x:c r="Q98" s="68"/>
      <x:c r="R98" s="67" t="str">
        <x:f>IF('Detalle'!M51="","",'Detalle'!M51)</x:f>
      </x:c>
      <x:c r="S98" s="67" t="str">
        <x:f>IF('Detalle'!N51="","",'Detalle'!N51)</x:f>
      </x:c>
    </x:row>
    <x:row r="99" ht="16" customHeight="1">
      <x:c r="A99" s="56" t="str">
        <x:v>MVP01.005</x:v>
      </x:c>
      <x:c r="B99" s="57" t="str">
        <x:v>Mostrar error de configuración faltante</x:v>
      </x:c>
      <x:c r="C99" s="63" t="str">
        <x:v>R</x:v>
      </x:c>
      <x:c r="D99" s="65" t="str">
        <x:f>IF('Detalle'!L51="","",'Detalle'!L51)</x:f>
      </x:c>
      <x:c r="E99" s="60" t="str"/>
      <x:c r="F99" s="32" t="str">
        <x:f>IF(OR('Detalle'!$J51="",'Detalle'!$K51="",'Detalle'!$L51=""),"",IF(AND(F$8&lt;='Detalle'!$K51,F$9&gt;='Detalle'!$J51),1,""))</x:f>
      </x:c>
      <x:c r="G99" s="32" t="str">
        <x:f>IF(OR('Detalle'!$J51="",'Detalle'!$K51="",'Detalle'!$L51=""),"",IF(AND(G$8&lt;='Detalle'!$K51,G$9&gt;='Detalle'!$J51),1,""))</x:f>
      </x:c>
      <x:c r="H99" s="32" t="str">
        <x:f>IF(OR('Detalle'!$J51="",'Detalle'!$K51="",'Detalle'!$L51=""),"",IF(AND(H$8&lt;='Detalle'!$K51,H$9&gt;='Detalle'!$J51),1,""))</x:f>
      </x:c>
      <x:c r="I99" s="32" t="str">
        <x:f>IF(OR('Detalle'!$J51="",'Detalle'!$K51="",'Detalle'!$L51=""),"",IF(AND(I$8&lt;='Detalle'!$K51,I$9&gt;='Detalle'!$J51),1,""))</x:f>
      </x:c>
      <x:c r="J99" s="32" t="str">
        <x:f>IF(OR('Detalle'!$J51="",'Detalle'!$K51="",'Detalle'!$L51=""),"",IF(AND(J$8&lt;='Detalle'!$K51,J$9&gt;='Detalle'!$J51),1,""))</x:f>
      </x:c>
      <x:c r="K99" s="32" t="str">
        <x:f>IF(OR('Detalle'!$J51="",'Detalle'!$K51="",'Detalle'!$L51=""),"",IF(AND(K$8&lt;='Detalle'!$K51,K$9&gt;='Detalle'!$J51),1,""))</x:f>
      </x:c>
      <x:c r="L99" s="32" t="str">
        <x:f>IF(OR('Detalle'!$J51="",'Detalle'!$K51="",'Detalle'!$L51=""),"",IF(AND(L$8&lt;='Detalle'!$K51,L$9&gt;='Detalle'!$J51),1,""))</x:f>
      </x:c>
      <x:c r="M99" s="32" t="str">
        <x:f>IF(OR('Detalle'!$J51="",'Detalle'!$K51="",'Detalle'!$L51=""),"",IF(AND(M$8&lt;='Detalle'!$K51,M$9&gt;='Detalle'!$J51),1,""))</x:f>
      </x:c>
      <x:c r="N99" s="32" t="str">
        <x:f>IF(OR('Detalle'!$J51="",'Detalle'!$K51="",'Detalle'!$L51=""),"",IF(AND(N$8&lt;='Detalle'!$K51,N$9&gt;='Detalle'!$J51),1,""))</x:f>
      </x:c>
      <x:c r="O99" s="32" t="str">
        <x:f>IF(OR('Detalle'!$J51="",'Detalle'!$K51="",'Detalle'!$L51=""),"",IF(AND(O$8&lt;='Detalle'!$K51,O$9&gt;='Detalle'!$J51),1,""))</x:f>
      </x:c>
      <x:c r="P99" s="32" t="str">
        <x:f>IF(OR('Detalle'!$J51="",'Detalle'!$K51="",'Detalle'!$L51=""),"",IF(AND(P$8&lt;='Detalle'!$K51,P$9&gt;='Detalle'!$J51),1,""))</x:f>
      </x:c>
      <x:c r="Q99" s="68"/>
      <x:c r="R99" s="67" t="str"/>
      <x:c r="S99" s="67" t="str"/>
    </x:row>
    <x:row r="100" ht="16" customHeight="1">
      <x:c r="A100" s="56" t="str">
        <x:v>MVP01.006</x:v>
      </x:c>
      <x:c r="B100" s="57" t="str">
        <x:v>Crear AppSessionController</x:v>
      </x:c>
      <x:c r="C100" s="62" t="str">
        <x:v>E</x:v>
      </x:c>
      <x:c r="D100" s="64" t="n">
        <x:f>'Detalle'!I52</x:f>
        <x:v>1</x:v>
      </x:c>
      <x:c r="E100" s="60" t="str">
        <x:f>'Detalle'!F52</x:f>
        <x:v>Completado</x:v>
      </x:c>
      <x:c r="F100" s="32" t="str">
        <x:f>IF(AND(F$8&lt;='Detalle'!$H52,F$9&gt;='Detalle'!$G52),1,"")</x:f>
      </x:c>
      <x:c r="G100" s="32" t="n">
        <x:f>IF(AND(G$8&lt;='Detalle'!$H52,G$9&gt;='Detalle'!$G52),1,"")</x:f>
        <x:v>1</x:v>
      </x:c>
      <x:c r="H100" s="32" t="str">
        <x:f>IF(AND(H$8&lt;='Detalle'!$H52,H$9&gt;='Detalle'!$G52),1,"")</x:f>
      </x:c>
      <x:c r="I100" s="32" t="str">
        <x:f>IF(AND(I$8&lt;='Detalle'!$H52,I$9&gt;='Detalle'!$G52),1,"")</x:f>
      </x:c>
      <x:c r="J100" s="32" t="str">
        <x:f>IF(AND(J$8&lt;='Detalle'!$H52,J$9&gt;='Detalle'!$G52),1,"")</x:f>
      </x:c>
      <x:c r="K100" s="32" t="str">
        <x:f>IF(AND(K$8&lt;='Detalle'!$H52,K$9&gt;='Detalle'!$G52),1,"")</x:f>
      </x:c>
      <x:c r="L100" s="32" t="str">
        <x:f>IF(AND(L$8&lt;='Detalle'!$H52,L$9&gt;='Detalle'!$G52),1,"")</x:f>
      </x:c>
      <x:c r="M100" s="32" t="str">
        <x:f>IF(AND(M$8&lt;='Detalle'!$H52,M$9&gt;='Detalle'!$G52),1,"")</x:f>
      </x:c>
      <x:c r="N100" s="32" t="str">
        <x:f>IF(AND(N$8&lt;='Detalle'!$H52,N$9&gt;='Detalle'!$G52),1,"")</x:f>
      </x:c>
      <x:c r="O100" s="32" t="str">
        <x:f>IF(AND(O$8&lt;='Detalle'!$H52,O$9&gt;='Detalle'!$G52),1,"")</x:f>
      </x:c>
      <x:c r="P100" s="32" t="str">
        <x:f>IF(AND(P$8&lt;='Detalle'!$H52,P$9&gt;='Detalle'!$G52),1,"")</x:f>
      </x:c>
      <x:c r="Q100" s="68"/>
      <x:c r="R100" s="67" t="str">
        <x:f>IF('Detalle'!M52="","",'Detalle'!M52)</x:f>
      </x:c>
      <x:c r="S100" s="67" t="str">
        <x:f>IF('Detalle'!N52="","",'Detalle'!N52)</x:f>
      </x:c>
    </x:row>
    <x:row r="101" ht="16" customHeight="1">
      <x:c r="A101" s="56" t="str">
        <x:v>MVP01.006</x:v>
      </x:c>
      <x:c r="B101" s="57" t="str">
        <x:v>Crear AppSessionController</x:v>
      </x:c>
      <x:c r="C101" s="63" t="str">
        <x:v>R</x:v>
      </x:c>
      <x:c r="D101" s="65" t="str">
        <x:f>IF('Detalle'!L52="","",'Detalle'!L52)</x:f>
      </x:c>
      <x:c r="E101" s="60" t="str"/>
      <x:c r="F101" s="32" t="str">
        <x:f>IF(OR('Detalle'!$J52="",'Detalle'!$K52="",'Detalle'!$L52=""),"",IF(AND(F$8&lt;='Detalle'!$K52,F$9&gt;='Detalle'!$J52),1,""))</x:f>
      </x:c>
      <x:c r="G101" s="32" t="str">
        <x:f>IF(OR('Detalle'!$J52="",'Detalle'!$K52="",'Detalle'!$L52=""),"",IF(AND(G$8&lt;='Detalle'!$K52,G$9&gt;='Detalle'!$J52),1,""))</x:f>
      </x:c>
      <x:c r="H101" s="32" t="str">
        <x:f>IF(OR('Detalle'!$J52="",'Detalle'!$K52="",'Detalle'!$L52=""),"",IF(AND(H$8&lt;='Detalle'!$K52,H$9&gt;='Detalle'!$J52),1,""))</x:f>
      </x:c>
      <x:c r="I101" s="32" t="str">
        <x:f>IF(OR('Detalle'!$J52="",'Detalle'!$K52="",'Detalle'!$L52=""),"",IF(AND(I$8&lt;='Detalle'!$K52,I$9&gt;='Detalle'!$J52),1,""))</x:f>
      </x:c>
      <x:c r="J101" s="32" t="str">
        <x:f>IF(OR('Detalle'!$J52="",'Detalle'!$K52="",'Detalle'!$L52=""),"",IF(AND(J$8&lt;='Detalle'!$K52,J$9&gt;='Detalle'!$J52),1,""))</x:f>
      </x:c>
      <x:c r="K101" s="32" t="str">
        <x:f>IF(OR('Detalle'!$J52="",'Detalle'!$K52="",'Detalle'!$L52=""),"",IF(AND(K$8&lt;='Detalle'!$K52,K$9&gt;='Detalle'!$J52),1,""))</x:f>
      </x:c>
      <x:c r="L101" s="32" t="str">
        <x:f>IF(OR('Detalle'!$J52="",'Detalle'!$K52="",'Detalle'!$L52=""),"",IF(AND(L$8&lt;='Detalle'!$K52,L$9&gt;='Detalle'!$J52),1,""))</x:f>
      </x:c>
      <x:c r="M101" s="32" t="str">
        <x:f>IF(OR('Detalle'!$J52="",'Detalle'!$K52="",'Detalle'!$L52=""),"",IF(AND(M$8&lt;='Detalle'!$K52,M$9&gt;='Detalle'!$J52),1,""))</x:f>
      </x:c>
      <x:c r="N101" s="32" t="str">
        <x:f>IF(OR('Detalle'!$J52="",'Detalle'!$K52="",'Detalle'!$L52=""),"",IF(AND(N$8&lt;='Detalle'!$K52,N$9&gt;='Detalle'!$J52),1,""))</x:f>
      </x:c>
      <x:c r="O101" s="32" t="str">
        <x:f>IF(OR('Detalle'!$J52="",'Detalle'!$K52="",'Detalle'!$L52=""),"",IF(AND(O$8&lt;='Detalle'!$K52,O$9&gt;='Detalle'!$J52),1,""))</x:f>
      </x:c>
      <x:c r="P101" s="32" t="str">
        <x:f>IF(OR('Detalle'!$J52="",'Detalle'!$K52="",'Detalle'!$L52=""),"",IF(AND(P$8&lt;='Detalle'!$K52,P$9&gt;='Detalle'!$J52),1,""))</x:f>
      </x:c>
      <x:c r="Q101" s="68"/>
      <x:c r="R101" s="67" t="str"/>
      <x:c r="S101" s="67" t="str"/>
    </x:row>
    <x:row r="102" ht="16" customHeight="1">
      <x:c r="A102" s="56" t="str">
        <x:v>MVP01.007</x:v>
      </x:c>
      <x:c r="B102" s="57" t="str">
        <x:v>Crear el enrutador de la aplicación</x:v>
      </x:c>
      <x:c r="C102" s="62" t="str">
        <x:v>E</x:v>
      </x:c>
      <x:c r="D102" s="64" t="n">
        <x:f>'Detalle'!I53</x:f>
        <x:v>1</x:v>
      </x:c>
      <x:c r="E102" s="60" t="str">
        <x:f>'Detalle'!F53</x:f>
        <x:v>Completado</x:v>
      </x:c>
      <x:c r="F102" s="32" t="str">
        <x:f>IF(AND(F$8&lt;='Detalle'!$H53,F$9&gt;='Detalle'!$G53),1,"")</x:f>
      </x:c>
      <x:c r="G102" s="32" t="n">
        <x:f>IF(AND(G$8&lt;='Detalle'!$H53,G$9&gt;='Detalle'!$G53),1,"")</x:f>
        <x:v>1</x:v>
      </x:c>
      <x:c r="H102" s="32" t="str">
        <x:f>IF(AND(H$8&lt;='Detalle'!$H53,H$9&gt;='Detalle'!$G53),1,"")</x:f>
      </x:c>
      <x:c r="I102" s="32" t="str">
        <x:f>IF(AND(I$8&lt;='Detalle'!$H53,I$9&gt;='Detalle'!$G53),1,"")</x:f>
      </x:c>
      <x:c r="J102" s="32" t="str">
        <x:f>IF(AND(J$8&lt;='Detalle'!$H53,J$9&gt;='Detalle'!$G53),1,"")</x:f>
      </x:c>
      <x:c r="K102" s="32" t="str">
        <x:f>IF(AND(K$8&lt;='Detalle'!$H53,K$9&gt;='Detalle'!$G53),1,"")</x:f>
      </x:c>
      <x:c r="L102" s="32" t="str">
        <x:f>IF(AND(L$8&lt;='Detalle'!$H53,L$9&gt;='Detalle'!$G53),1,"")</x:f>
      </x:c>
      <x:c r="M102" s="32" t="str">
        <x:f>IF(AND(M$8&lt;='Detalle'!$H53,M$9&gt;='Detalle'!$G53),1,"")</x:f>
      </x:c>
      <x:c r="N102" s="32" t="str">
        <x:f>IF(AND(N$8&lt;='Detalle'!$H53,N$9&gt;='Detalle'!$G53),1,"")</x:f>
      </x:c>
      <x:c r="O102" s="32" t="str">
        <x:f>IF(AND(O$8&lt;='Detalle'!$H53,O$9&gt;='Detalle'!$G53),1,"")</x:f>
      </x:c>
      <x:c r="P102" s="32" t="str">
        <x:f>IF(AND(P$8&lt;='Detalle'!$H53,P$9&gt;='Detalle'!$G53),1,"")</x:f>
      </x:c>
      <x:c r="Q102" s="68"/>
      <x:c r="R102" s="67" t="str">
        <x:f>IF('Detalle'!M53="","",'Detalle'!M53)</x:f>
      </x:c>
      <x:c r="S102" s="67" t="str">
        <x:f>IF('Detalle'!N53="","",'Detalle'!N53)</x:f>
      </x:c>
    </x:row>
    <x:row r="103" ht="16" customHeight="1">
      <x:c r="A103" s="56" t="str">
        <x:v>MVP01.007</x:v>
      </x:c>
      <x:c r="B103" s="57" t="str">
        <x:v>Crear el enrutador de la aplicación</x:v>
      </x:c>
      <x:c r="C103" s="63" t="str">
        <x:v>R</x:v>
      </x:c>
      <x:c r="D103" s="65" t="str">
        <x:f>IF('Detalle'!L53="","",'Detalle'!L53)</x:f>
      </x:c>
      <x:c r="E103" s="60" t="str"/>
      <x:c r="F103" s="32" t="str">
        <x:f>IF(OR('Detalle'!$J53="",'Detalle'!$K53="",'Detalle'!$L53=""),"",IF(AND(F$8&lt;='Detalle'!$K53,F$9&gt;='Detalle'!$J53),1,""))</x:f>
      </x:c>
      <x:c r="G103" s="32" t="str">
        <x:f>IF(OR('Detalle'!$J53="",'Detalle'!$K53="",'Detalle'!$L53=""),"",IF(AND(G$8&lt;='Detalle'!$K53,G$9&gt;='Detalle'!$J53),1,""))</x:f>
      </x:c>
      <x:c r="H103" s="32" t="str">
        <x:f>IF(OR('Detalle'!$J53="",'Detalle'!$K53="",'Detalle'!$L53=""),"",IF(AND(H$8&lt;='Detalle'!$K53,H$9&gt;='Detalle'!$J53),1,""))</x:f>
      </x:c>
      <x:c r="I103" s="32" t="str">
        <x:f>IF(OR('Detalle'!$J53="",'Detalle'!$K53="",'Detalle'!$L53=""),"",IF(AND(I$8&lt;='Detalle'!$K53,I$9&gt;='Detalle'!$J53),1,""))</x:f>
      </x:c>
      <x:c r="J103" s="32" t="str">
        <x:f>IF(OR('Detalle'!$J53="",'Detalle'!$K53="",'Detalle'!$L53=""),"",IF(AND(J$8&lt;='Detalle'!$K53,J$9&gt;='Detalle'!$J53),1,""))</x:f>
      </x:c>
      <x:c r="K103" s="32" t="str">
        <x:f>IF(OR('Detalle'!$J53="",'Detalle'!$K53="",'Detalle'!$L53=""),"",IF(AND(K$8&lt;='Detalle'!$K53,K$9&gt;='Detalle'!$J53),1,""))</x:f>
      </x:c>
      <x:c r="L103" s="32" t="str">
        <x:f>IF(OR('Detalle'!$J53="",'Detalle'!$K53="",'Detalle'!$L53=""),"",IF(AND(L$8&lt;='Detalle'!$K53,L$9&gt;='Detalle'!$J53),1,""))</x:f>
      </x:c>
      <x:c r="M103" s="32" t="str">
        <x:f>IF(OR('Detalle'!$J53="",'Detalle'!$K53="",'Detalle'!$L53=""),"",IF(AND(M$8&lt;='Detalle'!$K53,M$9&gt;='Detalle'!$J53),1,""))</x:f>
      </x:c>
      <x:c r="N103" s="32" t="str">
        <x:f>IF(OR('Detalle'!$J53="",'Detalle'!$K53="",'Detalle'!$L53=""),"",IF(AND(N$8&lt;='Detalle'!$K53,N$9&gt;='Detalle'!$J53),1,""))</x:f>
      </x:c>
      <x:c r="O103" s="32" t="str">
        <x:f>IF(OR('Detalle'!$J53="",'Detalle'!$K53="",'Detalle'!$L53=""),"",IF(AND(O$8&lt;='Detalle'!$K53,O$9&gt;='Detalle'!$J53),1,""))</x:f>
      </x:c>
      <x:c r="P103" s="32" t="str">
        <x:f>IF(OR('Detalle'!$J53="",'Detalle'!$K53="",'Detalle'!$L53=""),"",IF(AND(P$8&lt;='Detalle'!$K53,P$9&gt;='Detalle'!$J53),1,""))</x:f>
      </x:c>
      <x:c r="Q103" s="68"/>
      <x:c r="R103" s="67" t="str"/>
      <x:c r="S103" s="67" t="str"/>
    </x:row>
    <x:row r="104" ht="16" customHeight="1">
      <x:c r="A104" s="56" t="str">
        <x:v>MVP01.008</x:v>
      </x:c>
      <x:c r="B104" s="57" t="str">
        <x:v>Crear estados de error comunes</x:v>
      </x:c>
      <x:c r="C104" s="62" t="str">
        <x:v>E</x:v>
      </x:c>
      <x:c r="D104" s="64" t="n">
        <x:f>'Detalle'!I54</x:f>
        <x:v>1</x:v>
      </x:c>
      <x:c r="E104" s="60" t="str">
        <x:f>'Detalle'!F54</x:f>
        <x:v>Completado</x:v>
      </x:c>
      <x:c r="F104" s="32" t="str">
        <x:f>IF(AND(F$8&lt;='Detalle'!$H54,F$9&gt;='Detalle'!$G54),1,"")</x:f>
      </x:c>
      <x:c r="G104" s="32" t="n">
        <x:f>IF(AND(G$8&lt;='Detalle'!$H54,G$9&gt;='Detalle'!$G54),1,"")</x:f>
        <x:v>1</x:v>
      </x:c>
      <x:c r="H104" s="32" t="str">
        <x:f>IF(AND(H$8&lt;='Detalle'!$H54,H$9&gt;='Detalle'!$G54),1,"")</x:f>
      </x:c>
      <x:c r="I104" s="32" t="str">
        <x:f>IF(AND(I$8&lt;='Detalle'!$H54,I$9&gt;='Detalle'!$G54),1,"")</x:f>
      </x:c>
      <x:c r="J104" s="32" t="str">
        <x:f>IF(AND(J$8&lt;='Detalle'!$H54,J$9&gt;='Detalle'!$G54),1,"")</x:f>
      </x:c>
      <x:c r="K104" s="32" t="str">
        <x:f>IF(AND(K$8&lt;='Detalle'!$H54,K$9&gt;='Detalle'!$G54),1,"")</x:f>
      </x:c>
      <x:c r="L104" s="32" t="str">
        <x:f>IF(AND(L$8&lt;='Detalle'!$H54,L$9&gt;='Detalle'!$G54),1,"")</x:f>
      </x:c>
      <x:c r="M104" s="32" t="str">
        <x:f>IF(AND(M$8&lt;='Detalle'!$H54,M$9&gt;='Detalle'!$G54),1,"")</x:f>
      </x:c>
      <x:c r="N104" s="32" t="str">
        <x:f>IF(AND(N$8&lt;='Detalle'!$H54,N$9&gt;='Detalle'!$G54),1,"")</x:f>
      </x:c>
      <x:c r="O104" s="32" t="str">
        <x:f>IF(AND(O$8&lt;='Detalle'!$H54,O$9&gt;='Detalle'!$G54),1,"")</x:f>
      </x:c>
      <x:c r="P104" s="32" t="str">
        <x:f>IF(AND(P$8&lt;='Detalle'!$H54,P$9&gt;='Detalle'!$G54),1,"")</x:f>
      </x:c>
      <x:c r="Q104" s="68"/>
      <x:c r="R104" s="67" t="str">
        <x:f>IF('Detalle'!M54="","",'Detalle'!M54)</x:f>
      </x:c>
      <x:c r="S104" s="67" t="str">
        <x:f>IF('Detalle'!N54="","",'Detalle'!N54)</x:f>
      </x:c>
    </x:row>
    <x:row r="105" ht="16" customHeight="1">
      <x:c r="A105" s="56" t="str">
        <x:v>MVP01.008</x:v>
      </x:c>
      <x:c r="B105" s="57" t="str">
        <x:v>Crear estados de error comunes</x:v>
      </x:c>
      <x:c r="C105" s="63" t="str">
        <x:v>R</x:v>
      </x:c>
      <x:c r="D105" s="65" t="str">
        <x:f>IF('Detalle'!L54="","",'Detalle'!L54)</x:f>
      </x:c>
      <x:c r="E105" s="60" t="str"/>
      <x:c r="F105" s="32" t="str">
        <x:f>IF(OR('Detalle'!$J54="",'Detalle'!$K54="",'Detalle'!$L54=""),"",IF(AND(F$8&lt;='Detalle'!$K54,F$9&gt;='Detalle'!$J54),1,""))</x:f>
      </x:c>
      <x:c r="G105" s="32" t="str">
        <x:f>IF(OR('Detalle'!$J54="",'Detalle'!$K54="",'Detalle'!$L54=""),"",IF(AND(G$8&lt;='Detalle'!$K54,G$9&gt;='Detalle'!$J54),1,""))</x:f>
      </x:c>
      <x:c r="H105" s="32" t="str">
        <x:f>IF(OR('Detalle'!$J54="",'Detalle'!$K54="",'Detalle'!$L54=""),"",IF(AND(H$8&lt;='Detalle'!$K54,H$9&gt;='Detalle'!$J54),1,""))</x:f>
      </x:c>
      <x:c r="I105" s="32" t="str">
        <x:f>IF(OR('Detalle'!$J54="",'Detalle'!$K54="",'Detalle'!$L54=""),"",IF(AND(I$8&lt;='Detalle'!$K54,I$9&gt;='Detalle'!$J54),1,""))</x:f>
      </x:c>
      <x:c r="J105" s="32" t="str">
        <x:f>IF(OR('Detalle'!$J54="",'Detalle'!$K54="",'Detalle'!$L54=""),"",IF(AND(J$8&lt;='Detalle'!$K54,J$9&gt;='Detalle'!$J54),1,""))</x:f>
      </x:c>
      <x:c r="K105" s="32" t="str">
        <x:f>IF(OR('Detalle'!$J54="",'Detalle'!$K54="",'Detalle'!$L54=""),"",IF(AND(K$8&lt;='Detalle'!$K54,K$9&gt;='Detalle'!$J54),1,""))</x:f>
      </x:c>
      <x:c r="L105" s="32" t="str">
        <x:f>IF(OR('Detalle'!$J54="",'Detalle'!$K54="",'Detalle'!$L54=""),"",IF(AND(L$8&lt;='Detalle'!$K54,L$9&gt;='Detalle'!$J54),1,""))</x:f>
      </x:c>
      <x:c r="M105" s="32" t="str">
        <x:f>IF(OR('Detalle'!$J54="",'Detalle'!$K54="",'Detalle'!$L54=""),"",IF(AND(M$8&lt;='Detalle'!$K54,M$9&gt;='Detalle'!$J54),1,""))</x:f>
      </x:c>
      <x:c r="N105" s="32" t="str">
        <x:f>IF(OR('Detalle'!$J54="",'Detalle'!$K54="",'Detalle'!$L54=""),"",IF(AND(N$8&lt;='Detalle'!$K54,N$9&gt;='Detalle'!$J54),1,""))</x:f>
      </x:c>
      <x:c r="O105" s="32" t="str">
        <x:f>IF(OR('Detalle'!$J54="",'Detalle'!$K54="",'Detalle'!$L54=""),"",IF(AND(O$8&lt;='Detalle'!$K54,O$9&gt;='Detalle'!$J54),1,""))</x:f>
      </x:c>
      <x:c r="P105" s="32" t="str">
        <x:f>IF(OR('Detalle'!$J54="",'Detalle'!$K54="",'Detalle'!$L54=""),"",IF(AND(P$8&lt;='Detalle'!$K54,P$9&gt;='Detalle'!$J54),1,""))</x:f>
      </x:c>
      <x:c r="Q105" s="68"/>
      <x:c r="R105" s="67" t="str"/>
      <x:c r="S105" s="67" t="str"/>
    </x:row>
    <x:row r="106" ht="16" customHeight="1">
      <x:c r="A106" s="56" t="str">
        <x:v>MVP01.009</x:v>
      </x:c>
      <x:c r="B106" s="57" t="str">
        <x:v>Definir validadores de formularios</x:v>
      </x:c>
      <x:c r="C106" s="62" t="str">
        <x:v>E</x:v>
      </x:c>
      <x:c r="D106" s="64" t="n">
        <x:f>'Detalle'!I55</x:f>
        <x:v>1</x:v>
      </x:c>
      <x:c r="E106" s="60" t="str">
        <x:f>'Detalle'!F55</x:f>
        <x:v>Completado</x:v>
      </x:c>
      <x:c r="F106" s="32" t="str">
        <x:f>IF(AND(F$8&lt;='Detalle'!$H55,F$9&gt;='Detalle'!$G55),1,"")</x:f>
      </x:c>
      <x:c r="G106" s="32" t="n">
        <x:f>IF(AND(G$8&lt;='Detalle'!$H55,G$9&gt;='Detalle'!$G55),1,"")</x:f>
        <x:v>1</x:v>
      </x:c>
      <x:c r="H106" s="32" t="str">
        <x:f>IF(AND(H$8&lt;='Detalle'!$H55,H$9&gt;='Detalle'!$G55),1,"")</x:f>
      </x:c>
      <x:c r="I106" s="32" t="str">
        <x:f>IF(AND(I$8&lt;='Detalle'!$H55,I$9&gt;='Detalle'!$G55),1,"")</x:f>
      </x:c>
      <x:c r="J106" s="32" t="str">
        <x:f>IF(AND(J$8&lt;='Detalle'!$H55,J$9&gt;='Detalle'!$G55),1,"")</x:f>
      </x:c>
      <x:c r="K106" s="32" t="str">
        <x:f>IF(AND(K$8&lt;='Detalle'!$H55,K$9&gt;='Detalle'!$G55),1,"")</x:f>
      </x:c>
      <x:c r="L106" s="32" t="str">
        <x:f>IF(AND(L$8&lt;='Detalle'!$H55,L$9&gt;='Detalle'!$G55),1,"")</x:f>
      </x:c>
      <x:c r="M106" s="32" t="str">
        <x:f>IF(AND(M$8&lt;='Detalle'!$H55,M$9&gt;='Detalle'!$G55),1,"")</x:f>
      </x:c>
      <x:c r="N106" s="32" t="str">
        <x:f>IF(AND(N$8&lt;='Detalle'!$H55,N$9&gt;='Detalle'!$G55),1,"")</x:f>
      </x:c>
      <x:c r="O106" s="32" t="str">
        <x:f>IF(AND(O$8&lt;='Detalle'!$H55,O$9&gt;='Detalle'!$G55),1,"")</x:f>
      </x:c>
      <x:c r="P106" s="32" t="str">
        <x:f>IF(AND(P$8&lt;='Detalle'!$H55,P$9&gt;='Detalle'!$G55),1,"")</x:f>
      </x:c>
      <x:c r="Q106" s="68"/>
      <x:c r="R106" s="67" t="str">
        <x:f>IF('Detalle'!M55="","",'Detalle'!M55)</x:f>
      </x:c>
      <x:c r="S106" s="67" t="str">
        <x:f>IF('Detalle'!N55="","",'Detalle'!N55)</x:f>
      </x:c>
    </x:row>
    <x:row r="107" ht="16" customHeight="1">
      <x:c r="A107" s="56" t="str">
        <x:v>MVP01.009</x:v>
      </x:c>
      <x:c r="B107" s="57" t="str">
        <x:v>Definir validadores de formularios</x:v>
      </x:c>
      <x:c r="C107" s="63" t="str">
        <x:v>R</x:v>
      </x:c>
      <x:c r="D107" s="65" t="str">
        <x:f>IF('Detalle'!L55="","",'Detalle'!L55)</x:f>
      </x:c>
      <x:c r="E107" s="60" t="str"/>
      <x:c r="F107" s="32" t="str">
        <x:f>IF(OR('Detalle'!$J55="",'Detalle'!$K55="",'Detalle'!$L55=""),"",IF(AND(F$8&lt;='Detalle'!$K55,F$9&gt;='Detalle'!$J55),1,""))</x:f>
      </x:c>
      <x:c r="G107" s="32" t="str">
        <x:f>IF(OR('Detalle'!$J55="",'Detalle'!$K55="",'Detalle'!$L55=""),"",IF(AND(G$8&lt;='Detalle'!$K55,G$9&gt;='Detalle'!$J55),1,""))</x:f>
      </x:c>
      <x:c r="H107" s="32" t="str">
        <x:f>IF(OR('Detalle'!$J55="",'Detalle'!$K55="",'Detalle'!$L55=""),"",IF(AND(H$8&lt;='Detalle'!$K55,H$9&gt;='Detalle'!$J55),1,""))</x:f>
      </x:c>
      <x:c r="I107" s="32" t="str">
        <x:f>IF(OR('Detalle'!$J55="",'Detalle'!$K55="",'Detalle'!$L55=""),"",IF(AND(I$8&lt;='Detalle'!$K55,I$9&gt;='Detalle'!$J55),1,""))</x:f>
      </x:c>
      <x:c r="J107" s="32" t="str">
        <x:f>IF(OR('Detalle'!$J55="",'Detalle'!$K55="",'Detalle'!$L55=""),"",IF(AND(J$8&lt;='Detalle'!$K55,J$9&gt;='Detalle'!$J55),1,""))</x:f>
      </x:c>
      <x:c r="K107" s="32" t="str">
        <x:f>IF(OR('Detalle'!$J55="",'Detalle'!$K55="",'Detalle'!$L55=""),"",IF(AND(K$8&lt;='Detalle'!$K55,K$9&gt;='Detalle'!$J55),1,""))</x:f>
      </x:c>
      <x:c r="L107" s="32" t="str">
        <x:f>IF(OR('Detalle'!$J55="",'Detalle'!$K55="",'Detalle'!$L55=""),"",IF(AND(L$8&lt;='Detalle'!$K55,L$9&gt;='Detalle'!$J55),1,""))</x:f>
      </x:c>
      <x:c r="M107" s="32" t="str">
        <x:f>IF(OR('Detalle'!$J55="",'Detalle'!$K55="",'Detalle'!$L55=""),"",IF(AND(M$8&lt;='Detalle'!$K55,M$9&gt;='Detalle'!$J55),1,""))</x:f>
      </x:c>
      <x:c r="N107" s="32" t="str">
        <x:f>IF(OR('Detalle'!$J55="",'Detalle'!$K55="",'Detalle'!$L55=""),"",IF(AND(N$8&lt;='Detalle'!$K55,N$9&gt;='Detalle'!$J55),1,""))</x:f>
      </x:c>
      <x:c r="O107" s="32" t="str">
        <x:f>IF(OR('Detalle'!$J55="",'Detalle'!$K55="",'Detalle'!$L55=""),"",IF(AND(O$8&lt;='Detalle'!$K55,O$9&gt;='Detalle'!$J55),1,""))</x:f>
      </x:c>
      <x:c r="P107" s="32" t="str">
        <x:f>IF(OR('Detalle'!$J55="",'Detalle'!$K55="",'Detalle'!$L55=""),"",IF(AND(P$8&lt;='Detalle'!$K55,P$9&gt;='Detalle'!$J55),1,""))</x:f>
      </x:c>
      <x:c r="Q107" s="68"/>
      <x:c r="R107" s="67" t="str"/>
      <x:c r="S107" s="67" t="str"/>
    </x:row>
    <x:row r="108" ht="16" customHeight="1">
      <x:c r="A108" s="56" t="str">
        <x:v>MVP01.010</x:v>
      </x:c>
      <x:c r="B108" s="57" t="str">
        <x:v>Configurar Android com.marea.app</x:v>
      </x:c>
      <x:c r="C108" s="62" t="str">
        <x:v>E</x:v>
      </x:c>
      <x:c r="D108" s="64" t="n">
        <x:f>'Detalle'!I56</x:f>
        <x:v>1</x:v>
      </x:c>
      <x:c r="E108" s="60" t="str">
        <x:f>'Detalle'!F56</x:f>
        <x:v>Completado</x:v>
      </x:c>
      <x:c r="F108" s="32" t="str">
        <x:f>IF(AND(F$8&lt;='Detalle'!$H56,F$9&gt;='Detalle'!$G56),1,"")</x:f>
      </x:c>
      <x:c r="G108" s="32" t="n">
        <x:f>IF(AND(G$8&lt;='Detalle'!$H56,G$9&gt;='Detalle'!$G56),1,"")</x:f>
        <x:v>1</x:v>
      </x:c>
      <x:c r="H108" s="32" t="str">
        <x:f>IF(AND(H$8&lt;='Detalle'!$H56,H$9&gt;='Detalle'!$G56),1,"")</x:f>
      </x:c>
      <x:c r="I108" s="32" t="str">
        <x:f>IF(AND(I$8&lt;='Detalle'!$H56,I$9&gt;='Detalle'!$G56),1,"")</x:f>
      </x:c>
      <x:c r="J108" s="32" t="str">
        <x:f>IF(AND(J$8&lt;='Detalle'!$H56,J$9&gt;='Detalle'!$G56),1,"")</x:f>
      </x:c>
      <x:c r="K108" s="32" t="str">
        <x:f>IF(AND(K$8&lt;='Detalle'!$H56,K$9&gt;='Detalle'!$G56),1,"")</x:f>
      </x:c>
      <x:c r="L108" s="32" t="str">
        <x:f>IF(AND(L$8&lt;='Detalle'!$H56,L$9&gt;='Detalle'!$G56),1,"")</x:f>
      </x:c>
      <x:c r="M108" s="32" t="str">
        <x:f>IF(AND(M$8&lt;='Detalle'!$H56,M$9&gt;='Detalle'!$G56),1,"")</x:f>
      </x:c>
      <x:c r="N108" s="32" t="str">
        <x:f>IF(AND(N$8&lt;='Detalle'!$H56,N$9&gt;='Detalle'!$G56),1,"")</x:f>
      </x:c>
      <x:c r="O108" s="32" t="str">
        <x:f>IF(AND(O$8&lt;='Detalle'!$H56,O$9&gt;='Detalle'!$G56),1,"")</x:f>
      </x:c>
      <x:c r="P108" s="32" t="str">
        <x:f>IF(AND(P$8&lt;='Detalle'!$H56,P$9&gt;='Detalle'!$G56),1,"")</x:f>
      </x:c>
      <x:c r="Q108" s="68"/>
      <x:c r="R108" s="67" t="str">
        <x:f>IF('Detalle'!M56="","",'Detalle'!M56)</x:f>
      </x:c>
      <x:c r="S108" s="67" t="str">
        <x:f>IF('Detalle'!N56="","",'Detalle'!N56)</x:f>
      </x:c>
    </x:row>
    <x:row r="109" ht="16" customHeight="1">
      <x:c r="A109" s="56" t="str">
        <x:v>MVP01.010</x:v>
      </x:c>
      <x:c r="B109" s="57" t="str">
        <x:v>Configurar Android com.marea.app</x:v>
      </x:c>
      <x:c r="C109" s="63" t="str">
        <x:v>R</x:v>
      </x:c>
      <x:c r="D109" s="65" t="str">
        <x:f>IF('Detalle'!L56="","",'Detalle'!L56)</x:f>
      </x:c>
      <x:c r="E109" s="60" t="str"/>
      <x:c r="F109" s="32" t="str">
        <x:f>IF(OR('Detalle'!$J56="",'Detalle'!$K56="",'Detalle'!$L56=""),"",IF(AND(F$8&lt;='Detalle'!$K56,F$9&gt;='Detalle'!$J56),1,""))</x:f>
      </x:c>
      <x:c r="G109" s="32" t="str">
        <x:f>IF(OR('Detalle'!$J56="",'Detalle'!$K56="",'Detalle'!$L56=""),"",IF(AND(G$8&lt;='Detalle'!$K56,G$9&gt;='Detalle'!$J56),1,""))</x:f>
      </x:c>
      <x:c r="H109" s="32" t="str">
        <x:f>IF(OR('Detalle'!$J56="",'Detalle'!$K56="",'Detalle'!$L56=""),"",IF(AND(H$8&lt;='Detalle'!$K56,H$9&gt;='Detalle'!$J56),1,""))</x:f>
      </x:c>
      <x:c r="I109" s="32" t="str">
        <x:f>IF(OR('Detalle'!$J56="",'Detalle'!$K56="",'Detalle'!$L56=""),"",IF(AND(I$8&lt;='Detalle'!$K56,I$9&gt;='Detalle'!$J56),1,""))</x:f>
      </x:c>
      <x:c r="J109" s="32" t="str">
        <x:f>IF(OR('Detalle'!$J56="",'Detalle'!$K56="",'Detalle'!$L56=""),"",IF(AND(J$8&lt;='Detalle'!$K56,J$9&gt;='Detalle'!$J56),1,""))</x:f>
      </x:c>
      <x:c r="K109" s="32" t="str">
        <x:f>IF(OR('Detalle'!$J56="",'Detalle'!$K56="",'Detalle'!$L56=""),"",IF(AND(K$8&lt;='Detalle'!$K56,K$9&gt;='Detalle'!$J56),1,""))</x:f>
      </x:c>
      <x:c r="L109" s="32" t="str">
        <x:f>IF(OR('Detalle'!$J56="",'Detalle'!$K56="",'Detalle'!$L56=""),"",IF(AND(L$8&lt;='Detalle'!$K56,L$9&gt;='Detalle'!$J56),1,""))</x:f>
      </x:c>
      <x:c r="M109" s="32" t="str">
        <x:f>IF(OR('Detalle'!$J56="",'Detalle'!$K56="",'Detalle'!$L56=""),"",IF(AND(M$8&lt;='Detalle'!$K56,M$9&gt;='Detalle'!$J56),1,""))</x:f>
      </x:c>
      <x:c r="N109" s="32" t="str">
        <x:f>IF(OR('Detalle'!$J56="",'Detalle'!$K56="",'Detalle'!$L56=""),"",IF(AND(N$8&lt;='Detalle'!$K56,N$9&gt;='Detalle'!$J56),1,""))</x:f>
      </x:c>
      <x:c r="O109" s="32" t="str">
        <x:f>IF(OR('Detalle'!$J56="",'Detalle'!$K56="",'Detalle'!$L56=""),"",IF(AND(O$8&lt;='Detalle'!$K56,O$9&gt;='Detalle'!$J56),1,""))</x:f>
      </x:c>
      <x:c r="P109" s="32" t="str">
        <x:f>IF(OR('Detalle'!$J56="",'Detalle'!$K56="",'Detalle'!$L56=""),"",IF(AND(P$8&lt;='Detalle'!$K56,P$9&gt;='Detalle'!$J56),1,""))</x:f>
      </x:c>
      <x:c r="Q109" s="68"/>
      <x:c r="R109" s="67" t="str"/>
      <x:c r="S109" s="67" t="str"/>
    </x:row>
    <x:row r="110" ht="16" customHeight="1">
      <x:c r="A110" s="56" t="str">
        <x:v>MVP01.011</x:v>
      </x:c>
      <x:c r="B110" s="57" t="str">
        <x:v>Preparar el proyecto iOS</x:v>
      </x:c>
      <x:c r="C110" s="62" t="str">
        <x:v>E</x:v>
      </x:c>
      <x:c r="D110" s="64" t="n">
        <x:f>'Detalle'!I57</x:f>
        <x:v>1</x:v>
      </x:c>
      <x:c r="E110" s="60" t="str">
        <x:f>'Detalle'!F57</x:f>
        <x:v>Completado</x:v>
      </x:c>
      <x:c r="F110" s="32" t="str">
        <x:f>IF(AND(F$8&lt;='Detalle'!$H57,F$9&gt;='Detalle'!$G57),1,"")</x:f>
      </x:c>
      <x:c r="G110" s="32" t="n">
        <x:f>IF(AND(G$8&lt;='Detalle'!$H57,G$9&gt;='Detalle'!$G57),1,"")</x:f>
        <x:v>1</x:v>
      </x:c>
      <x:c r="H110" s="32" t="str">
        <x:f>IF(AND(H$8&lt;='Detalle'!$H57,H$9&gt;='Detalle'!$G57),1,"")</x:f>
      </x:c>
      <x:c r="I110" s="32" t="str">
        <x:f>IF(AND(I$8&lt;='Detalle'!$H57,I$9&gt;='Detalle'!$G57),1,"")</x:f>
      </x:c>
      <x:c r="J110" s="32" t="str">
        <x:f>IF(AND(J$8&lt;='Detalle'!$H57,J$9&gt;='Detalle'!$G57),1,"")</x:f>
      </x:c>
      <x:c r="K110" s="32" t="str">
        <x:f>IF(AND(K$8&lt;='Detalle'!$H57,K$9&gt;='Detalle'!$G57),1,"")</x:f>
      </x:c>
      <x:c r="L110" s="32" t="str">
        <x:f>IF(AND(L$8&lt;='Detalle'!$H57,L$9&gt;='Detalle'!$G57),1,"")</x:f>
      </x:c>
      <x:c r="M110" s="32" t="str">
        <x:f>IF(AND(M$8&lt;='Detalle'!$H57,M$9&gt;='Detalle'!$G57),1,"")</x:f>
      </x:c>
      <x:c r="N110" s="32" t="str">
        <x:f>IF(AND(N$8&lt;='Detalle'!$H57,N$9&gt;='Detalle'!$G57),1,"")</x:f>
      </x:c>
      <x:c r="O110" s="32" t="str">
        <x:f>IF(AND(O$8&lt;='Detalle'!$H57,O$9&gt;='Detalle'!$G57),1,"")</x:f>
      </x:c>
      <x:c r="P110" s="32" t="str">
        <x:f>IF(AND(P$8&lt;='Detalle'!$H57,P$9&gt;='Detalle'!$G57),1,"")</x:f>
      </x:c>
      <x:c r="Q110" s="68"/>
      <x:c r="R110" s="67" t="str">
        <x:f>IF('Detalle'!M57="","",'Detalle'!M57)</x:f>
      </x:c>
      <x:c r="S110" s="67" t="str">
        <x:f>IF('Detalle'!N57="","",'Detalle'!N57)</x:f>
      </x:c>
    </x:row>
    <x:row r="111" ht="16" customHeight="1">
      <x:c r="A111" s="56" t="str">
        <x:v>MVP01.011</x:v>
      </x:c>
      <x:c r="B111" s="57" t="str">
        <x:v>Preparar el proyecto iOS</x:v>
      </x:c>
      <x:c r="C111" s="63" t="str">
        <x:v>R</x:v>
      </x:c>
      <x:c r="D111" s="65" t="str">
        <x:f>IF('Detalle'!L57="","",'Detalle'!L57)</x:f>
      </x:c>
      <x:c r="E111" s="60" t="str"/>
      <x:c r="F111" s="32" t="str">
        <x:f>IF(OR('Detalle'!$J57="",'Detalle'!$K57="",'Detalle'!$L57=""),"",IF(AND(F$8&lt;='Detalle'!$K57,F$9&gt;='Detalle'!$J57),1,""))</x:f>
      </x:c>
      <x:c r="G111" s="32" t="str">
        <x:f>IF(OR('Detalle'!$J57="",'Detalle'!$K57="",'Detalle'!$L57=""),"",IF(AND(G$8&lt;='Detalle'!$K57,G$9&gt;='Detalle'!$J57),1,""))</x:f>
      </x:c>
      <x:c r="H111" s="32" t="str">
        <x:f>IF(OR('Detalle'!$J57="",'Detalle'!$K57="",'Detalle'!$L57=""),"",IF(AND(H$8&lt;='Detalle'!$K57,H$9&gt;='Detalle'!$J57),1,""))</x:f>
      </x:c>
      <x:c r="I111" s="32" t="str">
        <x:f>IF(OR('Detalle'!$J57="",'Detalle'!$K57="",'Detalle'!$L57=""),"",IF(AND(I$8&lt;='Detalle'!$K57,I$9&gt;='Detalle'!$J57),1,""))</x:f>
      </x:c>
      <x:c r="J111" s="32" t="str">
        <x:f>IF(OR('Detalle'!$J57="",'Detalle'!$K57="",'Detalle'!$L57=""),"",IF(AND(J$8&lt;='Detalle'!$K57,J$9&gt;='Detalle'!$J57),1,""))</x:f>
      </x:c>
      <x:c r="K111" s="32" t="str">
        <x:f>IF(OR('Detalle'!$J57="",'Detalle'!$K57="",'Detalle'!$L57=""),"",IF(AND(K$8&lt;='Detalle'!$K57,K$9&gt;='Detalle'!$J57),1,""))</x:f>
      </x:c>
      <x:c r="L111" s="32" t="str">
        <x:f>IF(OR('Detalle'!$J57="",'Detalle'!$K57="",'Detalle'!$L57=""),"",IF(AND(L$8&lt;='Detalle'!$K57,L$9&gt;='Detalle'!$J57),1,""))</x:f>
      </x:c>
      <x:c r="M111" s="32" t="str">
        <x:f>IF(OR('Detalle'!$J57="",'Detalle'!$K57="",'Detalle'!$L57=""),"",IF(AND(M$8&lt;='Detalle'!$K57,M$9&gt;='Detalle'!$J57),1,""))</x:f>
      </x:c>
      <x:c r="N111" s="32" t="str">
        <x:f>IF(OR('Detalle'!$J57="",'Detalle'!$K57="",'Detalle'!$L57=""),"",IF(AND(N$8&lt;='Detalle'!$K57,N$9&gt;='Detalle'!$J57),1,""))</x:f>
      </x:c>
      <x:c r="O111" s="32" t="str">
        <x:f>IF(OR('Detalle'!$J57="",'Detalle'!$K57="",'Detalle'!$L57=""),"",IF(AND(O$8&lt;='Detalle'!$K57,O$9&gt;='Detalle'!$J57),1,""))</x:f>
      </x:c>
      <x:c r="P111" s="32" t="str">
        <x:f>IF(OR('Detalle'!$J57="",'Detalle'!$K57="",'Detalle'!$L57=""),"",IF(AND(P$8&lt;='Detalle'!$K57,P$9&gt;='Detalle'!$J57),1,""))</x:f>
      </x:c>
      <x:c r="Q111" s="68"/>
      <x:c r="R111" s="67" t="str"/>
      <x:c r="S111" s="67" t="str"/>
    </x:row>
    <x:row r="112" ht="16" customHeight="1">
      <x:c r="A112" s="56" t="str">
        <x:v>MVP01.012</x:v>
      </x:c>
      <x:c r="B112" s="57" t="str">
        <x:v>Preparar el cliente web</x:v>
      </x:c>
      <x:c r="C112" s="62" t="str">
        <x:v>E</x:v>
      </x:c>
      <x:c r="D112" s="64" t="n">
        <x:f>'Detalle'!I58</x:f>
        <x:v>1</x:v>
      </x:c>
      <x:c r="E112" s="60" t="str">
        <x:f>'Detalle'!F58</x:f>
        <x:v>Completado</x:v>
      </x:c>
      <x:c r="F112" s="32" t="str">
        <x:f>IF(AND(F$8&lt;='Detalle'!$H58,F$9&gt;='Detalle'!$G58),1,"")</x:f>
      </x:c>
      <x:c r="G112" s="32" t="n">
        <x:f>IF(AND(G$8&lt;='Detalle'!$H58,G$9&gt;='Detalle'!$G58),1,"")</x:f>
        <x:v>1</x:v>
      </x:c>
      <x:c r="H112" s="32" t="str">
        <x:f>IF(AND(H$8&lt;='Detalle'!$H58,H$9&gt;='Detalle'!$G58),1,"")</x:f>
      </x:c>
      <x:c r="I112" s="32" t="str">
        <x:f>IF(AND(I$8&lt;='Detalle'!$H58,I$9&gt;='Detalle'!$G58),1,"")</x:f>
      </x:c>
      <x:c r="J112" s="32" t="str">
        <x:f>IF(AND(J$8&lt;='Detalle'!$H58,J$9&gt;='Detalle'!$G58),1,"")</x:f>
      </x:c>
      <x:c r="K112" s="32" t="str">
        <x:f>IF(AND(K$8&lt;='Detalle'!$H58,K$9&gt;='Detalle'!$G58),1,"")</x:f>
      </x:c>
      <x:c r="L112" s="32" t="str">
        <x:f>IF(AND(L$8&lt;='Detalle'!$H58,L$9&gt;='Detalle'!$G58),1,"")</x:f>
      </x:c>
      <x:c r="M112" s="32" t="str">
        <x:f>IF(AND(M$8&lt;='Detalle'!$H58,M$9&gt;='Detalle'!$G58),1,"")</x:f>
      </x:c>
      <x:c r="N112" s="32" t="str">
        <x:f>IF(AND(N$8&lt;='Detalle'!$H58,N$9&gt;='Detalle'!$G58),1,"")</x:f>
      </x:c>
      <x:c r="O112" s="32" t="str">
        <x:f>IF(AND(O$8&lt;='Detalle'!$H58,O$9&gt;='Detalle'!$G58),1,"")</x:f>
      </x:c>
      <x:c r="P112" s="32" t="str">
        <x:f>IF(AND(P$8&lt;='Detalle'!$H58,P$9&gt;='Detalle'!$G58),1,"")</x:f>
      </x:c>
      <x:c r="Q112" s="68"/>
      <x:c r="R112" s="67" t="str">
        <x:f>IF('Detalle'!M58="","",'Detalle'!M58)</x:f>
      </x:c>
      <x:c r="S112" s="67" t="str">
        <x:f>IF('Detalle'!N58="","",'Detalle'!N58)</x:f>
      </x:c>
    </x:row>
    <x:row r="113" ht="16" customHeight="1">
      <x:c r="A113" s="56" t="str">
        <x:v>MVP01.012</x:v>
      </x:c>
      <x:c r="B113" s="57" t="str">
        <x:v>Preparar el cliente web</x:v>
      </x:c>
      <x:c r="C113" s="63" t="str">
        <x:v>R</x:v>
      </x:c>
      <x:c r="D113" s="65" t="str">
        <x:f>IF('Detalle'!L58="","",'Detalle'!L58)</x:f>
      </x:c>
      <x:c r="E113" s="60" t="str"/>
      <x:c r="F113" s="32" t="str">
        <x:f>IF(OR('Detalle'!$J58="",'Detalle'!$K58="",'Detalle'!$L58=""),"",IF(AND(F$8&lt;='Detalle'!$K58,F$9&gt;='Detalle'!$J58),1,""))</x:f>
      </x:c>
      <x:c r="G113" s="32" t="str">
        <x:f>IF(OR('Detalle'!$J58="",'Detalle'!$K58="",'Detalle'!$L58=""),"",IF(AND(G$8&lt;='Detalle'!$K58,G$9&gt;='Detalle'!$J58),1,""))</x:f>
      </x:c>
      <x:c r="H113" s="32" t="str">
        <x:f>IF(OR('Detalle'!$J58="",'Detalle'!$K58="",'Detalle'!$L58=""),"",IF(AND(H$8&lt;='Detalle'!$K58,H$9&gt;='Detalle'!$J58),1,""))</x:f>
      </x:c>
      <x:c r="I113" s="32" t="str">
        <x:f>IF(OR('Detalle'!$J58="",'Detalle'!$K58="",'Detalle'!$L58=""),"",IF(AND(I$8&lt;='Detalle'!$K58,I$9&gt;='Detalle'!$J58),1,""))</x:f>
      </x:c>
      <x:c r="J113" s="32" t="str">
        <x:f>IF(OR('Detalle'!$J58="",'Detalle'!$K58="",'Detalle'!$L58=""),"",IF(AND(J$8&lt;='Detalle'!$K58,J$9&gt;='Detalle'!$J58),1,""))</x:f>
      </x:c>
      <x:c r="K113" s="32" t="str">
        <x:f>IF(OR('Detalle'!$J58="",'Detalle'!$K58="",'Detalle'!$L58=""),"",IF(AND(K$8&lt;='Detalle'!$K58,K$9&gt;='Detalle'!$J58),1,""))</x:f>
      </x:c>
      <x:c r="L113" s="32" t="str">
        <x:f>IF(OR('Detalle'!$J58="",'Detalle'!$K58="",'Detalle'!$L58=""),"",IF(AND(L$8&lt;='Detalle'!$K58,L$9&gt;='Detalle'!$J58),1,""))</x:f>
      </x:c>
      <x:c r="M113" s="32" t="str">
        <x:f>IF(OR('Detalle'!$J58="",'Detalle'!$K58="",'Detalle'!$L58=""),"",IF(AND(M$8&lt;='Detalle'!$K58,M$9&gt;='Detalle'!$J58),1,""))</x:f>
      </x:c>
      <x:c r="N113" s="32" t="str">
        <x:f>IF(OR('Detalle'!$J58="",'Detalle'!$K58="",'Detalle'!$L58=""),"",IF(AND(N$8&lt;='Detalle'!$K58,N$9&gt;='Detalle'!$J58),1,""))</x:f>
      </x:c>
      <x:c r="O113" s="32" t="str">
        <x:f>IF(OR('Detalle'!$J58="",'Detalle'!$K58="",'Detalle'!$L58=""),"",IF(AND(O$8&lt;='Detalle'!$K58,O$9&gt;='Detalle'!$J58),1,""))</x:f>
      </x:c>
      <x:c r="P113" s="32" t="str">
        <x:f>IF(OR('Detalle'!$J58="",'Detalle'!$K58="",'Detalle'!$L58=""),"",IF(AND(P$8&lt;='Detalle'!$K58,P$9&gt;='Detalle'!$J58),1,""))</x:f>
      </x:c>
      <x:c r="Q113" s="68"/>
      <x:c r="R113" s="67" t="str"/>
      <x:c r="S113" s="67" t="str"/>
    </x:row>
    <x:row r="114" ht="16" customHeight="1">
      <x:c r="A114" s="56" t="str">
        <x:v>MVP01.013</x:v>
      </x:c>
      <x:c r="B114" s="57" t="str">
        <x:v>Configurar exclusiones de archivos locales</x:v>
      </x:c>
      <x:c r="C114" s="62" t="str">
        <x:v>E</x:v>
      </x:c>
      <x:c r="D114" s="64" t="n">
        <x:f>'Detalle'!I59</x:f>
        <x:v>1</x:v>
      </x:c>
      <x:c r="E114" s="60" t="str">
        <x:f>'Detalle'!F59</x:f>
        <x:v>Completado</x:v>
      </x:c>
      <x:c r="F114" s="32" t="str">
        <x:f>IF(AND(F$8&lt;='Detalle'!$H59,F$9&gt;='Detalle'!$G59),1,"")</x:f>
      </x:c>
      <x:c r="G114" s="32" t="n">
        <x:f>IF(AND(G$8&lt;='Detalle'!$H59,G$9&gt;='Detalle'!$G59),1,"")</x:f>
        <x:v>1</x:v>
      </x:c>
      <x:c r="H114" s="32" t="str">
        <x:f>IF(AND(H$8&lt;='Detalle'!$H59,H$9&gt;='Detalle'!$G59),1,"")</x:f>
      </x:c>
      <x:c r="I114" s="32" t="str">
        <x:f>IF(AND(I$8&lt;='Detalle'!$H59,I$9&gt;='Detalle'!$G59),1,"")</x:f>
      </x:c>
      <x:c r="J114" s="32" t="str">
        <x:f>IF(AND(J$8&lt;='Detalle'!$H59,J$9&gt;='Detalle'!$G59),1,"")</x:f>
      </x:c>
      <x:c r="K114" s="32" t="str">
        <x:f>IF(AND(K$8&lt;='Detalle'!$H59,K$9&gt;='Detalle'!$G59),1,"")</x:f>
      </x:c>
      <x:c r="L114" s="32" t="str">
        <x:f>IF(AND(L$8&lt;='Detalle'!$H59,L$9&gt;='Detalle'!$G59),1,"")</x:f>
      </x:c>
      <x:c r="M114" s="32" t="str">
        <x:f>IF(AND(M$8&lt;='Detalle'!$H59,M$9&gt;='Detalle'!$G59),1,"")</x:f>
      </x:c>
      <x:c r="N114" s="32" t="str">
        <x:f>IF(AND(N$8&lt;='Detalle'!$H59,N$9&gt;='Detalle'!$G59),1,"")</x:f>
      </x:c>
      <x:c r="O114" s="32" t="str">
        <x:f>IF(AND(O$8&lt;='Detalle'!$H59,O$9&gt;='Detalle'!$G59),1,"")</x:f>
      </x:c>
      <x:c r="P114" s="32" t="str">
        <x:f>IF(AND(P$8&lt;='Detalle'!$H59,P$9&gt;='Detalle'!$G59),1,"")</x:f>
      </x:c>
      <x:c r="Q114" s="68"/>
      <x:c r="R114" s="67" t="str">
        <x:f>IF('Detalle'!M59="","",'Detalle'!M59)</x:f>
      </x:c>
      <x:c r="S114" s="67" t="str">
        <x:f>IF('Detalle'!N59="","",'Detalle'!N59)</x:f>
      </x:c>
    </x:row>
    <x:row r="115" ht="16" customHeight="1">
      <x:c r="A115" s="56" t="str">
        <x:v>MVP01.013</x:v>
      </x:c>
      <x:c r="B115" s="57" t="str">
        <x:v>Configurar exclusiones de archivos locales</x:v>
      </x:c>
      <x:c r="C115" s="63" t="str">
        <x:v>R</x:v>
      </x:c>
      <x:c r="D115" s="65" t="str">
        <x:f>IF('Detalle'!L59="","",'Detalle'!L59)</x:f>
      </x:c>
      <x:c r="E115" s="60" t="str"/>
      <x:c r="F115" s="32" t="str">
        <x:f>IF(OR('Detalle'!$J59="",'Detalle'!$K59="",'Detalle'!$L59=""),"",IF(AND(F$8&lt;='Detalle'!$K59,F$9&gt;='Detalle'!$J59),1,""))</x:f>
      </x:c>
      <x:c r="G115" s="32" t="str">
        <x:f>IF(OR('Detalle'!$J59="",'Detalle'!$K59="",'Detalle'!$L59=""),"",IF(AND(G$8&lt;='Detalle'!$K59,G$9&gt;='Detalle'!$J59),1,""))</x:f>
      </x:c>
      <x:c r="H115" s="32" t="str">
        <x:f>IF(OR('Detalle'!$J59="",'Detalle'!$K59="",'Detalle'!$L59=""),"",IF(AND(H$8&lt;='Detalle'!$K59,H$9&gt;='Detalle'!$J59),1,""))</x:f>
      </x:c>
      <x:c r="I115" s="32" t="str">
        <x:f>IF(OR('Detalle'!$J59="",'Detalle'!$K59="",'Detalle'!$L59=""),"",IF(AND(I$8&lt;='Detalle'!$K59,I$9&gt;='Detalle'!$J59),1,""))</x:f>
      </x:c>
      <x:c r="J115" s="32" t="str">
        <x:f>IF(OR('Detalle'!$J59="",'Detalle'!$K59="",'Detalle'!$L59=""),"",IF(AND(J$8&lt;='Detalle'!$K59,J$9&gt;='Detalle'!$J59),1,""))</x:f>
      </x:c>
      <x:c r="K115" s="32" t="str">
        <x:f>IF(OR('Detalle'!$J59="",'Detalle'!$K59="",'Detalle'!$L59=""),"",IF(AND(K$8&lt;='Detalle'!$K59,K$9&gt;='Detalle'!$J59),1,""))</x:f>
      </x:c>
      <x:c r="L115" s="32" t="str">
        <x:f>IF(OR('Detalle'!$J59="",'Detalle'!$K59="",'Detalle'!$L59=""),"",IF(AND(L$8&lt;='Detalle'!$K59,L$9&gt;='Detalle'!$J59),1,""))</x:f>
      </x:c>
      <x:c r="M115" s="32" t="str">
        <x:f>IF(OR('Detalle'!$J59="",'Detalle'!$K59="",'Detalle'!$L59=""),"",IF(AND(M$8&lt;='Detalle'!$K59,M$9&gt;='Detalle'!$J59),1,""))</x:f>
      </x:c>
      <x:c r="N115" s="32" t="str">
        <x:f>IF(OR('Detalle'!$J59="",'Detalle'!$K59="",'Detalle'!$L59=""),"",IF(AND(N$8&lt;='Detalle'!$K59,N$9&gt;='Detalle'!$J59),1,""))</x:f>
      </x:c>
      <x:c r="O115" s="32" t="str">
        <x:f>IF(OR('Detalle'!$J59="",'Detalle'!$K59="",'Detalle'!$L59=""),"",IF(AND(O$8&lt;='Detalle'!$K59,O$9&gt;='Detalle'!$J59),1,""))</x:f>
      </x:c>
      <x:c r="P115" s="32" t="str">
        <x:f>IF(OR('Detalle'!$J59="",'Detalle'!$K59="",'Detalle'!$L59=""),"",IF(AND(P$8&lt;='Detalle'!$K59,P$9&gt;='Detalle'!$J59),1,""))</x:f>
      </x:c>
      <x:c r="Q115" s="68"/>
      <x:c r="R115" s="67" t="str"/>
      <x:c r="S115" s="67" t="str"/>
    </x:row>
    <x:row r="116" ht="16" customHeight="1">
      <x:c r="A116" s="56" t="str">
        <x:v>MVP01.014</x:v>
      </x:c>
      <x:c r="B116" s="57" t="str">
        <x:v>Configurar análisis estático</x:v>
      </x:c>
      <x:c r="C116" s="62" t="str">
        <x:v>E</x:v>
      </x:c>
      <x:c r="D116" s="64" t="n">
        <x:f>'Detalle'!I60</x:f>
        <x:v>1</x:v>
      </x:c>
      <x:c r="E116" s="60" t="str">
        <x:f>'Detalle'!F60</x:f>
        <x:v>Completado</x:v>
      </x:c>
      <x:c r="F116" s="32" t="str">
        <x:f>IF(AND(F$8&lt;='Detalle'!$H60,F$9&gt;='Detalle'!$G60),1,"")</x:f>
      </x:c>
      <x:c r="G116" s="32" t="n">
        <x:f>IF(AND(G$8&lt;='Detalle'!$H60,G$9&gt;='Detalle'!$G60),1,"")</x:f>
        <x:v>1</x:v>
      </x:c>
      <x:c r="H116" s="32" t="str">
        <x:f>IF(AND(H$8&lt;='Detalle'!$H60,H$9&gt;='Detalle'!$G60),1,"")</x:f>
      </x:c>
      <x:c r="I116" s="32" t="str">
        <x:f>IF(AND(I$8&lt;='Detalle'!$H60,I$9&gt;='Detalle'!$G60),1,"")</x:f>
      </x:c>
      <x:c r="J116" s="32" t="str">
        <x:f>IF(AND(J$8&lt;='Detalle'!$H60,J$9&gt;='Detalle'!$G60),1,"")</x:f>
      </x:c>
      <x:c r="K116" s="32" t="str">
        <x:f>IF(AND(K$8&lt;='Detalle'!$H60,K$9&gt;='Detalle'!$G60),1,"")</x:f>
      </x:c>
      <x:c r="L116" s="32" t="str">
        <x:f>IF(AND(L$8&lt;='Detalle'!$H60,L$9&gt;='Detalle'!$G60),1,"")</x:f>
      </x:c>
      <x:c r="M116" s="32" t="str">
        <x:f>IF(AND(M$8&lt;='Detalle'!$H60,M$9&gt;='Detalle'!$G60),1,"")</x:f>
      </x:c>
      <x:c r="N116" s="32" t="str">
        <x:f>IF(AND(N$8&lt;='Detalle'!$H60,N$9&gt;='Detalle'!$G60),1,"")</x:f>
      </x:c>
      <x:c r="O116" s="32" t="str">
        <x:f>IF(AND(O$8&lt;='Detalle'!$H60,O$9&gt;='Detalle'!$G60),1,"")</x:f>
      </x:c>
      <x:c r="P116" s="32" t="str">
        <x:f>IF(AND(P$8&lt;='Detalle'!$H60,P$9&gt;='Detalle'!$G60),1,"")</x:f>
      </x:c>
      <x:c r="Q116" s="68"/>
      <x:c r="R116" s="67" t="str">
        <x:f>IF('Detalle'!M60="","",'Detalle'!M60)</x:f>
      </x:c>
      <x:c r="S116" s="67" t="str">
        <x:f>IF('Detalle'!N60="","",'Detalle'!N60)</x:f>
      </x:c>
    </x:row>
    <x:row r="117" ht="16" customHeight="1">
      <x:c r="A117" s="56" t="str">
        <x:v>MVP01.014</x:v>
      </x:c>
      <x:c r="B117" s="57" t="str">
        <x:v>Configurar análisis estático</x:v>
      </x:c>
      <x:c r="C117" s="63" t="str">
        <x:v>R</x:v>
      </x:c>
      <x:c r="D117" s="65" t="str">
        <x:f>IF('Detalle'!L60="","",'Detalle'!L60)</x:f>
      </x:c>
      <x:c r="E117" s="60" t="str"/>
      <x:c r="F117" s="32" t="str">
        <x:f>IF(OR('Detalle'!$J60="",'Detalle'!$K60="",'Detalle'!$L60=""),"",IF(AND(F$8&lt;='Detalle'!$K60,F$9&gt;='Detalle'!$J60),1,""))</x:f>
      </x:c>
      <x:c r="G117" s="32" t="str">
        <x:f>IF(OR('Detalle'!$J60="",'Detalle'!$K60="",'Detalle'!$L60=""),"",IF(AND(G$8&lt;='Detalle'!$K60,G$9&gt;='Detalle'!$J60),1,""))</x:f>
      </x:c>
      <x:c r="H117" s="32" t="str">
        <x:f>IF(OR('Detalle'!$J60="",'Detalle'!$K60="",'Detalle'!$L60=""),"",IF(AND(H$8&lt;='Detalle'!$K60,H$9&gt;='Detalle'!$J60),1,""))</x:f>
      </x:c>
      <x:c r="I117" s="32" t="str">
        <x:f>IF(OR('Detalle'!$J60="",'Detalle'!$K60="",'Detalle'!$L60=""),"",IF(AND(I$8&lt;='Detalle'!$K60,I$9&gt;='Detalle'!$J60),1,""))</x:f>
      </x:c>
      <x:c r="J117" s="32" t="str">
        <x:f>IF(OR('Detalle'!$J60="",'Detalle'!$K60="",'Detalle'!$L60=""),"",IF(AND(J$8&lt;='Detalle'!$K60,J$9&gt;='Detalle'!$J60),1,""))</x:f>
      </x:c>
      <x:c r="K117" s="32" t="str">
        <x:f>IF(OR('Detalle'!$J60="",'Detalle'!$K60="",'Detalle'!$L60=""),"",IF(AND(K$8&lt;='Detalle'!$K60,K$9&gt;='Detalle'!$J60),1,""))</x:f>
      </x:c>
      <x:c r="L117" s="32" t="str">
        <x:f>IF(OR('Detalle'!$J60="",'Detalle'!$K60="",'Detalle'!$L60=""),"",IF(AND(L$8&lt;='Detalle'!$K60,L$9&gt;='Detalle'!$J60),1,""))</x:f>
      </x:c>
      <x:c r="M117" s="32" t="str">
        <x:f>IF(OR('Detalle'!$J60="",'Detalle'!$K60="",'Detalle'!$L60=""),"",IF(AND(M$8&lt;='Detalle'!$K60,M$9&gt;='Detalle'!$J60),1,""))</x:f>
      </x:c>
      <x:c r="N117" s="32" t="str">
        <x:f>IF(OR('Detalle'!$J60="",'Detalle'!$K60="",'Detalle'!$L60=""),"",IF(AND(N$8&lt;='Detalle'!$K60,N$9&gt;='Detalle'!$J60),1,""))</x:f>
      </x:c>
      <x:c r="O117" s="32" t="str">
        <x:f>IF(OR('Detalle'!$J60="",'Detalle'!$K60="",'Detalle'!$L60=""),"",IF(AND(O$8&lt;='Detalle'!$K60,O$9&gt;='Detalle'!$J60),1,""))</x:f>
      </x:c>
      <x:c r="P117" s="32" t="str">
        <x:f>IF(OR('Detalle'!$J60="",'Detalle'!$K60="",'Detalle'!$L60=""),"",IF(AND(P$8&lt;='Detalle'!$K60,P$9&gt;='Detalle'!$J60),1,""))</x:f>
      </x:c>
      <x:c r="Q117" s="68"/>
      <x:c r="R117" s="67" t="str"/>
      <x:c r="S117" s="67" t="str"/>
    </x:row>
    <x:row r="118" ht="16" customHeight="1">
      <x:c r="A118" s="56" t="str">
        <x:v>MVP01.015</x:v>
      </x:c>
      <x:c r="B118" s="57" t="str">
        <x:v>Documentar configuración y ejecución</x:v>
      </x:c>
      <x:c r="C118" s="62" t="str">
        <x:v>E</x:v>
      </x:c>
      <x:c r="D118" s="64" t="n">
        <x:f>'Detalle'!I61</x:f>
        <x:v>1</x:v>
      </x:c>
      <x:c r="E118" s="60" t="str">
        <x:f>'Detalle'!F61</x:f>
        <x:v>Completado</x:v>
      </x:c>
      <x:c r="F118" s="32" t="str">
        <x:f>IF(AND(F$8&lt;='Detalle'!$H61,F$9&gt;='Detalle'!$G61),1,"")</x:f>
      </x:c>
      <x:c r="G118" s="32" t="n">
        <x:f>IF(AND(G$8&lt;='Detalle'!$H61,G$9&gt;='Detalle'!$G61),1,"")</x:f>
        <x:v>1</x:v>
      </x:c>
      <x:c r="H118" s="32" t="str">
        <x:f>IF(AND(H$8&lt;='Detalle'!$H61,H$9&gt;='Detalle'!$G61),1,"")</x:f>
      </x:c>
      <x:c r="I118" s="32" t="str">
        <x:f>IF(AND(I$8&lt;='Detalle'!$H61,I$9&gt;='Detalle'!$G61),1,"")</x:f>
      </x:c>
      <x:c r="J118" s="32" t="str">
        <x:f>IF(AND(J$8&lt;='Detalle'!$H61,J$9&gt;='Detalle'!$G61),1,"")</x:f>
      </x:c>
      <x:c r="K118" s="32" t="str">
        <x:f>IF(AND(K$8&lt;='Detalle'!$H61,K$9&gt;='Detalle'!$G61),1,"")</x:f>
      </x:c>
      <x:c r="L118" s="32" t="str">
        <x:f>IF(AND(L$8&lt;='Detalle'!$H61,L$9&gt;='Detalle'!$G61),1,"")</x:f>
      </x:c>
      <x:c r="M118" s="32" t="str">
        <x:f>IF(AND(M$8&lt;='Detalle'!$H61,M$9&gt;='Detalle'!$G61),1,"")</x:f>
      </x:c>
      <x:c r="N118" s="32" t="str">
        <x:f>IF(AND(N$8&lt;='Detalle'!$H61,N$9&gt;='Detalle'!$G61),1,"")</x:f>
      </x:c>
      <x:c r="O118" s="32" t="str">
        <x:f>IF(AND(O$8&lt;='Detalle'!$H61,O$9&gt;='Detalle'!$G61),1,"")</x:f>
      </x:c>
      <x:c r="P118" s="32" t="str">
        <x:f>IF(AND(P$8&lt;='Detalle'!$H61,P$9&gt;='Detalle'!$G61),1,"")</x:f>
      </x:c>
      <x:c r="Q118" s="68"/>
      <x:c r="R118" s="67" t="str">
        <x:f>IF('Detalle'!M61="","",'Detalle'!M61)</x:f>
      </x:c>
      <x:c r="S118" s="67" t="str">
        <x:f>IF('Detalle'!N61="","",'Detalle'!N61)</x:f>
      </x:c>
    </x:row>
    <x:row r="119" ht="16" customHeight="1">
      <x:c r="A119" s="56" t="str">
        <x:v>MVP01.015</x:v>
      </x:c>
      <x:c r="B119" s="57" t="str">
        <x:v>Documentar configuración y ejecución</x:v>
      </x:c>
      <x:c r="C119" s="63" t="str">
        <x:v>R</x:v>
      </x:c>
      <x:c r="D119" s="65" t="str">
        <x:f>IF('Detalle'!L61="","",'Detalle'!L61)</x:f>
      </x:c>
      <x:c r="E119" s="60" t="str"/>
      <x:c r="F119" s="32" t="str">
        <x:f>IF(OR('Detalle'!$J61="",'Detalle'!$K61="",'Detalle'!$L61=""),"",IF(AND(F$8&lt;='Detalle'!$K61,F$9&gt;='Detalle'!$J61),1,""))</x:f>
      </x:c>
      <x:c r="G119" s="32" t="str">
        <x:f>IF(OR('Detalle'!$J61="",'Detalle'!$K61="",'Detalle'!$L61=""),"",IF(AND(G$8&lt;='Detalle'!$K61,G$9&gt;='Detalle'!$J61),1,""))</x:f>
      </x:c>
      <x:c r="H119" s="32" t="str">
        <x:f>IF(OR('Detalle'!$J61="",'Detalle'!$K61="",'Detalle'!$L61=""),"",IF(AND(H$8&lt;='Detalle'!$K61,H$9&gt;='Detalle'!$J61),1,""))</x:f>
      </x:c>
      <x:c r="I119" s="32" t="str">
        <x:f>IF(OR('Detalle'!$J61="",'Detalle'!$K61="",'Detalle'!$L61=""),"",IF(AND(I$8&lt;='Detalle'!$K61,I$9&gt;='Detalle'!$J61),1,""))</x:f>
      </x:c>
      <x:c r="J119" s="32" t="str">
        <x:f>IF(OR('Detalle'!$J61="",'Detalle'!$K61="",'Detalle'!$L61=""),"",IF(AND(J$8&lt;='Detalle'!$K61,J$9&gt;='Detalle'!$J61),1,""))</x:f>
      </x:c>
      <x:c r="K119" s="32" t="str">
        <x:f>IF(OR('Detalle'!$J61="",'Detalle'!$K61="",'Detalle'!$L61=""),"",IF(AND(K$8&lt;='Detalle'!$K61,K$9&gt;='Detalle'!$J61),1,""))</x:f>
      </x:c>
      <x:c r="L119" s="32" t="str">
        <x:f>IF(OR('Detalle'!$J61="",'Detalle'!$K61="",'Detalle'!$L61=""),"",IF(AND(L$8&lt;='Detalle'!$K61,L$9&gt;='Detalle'!$J61),1,""))</x:f>
      </x:c>
      <x:c r="M119" s="32" t="str">
        <x:f>IF(OR('Detalle'!$J61="",'Detalle'!$K61="",'Detalle'!$L61=""),"",IF(AND(M$8&lt;='Detalle'!$K61,M$9&gt;='Detalle'!$J61),1,""))</x:f>
      </x:c>
      <x:c r="N119" s="32" t="str">
        <x:f>IF(OR('Detalle'!$J61="",'Detalle'!$K61="",'Detalle'!$L61=""),"",IF(AND(N$8&lt;='Detalle'!$K61,N$9&gt;='Detalle'!$J61),1,""))</x:f>
      </x:c>
      <x:c r="O119" s="32" t="str">
        <x:f>IF(OR('Detalle'!$J61="",'Detalle'!$K61="",'Detalle'!$L61=""),"",IF(AND(O$8&lt;='Detalle'!$K61,O$9&gt;='Detalle'!$J61),1,""))</x:f>
      </x:c>
      <x:c r="P119" s="32" t="str">
        <x:f>IF(OR('Detalle'!$J61="",'Detalle'!$K61="",'Detalle'!$L61=""),"",IF(AND(P$8&lt;='Detalle'!$K61,P$9&gt;='Detalle'!$J61),1,""))</x:f>
      </x:c>
      <x:c r="Q119" s="68"/>
      <x:c r="R119" s="67" t="str"/>
      <x:c r="S119" s="67" t="str"/>
    </x:row>
    <x:row r="120" ht="20" customHeight="1">
      <x:c r="A120" s="52" t="str">
        <x:v>MVP02 · Diseño y navegación del primer MVP</x:v>
      </x:c>
      <x:c r="B120" s="52" t="str">
        <x:v>MVP02 · Diseño y navegación del primer MVP</x:v>
      </x:c>
      <x:c r="C120" s="52" t="str">
        <x:v>MVP02 · Diseño y navegación del primer MVP</x:v>
      </x:c>
      <x:c r="D120" s="52" t="str">
        <x:v>MVP02 · Diseño y navegación del primer MVP</x:v>
      </x:c>
      <x:c r="E120" s="52" t="str">
        <x:v>MVP02 · Diseño y navegación del primer MVP</x:v>
      </x:c>
      <x:c r="F120" s="53" t="str">
        <x:v>MVP02 · Diseño y navegación del primer MVP</x:v>
      </x:c>
      <x:c r="G120" s="53" t="str">
        <x:v>MVP02 · Diseño y navegación del primer MVP</x:v>
      </x:c>
      <x:c r="H120" s="53" t="str">
        <x:v>MVP02 · Diseño y navegación del primer MVP</x:v>
      </x:c>
      <x:c r="I120" s="53" t="str">
        <x:v>MVP02 · Diseño y navegación del primer MVP</x:v>
      </x:c>
      <x:c r="J120" s="53" t="str">
        <x:v>MVP02 · Diseño y navegación del primer MVP</x:v>
      </x:c>
      <x:c r="K120" s="53" t="str">
        <x:v>MVP02 · Diseño y navegación del primer MVP</x:v>
      </x:c>
      <x:c r="L120" s="53" t="str">
        <x:v>MVP02 · Diseño y navegación del primer MVP</x:v>
      </x:c>
      <x:c r="M120" s="53" t="str">
        <x:v>MVP02 · Diseño y navegación del primer MVP</x:v>
      </x:c>
      <x:c r="N120" s="53" t="str">
        <x:v>MVP02 · Diseño y navegación del primer MVP</x:v>
      </x:c>
      <x:c r="O120" s="53" t="str">
        <x:v>MVP02 · Diseño y navegación del primer MVP</x:v>
      </x:c>
      <x:c r="P120" s="53" t="str">
        <x:v>MVP02 · Diseño y navegación del primer MVP</x:v>
      </x:c>
      <x:c r="Q120" s="52" t="str">
        <x:v>MVP02 · Diseño y navegación del primer MVP</x:v>
      </x:c>
      <x:c r="R120" s="52" t="str">
        <x:v>MVP02 · Diseño y navegación del primer MVP</x:v>
      </x:c>
      <x:c r="S120" s="52" t="str">
        <x:v>MVP02 · Diseño y navegación del primer MVP</x:v>
      </x:c>
    </x:row>
    <x:row r="121" ht="16" customHeight="1">
      <x:c r="A121" s="56" t="str">
        <x:v>MVP02.001</x:v>
      </x:c>
      <x:c r="B121" s="57" t="str">
        <x:v>Definir la paleta inicial MAREA</x:v>
      </x:c>
      <x:c r="C121" s="62" t="str">
        <x:v>E</x:v>
      </x:c>
      <x:c r="D121" s="64" t="n">
        <x:f>'Detalle'!I62</x:f>
        <x:v>1</x:v>
      </x:c>
      <x:c r="E121" s="60" t="str">
        <x:f>'Detalle'!F62</x:f>
        <x:v>Completado</x:v>
      </x:c>
      <x:c r="F121" s="32" t="str">
        <x:f>IF(AND(F$8&lt;='Detalle'!$H62,F$9&gt;='Detalle'!$G62),1,"")</x:f>
      </x:c>
      <x:c r="G121" s="32" t="n">
        <x:f>IF(AND(G$8&lt;='Detalle'!$H62,G$9&gt;='Detalle'!$G62),1,"")</x:f>
        <x:v>1</x:v>
      </x:c>
      <x:c r="H121" s="32" t="str">
        <x:f>IF(AND(H$8&lt;='Detalle'!$H62,H$9&gt;='Detalle'!$G62),1,"")</x:f>
      </x:c>
      <x:c r="I121" s="32" t="str">
        <x:f>IF(AND(I$8&lt;='Detalle'!$H62,I$9&gt;='Detalle'!$G62),1,"")</x:f>
      </x:c>
      <x:c r="J121" s="32" t="str">
        <x:f>IF(AND(J$8&lt;='Detalle'!$H62,J$9&gt;='Detalle'!$G62),1,"")</x:f>
      </x:c>
      <x:c r="K121" s="32" t="str">
        <x:f>IF(AND(K$8&lt;='Detalle'!$H62,K$9&gt;='Detalle'!$G62),1,"")</x:f>
      </x:c>
      <x:c r="L121" s="32" t="str">
        <x:f>IF(AND(L$8&lt;='Detalle'!$H62,L$9&gt;='Detalle'!$G62),1,"")</x:f>
      </x:c>
      <x:c r="M121" s="32" t="str">
        <x:f>IF(AND(M$8&lt;='Detalle'!$H62,M$9&gt;='Detalle'!$G62),1,"")</x:f>
      </x:c>
      <x:c r="N121" s="32" t="str">
        <x:f>IF(AND(N$8&lt;='Detalle'!$H62,N$9&gt;='Detalle'!$G62),1,"")</x:f>
      </x:c>
      <x:c r="O121" s="32" t="str">
        <x:f>IF(AND(O$8&lt;='Detalle'!$H62,O$9&gt;='Detalle'!$G62),1,"")</x:f>
      </x:c>
      <x:c r="P121" s="32" t="str">
        <x:f>IF(AND(P$8&lt;='Detalle'!$H62,P$9&gt;='Detalle'!$G62),1,"")</x:f>
      </x:c>
      <x:c r="Q121" s="68"/>
      <x:c r="R121" s="67" t="str">
        <x:f>IF('Detalle'!M62="","",'Detalle'!M62)</x:f>
      </x:c>
      <x:c r="S121" s="67" t="str">
        <x:f>IF('Detalle'!N62="","",'Detalle'!N62)</x:f>
      </x:c>
    </x:row>
    <x:row r="122" ht="16" customHeight="1">
      <x:c r="A122" s="56" t="str">
        <x:v>MVP02.001</x:v>
      </x:c>
      <x:c r="B122" s="57" t="str">
        <x:v>Definir la paleta inicial MAREA</x:v>
      </x:c>
      <x:c r="C122" s="63" t="str">
        <x:v>R</x:v>
      </x:c>
      <x:c r="D122" s="65" t="str">
        <x:f>IF('Detalle'!L62="","",'Detalle'!L62)</x:f>
      </x:c>
      <x:c r="E122" s="60" t="str"/>
      <x:c r="F122" s="32" t="str">
        <x:f>IF(OR('Detalle'!$J62="",'Detalle'!$K62="",'Detalle'!$L62=""),"",IF(AND(F$8&lt;='Detalle'!$K62,F$9&gt;='Detalle'!$J62),1,""))</x:f>
      </x:c>
      <x:c r="G122" s="32" t="str">
        <x:f>IF(OR('Detalle'!$J62="",'Detalle'!$K62="",'Detalle'!$L62=""),"",IF(AND(G$8&lt;='Detalle'!$K62,G$9&gt;='Detalle'!$J62),1,""))</x:f>
      </x:c>
      <x:c r="H122" s="32" t="str">
        <x:f>IF(OR('Detalle'!$J62="",'Detalle'!$K62="",'Detalle'!$L62=""),"",IF(AND(H$8&lt;='Detalle'!$K62,H$9&gt;='Detalle'!$J62),1,""))</x:f>
      </x:c>
      <x:c r="I122" s="32" t="str">
        <x:f>IF(OR('Detalle'!$J62="",'Detalle'!$K62="",'Detalle'!$L62=""),"",IF(AND(I$8&lt;='Detalle'!$K62,I$9&gt;='Detalle'!$J62),1,""))</x:f>
      </x:c>
      <x:c r="J122" s="32" t="str">
        <x:f>IF(OR('Detalle'!$J62="",'Detalle'!$K62="",'Detalle'!$L62=""),"",IF(AND(J$8&lt;='Detalle'!$K62,J$9&gt;='Detalle'!$J62),1,""))</x:f>
      </x:c>
      <x:c r="K122" s="32" t="str">
        <x:f>IF(OR('Detalle'!$J62="",'Detalle'!$K62="",'Detalle'!$L62=""),"",IF(AND(K$8&lt;='Detalle'!$K62,K$9&gt;='Detalle'!$J62),1,""))</x:f>
      </x:c>
      <x:c r="L122" s="32" t="str">
        <x:f>IF(OR('Detalle'!$J62="",'Detalle'!$K62="",'Detalle'!$L62=""),"",IF(AND(L$8&lt;='Detalle'!$K62,L$9&gt;='Detalle'!$J62),1,""))</x:f>
      </x:c>
      <x:c r="M122" s="32" t="str">
        <x:f>IF(OR('Detalle'!$J62="",'Detalle'!$K62="",'Detalle'!$L62=""),"",IF(AND(M$8&lt;='Detalle'!$K62,M$9&gt;='Detalle'!$J62),1,""))</x:f>
      </x:c>
      <x:c r="N122" s="32" t="str">
        <x:f>IF(OR('Detalle'!$J62="",'Detalle'!$K62="",'Detalle'!$L62=""),"",IF(AND(N$8&lt;='Detalle'!$K62,N$9&gt;='Detalle'!$J62),1,""))</x:f>
      </x:c>
      <x:c r="O122" s="32" t="str">
        <x:f>IF(OR('Detalle'!$J62="",'Detalle'!$K62="",'Detalle'!$L62=""),"",IF(AND(O$8&lt;='Detalle'!$K62,O$9&gt;='Detalle'!$J62),1,""))</x:f>
      </x:c>
      <x:c r="P122" s="32" t="str">
        <x:f>IF(OR('Detalle'!$J62="",'Detalle'!$K62="",'Detalle'!$L62=""),"",IF(AND(P$8&lt;='Detalle'!$K62,P$9&gt;='Detalle'!$J62),1,""))</x:f>
      </x:c>
      <x:c r="Q122" s="68"/>
      <x:c r="R122" s="67" t="str"/>
      <x:c r="S122" s="67" t="str"/>
    </x:row>
    <x:row r="123" ht="16" customHeight="1">
      <x:c r="A123" s="56" t="str">
        <x:v>MVP02.002</x:v>
      </x:c>
      <x:c r="B123" s="57" t="str">
        <x:v>Instalar Nunito Sans local</x:v>
      </x:c>
      <x:c r="C123" s="62" t="str">
        <x:v>E</x:v>
      </x:c>
      <x:c r="D123" s="64" t="n">
        <x:f>'Detalle'!I63</x:f>
        <x:v>1</x:v>
      </x:c>
      <x:c r="E123" s="60" t="str">
        <x:f>'Detalle'!F63</x:f>
        <x:v>Completado</x:v>
      </x:c>
      <x:c r="F123" s="32" t="str">
        <x:f>IF(AND(F$8&lt;='Detalle'!$H63,F$9&gt;='Detalle'!$G63),1,"")</x:f>
      </x:c>
      <x:c r="G123" s="32" t="n">
        <x:f>IF(AND(G$8&lt;='Detalle'!$H63,G$9&gt;='Detalle'!$G63),1,"")</x:f>
        <x:v>1</x:v>
      </x:c>
      <x:c r="H123" s="32" t="str">
        <x:f>IF(AND(H$8&lt;='Detalle'!$H63,H$9&gt;='Detalle'!$G63),1,"")</x:f>
      </x:c>
      <x:c r="I123" s="32" t="str">
        <x:f>IF(AND(I$8&lt;='Detalle'!$H63,I$9&gt;='Detalle'!$G63),1,"")</x:f>
      </x:c>
      <x:c r="J123" s="32" t="str">
        <x:f>IF(AND(J$8&lt;='Detalle'!$H63,J$9&gt;='Detalle'!$G63),1,"")</x:f>
      </x:c>
      <x:c r="K123" s="32" t="str">
        <x:f>IF(AND(K$8&lt;='Detalle'!$H63,K$9&gt;='Detalle'!$G63),1,"")</x:f>
      </x:c>
      <x:c r="L123" s="32" t="str">
        <x:f>IF(AND(L$8&lt;='Detalle'!$H63,L$9&gt;='Detalle'!$G63),1,"")</x:f>
      </x:c>
      <x:c r="M123" s="32" t="str">
        <x:f>IF(AND(M$8&lt;='Detalle'!$H63,M$9&gt;='Detalle'!$G63),1,"")</x:f>
      </x:c>
      <x:c r="N123" s="32" t="str">
        <x:f>IF(AND(N$8&lt;='Detalle'!$H63,N$9&gt;='Detalle'!$G63),1,"")</x:f>
      </x:c>
      <x:c r="O123" s="32" t="str">
        <x:f>IF(AND(O$8&lt;='Detalle'!$H63,O$9&gt;='Detalle'!$G63),1,"")</x:f>
      </x:c>
      <x:c r="P123" s="32" t="str">
        <x:f>IF(AND(P$8&lt;='Detalle'!$H63,P$9&gt;='Detalle'!$G63),1,"")</x:f>
      </x:c>
      <x:c r="Q123" s="68"/>
      <x:c r="R123" s="67" t="str">
        <x:f>IF('Detalle'!M63="","",'Detalle'!M63)</x:f>
      </x:c>
      <x:c r="S123" s="67" t="str">
        <x:f>IF('Detalle'!N63="","",'Detalle'!N63)</x:f>
      </x:c>
    </x:row>
    <x:row r="124" ht="16" customHeight="1">
      <x:c r="A124" s="56" t="str">
        <x:v>MVP02.002</x:v>
      </x:c>
      <x:c r="B124" s="57" t="str">
        <x:v>Instalar Nunito Sans local</x:v>
      </x:c>
      <x:c r="C124" s="63" t="str">
        <x:v>R</x:v>
      </x:c>
      <x:c r="D124" s="65" t="str">
        <x:f>IF('Detalle'!L63="","",'Detalle'!L63)</x:f>
      </x:c>
      <x:c r="E124" s="60" t="str"/>
      <x:c r="F124" s="32" t="str">
        <x:f>IF(OR('Detalle'!$J63="",'Detalle'!$K63="",'Detalle'!$L63=""),"",IF(AND(F$8&lt;='Detalle'!$K63,F$9&gt;='Detalle'!$J63),1,""))</x:f>
      </x:c>
      <x:c r="G124" s="32" t="str">
        <x:f>IF(OR('Detalle'!$J63="",'Detalle'!$K63="",'Detalle'!$L63=""),"",IF(AND(G$8&lt;='Detalle'!$K63,G$9&gt;='Detalle'!$J63),1,""))</x:f>
      </x:c>
      <x:c r="H124" s="32" t="str">
        <x:f>IF(OR('Detalle'!$J63="",'Detalle'!$K63="",'Detalle'!$L63=""),"",IF(AND(H$8&lt;='Detalle'!$K63,H$9&gt;='Detalle'!$J63),1,""))</x:f>
      </x:c>
      <x:c r="I124" s="32" t="str">
        <x:f>IF(OR('Detalle'!$J63="",'Detalle'!$K63="",'Detalle'!$L63=""),"",IF(AND(I$8&lt;='Detalle'!$K63,I$9&gt;='Detalle'!$J63),1,""))</x:f>
      </x:c>
      <x:c r="J124" s="32" t="str">
        <x:f>IF(OR('Detalle'!$J63="",'Detalle'!$K63="",'Detalle'!$L63=""),"",IF(AND(J$8&lt;='Detalle'!$K63,J$9&gt;='Detalle'!$J63),1,""))</x:f>
      </x:c>
      <x:c r="K124" s="32" t="str">
        <x:f>IF(OR('Detalle'!$J63="",'Detalle'!$K63="",'Detalle'!$L63=""),"",IF(AND(K$8&lt;='Detalle'!$K63,K$9&gt;='Detalle'!$J63),1,""))</x:f>
      </x:c>
      <x:c r="L124" s="32" t="str">
        <x:f>IF(OR('Detalle'!$J63="",'Detalle'!$K63="",'Detalle'!$L63=""),"",IF(AND(L$8&lt;='Detalle'!$K63,L$9&gt;='Detalle'!$J63),1,""))</x:f>
      </x:c>
      <x:c r="M124" s="32" t="str">
        <x:f>IF(OR('Detalle'!$J63="",'Detalle'!$K63="",'Detalle'!$L63=""),"",IF(AND(M$8&lt;='Detalle'!$K63,M$9&gt;='Detalle'!$J63),1,""))</x:f>
      </x:c>
      <x:c r="N124" s="32" t="str">
        <x:f>IF(OR('Detalle'!$J63="",'Detalle'!$K63="",'Detalle'!$L63=""),"",IF(AND(N$8&lt;='Detalle'!$K63,N$9&gt;='Detalle'!$J63),1,""))</x:f>
      </x:c>
      <x:c r="O124" s="32" t="str">
        <x:f>IF(OR('Detalle'!$J63="",'Detalle'!$K63="",'Detalle'!$L63=""),"",IF(AND(O$8&lt;='Detalle'!$K63,O$9&gt;='Detalle'!$J63),1,""))</x:f>
      </x:c>
      <x:c r="P124" s="32" t="str">
        <x:f>IF(OR('Detalle'!$J63="",'Detalle'!$K63="",'Detalle'!$L63=""),"",IF(AND(P$8&lt;='Detalle'!$K63,P$9&gt;='Detalle'!$J63),1,""))</x:f>
      </x:c>
      <x:c r="Q124" s="68"/>
      <x:c r="R124" s="67" t="str"/>
      <x:c r="S124" s="67" t="str"/>
    </x:row>
    <x:row r="125" ht="16" customHeight="1">
      <x:c r="A125" s="56" t="str">
        <x:v>MVP02.003</x:v>
      </x:c>
      <x:c r="B125" s="57" t="str">
        <x:v>Definir espaciados y radios</x:v>
      </x:c>
      <x:c r="C125" s="62" t="str">
        <x:v>E</x:v>
      </x:c>
      <x:c r="D125" s="64" t="n">
        <x:f>'Detalle'!I64</x:f>
        <x:v>1</x:v>
      </x:c>
      <x:c r="E125" s="60" t="str">
        <x:f>'Detalle'!F64</x:f>
        <x:v>Completado</x:v>
      </x:c>
      <x:c r="F125" s="32" t="str">
        <x:f>IF(AND(F$8&lt;='Detalle'!$H64,F$9&gt;='Detalle'!$G64),1,"")</x:f>
      </x:c>
      <x:c r="G125" s="32" t="n">
        <x:f>IF(AND(G$8&lt;='Detalle'!$H64,G$9&gt;='Detalle'!$G64),1,"")</x:f>
        <x:v>1</x:v>
      </x:c>
      <x:c r="H125" s="32" t="str">
        <x:f>IF(AND(H$8&lt;='Detalle'!$H64,H$9&gt;='Detalle'!$G64),1,"")</x:f>
      </x:c>
      <x:c r="I125" s="32" t="str">
        <x:f>IF(AND(I$8&lt;='Detalle'!$H64,I$9&gt;='Detalle'!$G64),1,"")</x:f>
      </x:c>
      <x:c r="J125" s="32" t="str">
        <x:f>IF(AND(J$8&lt;='Detalle'!$H64,J$9&gt;='Detalle'!$G64),1,"")</x:f>
      </x:c>
      <x:c r="K125" s="32" t="str">
        <x:f>IF(AND(K$8&lt;='Detalle'!$H64,K$9&gt;='Detalle'!$G64),1,"")</x:f>
      </x:c>
      <x:c r="L125" s="32" t="str">
        <x:f>IF(AND(L$8&lt;='Detalle'!$H64,L$9&gt;='Detalle'!$G64),1,"")</x:f>
      </x:c>
      <x:c r="M125" s="32" t="str">
        <x:f>IF(AND(M$8&lt;='Detalle'!$H64,M$9&gt;='Detalle'!$G64),1,"")</x:f>
      </x:c>
      <x:c r="N125" s="32" t="str">
        <x:f>IF(AND(N$8&lt;='Detalle'!$H64,N$9&gt;='Detalle'!$G64),1,"")</x:f>
      </x:c>
      <x:c r="O125" s="32" t="str">
        <x:f>IF(AND(O$8&lt;='Detalle'!$H64,O$9&gt;='Detalle'!$G64),1,"")</x:f>
      </x:c>
      <x:c r="P125" s="32" t="str">
        <x:f>IF(AND(P$8&lt;='Detalle'!$H64,P$9&gt;='Detalle'!$G64),1,"")</x:f>
      </x:c>
      <x:c r="Q125" s="68"/>
      <x:c r="R125" s="67" t="str">
        <x:f>IF('Detalle'!M64="","",'Detalle'!M64)</x:f>
      </x:c>
      <x:c r="S125" s="67" t="str">
        <x:f>IF('Detalle'!N64="","",'Detalle'!N64)</x:f>
      </x:c>
    </x:row>
    <x:row r="126" ht="16" customHeight="1">
      <x:c r="A126" s="56" t="str">
        <x:v>MVP02.003</x:v>
      </x:c>
      <x:c r="B126" s="57" t="str">
        <x:v>Definir espaciados y radios</x:v>
      </x:c>
      <x:c r="C126" s="63" t="str">
        <x:v>R</x:v>
      </x:c>
      <x:c r="D126" s="65" t="str">
        <x:f>IF('Detalle'!L64="","",'Detalle'!L64)</x:f>
      </x:c>
      <x:c r="E126" s="60" t="str"/>
      <x:c r="F126" s="32" t="str">
        <x:f>IF(OR('Detalle'!$J64="",'Detalle'!$K64="",'Detalle'!$L64=""),"",IF(AND(F$8&lt;='Detalle'!$K64,F$9&gt;='Detalle'!$J64),1,""))</x:f>
      </x:c>
      <x:c r="G126" s="32" t="str">
        <x:f>IF(OR('Detalle'!$J64="",'Detalle'!$K64="",'Detalle'!$L64=""),"",IF(AND(G$8&lt;='Detalle'!$K64,G$9&gt;='Detalle'!$J64),1,""))</x:f>
      </x:c>
      <x:c r="H126" s="32" t="str">
        <x:f>IF(OR('Detalle'!$J64="",'Detalle'!$K64="",'Detalle'!$L64=""),"",IF(AND(H$8&lt;='Detalle'!$K64,H$9&gt;='Detalle'!$J64),1,""))</x:f>
      </x:c>
      <x:c r="I126" s="32" t="str">
        <x:f>IF(OR('Detalle'!$J64="",'Detalle'!$K64="",'Detalle'!$L64=""),"",IF(AND(I$8&lt;='Detalle'!$K64,I$9&gt;='Detalle'!$J64),1,""))</x:f>
      </x:c>
      <x:c r="J126" s="32" t="str">
        <x:f>IF(OR('Detalle'!$J64="",'Detalle'!$K64="",'Detalle'!$L64=""),"",IF(AND(J$8&lt;='Detalle'!$K64,J$9&gt;='Detalle'!$J64),1,""))</x:f>
      </x:c>
      <x:c r="K126" s="32" t="str">
        <x:f>IF(OR('Detalle'!$J64="",'Detalle'!$K64="",'Detalle'!$L64=""),"",IF(AND(K$8&lt;='Detalle'!$K64,K$9&gt;='Detalle'!$J64),1,""))</x:f>
      </x:c>
      <x:c r="L126" s="32" t="str">
        <x:f>IF(OR('Detalle'!$J64="",'Detalle'!$K64="",'Detalle'!$L64=""),"",IF(AND(L$8&lt;='Detalle'!$K64,L$9&gt;='Detalle'!$J64),1,""))</x:f>
      </x:c>
      <x:c r="M126" s="32" t="str">
        <x:f>IF(OR('Detalle'!$J64="",'Detalle'!$K64="",'Detalle'!$L64=""),"",IF(AND(M$8&lt;='Detalle'!$K64,M$9&gt;='Detalle'!$J64),1,""))</x:f>
      </x:c>
      <x:c r="N126" s="32" t="str">
        <x:f>IF(OR('Detalle'!$J64="",'Detalle'!$K64="",'Detalle'!$L64=""),"",IF(AND(N$8&lt;='Detalle'!$K64,N$9&gt;='Detalle'!$J64),1,""))</x:f>
      </x:c>
      <x:c r="O126" s="32" t="str">
        <x:f>IF(OR('Detalle'!$J64="",'Detalle'!$K64="",'Detalle'!$L64=""),"",IF(AND(O$8&lt;='Detalle'!$K64,O$9&gt;='Detalle'!$J64),1,""))</x:f>
      </x:c>
      <x:c r="P126" s="32" t="str">
        <x:f>IF(OR('Detalle'!$J64="",'Detalle'!$K64="",'Detalle'!$L64=""),"",IF(AND(P$8&lt;='Detalle'!$K64,P$9&gt;='Detalle'!$J64),1,""))</x:f>
      </x:c>
      <x:c r="Q126" s="68"/>
      <x:c r="R126" s="67" t="str"/>
      <x:c r="S126" s="67" t="str"/>
    </x:row>
    <x:row r="127" ht="16" customHeight="1">
      <x:c r="A127" s="56" t="str">
        <x:v>MVP02.004</x:v>
      </x:c>
      <x:c r="B127" s="57" t="str">
        <x:v>Personalizar Material 3</x:v>
      </x:c>
      <x:c r="C127" s="62" t="str">
        <x:v>E</x:v>
      </x:c>
      <x:c r="D127" s="64" t="n">
        <x:f>'Detalle'!I65</x:f>
        <x:v>1</x:v>
      </x:c>
      <x:c r="E127" s="60" t="str">
        <x:f>'Detalle'!F65</x:f>
        <x:v>Completado</x:v>
      </x:c>
      <x:c r="F127" s="32" t="str">
        <x:f>IF(AND(F$8&lt;='Detalle'!$H65,F$9&gt;='Detalle'!$G65),1,"")</x:f>
      </x:c>
      <x:c r="G127" s="32" t="n">
        <x:f>IF(AND(G$8&lt;='Detalle'!$H65,G$9&gt;='Detalle'!$G65),1,"")</x:f>
        <x:v>1</x:v>
      </x:c>
      <x:c r="H127" s="32" t="str">
        <x:f>IF(AND(H$8&lt;='Detalle'!$H65,H$9&gt;='Detalle'!$G65),1,"")</x:f>
      </x:c>
      <x:c r="I127" s="32" t="str">
        <x:f>IF(AND(I$8&lt;='Detalle'!$H65,I$9&gt;='Detalle'!$G65),1,"")</x:f>
      </x:c>
      <x:c r="J127" s="32" t="str">
        <x:f>IF(AND(J$8&lt;='Detalle'!$H65,J$9&gt;='Detalle'!$G65),1,"")</x:f>
      </x:c>
      <x:c r="K127" s="32" t="str">
        <x:f>IF(AND(K$8&lt;='Detalle'!$H65,K$9&gt;='Detalle'!$G65),1,"")</x:f>
      </x:c>
      <x:c r="L127" s="32" t="str">
        <x:f>IF(AND(L$8&lt;='Detalle'!$H65,L$9&gt;='Detalle'!$G65),1,"")</x:f>
      </x:c>
      <x:c r="M127" s="32" t="str">
        <x:f>IF(AND(M$8&lt;='Detalle'!$H65,M$9&gt;='Detalle'!$G65),1,"")</x:f>
      </x:c>
      <x:c r="N127" s="32" t="str">
        <x:f>IF(AND(N$8&lt;='Detalle'!$H65,N$9&gt;='Detalle'!$G65),1,"")</x:f>
      </x:c>
      <x:c r="O127" s="32" t="str">
        <x:f>IF(AND(O$8&lt;='Detalle'!$H65,O$9&gt;='Detalle'!$G65),1,"")</x:f>
      </x:c>
      <x:c r="P127" s="32" t="str">
        <x:f>IF(AND(P$8&lt;='Detalle'!$H65,P$9&gt;='Detalle'!$G65),1,"")</x:f>
      </x:c>
      <x:c r="Q127" s="68"/>
      <x:c r="R127" s="67" t="str">
        <x:f>IF('Detalle'!M65="","",'Detalle'!M65)</x:f>
      </x:c>
      <x:c r="S127" s="67" t="str">
        <x:f>IF('Detalle'!N65="","",'Detalle'!N65)</x:f>
      </x:c>
    </x:row>
    <x:row r="128" ht="16" customHeight="1">
      <x:c r="A128" s="56" t="str">
        <x:v>MVP02.004</x:v>
      </x:c>
      <x:c r="B128" s="57" t="str">
        <x:v>Personalizar Material 3</x:v>
      </x:c>
      <x:c r="C128" s="63" t="str">
        <x:v>R</x:v>
      </x:c>
      <x:c r="D128" s="65" t="str">
        <x:f>IF('Detalle'!L65="","",'Detalle'!L65)</x:f>
      </x:c>
      <x:c r="E128" s="60" t="str"/>
      <x:c r="F128" s="32" t="str">
        <x:f>IF(OR('Detalle'!$J65="",'Detalle'!$K65="",'Detalle'!$L65=""),"",IF(AND(F$8&lt;='Detalle'!$K65,F$9&gt;='Detalle'!$J65),1,""))</x:f>
      </x:c>
      <x:c r="G128" s="32" t="str">
        <x:f>IF(OR('Detalle'!$J65="",'Detalle'!$K65="",'Detalle'!$L65=""),"",IF(AND(G$8&lt;='Detalle'!$K65,G$9&gt;='Detalle'!$J65),1,""))</x:f>
      </x:c>
      <x:c r="H128" s="32" t="str">
        <x:f>IF(OR('Detalle'!$J65="",'Detalle'!$K65="",'Detalle'!$L65=""),"",IF(AND(H$8&lt;='Detalle'!$K65,H$9&gt;='Detalle'!$J65),1,""))</x:f>
      </x:c>
      <x:c r="I128" s="32" t="str">
        <x:f>IF(OR('Detalle'!$J65="",'Detalle'!$K65="",'Detalle'!$L65=""),"",IF(AND(I$8&lt;='Detalle'!$K65,I$9&gt;='Detalle'!$J65),1,""))</x:f>
      </x:c>
      <x:c r="J128" s="32" t="str">
        <x:f>IF(OR('Detalle'!$J65="",'Detalle'!$K65="",'Detalle'!$L65=""),"",IF(AND(J$8&lt;='Detalle'!$K65,J$9&gt;='Detalle'!$J65),1,""))</x:f>
      </x:c>
      <x:c r="K128" s="32" t="str">
        <x:f>IF(OR('Detalle'!$J65="",'Detalle'!$K65="",'Detalle'!$L65=""),"",IF(AND(K$8&lt;='Detalle'!$K65,K$9&gt;='Detalle'!$J65),1,""))</x:f>
      </x:c>
      <x:c r="L128" s="32" t="str">
        <x:f>IF(OR('Detalle'!$J65="",'Detalle'!$K65="",'Detalle'!$L65=""),"",IF(AND(L$8&lt;='Detalle'!$K65,L$9&gt;='Detalle'!$J65),1,""))</x:f>
      </x:c>
      <x:c r="M128" s="32" t="str">
        <x:f>IF(OR('Detalle'!$J65="",'Detalle'!$K65="",'Detalle'!$L65=""),"",IF(AND(M$8&lt;='Detalle'!$K65,M$9&gt;='Detalle'!$J65),1,""))</x:f>
      </x:c>
      <x:c r="N128" s="32" t="str">
        <x:f>IF(OR('Detalle'!$J65="",'Detalle'!$K65="",'Detalle'!$L65=""),"",IF(AND(N$8&lt;='Detalle'!$K65,N$9&gt;='Detalle'!$J65),1,""))</x:f>
      </x:c>
      <x:c r="O128" s="32" t="str">
        <x:f>IF(OR('Detalle'!$J65="",'Detalle'!$K65="",'Detalle'!$L65=""),"",IF(AND(O$8&lt;='Detalle'!$K65,O$9&gt;='Detalle'!$J65),1,""))</x:f>
      </x:c>
      <x:c r="P128" s="32" t="str">
        <x:f>IF(OR('Detalle'!$J65="",'Detalle'!$K65="",'Detalle'!$L65=""),"",IF(AND(P$8&lt;='Detalle'!$K65,P$9&gt;='Detalle'!$J65),1,""))</x:f>
      </x:c>
      <x:c r="Q128" s="68"/>
      <x:c r="R128" s="67" t="str"/>
      <x:c r="S128" s="67" t="str"/>
    </x:row>
    <x:row r="129" ht="16" customHeight="1">
      <x:c r="A129" s="56" t="str">
        <x:v>MVP02.005</x:v>
      </x:c>
      <x:c r="B129" s="57" t="str">
        <x:v>Crear el logotipo provisional en código</x:v>
      </x:c>
      <x:c r="C129" s="62" t="str">
        <x:v>E</x:v>
      </x:c>
      <x:c r="D129" s="64" t="n">
        <x:f>'Detalle'!I66</x:f>
        <x:v>1</x:v>
      </x:c>
      <x:c r="E129" s="60" t="str">
        <x:f>'Detalle'!F66</x:f>
        <x:v>Completado</x:v>
      </x:c>
      <x:c r="F129" s="32" t="str">
        <x:f>IF(AND(F$8&lt;='Detalle'!$H66,F$9&gt;='Detalle'!$G66),1,"")</x:f>
      </x:c>
      <x:c r="G129" s="32" t="n">
        <x:f>IF(AND(G$8&lt;='Detalle'!$H66,G$9&gt;='Detalle'!$G66),1,"")</x:f>
        <x:v>1</x:v>
      </x:c>
      <x:c r="H129" s="32" t="str">
        <x:f>IF(AND(H$8&lt;='Detalle'!$H66,H$9&gt;='Detalle'!$G66),1,"")</x:f>
      </x:c>
      <x:c r="I129" s="32" t="str">
        <x:f>IF(AND(I$8&lt;='Detalle'!$H66,I$9&gt;='Detalle'!$G66),1,"")</x:f>
      </x:c>
      <x:c r="J129" s="32" t="str">
        <x:f>IF(AND(J$8&lt;='Detalle'!$H66,J$9&gt;='Detalle'!$G66),1,"")</x:f>
      </x:c>
      <x:c r="K129" s="32" t="str">
        <x:f>IF(AND(K$8&lt;='Detalle'!$H66,K$9&gt;='Detalle'!$G66),1,"")</x:f>
      </x:c>
      <x:c r="L129" s="32" t="str">
        <x:f>IF(AND(L$8&lt;='Detalle'!$H66,L$9&gt;='Detalle'!$G66),1,"")</x:f>
      </x:c>
      <x:c r="M129" s="32" t="str">
        <x:f>IF(AND(M$8&lt;='Detalle'!$H66,M$9&gt;='Detalle'!$G66),1,"")</x:f>
      </x:c>
      <x:c r="N129" s="32" t="str">
        <x:f>IF(AND(N$8&lt;='Detalle'!$H66,N$9&gt;='Detalle'!$G66),1,"")</x:f>
      </x:c>
      <x:c r="O129" s="32" t="str">
        <x:f>IF(AND(O$8&lt;='Detalle'!$H66,O$9&gt;='Detalle'!$G66),1,"")</x:f>
      </x:c>
      <x:c r="P129" s="32" t="str">
        <x:f>IF(AND(P$8&lt;='Detalle'!$H66,P$9&gt;='Detalle'!$G66),1,"")</x:f>
      </x:c>
      <x:c r="Q129" s="68"/>
      <x:c r="R129" s="67" t="str">
        <x:f>IF('Detalle'!M66="","",'Detalle'!M66)</x:f>
      </x:c>
      <x:c r="S129" s="67" t="str">
        <x:f>IF('Detalle'!N66="","",'Detalle'!N66)</x:f>
      </x:c>
    </x:row>
    <x:row r="130" ht="16" customHeight="1">
      <x:c r="A130" s="56" t="str">
        <x:v>MVP02.005</x:v>
      </x:c>
      <x:c r="B130" s="57" t="str">
        <x:v>Crear el logotipo provisional en código</x:v>
      </x:c>
      <x:c r="C130" s="63" t="str">
        <x:v>R</x:v>
      </x:c>
      <x:c r="D130" s="65" t="str">
        <x:f>IF('Detalle'!L66="","",'Detalle'!L66)</x:f>
      </x:c>
      <x:c r="E130" s="60" t="str"/>
      <x:c r="F130" s="32" t="str">
        <x:f>IF(OR('Detalle'!$J66="",'Detalle'!$K66="",'Detalle'!$L66=""),"",IF(AND(F$8&lt;='Detalle'!$K66,F$9&gt;='Detalle'!$J66),1,""))</x:f>
      </x:c>
      <x:c r="G130" s="32" t="str">
        <x:f>IF(OR('Detalle'!$J66="",'Detalle'!$K66="",'Detalle'!$L66=""),"",IF(AND(G$8&lt;='Detalle'!$K66,G$9&gt;='Detalle'!$J66),1,""))</x:f>
      </x:c>
      <x:c r="H130" s="32" t="str">
        <x:f>IF(OR('Detalle'!$J66="",'Detalle'!$K66="",'Detalle'!$L66=""),"",IF(AND(H$8&lt;='Detalle'!$K66,H$9&gt;='Detalle'!$J66),1,""))</x:f>
      </x:c>
      <x:c r="I130" s="32" t="str">
        <x:f>IF(OR('Detalle'!$J66="",'Detalle'!$K66="",'Detalle'!$L66=""),"",IF(AND(I$8&lt;='Detalle'!$K66,I$9&gt;='Detalle'!$J66),1,""))</x:f>
      </x:c>
      <x:c r="J130" s="32" t="str">
        <x:f>IF(OR('Detalle'!$J66="",'Detalle'!$K66="",'Detalle'!$L66=""),"",IF(AND(J$8&lt;='Detalle'!$K66,J$9&gt;='Detalle'!$J66),1,""))</x:f>
      </x:c>
      <x:c r="K130" s="32" t="str">
        <x:f>IF(OR('Detalle'!$J66="",'Detalle'!$K66="",'Detalle'!$L66=""),"",IF(AND(K$8&lt;='Detalle'!$K66,K$9&gt;='Detalle'!$J66),1,""))</x:f>
      </x:c>
      <x:c r="L130" s="32" t="str">
        <x:f>IF(OR('Detalle'!$J66="",'Detalle'!$K66="",'Detalle'!$L66=""),"",IF(AND(L$8&lt;='Detalle'!$K66,L$9&gt;='Detalle'!$J66),1,""))</x:f>
      </x:c>
      <x:c r="M130" s="32" t="str">
        <x:f>IF(OR('Detalle'!$J66="",'Detalle'!$K66="",'Detalle'!$L66=""),"",IF(AND(M$8&lt;='Detalle'!$K66,M$9&gt;='Detalle'!$J66),1,""))</x:f>
      </x:c>
      <x:c r="N130" s="32" t="str">
        <x:f>IF(OR('Detalle'!$J66="",'Detalle'!$K66="",'Detalle'!$L66=""),"",IF(AND(N$8&lt;='Detalle'!$K66,N$9&gt;='Detalle'!$J66),1,""))</x:f>
      </x:c>
      <x:c r="O130" s="32" t="str">
        <x:f>IF(OR('Detalle'!$J66="",'Detalle'!$K66="",'Detalle'!$L66=""),"",IF(AND(O$8&lt;='Detalle'!$K66,O$9&gt;='Detalle'!$J66),1,""))</x:f>
      </x:c>
      <x:c r="P130" s="32" t="str">
        <x:f>IF(OR('Detalle'!$J66="",'Detalle'!$K66="",'Detalle'!$L66=""),"",IF(AND(P$8&lt;='Detalle'!$K66,P$9&gt;='Detalle'!$J66),1,""))</x:f>
      </x:c>
      <x:c r="Q130" s="68"/>
      <x:c r="R130" s="67" t="str"/>
      <x:c r="S130" s="67" t="str"/>
    </x:row>
    <x:row r="131" ht="16" customHeight="1">
      <x:c r="A131" s="56" t="str">
        <x:v>MVP02.006</x:v>
      </x:c>
      <x:c r="B131" s="57" t="str">
        <x:v>Crear el campo de texto compartido</x:v>
      </x:c>
      <x:c r="C131" s="62" t="str">
        <x:v>E</x:v>
      </x:c>
      <x:c r="D131" s="64" t="n">
        <x:f>'Detalle'!I67</x:f>
        <x:v>1</x:v>
      </x:c>
      <x:c r="E131" s="60" t="str">
        <x:f>'Detalle'!F67</x:f>
        <x:v>Completado</x:v>
      </x:c>
      <x:c r="F131" s="32" t="str">
        <x:f>IF(AND(F$8&lt;='Detalle'!$H67,F$9&gt;='Detalle'!$G67),1,"")</x:f>
      </x:c>
      <x:c r="G131" s="32" t="n">
        <x:f>IF(AND(G$8&lt;='Detalle'!$H67,G$9&gt;='Detalle'!$G67),1,"")</x:f>
        <x:v>1</x:v>
      </x:c>
      <x:c r="H131" s="32" t="str">
        <x:f>IF(AND(H$8&lt;='Detalle'!$H67,H$9&gt;='Detalle'!$G67),1,"")</x:f>
      </x:c>
      <x:c r="I131" s="32" t="str">
        <x:f>IF(AND(I$8&lt;='Detalle'!$H67,I$9&gt;='Detalle'!$G67),1,"")</x:f>
      </x:c>
      <x:c r="J131" s="32" t="str">
        <x:f>IF(AND(J$8&lt;='Detalle'!$H67,J$9&gt;='Detalle'!$G67),1,"")</x:f>
      </x:c>
      <x:c r="K131" s="32" t="str">
        <x:f>IF(AND(K$8&lt;='Detalle'!$H67,K$9&gt;='Detalle'!$G67),1,"")</x:f>
      </x:c>
      <x:c r="L131" s="32" t="str">
        <x:f>IF(AND(L$8&lt;='Detalle'!$H67,L$9&gt;='Detalle'!$G67),1,"")</x:f>
      </x:c>
      <x:c r="M131" s="32" t="str">
        <x:f>IF(AND(M$8&lt;='Detalle'!$H67,M$9&gt;='Detalle'!$G67),1,"")</x:f>
      </x:c>
      <x:c r="N131" s="32" t="str">
        <x:f>IF(AND(N$8&lt;='Detalle'!$H67,N$9&gt;='Detalle'!$G67),1,"")</x:f>
      </x:c>
      <x:c r="O131" s="32" t="str">
        <x:f>IF(AND(O$8&lt;='Detalle'!$H67,O$9&gt;='Detalle'!$G67),1,"")</x:f>
      </x:c>
      <x:c r="P131" s="32" t="str">
        <x:f>IF(AND(P$8&lt;='Detalle'!$H67,P$9&gt;='Detalle'!$G67),1,"")</x:f>
      </x:c>
      <x:c r="Q131" s="68"/>
      <x:c r="R131" s="67" t="str">
        <x:f>IF('Detalle'!M67="","",'Detalle'!M67)</x:f>
      </x:c>
      <x:c r="S131" s="67" t="str">
        <x:f>IF('Detalle'!N67="","",'Detalle'!N67)</x:f>
      </x:c>
    </x:row>
    <x:row r="132" ht="16" customHeight="1">
      <x:c r="A132" s="56" t="str">
        <x:v>MVP02.006</x:v>
      </x:c>
      <x:c r="B132" s="57" t="str">
        <x:v>Crear el campo de texto compartido</x:v>
      </x:c>
      <x:c r="C132" s="63" t="str">
        <x:v>R</x:v>
      </x:c>
      <x:c r="D132" s="65" t="str">
        <x:f>IF('Detalle'!L67="","",'Detalle'!L67)</x:f>
      </x:c>
      <x:c r="E132" s="60" t="str"/>
      <x:c r="F132" s="32" t="str">
        <x:f>IF(OR('Detalle'!$J67="",'Detalle'!$K67="",'Detalle'!$L67=""),"",IF(AND(F$8&lt;='Detalle'!$K67,F$9&gt;='Detalle'!$J67),1,""))</x:f>
      </x:c>
      <x:c r="G132" s="32" t="str">
        <x:f>IF(OR('Detalle'!$J67="",'Detalle'!$K67="",'Detalle'!$L67=""),"",IF(AND(G$8&lt;='Detalle'!$K67,G$9&gt;='Detalle'!$J67),1,""))</x:f>
      </x:c>
      <x:c r="H132" s="32" t="str">
        <x:f>IF(OR('Detalle'!$J67="",'Detalle'!$K67="",'Detalle'!$L67=""),"",IF(AND(H$8&lt;='Detalle'!$K67,H$9&gt;='Detalle'!$J67),1,""))</x:f>
      </x:c>
      <x:c r="I132" s="32" t="str">
        <x:f>IF(OR('Detalle'!$J67="",'Detalle'!$K67="",'Detalle'!$L67=""),"",IF(AND(I$8&lt;='Detalle'!$K67,I$9&gt;='Detalle'!$J67),1,""))</x:f>
      </x:c>
      <x:c r="J132" s="32" t="str">
        <x:f>IF(OR('Detalle'!$J67="",'Detalle'!$K67="",'Detalle'!$L67=""),"",IF(AND(J$8&lt;='Detalle'!$K67,J$9&gt;='Detalle'!$J67),1,""))</x:f>
      </x:c>
      <x:c r="K132" s="32" t="str">
        <x:f>IF(OR('Detalle'!$J67="",'Detalle'!$K67="",'Detalle'!$L67=""),"",IF(AND(K$8&lt;='Detalle'!$K67,K$9&gt;='Detalle'!$J67),1,""))</x:f>
      </x:c>
      <x:c r="L132" s="32" t="str">
        <x:f>IF(OR('Detalle'!$J67="",'Detalle'!$K67="",'Detalle'!$L67=""),"",IF(AND(L$8&lt;='Detalle'!$K67,L$9&gt;='Detalle'!$J67),1,""))</x:f>
      </x:c>
      <x:c r="M132" s="32" t="str">
        <x:f>IF(OR('Detalle'!$J67="",'Detalle'!$K67="",'Detalle'!$L67=""),"",IF(AND(M$8&lt;='Detalle'!$K67,M$9&gt;='Detalle'!$J67),1,""))</x:f>
      </x:c>
      <x:c r="N132" s="32" t="str">
        <x:f>IF(OR('Detalle'!$J67="",'Detalle'!$K67="",'Detalle'!$L67=""),"",IF(AND(N$8&lt;='Detalle'!$K67,N$9&gt;='Detalle'!$J67),1,""))</x:f>
      </x:c>
      <x:c r="O132" s="32" t="str">
        <x:f>IF(OR('Detalle'!$J67="",'Detalle'!$K67="",'Detalle'!$L67=""),"",IF(AND(O$8&lt;='Detalle'!$K67,O$9&gt;='Detalle'!$J67),1,""))</x:f>
      </x:c>
      <x:c r="P132" s="32" t="str">
        <x:f>IF(OR('Detalle'!$J67="",'Detalle'!$K67="",'Detalle'!$L67=""),"",IF(AND(P$8&lt;='Detalle'!$K67,P$9&gt;='Detalle'!$J67),1,""))</x:f>
      </x:c>
      <x:c r="Q132" s="68"/>
      <x:c r="R132" s="67" t="str"/>
      <x:c r="S132" s="67" t="str"/>
    </x:row>
    <x:row r="133" ht="16" customHeight="1">
      <x:c r="A133" s="56" t="str">
        <x:v>MVP02.007</x:v>
      </x:c>
      <x:c r="B133" s="57" t="str">
        <x:v>Crear el botón primario</x:v>
      </x:c>
      <x:c r="C133" s="62" t="str">
        <x:v>E</x:v>
      </x:c>
      <x:c r="D133" s="64" t="n">
        <x:f>'Detalle'!I68</x:f>
        <x:v>1</x:v>
      </x:c>
      <x:c r="E133" s="60" t="str">
        <x:f>'Detalle'!F68</x:f>
        <x:v>Completado</x:v>
      </x:c>
      <x:c r="F133" s="32" t="str">
        <x:f>IF(AND(F$8&lt;='Detalle'!$H68,F$9&gt;='Detalle'!$G68),1,"")</x:f>
      </x:c>
      <x:c r="G133" s="32" t="n">
        <x:f>IF(AND(G$8&lt;='Detalle'!$H68,G$9&gt;='Detalle'!$G68),1,"")</x:f>
        <x:v>1</x:v>
      </x:c>
      <x:c r="H133" s="32" t="str">
        <x:f>IF(AND(H$8&lt;='Detalle'!$H68,H$9&gt;='Detalle'!$G68),1,"")</x:f>
      </x:c>
      <x:c r="I133" s="32" t="str">
        <x:f>IF(AND(I$8&lt;='Detalle'!$H68,I$9&gt;='Detalle'!$G68),1,"")</x:f>
      </x:c>
      <x:c r="J133" s="32" t="str">
        <x:f>IF(AND(J$8&lt;='Detalle'!$H68,J$9&gt;='Detalle'!$G68),1,"")</x:f>
      </x:c>
      <x:c r="K133" s="32" t="str">
        <x:f>IF(AND(K$8&lt;='Detalle'!$H68,K$9&gt;='Detalle'!$G68),1,"")</x:f>
      </x:c>
      <x:c r="L133" s="32" t="str">
        <x:f>IF(AND(L$8&lt;='Detalle'!$H68,L$9&gt;='Detalle'!$G68),1,"")</x:f>
      </x:c>
      <x:c r="M133" s="32" t="str">
        <x:f>IF(AND(M$8&lt;='Detalle'!$H68,M$9&gt;='Detalle'!$G68),1,"")</x:f>
      </x:c>
      <x:c r="N133" s="32" t="str">
        <x:f>IF(AND(N$8&lt;='Detalle'!$H68,N$9&gt;='Detalle'!$G68),1,"")</x:f>
      </x:c>
      <x:c r="O133" s="32" t="str">
        <x:f>IF(AND(O$8&lt;='Detalle'!$H68,O$9&gt;='Detalle'!$G68),1,"")</x:f>
      </x:c>
      <x:c r="P133" s="32" t="str">
        <x:f>IF(AND(P$8&lt;='Detalle'!$H68,P$9&gt;='Detalle'!$G68),1,"")</x:f>
      </x:c>
      <x:c r="Q133" s="68"/>
      <x:c r="R133" s="67" t="str">
        <x:f>IF('Detalle'!M68="","",'Detalle'!M68)</x:f>
      </x:c>
      <x:c r="S133" s="67" t="str">
        <x:f>IF('Detalle'!N68="","",'Detalle'!N68)</x:f>
      </x:c>
    </x:row>
    <x:row r="134" ht="16" customHeight="1">
      <x:c r="A134" s="56" t="str">
        <x:v>MVP02.007</x:v>
      </x:c>
      <x:c r="B134" s="57" t="str">
        <x:v>Crear el botón primario</x:v>
      </x:c>
      <x:c r="C134" s="63" t="str">
        <x:v>R</x:v>
      </x:c>
      <x:c r="D134" s="65" t="str">
        <x:f>IF('Detalle'!L68="","",'Detalle'!L68)</x:f>
      </x:c>
      <x:c r="E134" s="60" t="str"/>
      <x:c r="F134" s="32" t="str">
        <x:f>IF(OR('Detalle'!$J68="",'Detalle'!$K68="",'Detalle'!$L68=""),"",IF(AND(F$8&lt;='Detalle'!$K68,F$9&gt;='Detalle'!$J68),1,""))</x:f>
      </x:c>
      <x:c r="G134" s="32" t="str">
        <x:f>IF(OR('Detalle'!$J68="",'Detalle'!$K68="",'Detalle'!$L68=""),"",IF(AND(G$8&lt;='Detalle'!$K68,G$9&gt;='Detalle'!$J68),1,""))</x:f>
      </x:c>
      <x:c r="H134" s="32" t="str">
        <x:f>IF(OR('Detalle'!$J68="",'Detalle'!$K68="",'Detalle'!$L68=""),"",IF(AND(H$8&lt;='Detalle'!$K68,H$9&gt;='Detalle'!$J68),1,""))</x:f>
      </x:c>
      <x:c r="I134" s="32" t="str">
        <x:f>IF(OR('Detalle'!$J68="",'Detalle'!$K68="",'Detalle'!$L68=""),"",IF(AND(I$8&lt;='Detalle'!$K68,I$9&gt;='Detalle'!$J68),1,""))</x:f>
      </x:c>
      <x:c r="J134" s="32" t="str">
        <x:f>IF(OR('Detalle'!$J68="",'Detalle'!$K68="",'Detalle'!$L68=""),"",IF(AND(J$8&lt;='Detalle'!$K68,J$9&gt;='Detalle'!$J68),1,""))</x:f>
      </x:c>
      <x:c r="K134" s="32" t="str">
        <x:f>IF(OR('Detalle'!$J68="",'Detalle'!$K68="",'Detalle'!$L68=""),"",IF(AND(K$8&lt;='Detalle'!$K68,K$9&gt;='Detalle'!$J68),1,""))</x:f>
      </x:c>
      <x:c r="L134" s="32" t="str">
        <x:f>IF(OR('Detalle'!$J68="",'Detalle'!$K68="",'Detalle'!$L68=""),"",IF(AND(L$8&lt;='Detalle'!$K68,L$9&gt;='Detalle'!$J68),1,""))</x:f>
      </x:c>
      <x:c r="M134" s="32" t="str">
        <x:f>IF(OR('Detalle'!$J68="",'Detalle'!$K68="",'Detalle'!$L68=""),"",IF(AND(M$8&lt;='Detalle'!$K68,M$9&gt;='Detalle'!$J68),1,""))</x:f>
      </x:c>
      <x:c r="N134" s="32" t="str">
        <x:f>IF(OR('Detalle'!$J68="",'Detalle'!$K68="",'Detalle'!$L68=""),"",IF(AND(N$8&lt;='Detalle'!$K68,N$9&gt;='Detalle'!$J68),1,""))</x:f>
      </x:c>
      <x:c r="O134" s="32" t="str">
        <x:f>IF(OR('Detalle'!$J68="",'Detalle'!$K68="",'Detalle'!$L68=""),"",IF(AND(O$8&lt;='Detalle'!$K68,O$9&gt;='Detalle'!$J68),1,""))</x:f>
      </x:c>
      <x:c r="P134" s="32" t="str">
        <x:f>IF(OR('Detalle'!$J68="",'Detalle'!$K68="",'Detalle'!$L68=""),"",IF(AND(P$8&lt;='Detalle'!$K68,P$9&gt;='Detalle'!$J68),1,""))</x:f>
      </x:c>
      <x:c r="Q134" s="68"/>
      <x:c r="R134" s="67" t="str"/>
      <x:c r="S134" s="67" t="str"/>
    </x:row>
    <x:row r="135" ht="16" customHeight="1">
      <x:c r="A135" s="56" t="str">
        <x:v>MVP02.008</x:v>
      </x:c>
      <x:c r="B135" s="57" t="str">
        <x:v>Crear layout de autenticación</x:v>
      </x:c>
      <x:c r="C135" s="62" t="str">
        <x:v>E</x:v>
      </x:c>
      <x:c r="D135" s="64" t="n">
        <x:f>'Detalle'!I69</x:f>
        <x:v>1</x:v>
      </x:c>
      <x:c r="E135" s="60" t="str">
        <x:f>'Detalle'!F69</x:f>
        <x:v>Completado</x:v>
      </x:c>
      <x:c r="F135" s="32" t="str">
        <x:f>IF(AND(F$8&lt;='Detalle'!$H69,F$9&gt;='Detalle'!$G69),1,"")</x:f>
      </x:c>
      <x:c r="G135" s="32" t="n">
        <x:f>IF(AND(G$8&lt;='Detalle'!$H69,G$9&gt;='Detalle'!$G69),1,"")</x:f>
        <x:v>1</x:v>
      </x:c>
      <x:c r="H135" s="32" t="str">
        <x:f>IF(AND(H$8&lt;='Detalle'!$H69,H$9&gt;='Detalle'!$G69),1,"")</x:f>
      </x:c>
      <x:c r="I135" s="32" t="str">
        <x:f>IF(AND(I$8&lt;='Detalle'!$H69,I$9&gt;='Detalle'!$G69),1,"")</x:f>
      </x:c>
      <x:c r="J135" s="32" t="str">
        <x:f>IF(AND(J$8&lt;='Detalle'!$H69,J$9&gt;='Detalle'!$G69),1,"")</x:f>
      </x:c>
      <x:c r="K135" s="32" t="str">
        <x:f>IF(AND(K$8&lt;='Detalle'!$H69,K$9&gt;='Detalle'!$G69),1,"")</x:f>
      </x:c>
      <x:c r="L135" s="32" t="str">
        <x:f>IF(AND(L$8&lt;='Detalle'!$H69,L$9&gt;='Detalle'!$G69),1,"")</x:f>
      </x:c>
      <x:c r="M135" s="32" t="str">
        <x:f>IF(AND(M$8&lt;='Detalle'!$H69,M$9&gt;='Detalle'!$G69),1,"")</x:f>
      </x:c>
      <x:c r="N135" s="32" t="str">
        <x:f>IF(AND(N$8&lt;='Detalle'!$H69,N$9&gt;='Detalle'!$G69),1,"")</x:f>
      </x:c>
      <x:c r="O135" s="32" t="str">
        <x:f>IF(AND(O$8&lt;='Detalle'!$H69,O$9&gt;='Detalle'!$G69),1,"")</x:f>
      </x:c>
      <x:c r="P135" s="32" t="str">
        <x:f>IF(AND(P$8&lt;='Detalle'!$H69,P$9&gt;='Detalle'!$G69),1,"")</x:f>
      </x:c>
      <x:c r="Q135" s="68"/>
      <x:c r="R135" s="67" t="str">
        <x:f>IF('Detalle'!M69="","",'Detalle'!M69)</x:f>
      </x:c>
      <x:c r="S135" s="67" t="str">
        <x:f>IF('Detalle'!N69="","",'Detalle'!N69)</x:f>
      </x:c>
    </x:row>
    <x:row r="136" ht="16" customHeight="1">
      <x:c r="A136" s="56" t="str">
        <x:v>MVP02.008</x:v>
      </x:c>
      <x:c r="B136" s="57" t="str">
        <x:v>Crear layout de autenticación</x:v>
      </x:c>
      <x:c r="C136" s="63" t="str">
        <x:v>R</x:v>
      </x:c>
      <x:c r="D136" s="65" t="str">
        <x:f>IF('Detalle'!L69="","",'Detalle'!L69)</x:f>
      </x:c>
      <x:c r="E136" s="60" t="str"/>
      <x:c r="F136" s="32" t="str">
        <x:f>IF(OR('Detalle'!$J69="",'Detalle'!$K69="",'Detalle'!$L69=""),"",IF(AND(F$8&lt;='Detalle'!$K69,F$9&gt;='Detalle'!$J69),1,""))</x:f>
      </x:c>
      <x:c r="G136" s="32" t="str">
        <x:f>IF(OR('Detalle'!$J69="",'Detalle'!$K69="",'Detalle'!$L69=""),"",IF(AND(G$8&lt;='Detalle'!$K69,G$9&gt;='Detalle'!$J69),1,""))</x:f>
      </x:c>
      <x:c r="H136" s="32" t="str">
        <x:f>IF(OR('Detalle'!$J69="",'Detalle'!$K69="",'Detalle'!$L69=""),"",IF(AND(H$8&lt;='Detalle'!$K69,H$9&gt;='Detalle'!$J69),1,""))</x:f>
      </x:c>
      <x:c r="I136" s="32" t="str">
        <x:f>IF(OR('Detalle'!$J69="",'Detalle'!$K69="",'Detalle'!$L69=""),"",IF(AND(I$8&lt;='Detalle'!$K69,I$9&gt;='Detalle'!$J69),1,""))</x:f>
      </x:c>
      <x:c r="J136" s="32" t="str">
        <x:f>IF(OR('Detalle'!$J69="",'Detalle'!$K69="",'Detalle'!$L69=""),"",IF(AND(J$8&lt;='Detalle'!$K69,J$9&gt;='Detalle'!$J69),1,""))</x:f>
      </x:c>
      <x:c r="K136" s="32" t="str">
        <x:f>IF(OR('Detalle'!$J69="",'Detalle'!$K69="",'Detalle'!$L69=""),"",IF(AND(K$8&lt;='Detalle'!$K69,K$9&gt;='Detalle'!$J69),1,""))</x:f>
      </x:c>
      <x:c r="L136" s="32" t="str">
        <x:f>IF(OR('Detalle'!$J69="",'Detalle'!$K69="",'Detalle'!$L69=""),"",IF(AND(L$8&lt;='Detalle'!$K69,L$9&gt;='Detalle'!$J69),1,""))</x:f>
      </x:c>
      <x:c r="M136" s="32" t="str">
        <x:f>IF(OR('Detalle'!$J69="",'Detalle'!$K69="",'Detalle'!$L69=""),"",IF(AND(M$8&lt;='Detalle'!$K69,M$9&gt;='Detalle'!$J69),1,""))</x:f>
      </x:c>
      <x:c r="N136" s="32" t="str">
        <x:f>IF(OR('Detalle'!$J69="",'Detalle'!$K69="",'Detalle'!$L69=""),"",IF(AND(N$8&lt;='Detalle'!$K69,N$9&gt;='Detalle'!$J69),1,""))</x:f>
      </x:c>
      <x:c r="O136" s="32" t="str">
        <x:f>IF(OR('Detalle'!$J69="",'Detalle'!$K69="",'Detalle'!$L69=""),"",IF(AND(O$8&lt;='Detalle'!$K69,O$9&gt;='Detalle'!$J69),1,""))</x:f>
      </x:c>
      <x:c r="P136" s="32" t="str">
        <x:f>IF(OR('Detalle'!$J69="",'Detalle'!$K69="",'Detalle'!$L69=""),"",IF(AND(P$8&lt;='Detalle'!$K69,P$9&gt;='Detalle'!$J69),1,""))</x:f>
      </x:c>
      <x:c r="Q136" s="68"/>
      <x:c r="R136" s="67" t="str"/>
      <x:c r="S136" s="67" t="str"/>
    </x:row>
    <x:row r="137" ht="16" customHeight="1">
      <x:c r="A137" s="56" t="str">
        <x:v>MVP02.009</x:v>
      </x:c>
      <x:c r="B137" s="57" t="str">
        <x:v>Crear shell de navegación</x:v>
      </x:c>
      <x:c r="C137" s="62" t="str">
        <x:v>E</x:v>
      </x:c>
      <x:c r="D137" s="64" t="n">
        <x:f>'Detalle'!I70</x:f>
        <x:v>1</x:v>
      </x:c>
      <x:c r="E137" s="60" t="str">
        <x:f>'Detalle'!F70</x:f>
        <x:v>Completado</x:v>
      </x:c>
      <x:c r="F137" s="32" t="str">
        <x:f>IF(AND(F$8&lt;='Detalle'!$H70,F$9&gt;='Detalle'!$G70),1,"")</x:f>
      </x:c>
      <x:c r="G137" s="32" t="n">
        <x:f>IF(AND(G$8&lt;='Detalle'!$H70,G$9&gt;='Detalle'!$G70),1,"")</x:f>
        <x:v>1</x:v>
      </x:c>
      <x:c r="H137" s="32" t="str">
        <x:f>IF(AND(H$8&lt;='Detalle'!$H70,H$9&gt;='Detalle'!$G70),1,"")</x:f>
      </x:c>
      <x:c r="I137" s="32" t="str">
        <x:f>IF(AND(I$8&lt;='Detalle'!$H70,I$9&gt;='Detalle'!$G70),1,"")</x:f>
      </x:c>
      <x:c r="J137" s="32" t="str">
        <x:f>IF(AND(J$8&lt;='Detalle'!$H70,J$9&gt;='Detalle'!$G70),1,"")</x:f>
      </x:c>
      <x:c r="K137" s="32" t="str">
        <x:f>IF(AND(K$8&lt;='Detalle'!$H70,K$9&gt;='Detalle'!$G70),1,"")</x:f>
      </x:c>
      <x:c r="L137" s="32" t="str">
        <x:f>IF(AND(L$8&lt;='Detalle'!$H70,L$9&gt;='Detalle'!$G70),1,"")</x:f>
      </x:c>
      <x:c r="M137" s="32" t="str">
        <x:f>IF(AND(M$8&lt;='Detalle'!$H70,M$9&gt;='Detalle'!$G70),1,"")</x:f>
      </x:c>
      <x:c r="N137" s="32" t="str">
        <x:f>IF(AND(N$8&lt;='Detalle'!$H70,N$9&gt;='Detalle'!$G70),1,"")</x:f>
      </x:c>
      <x:c r="O137" s="32" t="str">
        <x:f>IF(AND(O$8&lt;='Detalle'!$H70,O$9&gt;='Detalle'!$G70),1,"")</x:f>
      </x:c>
      <x:c r="P137" s="32" t="str">
        <x:f>IF(AND(P$8&lt;='Detalle'!$H70,P$9&gt;='Detalle'!$G70),1,"")</x:f>
      </x:c>
      <x:c r="Q137" s="68"/>
      <x:c r="R137" s="67" t="str">
        <x:f>IF('Detalle'!M70="","",'Detalle'!M70)</x:f>
      </x:c>
      <x:c r="S137" s="67" t="str">
        <x:f>IF('Detalle'!N70="","",'Detalle'!N70)</x:f>
      </x:c>
    </x:row>
    <x:row r="138" ht="16" customHeight="1">
      <x:c r="A138" s="56" t="str">
        <x:v>MVP02.009</x:v>
      </x:c>
      <x:c r="B138" s="57" t="str">
        <x:v>Crear shell de navegación</x:v>
      </x:c>
      <x:c r="C138" s="63" t="str">
        <x:v>R</x:v>
      </x:c>
      <x:c r="D138" s="65" t="str">
        <x:f>IF('Detalle'!L70="","",'Detalle'!L70)</x:f>
      </x:c>
      <x:c r="E138" s="60" t="str"/>
      <x:c r="F138" s="32" t="str">
        <x:f>IF(OR('Detalle'!$J70="",'Detalle'!$K70="",'Detalle'!$L70=""),"",IF(AND(F$8&lt;='Detalle'!$K70,F$9&gt;='Detalle'!$J70),1,""))</x:f>
      </x:c>
      <x:c r="G138" s="32" t="str">
        <x:f>IF(OR('Detalle'!$J70="",'Detalle'!$K70="",'Detalle'!$L70=""),"",IF(AND(G$8&lt;='Detalle'!$K70,G$9&gt;='Detalle'!$J70),1,""))</x:f>
      </x:c>
      <x:c r="H138" s="32" t="str">
        <x:f>IF(OR('Detalle'!$J70="",'Detalle'!$K70="",'Detalle'!$L70=""),"",IF(AND(H$8&lt;='Detalle'!$K70,H$9&gt;='Detalle'!$J70),1,""))</x:f>
      </x:c>
      <x:c r="I138" s="32" t="str">
        <x:f>IF(OR('Detalle'!$J70="",'Detalle'!$K70="",'Detalle'!$L70=""),"",IF(AND(I$8&lt;='Detalle'!$K70,I$9&gt;='Detalle'!$J70),1,""))</x:f>
      </x:c>
      <x:c r="J138" s="32" t="str">
        <x:f>IF(OR('Detalle'!$J70="",'Detalle'!$K70="",'Detalle'!$L70=""),"",IF(AND(J$8&lt;='Detalle'!$K70,J$9&gt;='Detalle'!$J70),1,""))</x:f>
      </x:c>
      <x:c r="K138" s="32" t="str">
        <x:f>IF(OR('Detalle'!$J70="",'Detalle'!$K70="",'Detalle'!$L70=""),"",IF(AND(K$8&lt;='Detalle'!$K70,K$9&gt;='Detalle'!$J70),1,""))</x:f>
      </x:c>
      <x:c r="L138" s="32" t="str">
        <x:f>IF(OR('Detalle'!$J70="",'Detalle'!$K70="",'Detalle'!$L70=""),"",IF(AND(L$8&lt;='Detalle'!$K70,L$9&gt;='Detalle'!$J70),1,""))</x:f>
      </x:c>
      <x:c r="M138" s="32" t="str">
        <x:f>IF(OR('Detalle'!$J70="",'Detalle'!$K70="",'Detalle'!$L70=""),"",IF(AND(M$8&lt;='Detalle'!$K70,M$9&gt;='Detalle'!$J70),1,""))</x:f>
      </x:c>
      <x:c r="N138" s="32" t="str">
        <x:f>IF(OR('Detalle'!$J70="",'Detalle'!$K70="",'Detalle'!$L70=""),"",IF(AND(N$8&lt;='Detalle'!$K70,N$9&gt;='Detalle'!$J70),1,""))</x:f>
      </x:c>
      <x:c r="O138" s="32" t="str">
        <x:f>IF(OR('Detalle'!$J70="",'Detalle'!$K70="",'Detalle'!$L70=""),"",IF(AND(O$8&lt;='Detalle'!$K70,O$9&gt;='Detalle'!$J70),1,""))</x:f>
      </x:c>
      <x:c r="P138" s="32" t="str">
        <x:f>IF(OR('Detalle'!$J70="",'Detalle'!$K70="",'Detalle'!$L70=""),"",IF(AND(P$8&lt;='Detalle'!$K70,P$9&gt;='Detalle'!$J70),1,""))</x:f>
      </x:c>
      <x:c r="Q138" s="68"/>
      <x:c r="R138" s="67" t="str"/>
      <x:c r="S138" s="67" t="str"/>
    </x:row>
    <x:row r="139" ht="16" customHeight="1">
      <x:c r="A139" s="56" t="str">
        <x:v>MVP02.010</x:v>
      </x:c>
      <x:c r="B139" s="57" t="str">
        <x:v>Adaptar navegación al ancho de pantalla</x:v>
      </x:c>
      <x:c r="C139" s="62" t="str">
        <x:v>E</x:v>
      </x:c>
      <x:c r="D139" s="64" t="n">
        <x:f>'Detalle'!I71</x:f>
        <x:v>1</x:v>
      </x:c>
      <x:c r="E139" s="60" t="str">
        <x:f>'Detalle'!F71</x:f>
        <x:v>Completado</x:v>
      </x:c>
      <x:c r="F139" s="32" t="str">
        <x:f>IF(AND(F$8&lt;='Detalle'!$H71,F$9&gt;='Detalle'!$G71),1,"")</x:f>
      </x:c>
      <x:c r="G139" s="32" t="n">
        <x:f>IF(AND(G$8&lt;='Detalle'!$H71,G$9&gt;='Detalle'!$G71),1,"")</x:f>
        <x:v>1</x:v>
      </x:c>
      <x:c r="H139" s="32" t="str">
        <x:f>IF(AND(H$8&lt;='Detalle'!$H71,H$9&gt;='Detalle'!$G71),1,"")</x:f>
      </x:c>
      <x:c r="I139" s="32" t="str">
        <x:f>IF(AND(I$8&lt;='Detalle'!$H71,I$9&gt;='Detalle'!$G71),1,"")</x:f>
      </x:c>
      <x:c r="J139" s="32" t="str">
        <x:f>IF(AND(J$8&lt;='Detalle'!$H71,J$9&gt;='Detalle'!$G71),1,"")</x:f>
      </x:c>
      <x:c r="K139" s="32" t="str">
        <x:f>IF(AND(K$8&lt;='Detalle'!$H71,K$9&gt;='Detalle'!$G71),1,"")</x:f>
      </x:c>
      <x:c r="L139" s="32" t="str">
        <x:f>IF(AND(L$8&lt;='Detalle'!$H71,L$9&gt;='Detalle'!$G71),1,"")</x:f>
      </x:c>
      <x:c r="M139" s="32" t="str">
        <x:f>IF(AND(M$8&lt;='Detalle'!$H71,M$9&gt;='Detalle'!$G71),1,"")</x:f>
      </x:c>
      <x:c r="N139" s="32" t="str">
        <x:f>IF(AND(N$8&lt;='Detalle'!$H71,N$9&gt;='Detalle'!$G71),1,"")</x:f>
      </x:c>
      <x:c r="O139" s="32" t="str">
        <x:f>IF(AND(O$8&lt;='Detalle'!$H71,O$9&gt;='Detalle'!$G71),1,"")</x:f>
      </x:c>
      <x:c r="P139" s="32" t="str">
        <x:f>IF(AND(P$8&lt;='Detalle'!$H71,P$9&gt;='Detalle'!$G71),1,"")</x:f>
      </x:c>
      <x:c r="Q139" s="68"/>
      <x:c r="R139" s="67" t="str">
        <x:f>IF('Detalle'!M71="","",'Detalle'!M71)</x:f>
      </x:c>
      <x:c r="S139" s="67" t="str">
        <x:f>IF('Detalle'!N71="","",'Detalle'!N71)</x:f>
      </x:c>
    </x:row>
    <x:row r="140" ht="16" customHeight="1">
      <x:c r="A140" s="56" t="str">
        <x:v>MVP02.010</x:v>
      </x:c>
      <x:c r="B140" s="57" t="str">
        <x:v>Adaptar navegación al ancho de pantalla</x:v>
      </x:c>
      <x:c r="C140" s="63" t="str">
        <x:v>R</x:v>
      </x:c>
      <x:c r="D140" s="65" t="str">
        <x:f>IF('Detalle'!L71="","",'Detalle'!L71)</x:f>
      </x:c>
      <x:c r="E140" s="60" t="str"/>
      <x:c r="F140" s="32" t="str">
        <x:f>IF(OR('Detalle'!$J71="",'Detalle'!$K71="",'Detalle'!$L71=""),"",IF(AND(F$8&lt;='Detalle'!$K71,F$9&gt;='Detalle'!$J71),1,""))</x:f>
      </x:c>
      <x:c r="G140" s="32" t="str">
        <x:f>IF(OR('Detalle'!$J71="",'Detalle'!$K71="",'Detalle'!$L71=""),"",IF(AND(G$8&lt;='Detalle'!$K71,G$9&gt;='Detalle'!$J71),1,""))</x:f>
      </x:c>
      <x:c r="H140" s="32" t="str">
        <x:f>IF(OR('Detalle'!$J71="",'Detalle'!$K71="",'Detalle'!$L71=""),"",IF(AND(H$8&lt;='Detalle'!$K71,H$9&gt;='Detalle'!$J71),1,""))</x:f>
      </x:c>
      <x:c r="I140" s="32" t="str">
        <x:f>IF(OR('Detalle'!$J71="",'Detalle'!$K71="",'Detalle'!$L71=""),"",IF(AND(I$8&lt;='Detalle'!$K71,I$9&gt;='Detalle'!$J71),1,""))</x:f>
      </x:c>
      <x:c r="J140" s="32" t="str">
        <x:f>IF(OR('Detalle'!$J71="",'Detalle'!$K71="",'Detalle'!$L71=""),"",IF(AND(J$8&lt;='Detalle'!$K71,J$9&gt;='Detalle'!$J71),1,""))</x:f>
      </x:c>
      <x:c r="K140" s="32" t="str">
        <x:f>IF(OR('Detalle'!$J71="",'Detalle'!$K71="",'Detalle'!$L71=""),"",IF(AND(K$8&lt;='Detalle'!$K71,K$9&gt;='Detalle'!$J71),1,""))</x:f>
      </x:c>
      <x:c r="L140" s="32" t="str">
        <x:f>IF(OR('Detalle'!$J71="",'Detalle'!$K71="",'Detalle'!$L71=""),"",IF(AND(L$8&lt;='Detalle'!$K71,L$9&gt;='Detalle'!$J71),1,""))</x:f>
      </x:c>
      <x:c r="M140" s="32" t="str">
        <x:f>IF(OR('Detalle'!$J71="",'Detalle'!$K71="",'Detalle'!$L71=""),"",IF(AND(M$8&lt;='Detalle'!$K71,M$9&gt;='Detalle'!$J71),1,""))</x:f>
      </x:c>
      <x:c r="N140" s="32" t="str">
        <x:f>IF(OR('Detalle'!$J71="",'Detalle'!$K71="",'Detalle'!$L71=""),"",IF(AND(N$8&lt;='Detalle'!$K71,N$9&gt;='Detalle'!$J71),1,""))</x:f>
      </x:c>
      <x:c r="O140" s="32" t="str">
        <x:f>IF(OR('Detalle'!$J71="",'Detalle'!$K71="",'Detalle'!$L71=""),"",IF(AND(O$8&lt;='Detalle'!$K71,O$9&gt;='Detalle'!$J71),1,""))</x:f>
      </x:c>
      <x:c r="P140" s="32" t="str">
        <x:f>IF(OR('Detalle'!$J71="",'Detalle'!$K71="",'Detalle'!$L71=""),"",IF(AND(P$8&lt;='Detalle'!$K71,P$9&gt;='Detalle'!$J71),1,""))</x:f>
      </x:c>
      <x:c r="Q140" s="68"/>
      <x:c r="R140" s="67" t="str"/>
      <x:c r="S140" s="67" t="str"/>
    </x:row>
    <x:row r="141" ht="16" customHeight="1">
      <x:c r="A141" s="56" t="str">
        <x:v>MVP02.011</x:v>
      </x:c>
      <x:c r="B141" s="57" t="str">
        <x:v>Mostrar secciones próximas del MVP</x:v>
      </x:c>
      <x:c r="C141" s="62" t="str">
        <x:v>E</x:v>
      </x:c>
      <x:c r="D141" s="64" t="n">
        <x:f>'Detalle'!I72</x:f>
        <x:v>1</x:v>
      </x:c>
      <x:c r="E141" s="60" t="str">
        <x:f>'Detalle'!F72</x:f>
        <x:v>Completado</x:v>
      </x:c>
      <x:c r="F141" s="32" t="str">
        <x:f>IF(AND(F$8&lt;='Detalle'!$H72,F$9&gt;='Detalle'!$G72),1,"")</x:f>
      </x:c>
      <x:c r="G141" s="32" t="n">
        <x:f>IF(AND(G$8&lt;='Detalle'!$H72,G$9&gt;='Detalle'!$G72),1,"")</x:f>
        <x:v>1</x:v>
      </x:c>
      <x:c r="H141" s="32" t="str">
        <x:f>IF(AND(H$8&lt;='Detalle'!$H72,H$9&gt;='Detalle'!$G72),1,"")</x:f>
      </x:c>
      <x:c r="I141" s="32" t="str">
        <x:f>IF(AND(I$8&lt;='Detalle'!$H72,I$9&gt;='Detalle'!$G72),1,"")</x:f>
      </x:c>
      <x:c r="J141" s="32" t="str">
        <x:f>IF(AND(J$8&lt;='Detalle'!$H72,J$9&gt;='Detalle'!$G72),1,"")</x:f>
      </x:c>
      <x:c r="K141" s="32" t="str">
        <x:f>IF(AND(K$8&lt;='Detalle'!$H72,K$9&gt;='Detalle'!$G72),1,"")</x:f>
      </x:c>
      <x:c r="L141" s="32" t="str">
        <x:f>IF(AND(L$8&lt;='Detalle'!$H72,L$9&gt;='Detalle'!$G72),1,"")</x:f>
      </x:c>
      <x:c r="M141" s="32" t="str">
        <x:f>IF(AND(M$8&lt;='Detalle'!$H72,M$9&gt;='Detalle'!$G72),1,"")</x:f>
      </x:c>
      <x:c r="N141" s="32" t="str">
        <x:f>IF(AND(N$8&lt;='Detalle'!$H72,N$9&gt;='Detalle'!$G72),1,"")</x:f>
      </x:c>
      <x:c r="O141" s="32" t="str">
        <x:f>IF(AND(O$8&lt;='Detalle'!$H72,O$9&gt;='Detalle'!$G72),1,"")</x:f>
      </x:c>
      <x:c r="P141" s="32" t="str">
        <x:f>IF(AND(P$8&lt;='Detalle'!$H72,P$9&gt;='Detalle'!$G72),1,"")</x:f>
      </x:c>
      <x:c r="Q141" s="68"/>
      <x:c r="R141" s="67" t="str">
        <x:f>IF('Detalle'!M72="","",'Detalle'!M72)</x:f>
      </x:c>
      <x:c r="S141" s="67" t="str">
        <x:f>IF('Detalle'!N72="","",'Detalle'!N72)</x:f>
      </x:c>
    </x:row>
    <x:row r="142" ht="16" customHeight="1">
      <x:c r="A142" s="56" t="str">
        <x:v>MVP02.011</x:v>
      </x:c>
      <x:c r="B142" s="57" t="str">
        <x:v>Mostrar secciones próximas del MVP</x:v>
      </x:c>
      <x:c r="C142" s="63" t="str">
        <x:v>R</x:v>
      </x:c>
      <x:c r="D142" s="65" t="str">
        <x:f>IF('Detalle'!L72="","",'Detalle'!L72)</x:f>
      </x:c>
      <x:c r="E142" s="60" t="str"/>
      <x:c r="F142" s="32" t="str">
        <x:f>IF(OR('Detalle'!$J72="",'Detalle'!$K72="",'Detalle'!$L72=""),"",IF(AND(F$8&lt;='Detalle'!$K72,F$9&gt;='Detalle'!$J72),1,""))</x:f>
      </x:c>
      <x:c r="G142" s="32" t="str">
        <x:f>IF(OR('Detalle'!$J72="",'Detalle'!$K72="",'Detalle'!$L72=""),"",IF(AND(G$8&lt;='Detalle'!$K72,G$9&gt;='Detalle'!$J72),1,""))</x:f>
      </x:c>
      <x:c r="H142" s="32" t="str">
        <x:f>IF(OR('Detalle'!$J72="",'Detalle'!$K72="",'Detalle'!$L72=""),"",IF(AND(H$8&lt;='Detalle'!$K72,H$9&gt;='Detalle'!$J72),1,""))</x:f>
      </x:c>
      <x:c r="I142" s="32" t="str">
        <x:f>IF(OR('Detalle'!$J72="",'Detalle'!$K72="",'Detalle'!$L72=""),"",IF(AND(I$8&lt;='Detalle'!$K72,I$9&gt;='Detalle'!$J72),1,""))</x:f>
      </x:c>
      <x:c r="J142" s="32" t="str">
        <x:f>IF(OR('Detalle'!$J72="",'Detalle'!$K72="",'Detalle'!$L72=""),"",IF(AND(J$8&lt;='Detalle'!$K72,J$9&gt;='Detalle'!$J72),1,""))</x:f>
      </x:c>
      <x:c r="K142" s="32" t="str">
        <x:f>IF(OR('Detalle'!$J72="",'Detalle'!$K72="",'Detalle'!$L72=""),"",IF(AND(K$8&lt;='Detalle'!$K72,K$9&gt;='Detalle'!$J72),1,""))</x:f>
      </x:c>
      <x:c r="L142" s="32" t="str">
        <x:f>IF(OR('Detalle'!$J72="",'Detalle'!$K72="",'Detalle'!$L72=""),"",IF(AND(L$8&lt;='Detalle'!$K72,L$9&gt;='Detalle'!$J72),1,""))</x:f>
      </x:c>
      <x:c r="M142" s="32" t="str">
        <x:f>IF(OR('Detalle'!$J72="",'Detalle'!$K72="",'Detalle'!$L72=""),"",IF(AND(M$8&lt;='Detalle'!$K72,M$9&gt;='Detalle'!$J72),1,""))</x:f>
      </x:c>
      <x:c r="N142" s="32" t="str">
        <x:f>IF(OR('Detalle'!$J72="",'Detalle'!$K72="",'Detalle'!$L72=""),"",IF(AND(N$8&lt;='Detalle'!$K72,N$9&gt;='Detalle'!$J72),1,""))</x:f>
      </x:c>
      <x:c r="O142" s="32" t="str">
        <x:f>IF(OR('Detalle'!$J72="",'Detalle'!$K72="",'Detalle'!$L72=""),"",IF(AND(O$8&lt;='Detalle'!$K72,O$9&gt;='Detalle'!$J72),1,""))</x:f>
      </x:c>
      <x:c r="P142" s="32" t="str">
        <x:f>IF(OR('Detalle'!$J72="",'Detalle'!$K72="",'Detalle'!$L72=""),"",IF(AND(P$8&lt;='Detalle'!$K72,P$9&gt;='Detalle'!$J72),1,""))</x:f>
      </x:c>
      <x:c r="Q142" s="68"/>
      <x:c r="R142" s="67" t="str"/>
      <x:c r="S142" s="67" t="str"/>
    </x:row>
    <x:row r="143" ht="16" customHeight="1">
      <x:c r="A143" s="56" t="str">
        <x:v>MVP02.012</x:v>
      </x:c>
      <x:c r="B143" s="57" t="str">
        <x:v>Crear indicador inicial de avatar</x:v>
      </x:c>
      <x:c r="C143" s="62" t="str">
        <x:v>E</x:v>
      </x:c>
      <x:c r="D143" s="64" t="n">
        <x:f>'Detalle'!I73</x:f>
        <x:v>1</x:v>
      </x:c>
      <x:c r="E143" s="60" t="str">
        <x:f>'Detalle'!F73</x:f>
        <x:v>Completado</x:v>
      </x:c>
      <x:c r="F143" s="32" t="str">
        <x:f>IF(AND(F$8&lt;='Detalle'!$H73,F$9&gt;='Detalle'!$G73),1,"")</x:f>
      </x:c>
      <x:c r="G143" s="32" t="n">
        <x:f>IF(AND(G$8&lt;='Detalle'!$H73,G$9&gt;='Detalle'!$G73),1,"")</x:f>
        <x:v>1</x:v>
      </x:c>
      <x:c r="H143" s="32" t="str">
        <x:f>IF(AND(H$8&lt;='Detalle'!$H73,H$9&gt;='Detalle'!$G73),1,"")</x:f>
      </x:c>
      <x:c r="I143" s="32" t="str">
        <x:f>IF(AND(I$8&lt;='Detalle'!$H73,I$9&gt;='Detalle'!$G73),1,"")</x:f>
      </x:c>
      <x:c r="J143" s="32" t="str">
        <x:f>IF(AND(J$8&lt;='Detalle'!$H73,J$9&gt;='Detalle'!$G73),1,"")</x:f>
      </x:c>
      <x:c r="K143" s="32" t="str">
        <x:f>IF(AND(K$8&lt;='Detalle'!$H73,K$9&gt;='Detalle'!$G73),1,"")</x:f>
      </x:c>
      <x:c r="L143" s="32" t="str">
        <x:f>IF(AND(L$8&lt;='Detalle'!$H73,L$9&gt;='Detalle'!$G73),1,"")</x:f>
      </x:c>
      <x:c r="M143" s="32" t="str">
        <x:f>IF(AND(M$8&lt;='Detalle'!$H73,M$9&gt;='Detalle'!$G73),1,"")</x:f>
      </x:c>
      <x:c r="N143" s="32" t="str">
        <x:f>IF(AND(N$8&lt;='Detalle'!$H73,N$9&gt;='Detalle'!$G73),1,"")</x:f>
      </x:c>
      <x:c r="O143" s="32" t="str">
        <x:f>IF(AND(O$8&lt;='Detalle'!$H73,O$9&gt;='Detalle'!$G73),1,"")</x:f>
      </x:c>
      <x:c r="P143" s="32" t="str">
        <x:f>IF(AND(P$8&lt;='Detalle'!$H73,P$9&gt;='Detalle'!$G73),1,"")</x:f>
      </x:c>
      <x:c r="Q143" s="68"/>
      <x:c r="R143" s="67" t="str">
        <x:f>IF('Detalle'!M73="","",'Detalle'!M73)</x:f>
      </x:c>
      <x:c r="S143" s="67" t="str">
        <x:f>IF('Detalle'!N73="","",'Detalle'!N73)</x:f>
      </x:c>
    </x:row>
    <x:row r="144" ht="16" customHeight="1">
      <x:c r="A144" s="56" t="str">
        <x:v>MVP02.012</x:v>
      </x:c>
      <x:c r="B144" s="57" t="str">
        <x:v>Crear indicador inicial de avatar</x:v>
      </x:c>
      <x:c r="C144" s="63" t="str">
        <x:v>R</x:v>
      </x:c>
      <x:c r="D144" s="65" t="str">
        <x:f>IF('Detalle'!L73="","",'Detalle'!L73)</x:f>
      </x:c>
      <x:c r="E144" s="60" t="str"/>
      <x:c r="F144" s="32" t="str">
        <x:f>IF(OR('Detalle'!$J73="",'Detalle'!$K73="",'Detalle'!$L73=""),"",IF(AND(F$8&lt;='Detalle'!$K73,F$9&gt;='Detalle'!$J73),1,""))</x:f>
      </x:c>
      <x:c r="G144" s="32" t="str">
        <x:f>IF(OR('Detalle'!$J73="",'Detalle'!$K73="",'Detalle'!$L73=""),"",IF(AND(G$8&lt;='Detalle'!$K73,G$9&gt;='Detalle'!$J73),1,""))</x:f>
      </x:c>
      <x:c r="H144" s="32" t="str">
        <x:f>IF(OR('Detalle'!$J73="",'Detalle'!$K73="",'Detalle'!$L73=""),"",IF(AND(H$8&lt;='Detalle'!$K73,H$9&gt;='Detalle'!$J73),1,""))</x:f>
      </x:c>
      <x:c r="I144" s="32" t="str">
        <x:f>IF(OR('Detalle'!$J73="",'Detalle'!$K73="",'Detalle'!$L73=""),"",IF(AND(I$8&lt;='Detalle'!$K73,I$9&gt;='Detalle'!$J73),1,""))</x:f>
      </x:c>
      <x:c r="J144" s="32" t="str">
        <x:f>IF(OR('Detalle'!$J73="",'Detalle'!$K73="",'Detalle'!$L73=""),"",IF(AND(J$8&lt;='Detalle'!$K73,J$9&gt;='Detalle'!$J73),1,""))</x:f>
      </x:c>
      <x:c r="K144" s="32" t="str">
        <x:f>IF(OR('Detalle'!$J73="",'Detalle'!$K73="",'Detalle'!$L73=""),"",IF(AND(K$8&lt;='Detalle'!$K73,K$9&gt;='Detalle'!$J73),1,""))</x:f>
      </x:c>
      <x:c r="L144" s="32" t="str">
        <x:f>IF(OR('Detalle'!$J73="",'Detalle'!$K73="",'Detalle'!$L73=""),"",IF(AND(L$8&lt;='Detalle'!$K73,L$9&gt;='Detalle'!$J73),1,""))</x:f>
      </x:c>
      <x:c r="M144" s="32" t="str">
        <x:f>IF(OR('Detalle'!$J73="",'Detalle'!$K73="",'Detalle'!$L73=""),"",IF(AND(M$8&lt;='Detalle'!$K73,M$9&gt;='Detalle'!$J73),1,""))</x:f>
      </x:c>
      <x:c r="N144" s="32" t="str">
        <x:f>IF(OR('Detalle'!$J73="",'Detalle'!$K73="",'Detalle'!$L73=""),"",IF(AND(N$8&lt;='Detalle'!$K73,N$9&gt;='Detalle'!$J73),1,""))</x:f>
      </x:c>
      <x:c r="O144" s="32" t="str">
        <x:f>IF(OR('Detalle'!$J73="",'Detalle'!$K73="",'Detalle'!$L73=""),"",IF(AND(O$8&lt;='Detalle'!$K73,O$9&gt;='Detalle'!$J73),1,""))</x:f>
      </x:c>
      <x:c r="P144" s="32" t="str">
        <x:f>IF(OR('Detalle'!$J73="",'Detalle'!$K73="",'Detalle'!$L73=""),"",IF(AND(P$8&lt;='Detalle'!$K73,P$9&gt;='Detalle'!$J73),1,""))</x:f>
      </x:c>
      <x:c r="Q144" s="68"/>
      <x:c r="R144" s="67" t="str"/>
      <x:c r="S144" s="67" t="str"/>
    </x:row>
    <x:row r="145" ht="20" customHeight="1">
      <x:c r="A145" s="52" t="str">
        <x:v>MVP03 · Autenticación del primer MVP</x:v>
      </x:c>
      <x:c r="B145" s="52" t="str">
        <x:v>MVP03 · Autenticación del primer MVP</x:v>
      </x:c>
      <x:c r="C145" s="52" t="str">
        <x:v>MVP03 · Autenticación del primer MVP</x:v>
      </x:c>
      <x:c r="D145" s="52" t="str">
        <x:v>MVP03 · Autenticación del primer MVP</x:v>
      </x:c>
      <x:c r="E145" s="52" t="str">
        <x:v>MVP03 · Autenticación del primer MVP</x:v>
      </x:c>
      <x:c r="F145" s="53" t="str">
        <x:v>MVP03 · Autenticación del primer MVP</x:v>
      </x:c>
      <x:c r="G145" s="53" t="str">
        <x:v>MVP03 · Autenticación del primer MVP</x:v>
      </x:c>
      <x:c r="H145" s="53" t="str">
        <x:v>MVP03 · Autenticación del primer MVP</x:v>
      </x:c>
      <x:c r="I145" s="53" t="str">
        <x:v>MVP03 · Autenticación del primer MVP</x:v>
      </x:c>
      <x:c r="J145" s="53" t="str">
        <x:v>MVP03 · Autenticación del primer MVP</x:v>
      </x:c>
      <x:c r="K145" s="53" t="str">
        <x:v>MVP03 · Autenticación del primer MVP</x:v>
      </x:c>
      <x:c r="L145" s="53" t="str">
        <x:v>MVP03 · Autenticación del primer MVP</x:v>
      </x:c>
      <x:c r="M145" s="53" t="str">
        <x:v>MVP03 · Autenticación del primer MVP</x:v>
      </x:c>
      <x:c r="N145" s="53" t="str">
        <x:v>MVP03 · Autenticación del primer MVP</x:v>
      </x:c>
      <x:c r="O145" s="53" t="str">
        <x:v>MVP03 · Autenticación del primer MVP</x:v>
      </x:c>
      <x:c r="P145" s="53" t="str">
        <x:v>MVP03 · Autenticación del primer MVP</x:v>
      </x:c>
      <x:c r="Q145" s="52" t="str">
        <x:v>MVP03 · Autenticación del primer MVP</x:v>
      </x:c>
      <x:c r="R145" s="52" t="str">
        <x:v>MVP03 · Autenticación del primer MVP</x:v>
      </x:c>
      <x:c r="S145" s="52" t="str">
        <x:v>MVP03 · Autenticación del primer MVP</x:v>
      </x:c>
    </x:row>
    <x:row r="146" ht="16" customHeight="1">
      <x:c r="A146" s="56" t="str">
        <x:v>MVP03.001</x:v>
      </x:c>
      <x:c r="B146" s="57" t="str">
        <x:v>Crear pantalla de carga inicial</x:v>
      </x:c>
      <x:c r="C146" s="62" t="str">
        <x:v>E</x:v>
      </x:c>
      <x:c r="D146" s="64" t="n">
        <x:f>'Detalle'!I74</x:f>
        <x:v>1</x:v>
      </x:c>
      <x:c r="E146" s="60" t="str">
        <x:f>'Detalle'!F74</x:f>
        <x:v>Completado</x:v>
      </x:c>
      <x:c r="F146" s="32" t="str">
        <x:f>IF(AND(F$8&lt;='Detalle'!$H74,F$9&gt;='Detalle'!$G74),1,"")</x:f>
      </x:c>
      <x:c r="G146" s="32" t="n">
        <x:f>IF(AND(G$8&lt;='Detalle'!$H74,G$9&gt;='Detalle'!$G74),1,"")</x:f>
        <x:v>1</x:v>
      </x:c>
      <x:c r="H146" s="32" t="str">
        <x:f>IF(AND(H$8&lt;='Detalle'!$H74,H$9&gt;='Detalle'!$G74),1,"")</x:f>
      </x:c>
      <x:c r="I146" s="32" t="str">
        <x:f>IF(AND(I$8&lt;='Detalle'!$H74,I$9&gt;='Detalle'!$G74),1,"")</x:f>
      </x:c>
      <x:c r="J146" s="32" t="str">
        <x:f>IF(AND(J$8&lt;='Detalle'!$H74,J$9&gt;='Detalle'!$G74),1,"")</x:f>
      </x:c>
      <x:c r="K146" s="32" t="str">
        <x:f>IF(AND(K$8&lt;='Detalle'!$H74,K$9&gt;='Detalle'!$G74),1,"")</x:f>
      </x:c>
      <x:c r="L146" s="32" t="str">
        <x:f>IF(AND(L$8&lt;='Detalle'!$H74,L$9&gt;='Detalle'!$G74),1,"")</x:f>
      </x:c>
      <x:c r="M146" s="32" t="str">
        <x:f>IF(AND(M$8&lt;='Detalle'!$H74,M$9&gt;='Detalle'!$G74),1,"")</x:f>
      </x:c>
      <x:c r="N146" s="32" t="str">
        <x:f>IF(AND(N$8&lt;='Detalle'!$H74,N$9&gt;='Detalle'!$G74),1,"")</x:f>
      </x:c>
      <x:c r="O146" s="32" t="str">
        <x:f>IF(AND(O$8&lt;='Detalle'!$H74,O$9&gt;='Detalle'!$G74),1,"")</x:f>
      </x:c>
      <x:c r="P146" s="32" t="str">
        <x:f>IF(AND(P$8&lt;='Detalle'!$H74,P$9&gt;='Detalle'!$G74),1,"")</x:f>
      </x:c>
      <x:c r="Q146" s="68"/>
      <x:c r="R146" s="67" t="str">
        <x:f>IF('Detalle'!M74="","",'Detalle'!M74)</x:f>
      </x:c>
      <x:c r="S146" s="67" t="str">
        <x:f>IF('Detalle'!N74="","",'Detalle'!N74)</x:f>
      </x:c>
    </x:row>
    <x:row r="147" ht="16" customHeight="1">
      <x:c r="A147" s="56" t="str">
        <x:v>MVP03.001</x:v>
      </x:c>
      <x:c r="B147" s="57" t="str">
        <x:v>Crear pantalla de carga inicial</x:v>
      </x:c>
      <x:c r="C147" s="63" t="str">
        <x:v>R</x:v>
      </x:c>
      <x:c r="D147" s="65" t="str">
        <x:f>IF('Detalle'!L74="","",'Detalle'!L74)</x:f>
      </x:c>
      <x:c r="E147" s="60" t="str"/>
      <x:c r="F147" s="32" t="str">
        <x:f>IF(OR('Detalle'!$J74="",'Detalle'!$K74="",'Detalle'!$L74=""),"",IF(AND(F$8&lt;='Detalle'!$K74,F$9&gt;='Detalle'!$J74),1,""))</x:f>
      </x:c>
      <x:c r="G147" s="32" t="str">
        <x:f>IF(OR('Detalle'!$J74="",'Detalle'!$K74="",'Detalle'!$L74=""),"",IF(AND(G$8&lt;='Detalle'!$K74,G$9&gt;='Detalle'!$J74),1,""))</x:f>
      </x:c>
      <x:c r="H147" s="32" t="str">
        <x:f>IF(OR('Detalle'!$J74="",'Detalle'!$K74="",'Detalle'!$L74=""),"",IF(AND(H$8&lt;='Detalle'!$K74,H$9&gt;='Detalle'!$J74),1,""))</x:f>
      </x:c>
      <x:c r="I147" s="32" t="str">
        <x:f>IF(OR('Detalle'!$J74="",'Detalle'!$K74="",'Detalle'!$L74=""),"",IF(AND(I$8&lt;='Detalle'!$K74,I$9&gt;='Detalle'!$J74),1,""))</x:f>
      </x:c>
      <x:c r="J147" s="32" t="str">
        <x:f>IF(OR('Detalle'!$J74="",'Detalle'!$K74="",'Detalle'!$L74=""),"",IF(AND(J$8&lt;='Detalle'!$K74,J$9&gt;='Detalle'!$J74),1,""))</x:f>
      </x:c>
      <x:c r="K147" s="32" t="str">
        <x:f>IF(OR('Detalle'!$J74="",'Detalle'!$K74="",'Detalle'!$L74=""),"",IF(AND(K$8&lt;='Detalle'!$K74,K$9&gt;='Detalle'!$J74),1,""))</x:f>
      </x:c>
      <x:c r="L147" s="32" t="str">
        <x:f>IF(OR('Detalle'!$J74="",'Detalle'!$K74="",'Detalle'!$L74=""),"",IF(AND(L$8&lt;='Detalle'!$K74,L$9&gt;='Detalle'!$J74),1,""))</x:f>
      </x:c>
      <x:c r="M147" s="32" t="str">
        <x:f>IF(OR('Detalle'!$J74="",'Detalle'!$K74="",'Detalle'!$L74=""),"",IF(AND(M$8&lt;='Detalle'!$K74,M$9&gt;='Detalle'!$J74),1,""))</x:f>
      </x:c>
      <x:c r="N147" s="32" t="str">
        <x:f>IF(OR('Detalle'!$J74="",'Detalle'!$K74="",'Detalle'!$L74=""),"",IF(AND(N$8&lt;='Detalle'!$K74,N$9&gt;='Detalle'!$J74),1,""))</x:f>
      </x:c>
      <x:c r="O147" s="32" t="str">
        <x:f>IF(OR('Detalle'!$J74="",'Detalle'!$K74="",'Detalle'!$L74=""),"",IF(AND(O$8&lt;='Detalle'!$K74,O$9&gt;='Detalle'!$J74),1,""))</x:f>
      </x:c>
      <x:c r="P147" s="32" t="str">
        <x:f>IF(OR('Detalle'!$J74="",'Detalle'!$K74="",'Detalle'!$L74=""),"",IF(AND(P$8&lt;='Detalle'!$K74,P$9&gt;='Detalle'!$J74),1,""))</x:f>
      </x:c>
      <x:c r="Q147" s="68"/>
      <x:c r="R147" s="67" t="str"/>
      <x:c r="S147" s="67" t="str"/>
    </x:row>
    <x:row r="148" ht="16" customHeight="1">
      <x:c r="A148" s="56" t="str">
        <x:v>MVP03.002</x:v>
      </x:c>
      <x:c r="B148" s="57" t="str">
        <x:v>Crear formulario inicial de registro</x:v>
      </x:c>
      <x:c r="C148" s="62" t="str">
        <x:v>E</x:v>
      </x:c>
      <x:c r="D148" s="64" t="n">
        <x:f>'Detalle'!I75</x:f>
        <x:v>1</x:v>
      </x:c>
      <x:c r="E148" s="60" t="str">
        <x:f>'Detalle'!F75</x:f>
        <x:v>Completado</x:v>
      </x:c>
      <x:c r="F148" s="32" t="str">
        <x:f>IF(AND(F$8&lt;='Detalle'!$H75,F$9&gt;='Detalle'!$G75),1,"")</x:f>
      </x:c>
      <x:c r="G148" s="32" t="n">
        <x:f>IF(AND(G$8&lt;='Detalle'!$H75,G$9&gt;='Detalle'!$G75),1,"")</x:f>
        <x:v>1</x:v>
      </x:c>
      <x:c r="H148" s="32" t="str">
        <x:f>IF(AND(H$8&lt;='Detalle'!$H75,H$9&gt;='Detalle'!$G75),1,"")</x:f>
      </x:c>
      <x:c r="I148" s="32" t="str">
        <x:f>IF(AND(I$8&lt;='Detalle'!$H75,I$9&gt;='Detalle'!$G75),1,"")</x:f>
      </x:c>
      <x:c r="J148" s="32" t="str">
        <x:f>IF(AND(J$8&lt;='Detalle'!$H75,J$9&gt;='Detalle'!$G75),1,"")</x:f>
      </x:c>
      <x:c r="K148" s="32" t="str">
        <x:f>IF(AND(K$8&lt;='Detalle'!$H75,K$9&gt;='Detalle'!$G75),1,"")</x:f>
      </x:c>
      <x:c r="L148" s="32" t="str">
        <x:f>IF(AND(L$8&lt;='Detalle'!$H75,L$9&gt;='Detalle'!$G75),1,"")</x:f>
      </x:c>
      <x:c r="M148" s="32" t="str">
        <x:f>IF(AND(M$8&lt;='Detalle'!$H75,M$9&gt;='Detalle'!$G75),1,"")</x:f>
      </x:c>
      <x:c r="N148" s="32" t="str">
        <x:f>IF(AND(N$8&lt;='Detalle'!$H75,N$9&gt;='Detalle'!$G75),1,"")</x:f>
      </x:c>
      <x:c r="O148" s="32" t="str">
        <x:f>IF(AND(O$8&lt;='Detalle'!$H75,O$9&gt;='Detalle'!$G75),1,"")</x:f>
      </x:c>
      <x:c r="P148" s="32" t="str">
        <x:f>IF(AND(P$8&lt;='Detalle'!$H75,P$9&gt;='Detalle'!$G75),1,"")</x:f>
      </x:c>
      <x:c r="Q148" s="68"/>
      <x:c r="R148" s="67" t="str">
        <x:f>IF('Detalle'!M75="","",'Detalle'!M75)</x:f>
      </x:c>
      <x:c r="S148" s="67" t="str">
        <x:f>IF('Detalle'!N75="","",'Detalle'!N75)</x:f>
      </x:c>
    </x:row>
    <x:row r="149" ht="16" customHeight="1">
      <x:c r="A149" s="56" t="str">
        <x:v>MVP03.002</x:v>
      </x:c>
      <x:c r="B149" s="57" t="str">
        <x:v>Crear formulario inicial de registro</x:v>
      </x:c>
      <x:c r="C149" s="63" t="str">
        <x:v>R</x:v>
      </x:c>
      <x:c r="D149" s="65" t="str">
        <x:f>IF('Detalle'!L75="","",'Detalle'!L75)</x:f>
      </x:c>
      <x:c r="E149" s="60" t="str"/>
      <x:c r="F149" s="32" t="str">
        <x:f>IF(OR('Detalle'!$J75="",'Detalle'!$K75="",'Detalle'!$L75=""),"",IF(AND(F$8&lt;='Detalle'!$K75,F$9&gt;='Detalle'!$J75),1,""))</x:f>
      </x:c>
      <x:c r="G149" s="32" t="str">
        <x:f>IF(OR('Detalle'!$J75="",'Detalle'!$K75="",'Detalle'!$L75=""),"",IF(AND(G$8&lt;='Detalle'!$K75,G$9&gt;='Detalle'!$J75),1,""))</x:f>
      </x:c>
      <x:c r="H149" s="32" t="str">
        <x:f>IF(OR('Detalle'!$J75="",'Detalle'!$K75="",'Detalle'!$L75=""),"",IF(AND(H$8&lt;='Detalle'!$K75,H$9&gt;='Detalle'!$J75),1,""))</x:f>
      </x:c>
      <x:c r="I149" s="32" t="str">
        <x:f>IF(OR('Detalle'!$J75="",'Detalle'!$K75="",'Detalle'!$L75=""),"",IF(AND(I$8&lt;='Detalle'!$K75,I$9&gt;='Detalle'!$J75),1,""))</x:f>
      </x:c>
      <x:c r="J149" s="32" t="str">
        <x:f>IF(OR('Detalle'!$J75="",'Detalle'!$K75="",'Detalle'!$L75=""),"",IF(AND(J$8&lt;='Detalle'!$K75,J$9&gt;='Detalle'!$J75),1,""))</x:f>
      </x:c>
      <x:c r="K149" s="32" t="str">
        <x:f>IF(OR('Detalle'!$J75="",'Detalle'!$K75="",'Detalle'!$L75=""),"",IF(AND(K$8&lt;='Detalle'!$K75,K$9&gt;='Detalle'!$J75),1,""))</x:f>
      </x:c>
      <x:c r="L149" s="32" t="str">
        <x:f>IF(OR('Detalle'!$J75="",'Detalle'!$K75="",'Detalle'!$L75=""),"",IF(AND(L$8&lt;='Detalle'!$K75,L$9&gt;='Detalle'!$J75),1,""))</x:f>
      </x:c>
      <x:c r="M149" s="32" t="str">
        <x:f>IF(OR('Detalle'!$J75="",'Detalle'!$K75="",'Detalle'!$L75=""),"",IF(AND(M$8&lt;='Detalle'!$K75,M$9&gt;='Detalle'!$J75),1,""))</x:f>
      </x:c>
      <x:c r="N149" s="32" t="str">
        <x:f>IF(OR('Detalle'!$J75="",'Detalle'!$K75="",'Detalle'!$L75=""),"",IF(AND(N$8&lt;='Detalle'!$K75,N$9&gt;='Detalle'!$J75),1,""))</x:f>
      </x:c>
      <x:c r="O149" s="32" t="str">
        <x:f>IF(OR('Detalle'!$J75="",'Detalle'!$K75="",'Detalle'!$L75=""),"",IF(AND(O$8&lt;='Detalle'!$K75,O$9&gt;='Detalle'!$J75),1,""))</x:f>
      </x:c>
      <x:c r="P149" s="32" t="str">
        <x:f>IF(OR('Detalle'!$J75="",'Detalle'!$K75="",'Detalle'!$L75=""),"",IF(AND(P$8&lt;='Detalle'!$K75,P$9&gt;='Detalle'!$J75),1,""))</x:f>
      </x:c>
      <x:c r="Q149" s="68"/>
      <x:c r="R149" s="67" t="str"/>
      <x:c r="S149" s="67" t="str"/>
    </x:row>
    <x:row r="150" ht="16" customHeight="1">
      <x:c r="A150" s="56" t="str">
        <x:v>MVP03.003</x:v>
      </x:c>
      <x:c r="B150" s="57" t="str">
        <x:v>Validar campos obligatorios de registro</x:v>
      </x:c>
      <x:c r="C150" s="62" t="str">
        <x:v>E</x:v>
      </x:c>
      <x:c r="D150" s="64" t="n">
        <x:f>'Detalle'!I76</x:f>
        <x:v>1</x:v>
      </x:c>
      <x:c r="E150" s="60" t="str">
        <x:f>'Detalle'!F76</x:f>
        <x:v>Completado</x:v>
      </x:c>
      <x:c r="F150" s="32" t="str">
        <x:f>IF(AND(F$8&lt;='Detalle'!$H76,F$9&gt;='Detalle'!$G76),1,"")</x:f>
      </x:c>
      <x:c r="G150" s="32" t="n">
        <x:f>IF(AND(G$8&lt;='Detalle'!$H76,G$9&gt;='Detalle'!$G76),1,"")</x:f>
        <x:v>1</x:v>
      </x:c>
      <x:c r="H150" s="32" t="str">
        <x:f>IF(AND(H$8&lt;='Detalle'!$H76,H$9&gt;='Detalle'!$G76),1,"")</x:f>
      </x:c>
      <x:c r="I150" s="32" t="str">
        <x:f>IF(AND(I$8&lt;='Detalle'!$H76,I$9&gt;='Detalle'!$G76),1,"")</x:f>
      </x:c>
      <x:c r="J150" s="32" t="str">
        <x:f>IF(AND(J$8&lt;='Detalle'!$H76,J$9&gt;='Detalle'!$G76),1,"")</x:f>
      </x:c>
      <x:c r="K150" s="32" t="str">
        <x:f>IF(AND(K$8&lt;='Detalle'!$H76,K$9&gt;='Detalle'!$G76),1,"")</x:f>
      </x:c>
      <x:c r="L150" s="32" t="str">
        <x:f>IF(AND(L$8&lt;='Detalle'!$H76,L$9&gt;='Detalle'!$G76),1,"")</x:f>
      </x:c>
      <x:c r="M150" s="32" t="str">
        <x:f>IF(AND(M$8&lt;='Detalle'!$H76,M$9&gt;='Detalle'!$G76),1,"")</x:f>
      </x:c>
      <x:c r="N150" s="32" t="str">
        <x:f>IF(AND(N$8&lt;='Detalle'!$H76,N$9&gt;='Detalle'!$G76),1,"")</x:f>
      </x:c>
      <x:c r="O150" s="32" t="str">
        <x:f>IF(AND(O$8&lt;='Detalle'!$H76,O$9&gt;='Detalle'!$G76),1,"")</x:f>
      </x:c>
      <x:c r="P150" s="32" t="str">
        <x:f>IF(AND(P$8&lt;='Detalle'!$H76,P$9&gt;='Detalle'!$G76),1,"")</x:f>
      </x:c>
      <x:c r="Q150" s="68"/>
      <x:c r="R150" s="67" t="str">
        <x:f>IF('Detalle'!M76="","",'Detalle'!M76)</x:f>
      </x:c>
      <x:c r="S150" s="67" t="str">
        <x:f>IF('Detalle'!N76="","",'Detalle'!N76)</x:f>
      </x:c>
    </x:row>
    <x:row r="151" ht="16" customHeight="1">
      <x:c r="A151" s="56" t="str">
        <x:v>MVP03.003</x:v>
      </x:c>
      <x:c r="B151" s="57" t="str">
        <x:v>Validar campos obligatorios de registro</x:v>
      </x:c>
      <x:c r="C151" s="63" t="str">
        <x:v>R</x:v>
      </x:c>
      <x:c r="D151" s="65" t="str">
        <x:f>IF('Detalle'!L76="","",'Detalle'!L76)</x:f>
      </x:c>
      <x:c r="E151" s="60" t="str"/>
      <x:c r="F151" s="32" t="str">
        <x:f>IF(OR('Detalle'!$J76="",'Detalle'!$K76="",'Detalle'!$L76=""),"",IF(AND(F$8&lt;='Detalle'!$K76,F$9&gt;='Detalle'!$J76),1,""))</x:f>
      </x:c>
      <x:c r="G151" s="32" t="str">
        <x:f>IF(OR('Detalle'!$J76="",'Detalle'!$K76="",'Detalle'!$L76=""),"",IF(AND(G$8&lt;='Detalle'!$K76,G$9&gt;='Detalle'!$J76),1,""))</x:f>
      </x:c>
      <x:c r="H151" s="32" t="str">
        <x:f>IF(OR('Detalle'!$J76="",'Detalle'!$K76="",'Detalle'!$L76=""),"",IF(AND(H$8&lt;='Detalle'!$K76,H$9&gt;='Detalle'!$J76),1,""))</x:f>
      </x:c>
      <x:c r="I151" s="32" t="str">
        <x:f>IF(OR('Detalle'!$J76="",'Detalle'!$K76="",'Detalle'!$L76=""),"",IF(AND(I$8&lt;='Detalle'!$K76,I$9&gt;='Detalle'!$J76),1,""))</x:f>
      </x:c>
      <x:c r="J151" s="32" t="str">
        <x:f>IF(OR('Detalle'!$J76="",'Detalle'!$K76="",'Detalle'!$L76=""),"",IF(AND(J$8&lt;='Detalle'!$K76,J$9&gt;='Detalle'!$J76),1,""))</x:f>
      </x:c>
      <x:c r="K151" s="32" t="str">
        <x:f>IF(OR('Detalle'!$J76="",'Detalle'!$K76="",'Detalle'!$L76=""),"",IF(AND(K$8&lt;='Detalle'!$K76,K$9&gt;='Detalle'!$J76),1,""))</x:f>
      </x:c>
      <x:c r="L151" s="32" t="str">
        <x:f>IF(OR('Detalle'!$J76="",'Detalle'!$K76="",'Detalle'!$L76=""),"",IF(AND(L$8&lt;='Detalle'!$K76,L$9&gt;='Detalle'!$J76),1,""))</x:f>
      </x:c>
      <x:c r="M151" s="32" t="str">
        <x:f>IF(OR('Detalle'!$J76="",'Detalle'!$K76="",'Detalle'!$L76=""),"",IF(AND(M$8&lt;='Detalle'!$K76,M$9&gt;='Detalle'!$J76),1,""))</x:f>
      </x:c>
      <x:c r="N151" s="32" t="str">
        <x:f>IF(OR('Detalle'!$J76="",'Detalle'!$K76="",'Detalle'!$L76=""),"",IF(AND(N$8&lt;='Detalle'!$K76,N$9&gt;='Detalle'!$J76),1,""))</x:f>
      </x:c>
      <x:c r="O151" s="32" t="str">
        <x:f>IF(OR('Detalle'!$J76="",'Detalle'!$K76="",'Detalle'!$L76=""),"",IF(AND(O$8&lt;='Detalle'!$K76,O$9&gt;='Detalle'!$J76),1,""))</x:f>
      </x:c>
      <x:c r="P151" s="32" t="str">
        <x:f>IF(OR('Detalle'!$J76="",'Detalle'!$K76="",'Detalle'!$L76=""),"",IF(AND(P$8&lt;='Detalle'!$K76,P$9&gt;='Detalle'!$J76),1,""))</x:f>
      </x:c>
      <x:c r="Q151" s="68"/>
      <x:c r="R151" s="67" t="str"/>
      <x:c r="S151" s="67" t="str"/>
    </x:row>
    <x:row r="152" ht="16" customHeight="1">
      <x:c r="A152" s="56" t="str">
        <x:v>MVP03.004</x:v>
      </x:c>
      <x:c r="B152" s="57" t="str">
        <x:v>Validar formato de correo</x:v>
      </x:c>
      <x:c r="C152" s="62" t="str">
        <x:v>E</x:v>
      </x:c>
      <x:c r="D152" s="64" t="n">
        <x:f>'Detalle'!I77</x:f>
        <x:v>1</x:v>
      </x:c>
      <x:c r="E152" s="60" t="str">
        <x:f>'Detalle'!F77</x:f>
        <x:v>Completado</x:v>
      </x:c>
      <x:c r="F152" s="32" t="str">
        <x:f>IF(AND(F$8&lt;='Detalle'!$H77,F$9&gt;='Detalle'!$G77),1,"")</x:f>
      </x:c>
      <x:c r="G152" s="32" t="n">
        <x:f>IF(AND(G$8&lt;='Detalle'!$H77,G$9&gt;='Detalle'!$G77),1,"")</x:f>
        <x:v>1</x:v>
      </x:c>
      <x:c r="H152" s="32" t="str">
        <x:f>IF(AND(H$8&lt;='Detalle'!$H77,H$9&gt;='Detalle'!$G77),1,"")</x:f>
      </x:c>
      <x:c r="I152" s="32" t="str">
        <x:f>IF(AND(I$8&lt;='Detalle'!$H77,I$9&gt;='Detalle'!$G77),1,"")</x:f>
      </x:c>
      <x:c r="J152" s="32" t="str">
        <x:f>IF(AND(J$8&lt;='Detalle'!$H77,J$9&gt;='Detalle'!$G77),1,"")</x:f>
      </x:c>
      <x:c r="K152" s="32" t="str">
        <x:f>IF(AND(K$8&lt;='Detalle'!$H77,K$9&gt;='Detalle'!$G77),1,"")</x:f>
      </x:c>
      <x:c r="L152" s="32" t="str">
        <x:f>IF(AND(L$8&lt;='Detalle'!$H77,L$9&gt;='Detalle'!$G77),1,"")</x:f>
      </x:c>
      <x:c r="M152" s="32" t="str">
        <x:f>IF(AND(M$8&lt;='Detalle'!$H77,M$9&gt;='Detalle'!$G77),1,"")</x:f>
      </x:c>
      <x:c r="N152" s="32" t="str">
        <x:f>IF(AND(N$8&lt;='Detalle'!$H77,N$9&gt;='Detalle'!$G77),1,"")</x:f>
      </x:c>
      <x:c r="O152" s="32" t="str">
        <x:f>IF(AND(O$8&lt;='Detalle'!$H77,O$9&gt;='Detalle'!$G77),1,"")</x:f>
      </x:c>
      <x:c r="P152" s="32" t="str">
        <x:f>IF(AND(P$8&lt;='Detalle'!$H77,P$9&gt;='Detalle'!$G77),1,"")</x:f>
      </x:c>
      <x:c r="Q152" s="68"/>
      <x:c r="R152" s="67" t="str">
        <x:f>IF('Detalle'!M77="","",'Detalle'!M77)</x:f>
      </x:c>
      <x:c r="S152" s="67" t="str">
        <x:f>IF('Detalle'!N77="","",'Detalle'!N77)</x:f>
      </x:c>
    </x:row>
    <x:row r="153" ht="16" customHeight="1">
      <x:c r="A153" s="56" t="str">
        <x:v>MVP03.004</x:v>
      </x:c>
      <x:c r="B153" s="57" t="str">
        <x:v>Validar formato de correo</x:v>
      </x:c>
      <x:c r="C153" s="63" t="str">
        <x:v>R</x:v>
      </x:c>
      <x:c r="D153" s="65" t="str">
        <x:f>IF('Detalle'!L77="","",'Detalle'!L77)</x:f>
      </x:c>
      <x:c r="E153" s="60" t="str"/>
      <x:c r="F153" s="32" t="str">
        <x:f>IF(OR('Detalle'!$J77="",'Detalle'!$K77="",'Detalle'!$L77=""),"",IF(AND(F$8&lt;='Detalle'!$K77,F$9&gt;='Detalle'!$J77),1,""))</x:f>
      </x:c>
      <x:c r="G153" s="32" t="str">
        <x:f>IF(OR('Detalle'!$J77="",'Detalle'!$K77="",'Detalle'!$L77=""),"",IF(AND(G$8&lt;='Detalle'!$K77,G$9&gt;='Detalle'!$J77),1,""))</x:f>
      </x:c>
      <x:c r="H153" s="32" t="str">
        <x:f>IF(OR('Detalle'!$J77="",'Detalle'!$K77="",'Detalle'!$L77=""),"",IF(AND(H$8&lt;='Detalle'!$K77,H$9&gt;='Detalle'!$J77),1,""))</x:f>
      </x:c>
      <x:c r="I153" s="32" t="str">
        <x:f>IF(OR('Detalle'!$J77="",'Detalle'!$K77="",'Detalle'!$L77=""),"",IF(AND(I$8&lt;='Detalle'!$K77,I$9&gt;='Detalle'!$J77),1,""))</x:f>
      </x:c>
      <x:c r="J153" s="32" t="str">
        <x:f>IF(OR('Detalle'!$J77="",'Detalle'!$K77="",'Detalle'!$L77=""),"",IF(AND(J$8&lt;='Detalle'!$K77,J$9&gt;='Detalle'!$J77),1,""))</x:f>
      </x:c>
      <x:c r="K153" s="32" t="str">
        <x:f>IF(OR('Detalle'!$J77="",'Detalle'!$K77="",'Detalle'!$L77=""),"",IF(AND(K$8&lt;='Detalle'!$K77,K$9&gt;='Detalle'!$J77),1,""))</x:f>
      </x:c>
      <x:c r="L153" s="32" t="str">
        <x:f>IF(OR('Detalle'!$J77="",'Detalle'!$K77="",'Detalle'!$L77=""),"",IF(AND(L$8&lt;='Detalle'!$K77,L$9&gt;='Detalle'!$J77),1,""))</x:f>
      </x:c>
      <x:c r="M153" s="32" t="str">
        <x:f>IF(OR('Detalle'!$J77="",'Detalle'!$K77="",'Detalle'!$L77=""),"",IF(AND(M$8&lt;='Detalle'!$K77,M$9&gt;='Detalle'!$J77),1,""))</x:f>
      </x:c>
      <x:c r="N153" s="32" t="str">
        <x:f>IF(OR('Detalle'!$J77="",'Detalle'!$K77="",'Detalle'!$L77=""),"",IF(AND(N$8&lt;='Detalle'!$K77,N$9&gt;='Detalle'!$J77),1,""))</x:f>
      </x:c>
      <x:c r="O153" s="32" t="str">
        <x:f>IF(OR('Detalle'!$J77="",'Detalle'!$K77="",'Detalle'!$L77=""),"",IF(AND(O$8&lt;='Detalle'!$K77,O$9&gt;='Detalle'!$J77),1,""))</x:f>
      </x:c>
      <x:c r="P153" s="32" t="str">
        <x:f>IF(OR('Detalle'!$J77="",'Detalle'!$K77="",'Detalle'!$L77=""),"",IF(AND(P$8&lt;='Detalle'!$K77,P$9&gt;='Detalle'!$J77),1,""))</x:f>
      </x:c>
      <x:c r="Q153" s="68"/>
      <x:c r="R153" s="67" t="str"/>
      <x:c r="S153" s="67" t="str"/>
    </x:row>
    <x:row r="154" ht="16" customHeight="1">
      <x:c r="A154" s="56" t="str">
        <x:v>MVP03.005</x:v>
      </x:c>
      <x:c r="B154" s="57" t="str">
        <x:v>Validar contraseña mínima</x:v>
      </x:c>
      <x:c r="C154" s="62" t="str">
        <x:v>E</x:v>
      </x:c>
      <x:c r="D154" s="64" t="n">
        <x:f>'Detalle'!I78</x:f>
        <x:v>1</x:v>
      </x:c>
      <x:c r="E154" s="60" t="str">
        <x:f>'Detalle'!F78</x:f>
        <x:v>Completado</x:v>
      </x:c>
      <x:c r="F154" s="32" t="str">
        <x:f>IF(AND(F$8&lt;='Detalle'!$H78,F$9&gt;='Detalle'!$G78),1,"")</x:f>
      </x:c>
      <x:c r="G154" s="32" t="n">
        <x:f>IF(AND(G$8&lt;='Detalle'!$H78,G$9&gt;='Detalle'!$G78),1,"")</x:f>
        <x:v>1</x:v>
      </x:c>
      <x:c r="H154" s="32" t="str">
        <x:f>IF(AND(H$8&lt;='Detalle'!$H78,H$9&gt;='Detalle'!$G78),1,"")</x:f>
      </x:c>
      <x:c r="I154" s="32" t="str">
        <x:f>IF(AND(I$8&lt;='Detalle'!$H78,I$9&gt;='Detalle'!$G78),1,"")</x:f>
      </x:c>
      <x:c r="J154" s="32" t="str">
        <x:f>IF(AND(J$8&lt;='Detalle'!$H78,J$9&gt;='Detalle'!$G78),1,"")</x:f>
      </x:c>
      <x:c r="K154" s="32" t="str">
        <x:f>IF(AND(K$8&lt;='Detalle'!$H78,K$9&gt;='Detalle'!$G78),1,"")</x:f>
      </x:c>
      <x:c r="L154" s="32" t="str">
        <x:f>IF(AND(L$8&lt;='Detalle'!$H78,L$9&gt;='Detalle'!$G78),1,"")</x:f>
      </x:c>
      <x:c r="M154" s="32" t="str">
        <x:f>IF(AND(M$8&lt;='Detalle'!$H78,M$9&gt;='Detalle'!$G78),1,"")</x:f>
      </x:c>
      <x:c r="N154" s="32" t="str">
        <x:f>IF(AND(N$8&lt;='Detalle'!$H78,N$9&gt;='Detalle'!$G78),1,"")</x:f>
      </x:c>
      <x:c r="O154" s="32" t="str">
        <x:f>IF(AND(O$8&lt;='Detalle'!$H78,O$9&gt;='Detalle'!$G78),1,"")</x:f>
      </x:c>
      <x:c r="P154" s="32" t="str">
        <x:f>IF(AND(P$8&lt;='Detalle'!$H78,P$9&gt;='Detalle'!$G78),1,"")</x:f>
      </x:c>
      <x:c r="Q154" s="68"/>
      <x:c r="R154" s="67" t="str">
        <x:f>IF('Detalle'!M78="","",'Detalle'!M78)</x:f>
      </x:c>
      <x:c r="S154" s="67" t="str">
        <x:f>IF('Detalle'!N78="","",'Detalle'!N78)</x:f>
      </x:c>
    </x:row>
    <x:row r="155" ht="16" customHeight="1">
      <x:c r="A155" s="56" t="str">
        <x:v>MVP03.005</x:v>
      </x:c>
      <x:c r="B155" s="57" t="str">
        <x:v>Validar contraseña mínima</x:v>
      </x:c>
      <x:c r="C155" s="63" t="str">
        <x:v>R</x:v>
      </x:c>
      <x:c r="D155" s="65" t="str">
        <x:f>IF('Detalle'!L78="","",'Detalle'!L78)</x:f>
      </x:c>
      <x:c r="E155" s="60" t="str"/>
      <x:c r="F155" s="32" t="str">
        <x:f>IF(OR('Detalle'!$J78="",'Detalle'!$K78="",'Detalle'!$L78=""),"",IF(AND(F$8&lt;='Detalle'!$K78,F$9&gt;='Detalle'!$J78),1,""))</x:f>
      </x:c>
      <x:c r="G155" s="32" t="str">
        <x:f>IF(OR('Detalle'!$J78="",'Detalle'!$K78="",'Detalle'!$L78=""),"",IF(AND(G$8&lt;='Detalle'!$K78,G$9&gt;='Detalle'!$J78),1,""))</x:f>
      </x:c>
      <x:c r="H155" s="32" t="str">
        <x:f>IF(OR('Detalle'!$J78="",'Detalle'!$K78="",'Detalle'!$L78=""),"",IF(AND(H$8&lt;='Detalle'!$K78,H$9&gt;='Detalle'!$J78),1,""))</x:f>
      </x:c>
      <x:c r="I155" s="32" t="str">
        <x:f>IF(OR('Detalle'!$J78="",'Detalle'!$K78="",'Detalle'!$L78=""),"",IF(AND(I$8&lt;='Detalle'!$K78,I$9&gt;='Detalle'!$J78),1,""))</x:f>
      </x:c>
      <x:c r="J155" s="32" t="str">
        <x:f>IF(OR('Detalle'!$J78="",'Detalle'!$K78="",'Detalle'!$L78=""),"",IF(AND(J$8&lt;='Detalle'!$K78,J$9&gt;='Detalle'!$J78),1,""))</x:f>
      </x:c>
      <x:c r="K155" s="32" t="str">
        <x:f>IF(OR('Detalle'!$J78="",'Detalle'!$K78="",'Detalle'!$L78=""),"",IF(AND(K$8&lt;='Detalle'!$K78,K$9&gt;='Detalle'!$J78),1,""))</x:f>
      </x:c>
      <x:c r="L155" s="32" t="str">
        <x:f>IF(OR('Detalle'!$J78="",'Detalle'!$K78="",'Detalle'!$L78=""),"",IF(AND(L$8&lt;='Detalle'!$K78,L$9&gt;='Detalle'!$J78),1,""))</x:f>
      </x:c>
      <x:c r="M155" s="32" t="str">
        <x:f>IF(OR('Detalle'!$J78="",'Detalle'!$K78="",'Detalle'!$L78=""),"",IF(AND(M$8&lt;='Detalle'!$K78,M$9&gt;='Detalle'!$J78),1,""))</x:f>
      </x:c>
      <x:c r="N155" s="32" t="str">
        <x:f>IF(OR('Detalle'!$J78="",'Detalle'!$K78="",'Detalle'!$L78=""),"",IF(AND(N$8&lt;='Detalle'!$K78,N$9&gt;='Detalle'!$J78),1,""))</x:f>
      </x:c>
      <x:c r="O155" s="32" t="str">
        <x:f>IF(OR('Detalle'!$J78="",'Detalle'!$K78="",'Detalle'!$L78=""),"",IF(AND(O$8&lt;='Detalle'!$K78,O$9&gt;='Detalle'!$J78),1,""))</x:f>
      </x:c>
      <x:c r="P155" s="32" t="str">
        <x:f>IF(OR('Detalle'!$J78="",'Detalle'!$K78="",'Detalle'!$L78=""),"",IF(AND(P$8&lt;='Detalle'!$K78,P$9&gt;='Detalle'!$J78),1,""))</x:f>
      </x:c>
      <x:c r="Q155" s="68"/>
      <x:c r="R155" s="67" t="str"/>
      <x:c r="S155" s="67" t="str"/>
    </x:row>
    <x:row r="156" ht="16" customHeight="1">
      <x:c r="A156" s="56" t="str">
        <x:v>MVP03.006</x:v>
      </x:c>
      <x:c r="B156" s="57" t="str">
        <x:v>Consultar disponibilidad del username</x:v>
      </x:c>
      <x:c r="C156" s="62" t="str">
        <x:v>E</x:v>
      </x:c>
      <x:c r="D156" s="64" t="n">
        <x:f>'Detalle'!I79</x:f>
        <x:v>1</x:v>
      </x:c>
      <x:c r="E156" s="60" t="str">
        <x:f>'Detalle'!F79</x:f>
        <x:v>Completado</x:v>
      </x:c>
      <x:c r="F156" s="32" t="str">
        <x:f>IF(AND(F$8&lt;='Detalle'!$H79,F$9&gt;='Detalle'!$G79),1,"")</x:f>
      </x:c>
      <x:c r="G156" s="32" t="n">
        <x:f>IF(AND(G$8&lt;='Detalle'!$H79,G$9&gt;='Detalle'!$G79),1,"")</x:f>
        <x:v>1</x:v>
      </x:c>
      <x:c r="H156" s="32" t="str">
        <x:f>IF(AND(H$8&lt;='Detalle'!$H79,H$9&gt;='Detalle'!$G79),1,"")</x:f>
      </x:c>
      <x:c r="I156" s="32" t="str">
        <x:f>IF(AND(I$8&lt;='Detalle'!$H79,I$9&gt;='Detalle'!$G79),1,"")</x:f>
      </x:c>
      <x:c r="J156" s="32" t="str">
        <x:f>IF(AND(J$8&lt;='Detalle'!$H79,J$9&gt;='Detalle'!$G79),1,"")</x:f>
      </x:c>
      <x:c r="K156" s="32" t="str">
        <x:f>IF(AND(K$8&lt;='Detalle'!$H79,K$9&gt;='Detalle'!$G79),1,"")</x:f>
      </x:c>
      <x:c r="L156" s="32" t="str">
        <x:f>IF(AND(L$8&lt;='Detalle'!$H79,L$9&gt;='Detalle'!$G79),1,"")</x:f>
      </x:c>
      <x:c r="M156" s="32" t="str">
        <x:f>IF(AND(M$8&lt;='Detalle'!$H79,M$9&gt;='Detalle'!$G79),1,"")</x:f>
      </x:c>
      <x:c r="N156" s="32" t="str">
        <x:f>IF(AND(N$8&lt;='Detalle'!$H79,N$9&gt;='Detalle'!$G79),1,"")</x:f>
      </x:c>
      <x:c r="O156" s="32" t="str">
        <x:f>IF(AND(O$8&lt;='Detalle'!$H79,O$9&gt;='Detalle'!$G79),1,"")</x:f>
      </x:c>
      <x:c r="P156" s="32" t="str">
        <x:f>IF(AND(P$8&lt;='Detalle'!$H79,P$9&gt;='Detalle'!$G79),1,"")</x:f>
      </x:c>
      <x:c r="Q156" s="68"/>
      <x:c r="R156" s="67" t="str">
        <x:f>IF('Detalle'!M79="","",'Detalle'!M79)</x:f>
      </x:c>
      <x:c r="S156" s="67" t="str">
        <x:f>IF('Detalle'!N79="","",'Detalle'!N79)</x:f>
      </x:c>
    </x:row>
    <x:row r="157" ht="16" customHeight="1">
      <x:c r="A157" s="56" t="str">
        <x:v>MVP03.006</x:v>
      </x:c>
      <x:c r="B157" s="57" t="str">
        <x:v>Consultar disponibilidad del username</x:v>
      </x:c>
      <x:c r="C157" s="63" t="str">
        <x:v>R</x:v>
      </x:c>
      <x:c r="D157" s="65" t="str">
        <x:f>IF('Detalle'!L79="","",'Detalle'!L79)</x:f>
      </x:c>
      <x:c r="E157" s="60" t="str"/>
      <x:c r="F157" s="32" t="str">
        <x:f>IF(OR('Detalle'!$J79="",'Detalle'!$K79="",'Detalle'!$L79=""),"",IF(AND(F$8&lt;='Detalle'!$K79,F$9&gt;='Detalle'!$J79),1,""))</x:f>
      </x:c>
      <x:c r="G157" s="32" t="str">
        <x:f>IF(OR('Detalle'!$J79="",'Detalle'!$K79="",'Detalle'!$L79=""),"",IF(AND(G$8&lt;='Detalle'!$K79,G$9&gt;='Detalle'!$J79),1,""))</x:f>
      </x:c>
      <x:c r="H157" s="32" t="str">
        <x:f>IF(OR('Detalle'!$J79="",'Detalle'!$K79="",'Detalle'!$L79=""),"",IF(AND(H$8&lt;='Detalle'!$K79,H$9&gt;='Detalle'!$J79),1,""))</x:f>
      </x:c>
      <x:c r="I157" s="32" t="str">
        <x:f>IF(OR('Detalle'!$J79="",'Detalle'!$K79="",'Detalle'!$L79=""),"",IF(AND(I$8&lt;='Detalle'!$K79,I$9&gt;='Detalle'!$J79),1,""))</x:f>
      </x:c>
      <x:c r="J157" s="32" t="str">
        <x:f>IF(OR('Detalle'!$J79="",'Detalle'!$K79="",'Detalle'!$L79=""),"",IF(AND(J$8&lt;='Detalle'!$K79,J$9&gt;='Detalle'!$J79),1,""))</x:f>
      </x:c>
      <x:c r="K157" s="32" t="str">
        <x:f>IF(OR('Detalle'!$J79="",'Detalle'!$K79="",'Detalle'!$L79=""),"",IF(AND(K$8&lt;='Detalle'!$K79,K$9&gt;='Detalle'!$J79),1,""))</x:f>
      </x:c>
      <x:c r="L157" s="32" t="str">
        <x:f>IF(OR('Detalle'!$J79="",'Detalle'!$K79="",'Detalle'!$L79=""),"",IF(AND(L$8&lt;='Detalle'!$K79,L$9&gt;='Detalle'!$J79),1,""))</x:f>
      </x:c>
      <x:c r="M157" s="32" t="str">
        <x:f>IF(OR('Detalle'!$J79="",'Detalle'!$K79="",'Detalle'!$L79=""),"",IF(AND(M$8&lt;='Detalle'!$K79,M$9&gt;='Detalle'!$J79),1,""))</x:f>
      </x:c>
      <x:c r="N157" s="32" t="str">
        <x:f>IF(OR('Detalle'!$J79="",'Detalle'!$K79="",'Detalle'!$L79=""),"",IF(AND(N$8&lt;='Detalle'!$K79,N$9&gt;='Detalle'!$J79),1,""))</x:f>
      </x:c>
      <x:c r="O157" s="32" t="str">
        <x:f>IF(OR('Detalle'!$J79="",'Detalle'!$K79="",'Detalle'!$L79=""),"",IF(AND(O$8&lt;='Detalle'!$K79,O$9&gt;='Detalle'!$J79),1,""))</x:f>
      </x:c>
      <x:c r="P157" s="32" t="str">
        <x:f>IF(OR('Detalle'!$J79="",'Detalle'!$K79="",'Detalle'!$L79=""),"",IF(AND(P$8&lt;='Detalle'!$K79,P$9&gt;='Detalle'!$J79),1,""))</x:f>
      </x:c>
      <x:c r="Q157" s="68"/>
      <x:c r="R157" s="67" t="str"/>
      <x:c r="S157" s="67" t="str"/>
    </x:row>
    <x:row r="158" ht="16" customHeight="1">
      <x:c r="A158" s="56" t="str">
        <x:v>MVP03.007</x:v>
      </x:c>
      <x:c r="B158" s="57" t="str">
        <x:v>Registrar usuario en Supabase Auth</x:v>
      </x:c>
      <x:c r="C158" s="62" t="str">
        <x:v>E</x:v>
      </x:c>
      <x:c r="D158" s="64" t="n">
        <x:f>'Detalle'!I80</x:f>
        <x:v>1</x:v>
      </x:c>
      <x:c r="E158" s="60" t="str">
        <x:f>'Detalle'!F80</x:f>
        <x:v>Completado</x:v>
      </x:c>
      <x:c r="F158" s="32" t="str">
        <x:f>IF(AND(F$8&lt;='Detalle'!$H80,F$9&gt;='Detalle'!$G80),1,"")</x:f>
      </x:c>
      <x:c r="G158" s="32" t="n">
        <x:f>IF(AND(G$8&lt;='Detalle'!$H80,G$9&gt;='Detalle'!$G80),1,"")</x:f>
        <x:v>1</x:v>
      </x:c>
      <x:c r="H158" s="32" t="str">
        <x:f>IF(AND(H$8&lt;='Detalle'!$H80,H$9&gt;='Detalle'!$G80),1,"")</x:f>
      </x:c>
      <x:c r="I158" s="32" t="str">
        <x:f>IF(AND(I$8&lt;='Detalle'!$H80,I$9&gt;='Detalle'!$G80),1,"")</x:f>
      </x:c>
      <x:c r="J158" s="32" t="str">
        <x:f>IF(AND(J$8&lt;='Detalle'!$H80,J$9&gt;='Detalle'!$G80),1,"")</x:f>
      </x:c>
      <x:c r="K158" s="32" t="str">
        <x:f>IF(AND(K$8&lt;='Detalle'!$H80,K$9&gt;='Detalle'!$G80),1,"")</x:f>
      </x:c>
      <x:c r="L158" s="32" t="str">
        <x:f>IF(AND(L$8&lt;='Detalle'!$H80,L$9&gt;='Detalle'!$G80),1,"")</x:f>
      </x:c>
      <x:c r="M158" s="32" t="str">
        <x:f>IF(AND(M$8&lt;='Detalle'!$H80,M$9&gt;='Detalle'!$G80),1,"")</x:f>
      </x:c>
      <x:c r="N158" s="32" t="str">
        <x:f>IF(AND(N$8&lt;='Detalle'!$H80,N$9&gt;='Detalle'!$G80),1,"")</x:f>
      </x:c>
      <x:c r="O158" s="32" t="str">
        <x:f>IF(AND(O$8&lt;='Detalle'!$H80,O$9&gt;='Detalle'!$G80),1,"")</x:f>
      </x:c>
      <x:c r="P158" s="32" t="str">
        <x:f>IF(AND(P$8&lt;='Detalle'!$H80,P$9&gt;='Detalle'!$G80),1,"")</x:f>
      </x:c>
      <x:c r="Q158" s="68"/>
      <x:c r="R158" s="67" t="str">
        <x:f>IF('Detalle'!M80="","",'Detalle'!M80)</x:f>
      </x:c>
      <x:c r="S158" s="67" t="str">
        <x:f>IF('Detalle'!N80="","",'Detalle'!N80)</x:f>
      </x:c>
    </x:row>
    <x:row r="159" ht="16" customHeight="1">
      <x:c r="A159" s="56" t="str">
        <x:v>MVP03.007</x:v>
      </x:c>
      <x:c r="B159" s="57" t="str">
        <x:v>Registrar usuario en Supabase Auth</x:v>
      </x:c>
      <x:c r="C159" s="63" t="str">
        <x:v>R</x:v>
      </x:c>
      <x:c r="D159" s="65" t="str">
        <x:f>IF('Detalle'!L80="","",'Detalle'!L80)</x:f>
      </x:c>
      <x:c r="E159" s="60" t="str"/>
      <x:c r="F159" s="32" t="str">
        <x:f>IF(OR('Detalle'!$J80="",'Detalle'!$K80="",'Detalle'!$L80=""),"",IF(AND(F$8&lt;='Detalle'!$K80,F$9&gt;='Detalle'!$J80),1,""))</x:f>
      </x:c>
      <x:c r="G159" s="32" t="str">
        <x:f>IF(OR('Detalle'!$J80="",'Detalle'!$K80="",'Detalle'!$L80=""),"",IF(AND(G$8&lt;='Detalle'!$K80,G$9&gt;='Detalle'!$J80),1,""))</x:f>
      </x:c>
      <x:c r="H159" s="32" t="str">
        <x:f>IF(OR('Detalle'!$J80="",'Detalle'!$K80="",'Detalle'!$L80=""),"",IF(AND(H$8&lt;='Detalle'!$K80,H$9&gt;='Detalle'!$J80),1,""))</x:f>
      </x:c>
      <x:c r="I159" s="32" t="str">
        <x:f>IF(OR('Detalle'!$J80="",'Detalle'!$K80="",'Detalle'!$L80=""),"",IF(AND(I$8&lt;='Detalle'!$K80,I$9&gt;='Detalle'!$J80),1,""))</x:f>
      </x:c>
      <x:c r="J159" s="32" t="str">
        <x:f>IF(OR('Detalle'!$J80="",'Detalle'!$K80="",'Detalle'!$L80=""),"",IF(AND(J$8&lt;='Detalle'!$K80,J$9&gt;='Detalle'!$J80),1,""))</x:f>
      </x:c>
      <x:c r="K159" s="32" t="str">
        <x:f>IF(OR('Detalle'!$J80="",'Detalle'!$K80="",'Detalle'!$L80=""),"",IF(AND(K$8&lt;='Detalle'!$K80,K$9&gt;='Detalle'!$J80),1,""))</x:f>
      </x:c>
      <x:c r="L159" s="32" t="str">
        <x:f>IF(OR('Detalle'!$J80="",'Detalle'!$K80="",'Detalle'!$L80=""),"",IF(AND(L$8&lt;='Detalle'!$K80,L$9&gt;='Detalle'!$J80),1,""))</x:f>
      </x:c>
      <x:c r="M159" s="32" t="str">
        <x:f>IF(OR('Detalle'!$J80="",'Detalle'!$K80="",'Detalle'!$L80=""),"",IF(AND(M$8&lt;='Detalle'!$K80,M$9&gt;='Detalle'!$J80),1,""))</x:f>
      </x:c>
      <x:c r="N159" s="32" t="str">
        <x:f>IF(OR('Detalle'!$J80="",'Detalle'!$K80="",'Detalle'!$L80=""),"",IF(AND(N$8&lt;='Detalle'!$K80,N$9&gt;='Detalle'!$J80),1,""))</x:f>
      </x:c>
      <x:c r="O159" s="32" t="str">
        <x:f>IF(OR('Detalle'!$J80="",'Detalle'!$K80="",'Detalle'!$L80=""),"",IF(AND(O$8&lt;='Detalle'!$K80,O$9&gt;='Detalle'!$J80),1,""))</x:f>
      </x:c>
      <x:c r="P159" s="32" t="str">
        <x:f>IF(OR('Detalle'!$J80="",'Detalle'!$K80="",'Detalle'!$L80=""),"",IF(AND(P$8&lt;='Detalle'!$K80,P$9&gt;='Detalle'!$J80),1,""))</x:f>
      </x:c>
      <x:c r="Q159" s="68"/>
      <x:c r="R159" s="67" t="str"/>
      <x:c r="S159" s="67" t="str"/>
    </x:row>
    <x:row r="160" ht="16" customHeight="1">
      <x:c r="A160" s="56" t="str">
        <x:v>MVP03.008</x:v>
      </x:c>
      <x:c r="B160" s="57" t="str">
        <x:v>Mostrar instrucción de confirmación de correo</x:v>
      </x:c>
      <x:c r="C160" s="62" t="str">
        <x:v>E</x:v>
      </x:c>
      <x:c r="D160" s="64" t="n">
        <x:f>'Detalle'!I81</x:f>
        <x:v>1</x:v>
      </x:c>
      <x:c r="E160" s="60" t="str">
        <x:f>'Detalle'!F81</x:f>
        <x:v>Completado</x:v>
      </x:c>
      <x:c r="F160" s="32" t="str">
        <x:f>IF(AND(F$8&lt;='Detalle'!$H81,F$9&gt;='Detalle'!$G81),1,"")</x:f>
      </x:c>
      <x:c r="G160" s="32" t="n">
        <x:f>IF(AND(G$8&lt;='Detalle'!$H81,G$9&gt;='Detalle'!$G81),1,"")</x:f>
        <x:v>1</x:v>
      </x:c>
      <x:c r="H160" s="32" t="str">
        <x:f>IF(AND(H$8&lt;='Detalle'!$H81,H$9&gt;='Detalle'!$G81),1,"")</x:f>
      </x:c>
      <x:c r="I160" s="32" t="str">
        <x:f>IF(AND(I$8&lt;='Detalle'!$H81,I$9&gt;='Detalle'!$G81),1,"")</x:f>
      </x:c>
      <x:c r="J160" s="32" t="str">
        <x:f>IF(AND(J$8&lt;='Detalle'!$H81,J$9&gt;='Detalle'!$G81),1,"")</x:f>
      </x:c>
      <x:c r="K160" s="32" t="str">
        <x:f>IF(AND(K$8&lt;='Detalle'!$H81,K$9&gt;='Detalle'!$G81),1,"")</x:f>
      </x:c>
      <x:c r="L160" s="32" t="str">
        <x:f>IF(AND(L$8&lt;='Detalle'!$H81,L$9&gt;='Detalle'!$G81),1,"")</x:f>
      </x:c>
      <x:c r="M160" s="32" t="str">
        <x:f>IF(AND(M$8&lt;='Detalle'!$H81,M$9&gt;='Detalle'!$G81),1,"")</x:f>
      </x:c>
      <x:c r="N160" s="32" t="str">
        <x:f>IF(AND(N$8&lt;='Detalle'!$H81,N$9&gt;='Detalle'!$G81),1,"")</x:f>
      </x:c>
      <x:c r="O160" s="32" t="str">
        <x:f>IF(AND(O$8&lt;='Detalle'!$H81,O$9&gt;='Detalle'!$G81),1,"")</x:f>
      </x:c>
      <x:c r="P160" s="32" t="str">
        <x:f>IF(AND(P$8&lt;='Detalle'!$H81,P$9&gt;='Detalle'!$G81),1,"")</x:f>
      </x:c>
      <x:c r="Q160" s="68"/>
      <x:c r="R160" s="67" t="str">
        <x:f>IF('Detalle'!M81="","",'Detalle'!M81)</x:f>
      </x:c>
      <x:c r="S160" s="67" t="str">
        <x:f>IF('Detalle'!N81="","",'Detalle'!N81)</x:f>
      </x:c>
    </x:row>
    <x:row r="161" ht="16" customHeight="1">
      <x:c r="A161" s="56" t="str">
        <x:v>MVP03.008</x:v>
      </x:c>
      <x:c r="B161" s="57" t="str">
        <x:v>Mostrar instrucción de confirmación de correo</x:v>
      </x:c>
      <x:c r="C161" s="63" t="str">
        <x:v>R</x:v>
      </x:c>
      <x:c r="D161" s="65" t="str">
        <x:f>IF('Detalle'!L81="","",'Detalle'!L81)</x:f>
      </x:c>
      <x:c r="E161" s="60" t="str"/>
      <x:c r="F161" s="32" t="str">
        <x:f>IF(OR('Detalle'!$J81="",'Detalle'!$K81="",'Detalle'!$L81=""),"",IF(AND(F$8&lt;='Detalle'!$K81,F$9&gt;='Detalle'!$J81),1,""))</x:f>
      </x:c>
      <x:c r="G161" s="32" t="str">
        <x:f>IF(OR('Detalle'!$J81="",'Detalle'!$K81="",'Detalle'!$L81=""),"",IF(AND(G$8&lt;='Detalle'!$K81,G$9&gt;='Detalle'!$J81),1,""))</x:f>
      </x:c>
      <x:c r="H161" s="32" t="str">
        <x:f>IF(OR('Detalle'!$J81="",'Detalle'!$K81="",'Detalle'!$L81=""),"",IF(AND(H$8&lt;='Detalle'!$K81,H$9&gt;='Detalle'!$J81),1,""))</x:f>
      </x:c>
      <x:c r="I161" s="32" t="str">
        <x:f>IF(OR('Detalle'!$J81="",'Detalle'!$K81="",'Detalle'!$L81=""),"",IF(AND(I$8&lt;='Detalle'!$K81,I$9&gt;='Detalle'!$J81),1,""))</x:f>
      </x:c>
      <x:c r="J161" s="32" t="str">
        <x:f>IF(OR('Detalle'!$J81="",'Detalle'!$K81="",'Detalle'!$L81=""),"",IF(AND(J$8&lt;='Detalle'!$K81,J$9&gt;='Detalle'!$J81),1,""))</x:f>
      </x:c>
      <x:c r="K161" s="32" t="str">
        <x:f>IF(OR('Detalle'!$J81="",'Detalle'!$K81="",'Detalle'!$L81=""),"",IF(AND(K$8&lt;='Detalle'!$K81,K$9&gt;='Detalle'!$J81),1,""))</x:f>
      </x:c>
      <x:c r="L161" s="32" t="str">
        <x:f>IF(OR('Detalle'!$J81="",'Detalle'!$K81="",'Detalle'!$L81=""),"",IF(AND(L$8&lt;='Detalle'!$K81,L$9&gt;='Detalle'!$J81),1,""))</x:f>
      </x:c>
      <x:c r="M161" s="32" t="str">
        <x:f>IF(OR('Detalle'!$J81="",'Detalle'!$K81="",'Detalle'!$L81=""),"",IF(AND(M$8&lt;='Detalle'!$K81,M$9&gt;='Detalle'!$J81),1,""))</x:f>
      </x:c>
      <x:c r="N161" s="32" t="str">
        <x:f>IF(OR('Detalle'!$J81="",'Detalle'!$K81="",'Detalle'!$L81=""),"",IF(AND(N$8&lt;='Detalle'!$K81,N$9&gt;='Detalle'!$J81),1,""))</x:f>
      </x:c>
      <x:c r="O161" s="32" t="str">
        <x:f>IF(OR('Detalle'!$J81="",'Detalle'!$K81="",'Detalle'!$L81=""),"",IF(AND(O$8&lt;='Detalle'!$K81,O$9&gt;='Detalle'!$J81),1,""))</x:f>
      </x:c>
      <x:c r="P161" s="32" t="str">
        <x:f>IF(OR('Detalle'!$J81="",'Detalle'!$K81="",'Detalle'!$L81=""),"",IF(AND(P$8&lt;='Detalle'!$K81,P$9&gt;='Detalle'!$J81),1,""))</x:f>
      </x:c>
      <x:c r="Q161" s="68"/>
      <x:c r="R161" s="67" t="str"/>
      <x:c r="S161" s="67" t="str"/>
    </x:row>
    <x:row r="162" ht="16" customHeight="1">
      <x:c r="A162" s="56" t="str">
        <x:v>MVP03.009</x:v>
      </x:c>
      <x:c r="B162" s="57" t="str">
        <x:v>Crear formulario de inicio de sesión</x:v>
      </x:c>
      <x:c r="C162" s="62" t="str">
        <x:v>E</x:v>
      </x:c>
      <x:c r="D162" s="64" t="n">
        <x:f>'Detalle'!I82</x:f>
        <x:v>1</x:v>
      </x:c>
      <x:c r="E162" s="60" t="str">
        <x:f>'Detalle'!F82</x:f>
        <x:v>Completado</x:v>
      </x:c>
      <x:c r="F162" s="32" t="str">
        <x:f>IF(AND(F$8&lt;='Detalle'!$H82,F$9&gt;='Detalle'!$G82),1,"")</x:f>
      </x:c>
      <x:c r="G162" s="32" t="n">
        <x:f>IF(AND(G$8&lt;='Detalle'!$H82,G$9&gt;='Detalle'!$G82),1,"")</x:f>
        <x:v>1</x:v>
      </x:c>
      <x:c r="H162" s="32" t="str">
        <x:f>IF(AND(H$8&lt;='Detalle'!$H82,H$9&gt;='Detalle'!$G82),1,"")</x:f>
      </x:c>
      <x:c r="I162" s="32" t="str">
        <x:f>IF(AND(I$8&lt;='Detalle'!$H82,I$9&gt;='Detalle'!$G82),1,"")</x:f>
      </x:c>
      <x:c r="J162" s="32" t="str">
        <x:f>IF(AND(J$8&lt;='Detalle'!$H82,J$9&gt;='Detalle'!$G82),1,"")</x:f>
      </x:c>
      <x:c r="K162" s="32" t="str">
        <x:f>IF(AND(K$8&lt;='Detalle'!$H82,K$9&gt;='Detalle'!$G82),1,"")</x:f>
      </x:c>
      <x:c r="L162" s="32" t="str">
        <x:f>IF(AND(L$8&lt;='Detalle'!$H82,L$9&gt;='Detalle'!$G82),1,"")</x:f>
      </x:c>
      <x:c r="M162" s="32" t="str">
        <x:f>IF(AND(M$8&lt;='Detalle'!$H82,M$9&gt;='Detalle'!$G82),1,"")</x:f>
      </x:c>
      <x:c r="N162" s="32" t="str">
        <x:f>IF(AND(N$8&lt;='Detalle'!$H82,N$9&gt;='Detalle'!$G82),1,"")</x:f>
      </x:c>
      <x:c r="O162" s="32" t="str">
        <x:f>IF(AND(O$8&lt;='Detalle'!$H82,O$9&gt;='Detalle'!$G82),1,"")</x:f>
      </x:c>
      <x:c r="P162" s="32" t="str">
        <x:f>IF(AND(P$8&lt;='Detalle'!$H82,P$9&gt;='Detalle'!$G82),1,"")</x:f>
      </x:c>
      <x:c r="Q162" s="68"/>
      <x:c r="R162" s="67" t="str">
        <x:f>IF('Detalle'!M82="","",'Detalle'!M82)</x:f>
      </x:c>
      <x:c r="S162" s="67" t="str">
        <x:f>IF('Detalle'!N82="","",'Detalle'!N82)</x:f>
      </x:c>
    </x:row>
    <x:row r="163" ht="16" customHeight="1">
      <x:c r="A163" s="56" t="str">
        <x:v>MVP03.009</x:v>
      </x:c>
      <x:c r="B163" s="57" t="str">
        <x:v>Crear formulario de inicio de sesión</x:v>
      </x:c>
      <x:c r="C163" s="63" t="str">
        <x:v>R</x:v>
      </x:c>
      <x:c r="D163" s="65" t="str">
        <x:f>IF('Detalle'!L82="","",'Detalle'!L82)</x:f>
      </x:c>
      <x:c r="E163" s="60" t="str"/>
      <x:c r="F163" s="32" t="str">
        <x:f>IF(OR('Detalle'!$J82="",'Detalle'!$K82="",'Detalle'!$L82=""),"",IF(AND(F$8&lt;='Detalle'!$K82,F$9&gt;='Detalle'!$J82),1,""))</x:f>
      </x:c>
      <x:c r="G163" s="32" t="str">
        <x:f>IF(OR('Detalle'!$J82="",'Detalle'!$K82="",'Detalle'!$L82=""),"",IF(AND(G$8&lt;='Detalle'!$K82,G$9&gt;='Detalle'!$J82),1,""))</x:f>
      </x:c>
      <x:c r="H163" s="32" t="str">
        <x:f>IF(OR('Detalle'!$J82="",'Detalle'!$K82="",'Detalle'!$L82=""),"",IF(AND(H$8&lt;='Detalle'!$K82,H$9&gt;='Detalle'!$J82),1,""))</x:f>
      </x:c>
      <x:c r="I163" s="32" t="str">
        <x:f>IF(OR('Detalle'!$J82="",'Detalle'!$K82="",'Detalle'!$L82=""),"",IF(AND(I$8&lt;='Detalle'!$K82,I$9&gt;='Detalle'!$J82),1,""))</x:f>
      </x:c>
      <x:c r="J163" s="32" t="str">
        <x:f>IF(OR('Detalle'!$J82="",'Detalle'!$K82="",'Detalle'!$L82=""),"",IF(AND(J$8&lt;='Detalle'!$K82,J$9&gt;='Detalle'!$J82),1,""))</x:f>
      </x:c>
      <x:c r="K163" s="32" t="str">
        <x:f>IF(OR('Detalle'!$J82="",'Detalle'!$K82="",'Detalle'!$L82=""),"",IF(AND(K$8&lt;='Detalle'!$K82,K$9&gt;='Detalle'!$J82),1,""))</x:f>
      </x:c>
      <x:c r="L163" s="32" t="str">
        <x:f>IF(OR('Detalle'!$J82="",'Detalle'!$K82="",'Detalle'!$L82=""),"",IF(AND(L$8&lt;='Detalle'!$K82,L$9&gt;='Detalle'!$J82),1,""))</x:f>
      </x:c>
      <x:c r="M163" s="32" t="str">
        <x:f>IF(OR('Detalle'!$J82="",'Detalle'!$K82="",'Detalle'!$L82=""),"",IF(AND(M$8&lt;='Detalle'!$K82,M$9&gt;='Detalle'!$J82),1,""))</x:f>
      </x:c>
      <x:c r="N163" s="32" t="str">
        <x:f>IF(OR('Detalle'!$J82="",'Detalle'!$K82="",'Detalle'!$L82=""),"",IF(AND(N$8&lt;='Detalle'!$K82,N$9&gt;='Detalle'!$J82),1,""))</x:f>
      </x:c>
      <x:c r="O163" s="32" t="str">
        <x:f>IF(OR('Detalle'!$J82="",'Detalle'!$K82="",'Detalle'!$L82=""),"",IF(AND(O$8&lt;='Detalle'!$K82,O$9&gt;='Detalle'!$J82),1,""))</x:f>
      </x:c>
      <x:c r="P163" s="32" t="str">
        <x:f>IF(OR('Detalle'!$J82="",'Detalle'!$K82="",'Detalle'!$L82=""),"",IF(AND(P$8&lt;='Detalle'!$K82,P$9&gt;='Detalle'!$J82),1,""))</x:f>
      </x:c>
      <x:c r="Q163" s="68"/>
      <x:c r="R163" s="67" t="str"/>
      <x:c r="S163" s="67" t="str"/>
    </x:row>
    <x:row r="164" ht="16" customHeight="1">
      <x:c r="A164" s="56" t="str">
        <x:v>MVP03.010</x:v>
      </x:c>
      <x:c r="B164" s="57" t="str">
        <x:v>Mostrar fallos de autenticación</x:v>
      </x:c>
      <x:c r="C164" s="62" t="str">
        <x:v>E</x:v>
      </x:c>
      <x:c r="D164" s="64" t="n">
        <x:f>'Detalle'!I83</x:f>
        <x:v>1</x:v>
      </x:c>
      <x:c r="E164" s="60" t="str">
        <x:f>'Detalle'!F83</x:f>
        <x:v>Completado</x:v>
      </x:c>
      <x:c r="F164" s="32" t="str">
        <x:f>IF(AND(F$8&lt;='Detalle'!$H83,F$9&gt;='Detalle'!$G83),1,"")</x:f>
      </x:c>
      <x:c r="G164" s="32" t="n">
        <x:f>IF(AND(G$8&lt;='Detalle'!$H83,G$9&gt;='Detalle'!$G83),1,"")</x:f>
        <x:v>1</x:v>
      </x:c>
      <x:c r="H164" s="32" t="str">
        <x:f>IF(AND(H$8&lt;='Detalle'!$H83,H$9&gt;='Detalle'!$G83),1,"")</x:f>
      </x:c>
      <x:c r="I164" s="32" t="str">
        <x:f>IF(AND(I$8&lt;='Detalle'!$H83,I$9&gt;='Detalle'!$G83),1,"")</x:f>
      </x:c>
      <x:c r="J164" s="32" t="str">
        <x:f>IF(AND(J$8&lt;='Detalle'!$H83,J$9&gt;='Detalle'!$G83),1,"")</x:f>
      </x:c>
      <x:c r="K164" s="32" t="str">
        <x:f>IF(AND(K$8&lt;='Detalle'!$H83,K$9&gt;='Detalle'!$G83),1,"")</x:f>
      </x:c>
      <x:c r="L164" s="32" t="str">
        <x:f>IF(AND(L$8&lt;='Detalle'!$H83,L$9&gt;='Detalle'!$G83),1,"")</x:f>
      </x:c>
      <x:c r="M164" s="32" t="str">
        <x:f>IF(AND(M$8&lt;='Detalle'!$H83,M$9&gt;='Detalle'!$G83),1,"")</x:f>
      </x:c>
      <x:c r="N164" s="32" t="str">
        <x:f>IF(AND(N$8&lt;='Detalle'!$H83,N$9&gt;='Detalle'!$G83),1,"")</x:f>
      </x:c>
      <x:c r="O164" s="32" t="str">
        <x:f>IF(AND(O$8&lt;='Detalle'!$H83,O$9&gt;='Detalle'!$G83),1,"")</x:f>
      </x:c>
      <x:c r="P164" s="32" t="str">
        <x:f>IF(AND(P$8&lt;='Detalle'!$H83,P$9&gt;='Detalle'!$G83),1,"")</x:f>
      </x:c>
      <x:c r="Q164" s="68"/>
      <x:c r="R164" s="67" t="str">
        <x:f>IF('Detalle'!M83="","",'Detalle'!M83)</x:f>
      </x:c>
      <x:c r="S164" s="67" t="str">
        <x:f>IF('Detalle'!N83="","",'Detalle'!N83)</x:f>
      </x:c>
    </x:row>
    <x:row r="165" ht="16" customHeight="1">
      <x:c r="A165" s="56" t="str">
        <x:v>MVP03.010</x:v>
      </x:c>
      <x:c r="B165" s="57" t="str">
        <x:v>Mostrar fallos de autenticación</x:v>
      </x:c>
      <x:c r="C165" s="63" t="str">
        <x:v>R</x:v>
      </x:c>
      <x:c r="D165" s="65" t="str">
        <x:f>IF('Detalle'!L83="","",'Detalle'!L83)</x:f>
      </x:c>
      <x:c r="E165" s="60" t="str"/>
      <x:c r="F165" s="32" t="str">
        <x:f>IF(OR('Detalle'!$J83="",'Detalle'!$K83="",'Detalle'!$L83=""),"",IF(AND(F$8&lt;='Detalle'!$K83,F$9&gt;='Detalle'!$J83),1,""))</x:f>
      </x:c>
      <x:c r="G165" s="32" t="str">
        <x:f>IF(OR('Detalle'!$J83="",'Detalle'!$K83="",'Detalle'!$L83=""),"",IF(AND(G$8&lt;='Detalle'!$K83,G$9&gt;='Detalle'!$J83),1,""))</x:f>
      </x:c>
      <x:c r="H165" s="32" t="str">
        <x:f>IF(OR('Detalle'!$J83="",'Detalle'!$K83="",'Detalle'!$L83=""),"",IF(AND(H$8&lt;='Detalle'!$K83,H$9&gt;='Detalle'!$J83),1,""))</x:f>
      </x:c>
      <x:c r="I165" s="32" t="str">
        <x:f>IF(OR('Detalle'!$J83="",'Detalle'!$K83="",'Detalle'!$L83=""),"",IF(AND(I$8&lt;='Detalle'!$K83,I$9&gt;='Detalle'!$J83),1,""))</x:f>
      </x:c>
      <x:c r="J165" s="32" t="str">
        <x:f>IF(OR('Detalle'!$J83="",'Detalle'!$K83="",'Detalle'!$L83=""),"",IF(AND(J$8&lt;='Detalle'!$K83,J$9&gt;='Detalle'!$J83),1,""))</x:f>
      </x:c>
      <x:c r="K165" s="32" t="str">
        <x:f>IF(OR('Detalle'!$J83="",'Detalle'!$K83="",'Detalle'!$L83=""),"",IF(AND(K$8&lt;='Detalle'!$K83,K$9&gt;='Detalle'!$J83),1,""))</x:f>
      </x:c>
      <x:c r="L165" s="32" t="str">
        <x:f>IF(OR('Detalle'!$J83="",'Detalle'!$K83="",'Detalle'!$L83=""),"",IF(AND(L$8&lt;='Detalle'!$K83,L$9&gt;='Detalle'!$J83),1,""))</x:f>
      </x:c>
      <x:c r="M165" s="32" t="str">
        <x:f>IF(OR('Detalle'!$J83="",'Detalle'!$K83="",'Detalle'!$L83=""),"",IF(AND(M$8&lt;='Detalle'!$K83,M$9&gt;='Detalle'!$J83),1,""))</x:f>
      </x:c>
      <x:c r="N165" s="32" t="str">
        <x:f>IF(OR('Detalle'!$J83="",'Detalle'!$K83="",'Detalle'!$L83=""),"",IF(AND(N$8&lt;='Detalle'!$K83,N$9&gt;='Detalle'!$J83),1,""))</x:f>
      </x:c>
      <x:c r="O165" s="32" t="str">
        <x:f>IF(OR('Detalle'!$J83="",'Detalle'!$K83="",'Detalle'!$L83=""),"",IF(AND(O$8&lt;='Detalle'!$K83,O$9&gt;='Detalle'!$J83),1,""))</x:f>
      </x:c>
      <x:c r="P165" s="32" t="str">
        <x:f>IF(OR('Detalle'!$J83="",'Detalle'!$K83="",'Detalle'!$L83=""),"",IF(AND(P$8&lt;='Detalle'!$K83,P$9&gt;='Detalle'!$J83),1,""))</x:f>
      </x:c>
      <x:c r="Q165" s="68"/>
      <x:c r="R165" s="67" t="str"/>
      <x:c r="S165" s="67" t="str"/>
    </x:row>
    <x:row r="166" ht="16" customHeight="1">
      <x:c r="A166" s="56" t="str">
        <x:v>MVP03.011</x:v>
      </x:c>
      <x:c r="B166" s="57" t="str">
        <x:v>Persistir sesión entre aperturas</x:v>
      </x:c>
      <x:c r="C166" s="62" t="str">
        <x:v>E</x:v>
      </x:c>
      <x:c r="D166" s="64" t="n">
        <x:f>'Detalle'!I84</x:f>
        <x:v>1</x:v>
      </x:c>
      <x:c r="E166" s="60" t="str">
        <x:f>'Detalle'!F84</x:f>
        <x:v>Completado</x:v>
      </x:c>
      <x:c r="F166" s="32" t="str">
        <x:f>IF(AND(F$8&lt;='Detalle'!$H84,F$9&gt;='Detalle'!$G84),1,"")</x:f>
      </x:c>
      <x:c r="G166" s="32" t="n">
        <x:f>IF(AND(G$8&lt;='Detalle'!$H84,G$9&gt;='Detalle'!$G84),1,"")</x:f>
        <x:v>1</x:v>
      </x:c>
      <x:c r="H166" s="32" t="str">
        <x:f>IF(AND(H$8&lt;='Detalle'!$H84,H$9&gt;='Detalle'!$G84),1,"")</x:f>
      </x:c>
      <x:c r="I166" s="32" t="str">
        <x:f>IF(AND(I$8&lt;='Detalle'!$H84,I$9&gt;='Detalle'!$G84),1,"")</x:f>
      </x:c>
      <x:c r="J166" s="32" t="str">
        <x:f>IF(AND(J$8&lt;='Detalle'!$H84,J$9&gt;='Detalle'!$G84),1,"")</x:f>
      </x:c>
      <x:c r="K166" s="32" t="str">
        <x:f>IF(AND(K$8&lt;='Detalle'!$H84,K$9&gt;='Detalle'!$G84),1,"")</x:f>
      </x:c>
      <x:c r="L166" s="32" t="str">
        <x:f>IF(AND(L$8&lt;='Detalle'!$H84,L$9&gt;='Detalle'!$G84),1,"")</x:f>
      </x:c>
      <x:c r="M166" s="32" t="str">
        <x:f>IF(AND(M$8&lt;='Detalle'!$H84,M$9&gt;='Detalle'!$G84),1,"")</x:f>
      </x:c>
      <x:c r="N166" s="32" t="str">
        <x:f>IF(AND(N$8&lt;='Detalle'!$H84,N$9&gt;='Detalle'!$G84),1,"")</x:f>
      </x:c>
      <x:c r="O166" s="32" t="str">
        <x:f>IF(AND(O$8&lt;='Detalle'!$H84,O$9&gt;='Detalle'!$G84),1,"")</x:f>
      </x:c>
      <x:c r="P166" s="32" t="str">
        <x:f>IF(AND(P$8&lt;='Detalle'!$H84,P$9&gt;='Detalle'!$G84),1,"")</x:f>
      </x:c>
      <x:c r="Q166" s="68"/>
      <x:c r="R166" s="67" t="str">
        <x:f>IF('Detalle'!M84="","",'Detalle'!M84)</x:f>
      </x:c>
      <x:c r="S166" s="67" t="str">
        <x:f>IF('Detalle'!N84="","",'Detalle'!N84)</x:f>
      </x:c>
    </x:row>
    <x:row r="167" ht="16" customHeight="1">
      <x:c r="A167" s="56" t="str">
        <x:v>MVP03.011</x:v>
      </x:c>
      <x:c r="B167" s="57" t="str">
        <x:v>Persistir sesión entre aperturas</x:v>
      </x:c>
      <x:c r="C167" s="63" t="str">
        <x:v>R</x:v>
      </x:c>
      <x:c r="D167" s="65" t="str">
        <x:f>IF('Detalle'!L84="","",'Detalle'!L84)</x:f>
      </x:c>
      <x:c r="E167" s="60" t="str"/>
      <x:c r="F167" s="32" t="str">
        <x:f>IF(OR('Detalle'!$J84="",'Detalle'!$K84="",'Detalle'!$L84=""),"",IF(AND(F$8&lt;='Detalle'!$K84,F$9&gt;='Detalle'!$J84),1,""))</x:f>
      </x:c>
      <x:c r="G167" s="32" t="str">
        <x:f>IF(OR('Detalle'!$J84="",'Detalle'!$K84="",'Detalle'!$L84=""),"",IF(AND(G$8&lt;='Detalle'!$K84,G$9&gt;='Detalle'!$J84),1,""))</x:f>
      </x:c>
      <x:c r="H167" s="32" t="str">
        <x:f>IF(OR('Detalle'!$J84="",'Detalle'!$K84="",'Detalle'!$L84=""),"",IF(AND(H$8&lt;='Detalle'!$K84,H$9&gt;='Detalle'!$J84),1,""))</x:f>
      </x:c>
      <x:c r="I167" s="32" t="str">
        <x:f>IF(OR('Detalle'!$J84="",'Detalle'!$K84="",'Detalle'!$L84=""),"",IF(AND(I$8&lt;='Detalle'!$K84,I$9&gt;='Detalle'!$J84),1,""))</x:f>
      </x:c>
      <x:c r="J167" s="32" t="str">
        <x:f>IF(OR('Detalle'!$J84="",'Detalle'!$K84="",'Detalle'!$L84=""),"",IF(AND(J$8&lt;='Detalle'!$K84,J$9&gt;='Detalle'!$J84),1,""))</x:f>
      </x:c>
      <x:c r="K167" s="32" t="str">
        <x:f>IF(OR('Detalle'!$J84="",'Detalle'!$K84="",'Detalle'!$L84=""),"",IF(AND(K$8&lt;='Detalle'!$K84,K$9&gt;='Detalle'!$J84),1,""))</x:f>
      </x:c>
      <x:c r="L167" s="32" t="str">
        <x:f>IF(OR('Detalle'!$J84="",'Detalle'!$K84="",'Detalle'!$L84=""),"",IF(AND(L$8&lt;='Detalle'!$K84,L$9&gt;='Detalle'!$J84),1,""))</x:f>
      </x:c>
      <x:c r="M167" s="32" t="str">
        <x:f>IF(OR('Detalle'!$J84="",'Detalle'!$K84="",'Detalle'!$L84=""),"",IF(AND(M$8&lt;='Detalle'!$K84,M$9&gt;='Detalle'!$J84),1,""))</x:f>
      </x:c>
      <x:c r="N167" s="32" t="str">
        <x:f>IF(OR('Detalle'!$J84="",'Detalle'!$K84="",'Detalle'!$L84=""),"",IF(AND(N$8&lt;='Detalle'!$K84,N$9&gt;='Detalle'!$J84),1,""))</x:f>
      </x:c>
      <x:c r="O167" s="32" t="str">
        <x:f>IF(OR('Detalle'!$J84="",'Detalle'!$K84="",'Detalle'!$L84=""),"",IF(AND(O$8&lt;='Detalle'!$K84,O$9&gt;='Detalle'!$J84),1,""))</x:f>
      </x:c>
      <x:c r="P167" s="32" t="str">
        <x:f>IF(OR('Detalle'!$J84="",'Detalle'!$K84="",'Detalle'!$L84=""),"",IF(AND(P$8&lt;='Detalle'!$K84,P$9&gt;='Detalle'!$J84),1,""))</x:f>
      </x:c>
      <x:c r="Q167" s="68"/>
      <x:c r="R167" s="67" t="str"/>
      <x:c r="S167" s="67" t="str"/>
    </x:row>
    <x:row r="168" ht="16" customHeight="1">
      <x:c r="A168" s="56" t="str">
        <x:v>MVP03.012</x:v>
      </x:c>
      <x:c r="B168" s="57" t="str">
        <x:v>Cargar perfil después de autenticar</x:v>
      </x:c>
      <x:c r="C168" s="62" t="str">
        <x:v>E</x:v>
      </x:c>
      <x:c r="D168" s="64" t="n">
        <x:f>'Detalle'!I85</x:f>
        <x:v>1</x:v>
      </x:c>
      <x:c r="E168" s="60" t="str">
        <x:f>'Detalle'!F85</x:f>
        <x:v>Completado</x:v>
      </x:c>
      <x:c r="F168" s="32" t="str">
        <x:f>IF(AND(F$8&lt;='Detalle'!$H85,F$9&gt;='Detalle'!$G85),1,"")</x:f>
      </x:c>
      <x:c r="G168" s="32" t="n">
        <x:f>IF(AND(G$8&lt;='Detalle'!$H85,G$9&gt;='Detalle'!$G85),1,"")</x:f>
        <x:v>1</x:v>
      </x:c>
      <x:c r="H168" s="32" t="str">
        <x:f>IF(AND(H$8&lt;='Detalle'!$H85,H$9&gt;='Detalle'!$G85),1,"")</x:f>
      </x:c>
      <x:c r="I168" s="32" t="str">
        <x:f>IF(AND(I$8&lt;='Detalle'!$H85,I$9&gt;='Detalle'!$G85),1,"")</x:f>
      </x:c>
      <x:c r="J168" s="32" t="str">
        <x:f>IF(AND(J$8&lt;='Detalle'!$H85,J$9&gt;='Detalle'!$G85),1,"")</x:f>
      </x:c>
      <x:c r="K168" s="32" t="str">
        <x:f>IF(AND(K$8&lt;='Detalle'!$H85,K$9&gt;='Detalle'!$G85),1,"")</x:f>
      </x:c>
      <x:c r="L168" s="32" t="str">
        <x:f>IF(AND(L$8&lt;='Detalle'!$H85,L$9&gt;='Detalle'!$G85),1,"")</x:f>
      </x:c>
      <x:c r="M168" s="32" t="str">
        <x:f>IF(AND(M$8&lt;='Detalle'!$H85,M$9&gt;='Detalle'!$G85),1,"")</x:f>
      </x:c>
      <x:c r="N168" s="32" t="str">
        <x:f>IF(AND(N$8&lt;='Detalle'!$H85,N$9&gt;='Detalle'!$G85),1,"")</x:f>
      </x:c>
      <x:c r="O168" s="32" t="str">
        <x:f>IF(AND(O$8&lt;='Detalle'!$H85,O$9&gt;='Detalle'!$G85),1,"")</x:f>
      </x:c>
      <x:c r="P168" s="32" t="str">
        <x:f>IF(AND(P$8&lt;='Detalle'!$H85,P$9&gt;='Detalle'!$G85),1,"")</x:f>
      </x:c>
      <x:c r="Q168" s="68"/>
      <x:c r="R168" s="67" t="str">
        <x:f>IF('Detalle'!M85="","",'Detalle'!M85)</x:f>
      </x:c>
      <x:c r="S168" s="67" t="str">
        <x:f>IF('Detalle'!N85="","",'Detalle'!N85)</x:f>
      </x:c>
    </x:row>
    <x:row r="169" ht="16" customHeight="1">
      <x:c r="A169" s="56" t="str">
        <x:v>MVP03.012</x:v>
      </x:c>
      <x:c r="B169" s="57" t="str">
        <x:v>Cargar perfil después de autenticar</x:v>
      </x:c>
      <x:c r="C169" s="63" t="str">
        <x:v>R</x:v>
      </x:c>
      <x:c r="D169" s="65" t="str">
        <x:f>IF('Detalle'!L85="","",'Detalle'!L85)</x:f>
      </x:c>
      <x:c r="E169" s="60" t="str"/>
      <x:c r="F169" s="32" t="str">
        <x:f>IF(OR('Detalle'!$J85="",'Detalle'!$K85="",'Detalle'!$L85=""),"",IF(AND(F$8&lt;='Detalle'!$K85,F$9&gt;='Detalle'!$J85),1,""))</x:f>
      </x:c>
      <x:c r="G169" s="32" t="str">
        <x:f>IF(OR('Detalle'!$J85="",'Detalle'!$K85="",'Detalle'!$L85=""),"",IF(AND(G$8&lt;='Detalle'!$K85,G$9&gt;='Detalle'!$J85),1,""))</x:f>
      </x:c>
      <x:c r="H169" s="32" t="str">
        <x:f>IF(OR('Detalle'!$J85="",'Detalle'!$K85="",'Detalle'!$L85=""),"",IF(AND(H$8&lt;='Detalle'!$K85,H$9&gt;='Detalle'!$J85),1,""))</x:f>
      </x:c>
      <x:c r="I169" s="32" t="str">
        <x:f>IF(OR('Detalle'!$J85="",'Detalle'!$K85="",'Detalle'!$L85=""),"",IF(AND(I$8&lt;='Detalle'!$K85,I$9&gt;='Detalle'!$J85),1,""))</x:f>
      </x:c>
      <x:c r="J169" s="32" t="str">
        <x:f>IF(OR('Detalle'!$J85="",'Detalle'!$K85="",'Detalle'!$L85=""),"",IF(AND(J$8&lt;='Detalle'!$K85,J$9&gt;='Detalle'!$J85),1,""))</x:f>
      </x:c>
      <x:c r="K169" s="32" t="str">
        <x:f>IF(OR('Detalle'!$J85="",'Detalle'!$K85="",'Detalle'!$L85=""),"",IF(AND(K$8&lt;='Detalle'!$K85,K$9&gt;='Detalle'!$J85),1,""))</x:f>
      </x:c>
      <x:c r="L169" s="32" t="str">
        <x:f>IF(OR('Detalle'!$J85="",'Detalle'!$K85="",'Detalle'!$L85=""),"",IF(AND(L$8&lt;='Detalle'!$K85,L$9&gt;='Detalle'!$J85),1,""))</x:f>
      </x:c>
      <x:c r="M169" s="32" t="str">
        <x:f>IF(OR('Detalle'!$J85="",'Detalle'!$K85="",'Detalle'!$L85=""),"",IF(AND(M$8&lt;='Detalle'!$K85,M$9&gt;='Detalle'!$J85),1,""))</x:f>
      </x:c>
      <x:c r="N169" s="32" t="str">
        <x:f>IF(OR('Detalle'!$J85="",'Detalle'!$K85="",'Detalle'!$L85=""),"",IF(AND(N$8&lt;='Detalle'!$K85,N$9&gt;='Detalle'!$J85),1,""))</x:f>
      </x:c>
      <x:c r="O169" s="32" t="str">
        <x:f>IF(OR('Detalle'!$J85="",'Detalle'!$K85="",'Detalle'!$L85=""),"",IF(AND(O$8&lt;='Detalle'!$K85,O$9&gt;='Detalle'!$J85),1,""))</x:f>
      </x:c>
      <x:c r="P169" s="32" t="str">
        <x:f>IF(OR('Detalle'!$J85="",'Detalle'!$K85="",'Detalle'!$L85=""),"",IF(AND(P$8&lt;='Detalle'!$K85,P$9&gt;='Detalle'!$J85),1,""))</x:f>
      </x:c>
      <x:c r="Q169" s="68"/>
      <x:c r="R169" s="67" t="str"/>
      <x:c r="S169" s="67" t="str"/>
    </x:row>
    <x:row r="170" ht="16" customHeight="1">
      <x:c r="A170" s="56" t="str">
        <x:v>MVP03.013</x:v>
      </x:c>
      <x:c r="B170" s="57" t="str">
        <x:v>Proteger destinos privados</x:v>
      </x:c>
      <x:c r="C170" s="62" t="str">
        <x:v>E</x:v>
      </x:c>
      <x:c r="D170" s="64" t="n">
        <x:f>'Detalle'!I86</x:f>
        <x:v>1</x:v>
      </x:c>
      <x:c r="E170" s="60" t="str">
        <x:f>'Detalle'!F86</x:f>
        <x:v>Completado</x:v>
      </x:c>
      <x:c r="F170" s="32" t="str">
        <x:f>IF(AND(F$8&lt;='Detalle'!$H86,F$9&gt;='Detalle'!$G86),1,"")</x:f>
      </x:c>
      <x:c r="G170" s="32" t="n">
        <x:f>IF(AND(G$8&lt;='Detalle'!$H86,G$9&gt;='Detalle'!$G86),1,"")</x:f>
        <x:v>1</x:v>
      </x:c>
      <x:c r="H170" s="32" t="str">
        <x:f>IF(AND(H$8&lt;='Detalle'!$H86,H$9&gt;='Detalle'!$G86),1,"")</x:f>
      </x:c>
      <x:c r="I170" s="32" t="str">
        <x:f>IF(AND(I$8&lt;='Detalle'!$H86,I$9&gt;='Detalle'!$G86),1,"")</x:f>
      </x:c>
      <x:c r="J170" s="32" t="str">
        <x:f>IF(AND(J$8&lt;='Detalle'!$H86,J$9&gt;='Detalle'!$G86),1,"")</x:f>
      </x:c>
      <x:c r="K170" s="32" t="str">
        <x:f>IF(AND(K$8&lt;='Detalle'!$H86,K$9&gt;='Detalle'!$G86),1,"")</x:f>
      </x:c>
      <x:c r="L170" s="32" t="str">
        <x:f>IF(AND(L$8&lt;='Detalle'!$H86,L$9&gt;='Detalle'!$G86),1,"")</x:f>
      </x:c>
      <x:c r="M170" s="32" t="str">
        <x:f>IF(AND(M$8&lt;='Detalle'!$H86,M$9&gt;='Detalle'!$G86),1,"")</x:f>
      </x:c>
      <x:c r="N170" s="32" t="str">
        <x:f>IF(AND(N$8&lt;='Detalle'!$H86,N$9&gt;='Detalle'!$G86),1,"")</x:f>
      </x:c>
      <x:c r="O170" s="32" t="str">
        <x:f>IF(AND(O$8&lt;='Detalle'!$H86,O$9&gt;='Detalle'!$G86),1,"")</x:f>
      </x:c>
      <x:c r="P170" s="32" t="str">
        <x:f>IF(AND(P$8&lt;='Detalle'!$H86,P$9&gt;='Detalle'!$G86),1,"")</x:f>
      </x:c>
      <x:c r="Q170" s="68"/>
      <x:c r="R170" s="67" t="str">
        <x:f>IF('Detalle'!M86="","",'Detalle'!M86)</x:f>
      </x:c>
      <x:c r="S170" s="67" t="str">
        <x:f>IF('Detalle'!N86="","",'Detalle'!N86)</x:f>
      </x:c>
    </x:row>
    <x:row r="171" ht="16" customHeight="1">
      <x:c r="A171" s="56" t="str">
        <x:v>MVP03.013</x:v>
      </x:c>
      <x:c r="B171" s="57" t="str">
        <x:v>Proteger destinos privados</x:v>
      </x:c>
      <x:c r="C171" s="63" t="str">
        <x:v>R</x:v>
      </x:c>
      <x:c r="D171" s="65" t="str">
        <x:f>IF('Detalle'!L86="","",'Detalle'!L86)</x:f>
      </x:c>
      <x:c r="E171" s="60" t="str"/>
      <x:c r="F171" s="32" t="str">
        <x:f>IF(OR('Detalle'!$J86="",'Detalle'!$K86="",'Detalle'!$L86=""),"",IF(AND(F$8&lt;='Detalle'!$K86,F$9&gt;='Detalle'!$J86),1,""))</x:f>
      </x:c>
      <x:c r="G171" s="32" t="str">
        <x:f>IF(OR('Detalle'!$J86="",'Detalle'!$K86="",'Detalle'!$L86=""),"",IF(AND(G$8&lt;='Detalle'!$K86,G$9&gt;='Detalle'!$J86),1,""))</x:f>
      </x:c>
      <x:c r="H171" s="32" t="str">
        <x:f>IF(OR('Detalle'!$J86="",'Detalle'!$K86="",'Detalle'!$L86=""),"",IF(AND(H$8&lt;='Detalle'!$K86,H$9&gt;='Detalle'!$J86),1,""))</x:f>
      </x:c>
      <x:c r="I171" s="32" t="str">
        <x:f>IF(OR('Detalle'!$J86="",'Detalle'!$K86="",'Detalle'!$L86=""),"",IF(AND(I$8&lt;='Detalle'!$K86,I$9&gt;='Detalle'!$J86),1,""))</x:f>
      </x:c>
      <x:c r="J171" s="32" t="str">
        <x:f>IF(OR('Detalle'!$J86="",'Detalle'!$K86="",'Detalle'!$L86=""),"",IF(AND(J$8&lt;='Detalle'!$K86,J$9&gt;='Detalle'!$J86),1,""))</x:f>
      </x:c>
      <x:c r="K171" s="32" t="str">
        <x:f>IF(OR('Detalle'!$J86="",'Detalle'!$K86="",'Detalle'!$L86=""),"",IF(AND(K$8&lt;='Detalle'!$K86,K$9&gt;='Detalle'!$J86),1,""))</x:f>
      </x:c>
      <x:c r="L171" s="32" t="str">
        <x:f>IF(OR('Detalle'!$J86="",'Detalle'!$K86="",'Detalle'!$L86=""),"",IF(AND(L$8&lt;='Detalle'!$K86,L$9&gt;='Detalle'!$J86),1,""))</x:f>
      </x:c>
      <x:c r="M171" s="32" t="str">
        <x:f>IF(OR('Detalle'!$J86="",'Detalle'!$K86="",'Detalle'!$L86=""),"",IF(AND(M$8&lt;='Detalle'!$K86,M$9&gt;='Detalle'!$J86),1,""))</x:f>
      </x:c>
      <x:c r="N171" s="32" t="str">
        <x:f>IF(OR('Detalle'!$J86="",'Detalle'!$K86="",'Detalle'!$L86=""),"",IF(AND(N$8&lt;='Detalle'!$K86,N$9&gt;='Detalle'!$J86),1,""))</x:f>
      </x:c>
      <x:c r="O171" s="32" t="str">
        <x:f>IF(OR('Detalle'!$J86="",'Detalle'!$K86="",'Detalle'!$L86=""),"",IF(AND(O$8&lt;='Detalle'!$K86,O$9&gt;='Detalle'!$J86),1,""))</x:f>
      </x:c>
      <x:c r="P171" s="32" t="str">
        <x:f>IF(OR('Detalle'!$J86="",'Detalle'!$K86="",'Detalle'!$L86=""),"",IF(AND(P$8&lt;='Detalle'!$K86,P$9&gt;='Detalle'!$J86),1,""))</x:f>
      </x:c>
      <x:c r="Q171" s="68"/>
      <x:c r="R171" s="67" t="str"/>
      <x:c r="S171" s="67" t="str"/>
    </x:row>
    <x:row r="172" ht="16" customHeight="1">
      <x:c r="A172" s="56" t="str">
        <x:v>MVP03.014</x:v>
      </x:c>
      <x:c r="B172" s="57" t="str">
        <x:v>Cerrar sesión desde configuración</x:v>
      </x:c>
      <x:c r="C172" s="62" t="str">
        <x:v>E</x:v>
      </x:c>
      <x:c r="D172" s="64" t="n">
        <x:f>'Detalle'!I87</x:f>
        <x:v>1</x:v>
      </x:c>
      <x:c r="E172" s="60" t="str">
        <x:f>'Detalle'!F87</x:f>
        <x:v>Completado</x:v>
      </x:c>
      <x:c r="F172" s="32" t="str">
        <x:f>IF(AND(F$8&lt;='Detalle'!$H87,F$9&gt;='Detalle'!$G87),1,"")</x:f>
      </x:c>
      <x:c r="G172" s="32" t="n">
        <x:f>IF(AND(G$8&lt;='Detalle'!$H87,G$9&gt;='Detalle'!$G87),1,"")</x:f>
        <x:v>1</x:v>
      </x:c>
      <x:c r="H172" s="32" t="str">
        <x:f>IF(AND(H$8&lt;='Detalle'!$H87,H$9&gt;='Detalle'!$G87),1,"")</x:f>
      </x:c>
      <x:c r="I172" s="32" t="str">
        <x:f>IF(AND(I$8&lt;='Detalle'!$H87,I$9&gt;='Detalle'!$G87),1,"")</x:f>
      </x:c>
      <x:c r="J172" s="32" t="str">
        <x:f>IF(AND(J$8&lt;='Detalle'!$H87,J$9&gt;='Detalle'!$G87),1,"")</x:f>
      </x:c>
      <x:c r="K172" s="32" t="str">
        <x:f>IF(AND(K$8&lt;='Detalle'!$H87,K$9&gt;='Detalle'!$G87),1,"")</x:f>
      </x:c>
      <x:c r="L172" s="32" t="str">
        <x:f>IF(AND(L$8&lt;='Detalle'!$H87,L$9&gt;='Detalle'!$G87),1,"")</x:f>
      </x:c>
      <x:c r="M172" s="32" t="str">
        <x:f>IF(AND(M$8&lt;='Detalle'!$H87,M$9&gt;='Detalle'!$G87),1,"")</x:f>
      </x:c>
      <x:c r="N172" s="32" t="str">
        <x:f>IF(AND(N$8&lt;='Detalle'!$H87,N$9&gt;='Detalle'!$G87),1,"")</x:f>
      </x:c>
      <x:c r="O172" s="32" t="str">
        <x:f>IF(AND(O$8&lt;='Detalle'!$H87,O$9&gt;='Detalle'!$G87),1,"")</x:f>
      </x:c>
      <x:c r="P172" s="32" t="str">
        <x:f>IF(AND(P$8&lt;='Detalle'!$H87,P$9&gt;='Detalle'!$G87),1,"")</x:f>
      </x:c>
      <x:c r="Q172" s="68"/>
      <x:c r="R172" s="67" t="str">
        <x:f>IF('Detalle'!M87="","",'Detalle'!M87)</x:f>
      </x:c>
      <x:c r="S172" s="67" t="str">
        <x:f>IF('Detalle'!N87="","",'Detalle'!N87)</x:f>
      </x:c>
    </x:row>
    <x:row r="173" ht="16" customHeight="1">
      <x:c r="A173" s="56" t="str">
        <x:v>MVP03.014</x:v>
      </x:c>
      <x:c r="B173" s="57" t="str">
        <x:v>Cerrar sesión desde configuración</x:v>
      </x:c>
      <x:c r="C173" s="63" t="str">
        <x:v>R</x:v>
      </x:c>
      <x:c r="D173" s="65" t="str">
        <x:f>IF('Detalle'!L87="","",'Detalle'!L87)</x:f>
      </x:c>
      <x:c r="E173" s="60" t="str"/>
      <x:c r="F173" s="32" t="str">
        <x:f>IF(OR('Detalle'!$J87="",'Detalle'!$K87="",'Detalle'!$L87=""),"",IF(AND(F$8&lt;='Detalle'!$K87,F$9&gt;='Detalle'!$J87),1,""))</x:f>
      </x:c>
      <x:c r="G173" s="32" t="str">
        <x:f>IF(OR('Detalle'!$J87="",'Detalle'!$K87="",'Detalle'!$L87=""),"",IF(AND(G$8&lt;='Detalle'!$K87,G$9&gt;='Detalle'!$J87),1,""))</x:f>
      </x:c>
      <x:c r="H173" s="32" t="str">
        <x:f>IF(OR('Detalle'!$J87="",'Detalle'!$K87="",'Detalle'!$L87=""),"",IF(AND(H$8&lt;='Detalle'!$K87,H$9&gt;='Detalle'!$J87),1,""))</x:f>
      </x:c>
      <x:c r="I173" s="32" t="str">
        <x:f>IF(OR('Detalle'!$J87="",'Detalle'!$K87="",'Detalle'!$L87=""),"",IF(AND(I$8&lt;='Detalle'!$K87,I$9&gt;='Detalle'!$J87),1,""))</x:f>
      </x:c>
      <x:c r="J173" s="32" t="str">
        <x:f>IF(OR('Detalle'!$J87="",'Detalle'!$K87="",'Detalle'!$L87=""),"",IF(AND(J$8&lt;='Detalle'!$K87,J$9&gt;='Detalle'!$J87),1,""))</x:f>
      </x:c>
      <x:c r="K173" s="32" t="str">
        <x:f>IF(OR('Detalle'!$J87="",'Detalle'!$K87="",'Detalle'!$L87=""),"",IF(AND(K$8&lt;='Detalle'!$K87,K$9&gt;='Detalle'!$J87),1,""))</x:f>
      </x:c>
      <x:c r="L173" s="32" t="str">
        <x:f>IF(OR('Detalle'!$J87="",'Detalle'!$K87="",'Detalle'!$L87=""),"",IF(AND(L$8&lt;='Detalle'!$K87,L$9&gt;='Detalle'!$J87),1,""))</x:f>
      </x:c>
      <x:c r="M173" s="32" t="str">
        <x:f>IF(OR('Detalle'!$J87="",'Detalle'!$K87="",'Detalle'!$L87=""),"",IF(AND(M$8&lt;='Detalle'!$K87,M$9&gt;='Detalle'!$J87),1,""))</x:f>
      </x:c>
      <x:c r="N173" s="32" t="str">
        <x:f>IF(OR('Detalle'!$J87="",'Detalle'!$K87="",'Detalle'!$L87=""),"",IF(AND(N$8&lt;='Detalle'!$K87,N$9&gt;='Detalle'!$J87),1,""))</x:f>
      </x:c>
      <x:c r="O173" s="32" t="str">
        <x:f>IF(OR('Detalle'!$J87="",'Detalle'!$K87="",'Detalle'!$L87=""),"",IF(AND(O$8&lt;='Detalle'!$K87,O$9&gt;='Detalle'!$J87),1,""))</x:f>
      </x:c>
      <x:c r="P173" s="32" t="str">
        <x:f>IF(OR('Detalle'!$J87="",'Detalle'!$K87="",'Detalle'!$L87=""),"",IF(AND(P$8&lt;='Detalle'!$K87,P$9&gt;='Detalle'!$J87),1,""))</x:f>
      </x:c>
      <x:c r="Q173" s="68"/>
      <x:c r="R173" s="67" t="str"/>
      <x:c r="S173" s="67" t="str"/>
    </x:row>
    <x:row r="174" ht="16" customHeight="1">
      <x:c r="A174" s="56" t="str">
        <x:v>MVP03.015</x:v>
      </x:c>
      <x:c r="B174" s="57" t="str">
        <x:v>Bloquear envíos repetidos</x:v>
      </x:c>
      <x:c r="C174" s="62" t="str">
        <x:v>E</x:v>
      </x:c>
      <x:c r="D174" s="64" t="n">
        <x:f>'Detalle'!I88</x:f>
        <x:v>1</x:v>
      </x:c>
      <x:c r="E174" s="60" t="str">
        <x:f>'Detalle'!F88</x:f>
        <x:v>Completado</x:v>
      </x:c>
      <x:c r="F174" s="32" t="str">
        <x:f>IF(AND(F$8&lt;='Detalle'!$H88,F$9&gt;='Detalle'!$G88),1,"")</x:f>
      </x:c>
      <x:c r="G174" s="32" t="n">
        <x:f>IF(AND(G$8&lt;='Detalle'!$H88,G$9&gt;='Detalle'!$G88),1,"")</x:f>
        <x:v>1</x:v>
      </x:c>
      <x:c r="H174" s="32" t="str">
        <x:f>IF(AND(H$8&lt;='Detalle'!$H88,H$9&gt;='Detalle'!$G88),1,"")</x:f>
      </x:c>
      <x:c r="I174" s="32" t="str">
        <x:f>IF(AND(I$8&lt;='Detalle'!$H88,I$9&gt;='Detalle'!$G88),1,"")</x:f>
      </x:c>
      <x:c r="J174" s="32" t="str">
        <x:f>IF(AND(J$8&lt;='Detalle'!$H88,J$9&gt;='Detalle'!$G88),1,"")</x:f>
      </x:c>
      <x:c r="K174" s="32" t="str">
        <x:f>IF(AND(K$8&lt;='Detalle'!$H88,K$9&gt;='Detalle'!$G88),1,"")</x:f>
      </x:c>
      <x:c r="L174" s="32" t="str">
        <x:f>IF(AND(L$8&lt;='Detalle'!$H88,L$9&gt;='Detalle'!$G88),1,"")</x:f>
      </x:c>
      <x:c r="M174" s="32" t="str">
        <x:f>IF(AND(M$8&lt;='Detalle'!$H88,M$9&gt;='Detalle'!$G88),1,"")</x:f>
      </x:c>
      <x:c r="N174" s="32" t="str">
        <x:f>IF(AND(N$8&lt;='Detalle'!$H88,N$9&gt;='Detalle'!$G88),1,"")</x:f>
      </x:c>
      <x:c r="O174" s="32" t="str">
        <x:f>IF(AND(O$8&lt;='Detalle'!$H88,O$9&gt;='Detalle'!$G88),1,"")</x:f>
      </x:c>
      <x:c r="P174" s="32" t="str">
        <x:f>IF(AND(P$8&lt;='Detalle'!$H88,P$9&gt;='Detalle'!$G88),1,"")</x:f>
      </x:c>
      <x:c r="Q174" s="68"/>
      <x:c r="R174" s="67" t="str">
        <x:f>IF('Detalle'!M88="","",'Detalle'!M88)</x:f>
      </x:c>
      <x:c r="S174" s="67" t="str">
        <x:f>IF('Detalle'!N88="","",'Detalle'!N88)</x:f>
      </x:c>
    </x:row>
    <x:row r="175" ht="16" customHeight="1">
      <x:c r="A175" s="56" t="str">
        <x:v>MVP03.015</x:v>
      </x:c>
      <x:c r="B175" s="57" t="str">
        <x:v>Bloquear envíos repetidos</x:v>
      </x:c>
      <x:c r="C175" s="63" t="str">
        <x:v>R</x:v>
      </x:c>
      <x:c r="D175" s="65" t="str">
        <x:f>IF('Detalle'!L88="","",'Detalle'!L88)</x:f>
      </x:c>
      <x:c r="E175" s="60" t="str"/>
      <x:c r="F175" s="32" t="str">
        <x:f>IF(OR('Detalle'!$J88="",'Detalle'!$K88="",'Detalle'!$L88=""),"",IF(AND(F$8&lt;='Detalle'!$K88,F$9&gt;='Detalle'!$J88),1,""))</x:f>
      </x:c>
      <x:c r="G175" s="32" t="str">
        <x:f>IF(OR('Detalle'!$J88="",'Detalle'!$K88="",'Detalle'!$L88=""),"",IF(AND(G$8&lt;='Detalle'!$K88,G$9&gt;='Detalle'!$J88),1,""))</x:f>
      </x:c>
      <x:c r="H175" s="32" t="str">
        <x:f>IF(OR('Detalle'!$J88="",'Detalle'!$K88="",'Detalle'!$L88=""),"",IF(AND(H$8&lt;='Detalle'!$K88,H$9&gt;='Detalle'!$J88),1,""))</x:f>
      </x:c>
      <x:c r="I175" s="32" t="str">
        <x:f>IF(OR('Detalle'!$J88="",'Detalle'!$K88="",'Detalle'!$L88=""),"",IF(AND(I$8&lt;='Detalle'!$K88,I$9&gt;='Detalle'!$J88),1,""))</x:f>
      </x:c>
      <x:c r="J175" s="32" t="str">
        <x:f>IF(OR('Detalle'!$J88="",'Detalle'!$K88="",'Detalle'!$L88=""),"",IF(AND(J$8&lt;='Detalle'!$K88,J$9&gt;='Detalle'!$J88),1,""))</x:f>
      </x:c>
      <x:c r="K175" s="32" t="str">
        <x:f>IF(OR('Detalle'!$J88="",'Detalle'!$K88="",'Detalle'!$L88=""),"",IF(AND(K$8&lt;='Detalle'!$K88,K$9&gt;='Detalle'!$J88),1,""))</x:f>
      </x:c>
      <x:c r="L175" s="32" t="str">
        <x:f>IF(OR('Detalle'!$J88="",'Detalle'!$K88="",'Detalle'!$L88=""),"",IF(AND(L$8&lt;='Detalle'!$K88,L$9&gt;='Detalle'!$J88),1,""))</x:f>
      </x:c>
      <x:c r="M175" s="32" t="str">
        <x:f>IF(OR('Detalle'!$J88="",'Detalle'!$K88="",'Detalle'!$L88=""),"",IF(AND(M$8&lt;='Detalle'!$K88,M$9&gt;='Detalle'!$J88),1,""))</x:f>
      </x:c>
      <x:c r="N175" s="32" t="str">
        <x:f>IF(OR('Detalle'!$J88="",'Detalle'!$K88="",'Detalle'!$L88=""),"",IF(AND(N$8&lt;='Detalle'!$K88,N$9&gt;='Detalle'!$J88),1,""))</x:f>
      </x:c>
      <x:c r="O175" s="32" t="str">
        <x:f>IF(OR('Detalle'!$J88="",'Detalle'!$K88="",'Detalle'!$L88=""),"",IF(AND(O$8&lt;='Detalle'!$K88,O$9&gt;='Detalle'!$J88),1,""))</x:f>
      </x:c>
      <x:c r="P175" s="32" t="str">
        <x:f>IF(OR('Detalle'!$J88="",'Detalle'!$K88="",'Detalle'!$L88=""),"",IF(AND(P$8&lt;='Detalle'!$K88,P$9&gt;='Detalle'!$J88),1,""))</x:f>
      </x:c>
      <x:c r="Q175" s="68"/>
      <x:c r="R175" s="67" t="str"/>
      <x:c r="S175" s="67" t="str"/>
    </x:row>
    <x:row r="176" ht="20" customHeight="1">
      <x:c r="A176" s="52" t="str">
        <x:v>MVP04 · Base de datos y cuenta del primer MVP</x:v>
      </x:c>
      <x:c r="B176" s="52" t="str">
        <x:v>MVP04 · Base de datos y cuenta del primer MVP</x:v>
      </x:c>
      <x:c r="C176" s="52" t="str">
        <x:v>MVP04 · Base de datos y cuenta del primer MVP</x:v>
      </x:c>
      <x:c r="D176" s="52" t="str">
        <x:v>MVP04 · Base de datos y cuenta del primer MVP</x:v>
      </x:c>
      <x:c r="E176" s="52" t="str">
        <x:v>MVP04 · Base de datos y cuenta del primer MVP</x:v>
      </x:c>
      <x:c r="F176" s="53" t="str">
        <x:v>MVP04 · Base de datos y cuenta del primer MVP</x:v>
      </x:c>
      <x:c r="G176" s="53" t="str">
        <x:v>MVP04 · Base de datos y cuenta del primer MVP</x:v>
      </x:c>
      <x:c r="H176" s="53" t="str">
        <x:v>MVP04 · Base de datos y cuenta del primer MVP</x:v>
      </x:c>
      <x:c r="I176" s="53" t="str">
        <x:v>MVP04 · Base de datos y cuenta del primer MVP</x:v>
      </x:c>
      <x:c r="J176" s="53" t="str">
        <x:v>MVP04 · Base de datos y cuenta del primer MVP</x:v>
      </x:c>
      <x:c r="K176" s="53" t="str">
        <x:v>MVP04 · Base de datos y cuenta del primer MVP</x:v>
      </x:c>
      <x:c r="L176" s="53" t="str">
        <x:v>MVP04 · Base de datos y cuenta del primer MVP</x:v>
      </x:c>
      <x:c r="M176" s="53" t="str">
        <x:v>MVP04 · Base de datos y cuenta del primer MVP</x:v>
      </x:c>
      <x:c r="N176" s="53" t="str">
        <x:v>MVP04 · Base de datos y cuenta del primer MVP</x:v>
      </x:c>
      <x:c r="O176" s="53" t="str">
        <x:v>MVP04 · Base de datos y cuenta del primer MVP</x:v>
      </x:c>
      <x:c r="P176" s="53" t="str">
        <x:v>MVP04 · Base de datos y cuenta del primer MVP</x:v>
      </x:c>
      <x:c r="Q176" s="52" t="str">
        <x:v>MVP04 · Base de datos y cuenta del primer MVP</x:v>
      </x:c>
      <x:c r="R176" s="52" t="str">
        <x:v>MVP04 · Base de datos y cuenta del primer MVP</x:v>
      </x:c>
      <x:c r="S176" s="52" t="str">
        <x:v>MVP04 · Base de datos y cuenta del primer MVP</x:v>
      </x:c>
    </x:row>
    <x:row r="177" ht="16" customHeight="1">
      <x:c r="A177" s="56" t="str">
        <x:v>MVP04.001</x:v>
      </x:c>
      <x:c r="B177" s="57" t="str">
        <x:v>Crear migración 001 de perfiles</x:v>
      </x:c>
      <x:c r="C177" s="62" t="str">
        <x:v>E</x:v>
      </x:c>
      <x:c r="D177" s="64" t="n">
        <x:f>'Detalle'!I89</x:f>
        <x:v>1</x:v>
      </x:c>
      <x:c r="E177" s="60" t="str">
        <x:f>'Detalle'!F89</x:f>
        <x:v>Completado</x:v>
      </x:c>
      <x:c r="F177" s="32" t="str">
        <x:f>IF(AND(F$8&lt;='Detalle'!$H89,F$9&gt;='Detalle'!$G89),1,"")</x:f>
      </x:c>
      <x:c r="G177" s="32" t="n">
        <x:f>IF(AND(G$8&lt;='Detalle'!$H89,G$9&gt;='Detalle'!$G89),1,"")</x:f>
        <x:v>1</x:v>
      </x:c>
      <x:c r="H177" s="32" t="str">
        <x:f>IF(AND(H$8&lt;='Detalle'!$H89,H$9&gt;='Detalle'!$G89),1,"")</x:f>
      </x:c>
      <x:c r="I177" s="32" t="str">
        <x:f>IF(AND(I$8&lt;='Detalle'!$H89,I$9&gt;='Detalle'!$G89),1,"")</x:f>
      </x:c>
      <x:c r="J177" s="32" t="str">
        <x:f>IF(AND(J$8&lt;='Detalle'!$H89,J$9&gt;='Detalle'!$G89),1,"")</x:f>
      </x:c>
      <x:c r="K177" s="32" t="str">
        <x:f>IF(AND(K$8&lt;='Detalle'!$H89,K$9&gt;='Detalle'!$G89),1,"")</x:f>
      </x:c>
      <x:c r="L177" s="32" t="str">
        <x:f>IF(AND(L$8&lt;='Detalle'!$H89,L$9&gt;='Detalle'!$G89),1,"")</x:f>
      </x:c>
      <x:c r="M177" s="32" t="str">
        <x:f>IF(AND(M$8&lt;='Detalle'!$H89,M$9&gt;='Detalle'!$G89),1,"")</x:f>
      </x:c>
      <x:c r="N177" s="32" t="str">
        <x:f>IF(AND(N$8&lt;='Detalle'!$H89,N$9&gt;='Detalle'!$G89),1,"")</x:f>
      </x:c>
      <x:c r="O177" s="32" t="str">
        <x:f>IF(AND(O$8&lt;='Detalle'!$H89,O$9&gt;='Detalle'!$G89),1,"")</x:f>
      </x:c>
      <x:c r="P177" s="32" t="str">
        <x:f>IF(AND(P$8&lt;='Detalle'!$H89,P$9&gt;='Detalle'!$G89),1,"")</x:f>
      </x:c>
      <x:c r="Q177" s="68"/>
      <x:c r="R177" s="67" t="str">
        <x:f>IF('Detalle'!M89="","",'Detalle'!M89)</x:f>
      </x:c>
      <x:c r="S177" s="67" t="str">
        <x:f>IF('Detalle'!N89="","",'Detalle'!N89)</x:f>
      </x:c>
    </x:row>
    <x:row r="178" ht="16" customHeight="1">
      <x:c r="A178" s="56" t="str">
        <x:v>MVP04.001</x:v>
      </x:c>
      <x:c r="B178" s="57" t="str">
        <x:v>Crear migración 001 de perfiles</x:v>
      </x:c>
      <x:c r="C178" s="63" t="str">
        <x:v>R</x:v>
      </x:c>
      <x:c r="D178" s="65" t="str">
        <x:f>IF('Detalle'!L89="","",'Detalle'!L89)</x:f>
      </x:c>
      <x:c r="E178" s="60" t="str"/>
      <x:c r="F178" s="32" t="str">
        <x:f>IF(OR('Detalle'!$J89="",'Detalle'!$K89="",'Detalle'!$L89=""),"",IF(AND(F$8&lt;='Detalle'!$K89,F$9&gt;='Detalle'!$J89),1,""))</x:f>
      </x:c>
      <x:c r="G178" s="32" t="str">
        <x:f>IF(OR('Detalle'!$J89="",'Detalle'!$K89="",'Detalle'!$L89=""),"",IF(AND(G$8&lt;='Detalle'!$K89,G$9&gt;='Detalle'!$J89),1,""))</x:f>
      </x:c>
      <x:c r="H178" s="32" t="str">
        <x:f>IF(OR('Detalle'!$J89="",'Detalle'!$K89="",'Detalle'!$L89=""),"",IF(AND(H$8&lt;='Detalle'!$K89,H$9&gt;='Detalle'!$J89),1,""))</x:f>
      </x:c>
      <x:c r="I178" s="32" t="str">
        <x:f>IF(OR('Detalle'!$J89="",'Detalle'!$K89="",'Detalle'!$L89=""),"",IF(AND(I$8&lt;='Detalle'!$K89,I$9&gt;='Detalle'!$J89),1,""))</x:f>
      </x:c>
      <x:c r="J178" s="32" t="str">
        <x:f>IF(OR('Detalle'!$J89="",'Detalle'!$K89="",'Detalle'!$L89=""),"",IF(AND(J$8&lt;='Detalle'!$K89,J$9&gt;='Detalle'!$J89),1,""))</x:f>
      </x:c>
      <x:c r="K178" s="32" t="str">
        <x:f>IF(OR('Detalle'!$J89="",'Detalle'!$K89="",'Detalle'!$L89=""),"",IF(AND(K$8&lt;='Detalle'!$K89,K$9&gt;='Detalle'!$J89),1,""))</x:f>
      </x:c>
      <x:c r="L178" s="32" t="str">
        <x:f>IF(OR('Detalle'!$J89="",'Detalle'!$K89="",'Detalle'!$L89=""),"",IF(AND(L$8&lt;='Detalle'!$K89,L$9&gt;='Detalle'!$J89),1,""))</x:f>
      </x:c>
      <x:c r="M178" s="32" t="str">
        <x:f>IF(OR('Detalle'!$J89="",'Detalle'!$K89="",'Detalle'!$L89=""),"",IF(AND(M$8&lt;='Detalle'!$K89,M$9&gt;='Detalle'!$J89),1,""))</x:f>
      </x:c>
      <x:c r="N178" s="32" t="str">
        <x:f>IF(OR('Detalle'!$J89="",'Detalle'!$K89="",'Detalle'!$L89=""),"",IF(AND(N$8&lt;='Detalle'!$K89,N$9&gt;='Detalle'!$J89),1,""))</x:f>
      </x:c>
      <x:c r="O178" s="32" t="str">
        <x:f>IF(OR('Detalle'!$J89="",'Detalle'!$K89="",'Detalle'!$L89=""),"",IF(AND(O$8&lt;='Detalle'!$K89,O$9&gt;='Detalle'!$J89),1,""))</x:f>
      </x:c>
      <x:c r="P178" s="32" t="str">
        <x:f>IF(OR('Detalle'!$J89="",'Detalle'!$K89="",'Detalle'!$L89=""),"",IF(AND(P$8&lt;='Detalle'!$K89,P$9&gt;='Detalle'!$J89),1,""))</x:f>
      </x:c>
      <x:c r="Q178" s="68"/>
      <x:c r="R178" s="67" t="str"/>
      <x:c r="S178" s="67" t="str"/>
    </x:row>
    <x:row r="179" ht="16" customHeight="1">
      <x:c r="A179" s="56" t="str">
        <x:v>MVP04.002</x:v>
      </x:c>
      <x:c r="B179" s="57" t="str">
        <x:v>Crear perfil mediante trigger de Auth</x:v>
      </x:c>
      <x:c r="C179" s="62" t="str">
        <x:v>E</x:v>
      </x:c>
      <x:c r="D179" s="64" t="n">
        <x:f>'Detalle'!I90</x:f>
        <x:v>1</x:v>
      </x:c>
      <x:c r="E179" s="60" t="str">
        <x:f>'Detalle'!F90</x:f>
        <x:v>Completado</x:v>
      </x:c>
      <x:c r="F179" s="32" t="str">
        <x:f>IF(AND(F$8&lt;='Detalle'!$H90,F$9&gt;='Detalle'!$G90),1,"")</x:f>
      </x:c>
      <x:c r="G179" s="32" t="n">
        <x:f>IF(AND(G$8&lt;='Detalle'!$H90,G$9&gt;='Detalle'!$G90),1,"")</x:f>
        <x:v>1</x:v>
      </x:c>
      <x:c r="H179" s="32" t="str">
        <x:f>IF(AND(H$8&lt;='Detalle'!$H90,H$9&gt;='Detalle'!$G90),1,"")</x:f>
      </x:c>
      <x:c r="I179" s="32" t="str">
        <x:f>IF(AND(I$8&lt;='Detalle'!$H90,I$9&gt;='Detalle'!$G90),1,"")</x:f>
      </x:c>
      <x:c r="J179" s="32" t="str">
        <x:f>IF(AND(J$8&lt;='Detalle'!$H90,J$9&gt;='Detalle'!$G90),1,"")</x:f>
      </x:c>
      <x:c r="K179" s="32" t="str">
        <x:f>IF(AND(K$8&lt;='Detalle'!$H90,K$9&gt;='Detalle'!$G90),1,"")</x:f>
      </x:c>
      <x:c r="L179" s="32" t="str">
        <x:f>IF(AND(L$8&lt;='Detalle'!$H90,L$9&gt;='Detalle'!$G90),1,"")</x:f>
      </x:c>
      <x:c r="M179" s="32" t="str">
        <x:f>IF(AND(M$8&lt;='Detalle'!$H90,M$9&gt;='Detalle'!$G90),1,"")</x:f>
      </x:c>
      <x:c r="N179" s="32" t="str">
        <x:f>IF(AND(N$8&lt;='Detalle'!$H90,N$9&gt;='Detalle'!$G90),1,"")</x:f>
      </x:c>
      <x:c r="O179" s="32" t="str">
        <x:f>IF(AND(O$8&lt;='Detalle'!$H90,O$9&gt;='Detalle'!$G90),1,"")</x:f>
      </x:c>
      <x:c r="P179" s="32" t="str">
        <x:f>IF(AND(P$8&lt;='Detalle'!$H90,P$9&gt;='Detalle'!$G90),1,"")</x:f>
      </x:c>
      <x:c r="Q179" s="68"/>
      <x:c r="R179" s="67" t="str">
        <x:f>IF('Detalle'!M90="","",'Detalle'!M90)</x:f>
      </x:c>
      <x:c r="S179" s="67" t="str">
        <x:f>IF('Detalle'!N90="","",'Detalle'!N90)</x:f>
      </x:c>
    </x:row>
    <x:row r="180" ht="16" customHeight="1">
      <x:c r="A180" s="56" t="str">
        <x:v>MVP04.002</x:v>
      </x:c>
      <x:c r="B180" s="57" t="str">
        <x:v>Crear perfil mediante trigger de Auth</x:v>
      </x:c>
      <x:c r="C180" s="63" t="str">
        <x:v>R</x:v>
      </x:c>
      <x:c r="D180" s="65" t="str">
        <x:f>IF('Detalle'!L90="","",'Detalle'!L90)</x:f>
      </x:c>
      <x:c r="E180" s="60" t="str"/>
      <x:c r="F180" s="32" t="str">
        <x:f>IF(OR('Detalle'!$J90="",'Detalle'!$K90="",'Detalle'!$L90=""),"",IF(AND(F$8&lt;='Detalle'!$K90,F$9&gt;='Detalle'!$J90),1,""))</x:f>
      </x:c>
      <x:c r="G180" s="32" t="str">
        <x:f>IF(OR('Detalle'!$J90="",'Detalle'!$K90="",'Detalle'!$L90=""),"",IF(AND(G$8&lt;='Detalle'!$K90,G$9&gt;='Detalle'!$J90),1,""))</x:f>
      </x:c>
      <x:c r="H180" s="32" t="str">
        <x:f>IF(OR('Detalle'!$J90="",'Detalle'!$K90="",'Detalle'!$L90=""),"",IF(AND(H$8&lt;='Detalle'!$K90,H$9&gt;='Detalle'!$J90),1,""))</x:f>
      </x:c>
      <x:c r="I180" s="32" t="str">
        <x:f>IF(OR('Detalle'!$J90="",'Detalle'!$K90="",'Detalle'!$L90=""),"",IF(AND(I$8&lt;='Detalle'!$K90,I$9&gt;='Detalle'!$J90),1,""))</x:f>
      </x:c>
      <x:c r="J180" s="32" t="str">
        <x:f>IF(OR('Detalle'!$J90="",'Detalle'!$K90="",'Detalle'!$L90=""),"",IF(AND(J$8&lt;='Detalle'!$K90,J$9&gt;='Detalle'!$J90),1,""))</x:f>
      </x:c>
      <x:c r="K180" s="32" t="str">
        <x:f>IF(OR('Detalle'!$J90="",'Detalle'!$K90="",'Detalle'!$L90=""),"",IF(AND(K$8&lt;='Detalle'!$K90,K$9&gt;='Detalle'!$J90),1,""))</x:f>
      </x:c>
      <x:c r="L180" s="32" t="str">
        <x:f>IF(OR('Detalle'!$J90="",'Detalle'!$K90="",'Detalle'!$L90=""),"",IF(AND(L$8&lt;='Detalle'!$K90,L$9&gt;='Detalle'!$J90),1,""))</x:f>
      </x:c>
      <x:c r="M180" s="32" t="str">
        <x:f>IF(OR('Detalle'!$J90="",'Detalle'!$K90="",'Detalle'!$L90=""),"",IF(AND(M$8&lt;='Detalle'!$K90,M$9&gt;='Detalle'!$J90),1,""))</x:f>
      </x:c>
      <x:c r="N180" s="32" t="str">
        <x:f>IF(OR('Detalle'!$J90="",'Detalle'!$K90="",'Detalle'!$L90=""),"",IF(AND(N$8&lt;='Detalle'!$K90,N$9&gt;='Detalle'!$J90),1,""))</x:f>
      </x:c>
      <x:c r="O180" s="32" t="str">
        <x:f>IF(OR('Detalle'!$J90="",'Detalle'!$K90="",'Detalle'!$L90=""),"",IF(AND(O$8&lt;='Detalle'!$K90,O$9&gt;='Detalle'!$J90),1,""))</x:f>
      </x:c>
      <x:c r="P180" s="32" t="str">
        <x:f>IF(OR('Detalle'!$J90="",'Detalle'!$K90="",'Detalle'!$L90=""),"",IF(AND(P$8&lt;='Detalle'!$K90,P$9&gt;='Detalle'!$J90),1,""))</x:f>
      </x:c>
      <x:c r="Q180" s="68"/>
      <x:c r="R180" s="67" t="str"/>
      <x:c r="S180" s="67" t="str"/>
    </x:row>
    <x:row r="181" ht="16" customHeight="1">
      <x:c r="A181" s="56" t="str">
        <x:v>MVP04.003</x:v>
      </x:c>
      <x:c r="B181" s="57" t="str">
        <x:v>Habilitar RLS en perfiles</x:v>
      </x:c>
      <x:c r="C181" s="62" t="str">
        <x:v>E</x:v>
      </x:c>
      <x:c r="D181" s="64" t="n">
        <x:f>'Detalle'!I91</x:f>
        <x:v>1</x:v>
      </x:c>
      <x:c r="E181" s="60" t="str">
        <x:f>'Detalle'!F91</x:f>
        <x:v>Completado</x:v>
      </x:c>
      <x:c r="F181" s="32" t="str">
        <x:f>IF(AND(F$8&lt;='Detalle'!$H91,F$9&gt;='Detalle'!$G91),1,"")</x:f>
      </x:c>
      <x:c r="G181" s="32" t="n">
        <x:f>IF(AND(G$8&lt;='Detalle'!$H91,G$9&gt;='Detalle'!$G91),1,"")</x:f>
        <x:v>1</x:v>
      </x:c>
      <x:c r="H181" s="32" t="str">
        <x:f>IF(AND(H$8&lt;='Detalle'!$H91,H$9&gt;='Detalle'!$G91),1,"")</x:f>
      </x:c>
      <x:c r="I181" s="32" t="str">
        <x:f>IF(AND(I$8&lt;='Detalle'!$H91,I$9&gt;='Detalle'!$G91),1,"")</x:f>
      </x:c>
      <x:c r="J181" s="32" t="str">
        <x:f>IF(AND(J$8&lt;='Detalle'!$H91,J$9&gt;='Detalle'!$G91),1,"")</x:f>
      </x:c>
      <x:c r="K181" s="32" t="str">
        <x:f>IF(AND(K$8&lt;='Detalle'!$H91,K$9&gt;='Detalle'!$G91),1,"")</x:f>
      </x:c>
      <x:c r="L181" s="32" t="str">
        <x:f>IF(AND(L$8&lt;='Detalle'!$H91,L$9&gt;='Detalle'!$G91),1,"")</x:f>
      </x:c>
      <x:c r="M181" s="32" t="str">
        <x:f>IF(AND(M$8&lt;='Detalle'!$H91,M$9&gt;='Detalle'!$G91),1,"")</x:f>
      </x:c>
      <x:c r="N181" s="32" t="str">
        <x:f>IF(AND(N$8&lt;='Detalle'!$H91,N$9&gt;='Detalle'!$G91),1,"")</x:f>
      </x:c>
      <x:c r="O181" s="32" t="str">
        <x:f>IF(AND(O$8&lt;='Detalle'!$H91,O$9&gt;='Detalle'!$G91),1,"")</x:f>
      </x:c>
      <x:c r="P181" s="32" t="str">
        <x:f>IF(AND(P$8&lt;='Detalle'!$H91,P$9&gt;='Detalle'!$G91),1,"")</x:f>
      </x:c>
      <x:c r="Q181" s="68"/>
      <x:c r="R181" s="67" t="str">
        <x:f>IF('Detalle'!M91="","",'Detalle'!M91)</x:f>
      </x:c>
      <x:c r="S181" s="67" t="str">
        <x:f>IF('Detalle'!N91="","",'Detalle'!N91)</x:f>
      </x:c>
    </x:row>
    <x:row r="182" ht="16" customHeight="1">
      <x:c r="A182" s="56" t="str">
        <x:v>MVP04.003</x:v>
      </x:c>
      <x:c r="B182" s="57" t="str">
        <x:v>Habilitar RLS en perfiles</x:v>
      </x:c>
      <x:c r="C182" s="63" t="str">
        <x:v>R</x:v>
      </x:c>
      <x:c r="D182" s="65" t="str">
        <x:f>IF('Detalle'!L91="","",'Detalle'!L91)</x:f>
      </x:c>
      <x:c r="E182" s="60" t="str"/>
      <x:c r="F182" s="32" t="str">
        <x:f>IF(OR('Detalle'!$J91="",'Detalle'!$K91="",'Detalle'!$L91=""),"",IF(AND(F$8&lt;='Detalle'!$K91,F$9&gt;='Detalle'!$J91),1,""))</x:f>
      </x:c>
      <x:c r="G182" s="32" t="str">
        <x:f>IF(OR('Detalle'!$J91="",'Detalle'!$K91="",'Detalle'!$L91=""),"",IF(AND(G$8&lt;='Detalle'!$K91,G$9&gt;='Detalle'!$J91),1,""))</x:f>
      </x:c>
      <x:c r="H182" s="32" t="str">
        <x:f>IF(OR('Detalle'!$J91="",'Detalle'!$K91="",'Detalle'!$L91=""),"",IF(AND(H$8&lt;='Detalle'!$K91,H$9&gt;='Detalle'!$J91),1,""))</x:f>
      </x:c>
      <x:c r="I182" s="32" t="str">
        <x:f>IF(OR('Detalle'!$J91="",'Detalle'!$K91="",'Detalle'!$L91=""),"",IF(AND(I$8&lt;='Detalle'!$K91,I$9&gt;='Detalle'!$J91),1,""))</x:f>
      </x:c>
      <x:c r="J182" s="32" t="str">
        <x:f>IF(OR('Detalle'!$J91="",'Detalle'!$K91="",'Detalle'!$L91=""),"",IF(AND(J$8&lt;='Detalle'!$K91,J$9&gt;='Detalle'!$J91),1,""))</x:f>
      </x:c>
      <x:c r="K182" s="32" t="str">
        <x:f>IF(OR('Detalle'!$J91="",'Detalle'!$K91="",'Detalle'!$L91=""),"",IF(AND(K$8&lt;='Detalle'!$K91,K$9&gt;='Detalle'!$J91),1,""))</x:f>
      </x:c>
      <x:c r="L182" s="32" t="str">
        <x:f>IF(OR('Detalle'!$J91="",'Detalle'!$K91="",'Detalle'!$L91=""),"",IF(AND(L$8&lt;='Detalle'!$K91,L$9&gt;='Detalle'!$J91),1,""))</x:f>
      </x:c>
      <x:c r="M182" s="32" t="str">
        <x:f>IF(OR('Detalle'!$J91="",'Detalle'!$K91="",'Detalle'!$L91=""),"",IF(AND(M$8&lt;='Detalle'!$K91,M$9&gt;='Detalle'!$J91),1,""))</x:f>
      </x:c>
      <x:c r="N182" s="32" t="str">
        <x:f>IF(OR('Detalle'!$J91="",'Detalle'!$K91="",'Detalle'!$L91=""),"",IF(AND(N$8&lt;='Detalle'!$K91,N$9&gt;='Detalle'!$J91),1,""))</x:f>
      </x:c>
      <x:c r="O182" s="32" t="str">
        <x:f>IF(OR('Detalle'!$J91="",'Detalle'!$K91="",'Detalle'!$L91=""),"",IF(AND(O$8&lt;='Detalle'!$K91,O$9&gt;='Detalle'!$J91),1,""))</x:f>
      </x:c>
      <x:c r="P182" s="32" t="str">
        <x:f>IF(OR('Detalle'!$J91="",'Detalle'!$K91="",'Detalle'!$L91=""),"",IF(AND(P$8&lt;='Detalle'!$K91,P$9&gt;='Detalle'!$J91),1,""))</x:f>
      </x:c>
      <x:c r="Q182" s="68"/>
      <x:c r="R182" s="67" t="str"/>
      <x:c r="S182" s="67" t="str"/>
    </x:row>
    <x:row r="183" ht="16" customHeight="1">
      <x:c r="A183" s="56" t="str">
        <x:v>MVP04.004</x:v>
      </x:c>
      <x:c r="B183" s="57" t="str">
        <x:v>Proteger rol y timestamps</x:v>
      </x:c>
      <x:c r="C183" s="62" t="str">
        <x:v>E</x:v>
      </x:c>
      <x:c r="D183" s="64" t="n">
        <x:f>'Detalle'!I92</x:f>
        <x:v>1</x:v>
      </x:c>
      <x:c r="E183" s="60" t="str">
        <x:f>'Detalle'!F92</x:f>
        <x:v>Completado</x:v>
      </x:c>
      <x:c r="F183" s="32" t="str">
        <x:f>IF(AND(F$8&lt;='Detalle'!$H92,F$9&gt;='Detalle'!$G92),1,"")</x:f>
      </x:c>
      <x:c r="G183" s="32" t="n">
        <x:f>IF(AND(G$8&lt;='Detalle'!$H92,G$9&gt;='Detalle'!$G92),1,"")</x:f>
        <x:v>1</x:v>
      </x:c>
      <x:c r="H183" s="32" t="str">
        <x:f>IF(AND(H$8&lt;='Detalle'!$H92,H$9&gt;='Detalle'!$G92),1,"")</x:f>
      </x:c>
      <x:c r="I183" s="32" t="str">
        <x:f>IF(AND(I$8&lt;='Detalle'!$H92,I$9&gt;='Detalle'!$G92),1,"")</x:f>
      </x:c>
      <x:c r="J183" s="32" t="str">
        <x:f>IF(AND(J$8&lt;='Detalle'!$H92,J$9&gt;='Detalle'!$G92),1,"")</x:f>
      </x:c>
      <x:c r="K183" s="32" t="str">
        <x:f>IF(AND(K$8&lt;='Detalle'!$H92,K$9&gt;='Detalle'!$G92),1,"")</x:f>
      </x:c>
      <x:c r="L183" s="32" t="str">
        <x:f>IF(AND(L$8&lt;='Detalle'!$H92,L$9&gt;='Detalle'!$G92),1,"")</x:f>
      </x:c>
      <x:c r="M183" s="32" t="str">
        <x:f>IF(AND(M$8&lt;='Detalle'!$H92,M$9&gt;='Detalle'!$G92),1,"")</x:f>
      </x:c>
      <x:c r="N183" s="32" t="str">
        <x:f>IF(AND(N$8&lt;='Detalle'!$H92,N$9&gt;='Detalle'!$G92),1,"")</x:f>
      </x:c>
      <x:c r="O183" s="32" t="str">
        <x:f>IF(AND(O$8&lt;='Detalle'!$H92,O$9&gt;='Detalle'!$G92),1,"")</x:f>
      </x:c>
      <x:c r="P183" s="32" t="str">
        <x:f>IF(AND(P$8&lt;='Detalle'!$H92,P$9&gt;='Detalle'!$G92),1,"")</x:f>
      </x:c>
      <x:c r="Q183" s="68"/>
      <x:c r="R183" s="67" t="str">
        <x:f>IF('Detalle'!M92="","",'Detalle'!M92)</x:f>
      </x:c>
      <x:c r="S183" s="67" t="str">
        <x:f>IF('Detalle'!N92="","",'Detalle'!N92)</x:f>
      </x:c>
    </x:row>
    <x:row r="184" ht="16" customHeight="1">
      <x:c r="A184" s="56" t="str">
        <x:v>MVP04.004</x:v>
      </x:c>
      <x:c r="B184" s="57" t="str">
        <x:v>Proteger rol y timestamps</x:v>
      </x:c>
      <x:c r="C184" s="63" t="str">
        <x:v>R</x:v>
      </x:c>
      <x:c r="D184" s="65" t="str">
        <x:f>IF('Detalle'!L92="","",'Detalle'!L92)</x:f>
      </x:c>
      <x:c r="E184" s="60" t="str"/>
      <x:c r="F184" s="32" t="str">
        <x:f>IF(OR('Detalle'!$J92="",'Detalle'!$K92="",'Detalle'!$L92=""),"",IF(AND(F$8&lt;='Detalle'!$K92,F$9&gt;='Detalle'!$J92),1,""))</x:f>
      </x:c>
      <x:c r="G184" s="32" t="str">
        <x:f>IF(OR('Detalle'!$J92="",'Detalle'!$K92="",'Detalle'!$L92=""),"",IF(AND(G$8&lt;='Detalle'!$K92,G$9&gt;='Detalle'!$J92),1,""))</x:f>
      </x:c>
      <x:c r="H184" s="32" t="str">
        <x:f>IF(OR('Detalle'!$J92="",'Detalle'!$K92="",'Detalle'!$L92=""),"",IF(AND(H$8&lt;='Detalle'!$K92,H$9&gt;='Detalle'!$J92),1,""))</x:f>
      </x:c>
      <x:c r="I184" s="32" t="str">
        <x:f>IF(OR('Detalle'!$J92="",'Detalle'!$K92="",'Detalle'!$L92=""),"",IF(AND(I$8&lt;='Detalle'!$K92,I$9&gt;='Detalle'!$J92),1,""))</x:f>
      </x:c>
      <x:c r="J184" s="32" t="str">
        <x:f>IF(OR('Detalle'!$J92="",'Detalle'!$K92="",'Detalle'!$L92=""),"",IF(AND(J$8&lt;='Detalle'!$K92,J$9&gt;='Detalle'!$J92),1,""))</x:f>
      </x:c>
      <x:c r="K184" s="32" t="str">
        <x:f>IF(OR('Detalle'!$J92="",'Detalle'!$K92="",'Detalle'!$L92=""),"",IF(AND(K$8&lt;='Detalle'!$K92,K$9&gt;='Detalle'!$J92),1,""))</x:f>
      </x:c>
      <x:c r="L184" s="32" t="str">
        <x:f>IF(OR('Detalle'!$J92="",'Detalle'!$K92="",'Detalle'!$L92=""),"",IF(AND(L$8&lt;='Detalle'!$K92,L$9&gt;='Detalle'!$J92),1,""))</x:f>
      </x:c>
      <x:c r="M184" s="32" t="str">
        <x:f>IF(OR('Detalle'!$J92="",'Detalle'!$K92="",'Detalle'!$L92=""),"",IF(AND(M$8&lt;='Detalle'!$K92,M$9&gt;='Detalle'!$J92),1,""))</x:f>
      </x:c>
      <x:c r="N184" s="32" t="str">
        <x:f>IF(OR('Detalle'!$J92="",'Detalle'!$K92="",'Detalle'!$L92=""),"",IF(AND(N$8&lt;='Detalle'!$K92,N$9&gt;='Detalle'!$J92),1,""))</x:f>
      </x:c>
      <x:c r="O184" s="32" t="str">
        <x:f>IF(OR('Detalle'!$J92="",'Detalle'!$K92="",'Detalle'!$L92=""),"",IF(AND(O$8&lt;='Detalle'!$K92,O$9&gt;='Detalle'!$J92),1,""))</x:f>
      </x:c>
      <x:c r="P184" s="32" t="str">
        <x:f>IF(OR('Detalle'!$J92="",'Detalle'!$K92="",'Detalle'!$L92=""),"",IF(AND(P$8&lt;='Detalle'!$K92,P$9&gt;='Detalle'!$J92),1,""))</x:f>
      </x:c>
      <x:c r="Q184" s="68"/>
      <x:c r="R184" s="67" t="str"/>
      <x:c r="S184" s="67" t="str"/>
    </x:row>
    <x:row r="185" ht="16" customHeight="1">
      <x:c r="A185" s="56" t="str">
        <x:v>MVP04.005</x:v>
      </x:c>
      <x:c r="B185" s="57" t="str">
        <x:v>Crear consulta segura de username</x:v>
      </x:c>
      <x:c r="C185" s="62" t="str">
        <x:v>E</x:v>
      </x:c>
      <x:c r="D185" s="64" t="n">
        <x:f>'Detalle'!I93</x:f>
        <x:v>1</x:v>
      </x:c>
      <x:c r="E185" s="60" t="str">
        <x:f>'Detalle'!F93</x:f>
        <x:v>Completado</x:v>
      </x:c>
      <x:c r="F185" s="32" t="str">
        <x:f>IF(AND(F$8&lt;='Detalle'!$H93,F$9&gt;='Detalle'!$G93),1,"")</x:f>
      </x:c>
      <x:c r="G185" s="32" t="n">
        <x:f>IF(AND(G$8&lt;='Detalle'!$H93,G$9&gt;='Detalle'!$G93),1,"")</x:f>
        <x:v>1</x:v>
      </x:c>
      <x:c r="H185" s="32" t="str">
        <x:f>IF(AND(H$8&lt;='Detalle'!$H93,H$9&gt;='Detalle'!$G93),1,"")</x:f>
      </x:c>
      <x:c r="I185" s="32" t="str">
        <x:f>IF(AND(I$8&lt;='Detalle'!$H93,I$9&gt;='Detalle'!$G93),1,"")</x:f>
      </x:c>
      <x:c r="J185" s="32" t="str">
        <x:f>IF(AND(J$8&lt;='Detalle'!$H93,J$9&gt;='Detalle'!$G93),1,"")</x:f>
      </x:c>
      <x:c r="K185" s="32" t="str">
        <x:f>IF(AND(K$8&lt;='Detalle'!$H93,K$9&gt;='Detalle'!$G93),1,"")</x:f>
      </x:c>
      <x:c r="L185" s="32" t="str">
        <x:f>IF(AND(L$8&lt;='Detalle'!$H93,L$9&gt;='Detalle'!$G93),1,"")</x:f>
      </x:c>
      <x:c r="M185" s="32" t="str">
        <x:f>IF(AND(M$8&lt;='Detalle'!$H93,M$9&gt;='Detalle'!$G93),1,"")</x:f>
      </x:c>
      <x:c r="N185" s="32" t="str">
        <x:f>IF(AND(N$8&lt;='Detalle'!$H93,N$9&gt;='Detalle'!$G93),1,"")</x:f>
      </x:c>
      <x:c r="O185" s="32" t="str">
        <x:f>IF(AND(O$8&lt;='Detalle'!$H93,O$9&gt;='Detalle'!$G93),1,"")</x:f>
      </x:c>
      <x:c r="P185" s="32" t="str">
        <x:f>IF(AND(P$8&lt;='Detalle'!$H93,P$9&gt;='Detalle'!$G93),1,"")</x:f>
      </x:c>
      <x:c r="Q185" s="68"/>
      <x:c r="R185" s="67" t="str">
        <x:f>IF('Detalle'!M93="","",'Detalle'!M93)</x:f>
      </x:c>
      <x:c r="S185" s="67" t="str">
        <x:f>IF('Detalle'!N93="","",'Detalle'!N93)</x:f>
      </x:c>
    </x:row>
    <x:row r="186" ht="16" customHeight="1">
      <x:c r="A186" s="56" t="str">
        <x:v>MVP04.005</x:v>
      </x:c>
      <x:c r="B186" s="57" t="str">
        <x:v>Crear consulta segura de username</x:v>
      </x:c>
      <x:c r="C186" s="63" t="str">
        <x:v>R</x:v>
      </x:c>
      <x:c r="D186" s="65" t="str">
        <x:f>IF('Detalle'!L93="","",'Detalle'!L93)</x:f>
      </x:c>
      <x:c r="E186" s="60" t="str"/>
      <x:c r="F186" s="32" t="str">
        <x:f>IF(OR('Detalle'!$J93="",'Detalle'!$K93="",'Detalle'!$L93=""),"",IF(AND(F$8&lt;='Detalle'!$K93,F$9&gt;='Detalle'!$J93),1,""))</x:f>
      </x:c>
      <x:c r="G186" s="32" t="str">
        <x:f>IF(OR('Detalle'!$J93="",'Detalle'!$K93="",'Detalle'!$L93=""),"",IF(AND(G$8&lt;='Detalle'!$K93,G$9&gt;='Detalle'!$J93),1,""))</x:f>
      </x:c>
      <x:c r="H186" s="32" t="str">
        <x:f>IF(OR('Detalle'!$J93="",'Detalle'!$K93="",'Detalle'!$L93=""),"",IF(AND(H$8&lt;='Detalle'!$K93,H$9&gt;='Detalle'!$J93),1,""))</x:f>
      </x:c>
      <x:c r="I186" s="32" t="str">
        <x:f>IF(OR('Detalle'!$J93="",'Detalle'!$K93="",'Detalle'!$L93=""),"",IF(AND(I$8&lt;='Detalle'!$K93,I$9&gt;='Detalle'!$J93),1,""))</x:f>
      </x:c>
      <x:c r="J186" s="32" t="str">
        <x:f>IF(OR('Detalle'!$J93="",'Detalle'!$K93="",'Detalle'!$L93=""),"",IF(AND(J$8&lt;='Detalle'!$K93,J$9&gt;='Detalle'!$J93),1,""))</x:f>
      </x:c>
      <x:c r="K186" s="32" t="str">
        <x:f>IF(OR('Detalle'!$J93="",'Detalle'!$K93="",'Detalle'!$L93=""),"",IF(AND(K$8&lt;='Detalle'!$K93,K$9&gt;='Detalle'!$J93),1,""))</x:f>
      </x:c>
      <x:c r="L186" s="32" t="str">
        <x:f>IF(OR('Detalle'!$J93="",'Detalle'!$K93="",'Detalle'!$L93=""),"",IF(AND(L$8&lt;='Detalle'!$K93,L$9&gt;='Detalle'!$J93),1,""))</x:f>
      </x:c>
      <x:c r="M186" s="32" t="str">
        <x:f>IF(OR('Detalle'!$J93="",'Detalle'!$K93="",'Detalle'!$L93=""),"",IF(AND(M$8&lt;='Detalle'!$K93,M$9&gt;='Detalle'!$J93),1,""))</x:f>
      </x:c>
      <x:c r="N186" s="32" t="str">
        <x:f>IF(OR('Detalle'!$J93="",'Detalle'!$K93="",'Detalle'!$L93=""),"",IF(AND(N$8&lt;='Detalle'!$K93,N$9&gt;='Detalle'!$J93),1,""))</x:f>
      </x:c>
      <x:c r="O186" s="32" t="str">
        <x:f>IF(OR('Detalle'!$J93="",'Detalle'!$K93="",'Detalle'!$L93=""),"",IF(AND(O$8&lt;='Detalle'!$K93,O$9&gt;='Detalle'!$J93),1,""))</x:f>
      </x:c>
      <x:c r="P186" s="32" t="str">
        <x:f>IF(OR('Detalle'!$J93="",'Detalle'!$K93="",'Detalle'!$L93=""),"",IF(AND(P$8&lt;='Detalle'!$K93,P$9&gt;='Detalle'!$J93),1,""))</x:f>
      </x:c>
      <x:c r="Q186" s="68"/>
      <x:c r="R186" s="67" t="str"/>
      <x:c r="S186" s="67" t="str"/>
    </x:row>
    <x:row r="187" ht="16" customHeight="1">
      <x:c r="A187" s="56" t="str">
        <x:v>MVP04.006</x:v>
      </x:c>
      <x:c r="B187" s="57" t="str">
        <x:v>Crear modelo Profile inicial</x:v>
      </x:c>
      <x:c r="C187" s="62" t="str">
        <x:v>E</x:v>
      </x:c>
      <x:c r="D187" s="64" t="n">
        <x:f>'Detalle'!I94</x:f>
        <x:v>1</x:v>
      </x:c>
      <x:c r="E187" s="60" t="str">
        <x:f>'Detalle'!F94</x:f>
        <x:v>Completado</x:v>
      </x:c>
      <x:c r="F187" s="32" t="str">
        <x:f>IF(AND(F$8&lt;='Detalle'!$H94,F$9&gt;='Detalle'!$G94),1,"")</x:f>
      </x:c>
      <x:c r="G187" s="32" t="n">
        <x:f>IF(AND(G$8&lt;='Detalle'!$H94,G$9&gt;='Detalle'!$G94),1,"")</x:f>
        <x:v>1</x:v>
      </x:c>
      <x:c r="H187" s="32" t="str">
        <x:f>IF(AND(H$8&lt;='Detalle'!$H94,H$9&gt;='Detalle'!$G94),1,"")</x:f>
      </x:c>
      <x:c r="I187" s="32" t="str">
        <x:f>IF(AND(I$8&lt;='Detalle'!$H94,I$9&gt;='Detalle'!$G94),1,"")</x:f>
      </x:c>
      <x:c r="J187" s="32" t="str">
        <x:f>IF(AND(J$8&lt;='Detalle'!$H94,J$9&gt;='Detalle'!$G94),1,"")</x:f>
      </x:c>
      <x:c r="K187" s="32" t="str">
        <x:f>IF(AND(K$8&lt;='Detalle'!$H94,K$9&gt;='Detalle'!$G94),1,"")</x:f>
      </x:c>
      <x:c r="L187" s="32" t="str">
        <x:f>IF(AND(L$8&lt;='Detalle'!$H94,L$9&gt;='Detalle'!$G94),1,"")</x:f>
      </x:c>
      <x:c r="M187" s="32" t="str">
        <x:f>IF(AND(M$8&lt;='Detalle'!$H94,M$9&gt;='Detalle'!$G94),1,"")</x:f>
      </x:c>
      <x:c r="N187" s="32" t="str">
        <x:f>IF(AND(N$8&lt;='Detalle'!$H94,N$9&gt;='Detalle'!$G94),1,"")</x:f>
      </x:c>
      <x:c r="O187" s="32" t="str">
        <x:f>IF(AND(O$8&lt;='Detalle'!$H94,O$9&gt;='Detalle'!$G94),1,"")</x:f>
      </x:c>
      <x:c r="P187" s="32" t="str">
        <x:f>IF(AND(P$8&lt;='Detalle'!$H94,P$9&gt;='Detalle'!$G94),1,"")</x:f>
      </x:c>
      <x:c r="Q187" s="68"/>
      <x:c r="R187" s="67" t="str">
        <x:f>IF('Detalle'!M94="","",'Detalle'!M94)</x:f>
      </x:c>
      <x:c r="S187" s="67" t="str">
        <x:f>IF('Detalle'!N94="","",'Detalle'!N94)</x:f>
      </x:c>
    </x:row>
    <x:row r="188" ht="16" customHeight="1">
      <x:c r="A188" s="56" t="str">
        <x:v>MVP04.006</x:v>
      </x:c>
      <x:c r="B188" s="57" t="str">
        <x:v>Crear modelo Profile inicial</x:v>
      </x:c>
      <x:c r="C188" s="63" t="str">
        <x:v>R</x:v>
      </x:c>
      <x:c r="D188" s="65" t="str">
        <x:f>IF('Detalle'!L94="","",'Detalle'!L94)</x:f>
      </x:c>
      <x:c r="E188" s="60" t="str"/>
      <x:c r="F188" s="32" t="str">
        <x:f>IF(OR('Detalle'!$J94="",'Detalle'!$K94="",'Detalle'!$L94=""),"",IF(AND(F$8&lt;='Detalle'!$K94,F$9&gt;='Detalle'!$J94),1,""))</x:f>
      </x:c>
      <x:c r="G188" s="32" t="str">
        <x:f>IF(OR('Detalle'!$J94="",'Detalle'!$K94="",'Detalle'!$L94=""),"",IF(AND(G$8&lt;='Detalle'!$K94,G$9&gt;='Detalle'!$J94),1,""))</x:f>
      </x:c>
      <x:c r="H188" s="32" t="str">
        <x:f>IF(OR('Detalle'!$J94="",'Detalle'!$K94="",'Detalle'!$L94=""),"",IF(AND(H$8&lt;='Detalle'!$K94,H$9&gt;='Detalle'!$J94),1,""))</x:f>
      </x:c>
      <x:c r="I188" s="32" t="str">
        <x:f>IF(OR('Detalle'!$J94="",'Detalle'!$K94="",'Detalle'!$L94=""),"",IF(AND(I$8&lt;='Detalle'!$K94,I$9&gt;='Detalle'!$J94),1,""))</x:f>
      </x:c>
      <x:c r="J188" s="32" t="str">
        <x:f>IF(OR('Detalle'!$J94="",'Detalle'!$K94="",'Detalle'!$L94=""),"",IF(AND(J$8&lt;='Detalle'!$K94,J$9&gt;='Detalle'!$J94),1,""))</x:f>
      </x:c>
      <x:c r="K188" s="32" t="str">
        <x:f>IF(OR('Detalle'!$J94="",'Detalle'!$K94="",'Detalle'!$L94=""),"",IF(AND(K$8&lt;='Detalle'!$K94,K$9&gt;='Detalle'!$J94),1,""))</x:f>
      </x:c>
      <x:c r="L188" s="32" t="str">
        <x:f>IF(OR('Detalle'!$J94="",'Detalle'!$K94="",'Detalle'!$L94=""),"",IF(AND(L$8&lt;='Detalle'!$K94,L$9&gt;='Detalle'!$J94),1,""))</x:f>
      </x:c>
      <x:c r="M188" s="32" t="str">
        <x:f>IF(OR('Detalle'!$J94="",'Detalle'!$K94="",'Detalle'!$L94=""),"",IF(AND(M$8&lt;='Detalle'!$K94,M$9&gt;='Detalle'!$J94),1,""))</x:f>
      </x:c>
      <x:c r="N188" s="32" t="str">
        <x:f>IF(OR('Detalle'!$J94="",'Detalle'!$K94="",'Detalle'!$L94=""),"",IF(AND(N$8&lt;='Detalle'!$K94,N$9&gt;='Detalle'!$J94),1,""))</x:f>
      </x:c>
      <x:c r="O188" s="32" t="str">
        <x:f>IF(OR('Detalle'!$J94="",'Detalle'!$K94="",'Detalle'!$L94=""),"",IF(AND(O$8&lt;='Detalle'!$K94,O$9&gt;='Detalle'!$J94),1,""))</x:f>
      </x:c>
      <x:c r="P188" s="32" t="str">
        <x:f>IF(OR('Detalle'!$J94="",'Detalle'!$K94="",'Detalle'!$L94=""),"",IF(AND(P$8&lt;='Detalle'!$K94,P$9&gt;='Detalle'!$J94),1,""))</x:f>
      </x:c>
      <x:c r="Q188" s="68"/>
      <x:c r="R188" s="67" t="str"/>
      <x:c r="S188" s="67" t="str"/>
    </x:row>
    <x:row r="189" ht="16" customHeight="1">
      <x:c r="A189" s="56" t="str">
        <x:v>MVP04.007</x:v>
      </x:c>
      <x:c r="B189" s="57" t="str">
        <x:v>Crear repositorio de perfil</x:v>
      </x:c>
      <x:c r="C189" s="62" t="str">
        <x:v>E</x:v>
      </x:c>
      <x:c r="D189" s="64" t="n">
        <x:f>'Detalle'!I95</x:f>
        <x:v>1</x:v>
      </x:c>
      <x:c r="E189" s="60" t="str">
        <x:f>'Detalle'!F95</x:f>
        <x:v>Completado</x:v>
      </x:c>
      <x:c r="F189" s="32" t="str">
        <x:f>IF(AND(F$8&lt;='Detalle'!$H95,F$9&gt;='Detalle'!$G95),1,"")</x:f>
      </x:c>
      <x:c r="G189" s="32" t="n">
        <x:f>IF(AND(G$8&lt;='Detalle'!$H95,G$9&gt;='Detalle'!$G95),1,"")</x:f>
        <x:v>1</x:v>
      </x:c>
      <x:c r="H189" s="32" t="str">
        <x:f>IF(AND(H$8&lt;='Detalle'!$H95,H$9&gt;='Detalle'!$G95),1,"")</x:f>
      </x:c>
      <x:c r="I189" s="32" t="str">
        <x:f>IF(AND(I$8&lt;='Detalle'!$H95,I$9&gt;='Detalle'!$G95),1,"")</x:f>
      </x:c>
      <x:c r="J189" s="32" t="str">
        <x:f>IF(AND(J$8&lt;='Detalle'!$H95,J$9&gt;='Detalle'!$G95),1,"")</x:f>
      </x:c>
      <x:c r="K189" s="32" t="str">
        <x:f>IF(AND(K$8&lt;='Detalle'!$H95,K$9&gt;='Detalle'!$G95),1,"")</x:f>
      </x:c>
      <x:c r="L189" s="32" t="str">
        <x:f>IF(AND(L$8&lt;='Detalle'!$H95,L$9&gt;='Detalle'!$G95),1,"")</x:f>
      </x:c>
      <x:c r="M189" s="32" t="str">
        <x:f>IF(AND(M$8&lt;='Detalle'!$H95,M$9&gt;='Detalle'!$G95),1,"")</x:f>
      </x:c>
      <x:c r="N189" s="32" t="str">
        <x:f>IF(AND(N$8&lt;='Detalle'!$H95,N$9&gt;='Detalle'!$G95),1,"")</x:f>
      </x:c>
      <x:c r="O189" s="32" t="str">
        <x:f>IF(AND(O$8&lt;='Detalle'!$H95,O$9&gt;='Detalle'!$G95),1,"")</x:f>
      </x:c>
      <x:c r="P189" s="32" t="str">
        <x:f>IF(AND(P$8&lt;='Detalle'!$H95,P$9&gt;='Detalle'!$G95),1,"")</x:f>
      </x:c>
      <x:c r="Q189" s="68"/>
      <x:c r="R189" s="67" t="str">
        <x:f>IF('Detalle'!M95="","",'Detalle'!M95)</x:f>
      </x:c>
      <x:c r="S189" s="67" t="str">
        <x:f>IF('Detalle'!N95="","",'Detalle'!N95)</x:f>
      </x:c>
    </x:row>
    <x:row r="190" ht="16" customHeight="1">
      <x:c r="A190" s="56" t="str">
        <x:v>MVP04.007</x:v>
      </x:c>
      <x:c r="B190" s="57" t="str">
        <x:v>Crear repositorio de perfil</x:v>
      </x:c>
      <x:c r="C190" s="63" t="str">
        <x:v>R</x:v>
      </x:c>
      <x:c r="D190" s="65" t="str">
        <x:f>IF('Detalle'!L95="","",'Detalle'!L95)</x:f>
      </x:c>
      <x:c r="E190" s="60" t="str"/>
      <x:c r="F190" s="32" t="str">
        <x:f>IF(OR('Detalle'!$J95="",'Detalle'!$K95="",'Detalle'!$L95=""),"",IF(AND(F$8&lt;='Detalle'!$K95,F$9&gt;='Detalle'!$J95),1,""))</x:f>
      </x:c>
      <x:c r="G190" s="32" t="str">
        <x:f>IF(OR('Detalle'!$J95="",'Detalle'!$K95="",'Detalle'!$L95=""),"",IF(AND(G$8&lt;='Detalle'!$K95,G$9&gt;='Detalle'!$J95),1,""))</x:f>
      </x:c>
      <x:c r="H190" s="32" t="str">
        <x:f>IF(OR('Detalle'!$J95="",'Detalle'!$K95="",'Detalle'!$L95=""),"",IF(AND(H$8&lt;='Detalle'!$K95,H$9&gt;='Detalle'!$J95),1,""))</x:f>
      </x:c>
      <x:c r="I190" s="32" t="str">
        <x:f>IF(OR('Detalle'!$J95="",'Detalle'!$K95="",'Detalle'!$L95=""),"",IF(AND(I$8&lt;='Detalle'!$K95,I$9&gt;='Detalle'!$J95),1,""))</x:f>
      </x:c>
      <x:c r="J190" s="32" t="str">
        <x:f>IF(OR('Detalle'!$J95="",'Detalle'!$K95="",'Detalle'!$L95=""),"",IF(AND(J$8&lt;='Detalle'!$K95,J$9&gt;='Detalle'!$J95),1,""))</x:f>
      </x:c>
      <x:c r="K190" s="32" t="str">
        <x:f>IF(OR('Detalle'!$J95="",'Detalle'!$K95="",'Detalle'!$L95=""),"",IF(AND(K$8&lt;='Detalle'!$K95,K$9&gt;='Detalle'!$J95),1,""))</x:f>
      </x:c>
      <x:c r="L190" s="32" t="str">
        <x:f>IF(OR('Detalle'!$J95="",'Detalle'!$K95="",'Detalle'!$L95=""),"",IF(AND(L$8&lt;='Detalle'!$K95,L$9&gt;='Detalle'!$J95),1,""))</x:f>
      </x:c>
      <x:c r="M190" s="32" t="str">
        <x:f>IF(OR('Detalle'!$J95="",'Detalle'!$K95="",'Detalle'!$L95=""),"",IF(AND(M$8&lt;='Detalle'!$K95,M$9&gt;='Detalle'!$J95),1,""))</x:f>
      </x:c>
      <x:c r="N190" s="32" t="str">
        <x:f>IF(OR('Detalle'!$J95="",'Detalle'!$K95="",'Detalle'!$L95=""),"",IF(AND(N$8&lt;='Detalle'!$K95,N$9&gt;='Detalle'!$J95),1,""))</x:f>
      </x:c>
      <x:c r="O190" s="32" t="str">
        <x:f>IF(OR('Detalle'!$J95="",'Detalle'!$K95="",'Detalle'!$L95=""),"",IF(AND(O$8&lt;='Detalle'!$K95,O$9&gt;='Detalle'!$J95),1,""))</x:f>
      </x:c>
      <x:c r="P190" s="32" t="str">
        <x:f>IF(OR('Detalle'!$J95="",'Detalle'!$K95="",'Detalle'!$L95=""),"",IF(AND(P$8&lt;='Detalle'!$K95,P$9&gt;='Detalle'!$J95),1,""))</x:f>
      </x:c>
      <x:c r="Q190" s="68"/>
      <x:c r="R190" s="67" t="str"/>
      <x:c r="S190" s="67" t="str"/>
    </x:row>
    <x:row r="191" ht="16" customHeight="1">
      <x:c r="A191" s="56" t="str">
        <x:v>MVP04.008</x:v>
      </x:c>
      <x:c r="B191" s="57" t="str">
        <x:v>Crear pantalla de perfil inicial</x:v>
      </x:c>
      <x:c r="C191" s="62" t="str">
        <x:v>E</x:v>
      </x:c>
      <x:c r="D191" s="64" t="n">
        <x:f>'Detalle'!I96</x:f>
        <x:v>1</x:v>
      </x:c>
      <x:c r="E191" s="60" t="str">
        <x:f>'Detalle'!F96</x:f>
        <x:v>Completado</x:v>
      </x:c>
      <x:c r="F191" s="32" t="str">
        <x:f>IF(AND(F$8&lt;='Detalle'!$H96,F$9&gt;='Detalle'!$G96),1,"")</x:f>
      </x:c>
      <x:c r="G191" s="32" t="n">
        <x:f>IF(AND(G$8&lt;='Detalle'!$H96,G$9&gt;='Detalle'!$G96),1,"")</x:f>
        <x:v>1</x:v>
      </x:c>
      <x:c r="H191" s="32" t="str">
        <x:f>IF(AND(H$8&lt;='Detalle'!$H96,H$9&gt;='Detalle'!$G96),1,"")</x:f>
      </x:c>
      <x:c r="I191" s="32" t="str">
        <x:f>IF(AND(I$8&lt;='Detalle'!$H96,I$9&gt;='Detalle'!$G96),1,"")</x:f>
      </x:c>
      <x:c r="J191" s="32" t="str">
        <x:f>IF(AND(J$8&lt;='Detalle'!$H96,J$9&gt;='Detalle'!$G96),1,"")</x:f>
      </x:c>
      <x:c r="K191" s="32" t="str">
        <x:f>IF(AND(K$8&lt;='Detalle'!$H96,K$9&gt;='Detalle'!$G96),1,"")</x:f>
      </x:c>
      <x:c r="L191" s="32" t="str">
        <x:f>IF(AND(L$8&lt;='Detalle'!$H96,L$9&gt;='Detalle'!$G96),1,"")</x:f>
      </x:c>
      <x:c r="M191" s="32" t="str">
        <x:f>IF(AND(M$8&lt;='Detalle'!$H96,M$9&gt;='Detalle'!$G96),1,"")</x:f>
      </x:c>
      <x:c r="N191" s="32" t="str">
        <x:f>IF(AND(N$8&lt;='Detalle'!$H96,N$9&gt;='Detalle'!$G96),1,"")</x:f>
      </x:c>
      <x:c r="O191" s="32" t="str">
        <x:f>IF(AND(O$8&lt;='Detalle'!$H96,O$9&gt;='Detalle'!$G96),1,"")</x:f>
      </x:c>
      <x:c r="P191" s="32" t="str">
        <x:f>IF(AND(P$8&lt;='Detalle'!$H96,P$9&gt;='Detalle'!$G96),1,"")</x:f>
      </x:c>
      <x:c r="Q191" s="68"/>
      <x:c r="R191" s="67" t="str">
        <x:f>IF('Detalle'!M96="","",'Detalle'!M96)</x:f>
      </x:c>
      <x:c r="S191" s="67" t="str">
        <x:f>IF('Detalle'!N96="","",'Detalle'!N96)</x:f>
      </x:c>
    </x:row>
    <x:row r="192" ht="16" customHeight="1">
      <x:c r="A192" s="56" t="str">
        <x:v>MVP04.008</x:v>
      </x:c>
      <x:c r="B192" s="57" t="str">
        <x:v>Crear pantalla de perfil inicial</x:v>
      </x:c>
      <x:c r="C192" s="63" t="str">
        <x:v>R</x:v>
      </x:c>
      <x:c r="D192" s="65" t="str">
        <x:f>IF('Detalle'!L96="","",'Detalle'!L96)</x:f>
      </x:c>
      <x:c r="E192" s="60" t="str"/>
      <x:c r="F192" s="32" t="str">
        <x:f>IF(OR('Detalle'!$J96="",'Detalle'!$K96="",'Detalle'!$L96=""),"",IF(AND(F$8&lt;='Detalle'!$K96,F$9&gt;='Detalle'!$J96),1,""))</x:f>
      </x:c>
      <x:c r="G192" s="32" t="str">
        <x:f>IF(OR('Detalle'!$J96="",'Detalle'!$K96="",'Detalle'!$L96=""),"",IF(AND(G$8&lt;='Detalle'!$K96,G$9&gt;='Detalle'!$J96),1,""))</x:f>
      </x:c>
      <x:c r="H192" s="32" t="str">
        <x:f>IF(OR('Detalle'!$J96="",'Detalle'!$K96="",'Detalle'!$L96=""),"",IF(AND(H$8&lt;='Detalle'!$K96,H$9&gt;='Detalle'!$J96),1,""))</x:f>
      </x:c>
      <x:c r="I192" s="32" t="str">
        <x:f>IF(OR('Detalle'!$J96="",'Detalle'!$K96="",'Detalle'!$L96=""),"",IF(AND(I$8&lt;='Detalle'!$K96,I$9&gt;='Detalle'!$J96),1,""))</x:f>
      </x:c>
      <x:c r="J192" s="32" t="str">
        <x:f>IF(OR('Detalle'!$J96="",'Detalle'!$K96="",'Detalle'!$L96=""),"",IF(AND(J$8&lt;='Detalle'!$K96,J$9&gt;='Detalle'!$J96),1,""))</x:f>
      </x:c>
      <x:c r="K192" s="32" t="str">
        <x:f>IF(OR('Detalle'!$J96="",'Detalle'!$K96="",'Detalle'!$L96=""),"",IF(AND(K$8&lt;='Detalle'!$K96,K$9&gt;='Detalle'!$J96),1,""))</x:f>
      </x:c>
      <x:c r="L192" s="32" t="str">
        <x:f>IF(OR('Detalle'!$J96="",'Detalle'!$K96="",'Detalle'!$L96=""),"",IF(AND(L$8&lt;='Detalle'!$K96,L$9&gt;='Detalle'!$J96),1,""))</x:f>
      </x:c>
      <x:c r="M192" s="32" t="str">
        <x:f>IF(OR('Detalle'!$J96="",'Detalle'!$K96="",'Detalle'!$L96=""),"",IF(AND(M$8&lt;='Detalle'!$K96,M$9&gt;='Detalle'!$J96),1,""))</x:f>
      </x:c>
      <x:c r="N192" s="32" t="str">
        <x:f>IF(OR('Detalle'!$J96="",'Detalle'!$K96="",'Detalle'!$L96=""),"",IF(AND(N$8&lt;='Detalle'!$K96,N$9&gt;='Detalle'!$J96),1,""))</x:f>
      </x:c>
      <x:c r="O192" s="32" t="str">
        <x:f>IF(OR('Detalle'!$J96="",'Detalle'!$K96="",'Detalle'!$L96=""),"",IF(AND(O$8&lt;='Detalle'!$K96,O$9&gt;='Detalle'!$J96),1,""))</x:f>
      </x:c>
      <x:c r="P192" s="32" t="str">
        <x:f>IF(OR('Detalle'!$J96="",'Detalle'!$K96="",'Detalle'!$L96=""),"",IF(AND(P$8&lt;='Detalle'!$K96,P$9&gt;='Detalle'!$J96),1,""))</x:f>
      </x:c>
      <x:c r="Q192" s="68"/>
      <x:c r="R192" s="67" t="str"/>
      <x:c r="S192" s="67" t="str"/>
    </x:row>
    <x:row r="193" ht="16" customHeight="1">
      <x:c r="A193" s="56" t="str">
        <x:v>MVP04.009</x:v>
      </x:c>
      <x:c r="B193" s="57" t="str">
        <x:v>Crear editor de identidad inicial</x:v>
      </x:c>
      <x:c r="C193" s="62" t="str">
        <x:v>E</x:v>
      </x:c>
      <x:c r="D193" s="64" t="n">
        <x:f>'Detalle'!I97</x:f>
        <x:v>1</x:v>
      </x:c>
      <x:c r="E193" s="60" t="str">
        <x:f>'Detalle'!F97</x:f>
        <x:v>Completado</x:v>
      </x:c>
      <x:c r="F193" s="32" t="str">
        <x:f>IF(AND(F$8&lt;='Detalle'!$H97,F$9&gt;='Detalle'!$G97),1,"")</x:f>
      </x:c>
      <x:c r="G193" s="32" t="n">
        <x:f>IF(AND(G$8&lt;='Detalle'!$H97,G$9&gt;='Detalle'!$G97),1,"")</x:f>
        <x:v>1</x:v>
      </x:c>
      <x:c r="H193" s="32" t="str">
        <x:f>IF(AND(H$8&lt;='Detalle'!$H97,H$9&gt;='Detalle'!$G97),1,"")</x:f>
      </x:c>
      <x:c r="I193" s="32" t="str">
        <x:f>IF(AND(I$8&lt;='Detalle'!$H97,I$9&gt;='Detalle'!$G97),1,"")</x:f>
      </x:c>
      <x:c r="J193" s="32" t="str">
        <x:f>IF(AND(J$8&lt;='Detalle'!$H97,J$9&gt;='Detalle'!$G97),1,"")</x:f>
      </x:c>
      <x:c r="K193" s="32" t="str">
        <x:f>IF(AND(K$8&lt;='Detalle'!$H97,K$9&gt;='Detalle'!$G97),1,"")</x:f>
      </x:c>
      <x:c r="L193" s="32" t="str">
        <x:f>IF(AND(L$8&lt;='Detalle'!$H97,L$9&gt;='Detalle'!$G97),1,"")</x:f>
      </x:c>
      <x:c r="M193" s="32" t="str">
        <x:f>IF(AND(M$8&lt;='Detalle'!$H97,M$9&gt;='Detalle'!$G97),1,"")</x:f>
      </x:c>
      <x:c r="N193" s="32" t="str">
        <x:f>IF(AND(N$8&lt;='Detalle'!$H97,N$9&gt;='Detalle'!$G97),1,"")</x:f>
      </x:c>
      <x:c r="O193" s="32" t="str">
        <x:f>IF(AND(O$8&lt;='Detalle'!$H97,O$9&gt;='Detalle'!$G97),1,"")</x:f>
      </x:c>
      <x:c r="P193" s="32" t="str">
        <x:f>IF(AND(P$8&lt;='Detalle'!$H97,P$9&gt;='Detalle'!$G97),1,"")</x:f>
      </x:c>
      <x:c r="Q193" s="68"/>
      <x:c r="R193" s="67" t="str">
        <x:f>IF('Detalle'!M97="","",'Detalle'!M97)</x:f>
      </x:c>
      <x:c r="S193" s="67" t="str">
        <x:f>IF('Detalle'!N97="","",'Detalle'!N97)</x:f>
      </x:c>
    </x:row>
    <x:row r="194" ht="16" customHeight="1">
      <x:c r="A194" s="56" t="str">
        <x:v>MVP04.009</x:v>
      </x:c>
      <x:c r="B194" s="57" t="str">
        <x:v>Crear editor de identidad inicial</x:v>
      </x:c>
      <x:c r="C194" s="63" t="str">
        <x:v>R</x:v>
      </x:c>
      <x:c r="D194" s="65" t="str">
        <x:f>IF('Detalle'!L97="","",'Detalle'!L97)</x:f>
      </x:c>
      <x:c r="E194" s="60" t="str"/>
      <x:c r="F194" s="32" t="str">
        <x:f>IF(OR('Detalle'!$J97="",'Detalle'!$K97="",'Detalle'!$L97=""),"",IF(AND(F$8&lt;='Detalle'!$K97,F$9&gt;='Detalle'!$J97),1,""))</x:f>
      </x:c>
      <x:c r="G194" s="32" t="str">
        <x:f>IF(OR('Detalle'!$J97="",'Detalle'!$K97="",'Detalle'!$L97=""),"",IF(AND(G$8&lt;='Detalle'!$K97,G$9&gt;='Detalle'!$J97),1,""))</x:f>
      </x:c>
      <x:c r="H194" s="32" t="str">
        <x:f>IF(OR('Detalle'!$J97="",'Detalle'!$K97="",'Detalle'!$L97=""),"",IF(AND(H$8&lt;='Detalle'!$K97,H$9&gt;='Detalle'!$J97),1,""))</x:f>
      </x:c>
      <x:c r="I194" s="32" t="str">
        <x:f>IF(OR('Detalle'!$J97="",'Detalle'!$K97="",'Detalle'!$L97=""),"",IF(AND(I$8&lt;='Detalle'!$K97,I$9&gt;='Detalle'!$J97),1,""))</x:f>
      </x:c>
      <x:c r="J194" s="32" t="str">
        <x:f>IF(OR('Detalle'!$J97="",'Detalle'!$K97="",'Detalle'!$L97=""),"",IF(AND(J$8&lt;='Detalle'!$K97,J$9&gt;='Detalle'!$J97),1,""))</x:f>
      </x:c>
      <x:c r="K194" s="32" t="str">
        <x:f>IF(OR('Detalle'!$J97="",'Detalle'!$K97="",'Detalle'!$L97=""),"",IF(AND(K$8&lt;='Detalle'!$K97,K$9&gt;='Detalle'!$J97),1,""))</x:f>
      </x:c>
      <x:c r="L194" s="32" t="str">
        <x:f>IF(OR('Detalle'!$J97="",'Detalle'!$K97="",'Detalle'!$L97=""),"",IF(AND(L$8&lt;='Detalle'!$K97,L$9&gt;='Detalle'!$J97),1,""))</x:f>
      </x:c>
      <x:c r="M194" s="32" t="str">
        <x:f>IF(OR('Detalle'!$J97="",'Detalle'!$K97="",'Detalle'!$L97=""),"",IF(AND(M$8&lt;='Detalle'!$K97,M$9&gt;='Detalle'!$J97),1,""))</x:f>
      </x:c>
      <x:c r="N194" s="32" t="str">
        <x:f>IF(OR('Detalle'!$J97="",'Detalle'!$K97="",'Detalle'!$L97=""),"",IF(AND(N$8&lt;='Detalle'!$K97,N$9&gt;='Detalle'!$J97),1,""))</x:f>
      </x:c>
      <x:c r="O194" s="32" t="str">
        <x:f>IF(OR('Detalle'!$J97="",'Detalle'!$K97="",'Detalle'!$L97=""),"",IF(AND(O$8&lt;='Detalle'!$K97,O$9&gt;='Detalle'!$J97),1,""))</x:f>
      </x:c>
      <x:c r="P194" s="32" t="str">
        <x:f>IF(OR('Detalle'!$J97="",'Detalle'!$K97="",'Detalle'!$L97=""),"",IF(AND(P$8&lt;='Detalle'!$K97,P$9&gt;='Detalle'!$J97),1,""))</x:f>
      </x:c>
      <x:c r="Q194" s="68"/>
      <x:c r="R194" s="67" t="str"/>
      <x:c r="S194" s="67" t="str"/>
    </x:row>
    <x:row r="195" ht="16" customHeight="1">
      <x:c r="A195" s="56" t="str">
        <x:v>MVP04.010</x:v>
      </x:c>
      <x:c r="B195" s="57" t="str">
        <x:v>Crear pantalla de configuración</x:v>
      </x:c>
      <x:c r="C195" s="62" t="str">
        <x:v>E</x:v>
      </x:c>
      <x:c r="D195" s="64" t="n">
        <x:f>'Detalle'!I98</x:f>
        <x:v>1</x:v>
      </x:c>
      <x:c r="E195" s="60" t="str">
        <x:f>'Detalle'!F98</x:f>
        <x:v>Completado</x:v>
      </x:c>
      <x:c r="F195" s="32" t="str">
        <x:f>IF(AND(F$8&lt;='Detalle'!$H98,F$9&gt;='Detalle'!$G98),1,"")</x:f>
      </x:c>
      <x:c r="G195" s="32" t="n">
        <x:f>IF(AND(G$8&lt;='Detalle'!$H98,G$9&gt;='Detalle'!$G98),1,"")</x:f>
        <x:v>1</x:v>
      </x:c>
      <x:c r="H195" s="32" t="str">
        <x:f>IF(AND(H$8&lt;='Detalle'!$H98,H$9&gt;='Detalle'!$G98),1,"")</x:f>
      </x:c>
      <x:c r="I195" s="32" t="str">
        <x:f>IF(AND(I$8&lt;='Detalle'!$H98,I$9&gt;='Detalle'!$G98),1,"")</x:f>
      </x:c>
      <x:c r="J195" s="32" t="str">
        <x:f>IF(AND(J$8&lt;='Detalle'!$H98,J$9&gt;='Detalle'!$G98),1,"")</x:f>
      </x:c>
      <x:c r="K195" s="32" t="str">
        <x:f>IF(AND(K$8&lt;='Detalle'!$H98,K$9&gt;='Detalle'!$G98),1,"")</x:f>
      </x:c>
      <x:c r="L195" s="32" t="str">
        <x:f>IF(AND(L$8&lt;='Detalle'!$H98,L$9&gt;='Detalle'!$G98),1,"")</x:f>
      </x:c>
      <x:c r="M195" s="32" t="str">
        <x:f>IF(AND(M$8&lt;='Detalle'!$H98,M$9&gt;='Detalle'!$G98),1,"")</x:f>
      </x:c>
      <x:c r="N195" s="32" t="str">
        <x:f>IF(AND(N$8&lt;='Detalle'!$H98,N$9&gt;='Detalle'!$G98),1,"")</x:f>
      </x:c>
      <x:c r="O195" s="32" t="str">
        <x:f>IF(AND(O$8&lt;='Detalle'!$H98,O$9&gt;='Detalle'!$G98),1,"")</x:f>
      </x:c>
      <x:c r="P195" s="32" t="str">
        <x:f>IF(AND(P$8&lt;='Detalle'!$H98,P$9&gt;='Detalle'!$G98),1,"")</x:f>
      </x:c>
      <x:c r="Q195" s="68"/>
      <x:c r="R195" s="67" t="str">
        <x:f>IF('Detalle'!M98="","",'Detalle'!M98)</x:f>
      </x:c>
      <x:c r="S195" s="67" t="str">
        <x:f>IF('Detalle'!N98="","",'Detalle'!N98)</x:f>
      </x:c>
    </x:row>
    <x:row r="196" ht="16" customHeight="1">
      <x:c r="A196" s="56" t="str">
        <x:v>MVP04.010</x:v>
      </x:c>
      <x:c r="B196" s="57" t="str">
        <x:v>Crear pantalla de configuración</x:v>
      </x:c>
      <x:c r="C196" s="63" t="str">
        <x:v>R</x:v>
      </x:c>
      <x:c r="D196" s="65" t="str">
        <x:f>IF('Detalle'!L98="","",'Detalle'!L98)</x:f>
      </x:c>
      <x:c r="E196" s="60" t="str"/>
      <x:c r="F196" s="32" t="str">
        <x:f>IF(OR('Detalle'!$J98="",'Detalle'!$K98="",'Detalle'!$L98=""),"",IF(AND(F$8&lt;='Detalle'!$K98,F$9&gt;='Detalle'!$J98),1,""))</x:f>
      </x:c>
      <x:c r="G196" s="32" t="str">
        <x:f>IF(OR('Detalle'!$J98="",'Detalle'!$K98="",'Detalle'!$L98=""),"",IF(AND(G$8&lt;='Detalle'!$K98,G$9&gt;='Detalle'!$J98),1,""))</x:f>
      </x:c>
      <x:c r="H196" s="32" t="str">
        <x:f>IF(OR('Detalle'!$J98="",'Detalle'!$K98="",'Detalle'!$L98=""),"",IF(AND(H$8&lt;='Detalle'!$K98,H$9&gt;='Detalle'!$J98),1,""))</x:f>
      </x:c>
      <x:c r="I196" s="32" t="str">
        <x:f>IF(OR('Detalle'!$J98="",'Detalle'!$K98="",'Detalle'!$L98=""),"",IF(AND(I$8&lt;='Detalle'!$K98,I$9&gt;='Detalle'!$J98),1,""))</x:f>
      </x:c>
      <x:c r="J196" s="32" t="str">
        <x:f>IF(OR('Detalle'!$J98="",'Detalle'!$K98="",'Detalle'!$L98=""),"",IF(AND(J$8&lt;='Detalle'!$K98,J$9&gt;='Detalle'!$J98),1,""))</x:f>
      </x:c>
      <x:c r="K196" s="32" t="str">
        <x:f>IF(OR('Detalle'!$J98="",'Detalle'!$K98="",'Detalle'!$L98=""),"",IF(AND(K$8&lt;='Detalle'!$K98,K$9&gt;='Detalle'!$J98),1,""))</x:f>
      </x:c>
      <x:c r="L196" s="32" t="str">
        <x:f>IF(OR('Detalle'!$J98="",'Detalle'!$K98="",'Detalle'!$L98=""),"",IF(AND(L$8&lt;='Detalle'!$K98,L$9&gt;='Detalle'!$J98),1,""))</x:f>
      </x:c>
      <x:c r="M196" s="32" t="str">
        <x:f>IF(OR('Detalle'!$J98="",'Detalle'!$K98="",'Detalle'!$L98=""),"",IF(AND(M$8&lt;='Detalle'!$K98,M$9&gt;='Detalle'!$J98),1,""))</x:f>
      </x:c>
      <x:c r="N196" s="32" t="str">
        <x:f>IF(OR('Detalle'!$J98="",'Detalle'!$K98="",'Detalle'!$L98=""),"",IF(AND(N$8&lt;='Detalle'!$K98,N$9&gt;='Detalle'!$J98),1,""))</x:f>
      </x:c>
      <x:c r="O196" s="32" t="str">
        <x:f>IF(OR('Detalle'!$J98="",'Detalle'!$K98="",'Detalle'!$L98=""),"",IF(AND(O$8&lt;='Detalle'!$K98,O$9&gt;='Detalle'!$J98),1,""))</x:f>
      </x:c>
      <x:c r="P196" s="32" t="str">
        <x:f>IF(OR('Detalle'!$J98="",'Detalle'!$K98="",'Detalle'!$L98=""),"",IF(AND(P$8&lt;='Detalle'!$K98,P$9&gt;='Detalle'!$J98),1,""))</x:f>
      </x:c>
      <x:c r="Q196" s="68"/>
      <x:c r="R196" s="67" t="str"/>
      <x:c r="S196" s="67" t="str"/>
    </x:row>
    <x:row r="197" ht="16" customHeight="1">
      <x:c r="A197" s="56" t="str">
        <x:v>MVP04.011</x:v>
      </x:c>
      <x:c r="B197" s="57" t="str">
        <x:v>Implementar eliminación autenticada de cuenta</x:v>
      </x:c>
      <x:c r="C197" s="62" t="str">
        <x:v>E</x:v>
      </x:c>
      <x:c r="D197" s="64" t="n">
        <x:f>'Detalle'!I99</x:f>
        <x:v>1</x:v>
      </x:c>
      <x:c r="E197" s="60" t="str">
        <x:f>'Detalle'!F99</x:f>
        <x:v>Completado</x:v>
      </x:c>
      <x:c r="F197" s="32" t="str">
        <x:f>IF(AND(F$8&lt;='Detalle'!$H99,F$9&gt;='Detalle'!$G99),1,"")</x:f>
      </x:c>
      <x:c r="G197" s="32" t="n">
        <x:f>IF(AND(G$8&lt;='Detalle'!$H99,G$9&gt;='Detalle'!$G99),1,"")</x:f>
        <x:v>1</x:v>
      </x:c>
      <x:c r="H197" s="32" t="str">
        <x:f>IF(AND(H$8&lt;='Detalle'!$H99,H$9&gt;='Detalle'!$G99),1,"")</x:f>
      </x:c>
      <x:c r="I197" s="32" t="str">
        <x:f>IF(AND(I$8&lt;='Detalle'!$H99,I$9&gt;='Detalle'!$G99),1,"")</x:f>
      </x:c>
      <x:c r="J197" s="32" t="str">
        <x:f>IF(AND(J$8&lt;='Detalle'!$H99,J$9&gt;='Detalle'!$G99),1,"")</x:f>
      </x:c>
      <x:c r="K197" s="32" t="str">
        <x:f>IF(AND(K$8&lt;='Detalle'!$H99,K$9&gt;='Detalle'!$G99),1,"")</x:f>
      </x:c>
      <x:c r="L197" s="32" t="str">
        <x:f>IF(AND(L$8&lt;='Detalle'!$H99,L$9&gt;='Detalle'!$G99),1,"")</x:f>
      </x:c>
      <x:c r="M197" s="32" t="str">
        <x:f>IF(AND(M$8&lt;='Detalle'!$H99,M$9&gt;='Detalle'!$G99),1,"")</x:f>
      </x:c>
      <x:c r="N197" s="32" t="str">
        <x:f>IF(AND(N$8&lt;='Detalle'!$H99,N$9&gt;='Detalle'!$G99),1,"")</x:f>
      </x:c>
      <x:c r="O197" s="32" t="str">
        <x:f>IF(AND(O$8&lt;='Detalle'!$H99,O$9&gt;='Detalle'!$G99),1,"")</x:f>
      </x:c>
      <x:c r="P197" s="32" t="str">
        <x:f>IF(AND(P$8&lt;='Detalle'!$H99,P$9&gt;='Detalle'!$G99),1,"")</x:f>
      </x:c>
      <x:c r="Q197" s="68"/>
      <x:c r="R197" s="67" t="str">
        <x:f>IF('Detalle'!M99="","",'Detalle'!M99)</x:f>
      </x:c>
      <x:c r="S197" s="67" t="str">
        <x:f>IF('Detalle'!N99="","",'Detalle'!N99)</x:f>
      </x:c>
    </x:row>
    <x:row r="198" ht="16" customHeight="1">
      <x:c r="A198" s="56" t="str">
        <x:v>MVP04.011</x:v>
      </x:c>
      <x:c r="B198" s="57" t="str">
        <x:v>Implementar eliminación autenticada de cuenta</x:v>
      </x:c>
      <x:c r="C198" s="63" t="str">
        <x:v>R</x:v>
      </x:c>
      <x:c r="D198" s="65" t="str">
        <x:f>IF('Detalle'!L99="","",'Detalle'!L99)</x:f>
      </x:c>
      <x:c r="E198" s="60" t="str"/>
      <x:c r="F198" s="32" t="str">
        <x:f>IF(OR('Detalle'!$J99="",'Detalle'!$K99="",'Detalle'!$L99=""),"",IF(AND(F$8&lt;='Detalle'!$K99,F$9&gt;='Detalle'!$J99),1,""))</x:f>
      </x:c>
      <x:c r="G198" s="32" t="str">
        <x:f>IF(OR('Detalle'!$J99="",'Detalle'!$K99="",'Detalle'!$L99=""),"",IF(AND(G$8&lt;='Detalle'!$K99,G$9&gt;='Detalle'!$J99),1,""))</x:f>
      </x:c>
      <x:c r="H198" s="32" t="str">
        <x:f>IF(OR('Detalle'!$J99="",'Detalle'!$K99="",'Detalle'!$L99=""),"",IF(AND(H$8&lt;='Detalle'!$K99,H$9&gt;='Detalle'!$J99),1,""))</x:f>
      </x:c>
      <x:c r="I198" s="32" t="str">
        <x:f>IF(OR('Detalle'!$J99="",'Detalle'!$K99="",'Detalle'!$L99=""),"",IF(AND(I$8&lt;='Detalle'!$K99,I$9&gt;='Detalle'!$J99),1,""))</x:f>
      </x:c>
      <x:c r="J198" s="32" t="str">
        <x:f>IF(OR('Detalle'!$J99="",'Detalle'!$K99="",'Detalle'!$L99=""),"",IF(AND(J$8&lt;='Detalle'!$K99,J$9&gt;='Detalle'!$J99),1,""))</x:f>
      </x:c>
      <x:c r="K198" s="32" t="str">
        <x:f>IF(OR('Detalle'!$J99="",'Detalle'!$K99="",'Detalle'!$L99=""),"",IF(AND(K$8&lt;='Detalle'!$K99,K$9&gt;='Detalle'!$J99),1,""))</x:f>
      </x:c>
      <x:c r="L198" s="32" t="str">
        <x:f>IF(OR('Detalle'!$J99="",'Detalle'!$K99="",'Detalle'!$L99=""),"",IF(AND(L$8&lt;='Detalle'!$K99,L$9&gt;='Detalle'!$J99),1,""))</x:f>
      </x:c>
      <x:c r="M198" s="32" t="str">
        <x:f>IF(OR('Detalle'!$J99="",'Detalle'!$K99="",'Detalle'!$L99=""),"",IF(AND(M$8&lt;='Detalle'!$K99,M$9&gt;='Detalle'!$J99),1,""))</x:f>
      </x:c>
      <x:c r="N198" s="32" t="str">
        <x:f>IF(OR('Detalle'!$J99="",'Detalle'!$K99="",'Detalle'!$L99=""),"",IF(AND(N$8&lt;='Detalle'!$K99,N$9&gt;='Detalle'!$J99),1,""))</x:f>
      </x:c>
      <x:c r="O198" s="32" t="str">
        <x:f>IF(OR('Detalle'!$J99="",'Detalle'!$K99="",'Detalle'!$L99=""),"",IF(AND(O$8&lt;='Detalle'!$K99,O$9&gt;='Detalle'!$J99),1,""))</x:f>
      </x:c>
      <x:c r="P198" s="32" t="str">
        <x:f>IF(OR('Detalle'!$J99="",'Detalle'!$K99="",'Detalle'!$L99=""),"",IF(AND(P$8&lt;='Detalle'!$K99,P$9&gt;='Detalle'!$J99),1,""))</x:f>
      </x:c>
      <x:c r="Q198" s="68"/>
      <x:c r="R198" s="67" t="str"/>
      <x:c r="S198" s="67" t="str"/>
    </x:row>
    <x:row r="199" ht="16" customHeight="1">
      <x:c r="A199" s="56" t="str">
        <x:v>MVP04.012</x:v>
      </x:c>
      <x:c r="B199" s="57" t="str">
        <x:v>Eliminar perfil mediante cascade</x:v>
      </x:c>
      <x:c r="C199" s="62" t="str">
        <x:v>E</x:v>
      </x:c>
      <x:c r="D199" s="64" t="n">
        <x:f>'Detalle'!I100</x:f>
        <x:v>1</x:v>
      </x:c>
      <x:c r="E199" s="60" t="str">
        <x:f>'Detalle'!F100</x:f>
        <x:v>Completado</x:v>
      </x:c>
      <x:c r="F199" s="32" t="str">
        <x:f>IF(AND(F$8&lt;='Detalle'!$H100,F$9&gt;='Detalle'!$G100),1,"")</x:f>
      </x:c>
      <x:c r="G199" s="32" t="n">
        <x:f>IF(AND(G$8&lt;='Detalle'!$H100,G$9&gt;='Detalle'!$G100),1,"")</x:f>
        <x:v>1</x:v>
      </x:c>
      <x:c r="H199" s="32" t="str">
        <x:f>IF(AND(H$8&lt;='Detalle'!$H100,H$9&gt;='Detalle'!$G100),1,"")</x:f>
      </x:c>
      <x:c r="I199" s="32" t="str">
        <x:f>IF(AND(I$8&lt;='Detalle'!$H100,I$9&gt;='Detalle'!$G100),1,"")</x:f>
      </x:c>
      <x:c r="J199" s="32" t="str">
        <x:f>IF(AND(J$8&lt;='Detalle'!$H100,J$9&gt;='Detalle'!$G100),1,"")</x:f>
      </x:c>
      <x:c r="K199" s="32" t="str">
        <x:f>IF(AND(K$8&lt;='Detalle'!$H100,K$9&gt;='Detalle'!$G100),1,"")</x:f>
      </x:c>
      <x:c r="L199" s="32" t="str">
        <x:f>IF(AND(L$8&lt;='Detalle'!$H100,L$9&gt;='Detalle'!$G100),1,"")</x:f>
      </x:c>
      <x:c r="M199" s="32" t="str">
        <x:f>IF(AND(M$8&lt;='Detalle'!$H100,M$9&gt;='Detalle'!$G100),1,"")</x:f>
      </x:c>
      <x:c r="N199" s="32" t="str">
        <x:f>IF(AND(N$8&lt;='Detalle'!$H100,N$9&gt;='Detalle'!$G100),1,"")</x:f>
      </x:c>
      <x:c r="O199" s="32" t="str">
        <x:f>IF(AND(O$8&lt;='Detalle'!$H100,O$9&gt;='Detalle'!$G100),1,"")</x:f>
      </x:c>
      <x:c r="P199" s="32" t="str">
        <x:f>IF(AND(P$8&lt;='Detalle'!$H100,P$9&gt;='Detalle'!$G100),1,"")</x:f>
      </x:c>
      <x:c r="Q199" s="68"/>
      <x:c r="R199" s="67" t="str">
        <x:f>IF('Detalle'!M100="","",'Detalle'!M100)</x:f>
      </x:c>
      <x:c r="S199" s="67" t="str">
        <x:f>IF('Detalle'!N100="","",'Detalle'!N100)</x:f>
      </x:c>
    </x:row>
    <x:row r="200" ht="16" customHeight="1">
      <x:c r="A200" s="56" t="str">
        <x:v>MVP04.012</x:v>
      </x:c>
      <x:c r="B200" s="57" t="str">
        <x:v>Eliminar perfil mediante cascade</x:v>
      </x:c>
      <x:c r="C200" s="63" t="str">
        <x:v>R</x:v>
      </x:c>
      <x:c r="D200" s="65" t="str">
        <x:f>IF('Detalle'!L100="","",'Detalle'!L100)</x:f>
      </x:c>
      <x:c r="E200" s="60" t="str"/>
      <x:c r="F200" s="32" t="str">
        <x:f>IF(OR('Detalle'!$J100="",'Detalle'!$K100="",'Detalle'!$L100=""),"",IF(AND(F$8&lt;='Detalle'!$K100,F$9&gt;='Detalle'!$J100),1,""))</x:f>
      </x:c>
      <x:c r="G200" s="32" t="str">
        <x:f>IF(OR('Detalle'!$J100="",'Detalle'!$K100="",'Detalle'!$L100=""),"",IF(AND(G$8&lt;='Detalle'!$K100,G$9&gt;='Detalle'!$J100),1,""))</x:f>
      </x:c>
      <x:c r="H200" s="32" t="str">
        <x:f>IF(OR('Detalle'!$J100="",'Detalle'!$K100="",'Detalle'!$L100=""),"",IF(AND(H$8&lt;='Detalle'!$K100,H$9&gt;='Detalle'!$J100),1,""))</x:f>
      </x:c>
      <x:c r="I200" s="32" t="str">
        <x:f>IF(OR('Detalle'!$J100="",'Detalle'!$K100="",'Detalle'!$L100=""),"",IF(AND(I$8&lt;='Detalle'!$K100,I$9&gt;='Detalle'!$J100),1,""))</x:f>
      </x:c>
      <x:c r="J200" s="32" t="str">
        <x:f>IF(OR('Detalle'!$J100="",'Detalle'!$K100="",'Detalle'!$L100=""),"",IF(AND(J$8&lt;='Detalle'!$K100,J$9&gt;='Detalle'!$J100),1,""))</x:f>
      </x:c>
      <x:c r="K200" s="32" t="str">
        <x:f>IF(OR('Detalle'!$J100="",'Detalle'!$K100="",'Detalle'!$L100=""),"",IF(AND(K$8&lt;='Detalle'!$K100,K$9&gt;='Detalle'!$J100),1,""))</x:f>
      </x:c>
      <x:c r="L200" s="32" t="str">
        <x:f>IF(OR('Detalle'!$J100="",'Detalle'!$K100="",'Detalle'!$L100=""),"",IF(AND(L$8&lt;='Detalle'!$K100,L$9&gt;='Detalle'!$J100),1,""))</x:f>
      </x:c>
      <x:c r="M200" s="32" t="str">
        <x:f>IF(OR('Detalle'!$J100="",'Detalle'!$K100="",'Detalle'!$L100=""),"",IF(AND(M$8&lt;='Detalle'!$K100,M$9&gt;='Detalle'!$J100),1,""))</x:f>
      </x:c>
      <x:c r="N200" s="32" t="str">
        <x:f>IF(OR('Detalle'!$J100="",'Detalle'!$K100="",'Detalle'!$L100=""),"",IF(AND(N$8&lt;='Detalle'!$K100,N$9&gt;='Detalle'!$J100),1,""))</x:f>
      </x:c>
      <x:c r="O200" s="32" t="str">
        <x:f>IF(OR('Detalle'!$J100="",'Detalle'!$K100="",'Detalle'!$L100=""),"",IF(AND(O$8&lt;='Detalle'!$K100,O$9&gt;='Detalle'!$J100),1,""))</x:f>
      </x:c>
      <x:c r="P200" s="32" t="str">
        <x:f>IF(OR('Detalle'!$J100="",'Detalle'!$K100="",'Detalle'!$L100=""),"",IF(AND(P$8&lt;='Detalle'!$K100,P$9&gt;='Detalle'!$J100),1,""))</x:f>
      </x:c>
      <x:c r="Q200" s="68"/>
      <x:c r="R200" s="67" t="str"/>
      <x:c r="S200" s="67" t="str"/>
    </x:row>
    <x:row r="201" ht="16" customHeight="1">
      <x:c r="A201" s="56" t="str">
        <x:v>MVP04.013</x:v>
      </x:c>
      <x:c r="B201" s="57" t="str">
        <x:v>Confirmar borrado desde el cliente</x:v>
      </x:c>
      <x:c r="C201" s="62" t="str">
        <x:v>E</x:v>
      </x:c>
      <x:c r="D201" s="64" t="n">
        <x:f>'Detalle'!I101</x:f>
        <x:v>1</x:v>
      </x:c>
      <x:c r="E201" s="60" t="str">
        <x:f>'Detalle'!F101</x:f>
        <x:v>Completado</x:v>
      </x:c>
      <x:c r="F201" s="32" t="str">
        <x:f>IF(AND(F$8&lt;='Detalle'!$H101,F$9&gt;='Detalle'!$G101),1,"")</x:f>
      </x:c>
      <x:c r="G201" s="32" t="n">
        <x:f>IF(AND(G$8&lt;='Detalle'!$H101,G$9&gt;='Detalle'!$G101),1,"")</x:f>
        <x:v>1</x:v>
      </x:c>
      <x:c r="H201" s="32" t="str">
        <x:f>IF(AND(H$8&lt;='Detalle'!$H101,H$9&gt;='Detalle'!$G101),1,"")</x:f>
      </x:c>
      <x:c r="I201" s="32" t="str">
        <x:f>IF(AND(I$8&lt;='Detalle'!$H101,I$9&gt;='Detalle'!$G101),1,"")</x:f>
      </x:c>
      <x:c r="J201" s="32" t="str">
        <x:f>IF(AND(J$8&lt;='Detalle'!$H101,J$9&gt;='Detalle'!$G101),1,"")</x:f>
      </x:c>
      <x:c r="K201" s="32" t="str">
        <x:f>IF(AND(K$8&lt;='Detalle'!$H101,K$9&gt;='Detalle'!$G101),1,"")</x:f>
      </x:c>
      <x:c r="L201" s="32" t="str">
        <x:f>IF(AND(L$8&lt;='Detalle'!$H101,L$9&gt;='Detalle'!$G101),1,"")</x:f>
      </x:c>
      <x:c r="M201" s="32" t="str">
        <x:f>IF(AND(M$8&lt;='Detalle'!$H101,M$9&gt;='Detalle'!$G101),1,"")</x:f>
      </x:c>
      <x:c r="N201" s="32" t="str">
        <x:f>IF(AND(N$8&lt;='Detalle'!$H101,N$9&gt;='Detalle'!$G101),1,"")</x:f>
      </x:c>
      <x:c r="O201" s="32" t="str">
        <x:f>IF(AND(O$8&lt;='Detalle'!$H101,O$9&gt;='Detalle'!$G101),1,"")</x:f>
      </x:c>
      <x:c r="P201" s="32" t="str">
        <x:f>IF(AND(P$8&lt;='Detalle'!$H101,P$9&gt;='Detalle'!$G101),1,"")</x:f>
      </x:c>
      <x:c r="Q201" s="68"/>
      <x:c r="R201" s="67" t="str">
        <x:f>IF('Detalle'!M101="","",'Detalle'!M101)</x:f>
      </x:c>
      <x:c r="S201" s="67" t="str">
        <x:f>IF('Detalle'!N101="","",'Detalle'!N101)</x:f>
      </x:c>
    </x:row>
    <x:row r="202" ht="16" customHeight="1">
      <x:c r="A202" s="56" t="str">
        <x:v>MVP04.013</x:v>
      </x:c>
      <x:c r="B202" s="57" t="str">
        <x:v>Confirmar borrado desde el cliente</x:v>
      </x:c>
      <x:c r="C202" s="63" t="str">
        <x:v>R</x:v>
      </x:c>
      <x:c r="D202" s="65" t="str">
        <x:f>IF('Detalle'!L101="","",'Detalle'!L101)</x:f>
      </x:c>
      <x:c r="E202" s="60" t="str"/>
      <x:c r="F202" s="32" t="str">
        <x:f>IF(OR('Detalle'!$J101="",'Detalle'!$K101="",'Detalle'!$L101=""),"",IF(AND(F$8&lt;='Detalle'!$K101,F$9&gt;='Detalle'!$J101),1,""))</x:f>
      </x:c>
      <x:c r="G202" s="32" t="str">
        <x:f>IF(OR('Detalle'!$J101="",'Detalle'!$K101="",'Detalle'!$L101=""),"",IF(AND(G$8&lt;='Detalle'!$K101,G$9&gt;='Detalle'!$J101),1,""))</x:f>
      </x:c>
      <x:c r="H202" s="32" t="str">
        <x:f>IF(OR('Detalle'!$J101="",'Detalle'!$K101="",'Detalle'!$L101=""),"",IF(AND(H$8&lt;='Detalle'!$K101,H$9&gt;='Detalle'!$J101),1,""))</x:f>
      </x:c>
      <x:c r="I202" s="32" t="str">
        <x:f>IF(OR('Detalle'!$J101="",'Detalle'!$K101="",'Detalle'!$L101=""),"",IF(AND(I$8&lt;='Detalle'!$K101,I$9&gt;='Detalle'!$J101),1,""))</x:f>
      </x:c>
      <x:c r="J202" s="32" t="str">
        <x:f>IF(OR('Detalle'!$J101="",'Detalle'!$K101="",'Detalle'!$L101=""),"",IF(AND(J$8&lt;='Detalle'!$K101,J$9&gt;='Detalle'!$J101),1,""))</x:f>
      </x:c>
      <x:c r="K202" s="32" t="str">
        <x:f>IF(OR('Detalle'!$J101="",'Detalle'!$K101="",'Detalle'!$L101=""),"",IF(AND(K$8&lt;='Detalle'!$K101,K$9&gt;='Detalle'!$J101),1,""))</x:f>
      </x:c>
      <x:c r="L202" s="32" t="str">
        <x:f>IF(OR('Detalle'!$J101="",'Detalle'!$K101="",'Detalle'!$L101=""),"",IF(AND(L$8&lt;='Detalle'!$K101,L$9&gt;='Detalle'!$J101),1,""))</x:f>
      </x:c>
      <x:c r="M202" s="32" t="str">
        <x:f>IF(OR('Detalle'!$J101="",'Detalle'!$K101="",'Detalle'!$L101=""),"",IF(AND(M$8&lt;='Detalle'!$K101,M$9&gt;='Detalle'!$J101),1,""))</x:f>
      </x:c>
      <x:c r="N202" s="32" t="str">
        <x:f>IF(OR('Detalle'!$J101="",'Detalle'!$K101="",'Detalle'!$L101=""),"",IF(AND(N$8&lt;='Detalle'!$K101,N$9&gt;='Detalle'!$J101),1,""))</x:f>
      </x:c>
      <x:c r="O202" s="32" t="str">
        <x:f>IF(OR('Detalle'!$J101="",'Detalle'!$K101="",'Detalle'!$L101=""),"",IF(AND(O$8&lt;='Detalle'!$K101,O$9&gt;='Detalle'!$J101),1,""))</x:f>
      </x:c>
      <x:c r="P202" s="32" t="str">
        <x:f>IF(OR('Detalle'!$J101="",'Detalle'!$K101="",'Detalle'!$L101=""),"",IF(AND(P$8&lt;='Detalle'!$K101,P$9&gt;='Detalle'!$J101),1,""))</x:f>
      </x:c>
      <x:c r="Q202" s="68"/>
      <x:c r="R202" s="67" t="str"/>
      <x:c r="S202" s="67" t="str"/>
    </x:row>
    <x:row r="203" ht="20" customHeight="1">
      <x:c r="A203" s="52" t="str">
        <x:v>MVP05 · Verificación del MVP</x:v>
      </x:c>
      <x:c r="B203" s="52" t="str">
        <x:v>MVP05 · Verificación del MVP</x:v>
      </x:c>
      <x:c r="C203" s="52" t="str">
        <x:v>MVP05 · Verificación del MVP</x:v>
      </x:c>
      <x:c r="D203" s="52" t="str">
        <x:v>MVP05 · Verificación del MVP</x:v>
      </x:c>
      <x:c r="E203" s="52" t="str">
        <x:v>MVP05 · Verificación del MVP</x:v>
      </x:c>
      <x:c r="F203" s="53" t="str">
        <x:v>MVP05 · Verificación del MVP</x:v>
      </x:c>
      <x:c r="G203" s="53" t="str">
        <x:v>MVP05 · Verificación del MVP</x:v>
      </x:c>
      <x:c r="H203" s="53" t="str">
        <x:v>MVP05 · Verificación del MVP</x:v>
      </x:c>
      <x:c r="I203" s="53" t="str">
        <x:v>MVP05 · Verificación del MVP</x:v>
      </x:c>
      <x:c r="J203" s="53" t="str">
        <x:v>MVP05 · Verificación del MVP</x:v>
      </x:c>
      <x:c r="K203" s="53" t="str">
        <x:v>MVP05 · Verificación del MVP</x:v>
      </x:c>
      <x:c r="L203" s="53" t="str">
        <x:v>MVP05 · Verificación del MVP</x:v>
      </x:c>
      <x:c r="M203" s="53" t="str">
        <x:v>MVP05 · Verificación del MVP</x:v>
      </x:c>
      <x:c r="N203" s="53" t="str">
        <x:v>MVP05 · Verificación del MVP</x:v>
      </x:c>
      <x:c r="O203" s="53" t="str">
        <x:v>MVP05 · Verificación del MVP</x:v>
      </x:c>
      <x:c r="P203" s="53" t="str">
        <x:v>MVP05 · Verificación del MVP</x:v>
      </x:c>
      <x:c r="Q203" s="52" t="str">
        <x:v>MVP05 · Verificación del MVP</x:v>
      </x:c>
      <x:c r="R203" s="52" t="str">
        <x:v>MVP05 · Verificación del MVP</x:v>
      </x:c>
      <x:c r="S203" s="52" t="str">
        <x:v>MVP05 · Verificación del MVP</x:v>
      </x:c>
    </x:row>
    <x:row r="204" ht="16" customHeight="1">
      <x:c r="A204" s="56" t="str">
        <x:v>MVP05.001</x:v>
      </x:c>
      <x:c r="B204" s="57" t="str">
        <x:v>Probar configuración de la aplicación</x:v>
      </x:c>
      <x:c r="C204" s="62" t="str">
        <x:v>E</x:v>
      </x:c>
      <x:c r="D204" s="64" t="n">
        <x:f>'Detalle'!I102</x:f>
        <x:v>1</x:v>
      </x:c>
      <x:c r="E204" s="60" t="str">
        <x:f>'Detalle'!F102</x:f>
        <x:v>Completado</x:v>
      </x:c>
      <x:c r="F204" s="32" t="str">
        <x:f>IF(AND(F$8&lt;='Detalle'!$H102,F$9&gt;='Detalle'!$G102),1,"")</x:f>
      </x:c>
      <x:c r="G204" s="32" t="n">
        <x:f>IF(AND(G$8&lt;='Detalle'!$H102,G$9&gt;='Detalle'!$G102),1,"")</x:f>
        <x:v>1</x:v>
      </x:c>
      <x:c r="H204" s="32" t="str">
        <x:f>IF(AND(H$8&lt;='Detalle'!$H102,H$9&gt;='Detalle'!$G102),1,"")</x:f>
      </x:c>
      <x:c r="I204" s="32" t="str">
        <x:f>IF(AND(I$8&lt;='Detalle'!$H102,I$9&gt;='Detalle'!$G102),1,"")</x:f>
      </x:c>
      <x:c r="J204" s="32" t="str">
        <x:f>IF(AND(J$8&lt;='Detalle'!$H102,J$9&gt;='Detalle'!$G102),1,"")</x:f>
      </x:c>
      <x:c r="K204" s="32" t="str">
        <x:f>IF(AND(K$8&lt;='Detalle'!$H102,K$9&gt;='Detalle'!$G102),1,"")</x:f>
      </x:c>
      <x:c r="L204" s="32" t="str">
        <x:f>IF(AND(L$8&lt;='Detalle'!$H102,L$9&gt;='Detalle'!$G102),1,"")</x:f>
      </x:c>
      <x:c r="M204" s="32" t="str">
        <x:f>IF(AND(M$8&lt;='Detalle'!$H102,M$9&gt;='Detalle'!$G102),1,"")</x:f>
      </x:c>
      <x:c r="N204" s="32" t="str">
        <x:f>IF(AND(N$8&lt;='Detalle'!$H102,N$9&gt;='Detalle'!$G102),1,"")</x:f>
      </x:c>
      <x:c r="O204" s="32" t="str">
        <x:f>IF(AND(O$8&lt;='Detalle'!$H102,O$9&gt;='Detalle'!$G102),1,"")</x:f>
      </x:c>
      <x:c r="P204" s="32" t="str">
        <x:f>IF(AND(P$8&lt;='Detalle'!$H102,P$9&gt;='Detalle'!$G102),1,"")</x:f>
      </x:c>
      <x:c r="Q204" s="68"/>
      <x:c r="R204" s="67" t="str">
        <x:f>IF('Detalle'!M102="","",'Detalle'!M102)</x:f>
      </x:c>
      <x:c r="S204" s="67" t="str">
        <x:f>IF('Detalle'!N102="","",'Detalle'!N102)</x:f>
      </x:c>
    </x:row>
    <x:row r="205" ht="16" customHeight="1">
      <x:c r="A205" s="56" t="str">
        <x:v>MVP05.001</x:v>
      </x:c>
      <x:c r="B205" s="57" t="str">
        <x:v>Probar configuración de la aplicación</x:v>
      </x:c>
      <x:c r="C205" s="63" t="str">
        <x:v>R</x:v>
      </x:c>
      <x:c r="D205" s="65" t="str">
        <x:f>IF('Detalle'!L102="","",'Detalle'!L102)</x:f>
      </x:c>
      <x:c r="E205" s="60" t="str"/>
      <x:c r="F205" s="32" t="str">
        <x:f>IF(OR('Detalle'!$J102="",'Detalle'!$K102="",'Detalle'!$L102=""),"",IF(AND(F$8&lt;='Detalle'!$K102,F$9&gt;='Detalle'!$J102),1,""))</x:f>
      </x:c>
      <x:c r="G205" s="32" t="str">
        <x:f>IF(OR('Detalle'!$J102="",'Detalle'!$K102="",'Detalle'!$L102=""),"",IF(AND(G$8&lt;='Detalle'!$K102,G$9&gt;='Detalle'!$J102),1,""))</x:f>
      </x:c>
      <x:c r="H205" s="32" t="str">
        <x:f>IF(OR('Detalle'!$J102="",'Detalle'!$K102="",'Detalle'!$L102=""),"",IF(AND(H$8&lt;='Detalle'!$K102,H$9&gt;='Detalle'!$J102),1,""))</x:f>
      </x:c>
      <x:c r="I205" s="32" t="str">
        <x:f>IF(OR('Detalle'!$J102="",'Detalle'!$K102="",'Detalle'!$L102=""),"",IF(AND(I$8&lt;='Detalle'!$K102,I$9&gt;='Detalle'!$J102),1,""))</x:f>
      </x:c>
      <x:c r="J205" s="32" t="str">
        <x:f>IF(OR('Detalle'!$J102="",'Detalle'!$K102="",'Detalle'!$L102=""),"",IF(AND(J$8&lt;='Detalle'!$K102,J$9&gt;='Detalle'!$J102),1,""))</x:f>
      </x:c>
      <x:c r="K205" s="32" t="str">
        <x:f>IF(OR('Detalle'!$J102="",'Detalle'!$K102="",'Detalle'!$L102=""),"",IF(AND(K$8&lt;='Detalle'!$K102,K$9&gt;='Detalle'!$J102),1,""))</x:f>
      </x:c>
      <x:c r="L205" s="32" t="str">
        <x:f>IF(OR('Detalle'!$J102="",'Detalle'!$K102="",'Detalle'!$L102=""),"",IF(AND(L$8&lt;='Detalle'!$K102,L$9&gt;='Detalle'!$J102),1,""))</x:f>
      </x:c>
      <x:c r="M205" s="32" t="str">
        <x:f>IF(OR('Detalle'!$J102="",'Detalle'!$K102="",'Detalle'!$L102=""),"",IF(AND(M$8&lt;='Detalle'!$K102,M$9&gt;='Detalle'!$J102),1,""))</x:f>
      </x:c>
      <x:c r="N205" s="32" t="str">
        <x:f>IF(OR('Detalle'!$J102="",'Detalle'!$K102="",'Detalle'!$L102=""),"",IF(AND(N$8&lt;='Detalle'!$K102,N$9&gt;='Detalle'!$J102),1,""))</x:f>
      </x:c>
      <x:c r="O205" s="32" t="str">
        <x:f>IF(OR('Detalle'!$J102="",'Detalle'!$K102="",'Detalle'!$L102=""),"",IF(AND(O$8&lt;='Detalle'!$K102,O$9&gt;='Detalle'!$J102),1,""))</x:f>
      </x:c>
      <x:c r="P205" s="32" t="str">
        <x:f>IF(OR('Detalle'!$J102="",'Detalle'!$K102="",'Detalle'!$L102=""),"",IF(AND(P$8&lt;='Detalle'!$K102,P$9&gt;='Detalle'!$J102),1,""))</x:f>
      </x:c>
      <x:c r="Q205" s="68"/>
      <x:c r="R205" s="67" t="str"/>
      <x:c r="S205" s="67" t="str"/>
    </x:row>
    <x:row r="206" ht="16" customHeight="1">
      <x:c r="A206" s="56" t="str">
        <x:v>MVP05.002</x:v>
      </x:c>
      <x:c r="B206" s="57" t="str">
        <x:v>Probar validadores iniciales</x:v>
      </x:c>
      <x:c r="C206" s="62" t="str">
        <x:v>E</x:v>
      </x:c>
      <x:c r="D206" s="64" t="n">
        <x:f>'Detalle'!I103</x:f>
        <x:v>1</x:v>
      </x:c>
      <x:c r="E206" s="60" t="str">
        <x:f>'Detalle'!F103</x:f>
        <x:v>Completado</x:v>
      </x:c>
      <x:c r="F206" s="32" t="str">
        <x:f>IF(AND(F$8&lt;='Detalle'!$H103,F$9&gt;='Detalle'!$G103),1,"")</x:f>
      </x:c>
      <x:c r="G206" s="32" t="n">
        <x:f>IF(AND(G$8&lt;='Detalle'!$H103,G$9&gt;='Detalle'!$G103),1,"")</x:f>
        <x:v>1</x:v>
      </x:c>
      <x:c r="H206" s="32" t="str">
        <x:f>IF(AND(H$8&lt;='Detalle'!$H103,H$9&gt;='Detalle'!$G103),1,"")</x:f>
      </x:c>
      <x:c r="I206" s="32" t="str">
        <x:f>IF(AND(I$8&lt;='Detalle'!$H103,I$9&gt;='Detalle'!$G103),1,"")</x:f>
      </x:c>
      <x:c r="J206" s="32" t="str">
        <x:f>IF(AND(J$8&lt;='Detalle'!$H103,J$9&gt;='Detalle'!$G103),1,"")</x:f>
      </x:c>
      <x:c r="K206" s="32" t="str">
        <x:f>IF(AND(K$8&lt;='Detalle'!$H103,K$9&gt;='Detalle'!$G103),1,"")</x:f>
      </x:c>
      <x:c r="L206" s="32" t="str">
        <x:f>IF(AND(L$8&lt;='Detalle'!$H103,L$9&gt;='Detalle'!$G103),1,"")</x:f>
      </x:c>
      <x:c r="M206" s="32" t="str">
        <x:f>IF(AND(M$8&lt;='Detalle'!$H103,M$9&gt;='Detalle'!$G103),1,"")</x:f>
      </x:c>
      <x:c r="N206" s="32" t="str">
        <x:f>IF(AND(N$8&lt;='Detalle'!$H103,N$9&gt;='Detalle'!$G103),1,"")</x:f>
      </x:c>
      <x:c r="O206" s="32" t="str">
        <x:f>IF(AND(O$8&lt;='Detalle'!$H103,O$9&gt;='Detalle'!$G103),1,"")</x:f>
      </x:c>
      <x:c r="P206" s="32" t="str">
        <x:f>IF(AND(P$8&lt;='Detalle'!$H103,P$9&gt;='Detalle'!$G103),1,"")</x:f>
      </x:c>
      <x:c r="Q206" s="68"/>
      <x:c r="R206" s="67" t="str">
        <x:f>IF('Detalle'!M103="","",'Detalle'!M103)</x:f>
      </x:c>
      <x:c r="S206" s="67" t="str">
        <x:f>IF('Detalle'!N103="","",'Detalle'!N103)</x:f>
      </x:c>
    </x:row>
    <x:row r="207" ht="16" customHeight="1">
      <x:c r="A207" s="56" t="str">
        <x:v>MVP05.002</x:v>
      </x:c>
      <x:c r="B207" s="57" t="str">
        <x:v>Probar validadores iniciales</x:v>
      </x:c>
      <x:c r="C207" s="63" t="str">
        <x:v>R</x:v>
      </x:c>
      <x:c r="D207" s="65" t="str">
        <x:f>IF('Detalle'!L103="","",'Detalle'!L103)</x:f>
      </x:c>
      <x:c r="E207" s="60" t="str"/>
      <x:c r="F207" s="32" t="str">
        <x:f>IF(OR('Detalle'!$J103="",'Detalle'!$K103="",'Detalle'!$L103=""),"",IF(AND(F$8&lt;='Detalle'!$K103,F$9&gt;='Detalle'!$J103),1,""))</x:f>
      </x:c>
      <x:c r="G207" s="32" t="str">
        <x:f>IF(OR('Detalle'!$J103="",'Detalle'!$K103="",'Detalle'!$L103=""),"",IF(AND(G$8&lt;='Detalle'!$K103,G$9&gt;='Detalle'!$J103),1,""))</x:f>
      </x:c>
      <x:c r="H207" s="32" t="str">
        <x:f>IF(OR('Detalle'!$J103="",'Detalle'!$K103="",'Detalle'!$L103=""),"",IF(AND(H$8&lt;='Detalle'!$K103,H$9&gt;='Detalle'!$J103),1,""))</x:f>
      </x:c>
      <x:c r="I207" s="32" t="str">
        <x:f>IF(OR('Detalle'!$J103="",'Detalle'!$K103="",'Detalle'!$L103=""),"",IF(AND(I$8&lt;='Detalle'!$K103,I$9&gt;='Detalle'!$J103),1,""))</x:f>
      </x:c>
      <x:c r="J207" s="32" t="str">
        <x:f>IF(OR('Detalle'!$J103="",'Detalle'!$K103="",'Detalle'!$L103=""),"",IF(AND(J$8&lt;='Detalle'!$K103,J$9&gt;='Detalle'!$J103),1,""))</x:f>
      </x:c>
      <x:c r="K207" s="32" t="str">
        <x:f>IF(OR('Detalle'!$J103="",'Detalle'!$K103="",'Detalle'!$L103=""),"",IF(AND(K$8&lt;='Detalle'!$K103,K$9&gt;='Detalle'!$J103),1,""))</x:f>
      </x:c>
      <x:c r="L207" s="32" t="str">
        <x:f>IF(OR('Detalle'!$J103="",'Detalle'!$K103="",'Detalle'!$L103=""),"",IF(AND(L$8&lt;='Detalle'!$K103,L$9&gt;='Detalle'!$J103),1,""))</x:f>
      </x:c>
      <x:c r="M207" s="32" t="str">
        <x:f>IF(OR('Detalle'!$J103="",'Detalle'!$K103="",'Detalle'!$L103=""),"",IF(AND(M$8&lt;='Detalle'!$K103,M$9&gt;='Detalle'!$J103),1,""))</x:f>
      </x:c>
      <x:c r="N207" s="32" t="str">
        <x:f>IF(OR('Detalle'!$J103="",'Detalle'!$K103="",'Detalle'!$L103=""),"",IF(AND(N$8&lt;='Detalle'!$K103,N$9&gt;='Detalle'!$J103),1,""))</x:f>
      </x:c>
      <x:c r="O207" s="32" t="str">
        <x:f>IF(OR('Detalle'!$J103="",'Detalle'!$K103="",'Detalle'!$L103=""),"",IF(AND(O$8&lt;='Detalle'!$K103,O$9&gt;='Detalle'!$J103),1,""))</x:f>
      </x:c>
      <x:c r="P207" s="32" t="str">
        <x:f>IF(OR('Detalle'!$J103="",'Detalle'!$K103="",'Detalle'!$L103=""),"",IF(AND(P$8&lt;='Detalle'!$K103,P$9&gt;='Detalle'!$J103),1,""))</x:f>
      </x:c>
      <x:c r="Q207" s="68"/>
      <x:c r="R207" s="67" t="str"/>
      <x:c r="S207" s="67" t="str"/>
    </x:row>
    <x:row r="208" ht="16" customHeight="1">
      <x:c r="A208" s="56" t="str">
        <x:v>MVP05.003</x:v>
      </x:c>
      <x:c r="B208" s="57" t="str">
        <x:v>Probar estados de sesión</x:v>
      </x:c>
      <x:c r="C208" s="62" t="str">
        <x:v>E</x:v>
      </x:c>
      <x:c r="D208" s="64" t="n">
        <x:f>'Detalle'!I104</x:f>
        <x:v>1</x:v>
      </x:c>
      <x:c r="E208" s="60" t="str">
        <x:f>'Detalle'!F104</x:f>
        <x:v>Completado</x:v>
      </x:c>
      <x:c r="F208" s="32" t="str">
        <x:f>IF(AND(F$8&lt;='Detalle'!$H104,F$9&gt;='Detalle'!$G104),1,"")</x:f>
      </x:c>
      <x:c r="G208" s="32" t="n">
        <x:f>IF(AND(G$8&lt;='Detalle'!$H104,G$9&gt;='Detalle'!$G104),1,"")</x:f>
        <x:v>1</x:v>
      </x:c>
      <x:c r="H208" s="32" t="str">
        <x:f>IF(AND(H$8&lt;='Detalle'!$H104,H$9&gt;='Detalle'!$G104),1,"")</x:f>
      </x:c>
      <x:c r="I208" s="32" t="str">
        <x:f>IF(AND(I$8&lt;='Detalle'!$H104,I$9&gt;='Detalle'!$G104),1,"")</x:f>
      </x:c>
      <x:c r="J208" s="32" t="str">
        <x:f>IF(AND(J$8&lt;='Detalle'!$H104,J$9&gt;='Detalle'!$G104),1,"")</x:f>
      </x:c>
      <x:c r="K208" s="32" t="str">
        <x:f>IF(AND(K$8&lt;='Detalle'!$H104,K$9&gt;='Detalle'!$G104),1,"")</x:f>
      </x:c>
      <x:c r="L208" s="32" t="str">
        <x:f>IF(AND(L$8&lt;='Detalle'!$H104,L$9&gt;='Detalle'!$G104),1,"")</x:f>
      </x:c>
      <x:c r="M208" s="32" t="str">
        <x:f>IF(AND(M$8&lt;='Detalle'!$H104,M$9&gt;='Detalle'!$G104),1,"")</x:f>
      </x:c>
      <x:c r="N208" s="32" t="str">
        <x:f>IF(AND(N$8&lt;='Detalle'!$H104,N$9&gt;='Detalle'!$G104),1,"")</x:f>
      </x:c>
      <x:c r="O208" s="32" t="str">
        <x:f>IF(AND(O$8&lt;='Detalle'!$H104,O$9&gt;='Detalle'!$G104),1,"")</x:f>
      </x:c>
      <x:c r="P208" s="32" t="str">
        <x:f>IF(AND(P$8&lt;='Detalle'!$H104,P$9&gt;='Detalle'!$G104),1,"")</x:f>
      </x:c>
      <x:c r="Q208" s="68"/>
      <x:c r="R208" s="67" t="str">
        <x:f>IF('Detalle'!M104="","",'Detalle'!M104)</x:f>
      </x:c>
      <x:c r="S208" s="67" t="str">
        <x:f>IF('Detalle'!N104="","",'Detalle'!N104)</x:f>
      </x:c>
    </x:row>
    <x:row r="209" ht="16" customHeight="1">
      <x:c r="A209" s="56" t="str">
        <x:v>MVP05.003</x:v>
      </x:c>
      <x:c r="B209" s="57" t="str">
        <x:v>Probar estados de sesión</x:v>
      </x:c>
      <x:c r="C209" s="63" t="str">
        <x:v>R</x:v>
      </x:c>
      <x:c r="D209" s="65" t="str">
        <x:f>IF('Detalle'!L104="","",'Detalle'!L104)</x:f>
      </x:c>
      <x:c r="E209" s="60" t="str"/>
      <x:c r="F209" s="32" t="str">
        <x:f>IF(OR('Detalle'!$J104="",'Detalle'!$K104="",'Detalle'!$L104=""),"",IF(AND(F$8&lt;='Detalle'!$K104,F$9&gt;='Detalle'!$J104),1,""))</x:f>
      </x:c>
      <x:c r="G209" s="32" t="str">
        <x:f>IF(OR('Detalle'!$J104="",'Detalle'!$K104="",'Detalle'!$L104=""),"",IF(AND(G$8&lt;='Detalle'!$K104,G$9&gt;='Detalle'!$J104),1,""))</x:f>
      </x:c>
      <x:c r="H209" s="32" t="str">
        <x:f>IF(OR('Detalle'!$J104="",'Detalle'!$K104="",'Detalle'!$L104=""),"",IF(AND(H$8&lt;='Detalle'!$K104,H$9&gt;='Detalle'!$J104),1,""))</x:f>
      </x:c>
      <x:c r="I209" s="32" t="str">
        <x:f>IF(OR('Detalle'!$J104="",'Detalle'!$K104="",'Detalle'!$L104=""),"",IF(AND(I$8&lt;='Detalle'!$K104,I$9&gt;='Detalle'!$J104),1,""))</x:f>
      </x:c>
      <x:c r="J209" s="32" t="str">
        <x:f>IF(OR('Detalle'!$J104="",'Detalle'!$K104="",'Detalle'!$L104=""),"",IF(AND(J$8&lt;='Detalle'!$K104,J$9&gt;='Detalle'!$J104),1,""))</x:f>
      </x:c>
      <x:c r="K209" s="32" t="str">
        <x:f>IF(OR('Detalle'!$J104="",'Detalle'!$K104="",'Detalle'!$L104=""),"",IF(AND(K$8&lt;='Detalle'!$K104,K$9&gt;='Detalle'!$J104),1,""))</x:f>
      </x:c>
      <x:c r="L209" s="32" t="str">
        <x:f>IF(OR('Detalle'!$J104="",'Detalle'!$K104="",'Detalle'!$L104=""),"",IF(AND(L$8&lt;='Detalle'!$K104,L$9&gt;='Detalle'!$J104),1,""))</x:f>
      </x:c>
      <x:c r="M209" s="32" t="str">
        <x:f>IF(OR('Detalle'!$J104="",'Detalle'!$K104="",'Detalle'!$L104=""),"",IF(AND(M$8&lt;='Detalle'!$K104,M$9&gt;='Detalle'!$J104),1,""))</x:f>
      </x:c>
      <x:c r="N209" s="32" t="str">
        <x:f>IF(OR('Detalle'!$J104="",'Detalle'!$K104="",'Detalle'!$L104=""),"",IF(AND(N$8&lt;='Detalle'!$K104,N$9&gt;='Detalle'!$J104),1,""))</x:f>
      </x:c>
      <x:c r="O209" s="32" t="str">
        <x:f>IF(OR('Detalle'!$J104="",'Detalle'!$K104="",'Detalle'!$L104=""),"",IF(AND(O$8&lt;='Detalle'!$K104,O$9&gt;='Detalle'!$J104),1,""))</x:f>
      </x:c>
      <x:c r="P209" s="32" t="str">
        <x:f>IF(OR('Detalle'!$J104="",'Detalle'!$K104="",'Detalle'!$L104=""),"",IF(AND(P$8&lt;='Detalle'!$K104,P$9&gt;='Detalle'!$J104),1,""))</x:f>
      </x:c>
      <x:c r="Q209" s="68"/>
      <x:c r="R209" s="67" t="str"/>
      <x:c r="S209" s="67" t="str"/>
    </x:row>
    <x:row r="210" ht="16" customHeight="1">
      <x:c r="A210" s="56" t="str">
        <x:v>MVP05.004</x:v>
      </x:c>
      <x:c r="B210" s="57" t="str">
        <x:v>Probar redirecciones de rutas</x:v>
      </x:c>
      <x:c r="C210" s="62" t="str">
        <x:v>E</x:v>
      </x:c>
      <x:c r="D210" s="64" t="n">
        <x:f>'Detalle'!I105</x:f>
        <x:v>1</x:v>
      </x:c>
      <x:c r="E210" s="60" t="str">
        <x:f>'Detalle'!F105</x:f>
        <x:v>Completado</x:v>
      </x:c>
      <x:c r="F210" s="32" t="str">
        <x:f>IF(AND(F$8&lt;='Detalle'!$H105,F$9&gt;='Detalle'!$G105),1,"")</x:f>
      </x:c>
      <x:c r="G210" s="32" t="n">
        <x:f>IF(AND(G$8&lt;='Detalle'!$H105,G$9&gt;='Detalle'!$G105),1,"")</x:f>
        <x:v>1</x:v>
      </x:c>
      <x:c r="H210" s="32" t="str">
        <x:f>IF(AND(H$8&lt;='Detalle'!$H105,H$9&gt;='Detalle'!$G105),1,"")</x:f>
      </x:c>
      <x:c r="I210" s="32" t="str">
        <x:f>IF(AND(I$8&lt;='Detalle'!$H105,I$9&gt;='Detalle'!$G105),1,"")</x:f>
      </x:c>
      <x:c r="J210" s="32" t="str">
        <x:f>IF(AND(J$8&lt;='Detalle'!$H105,J$9&gt;='Detalle'!$G105),1,"")</x:f>
      </x:c>
      <x:c r="K210" s="32" t="str">
        <x:f>IF(AND(K$8&lt;='Detalle'!$H105,K$9&gt;='Detalle'!$G105),1,"")</x:f>
      </x:c>
      <x:c r="L210" s="32" t="str">
        <x:f>IF(AND(L$8&lt;='Detalle'!$H105,L$9&gt;='Detalle'!$G105),1,"")</x:f>
      </x:c>
      <x:c r="M210" s="32" t="str">
        <x:f>IF(AND(M$8&lt;='Detalle'!$H105,M$9&gt;='Detalle'!$G105),1,"")</x:f>
      </x:c>
      <x:c r="N210" s="32" t="str">
        <x:f>IF(AND(N$8&lt;='Detalle'!$H105,N$9&gt;='Detalle'!$G105),1,"")</x:f>
      </x:c>
      <x:c r="O210" s="32" t="str">
        <x:f>IF(AND(O$8&lt;='Detalle'!$H105,O$9&gt;='Detalle'!$G105),1,"")</x:f>
      </x:c>
      <x:c r="P210" s="32" t="str">
        <x:f>IF(AND(P$8&lt;='Detalle'!$H105,P$9&gt;='Detalle'!$G105),1,"")</x:f>
      </x:c>
      <x:c r="Q210" s="68"/>
      <x:c r="R210" s="67" t="str">
        <x:f>IF('Detalle'!M105="","",'Detalle'!M105)</x:f>
      </x:c>
      <x:c r="S210" s="67" t="str">
        <x:f>IF('Detalle'!N105="","",'Detalle'!N105)</x:f>
      </x:c>
    </x:row>
    <x:row r="211" ht="16" customHeight="1">
      <x:c r="A211" s="56" t="str">
        <x:v>MVP05.004</x:v>
      </x:c>
      <x:c r="B211" s="57" t="str">
        <x:v>Probar redirecciones de rutas</x:v>
      </x:c>
      <x:c r="C211" s="63" t="str">
        <x:v>R</x:v>
      </x:c>
      <x:c r="D211" s="65" t="str">
        <x:f>IF('Detalle'!L105="","",'Detalle'!L105)</x:f>
      </x:c>
      <x:c r="E211" s="60" t="str"/>
      <x:c r="F211" s="32" t="str">
        <x:f>IF(OR('Detalle'!$J105="",'Detalle'!$K105="",'Detalle'!$L105=""),"",IF(AND(F$8&lt;='Detalle'!$K105,F$9&gt;='Detalle'!$J105),1,""))</x:f>
      </x:c>
      <x:c r="G211" s="32" t="str">
        <x:f>IF(OR('Detalle'!$J105="",'Detalle'!$K105="",'Detalle'!$L105=""),"",IF(AND(G$8&lt;='Detalle'!$K105,G$9&gt;='Detalle'!$J105),1,""))</x:f>
      </x:c>
      <x:c r="H211" s="32" t="str">
        <x:f>IF(OR('Detalle'!$J105="",'Detalle'!$K105="",'Detalle'!$L105=""),"",IF(AND(H$8&lt;='Detalle'!$K105,H$9&gt;='Detalle'!$J105),1,""))</x:f>
      </x:c>
      <x:c r="I211" s="32" t="str">
        <x:f>IF(OR('Detalle'!$J105="",'Detalle'!$K105="",'Detalle'!$L105=""),"",IF(AND(I$8&lt;='Detalle'!$K105,I$9&gt;='Detalle'!$J105),1,""))</x:f>
      </x:c>
      <x:c r="J211" s="32" t="str">
        <x:f>IF(OR('Detalle'!$J105="",'Detalle'!$K105="",'Detalle'!$L105=""),"",IF(AND(J$8&lt;='Detalle'!$K105,J$9&gt;='Detalle'!$J105),1,""))</x:f>
      </x:c>
      <x:c r="K211" s="32" t="str">
        <x:f>IF(OR('Detalle'!$J105="",'Detalle'!$K105="",'Detalle'!$L105=""),"",IF(AND(K$8&lt;='Detalle'!$K105,K$9&gt;='Detalle'!$J105),1,""))</x:f>
      </x:c>
      <x:c r="L211" s="32" t="str">
        <x:f>IF(OR('Detalle'!$J105="",'Detalle'!$K105="",'Detalle'!$L105=""),"",IF(AND(L$8&lt;='Detalle'!$K105,L$9&gt;='Detalle'!$J105),1,""))</x:f>
      </x:c>
      <x:c r="M211" s="32" t="str">
        <x:f>IF(OR('Detalle'!$J105="",'Detalle'!$K105="",'Detalle'!$L105=""),"",IF(AND(M$8&lt;='Detalle'!$K105,M$9&gt;='Detalle'!$J105),1,""))</x:f>
      </x:c>
      <x:c r="N211" s="32" t="str">
        <x:f>IF(OR('Detalle'!$J105="",'Detalle'!$K105="",'Detalle'!$L105=""),"",IF(AND(N$8&lt;='Detalle'!$K105,N$9&gt;='Detalle'!$J105),1,""))</x:f>
      </x:c>
      <x:c r="O211" s="32" t="str">
        <x:f>IF(OR('Detalle'!$J105="",'Detalle'!$K105="",'Detalle'!$L105=""),"",IF(AND(O$8&lt;='Detalle'!$K105,O$9&gt;='Detalle'!$J105),1,""))</x:f>
      </x:c>
      <x:c r="P211" s="32" t="str">
        <x:f>IF(OR('Detalle'!$J105="",'Detalle'!$K105="",'Detalle'!$L105=""),"",IF(AND(P$8&lt;='Detalle'!$K105,P$9&gt;='Detalle'!$J105),1,""))</x:f>
      </x:c>
      <x:c r="Q211" s="68"/>
      <x:c r="R211" s="67" t="str"/>
      <x:c r="S211" s="67" t="str"/>
    </x:row>
    <x:row r="212" ht="16" customHeight="1">
      <x:c r="A212" s="56" t="str">
        <x:v>MVP05.005</x:v>
      </x:c>
      <x:c r="B212" s="57" t="str">
        <x:v>Probar modelo inicial de perfil</x:v>
      </x:c>
      <x:c r="C212" s="62" t="str">
        <x:v>E</x:v>
      </x:c>
      <x:c r="D212" s="64" t="n">
        <x:f>'Detalle'!I106</x:f>
        <x:v>1</x:v>
      </x:c>
      <x:c r="E212" s="60" t="str">
        <x:f>'Detalle'!F106</x:f>
        <x:v>Completado</x:v>
      </x:c>
      <x:c r="F212" s="32" t="str">
        <x:f>IF(AND(F$8&lt;='Detalle'!$H106,F$9&gt;='Detalle'!$G106),1,"")</x:f>
      </x:c>
      <x:c r="G212" s="32" t="n">
        <x:f>IF(AND(G$8&lt;='Detalle'!$H106,G$9&gt;='Detalle'!$G106),1,"")</x:f>
        <x:v>1</x:v>
      </x:c>
      <x:c r="H212" s="32" t="str">
        <x:f>IF(AND(H$8&lt;='Detalle'!$H106,H$9&gt;='Detalle'!$G106),1,"")</x:f>
      </x:c>
      <x:c r="I212" s="32" t="str">
        <x:f>IF(AND(I$8&lt;='Detalle'!$H106,I$9&gt;='Detalle'!$G106),1,"")</x:f>
      </x:c>
      <x:c r="J212" s="32" t="str">
        <x:f>IF(AND(J$8&lt;='Detalle'!$H106,J$9&gt;='Detalle'!$G106),1,"")</x:f>
      </x:c>
      <x:c r="K212" s="32" t="str">
        <x:f>IF(AND(K$8&lt;='Detalle'!$H106,K$9&gt;='Detalle'!$G106),1,"")</x:f>
      </x:c>
      <x:c r="L212" s="32" t="str">
        <x:f>IF(AND(L$8&lt;='Detalle'!$H106,L$9&gt;='Detalle'!$G106),1,"")</x:f>
      </x:c>
      <x:c r="M212" s="32" t="str">
        <x:f>IF(AND(M$8&lt;='Detalle'!$H106,M$9&gt;='Detalle'!$G106),1,"")</x:f>
      </x:c>
      <x:c r="N212" s="32" t="str">
        <x:f>IF(AND(N$8&lt;='Detalle'!$H106,N$9&gt;='Detalle'!$G106),1,"")</x:f>
      </x:c>
      <x:c r="O212" s="32" t="str">
        <x:f>IF(AND(O$8&lt;='Detalle'!$H106,O$9&gt;='Detalle'!$G106),1,"")</x:f>
      </x:c>
      <x:c r="P212" s="32" t="str">
        <x:f>IF(AND(P$8&lt;='Detalle'!$H106,P$9&gt;='Detalle'!$G106),1,"")</x:f>
      </x:c>
      <x:c r="Q212" s="68"/>
      <x:c r="R212" s="67" t="str">
        <x:f>IF('Detalle'!M106="","",'Detalle'!M106)</x:f>
      </x:c>
      <x:c r="S212" s="67" t="str">
        <x:f>IF('Detalle'!N106="","",'Detalle'!N106)</x:f>
      </x:c>
    </x:row>
    <x:row r="213" ht="16" customHeight="1">
      <x:c r="A213" s="56" t="str">
        <x:v>MVP05.005</x:v>
      </x:c>
      <x:c r="B213" s="57" t="str">
        <x:v>Probar modelo inicial de perfil</x:v>
      </x:c>
      <x:c r="C213" s="63" t="str">
        <x:v>R</x:v>
      </x:c>
      <x:c r="D213" s="65" t="str">
        <x:f>IF('Detalle'!L106="","",'Detalle'!L106)</x:f>
      </x:c>
      <x:c r="E213" s="60" t="str"/>
      <x:c r="F213" s="32" t="str">
        <x:f>IF(OR('Detalle'!$J106="",'Detalle'!$K106="",'Detalle'!$L106=""),"",IF(AND(F$8&lt;='Detalle'!$K106,F$9&gt;='Detalle'!$J106),1,""))</x:f>
      </x:c>
      <x:c r="G213" s="32" t="str">
        <x:f>IF(OR('Detalle'!$J106="",'Detalle'!$K106="",'Detalle'!$L106=""),"",IF(AND(G$8&lt;='Detalle'!$K106,G$9&gt;='Detalle'!$J106),1,""))</x:f>
      </x:c>
      <x:c r="H213" s="32" t="str">
        <x:f>IF(OR('Detalle'!$J106="",'Detalle'!$K106="",'Detalle'!$L106=""),"",IF(AND(H$8&lt;='Detalle'!$K106,H$9&gt;='Detalle'!$J106),1,""))</x:f>
      </x:c>
      <x:c r="I213" s="32" t="str">
        <x:f>IF(OR('Detalle'!$J106="",'Detalle'!$K106="",'Detalle'!$L106=""),"",IF(AND(I$8&lt;='Detalle'!$K106,I$9&gt;='Detalle'!$J106),1,""))</x:f>
      </x:c>
      <x:c r="J213" s="32" t="str">
        <x:f>IF(OR('Detalle'!$J106="",'Detalle'!$K106="",'Detalle'!$L106=""),"",IF(AND(J$8&lt;='Detalle'!$K106,J$9&gt;='Detalle'!$J106),1,""))</x:f>
      </x:c>
      <x:c r="K213" s="32" t="str">
        <x:f>IF(OR('Detalle'!$J106="",'Detalle'!$K106="",'Detalle'!$L106=""),"",IF(AND(K$8&lt;='Detalle'!$K106,K$9&gt;='Detalle'!$J106),1,""))</x:f>
      </x:c>
      <x:c r="L213" s="32" t="str">
        <x:f>IF(OR('Detalle'!$J106="",'Detalle'!$K106="",'Detalle'!$L106=""),"",IF(AND(L$8&lt;='Detalle'!$K106,L$9&gt;='Detalle'!$J106),1,""))</x:f>
      </x:c>
      <x:c r="M213" s="32" t="str">
        <x:f>IF(OR('Detalle'!$J106="",'Detalle'!$K106="",'Detalle'!$L106=""),"",IF(AND(M$8&lt;='Detalle'!$K106,M$9&gt;='Detalle'!$J106),1,""))</x:f>
      </x:c>
      <x:c r="N213" s="32" t="str">
        <x:f>IF(OR('Detalle'!$J106="",'Detalle'!$K106="",'Detalle'!$L106=""),"",IF(AND(N$8&lt;='Detalle'!$K106,N$9&gt;='Detalle'!$J106),1,""))</x:f>
      </x:c>
      <x:c r="O213" s="32" t="str">
        <x:f>IF(OR('Detalle'!$J106="",'Detalle'!$K106="",'Detalle'!$L106=""),"",IF(AND(O$8&lt;='Detalle'!$K106,O$9&gt;='Detalle'!$J106),1,""))</x:f>
      </x:c>
      <x:c r="P213" s="32" t="str">
        <x:f>IF(OR('Detalle'!$J106="",'Detalle'!$K106="",'Detalle'!$L106=""),"",IF(AND(P$8&lt;='Detalle'!$K106,P$9&gt;='Detalle'!$J106),1,""))</x:f>
      </x:c>
      <x:c r="Q213" s="68"/>
      <x:c r="R213" s="67" t="str"/>
      <x:c r="S213" s="67" t="str"/>
    </x:row>
    <x:row r="214" ht="16" customHeight="1">
      <x:c r="A214" s="56" t="str">
        <x:v>MVP05.006</x:v>
      </x:c>
      <x:c r="B214" s="57" t="str">
        <x:v>Probar pantallas y formularios</x:v>
      </x:c>
      <x:c r="C214" s="62" t="str">
        <x:v>E</x:v>
      </x:c>
      <x:c r="D214" s="64" t="n">
        <x:f>'Detalle'!I107</x:f>
        <x:v>1</x:v>
      </x:c>
      <x:c r="E214" s="60" t="str">
        <x:f>'Detalle'!F107</x:f>
        <x:v>Completado</x:v>
      </x:c>
      <x:c r="F214" s="32" t="str">
        <x:f>IF(AND(F$8&lt;='Detalle'!$H107,F$9&gt;='Detalle'!$G107),1,"")</x:f>
      </x:c>
      <x:c r="G214" s="32" t="n">
        <x:f>IF(AND(G$8&lt;='Detalle'!$H107,G$9&gt;='Detalle'!$G107),1,"")</x:f>
        <x:v>1</x:v>
      </x:c>
      <x:c r="H214" s="32" t="str">
        <x:f>IF(AND(H$8&lt;='Detalle'!$H107,H$9&gt;='Detalle'!$G107),1,"")</x:f>
      </x:c>
      <x:c r="I214" s="32" t="str">
        <x:f>IF(AND(I$8&lt;='Detalle'!$H107,I$9&gt;='Detalle'!$G107),1,"")</x:f>
      </x:c>
      <x:c r="J214" s="32" t="str">
        <x:f>IF(AND(J$8&lt;='Detalle'!$H107,J$9&gt;='Detalle'!$G107),1,"")</x:f>
      </x:c>
      <x:c r="K214" s="32" t="str">
        <x:f>IF(AND(K$8&lt;='Detalle'!$H107,K$9&gt;='Detalle'!$G107),1,"")</x:f>
      </x:c>
      <x:c r="L214" s="32" t="str">
        <x:f>IF(AND(L$8&lt;='Detalle'!$H107,L$9&gt;='Detalle'!$G107),1,"")</x:f>
      </x:c>
      <x:c r="M214" s="32" t="str">
        <x:f>IF(AND(M$8&lt;='Detalle'!$H107,M$9&gt;='Detalle'!$G107),1,"")</x:f>
      </x:c>
      <x:c r="N214" s="32" t="str">
        <x:f>IF(AND(N$8&lt;='Detalle'!$H107,N$9&gt;='Detalle'!$G107),1,"")</x:f>
      </x:c>
      <x:c r="O214" s="32" t="str">
        <x:f>IF(AND(O$8&lt;='Detalle'!$H107,O$9&gt;='Detalle'!$G107),1,"")</x:f>
      </x:c>
      <x:c r="P214" s="32" t="str">
        <x:f>IF(AND(P$8&lt;='Detalle'!$H107,P$9&gt;='Detalle'!$G107),1,"")</x:f>
      </x:c>
      <x:c r="Q214" s="68"/>
      <x:c r="R214" s="67" t="str">
        <x:f>IF('Detalle'!M107="","",'Detalle'!M107)</x:f>
      </x:c>
      <x:c r="S214" s="67" t="str">
        <x:f>IF('Detalle'!N107="","",'Detalle'!N107)</x:f>
      </x:c>
    </x:row>
    <x:row r="215" ht="16" customHeight="1">
      <x:c r="A215" s="56" t="str">
        <x:v>MVP05.006</x:v>
      </x:c>
      <x:c r="B215" s="57" t="str">
        <x:v>Probar pantallas y formularios</x:v>
      </x:c>
      <x:c r="C215" s="63" t="str">
        <x:v>R</x:v>
      </x:c>
      <x:c r="D215" s="65" t="str">
        <x:f>IF('Detalle'!L107="","",'Detalle'!L107)</x:f>
      </x:c>
      <x:c r="E215" s="60" t="str"/>
      <x:c r="F215" s="32" t="str">
        <x:f>IF(OR('Detalle'!$J107="",'Detalle'!$K107="",'Detalle'!$L107=""),"",IF(AND(F$8&lt;='Detalle'!$K107,F$9&gt;='Detalle'!$J107),1,""))</x:f>
      </x:c>
      <x:c r="G215" s="32" t="str">
        <x:f>IF(OR('Detalle'!$J107="",'Detalle'!$K107="",'Detalle'!$L107=""),"",IF(AND(G$8&lt;='Detalle'!$K107,G$9&gt;='Detalle'!$J107),1,""))</x:f>
      </x:c>
      <x:c r="H215" s="32" t="str">
        <x:f>IF(OR('Detalle'!$J107="",'Detalle'!$K107="",'Detalle'!$L107=""),"",IF(AND(H$8&lt;='Detalle'!$K107,H$9&gt;='Detalle'!$J107),1,""))</x:f>
      </x:c>
      <x:c r="I215" s="32" t="str">
        <x:f>IF(OR('Detalle'!$J107="",'Detalle'!$K107="",'Detalle'!$L107=""),"",IF(AND(I$8&lt;='Detalle'!$K107,I$9&gt;='Detalle'!$J107),1,""))</x:f>
      </x:c>
      <x:c r="J215" s="32" t="str">
        <x:f>IF(OR('Detalle'!$J107="",'Detalle'!$K107="",'Detalle'!$L107=""),"",IF(AND(J$8&lt;='Detalle'!$K107,J$9&gt;='Detalle'!$J107),1,""))</x:f>
      </x:c>
      <x:c r="K215" s="32" t="str">
        <x:f>IF(OR('Detalle'!$J107="",'Detalle'!$K107="",'Detalle'!$L107=""),"",IF(AND(K$8&lt;='Detalle'!$K107,K$9&gt;='Detalle'!$J107),1,""))</x:f>
      </x:c>
      <x:c r="L215" s="32" t="str">
        <x:f>IF(OR('Detalle'!$J107="",'Detalle'!$K107="",'Detalle'!$L107=""),"",IF(AND(L$8&lt;='Detalle'!$K107,L$9&gt;='Detalle'!$J107),1,""))</x:f>
      </x:c>
      <x:c r="M215" s="32" t="str">
        <x:f>IF(OR('Detalle'!$J107="",'Detalle'!$K107="",'Detalle'!$L107=""),"",IF(AND(M$8&lt;='Detalle'!$K107,M$9&gt;='Detalle'!$J107),1,""))</x:f>
      </x:c>
      <x:c r="N215" s="32" t="str">
        <x:f>IF(OR('Detalle'!$J107="",'Detalle'!$K107="",'Detalle'!$L107=""),"",IF(AND(N$8&lt;='Detalle'!$K107,N$9&gt;='Detalle'!$J107),1,""))</x:f>
      </x:c>
      <x:c r="O215" s="32" t="str">
        <x:f>IF(OR('Detalle'!$J107="",'Detalle'!$K107="",'Detalle'!$L107=""),"",IF(AND(O$8&lt;='Detalle'!$K107,O$9&gt;='Detalle'!$J107),1,""))</x:f>
      </x:c>
      <x:c r="P215" s="32" t="str">
        <x:f>IF(OR('Detalle'!$J107="",'Detalle'!$K107="",'Detalle'!$L107=""),"",IF(AND(P$8&lt;='Detalle'!$K107,P$9&gt;='Detalle'!$J107),1,""))</x:f>
      </x:c>
      <x:c r="Q215" s="68"/>
      <x:c r="R215" s="67" t="str"/>
      <x:c r="S215" s="67" t="str"/>
    </x:row>
    <x:row r="216" ht="16" customHeight="1">
      <x:c r="A216" s="56" t="str">
        <x:v>MVP05.007</x:v>
      </x:c>
      <x:c r="B216" s="57" t="str">
        <x:v>Documentar comprobaciones remotas del MVP</x:v>
      </x:c>
      <x:c r="C216" s="62" t="str">
        <x:v>E</x:v>
      </x:c>
      <x:c r="D216" s="64" t="n">
        <x:f>'Detalle'!I108</x:f>
        <x:v>1</x:v>
      </x:c>
      <x:c r="E216" s="60" t="str">
        <x:f>'Detalle'!F108</x:f>
        <x:v>Completado</x:v>
      </x:c>
      <x:c r="F216" s="32" t="str">
        <x:f>IF(AND(F$8&lt;='Detalle'!$H108,F$9&gt;='Detalle'!$G108),1,"")</x:f>
      </x:c>
      <x:c r="G216" s="32" t="n">
        <x:f>IF(AND(G$8&lt;='Detalle'!$H108,G$9&gt;='Detalle'!$G108),1,"")</x:f>
        <x:v>1</x:v>
      </x:c>
      <x:c r="H216" s="32" t="str">
        <x:f>IF(AND(H$8&lt;='Detalle'!$H108,H$9&gt;='Detalle'!$G108),1,"")</x:f>
      </x:c>
      <x:c r="I216" s="32" t="str">
        <x:f>IF(AND(I$8&lt;='Detalle'!$H108,I$9&gt;='Detalle'!$G108),1,"")</x:f>
      </x:c>
      <x:c r="J216" s="32" t="str">
        <x:f>IF(AND(J$8&lt;='Detalle'!$H108,J$9&gt;='Detalle'!$G108),1,"")</x:f>
      </x:c>
      <x:c r="K216" s="32" t="str">
        <x:f>IF(AND(K$8&lt;='Detalle'!$H108,K$9&gt;='Detalle'!$G108),1,"")</x:f>
      </x:c>
      <x:c r="L216" s="32" t="str">
        <x:f>IF(AND(L$8&lt;='Detalle'!$H108,L$9&gt;='Detalle'!$G108),1,"")</x:f>
      </x:c>
      <x:c r="M216" s="32" t="str">
        <x:f>IF(AND(M$8&lt;='Detalle'!$H108,M$9&gt;='Detalle'!$G108),1,"")</x:f>
      </x:c>
      <x:c r="N216" s="32" t="str">
        <x:f>IF(AND(N$8&lt;='Detalle'!$H108,N$9&gt;='Detalle'!$G108),1,"")</x:f>
      </x:c>
      <x:c r="O216" s="32" t="str">
        <x:f>IF(AND(O$8&lt;='Detalle'!$H108,O$9&gt;='Detalle'!$G108),1,"")</x:f>
      </x:c>
      <x:c r="P216" s="32" t="str">
        <x:f>IF(AND(P$8&lt;='Detalle'!$H108,P$9&gt;='Detalle'!$G108),1,"")</x:f>
      </x:c>
      <x:c r="Q216" s="68"/>
      <x:c r="R216" s="67" t="str">
        <x:f>IF('Detalle'!M108="","",'Detalle'!M108)</x:f>
      </x:c>
      <x:c r="S216" s="67" t="str">
        <x:f>IF('Detalle'!N108="","",'Detalle'!N108)</x:f>
      </x:c>
    </x:row>
    <x:row r="217" ht="16" customHeight="1">
      <x:c r="A217" s="56" t="str">
        <x:v>MVP05.007</x:v>
      </x:c>
      <x:c r="B217" s="57" t="str">
        <x:v>Documentar comprobaciones remotas del MVP</x:v>
      </x:c>
      <x:c r="C217" s="63" t="str">
        <x:v>R</x:v>
      </x:c>
      <x:c r="D217" s="65" t="str">
        <x:f>IF('Detalle'!L108="","",'Detalle'!L108)</x:f>
      </x:c>
      <x:c r="E217" s="60" t="str"/>
      <x:c r="F217" s="32" t="str">
        <x:f>IF(OR('Detalle'!$J108="",'Detalle'!$K108="",'Detalle'!$L108=""),"",IF(AND(F$8&lt;='Detalle'!$K108,F$9&gt;='Detalle'!$J108),1,""))</x:f>
      </x:c>
      <x:c r="G217" s="32" t="str">
        <x:f>IF(OR('Detalle'!$J108="",'Detalle'!$K108="",'Detalle'!$L108=""),"",IF(AND(G$8&lt;='Detalle'!$K108,G$9&gt;='Detalle'!$J108),1,""))</x:f>
      </x:c>
      <x:c r="H217" s="32" t="str">
        <x:f>IF(OR('Detalle'!$J108="",'Detalle'!$K108="",'Detalle'!$L108=""),"",IF(AND(H$8&lt;='Detalle'!$K108,H$9&gt;='Detalle'!$J108),1,""))</x:f>
      </x:c>
      <x:c r="I217" s="32" t="str">
        <x:f>IF(OR('Detalle'!$J108="",'Detalle'!$K108="",'Detalle'!$L108=""),"",IF(AND(I$8&lt;='Detalle'!$K108,I$9&gt;='Detalle'!$J108),1,""))</x:f>
      </x:c>
      <x:c r="J217" s="32" t="str">
        <x:f>IF(OR('Detalle'!$J108="",'Detalle'!$K108="",'Detalle'!$L108=""),"",IF(AND(J$8&lt;='Detalle'!$K108,J$9&gt;='Detalle'!$J108),1,""))</x:f>
      </x:c>
      <x:c r="K217" s="32" t="str">
        <x:f>IF(OR('Detalle'!$J108="",'Detalle'!$K108="",'Detalle'!$L108=""),"",IF(AND(K$8&lt;='Detalle'!$K108,K$9&gt;='Detalle'!$J108),1,""))</x:f>
      </x:c>
      <x:c r="L217" s="32" t="str">
        <x:f>IF(OR('Detalle'!$J108="",'Detalle'!$K108="",'Detalle'!$L108=""),"",IF(AND(L$8&lt;='Detalle'!$K108,L$9&gt;='Detalle'!$J108),1,""))</x:f>
      </x:c>
      <x:c r="M217" s="32" t="str">
        <x:f>IF(OR('Detalle'!$J108="",'Detalle'!$K108="",'Detalle'!$L108=""),"",IF(AND(M$8&lt;='Detalle'!$K108,M$9&gt;='Detalle'!$J108),1,""))</x:f>
      </x:c>
      <x:c r="N217" s="32" t="str">
        <x:f>IF(OR('Detalle'!$J108="",'Detalle'!$K108="",'Detalle'!$L108=""),"",IF(AND(N$8&lt;='Detalle'!$K108,N$9&gt;='Detalle'!$J108),1,""))</x:f>
      </x:c>
      <x:c r="O217" s="32" t="str">
        <x:f>IF(OR('Detalle'!$J108="",'Detalle'!$K108="",'Detalle'!$L108=""),"",IF(AND(O$8&lt;='Detalle'!$K108,O$9&gt;='Detalle'!$J108),1,""))</x:f>
      </x:c>
      <x:c r="P217" s="32" t="str">
        <x:f>IF(OR('Detalle'!$J108="",'Detalle'!$K108="",'Detalle'!$L108=""),"",IF(AND(P$8&lt;='Detalle'!$K108,P$9&gt;='Detalle'!$J108),1,""))</x:f>
      </x:c>
      <x:c r="Q217" s="68"/>
      <x:c r="R217" s="67" t="str"/>
      <x:c r="S217" s="67" t="str"/>
    </x:row>
    <x:row r="218" ht="20" customHeight="1">
      <x:c r="A218" s="52" t="str">
        <x:v>ACC01 · Ampliación de acceso, seguridad y consentimientos</x:v>
      </x:c>
      <x:c r="B218" s="52" t="str">
        <x:v>ACC01 · Ampliación de acceso, seguridad y consentimientos</x:v>
      </x:c>
      <x:c r="C218" s="52" t="str">
        <x:v>ACC01 · Ampliación de acceso, seguridad y consentimientos</x:v>
      </x:c>
      <x:c r="D218" s="52" t="str">
        <x:v>ACC01 · Ampliación de acceso, seguridad y consentimientos</x:v>
      </x:c>
      <x:c r="E218" s="52" t="str">
        <x:v>ACC01 · Ampliación de acceso, seguridad y consentimientos</x:v>
      </x:c>
      <x:c r="F218" s="53" t="str">
        <x:v>ACC01 · Ampliación de acceso, seguridad y consentimientos</x:v>
      </x:c>
      <x:c r="G218" s="53" t="str">
        <x:v>ACC01 · Ampliación de acceso, seguridad y consentimientos</x:v>
      </x:c>
      <x:c r="H218" s="53" t="str">
        <x:v>ACC01 · Ampliación de acceso, seguridad y consentimientos</x:v>
      </x:c>
      <x:c r="I218" s="53" t="str">
        <x:v>ACC01 · Ampliación de acceso, seguridad y consentimientos</x:v>
      </x:c>
      <x:c r="J218" s="53" t="str">
        <x:v>ACC01 · Ampliación de acceso, seguridad y consentimientos</x:v>
      </x:c>
      <x:c r="K218" s="53" t="str">
        <x:v>ACC01 · Ampliación de acceso, seguridad y consentimientos</x:v>
      </x:c>
      <x:c r="L218" s="53" t="str">
        <x:v>ACC01 · Ampliación de acceso, seguridad y consentimientos</x:v>
      </x:c>
      <x:c r="M218" s="53" t="str">
        <x:v>ACC01 · Ampliación de acceso, seguridad y consentimientos</x:v>
      </x:c>
      <x:c r="N218" s="53" t="str">
        <x:v>ACC01 · Ampliación de acceso, seguridad y consentimientos</x:v>
      </x:c>
      <x:c r="O218" s="53" t="str">
        <x:v>ACC01 · Ampliación de acceso, seguridad y consentimientos</x:v>
      </x:c>
      <x:c r="P218" s="53" t="str">
        <x:v>ACC01 · Ampliación de acceso, seguridad y consentimientos</x:v>
      </x:c>
      <x:c r="Q218" s="52" t="str">
        <x:v>ACC01 · Ampliación de acceso, seguridad y consentimientos</x:v>
      </x:c>
      <x:c r="R218" s="52" t="str">
        <x:v>ACC01 · Ampliación de acceso, seguridad y consentimientos</x:v>
      </x:c>
      <x:c r="S218" s="52" t="str">
        <x:v>ACC01 · Ampliación de acceso, seguridad y consentimientos</x:v>
      </x:c>
    </x:row>
    <x:row r="219" ht="16" customHeight="1">
      <x:c r="A219" s="56" t="str">
        <x:v>ACC01.001</x:v>
      </x:c>
      <x:c r="B219" s="57" t="str">
        <x:v>Crear bienvenida pública</x:v>
      </x:c>
      <x:c r="C219" s="62" t="str">
        <x:v>E</x:v>
      </x:c>
      <x:c r="D219" s="64" t="n">
        <x:f>'Detalle'!I109</x:f>
        <x:v>1</x:v>
      </x:c>
      <x:c r="E219" s="60" t="str">
        <x:f>'Detalle'!F109</x:f>
        <x:v>Completado</x:v>
      </x:c>
      <x:c r="F219" s="32" t="str">
        <x:f>IF(AND(F$8&lt;='Detalle'!$H109,F$9&gt;='Detalle'!$G109),1,"")</x:f>
      </x:c>
      <x:c r="G219" s="32" t="n">
        <x:f>IF(AND(G$8&lt;='Detalle'!$H109,G$9&gt;='Detalle'!$G109),1,"")</x:f>
        <x:v>1</x:v>
      </x:c>
      <x:c r="H219" s="32" t="str">
        <x:f>IF(AND(H$8&lt;='Detalle'!$H109,H$9&gt;='Detalle'!$G109),1,"")</x:f>
      </x:c>
      <x:c r="I219" s="32" t="str">
        <x:f>IF(AND(I$8&lt;='Detalle'!$H109,I$9&gt;='Detalle'!$G109),1,"")</x:f>
      </x:c>
      <x:c r="J219" s="32" t="str">
        <x:f>IF(AND(J$8&lt;='Detalle'!$H109,J$9&gt;='Detalle'!$G109),1,"")</x:f>
      </x:c>
      <x:c r="K219" s="32" t="str">
        <x:f>IF(AND(K$8&lt;='Detalle'!$H109,K$9&gt;='Detalle'!$G109),1,"")</x:f>
      </x:c>
      <x:c r="L219" s="32" t="str">
        <x:f>IF(AND(L$8&lt;='Detalle'!$H109,L$9&gt;='Detalle'!$G109),1,"")</x:f>
      </x:c>
      <x:c r="M219" s="32" t="str">
        <x:f>IF(AND(M$8&lt;='Detalle'!$H109,M$9&gt;='Detalle'!$G109),1,"")</x:f>
      </x:c>
      <x:c r="N219" s="32" t="str">
        <x:f>IF(AND(N$8&lt;='Detalle'!$H109,N$9&gt;='Detalle'!$G109),1,"")</x:f>
      </x:c>
      <x:c r="O219" s="32" t="str">
        <x:f>IF(AND(O$8&lt;='Detalle'!$H109,O$9&gt;='Detalle'!$G109),1,"")</x:f>
      </x:c>
      <x:c r="P219" s="32" t="str">
        <x:f>IF(AND(P$8&lt;='Detalle'!$H109,P$9&gt;='Detalle'!$G109),1,"")</x:f>
      </x:c>
      <x:c r="Q219" s="68"/>
      <x:c r="R219" s="67" t="str">
        <x:f>IF('Detalle'!M109="","",'Detalle'!M109)</x:f>
      </x:c>
      <x:c r="S219" s="67" t="str">
        <x:f>IF('Detalle'!N109="","",'Detalle'!N109)</x:f>
      </x:c>
    </x:row>
    <x:row r="220" ht="16" customHeight="1">
      <x:c r="A220" s="56" t="str">
        <x:v>ACC01.001</x:v>
      </x:c>
      <x:c r="B220" s="57" t="str">
        <x:v>Crear bienvenida pública</x:v>
      </x:c>
      <x:c r="C220" s="63" t="str">
        <x:v>R</x:v>
      </x:c>
      <x:c r="D220" s="65" t="str">
        <x:f>IF('Detalle'!L109="","",'Detalle'!L109)</x:f>
      </x:c>
      <x:c r="E220" s="60" t="str"/>
      <x:c r="F220" s="32" t="str">
        <x:f>IF(OR('Detalle'!$J109="",'Detalle'!$K109="",'Detalle'!$L109=""),"",IF(AND(F$8&lt;='Detalle'!$K109,F$9&gt;='Detalle'!$J109),1,""))</x:f>
      </x:c>
      <x:c r="G220" s="32" t="str">
        <x:f>IF(OR('Detalle'!$J109="",'Detalle'!$K109="",'Detalle'!$L109=""),"",IF(AND(G$8&lt;='Detalle'!$K109,G$9&gt;='Detalle'!$J109),1,""))</x:f>
      </x:c>
      <x:c r="H220" s="32" t="str">
        <x:f>IF(OR('Detalle'!$J109="",'Detalle'!$K109="",'Detalle'!$L109=""),"",IF(AND(H$8&lt;='Detalle'!$K109,H$9&gt;='Detalle'!$J109),1,""))</x:f>
      </x:c>
      <x:c r="I220" s="32" t="str">
        <x:f>IF(OR('Detalle'!$J109="",'Detalle'!$K109="",'Detalle'!$L109=""),"",IF(AND(I$8&lt;='Detalle'!$K109,I$9&gt;='Detalle'!$J109),1,""))</x:f>
      </x:c>
      <x:c r="J220" s="32" t="str">
        <x:f>IF(OR('Detalle'!$J109="",'Detalle'!$K109="",'Detalle'!$L109=""),"",IF(AND(J$8&lt;='Detalle'!$K109,J$9&gt;='Detalle'!$J109),1,""))</x:f>
      </x:c>
      <x:c r="K220" s="32" t="str">
        <x:f>IF(OR('Detalle'!$J109="",'Detalle'!$K109="",'Detalle'!$L109=""),"",IF(AND(K$8&lt;='Detalle'!$K109,K$9&gt;='Detalle'!$J109),1,""))</x:f>
      </x:c>
      <x:c r="L220" s="32" t="str">
        <x:f>IF(OR('Detalle'!$J109="",'Detalle'!$K109="",'Detalle'!$L109=""),"",IF(AND(L$8&lt;='Detalle'!$K109,L$9&gt;='Detalle'!$J109),1,""))</x:f>
      </x:c>
      <x:c r="M220" s="32" t="str">
        <x:f>IF(OR('Detalle'!$J109="",'Detalle'!$K109="",'Detalle'!$L109=""),"",IF(AND(M$8&lt;='Detalle'!$K109,M$9&gt;='Detalle'!$J109),1,""))</x:f>
      </x:c>
      <x:c r="N220" s="32" t="str">
        <x:f>IF(OR('Detalle'!$J109="",'Detalle'!$K109="",'Detalle'!$L109=""),"",IF(AND(N$8&lt;='Detalle'!$K109,N$9&gt;='Detalle'!$J109),1,""))</x:f>
      </x:c>
      <x:c r="O220" s="32" t="str">
        <x:f>IF(OR('Detalle'!$J109="",'Detalle'!$K109="",'Detalle'!$L109=""),"",IF(AND(O$8&lt;='Detalle'!$K109,O$9&gt;='Detalle'!$J109),1,""))</x:f>
      </x:c>
      <x:c r="P220" s="32" t="str">
        <x:f>IF(OR('Detalle'!$J109="",'Detalle'!$K109="",'Detalle'!$L109=""),"",IF(AND(P$8&lt;='Detalle'!$K109,P$9&gt;='Detalle'!$J109),1,""))</x:f>
      </x:c>
      <x:c r="Q220" s="68"/>
      <x:c r="R220" s="67" t="str"/>
      <x:c r="S220" s="67" t="str"/>
    </x:row>
    <x:row r="221" ht="16" customHeight="1">
      <x:c r="A221" s="56" t="str">
        <x:v>ACC01.002</x:v>
      </x:c>
      <x:c r="B221" s="57" t="str">
        <x:v>Publicar rutas de términos y privacidad</x:v>
      </x:c>
      <x:c r="C221" s="62" t="str">
        <x:v>E</x:v>
      </x:c>
      <x:c r="D221" s="64" t="n">
        <x:f>'Detalle'!I110</x:f>
        <x:v>1</x:v>
      </x:c>
      <x:c r="E221" s="60" t="str">
        <x:f>'Detalle'!F110</x:f>
        <x:v>Completado</x:v>
      </x:c>
      <x:c r="F221" s="32" t="str">
        <x:f>IF(AND(F$8&lt;='Detalle'!$H110,F$9&gt;='Detalle'!$G110),1,"")</x:f>
      </x:c>
      <x:c r="G221" s="32" t="n">
        <x:f>IF(AND(G$8&lt;='Detalle'!$H110,G$9&gt;='Detalle'!$G110),1,"")</x:f>
        <x:v>1</x:v>
      </x:c>
      <x:c r="H221" s="32" t="str">
        <x:f>IF(AND(H$8&lt;='Detalle'!$H110,H$9&gt;='Detalle'!$G110),1,"")</x:f>
      </x:c>
      <x:c r="I221" s="32" t="str">
        <x:f>IF(AND(I$8&lt;='Detalle'!$H110,I$9&gt;='Detalle'!$G110),1,"")</x:f>
      </x:c>
      <x:c r="J221" s="32" t="str">
        <x:f>IF(AND(J$8&lt;='Detalle'!$H110,J$9&gt;='Detalle'!$G110),1,"")</x:f>
      </x:c>
      <x:c r="K221" s="32" t="str">
        <x:f>IF(AND(K$8&lt;='Detalle'!$H110,K$9&gt;='Detalle'!$G110),1,"")</x:f>
      </x:c>
      <x:c r="L221" s="32" t="str">
        <x:f>IF(AND(L$8&lt;='Detalle'!$H110,L$9&gt;='Detalle'!$G110),1,"")</x:f>
      </x:c>
      <x:c r="M221" s="32" t="str">
        <x:f>IF(AND(M$8&lt;='Detalle'!$H110,M$9&gt;='Detalle'!$G110),1,"")</x:f>
      </x:c>
      <x:c r="N221" s="32" t="str">
        <x:f>IF(AND(N$8&lt;='Detalle'!$H110,N$9&gt;='Detalle'!$G110),1,"")</x:f>
      </x:c>
      <x:c r="O221" s="32" t="str">
        <x:f>IF(AND(O$8&lt;='Detalle'!$H110,O$9&gt;='Detalle'!$G110),1,"")</x:f>
      </x:c>
      <x:c r="P221" s="32" t="str">
        <x:f>IF(AND(P$8&lt;='Detalle'!$H110,P$9&gt;='Detalle'!$G110),1,"")</x:f>
      </x:c>
      <x:c r="Q221" s="68"/>
      <x:c r="R221" s="67" t="str">
        <x:f>IF('Detalle'!M110="","",'Detalle'!M110)</x:f>
      </x:c>
      <x:c r="S221" s="67" t="str">
        <x:f>IF('Detalle'!N110="","",'Detalle'!N110)</x:f>
      </x:c>
    </x:row>
    <x:row r="222" ht="16" customHeight="1">
      <x:c r="A222" s="56" t="str">
        <x:v>ACC01.002</x:v>
      </x:c>
      <x:c r="B222" s="57" t="str">
        <x:v>Publicar rutas de términos y privacidad</x:v>
      </x:c>
      <x:c r="C222" s="63" t="str">
        <x:v>R</x:v>
      </x:c>
      <x:c r="D222" s="65" t="str">
        <x:f>IF('Detalle'!L110="","",'Detalle'!L110)</x:f>
      </x:c>
      <x:c r="E222" s="60" t="str"/>
      <x:c r="F222" s="32" t="str">
        <x:f>IF(OR('Detalle'!$J110="",'Detalle'!$K110="",'Detalle'!$L110=""),"",IF(AND(F$8&lt;='Detalle'!$K110,F$9&gt;='Detalle'!$J110),1,""))</x:f>
      </x:c>
      <x:c r="G222" s="32" t="str">
        <x:f>IF(OR('Detalle'!$J110="",'Detalle'!$K110="",'Detalle'!$L110=""),"",IF(AND(G$8&lt;='Detalle'!$K110,G$9&gt;='Detalle'!$J110),1,""))</x:f>
      </x:c>
      <x:c r="H222" s="32" t="str">
        <x:f>IF(OR('Detalle'!$J110="",'Detalle'!$K110="",'Detalle'!$L110=""),"",IF(AND(H$8&lt;='Detalle'!$K110,H$9&gt;='Detalle'!$J110),1,""))</x:f>
      </x:c>
      <x:c r="I222" s="32" t="str">
        <x:f>IF(OR('Detalle'!$J110="",'Detalle'!$K110="",'Detalle'!$L110=""),"",IF(AND(I$8&lt;='Detalle'!$K110,I$9&gt;='Detalle'!$J110),1,""))</x:f>
      </x:c>
      <x:c r="J222" s="32" t="str">
        <x:f>IF(OR('Detalle'!$J110="",'Detalle'!$K110="",'Detalle'!$L110=""),"",IF(AND(J$8&lt;='Detalle'!$K110,J$9&gt;='Detalle'!$J110),1,""))</x:f>
      </x:c>
      <x:c r="K222" s="32" t="str">
        <x:f>IF(OR('Detalle'!$J110="",'Detalle'!$K110="",'Detalle'!$L110=""),"",IF(AND(K$8&lt;='Detalle'!$K110,K$9&gt;='Detalle'!$J110),1,""))</x:f>
      </x:c>
      <x:c r="L222" s="32" t="str">
        <x:f>IF(OR('Detalle'!$J110="",'Detalle'!$K110="",'Detalle'!$L110=""),"",IF(AND(L$8&lt;='Detalle'!$K110,L$9&gt;='Detalle'!$J110),1,""))</x:f>
      </x:c>
      <x:c r="M222" s="32" t="str">
        <x:f>IF(OR('Detalle'!$J110="",'Detalle'!$K110="",'Detalle'!$L110=""),"",IF(AND(M$8&lt;='Detalle'!$K110,M$9&gt;='Detalle'!$J110),1,""))</x:f>
      </x:c>
      <x:c r="N222" s="32" t="str">
        <x:f>IF(OR('Detalle'!$J110="",'Detalle'!$K110="",'Detalle'!$L110=""),"",IF(AND(N$8&lt;='Detalle'!$K110,N$9&gt;='Detalle'!$J110),1,""))</x:f>
      </x:c>
      <x:c r="O222" s="32" t="str">
        <x:f>IF(OR('Detalle'!$J110="",'Detalle'!$K110="",'Detalle'!$L110=""),"",IF(AND(O$8&lt;='Detalle'!$K110,O$9&gt;='Detalle'!$J110),1,""))</x:f>
      </x:c>
      <x:c r="P222" s="32" t="str">
        <x:f>IF(OR('Detalle'!$J110="",'Detalle'!$K110="",'Detalle'!$L110=""),"",IF(AND(P$8&lt;='Detalle'!$K110,P$9&gt;='Detalle'!$J110),1,""))</x:f>
      </x:c>
      <x:c r="Q222" s="68"/>
      <x:c r="R222" s="67" t="str"/>
      <x:c r="S222" s="67" t="str"/>
    </x:row>
    <x:row r="223" ht="16" customHeight="1">
      <x:c r="A223" s="56" t="str">
        <x:v>ACC01.003</x:v>
      </x:c>
      <x:c r="B223" s="57" t="str">
        <x:v>Publicar ayuda de eliminación de cuenta</x:v>
      </x:c>
      <x:c r="C223" s="62" t="str">
        <x:v>E</x:v>
      </x:c>
      <x:c r="D223" s="64" t="n">
        <x:f>'Detalle'!I111</x:f>
        <x:v>1</x:v>
      </x:c>
      <x:c r="E223" s="60" t="str">
        <x:f>'Detalle'!F111</x:f>
        <x:v>Completado</x:v>
      </x:c>
      <x:c r="F223" s="32" t="str">
        <x:f>IF(AND(F$8&lt;='Detalle'!$H111,F$9&gt;='Detalle'!$G111),1,"")</x:f>
      </x:c>
      <x:c r="G223" s="32" t="n">
        <x:f>IF(AND(G$8&lt;='Detalle'!$H111,G$9&gt;='Detalle'!$G111),1,"")</x:f>
        <x:v>1</x:v>
      </x:c>
      <x:c r="H223" s="32" t="str">
        <x:f>IF(AND(H$8&lt;='Detalle'!$H111,H$9&gt;='Detalle'!$G111),1,"")</x:f>
      </x:c>
      <x:c r="I223" s="32" t="str">
        <x:f>IF(AND(I$8&lt;='Detalle'!$H111,I$9&gt;='Detalle'!$G111),1,"")</x:f>
      </x:c>
      <x:c r="J223" s="32" t="str">
        <x:f>IF(AND(J$8&lt;='Detalle'!$H111,J$9&gt;='Detalle'!$G111),1,"")</x:f>
      </x:c>
      <x:c r="K223" s="32" t="str">
        <x:f>IF(AND(K$8&lt;='Detalle'!$H111,K$9&gt;='Detalle'!$G111),1,"")</x:f>
      </x:c>
      <x:c r="L223" s="32" t="str">
        <x:f>IF(AND(L$8&lt;='Detalle'!$H111,L$9&gt;='Detalle'!$G111),1,"")</x:f>
      </x:c>
      <x:c r="M223" s="32" t="str">
        <x:f>IF(AND(M$8&lt;='Detalle'!$H111,M$9&gt;='Detalle'!$G111),1,"")</x:f>
      </x:c>
      <x:c r="N223" s="32" t="str">
        <x:f>IF(AND(N$8&lt;='Detalle'!$H111,N$9&gt;='Detalle'!$G111),1,"")</x:f>
      </x:c>
      <x:c r="O223" s="32" t="str">
        <x:f>IF(AND(O$8&lt;='Detalle'!$H111,O$9&gt;='Detalle'!$G111),1,"")</x:f>
      </x:c>
      <x:c r="P223" s="32" t="str">
        <x:f>IF(AND(P$8&lt;='Detalle'!$H111,P$9&gt;='Detalle'!$G111),1,"")</x:f>
      </x:c>
      <x:c r="Q223" s="68"/>
      <x:c r="R223" s="67" t="str">
        <x:f>IF('Detalle'!M111="","",'Detalle'!M111)</x:f>
      </x:c>
      <x:c r="S223" s="67" t="str">
        <x:f>IF('Detalle'!N111="","",'Detalle'!N111)</x:f>
      </x:c>
    </x:row>
    <x:row r="224" ht="16" customHeight="1">
      <x:c r="A224" s="56" t="str">
        <x:v>ACC01.003</x:v>
      </x:c>
      <x:c r="B224" s="57" t="str">
        <x:v>Publicar ayuda de eliminación de cuenta</x:v>
      </x:c>
      <x:c r="C224" s="63" t="str">
        <x:v>R</x:v>
      </x:c>
      <x:c r="D224" s="65" t="str">
        <x:f>IF('Detalle'!L111="","",'Detalle'!L111)</x:f>
      </x:c>
      <x:c r="E224" s="60" t="str"/>
      <x:c r="F224" s="32" t="str">
        <x:f>IF(OR('Detalle'!$J111="",'Detalle'!$K111="",'Detalle'!$L111=""),"",IF(AND(F$8&lt;='Detalle'!$K111,F$9&gt;='Detalle'!$J111),1,""))</x:f>
      </x:c>
      <x:c r="G224" s="32" t="str">
        <x:f>IF(OR('Detalle'!$J111="",'Detalle'!$K111="",'Detalle'!$L111=""),"",IF(AND(G$8&lt;='Detalle'!$K111,G$9&gt;='Detalle'!$J111),1,""))</x:f>
      </x:c>
      <x:c r="H224" s="32" t="str">
        <x:f>IF(OR('Detalle'!$J111="",'Detalle'!$K111="",'Detalle'!$L111=""),"",IF(AND(H$8&lt;='Detalle'!$K111,H$9&gt;='Detalle'!$J111),1,""))</x:f>
      </x:c>
      <x:c r="I224" s="32" t="str">
        <x:f>IF(OR('Detalle'!$J111="",'Detalle'!$K111="",'Detalle'!$L111=""),"",IF(AND(I$8&lt;='Detalle'!$K111,I$9&gt;='Detalle'!$J111),1,""))</x:f>
      </x:c>
      <x:c r="J224" s="32" t="str">
        <x:f>IF(OR('Detalle'!$J111="",'Detalle'!$K111="",'Detalle'!$L111=""),"",IF(AND(J$8&lt;='Detalle'!$K111,J$9&gt;='Detalle'!$J111),1,""))</x:f>
      </x:c>
      <x:c r="K224" s="32" t="str">
        <x:f>IF(OR('Detalle'!$J111="",'Detalle'!$K111="",'Detalle'!$L111=""),"",IF(AND(K$8&lt;='Detalle'!$K111,K$9&gt;='Detalle'!$J111),1,""))</x:f>
      </x:c>
      <x:c r="L224" s="32" t="str">
        <x:f>IF(OR('Detalle'!$J111="",'Detalle'!$K111="",'Detalle'!$L111=""),"",IF(AND(L$8&lt;='Detalle'!$K111,L$9&gt;='Detalle'!$J111),1,""))</x:f>
      </x:c>
      <x:c r="M224" s="32" t="str">
        <x:f>IF(OR('Detalle'!$J111="",'Detalle'!$K111="",'Detalle'!$L111=""),"",IF(AND(M$8&lt;='Detalle'!$K111,M$9&gt;='Detalle'!$J111),1,""))</x:f>
      </x:c>
      <x:c r="N224" s="32" t="str">
        <x:f>IF(OR('Detalle'!$J111="",'Detalle'!$K111="",'Detalle'!$L111=""),"",IF(AND(N$8&lt;='Detalle'!$K111,N$9&gt;='Detalle'!$J111),1,""))</x:f>
      </x:c>
      <x:c r="O224" s="32" t="str">
        <x:f>IF(OR('Detalle'!$J111="",'Detalle'!$K111="",'Detalle'!$L111=""),"",IF(AND(O$8&lt;='Detalle'!$K111,O$9&gt;='Detalle'!$J111),1,""))</x:f>
      </x:c>
      <x:c r="P224" s="32" t="str">
        <x:f>IF(OR('Detalle'!$J111="",'Detalle'!$K111="",'Detalle'!$L111=""),"",IF(AND(P$8&lt;='Detalle'!$K111,P$9&gt;='Detalle'!$J111),1,""))</x:f>
      </x:c>
      <x:c r="Q224" s="68"/>
      <x:c r="R224" s="67" t="str"/>
      <x:c r="S224" s="67" t="str"/>
    </x:row>
    <x:row r="225" ht="16" customHeight="1">
      <x:c r="A225" s="56" t="str">
        <x:v>ACC01.004</x:v>
      </x:c>
      <x:c r="B225" s="57" t="str">
        <x:v>Crear política de registro del servidor</x:v>
      </x:c>
      <x:c r="C225" s="62" t="str">
        <x:v>E</x:v>
      </x:c>
      <x:c r="D225" s="64" t="n">
        <x:f>'Detalle'!I112</x:f>
        <x:v>1</x:v>
      </x:c>
      <x:c r="E225" s="60" t="str">
        <x:f>'Detalle'!F112</x:f>
        <x:v>Completado</x:v>
      </x:c>
      <x:c r="F225" s="32" t="str">
        <x:f>IF(AND(F$8&lt;='Detalle'!$H112,F$9&gt;='Detalle'!$G112),1,"")</x:f>
      </x:c>
      <x:c r="G225" s="32" t="n">
        <x:f>IF(AND(G$8&lt;='Detalle'!$H112,G$9&gt;='Detalle'!$G112),1,"")</x:f>
        <x:v>1</x:v>
      </x:c>
      <x:c r="H225" s="32" t="str">
        <x:f>IF(AND(H$8&lt;='Detalle'!$H112,H$9&gt;='Detalle'!$G112),1,"")</x:f>
      </x:c>
      <x:c r="I225" s="32" t="str">
        <x:f>IF(AND(I$8&lt;='Detalle'!$H112,I$9&gt;='Detalle'!$G112),1,"")</x:f>
      </x:c>
      <x:c r="J225" s="32" t="str">
        <x:f>IF(AND(J$8&lt;='Detalle'!$H112,J$9&gt;='Detalle'!$G112),1,"")</x:f>
      </x:c>
      <x:c r="K225" s="32" t="str">
        <x:f>IF(AND(K$8&lt;='Detalle'!$H112,K$9&gt;='Detalle'!$G112),1,"")</x:f>
      </x:c>
      <x:c r="L225" s="32" t="str">
        <x:f>IF(AND(L$8&lt;='Detalle'!$H112,L$9&gt;='Detalle'!$G112),1,"")</x:f>
      </x:c>
      <x:c r="M225" s="32" t="str">
        <x:f>IF(AND(M$8&lt;='Detalle'!$H112,M$9&gt;='Detalle'!$G112),1,"")</x:f>
      </x:c>
      <x:c r="N225" s="32" t="str">
        <x:f>IF(AND(N$8&lt;='Detalle'!$H112,N$9&gt;='Detalle'!$G112),1,"")</x:f>
      </x:c>
      <x:c r="O225" s="32" t="str">
        <x:f>IF(AND(O$8&lt;='Detalle'!$H112,O$9&gt;='Detalle'!$G112),1,"")</x:f>
      </x:c>
      <x:c r="P225" s="32" t="str">
        <x:f>IF(AND(P$8&lt;='Detalle'!$H112,P$9&gt;='Detalle'!$G112),1,"")</x:f>
      </x:c>
      <x:c r="Q225" s="68"/>
      <x:c r="R225" s="67" t="str">
        <x:f>IF('Detalle'!M112="","",'Detalle'!M112)</x:f>
      </x:c>
      <x:c r="S225" s="67" t="str">
        <x:f>IF('Detalle'!N112="","",'Detalle'!N112)</x:f>
      </x:c>
    </x:row>
    <x:row r="226" ht="16" customHeight="1">
      <x:c r="A226" s="56" t="str">
        <x:v>ACC01.004</x:v>
      </x:c>
      <x:c r="B226" s="57" t="str">
        <x:v>Crear política de registro del servidor</x:v>
      </x:c>
      <x:c r="C226" s="63" t="str">
        <x:v>R</x:v>
      </x:c>
      <x:c r="D226" s="65" t="str">
        <x:f>IF('Detalle'!L112="","",'Detalle'!L112)</x:f>
      </x:c>
      <x:c r="E226" s="60" t="str"/>
      <x:c r="F226" s="32" t="str">
        <x:f>IF(OR('Detalle'!$J112="",'Detalle'!$K112="",'Detalle'!$L112=""),"",IF(AND(F$8&lt;='Detalle'!$K112,F$9&gt;='Detalle'!$J112),1,""))</x:f>
      </x:c>
      <x:c r="G226" s="32" t="str">
        <x:f>IF(OR('Detalle'!$J112="",'Detalle'!$K112="",'Detalle'!$L112=""),"",IF(AND(G$8&lt;='Detalle'!$K112,G$9&gt;='Detalle'!$J112),1,""))</x:f>
      </x:c>
      <x:c r="H226" s="32" t="str">
        <x:f>IF(OR('Detalle'!$J112="",'Detalle'!$K112="",'Detalle'!$L112=""),"",IF(AND(H$8&lt;='Detalle'!$K112,H$9&gt;='Detalle'!$J112),1,""))</x:f>
      </x:c>
      <x:c r="I226" s="32" t="str">
        <x:f>IF(OR('Detalle'!$J112="",'Detalle'!$K112="",'Detalle'!$L112=""),"",IF(AND(I$8&lt;='Detalle'!$K112,I$9&gt;='Detalle'!$J112),1,""))</x:f>
      </x:c>
      <x:c r="J226" s="32" t="str">
        <x:f>IF(OR('Detalle'!$J112="",'Detalle'!$K112="",'Detalle'!$L112=""),"",IF(AND(J$8&lt;='Detalle'!$K112,J$9&gt;='Detalle'!$J112),1,""))</x:f>
      </x:c>
      <x:c r="K226" s="32" t="str">
        <x:f>IF(OR('Detalle'!$J112="",'Detalle'!$K112="",'Detalle'!$L112=""),"",IF(AND(K$8&lt;='Detalle'!$K112,K$9&gt;='Detalle'!$J112),1,""))</x:f>
      </x:c>
      <x:c r="L226" s="32" t="str">
        <x:f>IF(OR('Detalle'!$J112="",'Detalle'!$K112="",'Detalle'!$L112=""),"",IF(AND(L$8&lt;='Detalle'!$K112,L$9&gt;='Detalle'!$J112),1,""))</x:f>
      </x:c>
      <x:c r="M226" s="32" t="str">
        <x:f>IF(OR('Detalle'!$J112="",'Detalle'!$K112="",'Detalle'!$L112=""),"",IF(AND(M$8&lt;='Detalle'!$K112,M$9&gt;='Detalle'!$J112),1,""))</x:f>
      </x:c>
      <x:c r="N226" s="32" t="str">
        <x:f>IF(OR('Detalle'!$J112="",'Detalle'!$K112="",'Detalle'!$L112=""),"",IF(AND(N$8&lt;='Detalle'!$K112,N$9&gt;='Detalle'!$J112),1,""))</x:f>
      </x:c>
      <x:c r="O226" s="32" t="str">
        <x:f>IF(OR('Detalle'!$J112="",'Detalle'!$K112="",'Detalle'!$L112=""),"",IF(AND(O$8&lt;='Detalle'!$K112,O$9&gt;='Detalle'!$J112),1,""))</x:f>
      </x:c>
      <x:c r="P226" s="32" t="str">
        <x:f>IF(OR('Detalle'!$J112="",'Detalle'!$K112="",'Detalle'!$L112=""),"",IF(AND(P$8&lt;='Detalle'!$K112,P$9&gt;='Detalle'!$J112),1,""))</x:f>
      </x:c>
      <x:c r="Q226" s="68"/>
      <x:c r="R226" s="67" t="str"/>
      <x:c r="S226" s="67" t="str"/>
    </x:row>
    <x:row r="227" ht="16" customHeight="1">
      <x:c r="A227" s="56" t="str">
        <x:v>ACC01.005</x:v>
      </x:c>
      <x:c r="B227" s="57" t="str">
        <x:v>Bloquear registro con documentos faltantes</x:v>
      </x:c>
      <x:c r="C227" s="62" t="str">
        <x:v>E</x:v>
      </x:c>
      <x:c r="D227" s="64" t="n">
        <x:f>'Detalle'!I113</x:f>
        <x:v>1</x:v>
      </x:c>
      <x:c r="E227" s="60" t="str">
        <x:f>'Detalle'!F113</x:f>
        <x:v>Completado</x:v>
      </x:c>
      <x:c r="F227" s="32" t="str">
        <x:f>IF(AND(F$8&lt;='Detalle'!$H113,F$9&gt;='Detalle'!$G113),1,"")</x:f>
      </x:c>
      <x:c r="G227" s="32" t="n">
        <x:f>IF(AND(G$8&lt;='Detalle'!$H113,G$9&gt;='Detalle'!$G113),1,"")</x:f>
        <x:v>1</x:v>
      </x:c>
      <x:c r="H227" s="32" t="str">
        <x:f>IF(AND(H$8&lt;='Detalle'!$H113,H$9&gt;='Detalle'!$G113),1,"")</x:f>
      </x:c>
      <x:c r="I227" s="32" t="str">
        <x:f>IF(AND(I$8&lt;='Detalle'!$H113,I$9&gt;='Detalle'!$G113),1,"")</x:f>
      </x:c>
      <x:c r="J227" s="32" t="str">
        <x:f>IF(AND(J$8&lt;='Detalle'!$H113,J$9&gt;='Detalle'!$G113),1,"")</x:f>
      </x:c>
      <x:c r="K227" s="32" t="str">
        <x:f>IF(AND(K$8&lt;='Detalle'!$H113,K$9&gt;='Detalle'!$G113),1,"")</x:f>
      </x:c>
      <x:c r="L227" s="32" t="str">
        <x:f>IF(AND(L$8&lt;='Detalle'!$H113,L$9&gt;='Detalle'!$G113),1,"")</x:f>
      </x:c>
      <x:c r="M227" s="32" t="str">
        <x:f>IF(AND(M$8&lt;='Detalle'!$H113,M$9&gt;='Detalle'!$G113),1,"")</x:f>
      </x:c>
      <x:c r="N227" s="32" t="str">
        <x:f>IF(AND(N$8&lt;='Detalle'!$H113,N$9&gt;='Detalle'!$G113),1,"")</x:f>
      </x:c>
      <x:c r="O227" s="32" t="str">
        <x:f>IF(AND(O$8&lt;='Detalle'!$H113,O$9&gt;='Detalle'!$G113),1,"")</x:f>
      </x:c>
      <x:c r="P227" s="32" t="str">
        <x:f>IF(AND(P$8&lt;='Detalle'!$H113,P$9&gt;='Detalle'!$G113),1,"")</x:f>
      </x:c>
      <x:c r="Q227" s="68"/>
      <x:c r="R227" s="67" t="str">
        <x:f>IF('Detalle'!M113="","",'Detalle'!M113)</x:f>
      </x:c>
      <x:c r="S227" s="67" t="str">
        <x:f>IF('Detalle'!N113="","",'Detalle'!N113)</x:f>
      </x:c>
    </x:row>
    <x:row r="228" ht="16" customHeight="1">
      <x:c r="A228" s="56" t="str">
        <x:v>ACC01.005</x:v>
      </x:c>
      <x:c r="B228" s="57" t="str">
        <x:v>Bloquear registro con documentos faltantes</x:v>
      </x:c>
      <x:c r="C228" s="63" t="str">
        <x:v>R</x:v>
      </x:c>
      <x:c r="D228" s="65" t="str">
        <x:f>IF('Detalle'!L113="","",'Detalle'!L113)</x:f>
      </x:c>
      <x:c r="E228" s="60" t="str"/>
      <x:c r="F228" s="32" t="str">
        <x:f>IF(OR('Detalle'!$J113="",'Detalle'!$K113="",'Detalle'!$L113=""),"",IF(AND(F$8&lt;='Detalle'!$K113,F$9&gt;='Detalle'!$J113),1,""))</x:f>
      </x:c>
      <x:c r="G228" s="32" t="str">
        <x:f>IF(OR('Detalle'!$J113="",'Detalle'!$K113="",'Detalle'!$L113=""),"",IF(AND(G$8&lt;='Detalle'!$K113,G$9&gt;='Detalle'!$J113),1,""))</x:f>
      </x:c>
      <x:c r="H228" s="32" t="str">
        <x:f>IF(OR('Detalle'!$J113="",'Detalle'!$K113="",'Detalle'!$L113=""),"",IF(AND(H$8&lt;='Detalle'!$K113,H$9&gt;='Detalle'!$J113),1,""))</x:f>
      </x:c>
      <x:c r="I228" s="32" t="str">
        <x:f>IF(OR('Detalle'!$J113="",'Detalle'!$K113="",'Detalle'!$L113=""),"",IF(AND(I$8&lt;='Detalle'!$K113,I$9&gt;='Detalle'!$J113),1,""))</x:f>
      </x:c>
      <x:c r="J228" s="32" t="str">
        <x:f>IF(OR('Detalle'!$J113="",'Detalle'!$K113="",'Detalle'!$L113=""),"",IF(AND(J$8&lt;='Detalle'!$K113,J$9&gt;='Detalle'!$J113),1,""))</x:f>
      </x:c>
      <x:c r="K228" s="32" t="str">
        <x:f>IF(OR('Detalle'!$J113="",'Detalle'!$K113="",'Detalle'!$L113=""),"",IF(AND(K$8&lt;='Detalle'!$K113,K$9&gt;='Detalle'!$J113),1,""))</x:f>
      </x:c>
      <x:c r="L228" s="32" t="str">
        <x:f>IF(OR('Detalle'!$J113="",'Detalle'!$K113="",'Detalle'!$L113=""),"",IF(AND(L$8&lt;='Detalle'!$K113,L$9&gt;='Detalle'!$J113),1,""))</x:f>
      </x:c>
      <x:c r="M228" s="32" t="str">
        <x:f>IF(OR('Detalle'!$J113="",'Detalle'!$K113="",'Detalle'!$L113=""),"",IF(AND(M$8&lt;='Detalle'!$K113,M$9&gt;='Detalle'!$J113),1,""))</x:f>
      </x:c>
      <x:c r="N228" s="32" t="str">
        <x:f>IF(OR('Detalle'!$J113="",'Detalle'!$K113="",'Detalle'!$L113=""),"",IF(AND(N$8&lt;='Detalle'!$K113,N$9&gt;='Detalle'!$J113),1,""))</x:f>
      </x:c>
      <x:c r="O228" s="32" t="str">
        <x:f>IF(OR('Detalle'!$J113="",'Detalle'!$K113="",'Detalle'!$L113=""),"",IF(AND(O$8&lt;='Detalle'!$K113,O$9&gt;='Detalle'!$J113),1,""))</x:f>
      </x:c>
      <x:c r="P228" s="32" t="str">
        <x:f>IF(OR('Detalle'!$J113="",'Detalle'!$K113="",'Detalle'!$L113=""),"",IF(AND(P$8&lt;='Detalle'!$K113,P$9&gt;='Detalle'!$J113),1,""))</x:f>
      </x:c>
      <x:c r="Q228" s="68"/>
      <x:c r="R228" s="67" t="str"/>
      <x:c r="S228" s="67" t="str"/>
    </x:row>
    <x:row r="229" ht="16" customHeight="1">
      <x:c r="A229" s="56" t="str">
        <x:v>ACC01.006</x:v>
      </x:c>
      <x:c r="B229" s="57" t="str">
        <x:v>Agregar declaración separada de mayoría de edad</x:v>
      </x:c>
      <x:c r="C229" s="62" t="str">
        <x:v>E</x:v>
      </x:c>
      <x:c r="D229" s="64" t="n">
        <x:f>'Detalle'!I114</x:f>
        <x:v>1</x:v>
      </x:c>
      <x:c r="E229" s="60" t="str">
        <x:f>'Detalle'!F114</x:f>
        <x:v>Completado</x:v>
      </x:c>
      <x:c r="F229" s="32" t="str">
        <x:f>IF(AND(F$8&lt;='Detalle'!$H114,F$9&gt;='Detalle'!$G114),1,"")</x:f>
      </x:c>
      <x:c r="G229" s="32" t="n">
        <x:f>IF(AND(G$8&lt;='Detalle'!$H114,G$9&gt;='Detalle'!$G114),1,"")</x:f>
        <x:v>1</x:v>
      </x:c>
      <x:c r="H229" s="32" t="str">
        <x:f>IF(AND(H$8&lt;='Detalle'!$H114,H$9&gt;='Detalle'!$G114),1,"")</x:f>
      </x:c>
      <x:c r="I229" s="32" t="str">
        <x:f>IF(AND(I$8&lt;='Detalle'!$H114,I$9&gt;='Detalle'!$G114),1,"")</x:f>
      </x:c>
      <x:c r="J229" s="32" t="str">
        <x:f>IF(AND(J$8&lt;='Detalle'!$H114,J$9&gt;='Detalle'!$G114),1,"")</x:f>
      </x:c>
      <x:c r="K229" s="32" t="str">
        <x:f>IF(AND(K$8&lt;='Detalle'!$H114,K$9&gt;='Detalle'!$G114),1,"")</x:f>
      </x:c>
      <x:c r="L229" s="32" t="str">
        <x:f>IF(AND(L$8&lt;='Detalle'!$H114,L$9&gt;='Detalle'!$G114),1,"")</x:f>
      </x:c>
      <x:c r="M229" s="32" t="str">
        <x:f>IF(AND(M$8&lt;='Detalle'!$H114,M$9&gt;='Detalle'!$G114),1,"")</x:f>
      </x:c>
      <x:c r="N229" s="32" t="str">
        <x:f>IF(AND(N$8&lt;='Detalle'!$H114,N$9&gt;='Detalle'!$G114),1,"")</x:f>
      </x:c>
      <x:c r="O229" s="32" t="str">
        <x:f>IF(AND(O$8&lt;='Detalle'!$H114,O$9&gt;='Detalle'!$G114),1,"")</x:f>
      </x:c>
      <x:c r="P229" s="32" t="str">
        <x:f>IF(AND(P$8&lt;='Detalle'!$H114,P$9&gt;='Detalle'!$G114),1,"")</x:f>
      </x:c>
      <x:c r="Q229" s="68"/>
      <x:c r="R229" s="67" t="str">
        <x:f>IF('Detalle'!M114="","",'Detalle'!M114)</x:f>
      </x:c>
      <x:c r="S229" s="67" t="str">
        <x:f>IF('Detalle'!N114="","",'Detalle'!N114)</x:f>
      </x:c>
    </x:row>
    <x:row r="230" ht="16" customHeight="1">
      <x:c r="A230" s="56" t="str">
        <x:v>ACC01.006</x:v>
      </x:c>
      <x:c r="B230" s="57" t="str">
        <x:v>Agregar declaración separada de mayoría de edad</x:v>
      </x:c>
      <x:c r="C230" s="63" t="str">
        <x:v>R</x:v>
      </x:c>
      <x:c r="D230" s="65" t="str">
        <x:f>IF('Detalle'!L114="","",'Detalle'!L114)</x:f>
      </x:c>
      <x:c r="E230" s="60" t="str"/>
      <x:c r="F230" s="32" t="str">
        <x:f>IF(OR('Detalle'!$J114="",'Detalle'!$K114="",'Detalle'!$L114=""),"",IF(AND(F$8&lt;='Detalle'!$K114,F$9&gt;='Detalle'!$J114),1,""))</x:f>
      </x:c>
      <x:c r="G230" s="32" t="str">
        <x:f>IF(OR('Detalle'!$J114="",'Detalle'!$K114="",'Detalle'!$L114=""),"",IF(AND(G$8&lt;='Detalle'!$K114,G$9&gt;='Detalle'!$J114),1,""))</x:f>
      </x:c>
      <x:c r="H230" s="32" t="str">
        <x:f>IF(OR('Detalle'!$J114="",'Detalle'!$K114="",'Detalle'!$L114=""),"",IF(AND(H$8&lt;='Detalle'!$K114,H$9&gt;='Detalle'!$J114),1,""))</x:f>
      </x:c>
      <x:c r="I230" s="32" t="str">
        <x:f>IF(OR('Detalle'!$J114="",'Detalle'!$K114="",'Detalle'!$L114=""),"",IF(AND(I$8&lt;='Detalle'!$K114,I$9&gt;='Detalle'!$J114),1,""))</x:f>
      </x:c>
      <x:c r="J230" s="32" t="str">
        <x:f>IF(OR('Detalle'!$J114="",'Detalle'!$K114="",'Detalle'!$L114=""),"",IF(AND(J$8&lt;='Detalle'!$K114,J$9&gt;='Detalle'!$J114),1,""))</x:f>
      </x:c>
      <x:c r="K230" s="32" t="str">
        <x:f>IF(OR('Detalle'!$J114="",'Detalle'!$K114="",'Detalle'!$L114=""),"",IF(AND(K$8&lt;='Detalle'!$K114,K$9&gt;='Detalle'!$J114),1,""))</x:f>
      </x:c>
      <x:c r="L230" s="32" t="str">
        <x:f>IF(OR('Detalle'!$J114="",'Detalle'!$K114="",'Detalle'!$L114=""),"",IF(AND(L$8&lt;='Detalle'!$K114,L$9&gt;='Detalle'!$J114),1,""))</x:f>
      </x:c>
      <x:c r="M230" s="32" t="str">
        <x:f>IF(OR('Detalle'!$J114="",'Detalle'!$K114="",'Detalle'!$L114=""),"",IF(AND(M$8&lt;='Detalle'!$K114,M$9&gt;='Detalle'!$J114),1,""))</x:f>
      </x:c>
      <x:c r="N230" s="32" t="str">
        <x:f>IF(OR('Detalle'!$J114="",'Detalle'!$K114="",'Detalle'!$L114=""),"",IF(AND(N$8&lt;='Detalle'!$K114,N$9&gt;='Detalle'!$J114),1,""))</x:f>
      </x:c>
      <x:c r="O230" s="32" t="str">
        <x:f>IF(OR('Detalle'!$J114="",'Detalle'!$K114="",'Detalle'!$L114=""),"",IF(AND(O$8&lt;='Detalle'!$K114,O$9&gt;='Detalle'!$J114),1,""))</x:f>
      </x:c>
      <x:c r="P230" s="32" t="str">
        <x:f>IF(OR('Detalle'!$J114="",'Detalle'!$K114="",'Detalle'!$L114=""),"",IF(AND(P$8&lt;='Detalle'!$K114,P$9&gt;='Detalle'!$J114),1,""))</x:f>
      </x:c>
      <x:c r="Q230" s="68"/>
      <x:c r="R230" s="67" t="str"/>
      <x:c r="S230" s="67" t="str"/>
    </x:row>
    <x:row r="231" ht="16" customHeight="1">
      <x:c r="A231" s="56" t="str">
        <x:v>ACC01.007</x:v>
      </x:c>
      <x:c r="B231" s="57" t="str">
        <x:v>Agregar aceptación contractual explícita</x:v>
      </x:c>
      <x:c r="C231" s="62" t="str">
        <x:v>E</x:v>
      </x:c>
      <x:c r="D231" s="64" t="n">
        <x:f>'Detalle'!I115</x:f>
        <x:v>1</x:v>
      </x:c>
      <x:c r="E231" s="60" t="str">
        <x:f>'Detalle'!F115</x:f>
        <x:v>Completado</x:v>
      </x:c>
      <x:c r="F231" s="32" t="str">
        <x:f>IF(AND(F$8&lt;='Detalle'!$H115,F$9&gt;='Detalle'!$G115),1,"")</x:f>
      </x:c>
      <x:c r="G231" s="32" t="n">
        <x:f>IF(AND(G$8&lt;='Detalle'!$H115,G$9&gt;='Detalle'!$G115),1,"")</x:f>
        <x:v>1</x:v>
      </x:c>
      <x:c r="H231" s="32" t="str">
        <x:f>IF(AND(H$8&lt;='Detalle'!$H115,H$9&gt;='Detalle'!$G115),1,"")</x:f>
      </x:c>
      <x:c r="I231" s="32" t="str">
        <x:f>IF(AND(I$8&lt;='Detalle'!$H115,I$9&gt;='Detalle'!$G115),1,"")</x:f>
      </x:c>
      <x:c r="J231" s="32" t="str">
        <x:f>IF(AND(J$8&lt;='Detalle'!$H115,J$9&gt;='Detalle'!$G115),1,"")</x:f>
      </x:c>
      <x:c r="K231" s="32" t="str">
        <x:f>IF(AND(K$8&lt;='Detalle'!$H115,K$9&gt;='Detalle'!$G115),1,"")</x:f>
      </x:c>
      <x:c r="L231" s="32" t="str">
        <x:f>IF(AND(L$8&lt;='Detalle'!$H115,L$9&gt;='Detalle'!$G115),1,"")</x:f>
      </x:c>
      <x:c r="M231" s="32" t="str">
        <x:f>IF(AND(M$8&lt;='Detalle'!$H115,M$9&gt;='Detalle'!$G115),1,"")</x:f>
      </x:c>
      <x:c r="N231" s="32" t="str">
        <x:f>IF(AND(N$8&lt;='Detalle'!$H115,N$9&gt;='Detalle'!$G115),1,"")</x:f>
      </x:c>
      <x:c r="O231" s="32" t="str">
        <x:f>IF(AND(O$8&lt;='Detalle'!$H115,O$9&gt;='Detalle'!$G115),1,"")</x:f>
      </x:c>
      <x:c r="P231" s="32" t="str">
        <x:f>IF(AND(P$8&lt;='Detalle'!$H115,P$9&gt;='Detalle'!$G115),1,"")</x:f>
      </x:c>
      <x:c r="Q231" s="68"/>
      <x:c r="R231" s="67" t="str">
        <x:f>IF('Detalle'!M115="","",'Detalle'!M115)</x:f>
      </x:c>
      <x:c r="S231" s="67" t="str">
        <x:f>IF('Detalle'!N115="","",'Detalle'!N115)</x:f>
      </x:c>
    </x:row>
    <x:row r="232" ht="16" customHeight="1">
      <x:c r="A232" s="56" t="str">
        <x:v>ACC01.007</x:v>
      </x:c>
      <x:c r="B232" s="57" t="str">
        <x:v>Agregar aceptación contractual explícita</x:v>
      </x:c>
      <x:c r="C232" s="63" t="str">
        <x:v>R</x:v>
      </x:c>
      <x:c r="D232" s="65" t="str">
        <x:f>IF('Detalle'!L115="","",'Detalle'!L115)</x:f>
      </x:c>
      <x:c r="E232" s="60" t="str"/>
      <x:c r="F232" s="32" t="str">
        <x:f>IF(OR('Detalle'!$J115="",'Detalle'!$K115="",'Detalle'!$L115=""),"",IF(AND(F$8&lt;='Detalle'!$K115,F$9&gt;='Detalle'!$J115),1,""))</x:f>
      </x:c>
      <x:c r="G232" s="32" t="str">
        <x:f>IF(OR('Detalle'!$J115="",'Detalle'!$K115="",'Detalle'!$L115=""),"",IF(AND(G$8&lt;='Detalle'!$K115,G$9&gt;='Detalle'!$J115),1,""))</x:f>
      </x:c>
      <x:c r="H232" s="32" t="str">
        <x:f>IF(OR('Detalle'!$J115="",'Detalle'!$K115="",'Detalle'!$L115=""),"",IF(AND(H$8&lt;='Detalle'!$K115,H$9&gt;='Detalle'!$J115),1,""))</x:f>
      </x:c>
      <x:c r="I232" s="32" t="str">
        <x:f>IF(OR('Detalle'!$J115="",'Detalle'!$K115="",'Detalle'!$L115=""),"",IF(AND(I$8&lt;='Detalle'!$K115,I$9&gt;='Detalle'!$J115),1,""))</x:f>
      </x:c>
      <x:c r="J232" s="32" t="str">
        <x:f>IF(OR('Detalle'!$J115="",'Detalle'!$K115="",'Detalle'!$L115=""),"",IF(AND(J$8&lt;='Detalle'!$K115,J$9&gt;='Detalle'!$J115),1,""))</x:f>
      </x:c>
      <x:c r="K232" s="32" t="str">
        <x:f>IF(OR('Detalle'!$J115="",'Detalle'!$K115="",'Detalle'!$L115=""),"",IF(AND(K$8&lt;='Detalle'!$K115,K$9&gt;='Detalle'!$J115),1,""))</x:f>
      </x:c>
      <x:c r="L232" s="32" t="str">
        <x:f>IF(OR('Detalle'!$J115="",'Detalle'!$K115="",'Detalle'!$L115=""),"",IF(AND(L$8&lt;='Detalle'!$K115,L$9&gt;='Detalle'!$J115),1,""))</x:f>
      </x:c>
      <x:c r="M232" s="32" t="str">
        <x:f>IF(OR('Detalle'!$J115="",'Detalle'!$K115="",'Detalle'!$L115=""),"",IF(AND(M$8&lt;='Detalle'!$K115,M$9&gt;='Detalle'!$J115),1,""))</x:f>
      </x:c>
      <x:c r="N232" s="32" t="str">
        <x:f>IF(OR('Detalle'!$J115="",'Detalle'!$K115="",'Detalle'!$L115=""),"",IF(AND(N$8&lt;='Detalle'!$K115,N$9&gt;='Detalle'!$J115),1,""))</x:f>
      </x:c>
      <x:c r="O232" s="32" t="str">
        <x:f>IF(OR('Detalle'!$J115="",'Detalle'!$K115="",'Detalle'!$L115=""),"",IF(AND(O$8&lt;='Detalle'!$K115,O$9&gt;='Detalle'!$J115),1,""))</x:f>
      </x:c>
      <x:c r="P232" s="32" t="str">
        <x:f>IF(OR('Detalle'!$J115="",'Detalle'!$K115="",'Detalle'!$L115=""),"",IF(AND(P$8&lt;='Detalle'!$K115,P$9&gt;='Detalle'!$J115),1,""))</x:f>
      </x:c>
      <x:c r="Q232" s="68"/>
      <x:c r="R232" s="67" t="str"/>
      <x:c r="S232" s="67" t="str"/>
    </x:row>
    <x:row r="233" ht="16" customHeight="1">
      <x:c r="A233" s="56" t="str">
        <x:v>ACC01.008</x:v>
      </x:c>
      <x:c r="B233" s="57" t="str">
        <x:v>Persistir versiones de consentimiento</x:v>
      </x:c>
      <x:c r="C233" s="62" t="str">
        <x:v>E</x:v>
      </x:c>
      <x:c r="D233" s="64" t="n">
        <x:f>'Detalle'!I116</x:f>
        <x:v>1</x:v>
      </x:c>
      <x:c r="E233" s="60" t="str">
        <x:f>'Detalle'!F116</x:f>
        <x:v>Completado</x:v>
      </x:c>
      <x:c r="F233" s="32" t="str">
        <x:f>IF(AND(F$8&lt;='Detalle'!$H116,F$9&gt;='Detalle'!$G116),1,"")</x:f>
      </x:c>
      <x:c r="G233" s="32" t="n">
        <x:f>IF(AND(G$8&lt;='Detalle'!$H116,G$9&gt;='Detalle'!$G116),1,"")</x:f>
        <x:v>1</x:v>
      </x:c>
      <x:c r="H233" s="32" t="str">
        <x:f>IF(AND(H$8&lt;='Detalle'!$H116,H$9&gt;='Detalle'!$G116),1,"")</x:f>
      </x:c>
      <x:c r="I233" s="32" t="str">
        <x:f>IF(AND(I$8&lt;='Detalle'!$H116,I$9&gt;='Detalle'!$G116),1,"")</x:f>
      </x:c>
      <x:c r="J233" s="32" t="str">
        <x:f>IF(AND(J$8&lt;='Detalle'!$H116,J$9&gt;='Detalle'!$G116),1,"")</x:f>
      </x:c>
      <x:c r="K233" s="32" t="str">
        <x:f>IF(AND(K$8&lt;='Detalle'!$H116,K$9&gt;='Detalle'!$G116),1,"")</x:f>
      </x:c>
      <x:c r="L233" s="32" t="str">
        <x:f>IF(AND(L$8&lt;='Detalle'!$H116,L$9&gt;='Detalle'!$G116),1,"")</x:f>
      </x:c>
      <x:c r="M233" s="32" t="str">
        <x:f>IF(AND(M$8&lt;='Detalle'!$H116,M$9&gt;='Detalle'!$G116),1,"")</x:f>
      </x:c>
      <x:c r="N233" s="32" t="str">
        <x:f>IF(AND(N$8&lt;='Detalle'!$H116,N$9&gt;='Detalle'!$G116),1,"")</x:f>
      </x:c>
      <x:c r="O233" s="32" t="str">
        <x:f>IF(AND(O$8&lt;='Detalle'!$H116,O$9&gt;='Detalle'!$G116),1,"")</x:f>
      </x:c>
      <x:c r="P233" s="32" t="str">
        <x:f>IF(AND(P$8&lt;='Detalle'!$H116,P$9&gt;='Detalle'!$G116),1,"")</x:f>
      </x:c>
      <x:c r="Q233" s="68"/>
      <x:c r="R233" s="67" t="str">
        <x:f>IF('Detalle'!M116="","",'Detalle'!M116)</x:f>
      </x:c>
      <x:c r="S233" s="67" t="str">
        <x:f>IF('Detalle'!N116="","",'Detalle'!N116)</x:f>
      </x:c>
    </x:row>
    <x:row r="234" ht="16" customHeight="1">
      <x:c r="A234" s="56" t="str">
        <x:v>ACC01.008</x:v>
      </x:c>
      <x:c r="B234" s="57" t="str">
        <x:v>Persistir versiones de consentimiento</x:v>
      </x:c>
      <x:c r="C234" s="63" t="str">
        <x:v>R</x:v>
      </x:c>
      <x:c r="D234" s="65" t="str">
        <x:f>IF('Detalle'!L116="","",'Detalle'!L116)</x:f>
      </x:c>
      <x:c r="E234" s="60" t="str"/>
      <x:c r="F234" s="32" t="str">
        <x:f>IF(OR('Detalle'!$J116="",'Detalle'!$K116="",'Detalle'!$L116=""),"",IF(AND(F$8&lt;='Detalle'!$K116,F$9&gt;='Detalle'!$J116),1,""))</x:f>
      </x:c>
      <x:c r="G234" s="32" t="str">
        <x:f>IF(OR('Detalle'!$J116="",'Detalle'!$K116="",'Detalle'!$L116=""),"",IF(AND(G$8&lt;='Detalle'!$K116,G$9&gt;='Detalle'!$J116),1,""))</x:f>
      </x:c>
      <x:c r="H234" s="32" t="str">
        <x:f>IF(OR('Detalle'!$J116="",'Detalle'!$K116="",'Detalle'!$L116=""),"",IF(AND(H$8&lt;='Detalle'!$K116,H$9&gt;='Detalle'!$J116),1,""))</x:f>
      </x:c>
      <x:c r="I234" s="32" t="str">
        <x:f>IF(OR('Detalle'!$J116="",'Detalle'!$K116="",'Detalle'!$L116=""),"",IF(AND(I$8&lt;='Detalle'!$K116,I$9&gt;='Detalle'!$J116),1,""))</x:f>
      </x:c>
      <x:c r="J234" s="32" t="str">
        <x:f>IF(OR('Detalle'!$J116="",'Detalle'!$K116="",'Detalle'!$L116=""),"",IF(AND(J$8&lt;='Detalle'!$K116,J$9&gt;='Detalle'!$J116),1,""))</x:f>
      </x:c>
      <x:c r="K234" s="32" t="str">
        <x:f>IF(OR('Detalle'!$J116="",'Detalle'!$K116="",'Detalle'!$L116=""),"",IF(AND(K$8&lt;='Detalle'!$K116,K$9&gt;='Detalle'!$J116),1,""))</x:f>
      </x:c>
      <x:c r="L234" s="32" t="str">
        <x:f>IF(OR('Detalle'!$J116="",'Detalle'!$K116="",'Detalle'!$L116=""),"",IF(AND(L$8&lt;='Detalle'!$K116,L$9&gt;='Detalle'!$J116),1,""))</x:f>
      </x:c>
      <x:c r="M234" s="32" t="str">
        <x:f>IF(OR('Detalle'!$J116="",'Detalle'!$K116="",'Detalle'!$L116=""),"",IF(AND(M$8&lt;='Detalle'!$K116,M$9&gt;='Detalle'!$J116),1,""))</x:f>
      </x:c>
      <x:c r="N234" s="32" t="str">
        <x:f>IF(OR('Detalle'!$J116="",'Detalle'!$K116="",'Detalle'!$L116=""),"",IF(AND(N$8&lt;='Detalle'!$K116,N$9&gt;='Detalle'!$J116),1,""))</x:f>
      </x:c>
      <x:c r="O234" s="32" t="str">
        <x:f>IF(OR('Detalle'!$J116="",'Detalle'!$K116="",'Detalle'!$L116=""),"",IF(AND(O$8&lt;='Detalle'!$K116,O$9&gt;='Detalle'!$J116),1,""))</x:f>
      </x:c>
      <x:c r="P234" s="32" t="str">
        <x:f>IF(OR('Detalle'!$J116="",'Detalle'!$K116="",'Detalle'!$L116=""),"",IF(AND(P$8&lt;='Detalle'!$K116,P$9&gt;='Detalle'!$J116),1,""))</x:f>
      </x:c>
      <x:c r="Q234" s="68"/>
      <x:c r="R234" s="67" t="str"/>
      <x:c r="S234" s="67" t="str"/>
    </x:row>
    <x:row r="235" ht="16" customHeight="1">
      <x:c r="A235" s="56" t="str">
        <x:v>ACC01.009</x:v>
      </x:c>
      <x:c r="B235" s="57" t="str">
        <x:v>Proteger historial de aceptaciones</x:v>
      </x:c>
      <x:c r="C235" s="62" t="str">
        <x:v>E</x:v>
      </x:c>
      <x:c r="D235" s="64" t="n">
        <x:f>'Detalle'!I117</x:f>
        <x:v>1</x:v>
      </x:c>
      <x:c r="E235" s="60" t="str">
        <x:f>'Detalle'!F117</x:f>
        <x:v>Completado</x:v>
      </x:c>
      <x:c r="F235" s="32" t="str">
        <x:f>IF(AND(F$8&lt;='Detalle'!$H117,F$9&gt;='Detalle'!$G117),1,"")</x:f>
      </x:c>
      <x:c r="G235" s="32" t="n">
        <x:f>IF(AND(G$8&lt;='Detalle'!$H117,G$9&gt;='Detalle'!$G117),1,"")</x:f>
        <x:v>1</x:v>
      </x:c>
      <x:c r="H235" s="32" t="str">
        <x:f>IF(AND(H$8&lt;='Detalle'!$H117,H$9&gt;='Detalle'!$G117),1,"")</x:f>
      </x:c>
      <x:c r="I235" s="32" t="str">
        <x:f>IF(AND(I$8&lt;='Detalle'!$H117,I$9&gt;='Detalle'!$G117),1,"")</x:f>
      </x:c>
      <x:c r="J235" s="32" t="str">
        <x:f>IF(AND(J$8&lt;='Detalle'!$H117,J$9&gt;='Detalle'!$G117),1,"")</x:f>
      </x:c>
      <x:c r="K235" s="32" t="str">
        <x:f>IF(AND(K$8&lt;='Detalle'!$H117,K$9&gt;='Detalle'!$G117),1,"")</x:f>
      </x:c>
      <x:c r="L235" s="32" t="str">
        <x:f>IF(AND(L$8&lt;='Detalle'!$H117,L$9&gt;='Detalle'!$G117),1,"")</x:f>
      </x:c>
      <x:c r="M235" s="32" t="str">
        <x:f>IF(AND(M$8&lt;='Detalle'!$H117,M$9&gt;='Detalle'!$G117),1,"")</x:f>
      </x:c>
      <x:c r="N235" s="32" t="str">
        <x:f>IF(AND(N$8&lt;='Detalle'!$H117,N$9&gt;='Detalle'!$G117),1,"")</x:f>
      </x:c>
      <x:c r="O235" s="32" t="str">
        <x:f>IF(AND(O$8&lt;='Detalle'!$H117,O$9&gt;='Detalle'!$G117),1,"")</x:f>
      </x:c>
      <x:c r="P235" s="32" t="str">
        <x:f>IF(AND(P$8&lt;='Detalle'!$H117,P$9&gt;='Detalle'!$G117),1,"")</x:f>
      </x:c>
      <x:c r="Q235" s="68"/>
      <x:c r="R235" s="67" t="str">
        <x:f>IF('Detalle'!M117="","",'Detalle'!M117)</x:f>
      </x:c>
      <x:c r="S235" s="67" t="str">
        <x:f>IF('Detalle'!N117="","",'Detalle'!N117)</x:f>
      </x:c>
    </x:row>
    <x:row r="236" ht="16" customHeight="1">
      <x:c r="A236" s="56" t="str">
        <x:v>ACC01.009</x:v>
      </x:c>
      <x:c r="B236" s="57" t="str">
        <x:v>Proteger historial de aceptaciones</x:v>
      </x:c>
      <x:c r="C236" s="63" t="str">
        <x:v>R</x:v>
      </x:c>
      <x:c r="D236" s="65" t="str">
        <x:f>IF('Detalle'!L117="","",'Detalle'!L117)</x:f>
      </x:c>
      <x:c r="E236" s="60" t="str"/>
      <x:c r="F236" s="32" t="str">
        <x:f>IF(OR('Detalle'!$J117="",'Detalle'!$K117="",'Detalle'!$L117=""),"",IF(AND(F$8&lt;='Detalle'!$K117,F$9&gt;='Detalle'!$J117),1,""))</x:f>
      </x:c>
      <x:c r="G236" s="32" t="str">
        <x:f>IF(OR('Detalle'!$J117="",'Detalle'!$K117="",'Detalle'!$L117=""),"",IF(AND(G$8&lt;='Detalle'!$K117,G$9&gt;='Detalle'!$J117),1,""))</x:f>
      </x:c>
      <x:c r="H236" s="32" t="str">
        <x:f>IF(OR('Detalle'!$J117="",'Detalle'!$K117="",'Detalle'!$L117=""),"",IF(AND(H$8&lt;='Detalle'!$K117,H$9&gt;='Detalle'!$J117),1,""))</x:f>
      </x:c>
      <x:c r="I236" s="32" t="str">
        <x:f>IF(OR('Detalle'!$J117="",'Detalle'!$K117="",'Detalle'!$L117=""),"",IF(AND(I$8&lt;='Detalle'!$K117,I$9&gt;='Detalle'!$J117),1,""))</x:f>
      </x:c>
      <x:c r="J236" s="32" t="str">
        <x:f>IF(OR('Detalle'!$J117="",'Detalle'!$K117="",'Detalle'!$L117=""),"",IF(AND(J$8&lt;='Detalle'!$K117,J$9&gt;='Detalle'!$J117),1,""))</x:f>
      </x:c>
      <x:c r="K236" s="32" t="str">
        <x:f>IF(OR('Detalle'!$J117="",'Detalle'!$K117="",'Detalle'!$L117=""),"",IF(AND(K$8&lt;='Detalle'!$K117,K$9&gt;='Detalle'!$J117),1,""))</x:f>
      </x:c>
      <x:c r="L236" s="32" t="str">
        <x:f>IF(OR('Detalle'!$J117="",'Detalle'!$K117="",'Detalle'!$L117=""),"",IF(AND(L$8&lt;='Detalle'!$K117,L$9&gt;='Detalle'!$J117),1,""))</x:f>
      </x:c>
      <x:c r="M236" s="32" t="str">
        <x:f>IF(OR('Detalle'!$J117="",'Detalle'!$K117="",'Detalle'!$L117=""),"",IF(AND(M$8&lt;='Detalle'!$K117,M$9&gt;='Detalle'!$J117),1,""))</x:f>
      </x:c>
      <x:c r="N236" s="32" t="str">
        <x:f>IF(OR('Detalle'!$J117="",'Detalle'!$K117="",'Detalle'!$L117=""),"",IF(AND(N$8&lt;='Detalle'!$K117,N$9&gt;='Detalle'!$J117),1,""))</x:f>
      </x:c>
      <x:c r="O236" s="32" t="str">
        <x:f>IF(OR('Detalle'!$J117="",'Detalle'!$K117="",'Detalle'!$L117=""),"",IF(AND(O$8&lt;='Detalle'!$K117,O$9&gt;='Detalle'!$J117),1,""))</x:f>
      </x:c>
      <x:c r="P236" s="32" t="str">
        <x:f>IF(OR('Detalle'!$J117="",'Detalle'!$K117="",'Detalle'!$L117=""),"",IF(AND(P$8&lt;='Detalle'!$K117,P$9&gt;='Detalle'!$J117),1,""))</x:f>
      </x:c>
      <x:c r="Q236" s="68"/>
      <x:c r="R236" s="67" t="str"/>
      <x:c r="S236" s="67" t="str"/>
    </x:row>
    <x:row r="237" ht="16" customHeight="1">
      <x:c r="A237" s="56" t="str">
        <x:v>ACC01.010</x:v>
      </x:c>
      <x:c r="B237" s="57" t="str">
        <x:v>Solicitar aceptación a cuentas existentes</x:v>
      </x:c>
      <x:c r="C237" s="62" t="str">
        <x:v>E</x:v>
      </x:c>
      <x:c r="D237" s="64" t="n">
        <x:f>'Detalle'!I118</x:f>
        <x:v>1</x:v>
      </x:c>
      <x:c r="E237" s="60" t="str">
        <x:f>'Detalle'!F118</x:f>
        <x:v>Completado</x:v>
      </x:c>
      <x:c r="F237" s="32" t="str">
        <x:f>IF(AND(F$8&lt;='Detalle'!$H118,F$9&gt;='Detalle'!$G118),1,"")</x:f>
      </x:c>
      <x:c r="G237" s="32" t="n">
        <x:f>IF(AND(G$8&lt;='Detalle'!$H118,G$9&gt;='Detalle'!$G118),1,"")</x:f>
        <x:v>1</x:v>
      </x:c>
      <x:c r="H237" s="32" t="str">
        <x:f>IF(AND(H$8&lt;='Detalle'!$H118,H$9&gt;='Detalle'!$G118),1,"")</x:f>
      </x:c>
      <x:c r="I237" s="32" t="str">
        <x:f>IF(AND(I$8&lt;='Detalle'!$H118,I$9&gt;='Detalle'!$G118),1,"")</x:f>
      </x:c>
      <x:c r="J237" s="32" t="str">
        <x:f>IF(AND(J$8&lt;='Detalle'!$H118,J$9&gt;='Detalle'!$G118),1,"")</x:f>
      </x:c>
      <x:c r="K237" s="32" t="str">
        <x:f>IF(AND(K$8&lt;='Detalle'!$H118,K$9&gt;='Detalle'!$G118),1,"")</x:f>
      </x:c>
      <x:c r="L237" s="32" t="str">
        <x:f>IF(AND(L$8&lt;='Detalle'!$H118,L$9&gt;='Detalle'!$G118),1,"")</x:f>
      </x:c>
      <x:c r="M237" s="32" t="str">
        <x:f>IF(AND(M$8&lt;='Detalle'!$H118,M$9&gt;='Detalle'!$G118),1,"")</x:f>
      </x:c>
      <x:c r="N237" s="32" t="str">
        <x:f>IF(AND(N$8&lt;='Detalle'!$H118,N$9&gt;='Detalle'!$G118),1,"")</x:f>
      </x:c>
      <x:c r="O237" s="32" t="str">
        <x:f>IF(AND(O$8&lt;='Detalle'!$H118,O$9&gt;='Detalle'!$G118),1,"")</x:f>
      </x:c>
      <x:c r="P237" s="32" t="str">
        <x:f>IF(AND(P$8&lt;='Detalle'!$H118,P$9&gt;='Detalle'!$G118),1,"")</x:f>
      </x:c>
      <x:c r="Q237" s="68"/>
      <x:c r="R237" s="67" t="str">
        <x:f>IF('Detalle'!M118="","",'Detalle'!M118)</x:f>
      </x:c>
      <x:c r="S237" s="67" t="str">
        <x:f>IF('Detalle'!N118="","",'Detalle'!N118)</x:f>
      </x:c>
    </x:row>
    <x:row r="238" ht="16" customHeight="1">
      <x:c r="A238" s="56" t="str">
        <x:v>ACC01.010</x:v>
      </x:c>
      <x:c r="B238" s="57" t="str">
        <x:v>Solicitar aceptación a cuentas existentes</x:v>
      </x:c>
      <x:c r="C238" s="63" t="str">
        <x:v>R</x:v>
      </x:c>
      <x:c r="D238" s="65" t="str">
        <x:f>IF('Detalle'!L118="","",'Detalle'!L118)</x:f>
      </x:c>
      <x:c r="E238" s="60" t="str"/>
      <x:c r="F238" s="32" t="str">
        <x:f>IF(OR('Detalle'!$J118="",'Detalle'!$K118="",'Detalle'!$L118=""),"",IF(AND(F$8&lt;='Detalle'!$K118,F$9&gt;='Detalle'!$J118),1,""))</x:f>
      </x:c>
      <x:c r="G238" s="32" t="str">
        <x:f>IF(OR('Detalle'!$J118="",'Detalle'!$K118="",'Detalle'!$L118=""),"",IF(AND(G$8&lt;='Detalle'!$K118,G$9&gt;='Detalle'!$J118),1,""))</x:f>
      </x:c>
      <x:c r="H238" s="32" t="str">
        <x:f>IF(OR('Detalle'!$J118="",'Detalle'!$K118="",'Detalle'!$L118=""),"",IF(AND(H$8&lt;='Detalle'!$K118,H$9&gt;='Detalle'!$J118),1,""))</x:f>
      </x:c>
      <x:c r="I238" s="32" t="str">
        <x:f>IF(OR('Detalle'!$J118="",'Detalle'!$K118="",'Detalle'!$L118=""),"",IF(AND(I$8&lt;='Detalle'!$K118,I$9&gt;='Detalle'!$J118),1,""))</x:f>
      </x:c>
      <x:c r="J238" s="32" t="str">
        <x:f>IF(OR('Detalle'!$J118="",'Detalle'!$K118="",'Detalle'!$L118=""),"",IF(AND(J$8&lt;='Detalle'!$K118,J$9&gt;='Detalle'!$J118),1,""))</x:f>
      </x:c>
      <x:c r="K238" s="32" t="str">
        <x:f>IF(OR('Detalle'!$J118="",'Detalle'!$K118="",'Detalle'!$L118=""),"",IF(AND(K$8&lt;='Detalle'!$K118,K$9&gt;='Detalle'!$J118),1,""))</x:f>
      </x:c>
      <x:c r="L238" s="32" t="str">
        <x:f>IF(OR('Detalle'!$J118="",'Detalle'!$K118="",'Detalle'!$L118=""),"",IF(AND(L$8&lt;='Detalle'!$K118,L$9&gt;='Detalle'!$J118),1,""))</x:f>
      </x:c>
      <x:c r="M238" s="32" t="str">
        <x:f>IF(OR('Detalle'!$J118="",'Detalle'!$K118="",'Detalle'!$L118=""),"",IF(AND(M$8&lt;='Detalle'!$K118,M$9&gt;='Detalle'!$J118),1,""))</x:f>
      </x:c>
      <x:c r="N238" s="32" t="str">
        <x:f>IF(OR('Detalle'!$J118="",'Detalle'!$K118="",'Detalle'!$L118=""),"",IF(AND(N$8&lt;='Detalle'!$K118,N$9&gt;='Detalle'!$J118),1,""))</x:f>
      </x:c>
      <x:c r="O238" s="32" t="str">
        <x:f>IF(OR('Detalle'!$J118="",'Detalle'!$K118="",'Detalle'!$L118=""),"",IF(AND(O$8&lt;='Detalle'!$K118,O$9&gt;='Detalle'!$J118),1,""))</x:f>
      </x:c>
      <x:c r="P238" s="32" t="str">
        <x:f>IF(OR('Detalle'!$J118="",'Detalle'!$K118="",'Detalle'!$L118=""),"",IF(AND(P$8&lt;='Detalle'!$K118,P$9&gt;='Detalle'!$J118),1,""))</x:f>
      </x:c>
      <x:c r="Q238" s="68"/>
      <x:c r="R238" s="67" t="str"/>
      <x:c r="S238" s="67" t="str"/>
    </x:row>
    <x:row r="239" ht="16" customHeight="1">
      <x:c r="A239" s="56" t="str">
        <x:v>ACC01.011</x:v>
      </x:c>
      <x:c r="B239" s="57" t="str">
        <x:v>Permitir gestionar cuenta sin aceptar cambios</x:v>
      </x:c>
      <x:c r="C239" s="62" t="str">
        <x:v>E</x:v>
      </x:c>
      <x:c r="D239" s="64" t="n">
        <x:f>'Detalle'!I119</x:f>
        <x:v>1</x:v>
      </x:c>
      <x:c r="E239" s="60" t="str">
        <x:f>'Detalle'!F119</x:f>
        <x:v>Completado</x:v>
      </x:c>
      <x:c r="F239" s="32" t="str">
        <x:f>IF(AND(F$8&lt;='Detalle'!$H119,F$9&gt;='Detalle'!$G119),1,"")</x:f>
      </x:c>
      <x:c r="G239" s="32" t="n">
        <x:f>IF(AND(G$8&lt;='Detalle'!$H119,G$9&gt;='Detalle'!$G119),1,"")</x:f>
        <x:v>1</x:v>
      </x:c>
      <x:c r="H239" s="32" t="str">
        <x:f>IF(AND(H$8&lt;='Detalle'!$H119,H$9&gt;='Detalle'!$G119),1,"")</x:f>
      </x:c>
      <x:c r="I239" s="32" t="str">
        <x:f>IF(AND(I$8&lt;='Detalle'!$H119,I$9&gt;='Detalle'!$G119),1,"")</x:f>
      </x:c>
      <x:c r="J239" s="32" t="str">
        <x:f>IF(AND(J$8&lt;='Detalle'!$H119,J$9&gt;='Detalle'!$G119),1,"")</x:f>
      </x:c>
      <x:c r="K239" s="32" t="str">
        <x:f>IF(AND(K$8&lt;='Detalle'!$H119,K$9&gt;='Detalle'!$G119),1,"")</x:f>
      </x:c>
      <x:c r="L239" s="32" t="str">
        <x:f>IF(AND(L$8&lt;='Detalle'!$H119,L$9&gt;='Detalle'!$G119),1,"")</x:f>
      </x:c>
      <x:c r="M239" s="32" t="str">
        <x:f>IF(AND(M$8&lt;='Detalle'!$H119,M$9&gt;='Detalle'!$G119),1,"")</x:f>
      </x:c>
      <x:c r="N239" s="32" t="str">
        <x:f>IF(AND(N$8&lt;='Detalle'!$H119,N$9&gt;='Detalle'!$G119),1,"")</x:f>
      </x:c>
      <x:c r="O239" s="32" t="str">
        <x:f>IF(AND(O$8&lt;='Detalle'!$H119,O$9&gt;='Detalle'!$G119),1,"")</x:f>
      </x:c>
      <x:c r="P239" s="32" t="str">
        <x:f>IF(AND(P$8&lt;='Detalle'!$H119,P$9&gt;='Detalle'!$G119),1,"")</x:f>
      </x:c>
      <x:c r="Q239" s="68"/>
      <x:c r="R239" s="67" t="str">
        <x:f>IF('Detalle'!M119="","",'Detalle'!M119)</x:f>
      </x:c>
      <x:c r="S239" s="67" t="str">
        <x:f>IF('Detalle'!N119="","",'Detalle'!N119)</x:f>
      </x:c>
    </x:row>
    <x:row r="240" ht="16" customHeight="1">
      <x:c r="A240" s="56" t="str">
        <x:v>ACC01.011</x:v>
      </x:c>
      <x:c r="B240" s="57" t="str">
        <x:v>Permitir gestionar cuenta sin aceptar cambios</x:v>
      </x:c>
      <x:c r="C240" s="63" t="str">
        <x:v>R</x:v>
      </x:c>
      <x:c r="D240" s="65" t="str">
        <x:f>IF('Detalle'!L119="","",'Detalle'!L119)</x:f>
      </x:c>
      <x:c r="E240" s="60" t="str"/>
      <x:c r="F240" s="32" t="str">
        <x:f>IF(OR('Detalle'!$J119="",'Detalle'!$K119="",'Detalle'!$L119=""),"",IF(AND(F$8&lt;='Detalle'!$K119,F$9&gt;='Detalle'!$J119),1,""))</x:f>
      </x:c>
      <x:c r="G240" s="32" t="str">
        <x:f>IF(OR('Detalle'!$J119="",'Detalle'!$K119="",'Detalle'!$L119=""),"",IF(AND(G$8&lt;='Detalle'!$K119,G$9&gt;='Detalle'!$J119),1,""))</x:f>
      </x:c>
      <x:c r="H240" s="32" t="str">
        <x:f>IF(OR('Detalle'!$J119="",'Detalle'!$K119="",'Detalle'!$L119=""),"",IF(AND(H$8&lt;='Detalle'!$K119,H$9&gt;='Detalle'!$J119),1,""))</x:f>
      </x:c>
      <x:c r="I240" s="32" t="str">
        <x:f>IF(OR('Detalle'!$J119="",'Detalle'!$K119="",'Detalle'!$L119=""),"",IF(AND(I$8&lt;='Detalle'!$K119,I$9&gt;='Detalle'!$J119),1,""))</x:f>
      </x:c>
      <x:c r="J240" s="32" t="str">
        <x:f>IF(OR('Detalle'!$J119="",'Detalle'!$K119="",'Detalle'!$L119=""),"",IF(AND(J$8&lt;='Detalle'!$K119,J$9&gt;='Detalle'!$J119),1,""))</x:f>
      </x:c>
      <x:c r="K240" s="32" t="str">
        <x:f>IF(OR('Detalle'!$J119="",'Detalle'!$K119="",'Detalle'!$L119=""),"",IF(AND(K$8&lt;='Detalle'!$K119,K$9&gt;='Detalle'!$J119),1,""))</x:f>
      </x:c>
      <x:c r="L240" s="32" t="str">
        <x:f>IF(OR('Detalle'!$J119="",'Detalle'!$K119="",'Detalle'!$L119=""),"",IF(AND(L$8&lt;='Detalle'!$K119,L$9&gt;='Detalle'!$J119),1,""))</x:f>
      </x:c>
      <x:c r="M240" s="32" t="str">
        <x:f>IF(OR('Detalle'!$J119="",'Detalle'!$K119="",'Detalle'!$L119=""),"",IF(AND(M$8&lt;='Detalle'!$K119,M$9&gt;='Detalle'!$J119),1,""))</x:f>
      </x:c>
      <x:c r="N240" s="32" t="str">
        <x:f>IF(OR('Detalle'!$J119="",'Detalle'!$K119="",'Detalle'!$L119=""),"",IF(AND(N$8&lt;='Detalle'!$K119,N$9&gt;='Detalle'!$J119),1,""))</x:f>
      </x:c>
      <x:c r="O240" s="32" t="str">
        <x:f>IF(OR('Detalle'!$J119="",'Detalle'!$K119="",'Detalle'!$L119=""),"",IF(AND(O$8&lt;='Detalle'!$K119,O$9&gt;='Detalle'!$J119),1,""))</x:f>
      </x:c>
      <x:c r="P240" s="32" t="str">
        <x:f>IF(OR('Detalle'!$J119="",'Detalle'!$K119="",'Detalle'!$L119=""),"",IF(AND(P$8&lt;='Detalle'!$K119,P$9&gt;='Detalle'!$J119),1,""))</x:f>
      </x:c>
      <x:c r="Q240" s="68"/>
      <x:c r="R240" s="67" t="str"/>
      <x:c r="S240" s="67" t="str"/>
    </x:row>
    <x:row r="241" ht="16" customHeight="1">
      <x:c r="A241" s="56" t="str">
        <x:v>ACC01.012</x:v>
      </x:c>
      <x:c r="B241" s="57" t="str">
        <x:v>Crear pantalla de código de correo</x:v>
      </x:c>
      <x:c r="C241" s="62" t="str">
        <x:v>E</x:v>
      </x:c>
      <x:c r="D241" s="64" t="n">
        <x:f>'Detalle'!I120</x:f>
        <x:v>1</x:v>
      </x:c>
      <x:c r="E241" s="60" t="str">
        <x:f>'Detalle'!F120</x:f>
        <x:v>Completado</x:v>
      </x:c>
      <x:c r="F241" s="32" t="str">
        <x:f>IF(AND(F$8&lt;='Detalle'!$H120,F$9&gt;='Detalle'!$G120),1,"")</x:f>
      </x:c>
      <x:c r="G241" s="32" t="n">
        <x:f>IF(AND(G$8&lt;='Detalle'!$H120,G$9&gt;='Detalle'!$G120),1,"")</x:f>
        <x:v>1</x:v>
      </x:c>
      <x:c r="H241" s="32" t="str">
        <x:f>IF(AND(H$8&lt;='Detalle'!$H120,H$9&gt;='Detalle'!$G120),1,"")</x:f>
      </x:c>
      <x:c r="I241" s="32" t="str">
        <x:f>IF(AND(I$8&lt;='Detalle'!$H120,I$9&gt;='Detalle'!$G120),1,"")</x:f>
      </x:c>
      <x:c r="J241" s="32" t="str">
        <x:f>IF(AND(J$8&lt;='Detalle'!$H120,J$9&gt;='Detalle'!$G120),1,"")</x:f>
      </x:c>
      <x:c r="K241" s="32" t="str">
        <x:f>IF(AND(K$8&lt;='Detalle'!$H120,K$9&gt;='Detalle'!$G120),1,"")</x:f>
      </x:c>
      <x:c r="L241" s="32" t="str">
        <x:f>IF(AND(L$8&lt;='Detalle'!$H120,L$9&gt;='Detalle'!$G120),1,"")</x:f>
      </x:c>
      <x:c r="M241" s="32" t="str">
        <x:f>IF(AND(M$8&lt;='Detalle'!$H120,M$9&gt;='Detalle'!$G120),1,"")</x:f>
      </x:c>
      <x:c r="N241" s="32" t="str">
        <x:f>IF(AND(N$8&lt;='Detalle'!$H120,N$9&gt;='Detalle'!$G120),1,"")</x:f>
      </x:c>
      <x:c r="O241" s="32" t="str">
        <x:f>IF(AND(O$8&lt;='Detalle'!$H120,O$9&gt;='Detalle'!$G120),1,"")</x:f>
      </x:c>
      <x:c r="P241" s="32" t="str">
        <x:f>IF(AND(P$8&lt;='Detalle'!$H120,P$9&gt;='Detalle'!$G120),1,"")</x:f>
      </x:c>
      <x:c r="Q241" s="68"/>
      <x:c r="R241" s="67" t="str">
        <x:f>IF('Detalle'!M120="","",'Detalle'!M120)</x:f>
      </x:c>
      <x:c r="S241" s="67" t="str">
        <x:f>IF('Detalle'!N120="","",'Detalle'!N120)</x:f>
      </x:c>
    </x:row>
    <x:row r="242" ht="16" customHeight="1">
      <x:c r="A242" s="56" t="str">
        <x:v>ACC01.012</x:v>
      </x:c>
      <x:c r="B242" s="57" t="str">
        <x:v>Crear pantalla de código de correo</x:v>
      </x:c>
      <x:c r="C242" s="63" t="str">
        <x:v>R</x:v>
      </x:c>
      <x:c r="D242" s="65" t="str">
        <x:f>IF('Detalle'!L120="","",'Detalle'!L120)</x:f>
      </x:c>
      <x:c r="E242" s="60" t="str"/>
      <x:c r="F242" s="32" t="str">
        <x:f>IF(OR('Detalle'!$J120="",'Detalle'!$K120="",'Detalle'!$L120=""),"",IF(AND(F$8&lt;='Detalle'!$K120,F$9&gt;='Detalle'!$J120),1,""))</x:f>
      </x:c>
      <x:c r="G242" s="32" t="str">
        <x:f>IF(OR('Detalle'!$J120="",'Detalle'!$K120="",'Detalle'!$L120=""),"",IF(AND(G$8&lt;='Detalle'!$K120,G$9&gt;='Detalle'!$J120),1,""))</x:f>
      </x:c>
      <x:c r="H242" s="32" t="str">
        <x:f>IF(OR('Detalle'!$J120="",'Detalle'!$K120="",'Detalle'!$L120=""),"",IF(AND(H$8&lt;='Detalle'!$K120,H$9&gt;='Detalle'!$J120),1,""))</x:f>
      </x:c>
      <x:c r="I242" s="32" t="str">
        <x:f>IF(OR('Detalle'!$J120="",'Detalle'!$K120="",'Detalle'!$L120=""),"",IF(AND(I$8&lt;='Detalle'!$K120,I$9&gt;='Detalle'!$J120),1,""))</x:f>
      </x:c>
      <x:c r="J242" s="32" t="str">
        <x:f>IF(OR('Detalle'!$J120="",'Detalle'!$K120="",'Detalle'!$L120=""),"",IF(AND(J$8&lt;='Detalle'!$K120,J$9&gt;='Detalle'!$J120),1,""))</x:f>
      </x:c>
      <x:c r="K242" s="32" t="str">
        <x:f>IF(OR('Detalle'!$J120="",'Detalle'!$K120="",'Detalle'!$L120=""),"",IF(AND(K$8&lt;='Detalle'!$K120,K$9&gt;='Detalle'!$J120),1,""))</x:f>
      </x:c>
      <x:c r="L242" s="32" t="str">
        <x:f>IF(OR('Detalle'!$J120="",'Detalle'!$K120="",'Detalle'!$L120=""),"",IF(AND(L$8&lt;='Detalle'!$K120,L$9&gt;='Detalle'!$J120),1,""))</x:f>
      </x:c>
      <x:c r="M242" s="32" t="str">
        <x:f>IF(OR('Detalle'!$J120="",'Detalle'!$K120="",'Detalle'!$L120=""),"",IF(AND(M$8&lt;='Detalle'!$K120,M$9&gt;='Detalle'!$J120),1,""))</x:f>
      </x:c>
      <x:c r="N242" s="32" t="str">
        <x:f>IF(OR('Detalle'!$J120="",'Detalle'!$K120="",'Detalle'!$L120=""),"",IF(AND(N$8&lt;='Detalle'!$K120,N$9&gt;='Detalle'!$J120),1,""))</x:f>
      </x:c>
      <x:c r="O242" s="32" t="str">
        <x:f>IF(OR('Detalle'!$J120="",'Detalle'!$K120="",'Detalle'!$L120=""),"",IF(AND(O$8&lt;='Detalle'!$K120,O$9&gt;='Detalle'!$J120),1,""))</x:f>
      </x:c>
      <x:c r="P242" s="32" t="str">
        <x:f>IF(OR('Detalle'!$J120="",'Detalle'!$K120="",'Detalle'!$L120=""),"",IF(AND(P$8&lt;='Detalle'!$K120,P$9&gt;='Detalle'!$J120),1,""))</x:f>
      </x:c>
      <x:c r="Q242" s="68"/>
      <x:c r="R242" s="67" t="str"/>
      <x:c r="S242" s="67" t="str"/>
    </x:row>
    <x:row r="243" ht="16" customHeight="1">
      <x:c r="A243" s="56" t="str">
        <x:v>ACC01.013</x:v>
      </x:c>
      <x:c r="B243" s="57" t="str">
        <x:v>Implementar reenvío con espera</x:v>
      </x:c>
      <x:c r="C243" s="62" t="str">
        <x:v>E</x:v>
      </x:c>
      <x:c r="D243" s="64" t="n">
        <x:f>'Detalle'!I121</x:f>
        <x:v>1</x:v>
      </x:c>
      <x:c r="E243" s="60" t="str">
        <x:f>'Detalle'!F121</x:f>
        <x:v>Completado</x:v>
      </x:c>
      <x:c r="F243" s="32" t="str">
        <x:f>IF(AND(F$8&lt;='Detalle'!$H121,F$9&gt;='Detalle'!$G121),1,"")</x:f>
      </x:c>
      <x:c r="G243" s="32" t="n">
        <x:f>IF(AND(G$8&lt;='Detalle'!$H121,G$9&gt;='Detalle'!$G121),1,"")</x:f>
        <x:v>1</x:v>
      </x:c>
      <x:c r="H243" s="32" t="str">
        <x:f>IF(AND(H$8&lt;='Detalle'!$H121,H$9&gt;='Detalle'!$G121),1,"")</x:f>
      </x:c>
      <x:c r="I243" s="32" t="str">
        <x:f>IF(AND(I$8&lt;='Detalle'!$H121,I$9&gt;='Detalle'!$G121),1,"")</x:f>
      </x:c>
      <x:c r="J243" s="32" t="str">
        <x:f>IF(AND(J$8&lt;='Detalle'!$H121,J$9&gt;='Detalle'!$G121),1,"")</x:f>
      </x:c>
      <x:c r="K243" s="32" t="str">
        <x:f>IF(AND(K$8&lt;='Detalle'!$H121,K$9&gt;='Detalle'!$G121),1,"")</x:f>
      </x:c>
      <x:c r="L243" s="32" t="str">
        <x:f>IF(AND(L$8&lt;='Detalle'!$H121,L$9&gt;='Detalle'!$G121),1,"")</x:f>
      </x:c>
      <x:c r="M243" s="32" t="str">
        <x:f>IF(AND(M$8&lt;='Detalle'!$H121,M$9&gt;='Detalle'!$G121),1,"")</x:f>
      </x:c>
      <x:c r="N243" s="32" t="str">
        <x:f>IF(AND(N$8&lt;='Detalle'!$H121,N$9&gt;='Detalle'!$G121),1,"")</x:f>
      </x:c>
      <x:c r="O243" s="32" t="str">
        <x:f>IF(AND(O$8&lt;='Detalle'!$H121,O$9&gt;='Detalle'!$G121),1,"")</x:f>
      </x:c>
      <x:c r="P243" s="32" t="str">
        <x:f>IF(AND(P$8&lt;='Detalle'!$H121,P$9&gt;='Detalle'!$G121),1,"")</x:f>
      </x:c>
      <x:c r="Q243" s="68"/>
      <x:c r="R243" s="67" t="str">
        <x:f>IF('Detalle'!M121="","",'Detalle'!M121)</x:f>
      </x:c>
      <x:c r="S243" s="67" t="str">
        <x:f>IF('Detalle'!N121="","",'Detalle'!N121)</x:f>
      </x:c>
    </x:row>
    <x:row r="244" ht="16" customHeight="1">
      <x:c r="A244" s="56" t="str">
        <x:v>ACC01.013</x:v>
      </x:c>
      <x:c r="B244" s="57" t="str">
        <x:v>Implementar reenvío con espera</x:v>
      </x:c>
      <x:c r="C244" s="63" t="str">
        <x:v>R</x:v>
      </x:c>
      <x:c r="D244" s="65" t="str">
        <x:f>IF('Detalle'!L121="","",'Detalle'!L121)</x:f>
      </x:c>
      <x:c r="E244" s="60" t="str"/>
      <x:c r="F244" s="32" t="str">
        <x:f>IF(OR('Detalle'!$J121="",'Detalle'!$K121="",'Detalle'!$L121=""),"",IF(AND(F$8&lt;='Detalle'!$K121,F$9&gt;='Detalle'!$J121),1,""))</x:f>
      </x:c>
      <x:c r="G244" s="32" t="str">
        <x:f>IF(OR('Detalle'!$J121="",'Detalle'!$K121="",'Detalle'!$L121=""),"",IF(AND(G$8&lt;='Detalle'!$K121,G$9&gt;='Detalle'!$J121),1,""))</x:f>
      </x:c>
      <x:c r="H244" s="32" t="str">
        <x:f>IF(OR('Detalle'!$J121="",'Detalle'!$K121="",'Detalle'!$L121=""),"",IF(AND(H$8&lt;='Detalle'!$K121,H$9&gt;='Detalle'!$J121),1,""))</x:f>
      </x:c>
      <x:c r="I244" s="32" t="str">
        <x:f>IF(OR('Detalle'!$J121="",'Detalle'!$K121="",'Detalle'!$L121=""),"",IF(AND(I$8&lt;='Detalle'!$K121,I$9&gt;='Detalle'!$J121),1,""))</x:f>
      </x:c>
      <x:c r="J244" s="32" t="str">
        <x:f>IF(OR('Detalle'!$J121="",'Detalle'!$K121="",'Detalle'!$L121=""),"",IF(AND(J$8&lt;='Detalle'!$K121,J$9&gt;='Detalle'!$J121),1,""))</x:f>
      </x:c>
      <x:c r="K244" s="32" t="str">
        <x:f>IF(OR('Detalle'!$J121="",'Detalle'!$K121="",'Detalle'!$L121=""),"",IF(AND(K$8&lt;='Detalle'!$K121,K$9&gt;='Detalle'!$J121),1,""))</x:f>
      </x:c>
      <x:c r="L244" s="32" t="str">
        <x:f>IF(OR('Detalle'!$J121="",'Detalle'!$K121="",'Detalle'!$L121=""),"",IF(AND(L$8&lt;='Detalle'!$K121,L$9&gt;='Detalle'!$J121),1,""))</x:f>
      </x:c>
      <x:c r="M244" s="32" t="str">
        <x:f>IF(OR('Detalle'!$J121="",'Detalle'!$K121="",'Detalle'!$L121=""),"",IF(AND(M$8&lt;='Detalle'!$K121,M$9&gt;='Detalle'!$J121),1,""))</x:f>
      </x:c>
      <x:c r="N244" s="32" t="str">
        <x:f>IF(OR('Detalle'!$J121="",'Detalle'!$K121="",'Detalle'!$L121=""),"",IF(AND(N$8&lt;='Detalle'!$K121,N$9&gt;='Detalle'!$J121),1,""))</x:f>
      </x:c>
      <x:c r="O244" s="32" t="str">
        <x:f>IF(OR('Detalle'!$J121="",'Detalle'!$K121="",'Detalle'!$L121=""),"",IF(AND(O$8&lt;='Detalle'!$K121,O$9&gt;='Detalle'!$J121),1,""))</x:f>
      </x:c>
      <x:c r="P244" s="32" t="str">
        <x:f>IF(OR('Detalle'!$J121="",'Detalle'!$K121="",'Detalle'!$L121=""),"",IF(AND(P$8&lt;='Detalle'!$K121,P$9&gt;='Detalle'!$J121),1,""))</x:f>
      </x:c>
      <x:c r="Q244" s="68"/>
      <x:c r="R244" s="67" t="str"/>
      <x:c r="S244" s="67" t="str"/>
    </x:row>
    <x:row r="245" ht="16" customHeight="1">
      <x:c r="A245" s="56" t="str">
        <x:v>ACC01.014</x:v>
      </x:c>
      <x:c r="B245" s="57" t="str">
        <x:v>Separar solicitud de recuperación</x:v>
      </x:c>
      <x:c r="C245" s="62" t="str">
        <x:v>E</x:v>
      </x:c>
      <x:c r="D245" s="64" t="n">
        <x:f>'Detalle'!I122</x:f>
        <x:v>1</x:v>
      </x:c>
      <x:c r="E245" s="60" t="str">
        <x:f>'Detalle'!F122</x:f>
        <x:v>Completado</x:v>
      </x:c>
      <x:c r="F245" s="32" t="str">
        <x:f>IF(AND(F$8&lt;='Detalle'!$H122,F$9&gt;='Detalle'!$G122),1,"")</x:f>
      </x:c>
      <x:c r="G245" s="32" t="n">
        <x:f>IF(AND(G$8&lt;='Detalle'!$H122,G$9&gt;='Detalle'!$G122),1,"")</x:f>
        <x:v>1</x:v>
      </x:c>
      <x:c r="H245" s="32" t="str">
        <x:f>IF(AND(H$8&lt;='Detalle'!$H122,H$9&gt;='Detalle'!$G122),1,"")</x:f>
      </x:c>
      <x:c r="I245" s="32" t="str">
        <x:f>IF(AND(I$8&lt;='Detalle'!$H122,I$9&gt;='Detalle'!$G122),1,"")</x:f>
      </x:c>
      <x:c r="J245" s="32" t="str">
        <x:f>IF(AND(J$8&lt;='Detalle'!$H122,J$9&gt;='Detalle'!$G122),1,"")</x:f>
      </x:c>
      <x:c r="K245" s="32" t="str">
        <x:f>IF(AND(K$8&lt;='Detalle'!$H122,K$9&gt;='Detalle'!$G122),1,"")</x:f>
      </x:c>
      <x:c r="L245" s="32" t="str">
        <x:f>IF(AND(L$8&lt;='Detalle'!$H122,L$9&gt;='Detalle'!$G122),1,"")</x:f>
      </x:c>
      <x:c r="M245" s="32" t="str">
        <x:f>IF(AND(M$8&lt;='Detalle'!$H122,M$9&gt;='Detalle'!$G122),1,"")</x:f>
      </x:c>
      <x:c r="N245" s="32" t="str">
        <x:f>IF(AND(N$8&lt;='Detalle'!$H122,N$9&gt;='Detalle'!$G122),1,"")</x:f>
      </x:c>
      <x:c r="O245" s="32" t="str">
        <x:f>IF(AND(O$8&lt;='Detalle'!$H122,O$9&gt;='Detalle'!$G122),1,"")</x:f>
      </x:c>
      <x:c r="P245" s="32" t="str">
        <x:f>IF(AND(P$8&lt;='Detalle'!$H122,P$9&gt;='Detalle'!$G122),1,"")</x:f>
      </x:c>
      <x:c r="Q245" s="68"/>
      <x:c r="R245" s="67" t="str">
        <x:f>IF('Detalle'!M122="","",'Detalle'!M122)</x:f>
      </x:c>
      <x:c r="S245" s="67" t="str">
        <x:f>IF('Detalle'!N122="","",'Detalle'!N122)</x:f>
      </x:c>
    </x:row>
    <x:row r="246" ht="16" customHeight="1">
      <x:c r="A246" s="56" t="str">
        <x:v>ACC01.014</x:v>
      </x:c>
      <x:c r="B246" s="57" t="str">
        <x:v>Separar solicitud de recuperación</x:v>
      </x:c>
      <x:c r="C246" s="63" t="str">
        <x:v>R</x:v>
      </x:c>
      <x:c r="D246" s="65" t="str">
        <x:f>IF('Detalle'!L122="","",'Detalle'!L122)</x:f>
      </x:c>
      <x:c r="E246" s="60" t="str"/>
      <x:c r="F246" s="32" t="str">
        <x:f>IF(OR('Detalle'!$J122="",'Detalle'!$K122="",'Detalle'!$L122=""),"",IF(AND(F$8&lt;='Detalle'!$K122,F$9&gt;='Detalle'!$J122),1,""))</x:f>
      </x:c>
      <x:c r="G246" s="32" t="str">
        <x:f>IF(OR('Detalle'!$J122="",'Detalle'!$K122="",'Detalle'!$L122=""),"",IF(AND(G$8&lt;='Detalle'!$K122,G$9&gt;='Detalle'!$J122),1,""))</x:f>
      </x:c>
      <x:c r="H246" s="32" t="str">
        <x:f>IF(OR('Detalle'!$J122="",'Detalle'!$K122="",'Detalle'!$L122=""),"",IF(AND(H$8&lt;='Detalle'!$K122,H$9&gt;='Detalle'!$J122),1,""))</x:f>
      </x:c>
      <x:c r="I246" s="32" t="str">
        <x:f>IF(OR('Detalle'!$J122="",'Detalle'!$K122="",'Detalle'!$L122=""),"",IF(AND(I$8&lt;='Detalle'!$K122,I$9&gt;='Detalle'!$J122),1,""))</x:f>
      </x:c>
      <x:c r="J246" s="32" t="str">
        <x:f>IF(OR('Detalle'!$J122="",'Detalle'!$K122="",'Detalle'!$L122=""),"",IF(AND(J$8&lt;='Detalle'!$K122,J$9&gt;='Detalle'!$J122),1,""))</x:f>
      </x:c>
      <x:c r="K246" s="32" t="str">
        <x:f>IF(OR('Detalle'!$J122="",'Detalle'!$K122="",'Detalle'!$L122=""),"",IF(AND(K$8&lt;='Detalle'!$K122,K$9&gt;='Detalle'!$J122),1,""))</x:f>
      </x:c>
      <x:c r="L246" s="32" t="str">
        <x:f>IF(OR('Detalle'!$J122="",'Detalle'!$K122="",'Detalle'!$L122=""),"",IF(AND(L$8&lt;='Detalle'!$K122,L$9&gt;='Detalle'!$J122),1,""))</x:f>
      </x:c>
      <x:c r="M246" s="32" t="str">
        <x:f>IF(OR('Detalle'!$J122="",'Detalle'!$K122="",'Detalle'!$L122=""),"",IF(AND(M$8&lt;='Detalle'!$K122,M$9&gt;='Detalle'!$J122),1,""))</x:f>
      </x:c>
      <x:c r="N246" s="32" t="str">
        <x:f>IF(OR('Detalle'!$J122="",'Detalle'!$K122="",'Detalle'!$L122=""),"",IF(AND(N$8&lt;='Detalle'!$K122,N$9&gt;='Detalle'!$J122),1,""))</x:f>
      </x:c>
      <x:c r="O246" s="32" t="str">
        <x:f>IF(OR('Detalle'!$J122="",'Detalle'!$K122="",'Detalle'!$L122=""),"",IF(AND(O$8&lt;='Detalle'!$K122,O$9&gt;='Detalle'!$J122),1,""))</x:f>
      </x:c>
      <x:c r="P246" s="32" t="str">
        <x:f>IF(OR('Detalle'!$J122="",'Detalle'!$K122="",'Detalle'!$L122=""),"",IF(AND(P$8&lt;='Detalle'!$K122,P$9&gt;='Detalle'!$J122),1,""))</x:f>
      </x:c>
      <x:c r="Q246" s="68"/>
      <x:c r="R246" s="67" t="str"/>
      <x:c r="S246" s="67" t="str"/>
    </x:row>
    <x:row r="247" ht="16" customHeight="1">
      <x:c r="A247" s="56" t="str">
        <x:v>ACC01.015</x:v>
      </x:c>
      <x:c r="B247" s="57" t="str">
        <x:v>Verificar código de recuperación</x:v>
      </x:c>
      <x:c r="C247" s="62" t="str">
        <x:v>E</x:v>
      </x:c>
      <x:c r="D247" s="64" t="n">
        <x:f>'Detalle'!I123</x:f>
        <x:v>1</x:v>
      </x:c>
      <x:c r="E247" s="60" t="str">
        <x:f>'Detalle'!F123</x:f>
        <x:v>Completado</x:v>
      </x:c>
      <x:c r="F247" s="32" t="str">
        <x:f>IF(AND(F$8&lt;='Detalle'!$H123,F$9&gt;='Detalle'!$G123),1,"")</x:f>
      </x:c>
      <x:c r="G247" s="32" t="n">
        <x:f>IF(AND(G$8&lt;='Detalle'!$H123,G$9&gt;='Detalle'!$G123),1,"")</x:f>
        <x:v>1</x:v>
      </x:c>
      <x:c r="H247" s="32" t="str">
        <x:f>IF(AND(H$8&lt;='Detalle'!$H123,H$9&gt;='Detalle'!$G123),1,"")</x:f>
      </x:c>
      <x:c r="I247" s="32" t="str">
        <x:f>IF(AND(I$8&lt;='Detalle'!$H123,I$9&gt;='Detalle'!$G123),1,"")</x:f>
      </x:c>
      <x:c r="J247" s="32" t="str">
        <x:f>IF(AND(J$8&lt;='Detalle'!$H123,J$9&gt;='Detalle'!$G123),1,"")</x:f>
      </x:c>
      <x:c r="K247" s="32" t="str">
        <x:f>IF(AND(K$8&lt;='Detalle'!$H123,K$9&gt;='Detalle'!$G123),1,"")</x:f>
      </x:c>
      <x:c r="L247" s="32" t="str">
        <x:f>IF(AND(L$8&lt;='Detalle'!$H123,L$9&gt;='Detalle'!$G123),1,"")</x:f>
      </x:c>
      <x:c r="M247" s="32" t="str">
        <x:f>IF(AND(M$8&lt;='Detalle'!$H123,M$9&gt;='Detalle'!$G123),1,"")</x:f>
      </x:c>
      <x:c r="N247" s="32" t="str">
        <x:f>IF(AND(N$8&lt;='Detalle'!$H123,N$9&gt;='Detalle'!$G123),1,"")</x:f>
      </x:c>
      <x:c r="O247" s="32" t="str">
        <x:f>IF(AND(O$8&lt;='Detalle'!$H123,O$9&gt;='Detalle'!$G123),1,"")</x:f>
      </x:c>
      <x:c r="P247" s="32" t="str">
        <x:f>IF(AND(P$8&lt;='Detalle'!$H123,P$9&gt;='Detalle'!$G123),1,"")</x:f>
      </x:c>
      <x:c r="Q247" s="68"/>
      <x:c r="R247" s="67" t="str">
        <x:f>IF('Detalle'!M123="","",'Detalle'!M123)</x:f>
      </x:c>
      <x:c r="S247" s="67" t="str">
        <x:f>IF('Detalle'!N123="","",'Detalle'!N123)</x:f>
      </x:c>
    </x:row>
    <x:row r="248" ht="16" customHeight="1">
      <x:c r="A248" s="56" t="str">
        <x:v>ACC01.015</x:v>
      </x:c>
      <x:c r="B248" s="57" t="str">
        <x:v>Verificar código de recuperación</x:v>
      </x:c>
      <x:c r="C248" s="63" t="str">
        <x:v>R</x:v>
      </x:c>
      <x:c r="D248" s="65" t="str">
        <x:f>IF('Detalle'!L123="","",'Detalle'!L123)</x:f>
      </x:c>
      <x:c r="E248" s="60" t="str"/>
      <x:c r="F248" s="32" t="str">
        <x:f>IF(OR('Detalle'!$J123="",'Detalle'!$K123="",'Detalle'!$L123=""),"",IF(AND(F$8&lt;='Detalle'!$K123,F$9&gt;='Detalle'!$J123),1,""))</x:f>
      </x:c>
      <x:c r="G248" s="32" t="str">
        <x:f>IF(OR('Detalle'!$J123="",'Detalle'!$K123="",'Detalle'!$L123=""),"",IF(AND(G$8&lt;='Detalle'!$K123,G$9&gt;='Detalle'!$J123),1,""))</x:f>
      </x:c>
      <x:c r="H248" s="32" t="str">
        <x:f>IF(OR('Detalle'!$J123="",'Detalle'!$K123="",'Detalle'!$L123=""),"",IF(AND(H$8&lt;='Detalle'!$K123,H$9&gt;='Detalle'!$J123),1,""))</x:f>
      </x:c>
      <x:c r="I248" s="32" t="str">
        <x:f>IF(OR('Detalle'!$J123="",'Detalle'!$K123="",'Detalle'!$L123=""),"",IF(AND(I$8&lt;='Detalle'!$K123,I$9&gt;='Detalle'!$J123),1,""))</x:f>
      </x:c>
      <x:c r="J248" s="32" t="str">
        <x:f>IF(OR('Detalle'!$J123="",'Detalle'!$K123="",'Detalle'!$L123=""),"",IF(AND(J$8&lt;='Detalle'!$K123,J$9&gt;='Detalle'!$J123),1,""))</x:f>
      </x:c>
      <x:c r="K248" s="32" t="str">
        <x:f>IF(OR('Detalle'!$J123="",'Detalle'!$K123="",'Detalle'!$L123=""),"",IF(AND(K$8&lt;='Detalle'!$K123,K$9&gt;='Detalle'!$J123),1,""))</x:f>
      </x:c>
      <x:c r="L248" s="32" t="str">
        <x:f>IF(OR('Detalle'!$J123="",'Detalle'!$K123="",'Detalle'!$L123=""),"",IF(AND(L$8&lt;='Detalle'!$K123,L$9&gt;='Detalle'!$J123),1,""))</x:f>
      </x:c>
      <x:c r="M248" s="32" t="str">
        <x:f>IF(OR('Detalle'!$J123="",'Detalle'!$K123="",'Detalle'!$L123=""),"",IF(AND(M$8&lt;='Detalle'!$K123,M$9&gt;='Detalle'!$J123),1,""))</x:f>
      </x:c>
      <x:c r="N248" s="32" t="str">
        <x:f>IF(OR('Detalle'!$J123="",'Detalle'!$K123="",'Detalle'!$L123=""),"",IF(AND(N$8&lt;='Detalle'!$K123,N$9&gt;='Detalle'!$J123),1,""))</x:f>
      </x:c>
      <x:c r="O248" s="32" t="str">
        <x:f>IF(OR('Detalle'!$J123="",'Detalle'!$K123="",'Detalle'!$L123=""),"",IF(AND(O$8&lt;='Detalle'!$K123,O$9&gt;='Detalle'!$J123),1,""))</x:f>
      </x:c>
      <x:c r="P248" s="32" t="str">
        <x:f>IF(OR('Detalle'!$J123="",'Detalle'!$K123="",'Detalle'!$L123=""),"",IF(AND(P$8&lt;='Detalle'!$K123,P$9&gt;='Detalle'!$J123),1,""))</x:f>
      </x:c>
      <x:c r="Q248" s="68"/>
      <x:c r="R248" s="67" t="str"/>
      <x:c r="S248" s="67" t="str"/>
    </x:row>
    <x:row r="249" ht="16" customHeight="1">
      <x:c r="A249" s="56" t="str">
        <x:v>ACC01.016</x:v>
      </x:c>
      <x:c r="B249" s="57" t="str">
        <x:v>Guardar nueva contraseña recuperada</x:v>
      </x:c>
      <x:c r="C249" s="62" t="str">
        <x:v>E</x:v>
      </x:c>
      <x:c r="D249" s="64" t="n">
        <x:f>'Detalle'!I124</x:f>
        <x:v>1</x:v>
      </x:c>
      <x:c r="E249" s="60" t="str">
        <x:f>'Detalle'!F124</x:f>
        <x:v>Completado</x:v>
      </x:c>
      <x:c r="F249" s="32" t="str">
        <x:f>IF(AND(F$8&lt;='Detalle'!$H124,F$9&gt;='Detalle'!$G124),1,"")</x:f>
      </x:c>
      <x:c r="G249" s="32" t="n">
        <x:f>IF(AND(G$8&lt;='Detalle'!$H124,G$9&gt;='Detalle'!$G124),1,"")</x:f>
        <x:v>1</x:v>
      </x:c>
      <x:c r="H249" s="32" t="str">
        <x:f>IF(AND(H$8&lt;='Detalle'!$H124,H$9&gt;='Detalle'!$G124),1,"")</x:f>
      </x:c>
      <x:c r="I249" s="32" t="str">
        <x:f>IF(AND(I$8&lt;='Detalle'!$H124,I$9&gt;='Detalle'!$G124),1,"")</x:f>
      </x:c>
      <x:c r="J249" s="32" t="str">
        <x:f>IF(AND(J$8&lt;='Detalle'!$H124,J$9&gt;='Detalle'!$G124),1,"")</x:f>
      </x:c>
      <x:c r="K249" s="32" t="str">
        <x:f>IF(AND(K$8&lt;='Detalle'!$H124,K$9&gt;='Detalle'!$G124),1,"")</x:f>
      </x:c>
      <x:c r="L249" s="32" t="str">
        <x:f>IF(AND(L$8&lt;='Detalle'!$H124,L$9&gt;='Detalle'!$G124),1,"")</x:f>
      </x:c>
      <x:c r="M249" s="32" t="str">
        <x:f>IF(AND(M$8&lt;='Detalle'!$H124,M$9&gt;='Detalle'!$G124),1,"")</x:f>
      </x:c>
      <x:c r="N249" s="32" t="str">
        <x:f>IF(AND(N$8&lt;='Detalle'!$H124,N$9&gt;='Detalle'!$G124),1,"")</x:f>
      </x:c>
      <x:c r="O249" s="32" t="str">
        <x:f>IF(AND(O$8&lt;='Detalle'!$H124,O$9&gt;='Detalle'!$G124),1,"")</x:f>
      </x:c>
      <x:c r="P249" s="32" t="str">
        <x:f>IF(AND(P$8&lt;='Detalle'!$H124,P$9&gt;='Detalle'!$G124),1,"")</x:f>
      </x:c>
      <x:c r="Q249" s="68"/>
      <x:c r="R249" s="67" t="str">
        <x:f>IF('Detalle'!M124="","",'Detalle'!M124)</x:f>
      </x:c>
      <x:c r="S249" s="67" t="str">
        <x:f>IF('Detalle'!N124="","",'Detalle'!N124)</x:f>
      </x:c>
    </x:row>
    <x:row r="250" ht="16" customHeight="1">
      <x:c r="A250" s="56" t="str">
        <x:v>ACC01.016</x:v>
      </x:c>
      <x:c r="B250" s="57" t="str">
        <x:v>Guardar nueva contraseña recuperada</x:v>
      </x:c>
      <x:c r="C250" s="63" t="str">
        <x:v>R</x:v>
      </x:c>
      <x:c r="D250" s="65" t="str">
        <x:f>IF('Detalle'!L124="","",'Detalle'!L124)</x:f>
      </x:c>
      <x:c r="E250" s="60" t="str"/>
      <x:c r="F250" s="32" t="str">
        <x:f>IF(OR('Detalle'!$J124="",'Detalle'!$K124="",'Detalle'!$L124=""),"",IF(AND(F$8&lt;='Detalle'!$K124,F$9&gt;='Detalle'!$J124),1,""))</x:f>
      </x:c>
      <x:c r="G250" s="32" t="str">
        <x:f>IF(OR('Detalle'!$J124="",'Detalle'!$K124="",'Detalle'!$L124=""),"",IF(AND(G$8&lt;='Detalle'!$K124,G$9&gt;='Detalle'!$J124),1,""))</x:f>
      </x:c>
      <x:c r="H250" s="32" t="str">
        <x:f>IF(OR('Detalle'!$J124="",'Detalle'!$K124="",'Detalle'!$L124=""),"",IF(AND(H$8&lt;='Detalle'!$K124,H$9&gt;='Detalle'!$J124),1,""))</x:f>
      </x:c>
      <x:c r="I250" s="32" t="str">
        <x:f>IF(OR('Detalle'!$J124="",'Detalle'!$K124="",'Detalle'!$L124=""),"",IF(AND(I$8&lt;='Detalle'!$K124,I$9&gt;='Detalle'!$J124),1,""))</x:f>
      </x:c>
      <x:c r="J250" s="32" t="str">
        <x:f>IF(OR('Detalle'!$J124="",'Detalle'!$K124="",'Detalle'!$L124=""),"",IF(AND(J$8&lt;='Detalle'!$K124,J$9&gt;='Detalle'!$J124),1,""))</x:f>
      </x:c>
      <x:c r="K250" s="32" t="str">
        <x:f>IF(OR('Detalle'!$J124="",'Detalle'!$K124="",'Detalle'!$L124=""),"",IF(AND(K$8&lt;='Detalle'!$K124,K$9&gt;='Detalle'!$J124),1,""))</x:f>
      </x:c>
      <x:c r="L250" s="32" t="str">
        <x:f>IF(OR('Detalle'!$J124="",'Detalle'!$K124="",'Detalle'!$L124=""),"",IF(AND(L$8&lt;='Detalle'!$K124,L$9&gt;='Detalle'!$J124),1,""))</x:f>
      </x:c>
      <x:c r="M250" s="32" t="str">
        <x:f>IF(OR('Detalle'!$J124="",'Detalle'!$K124="",'Detalle'!$L124=""),"",IF(AND(M$8&lt;='Detalle'!$K124,M$9&gt;='Detalle'!$J124),1,""))</x:f>
      </x:c>
      <x:c r="N250" s="32" t="str">
        <x:f>IF(OR('Detalle'!$J124="",'Detalle'!$K124="",'Detalle'!$L124=""),"",IF(AND(N$8&lt;='Detalle'!$K124,N$9&gt;='Detalle'!$J124),1,""))</x:f>
      </x:c>
      <x:c r="O250" s="32" t="str">
        <x:f>IF(OR('Detalle'!$J124="",'Detalle'!$K124="",'Detalle'!$L124=""),"",IF(AND(O$8&lt;='Detalle'!$K124,O$9&gt;='Detalle'!$J124),1,""))</x:f>
      </x:c>
      <x:c r="P250" s="32" t="str">
        <x:f>IF(OR('Detalle'!$J124="",'Detalle'!$K124="",'Detalle'!$L124=""),"",IF(AND(P$8&lt;='Detalle'!$K124,P$9&gt;='Detalle'!$J124),1,""))</x:f>
      </x:c>
      <x:c r="Q250" s="68"/>
      <x:c r="R250" s="67" t="str"/>
      <x:c r="S250" s="67" t="str"/>
    </x:row>
    <x:row r="251" ht="16" customHeight="1">
      <x:c r="A251" s="56" t="str">
        <x:v>ACC01.017</x:v>
      </x:c>
      <x:c r="B251" s="57" t="str">
        <x:v>Crear cambio de correo seguro</x:v>
      </x:c>
      <x:c r="C251" s="62" t="str">
        <x:v>E</x:v>
      </x:c>
      <x:c r="D251" s="64" t="n">
        <x:f>'Detalle'!I125</x:f>
        <x:v>1</x:v>
      </x:c>
      <x:c r="E251" s="60" t="str">
        <x:f>'Detalle'!F125</x:f>
        <x:v>Completado</x:v>
      </x:c>
      <x:c r="F251" s="32" t="str">
        <x:f>IF(AND(F$8&lt;='Detalle'!$H125,F$9&gt;='Detalle'!$G125),1,"")</x:f>
      </x:c>
      <x:c r="G251" s="32" t="n">
        <x:f>IF(AND(G$8&lt;='Detalle'!$H125,G$9&gt;='Detalle'!$G125),1,"")</x:f>
        <x:v>1</x:v>
      </x:c>
      <x:c r="H251" s="32" t="str">
        <x:f>IF(AND(H$8&lt;='Detalle'!$H125,H$9&gt;='Detalle'!$G125),1,"")</x:f>
      </x:c>
      <x:c r="I251" s="32" t="str">
        <x:f>IF(AND(I$8&lt;='Detalle'!$H125,I$9&gt;='Detalle'!$G125),1,"")</x:f>
      </x:c>
      <x:c r="J251" s="32" t="str">
        <x:f>IF(AND(J$8&lt;='Detalle'!$H125,J$9&gt;='Detalle'!$G125),1,"")</x:f>
      </x:c>
      <x:c r="K251" s="32" t="str">
        <x:f>IF(AND(K$8&lt;='Detalle'!$H125,K$9&gt;='Detalle'!$G125),1,"")</x:f>
      </x:c>
      <x:c r="L251" s="32" t="str">
        <x:f>IF(AND(L$8&lt;='Detalle'!$H125,L$9&gt;='Detalle'!$G125),1,"")</x:f>
      </x:c>
      <x:c r="M251" s="32" t="str">
        <x:f>IF(AND(M$8&lt;='Detalle'!$H125,M$9&gt;='Detalle'!$G125),1,"")</x:f>
      </x:c>
      <x:c r="N251" s="32" t="str">
        <x:f>IF(AND(N$8&lt;='Detalle'!$H125,N$9&gt;='Detalle'!$G125),1,"")</x:f>
      </x:c>
      <x:c r="O251" s="32" t="str">
        <x:f>IF(AND(O$8&lt;='Detalle'!$H125,O$9&gt;='Detalle'!$G125),1,"")</x:f>
      </x:c>
      <x:c r="P251" s="32" t="str">
        <x:f>IF(AND(P$8&lt;='Detalle'!$H125,P$9&gt;='Detalle'!$G125),1,"")</x:f>
      </x:c>
      <x:c r="Q251" s="68"/>
      <x:c r="R251" s="67" t="str">
        <x:f>IF('Detalle'!M125="","",'Detalle'!M125)</x:f>
      </x:c>
      <x:c r="S251" s="67" t="str">
        <x:f>IF('Detalle'!N125="","",'Detalle'!N125)</x:f>
      </x:c>
    </x:row>
    <x:row r="252" ht="16" customHeight="1">
      <x:c r="A252" s="56" t="str">
        <x:v>ACC01.017</x:v>
      </x:c>
      <x:c r="B252" s="57" t="str">
        <x:v>Crear cambio de correo seguro</x:v>
      </x:c>
      <x:c r="C252" s="63" t="str">
        <x:v>R</x:v>
      </x:c>
      <x:c r="D252" s="65" t="str">
        <x:f>IF('Detalle'!L125="","",'Detalle'!L125)</x:f>
      </x:c>
      <x:c r="E252" s="60" t="str"/>
      <x:c r="F252" s="32" t="str">
        <x:f>IF(OR('Detalle'!$J125="",'Detalle'!$K125="",'Detalle'!$L125=""),"",IF(AND(F$8&lt;='Detalle'!$K125,F$9&gt;='Detalle'!$J125),1,""))</x:f>
      </x:c>
      <x:c r="G252" s="32" t="str">
        <x:f>IF(OR('Detalle'!$J125="",'Detalle'!$K125="",'Detalle'!$L125=""),"",IF(AND(G$8&lt;='Detalle'!$K125,G$9&gt;='Detalle'!$J125),1,""))</x:f>
      </x:c>
      <x:c r="H252" s="32" t="str">
        <x:f>IF(OR('Detalle'!$J125="",'Detalle'!$K125="",'Detalle'!$L125=""),"",IF(AND(H$8&lt;='Detalle'!$K125,H$9&gt;='Detalle'!$J125),1,""))</x:f>
      </x:c>
      <x:c r="I252" s="32" t="str">
        <x:f>IF(OR('Detalle'!$J125="",'Detalle'!$K125="",'Detalle'!$L125=""),"",IF(AND(I$8&lt;='Detalle'!$K125,I$9&gt;='Detalle'!$J125),1,""))</x:f>
      </x:c>
      <x:c r="J252" s="32" t="str">
        <x:f>IF(OR('Detalle'!$J125="",'Detalle'!$K125="",'Detalle'!$L125=""),"",IF(AND(J$8&lt;='Detalle'!$K125,J$9&gt;='Detalle'!$J125),1,""))</x:f>
      </x:c>
      <x:c r="K252" s="32" t="str">
        <x:f>IF(OR('Detalle'!$J125="",'Detalle'!$K125="",'Detalle'!$L125=""),"",IF(AND(K$8&lt;='Detalle'!$K125,K$9&gt;='Detalle'!$J125),1,""))</x:f>
      </x:c>
      <x:c r="L252" s="32" t="str">
        <x:f>IF(OR('Detalle'!$J125="",'Detalle'!$K125="",'Detalle'!$L125=""),"",IF(AND(L$8&lt;='Detalle'!$K125,L$9&gt;='Detalle'!$J125),1,""))</x:f>
      </x:c>
      <x:c r="M252" s="32" t="str">
        <x:f>IF(OR('Detalle'!$J125="",'Detalle'!$K125="",'Detalle'!$L125=""),"",IF(AND(M$8&lt;='Detalle'!$K125,M$9&gt;='Detalle'!$J125),1,""))</x:f>
      </x:c>
      <x:c r="N252" s="32" t="str">
        <x:f>IF(OR('Detalle'!$J125="",'Detalle'!$K125="",'Detalle'!$L125=""),"",IF(AND(N$8&lt;='Detalle'!$K125,N$9&gt;='Detalle'!$J125),1,""))</x:f>
      </x:c>
      <x:c r="O252" s="32" t="str">
        <x:f>IF(OR('Detalle'!$J125="",'Detalle'!$K125="",'Detalle'!$L125=""),"",IF(AND(O$8&lt;='Detalle'!$K125,O$9&gt;='Detalle'!$J125),1,""))</x:f>
      </x:c>
      <x:c r="P252" s="32" t="str">
        <x:f>IF(OR('Detalle'!$J125="",'Detalle'!$K125="",'Detalle'!$L125=""),"",IF(AND(P$8&lt;='Detalle'!$K125,P$9&gt;='Detalle'!$J125),1,""))</x:f>
      </x:c>
      <x:c r="Q252" s="68"/>
      <x:c r="R252" s="67" t="str"/>
      <x:c r="S252" s="67" t="str"/>
    </x:row>
    <x:row r="253" ht="16" customHeight="1">
      <x:c r="A253" s="56" t="str">
        <x:v>ACC01.018</x:v>
      </x:c>
      <x:c r="B253" s="57" t="str">
        <x:v>Crear cambio de contraseña autenticado</x:v>
      </x:c>
      <x:c r="C253" s="62" t="str">
        <x:v>E</x:v>
      </x:c>
      <x:c r="D253" s="64" t="n">
        <x:f>'Detalle'!I126</x:f>
        <x:v>1</x:v>
      </x:c>
      <x:c r="E253" s="60" t="str">
        <x:f>'Detalle'!F126</x:f>
        <x:v>Completado</x:v>
      </x:c>
      <x:c r="F253" s="32" t="str">
        <x:f>IF(AND(F$8&lt;='Detalle'!$H126,F$9&gt;='Detalle'!$G126),1,"")</x:f>
      </x:c>
      <x:c r="G253" s="32" t="n">
        <x:f>IF(AND(G$8&lt;='Detalle'!$H126,G$9&gt;='Detalle'!$G126),1,"")</x:f>
        <x:v>1</x:v>
      </x:c>
      <x:c r="H253" s="32" t="str">
        <x:f>IF(AND(H$8&lt;='Detalle'!$H126,H$9&gt;='Detalle'!$G126),1,"")</x:f>
      </x:c>
      <x:c r="I253" s="32" t="str">
        <x:f>IF(AND(I$8&lt;='Detalle'!$H126,I$9&gt;='Detalle'!$G126),1,"")</x:f>
      </x:c>
      <x:c r="J253" s="32" t="str">
        <x:f>IF(AND(J$8&lt;='Detalle'!$H126,J$9&gt;='Detalle'!$G126),1,"")</x:f>
      </x:c>
      <x:c r="K253" s="32" t="str">
        <x:f>IF(AND(K$8&lt;='Detalle'!$H126,K$9&gt;='Detalle'!$G126),1,"")</x:f>
      </x:c>
      <x:c r="L253" s="32" t="str">
        <x:f>IF(AND(L$8&lt;='Detalle'!$H126,L$9&gt;='Detalle'!$G126),1,"")</x:f>
      </x:c>
      <x:c r="M253" s="32" t="str">
        <x:f>IF(AND(M$8&lt;='Detalle'!$H126,M$9&gt;='Detalle'!$G126),1,"")</x:f>
      </x:c>
      <x:c r="N253" s="32" t="str">
        <x:f>IF(AND(N$8&lt;='Detalle'!$H126,N$9&gt;='Detalle'!$G126),1,"")</x:f>
      </x:c>
      <x:c r="O253" s="32" t="str">
        <x:f>IF(AND(O$8&lt;='Detalle'!$H126,O$9&gt;='Detalle'!$G126),1,"")</x:f>
      </x:c>
      <x:c r="P253" s="32" t="str">
        <x:f>IF(AND(P$8&lt;='Detalle'!$H126,P$9&gt;='Detalle'!$G126),1,"")</x:f>
      </x:c>
      <x:c r="Q253" s="68"/>
      <x:c r="R253" s="67" t="str">
        <x:f>IF('Detalle'!M126="","",'Detalle'!M126)</x:f>
      </x:c>
      <x:c r="S253" s="67" t="str">
        <x:f>IF('Detalle'!N126="","",'Detalle'!N126)</x:f>
      </x:c>
    </x:row>
    <x:row r="254" ht="16" customHeight="1">
      <x:c r="A254" s="56" t="str">
        <x:v>ACC01.018</x:v>
      </x:c>
      <x:c r="B254" s="57" t="str">
        <x:v>Crear cambio de contraseña autenticado</x:v>
      </x:c>
      <x:c r="C254" s="63" t="str">
        <x:v>R</x:v>
      </x:c>
      <x:c r="D254" s="65" t="str">
        <x:f>IF('Detalle'!L126="","",'Detalle'!L126)</x:f>
      </x:c>
      <x:c r="E254" s="60" t="str"/>
      <x:c r="F254" s="32" t="str">
        <x:f>IF(OR('Detalle'!$J126="",'Detalle'!$K126="",'Detalle'!$L126=""),"",IF(AND(F$8&lt;='Detalle'!$K126,F$9&gt;='Detalle'!$J126),1,""))</x:f>
      </x:c>
      <x:c r="G254" s="32" t="str">
        <x:f>IF(OR('Detalle'!$J126="",'Detalle'!$K126="",'Detalle'!$L126=""),"",IF(AND(G$8&lt;='Detalle'!$K126,G$9&gt;='Detalle'!$J126),1,""))</x:f>
      </x:c>
      <x:c r="H254" s="32" t="str">
        <x:f>IF(OR('Detalle'!$J126="",'Detalle'!$K126="",'Detalle'!$L126=""),"",IF(AND(H$8&lt;='Detalle'!$K126,H$9&gt;='Detalle'!$J126),1,""))</x:f>
      </x:c>
      <x:c r="I254" s="32" t="str">
        <x:f>IF(OR('Detalle'!$J126="",'Detalle'!$K126="",'Detalle'!$L126=""),"",IF(AND(I$8&lt;='Detalle'!$K126,I$9&gt;='Detalle'!$J126),1,""))</x:f>
      </x:c>
      <x:c r="J254" s="32" t="str">
        <x:f>IF(OR('Detalle'!$J126="",'Detalle'!$K126="",'Detalle'!$L126=""),"",IF(AND(J$8&lt;='Detalle'!$K126,J$9&gt;='Detalle'!$J126),1,""))</x:f>
      </x:c>
      <x:c r="K254" s="32" t="str">
        <x:f>IF(OR('Detalle'!$J126="",'Detalle'!$K126="",'Detalle'!$L126=""),"",IF(AND(K$8&lt;='Detalle'!$K126,K$9&gt;='Detalle'!$J126),1,""))</x:f>
      </x:c>
      <x:c r="L254" s="32" t="str">
        <x:f>IF(OR('Detalle'!$J126="",'Detalle'!$K126="",'Detalle'!$L126=""),"",IF(AND(L$8&lt;='Detalle'!$K126,L$9&gt;='Detalle'!$J126),1,""))</x:f>
      </x:c>
      <x:c r="M254" s="32" t="str">
        <x:f>IF(OR('Detalle'!$J126="",'Detalle'!$K126="",'Detalle'!$L126=""),"",IF(AND(M$8&lt;='Detalle'!$K126,M$9&gt;='Detalle'!$J126),1,""))</x:f>
      </x:c>
      <x:c r="N254" s="32" t="str">
        <x:f>IF(OR('Detalle'!$J126="",'Detalle'!$K126="",'Detalle'!$L126=""),"",IF(AND(N$8&lt;='Detalle'!$K126,N$9&gt;='Detalle'!$J126),1,""))</x:f>
      </x:c>
      <x:c r="O254" s="32" t="str">
        <x:f>IF(OR('Detalle'!$J126="",'Detalle'!$K126="",'Detalle'!$L126=""),"",IF(AND(O$8&lt;='Detalle'!$K126,O$9&gt;='Detalle'!$J126),1,""))</x:f>
      </x:c>
      <x:c r="P254" s="32" t="str">
        <x:f>IF(OR('Detalle'!$J126="",'Detalle'!$K126="",'Detalle'!$L126=""),"",IF(AND(P$8&lt;='Detalle'!$K126,P$9&gt;='Detalle'!$J126),1,""))</x:f>
      </x:c>
      <x:c r="Q254" s="68"/>
      <x:c r="R254" s="67" t="str"/>
      <x:c r="S254" s="67" t="str"/>
    </x:row>
    <x:row r="255" ht="16" customHeight="1">
      <x:c r="A255" s="56" t="str">
        <x:v>ACC01.019</x:v>
      </x:c>
      <x:c r="B255" s="57" t="str">
        <x:v>Clasificar sesión inválida y errores de red</x:v>
      </x:c>
      <x:c r="C255" s="62" t="str">
        <x:v>E</x:v>
      </x:c>
      <x:c r="D255" s="64" t="n">
        <x:f>'Detalle'!I127</x:f>
        <x:v>1</x:v>
      </x:c>
      <x:c r="E255" s="60" t="str">
        <x:f>'Detalle'!F127</x:f>
        <x:v>Completado</x:v>
      </x:c>
      <x:c r="F255" s="32" t="str">
        <x:f>IF(AND(F$8&lt;='Detalle'!$H127,F$9&gt;='Detalle'!$G127),1,"")</x:f>
      </x:c>
      <x:c r="G255" s="32" t="n">
        <x:f>IF(AND(G$8&lt;='Detalle'!$H127,G$9&gt;='Detalle'!$G127),1,"")</x:f>
        <x:v>1</x:v>
      </x:c>
      <x:c r="H255" s="32" t="str">
        <x:f>IF(AND(H$8&lt;='Detalle'!$H127,H$9&gt;='Detalle'!$G127),1,"")</x:f>
      </x:c>
      <x:c r="I255" s="32" t="str">
        <x:f>IF(AND(I$8&lt;='Detalle'!$H127,I$9&gt;='Detalle'!$G127),1,"")</x:f>
      </x:c>
      <x:c r="J255" s="32" t="str">
        <x:f>IF(AND(J$8&lt;='Detalle'!$H127,J$9&gt;='Detalle'!$G127),1,"")</x:f>
      </x:c>
      <x:c r="K255" s="32" t="str">
        <x:f>IF(AND(K$8&lt;='Detalle'!$H127,K$9&gt;='Detalle'!$G127),1,"")</x:f>
      </x:c>
      <x:c r="L255" s="32" t="str">
        <x:f>IF(AND(L$8&lt;='Detalle'!$H127,L$9&gt;='Detalle'!$G127),1,"")</x:f>
      </x:c>
      <x:c r="M255" s="32" t="str">
        <x:f>IF(AND(M$8&lt;='Detalle'!$H127,M$9&gt;='Detalle'!$G127),1,"")</x:f>
      </x:c>
      <x:c r="N255" s="32" t="str">
        <x:f>IF(AND(N$8&lt;='Detalle'!$H127,N$9&gt;='Detalle'!$G127),1,"")</x:f>
      </x:c>
      <x:c r="O255" s="32" t="str">
        <x:f>IF(AND(O$8&lt;='Detalle'!$H127,O$9&gt;='Detalle'!$G127),1,"")</x:f>
      </x:c>
      <x:c r="P255" s="32" t="str">
        <x:f>IF(AND(P$8&lt;='Detalle'!$H127,P$9&gt;='Detalle'!$G127),1,"")</x:f>
      </x:c>
      <x:c r="Q255" s="68"/>
      <x:c r="R255" s="67" t="str">
        <x:f>IF('Detalle'!M127="","",'Detalle'!M127)</x:f>
      </x:c>
      <x:c r="S255" s="67" t="str">
        <x:f>IF('Detalle'!N127="","",'Detalle'!N127)</x:f>
      </x:c>
    </x:row>
    <x:row r="256" ht="16" customHeight="1">
      <x:c r="A256" s="56" t="str">
        <x:v>ACC01.019</x:v>
      </x:c>
      <x:c r="B256" s="57" t="str">
        <x:v>Clasificar sesión inválida y errores de red</x:v>
      </x:c>
      <x:c r="C256" s="63" t="str">
        <x:v>R</x:v>
      </x:c>
      <x:c r="D256" s="65" t="str">
        <x:f>IF('Detalle'!L127="","",'Detalle'!L127)</x:f>
      </x:c>
      <x:c r="E256" s="60" t="str"/>
      <x:c r="F256" s="32" t="str">
        <x:f>IF(OR('Detalle'!$J127="",'Detalle'!$K127="",'Detalle'!$L127=""),"",IF(AND(F$8&lt;='Detalle'!$K127,F$9&gt;='Detalle'!$J127),1,""))</x:f>
      </x:c>
      <x:c r="G256" s="32" t="str">
        <x:f>IF(OR('Detalle'!$J127="",'Detalle'!$K127="",'Detalle'!$L127=""),"",IF(AND(G$8&lt;='Detalle'!$K127,G$9&gt;='Detalle'!$J127),1,""))</x:f>
      </x:c>
      <x:c r="H256" s="32" t="str">
        <x:f>IF(OR('Detalle'!$J127="",'Detalle'!$K127="",'Detalle'!$L127=""),"",IF(AND(H$8&lt;='Detalle'!$K127,H$9&gt;='Detalle'!$J127),1,""))</x:f>
      </x:c>
      <x:c r="I256" s="32" t="str">
        <x:f>IF(OR('Detalle'!$J127="",'Detalle'!$K127="",'Detalle'!$L127=""),"",IF(AND(I$8&lt;='Detalle'!$K127,I$9&gt;='Detalle'!$J127),1,""))</x:f>
      </x:c>
      <x:c r="J256" s="32" t="str">
        <x:f>IF(OR('Detalle'!$J127="",'Detalle'!$K127="",'Detalle'!$L127=""),"",IF(AND(J$8&lt;='Detalle'!$K127,J$9&gt;='Detalle'!$J127),1,""))</x:f>
      </x:c>
      <x:c r="K256" s="32" t="str">
        <x:f>IF(OR('Detalle'!$J127="",'Detalle'!$K127="",'Detalle'!$L127=""),"",IF(AND(K$8&lt;='Detalle'!$K127,K$9&gt;='Detalle'!$J127),1,""))</x:f>
      </x:c>
      <x:c r="L256" s="32" t="str">
        <x:f>IF(OR('Detalle'!$J127="",'Detalle'!$K127="",'Detalle'!$L127=""),"",IF(AND(L$8&lt;='Detalle'!$K127,L$9&gt;='Detalle'!$J127),1,""))</x:f>
      </x:c>
      <x:c r="M256" s="32" t="str">
        <x:f>IF(OR('Detalle'!$J127="",'Detalle'!$K127="",'Detalle'!$L127=""),"",IF(AND(M$8&lt;='Detalle'!$K127,M$9&gt;='Detalle'!$J127),1,""))</x:f>
      </x:c>
      <x:c r="N256" s="32" t="str">
        <x:f>IF(OR('Detalle'!$J127="",'Detalle'!$K127="",'Detalle'!$L127=""),"",IF(AND(N$8&lt;='Detalle'!$K127,N$9&gt;='Detalle'!$J127),1,""))</x:f>
      </x:c>
      <x:c r="O256" s="32" t="str">
        <x:f>IF(OR('Detalle'!$J127="",'Detalle'!$K127="",'Detalle'!$L127=""),"",IF(AND(O$8&lt;='Detalle'!$K127,O$9&gt;='Detalle'!$J127),1,""))</x:f>
      </x:c>
      <x:c r="P256" s="32" t="str">
        <x:f>IF(OR('Detalle'!$J127="",'Detalle'!$K127="",'Detalle'!$L127=""),"",IF(AND(P$8&lt;='Detalle'!$K127,P$9&gt;='Detalle'!$J127),1,""))</x:f>
      </x:c>
      <x:c r="Q256" s="68"/>
      <x:c r="R256" s="67" t="str"/>
      <x:c r="S256" s="67" t="str"/>
    </x:row>
    <x:row r="257" ht="16" customHeight="1">
      <x:c r="A257" s="56" t="str">
        <x:v>ACC01.020</x:v>
      </x:c>
      <x:c r="B257" s="57" t="str">
        <x:v>Conservar destino durante pasos de cuenta</x:v>
      </x:c>
      <x:c r="C257" s="62" t="str">
        <x:v>E</x:v>
      </x:c>
      <x:c r="D257" s="64" t="n">
        <x:f>'Detalle'!I128</x:f>
        <x:v>1</x:v>
      </x:c>
      <x:c r="E257" s="60" t="str">
        <x:f>'Detalle'!F128</x:f>
        <x:v>Completado</x:v>
      </x:c>
      <x:c r="F257" s="32" t="str">
        <x:f>IF(AND(F$8&lt;='Detalle'!$H128,F$9&gt;='Detalle'!$G128),1,"")</x:f>
      </x:c>
      <x:c r="G257" s="32" t="n">
        <x:f>IF(AND(G$8&lt;='Detalle'!$H128,G$9&gt;='Detalle'!$G128),1,"")</x:f>
        <x:v>1</x:v>
      </x:c>
      <x:c r="H257" s="32" t="str">
        <x:f>IF(AND(H$8&lt;='Detalle'!$H128,H$9&gt;='Detalle'!$G128),1,"")</x:f>
      </x:c>
      <x:c r="I257" s="32" t="str">
        <x:f>IF(AND(I$8&lt;='Detalle'!$H128,I$9&gt;='Detalle'!$G128),1,"")</x:f>
      </x:c>
      <x:c r="J257" s="32" t="str">
        <x:f>IF(AND(J$8&lt;='Detalle'!$H128,J$9&gt;='Detalle'!$G128),1,"")</x:f>
      </x:c>
      <x:c r="K257" s="32" t="str">
        <x:f>IF(AND(K$8&lt;='Detalle'!$H128,K$9&gt;='Detalle'!$G128),1,"")</x:f>
      </x:c>
      <x:c r="L257" s="32" t="str">
        <x:f>IF(AND(L$8&lt;='Detalle'!$H128,L$9&gt;='Detalle'!$G128),1,"")</x:f>
      </x:c>
      <x:c r="M257" s="32" t="str">
        <x:f>IF(AND(M$8&lt;='Detalle'!$H128,M$9&gt;='Detalle'!$G128),1,"")</x:f>
      </x:c>
      <x:c r="N257" s="32" t="str">
        <x:f>IF(AND(N$8&lt;='Detalle'!$H128,N$9&gt;='Detalle'!$G128),1,"")</x:f>
      </x:c>
      <x:c r="O257" s="32" t="str">
        <x:f>IF(AND(O$8&lt;='Detalle'!$H128,O$9&gt;='Detalle'!$G128),1,"")</x:f>
      </x:c>
      <x:c r="P257" s="32" t="str">
        <x:f>IF(AND(P$8&lt;='Detalle'!$H128,P$9&gt;='Detalle'!$G128),1,"")</x:f>
      </x:c>
      <x:c r="Q257" s="68"/>
      <x:c r="R257" s="67" t="str">
        <x:f>IF('Detalle'!M128="","",'Detalle'!M128)</x:f>
      </x:c>
      <x:c r="S257" s="67" t="str">
        <x:f>IF('Detalle'!N128="","",'Detalle'!N128)</x:f>
      </x:c>
    </x:row>
    <x:row r="258" ht="16" customHeight="1">
      <x:c r="A258" s="56" t="str">
        <x:v>ACC01.020</x:v>
      </x:c>
      <x:c r="B258" s="57" t="str">
        <x:v>Conservar destino durante pasos de cuenta</x:v>
      </x:c>
      <x:c r="C258" s="63" t="str">
        <x:v>R</x:v>
      </x:c>
      <x:c r="D258" s="65" t="str">
        <x:f>IF('Detalle'!L128="","",'Detalle'!L128)</x:f>
      </x:c>
      <x:c r="E258" s="60" t="str"/>
      <x:c r="F258" s="32" t="str">
        <x:f>IF(OR('Detalle'!$J128="",'Detalle'!$K128="",'Detalle'!$L128=""),"",IF(AND(F$8&lt;='Detalle'!$K128,F$9&gt;='Detalle'!$J128),1,""))</x:f>
      </x:c>
      <x:c r="G258" s="32" t="str">
        <x:f>IF(OR('Detalle'!$J128="",'Detalle'!$K128="",'Detalle'!$L128=""),"",IF(AND(G$8&lt;='Detalle'!$K128,G$9&gt;='Detalle'!$J128),1,""))</x:f>
      </x:c>
      <x:c r="H258" s="32" t="str">
        <x:f>IF(OR('Detalle'!$J128="",'Detalle'!$K128="",'Detalle'!$L128=""),"",IF(AND(H$8&lt;='Detalle'!$K128,H$9&gt;='Detalle'!$J128),1,""))</x:f>
      </x:c>
      <x:c r="I258" s="32" t="str">
        <x:f>IF(OR('Detalle'!$J128="",'Detalle'!$K128="",'Detalle'!$L128=""),"",IF(AND(I$8&lt;='Detalle'!$K128,I$9&gt;='Detalle'!$J128),1,""))</x:f>
      </x:c>
      <x:c r="J258" s="32" t="str">
        <x:f>IF(OR('Detalle'!$J128="",'Detalle'!$K128="",'Detalle'!$L128=""),"",IF(AND(J$8&lt;='Detalle'!$K128,J$9&gt;='Detalle'!$J128),1,""))</x:f>
      </x:c>
      <x:c r="K258" s="32" t="str">
        <x:f>IF(OR('Detalle'!$J128="",'Detalle'!$K128="",'Detalle'!$L128=""),"",IF(AND(K$8&lt;='Detalle'!$K128,K$9&gt;='Detalle'!$J128),1,""))</x:f>
      </x:c>
      <x:c r="L258" s="32" t="str">
        <x:f>IF(OR('Detalle'!$J128="",'Detalle'!$K128="",'Detalle'!$L128=""),"",IF(AND(L$8&lt;='Detalle'!$K128,L$9&gt;='Detalle'!$J128),1,""))</x:f>
      </x:c>
      <x:c r="M258" s="32" t="str">
        <x:f>IF(OR('Detalle'!$J128="",'Detalle'!$K128="",'Detalle'!$L128=""),"",IF(AND(M$8&lt;='Detalle'!$K128,M$9&gt;='Detalle'!$J128),1,""))</x:f>
      </x:c>
      <x:c r="N258" s="32" t="str">
        <x:f>IF(OR('Detalle'!$J128="",'Detalle'!$K128="",'Detalle'!$L128=""),"",IF(AND(N$8&lt;='Detalle'!$K128,N$9&gt;='Detalle'!$J128),1,""))</x:f>
      </x:c>
      <x:c r="O258" s="32" t="str">
        <x:f>IF(OR('Detalle'!$J128="",'Detalle'!$K128="",'Detalle'!$L128=""),"",IF(AND(O$8&lt;='Detalle'!$K128,O$9&gt;='Detalle'!$J128),1,""))</x:f>
      </x:c>
      <x:c r="P258" s="32" t="str">
        <x:f>IF(OR('Detalle'!$J128="",'Detalle'!$K128="",'Detalle'!$L128=""),"",IF(AND(P$8&lt;='Detalle'!$K128,P$9&gt;='Detalle'!$J128),1,""))</x:f>
      </x:c>
      <x:c r="Q258" s="68"/>
      <x:c r="R258" s="67" t="str"/>
      <x:c r="S258" s="67" t="str"/>
    </x:row>
    <x:row r="259" ht="20" customHeight="1">
      <x:c r="A259" s="52" t="str">
        <x:v>ACC02 · Fotografías de perfil y almacenamiento privado</x:v>
      </x:c>
      <x:c r="B259" s="52" t="str">
        <x:v>ACC02 · Fotografías de perfil y almacenamiento privado</x:v>
      </x:c>
      <x:c r="C259" s="52" t="str">
        <x:v>ACC02 · Fotografías de perfil y almacenamiento privado</x:v>
      </x:c>
      <x:c r="D259" s="52" t="str">
        <x:v>ACC02 · Fotografías de perfil y almacenamiento privado</x:v>
      </x:c>
      <x:c r="E259" s="52" t="str">
        <x:v>ACC02 · Fotografías de perfil y almacenamiento privado</x:v>
      </x:c>
      <x:c r="F259" s="53" t="str">
        <x:v>ACC02 · Fotografías de perfil y almacenamiento privado</x:v>
      </x:c>
      <x:c r="G259" s="53" t="str">
        <x:v>ACC02 · Fotografías de perfil y almacenamiento privado</x:v>
      </x:c>
      <x:c r="H259" s="53" t="str">
        <x:v>ACC02 · Fotografías de perfil y almacenamiento privado</x:v>
      </x:c>
      <x:c r="I259" s="53" t="str">
        <x:v>ACC02 · Fotografías de perfil y almacenamiento privado</x:v>
      </x:c>
      <x:c r="J259" s="53" t="str">
        <x:v>ACC02 · Fotografías de perfil y almacenamiento privado</x:v>
      </x:c>
      <x:c r="K259" s="53" t="str">
        <x:v>ACC02 · Fotografías de perfil y almacenamiento privado</x:v>
      </x:c>
      <x:c r="L259" s="53" t="str">
        <x:v>ACC02 · Fotografías de perfil y almacenamiento privado</x:v>
      </x:c>
      <x:c r="M259" s="53" t="str">
        <x:v>ACC02 · Fotografías de perfil y almacenamiento privado</x:v>
      </x:c>
      <x:c r="N259" s="53" t="str">
        <x:v>ACC02 · Fotografías de perfil y almacenamiento privado</x:v>
      </x:c>
      <x:c r="O259" s="53" t="str">
        <x:v>ACC02 · Fotografías de perfil y almacenamiento privado</x:v>
      </x:c>
      <x:c r="P259" s="53" t="str">
        <x:v>ACC02 · Fotografías de perfil y almacenamiento privado</x:v>
      </x:c>
      <x:c r="Q259" s="52" t="str">
        <x:v>ACC02 · Fotografías de perfil y almacenamiento privado</x:v>
      </x:c>
      <x:c r="R259" s="52" t="str">
        <x:v>ACC02 · Fotografías de perfil y almacenamiento privado</x:v>
      </x:c>
      <x:c r="S259" s="52" t="str">
        <x:v>ACC02 · Fotografías de perfil y almacenamiento privado</x:v>
      </x:c>
    </x:row>
    <x:row r="260" ht="16" customHeight="1">
      <x:c r="A260" s="56" t="str">
        <x:v>ACC02.001</x:v>
      </x:c>
      <x:c r="B260" s="57" t="str">
        <x:v>Seleccionar avatar desde galería</x:v>
      </x:c>
      <x:c r="C260" s="62" t="str">
        <x:v>E</x:v>
      </x:c>
      <x:c r="D260" s="64" t="n">
        <x:f>'Detalle'!I129</x:f>
        <x:v>1</x:v>
      </x:c>
      <x:c r="E260" s="60" t="str">
        <x:f>'Detalle'!F129</x:f>
        <x:v>Completado</x:v>
      </x:c>
      <x:c r="F260" s="32" t="str">
        <x:f>IF(AND(F$8&lt;='Detalle'!$H129,F$9&gt;='Detalle'!$G129),1,"")</x:f>
      </x:c>
      <x:c r="G260" s="32" t="n">
        <x:f>IF(AND(G$8&lt;='Detalle'!$H129,G$9&gt;='Detalle'!$G129),1,"")</x:f>
        <x:v>1</x:v>
      </x:c>
      <x:c r="H260" s="32" t="str">
        <x:f>IF(AND(H$8&lt;='Detalle'!$H129,H$9&gt;='Detalle'!$G129),1,"")</x:f>
      </x:c>
      <x:c r="I260" s="32" t="str">
        <x:f>IF(AND(I$8&lt;='Detalle'!$H129,I$9&gt;='Detalle'!$G129),1,"")</x:f>
      </x:c>
      <x:c r="J260" s="32" t="str">
        <x:f>IF(AND(J$8&lt;='Detalle'!$H129,J$9&gt;='Detalle'!$G129),1,"")</x:f>
      </x:c>
      <x:c r="K260" s="32" t="str">
        <x:f>IF(AND(K$8&lt;='Detalle'!$H129,K$9&gt;='Detalle'!$G129),1,"")</x:f>
      </x:c>
      <x:c r="L260" s="32" t="str">
        <x:f>IF(AND(L$8&lt;='Detalle'!$H129,L$9&gt;='Detalle'!$G129),1,"")</x:f>
      </x:c>
      <x:c r="M260" s="32" t="str">
        <x:f>IF(AND(M$8&lt;='Detalle'!$H129,M$9&gt;='Detalle'!$G129),1,"")</x:f>
      </x:c>
      <x:c r="N260" s="32" t="str">
        <x:f>IF(AND(N$8&lt;='Detalle'!$H129,N$9&gt;='Detalle'!$G129),1,"")</x:f>
      </x:c>
      <x:c r="O260" s="32" t="str">
        <x:f>IF(AND(O$8&lt;='Detalle'!$H129,O$9&gt;='Detalle'!$G129),1,"")</x:f>
      </x:c>
      <x:c r="P260" s="32" t="str">
        <x:f>IF(AND(P$8&lt;='Detalle'!$H129,P$9&gt;='Detalle'!$G129),1,"")</x:f>
      </x:c>
      <x:c r="Q260" s="68"/>
      <x:c r="R260" s="67" t="str">
        <x:f>IF('Detalle'!M129="","",'Detalle'!M129)</x:f>
      </x:c>
      <x:c r="S260" s="67" t="str">
        <x:f>IF('Detalle'!N129="","",'Detalle'!N129)</x:f>
      </x:c>
    </x:row>
    <x:row r="261" ht="16" customHeight="1">
      <x:c r="A261" s="56" t="str">
        <x:v>ACC02.001</x:v>
      </x:c>
      <x:c r="B261" s="57" t="str">
        <x:v>Seleccionar avatar desde galería</x:v>
      </x:c>
      <x:c r="C261" s="63" t="str">
        <x:v>R</x:v>
      </x:c>
      <x:c r="D261" s="65" t="str">
        <x:f>IF('Detalle'!L129="","",'Detalle'!L129)</x:f>
      </x:c>
      <x:c r="E261" s="60" t="str"/>
      <x:c r="F261" s="32" t="str">
        <x:f>IF(OR('Detalle'!$J129="",'Detalle'!$K129="",'Detalle'!$L129=""),"",IF(AND(F$8&lt;='Detalle'!$K129,F$9&gt;='Detalle'!$J129),1,""))</x:f>
      </x:c>
      <x:c r="G261" s="32" t="str">
        <x:f>IF(OR('Detalle'!$J129="",'Detalle'!$K129="",'Detalle'!$L129=""),"",IF(AND(G$8&lt;='Detalle'!$K129,G$9&gt;='Detalle'!$J129),1,""))</x:f>
      </x:c>
      <x:c r="H261" s="32" t="str">
        <x:f>IF(OR('Detalle'!$J129="",'Detalle'!$K129="",'Detalle'!$L129=""),"",IF(AND(H$8&lt;='Detalle'!$K129,H$9&gt;='Detalle'!$J129),1,""))</x:f>
      </x:c>
      <x:c r="I261" s="32" t="str">
        <x:f>IF(OR('Detalle'!$J129="",'Detalle'!$K129="",'Detalle'!$L129=""),"",IF(AND(I$8&lt;='Detalle'!$K129,I$9&gt;='Detalle'!$J129),1,""))</x:f>
      </x:c>
      <x:c r="J261" s="32" t="str">
        <x:f>IF(OR('Detalle'!$J129="",'Detalle'!$K129="",'Detalle'!$L129=""),"",IF(AND(J$8&lt;='Detalle'!$K129,J$9&gt;='Detalle'!$J129),1,""))</x:f>
      </x:c>
      <x:c r="K261" s="32" t="str">
        <x:f>IF(OR('Detalle'!$J129="",'Detalle'!$K129="",'Detalle'!$L129=""),"",IF(AND(K$8&lt;='Detalle'!$K129,K$9&gt;='Detalle'!$J129),1,""))</x:f>
      </x:c>
      <x:c r="L261" s="32" t="str">
        <x:f>IF(OR('Detalle'!$J129="",'Detalle'!$K129="",'Detalle'!$L129=""),"",IF(AND(L$8&lt;='Detalle'!$K129,L$9&gt;='Detalle'!$J129),1,""))</x:f>
      </x:c>
      <x:c r="M261" s="32" t="str">
        <x:f>IF(OR('Detalle'!$J129="",'Detalle'!$K129="",'Detalle'!$L129=""),"",IF(AND(M$8&lt;='Detalle'!$K129,M$9&gt;='Detalle'!$J129),1,""))</x:f>
      </x:c>
      <x:c r="N261" s="32" t="str">
        <x:f>IF(OR('Detalle'!$J129="",'Detalle'!$K129="",'Detalle'!$L129=""),"",IF(AND(N$8&lt;='Detalle'!$K129,N$9&gt;='Detalle'!$J129),1,""))</x:f>
      </x:c>
      <x:c r="O261" s="32" t="str">
        <x:f>IF(OR('Detalle'!$J129="",'Detalle'!$K129="",'Detalle'!$L129=""),"",IF(AND(O$8&lt;='Detalle'!$K129,O$9&gt;='Detalle'!$J129),1,""))</x:f>
      </x:c>
      <x:c r="P261" s="32" t="str">
        <x:f>IF(OR('Detalle'!$J129="",'Detalle'!$K129="",'Detalle'!$L129=""),"",IF(AND(P$8&lt;='Detalle'!$K129,P$9&gt;='Detalle'!$J129),1,""))</x:f>
      </x:c>
      <x:c r="Q261" s="68"/>
      <x:c r="R261" s="67" t="str"/>
      <x:c r="S261" s="67" t="str"/>
    </x:row>
    <x:row r="262" ht="16" customHeight="1">
      <x:c r="A262" s="56" t="str">
        <x:v>ACC02.002</x:v>
      </x:c>
      <x:c r="B262" s="57" t="str">
        <x:v>Mostrar vista previa del avatar</x:v>
      </x:c>
      <x:c r="C262" s="62" t="str">
        <x:v>E</x:v>
      </x:c>
      <x:c r="D262" s="64" t="n">
        <x:f>'Detalle'!I130</x:f>
        <x:v>1</x:v>
      </x:c>
      <x:c r="E262" s="60" t="str">
        <x:f>'Detalle'!F130</x:f>
        <x:v>Completado</x:v>
      </x:c>
      <x:c r="F262" s="32" t="str">
        <x:f>IF(AND(F$8&lt;='Detalle'!$H130,F$9&gt;='Detalle'!$G130),1,"")</x:f>
      </x:c>
      <x:c r="G262" s="32" t="n">
        <x:f>IF(AND(G$8&lt;='Detalle'!$H130,G$9&gt;='Detalle'!$G130),1,"")</x:f>
        <x:v>1</x:v>
      </x:c>
      <x:c r="H262" s="32" t="str">
        <x:f>IF(AND(H$8&lt;='Detalle'!$H130,H$9&gt;='Detalle'!$G130),1,"")</x:f>
      </x:c>
      <x:c r="I262" s="32" t="str">
        <x:f>IF(AND(I$8&lt;='Detalle'!$H130,I$9&gt;='Detalle'!$G130),1,"")</x:f>
      </x:c>
      <x:c r="J262" s="32" t="str">
        <x:f>IF(AND(J$8&lt;='Detalle'!$H130,J$9&gt;='Detalle'!$G130),1,"")</x:f>
      </x:c>
      <x:c r="K262" s="32" t="str">
        <x:f>IF(AND(K$8&lt;='Detalle'!$H130,K$9&gt;='Detalle'!$G130),1,"")</x:f>
      </x:c>
      <x:c r="L262" s="32" t="str">
        <x:f>IF(AND(L$8&lt;='Detalle'!$H130,L$9&gt;='Detalle'!$G130),1,"")</x:f>
      </x:c>
      <x:c r="M262" s="32" t="str">
        <x:f>IF(AND(M$8&lt;='Detalle'!$H130,M$9&gt;='Detalle'!$G130),1,"")</x:f>
      </x:c>
      <x:c r="N262" s="32" t="str">
        <x:f>IF(AND(N$8&lt;='Detalle'!$H130,N$9&gt;='Detalle'!$G130),1,"")</x:f>
      </x:c>
      <x:c r="O262" s="32" t="str">
        <x:f>IF(AND(O$8&lt;='Detalle'!$H130,O$9&gt;='Detalle'!$G130),1,"")</x:f>
      </x:c>
      <x:c r="P262" s="32" t="str">
        <x:f>IF(AND(P$8&lt;='Detalle'!$H130,P$9&gt;='Detalle'!$G130),1,"")</x:f>
      </x:c>
      <x:c r="Q262" s="68"/>
      <x:c r="R262" s="67" t="str">
        <x:f>IF('Detalle'!M130="","",'Detalle'!M130)</x:f>
      </x:c>
      <x:c r="S262" s="67" t="str">
        <x:f>IF('Detalle'!N130="","",'Detalle'!N130)</x:f>
      </x:c>
    </x:row>
    <x:row r="263" ht="16" customHeight="1">
      <x:c r="A263" s="56" t="str">
        <x:v>ACC02.002</x:v>
      </x:c>
      <x:c r="B263" s="57" t="str">
        <x:v>Mostrar vista previa del avatar</x:v>
      </x:c>
      <x:c r="C263" s="63" t="str">
        <x:v>R</x:v>
      </x:c>
      <x:c r="D263" s="65" t="str">
        <x:f>IF('Detalle'!L130="","",'Detalle'!L130)</x:f>
      </x:c>
      <x:c r="E263" s="60" t="str"/>
      <x:c r="F263" s="32" t="str">
        <x:f>IF(OR('Detalle'!$J130="",'Detalle'!$K130="",'Detalle'!$L130=""),"",IF(AND(F$8&lt;='Detalle'!$K130,F$9&gt;='Detalle'!$J130),1,""))</x:f>
      </x:c>
      <x:c r="G263" s="32" t="str">
        <x:f>IF(OR('Detalle'!$J130="",'Detalle'!$K130="",'Detalle'!$L130=""),"",IF(AND(G$8&lt;='Detalle'!$K130,G$9&gt;='Detalle'!$J130),1,""))</x:f>
      </x:c>
      <x:c r="H263" s="32" t="str">
        <x:f>IF(OR('Detalle'!$J130="",'Detalle'!$K130="",'Detalle'!$L130=""),"",IF(AND(H$8&lt;='Detalle'!$K130,H$9&gt;='Detalle'!$J130),1,""))</x:f>
      </x:c>
      <x:c r="I263" s="32" t="str">
        <x:f>IF(OR('Detalle'!$J130="",'Detalle'!$K130="",'Detalle'!$L130=""),"",IF(AND(I$8&lt;='Detalle'!$K130,I$9&gt;='Detalle'!$J130),1,""))</x:f>
      </x:c>
      <x:c r="J263" s="32" t="str">
        <x:f>IF(OR('Detalle'!$J130="",'Detalle'!$K130="",'Detalle'!$L130=""),"",IF(AND(J$8&lt;='Detalle'!$K130,J$9&gt;='Detalle'!$J130),1,""))</x:f>
      </x:c>
      <x:c r="K263" s="32" t="str">
        <x:f>IF(OR('Detalle'!$J130="",'Detalle'!$K130="",'Detalle'!$L130=""),"",IF(AND(K$8&lt;='Detalle'!$K130,K$9&gt;='Detalle'!$J130),1,""))</x:f>
      </x:c>
      <x:c r="L263" s="32" t="str">
        <x:f>IF(OR('Detalle'!$J130="",'Detalle'!$K130="",'Detalle'!$L130=""),"",IF(AND(L$8&lt;='Detalle'!$K130,L$9&gt;='Detalle'!$J130),1,""))</x:f>
      </x:c>
      <x:c r="M263" s="32" t="str">
        <x:f>IF(OR('Detalle'!$J130="",'Detalle'!$K130="",'Detalle'!$L130=""),"",IF(AND(M$8&lt;='Detalle'!$K130,M$9&gt;='Detalle'!$J130),1,""))</x:f>
      </x:c>
      <x:c r="N263" s="32" t="str">
        <x:f>IF(OR('Detalle'!$J130="",'Detalle'!$K130="",'Detalle'!$L130=""),"",IF(AND(N$8&lt;='Detalle'!$K130,N$9&gt;='Detalle'!$J130),1,""))</x:f>
      </x:c>
      <x:c r="O263" s="32" t="str">
        <x:f>IF(OR('Detalle'!$J130="",'Detalle'!$K130="",'Detalle'!$L130=""),"",IF(AND(O$8&lt;='Detalle'!$K130,O$9&gt;='Detalle'!$J130),1,""))</x:f>
      </x:c>
      <x:c r="P263" s="32" t="str">
        <x:f>IF(OR('Detalle'!$J130="",'Detalle'!$K130="",'Detalle'!$L130=""),"",IF(AND(P$8&lt;='Detalle'!$K130,P$9&gt;='Detalle'!$J130),1,""))</x:f>
      </x:c>
      <x:c r="Q263" s="68"/>
      <x:c r="R263" s="67" t="str"/>
      <x:c r="S263" s="67" t="str"/>
    </x:row>
    <x:row r="264" ht="16" customHeight="1">
      <x:c r="A264" s="56" t="str">
        <x:v>ACC02.003</x:v>
      </x:c>
      <x:c r="B264" s="57" t="str">
        <x:v>Seleccionar portada desde galería</x:v>
      </x:c>
      <x:c r="C264" s="62" t="str">
        <x:v>E</x:v>
      </x:c>
      <x:c r="D264" s="64" t="n">
        <x:f>'Detalle'!I131</x:f>
        <x:v>1</x:v>
      </x:c>
      <x:c r="E264" s="60" t="str">
        <x:f>'Detalle'!F131</x:f>
        <x:v>Completado</x:v>
      </x:c>
      <x:c r="F264" s="32" t="str">
        <x:f>IF(AND(F$8&lt;='Detalle'!$H131,F$9&gt;='Detalle'!$G131),1,"")</x:f>
      </x:c>
      <x:c r="G264" s="32" t="n">
        <x:f>IF(AND(G$8&lt;='Detalle'!$H131,G$9&gt;='Detalle'!$G131),1,"")</x:f>
        <x:v>1</x:v>
      </x:c>
      <x:c r="H264" s="32" t="str">
        <x:f>IF(AND(H$8&lt;='Detalle'!$H131,H$9&gt;='Detalle'!$G131),1,"")</x:f>
      </x:c>
      <x:c r="I264" s="32" t="str">
        <x:f>IF(AND(I$8&lt;='Detalle'!$H131,I$9&gt;='Detalle'!$G131),1,"")</x:f>
      </x:c>
      <x:c r="J264" s="32" t="str">
        <x:f>IF(AND(J$8&lt;='Detalle'!$H131,J$9&gt;='Detalle'!$G131),1,"")</x:f>
      </x:c>
      <x:c r="K264" s="32" t="str">
        <x:f>IF(AND(K$8&lt;='Detalle'!$H131,K$9&gt;='Detalle'!$G131),1,"")</x:f>
      </x:c>
      <x:c r="L264" s="32" t="str">
        <x:f>IF(AND(L$8&lt;='Detalle'!$H131,L$9&gt;='Detalle'!$G131),1,"")</x:f>
      </x:c>
      <x:c r="M264" s="32" t="str">
        <x:f>IF(AND(M$8&lt;='Detalle'!$H131,M$9&gt;='Detalle'!$G131),1,"")</x:f>
      </x:c>
      <x:c r="N264" s="32" t="str">
        <x:f>IF(AND(N$8&lt;='Detalle'!$H131,N$9&gt;='Detalle'!$G131),1,"")</x:f>
      </x:c>
      <x:c r="O264" s="32" t="str">
        <x:f>IF(AND(O$8&lt;='Detalle'!$H131,O$9&gt;='Detalle'!$G131),1,"")</x:f>
      </x:c>
      <x:c r="P264" s="32" t="str">
        <x:f>IF(AND(P$8&lt;='Detalle'!$H131,P$9&gt;='Detalle'!$G131),1,"")</x:f>
      </x:c>
      <x:c r="Q264" s="68"/>
      <x:c r="R264" s="67" t="str">
        <x:f>IF('Detalle'!M131="","",'Detalle'!M131)</x:f>
      </x:c>
      <x:c r="S264" s="67" t="str">
        <x:f>IF('Detalle'!N131="","",'Detalle'!N131)</x:f>
      </x:c>
    </x:row>
    <x:row r="265" ht="16" customHeight="1">
      <x:c r="A265" s="56" t="str">
        <x:v>ACC02.003</x:v>
      </x:c>
      <x:c r="B265" s="57" t="str">
        <x:v>Seleccionar portada desde galería</x:v>
      </x:c>
      <x:c r="C265" s="63" t="str">
        <x:v>R</x:v>
      </x:c>
      <x:c r="D265" s="65" t="str">
        <x:f>IF('Detalle'!L131="","",'Detalle'!L131)</x:f>
      </x:c>
      <x:c r="E265" s="60" t="str"/>
      <x:c r="F265" s="32" t="str">
        <x:f>IF(OR('Detalle'!$J131="",'Detalle'!$K131="",'Detalle'!$L131=""),"",IF(AND(F$8&lt;='Detalle'!$K131,F$9&gt;='Detalle'!$J131),1,""))</x:f>
      </x:c>
      <x:c r="G265" s="32" t="str">
        <x:f>IF(OR('Detalle'!$J131="",'Detalle'!$K131="",'Detalle'!$L131=""),"",IF(AND(G$8&lt;='Detalle'!$K131,G$9&gt;='Detalle'!$J131),1,""))</x:f>
      </x:c>
      <x:c r="H265" s="32" t="str">
        <x:f>IF(OR('Detalle'!$J131="",'Detalle'!$K131="",'Detalle'!$L131=""),"",IF(AND(H$8&lt;='Detalle'!$K131,H$9&gt;='Detalle'!$J131),1,""))</x:f>
      </x:c>
      <x:c r="I265" s="32" t="str">
        <x:f>IF(OR('Detalle'!$J131="",'Detalle'!$K131="",'Detalle'!$L131=""),"",IF(AND(I$8&lt;='Detalle'!$K131,I$9&gt;='Detalle'!$J131),1,""))</x:f>
      </x:c>
      <x:c r="J265" s="32" t="str">
        <x:f>IF(OR('Detalle'!$J131="",'Detalle'!$K131="",'Detalle'!$L131=""),"",IF(AND(J$8&lt;='Detalle'!$K131,J$9&gt;='Detalle'!$J131),1,""))</x:f>
      </x:c>
      <x:c r="K265" s="32" t="str">
        <x:f>IF(OR('Detalle'!$J131="",'Detalle'!$K131="",'Detalle'!$L131=""),"",IF(AND(K$8&lt;='Detalle'!$K131,K$9&gt;='Detalle'!$J131),1,""))</x:f>
      </x:c>
      <x:c r="L265" s="32" t="str">
        <x:f>IF(OR('Detalle'!$J131="",'Detalle'!$K131="",'Detalle'!$L131=""),"",IF(AND(L$8&lt;='Detalle'!$K131,L$9&gt;='Detalle'!$J131),1,""))</x:f>
      </x:c>
      <x:c r="M265" s="32" t="str">
        <x:f>IF(OR('Detalle'!$J131="",'Detalle'!$K131="",'Detalle'!$L131=""),"",IF(AND(M$8&lt;='Detalle'!$K131,M$9&gt;='Detalle'!$J131),1,""))</x:f>
      </x:c>
      <x:c r="N265" s="32" t="str">
        <x:f>IF(OR('Detalle'!$J131="",'Detalle'!$K131="",'Detalle'!$L131=""),"",IF(AND(N$8&lt;='Detalle'!$K131,N$9&gt;='Detalle'!$J131),1,""))</x:f>
      </x:c>
      <x:c r="O265" s="32" t="str">
        <x:f>IF(OR('Detalle'!$J131="",'Detalle'!$K131="",'Detalle'!$L131=""),"",IF(AND(O$8&lt;='Detalle'!$K131,O$9&gt;='Detalle'!$J131),1,""))</x:f>
      </x:c>
      <x:c r="P265" s="32" t="str">
        <x:f>IF(OR('Detalle'!$J131="",'Detalle'!$K131="",'Detalle'!$L131=""),"",IF(AND(P$8&lt;='Detalle'!$K131,P$9&gt;='Detalle'!$J131),1,""))</x:f>
      </x:c>
      <x:c r="Q265" s="68"/>
      <x:c r="R265" s="67" t="str"/>
      <x:c r="S265" s="67" t="str"/>
    </x:row>
    <x:row r="266" ht="16" customHeight="1">
      <x:c r="A266" s="56" t="str">
        <x:v>ACC02.004</x:v>
      </x:c>
      <x:c r="B266" s="57" t="str">
        <x:v>Ofrecer portadas prediseñadas MAREA</x:v>
      </x:c>
      <x:c r="C266" s="62" t="str">
        <x:v>E</x:v>
      </x:c>
      <x:c r="D266" s="64" t="n">
        <x:f>'Detalle'!I132</x:f>
        <x:v>1</x:v>
      </x:c>
      <x:c r="E266" s="60" t="str">
        <x:f>'Detalle'!F132</x:f>
        <x:v>Completado</x:v>
      </x:c>
      <x:c r="F266" s="32" t="str">
        <x:f>IF(AND(F$8&lt;='Detalle'!$H132,F$9&gt;='Detalle'!$G132),1,"")</x:f>
      </x:c>
      <x:c r="G266" s="32" t="n">
        <x:f>IF(AND(G$8&lt;='Detalle'!$H132,G$9&gt;='Detalle'!$G132),1,"")</x:f>
        <x:v>1</x:v>
      </x:c>
      <x:c r="H266" s="32" t="str">
        <x:f>IF(AND(H$8&lt;='Detalle'!$H132,H$9&gt;='Detalle'!$G132),1,"")</x:f>
      </x:c>
      <x:c r="I266" s="32" t="str">
        <x:f>IF(AND(I$8&lt;='Detalle'!$H132,I$9&gt;='Detalle'!$G132),1,"")</x:f>
      </x:c>
      <x:c r="J266" s="32" t="str">
        <x:f>IF(AND(J$8&lt;='Detalle'!$H132,J$9&gt;='Detalle'!$G132),1,"")</x:f>
      </x:c>
      <x:c r="K266" s="32" t="str">
        <x:f>IF(AND(K$8&lt;='Detalle'!$H132,K$9&gt;='Detalle'!$G132),1,"")</x:f>
      </x:c>
      <x:c r="L266" s="32" t="str">
        <x:f>IF(AND(L$8&lt;='Detalle'!$H132,L$9&gt;='Detalle'!$G132),1,"")</x:f>
      </x:c>
      <x:c r="M266" s="32" t="str">
        <x:f>IF(AND(M$8&lt;='Detalle'!$H132,M$9&gt;='Detalle'!$G132),1,"")</x:f>
      </x:c>
      <x:c r="N266" s="32" t="str">
        <x:f>IF(AND(N$8&lt;='Detalle'!$H132,N$9&gt;='Detalle'!$G132),1,"")</x:f>
      </x:c>
      <x:c r="O266" s="32" t="str">
        <x:f>IF(AND(O$8&lt;='Detalle'!$H132,O$9&gt;='Detalle'!$G132),1,"")</x:f>
      </x:c>
      <x:c r="P266" s="32" t="str">
        <x:f>IF(AND(P$8&lt;='Detalle'!$H132,P$9&gt;='Detalle'!$G132),1,"")</x:f>
      </x:c>
      <x:c r="Q266" s="68"/>
      <x:c r="R266" s="67" t="str">
        <x:f>IF('Detalle'!M132="","",'Detalle'!M132)</x:f>
      </x:c>
      <x:c r="S266" s="67" t="str">
        <x:f>IF('Detalle'!N132="","",'Detalle'!N132)</x:f>
      </x:c>
    </x:row>
    <x:row r="267" ht="16" customHeight="1">
      <x:c r="A267" s="56" t="str">
        <x:v>ACC02.004</x:v>
      </x:c>
      <x:c r="B267" s="57" t="str">
        <x:v>Ofrecer portadas prediseñadas MAREA</x:v>
      </x:c>
      <x:c r="C267" s="63" t="str">
        <x:v>R</x:v>
      </x:c>
      <x:c r="D267" s="65" t="str">
        <x:f>IF('Detalle'!L132="","",'Detalle'!L132)</x:f>
      </x:c>
      <x:c r="E267" s="60" t="str"/>
      <x:c r="F267" s="32" t="str">
        <x:f>IF(OR('Detalle'!$J132="",'Detalle'!$K132="",'Detalle'!$L132=""),"",IF(AND(F$8&lt;='Detalle'!$K132,F$9&gt;='Detalle'!$J132),1,""))</x:f>
      </x:c>
      <x:c r="G267" s="32" t="str">
        <x:f>IF(OR('Detalle'!$J132="",'Detalle'!$K132="",'Detalle'!$L132=""),"",IF(AND(G$8&lt;='Detalle'!$K132,G$9&gt;='Detalle'!$J132),1,""))</x:f>
      </x:c>
      <x:c r="H267" s="32" t="str">
        <x:f>IF(OR('Detalle'!$J132="",'Detalle'!$K132="",'Detalle'!$L132=""),"",IF(AND(H$8&lt;='Detalle'!$K132,H$9&gt;='Detalle'!$J132),1,""))</x:f>
      </x:c>
      <x:c r="I267" s="32" t="str">
        <x:f>IF(OR('Detalle'!$J132="",'Detalle'!$K132="",'Detalle'!$L132=""),"",IF(AND(I$8&lt;='Detalle'!$K132,I$9&gt;='Detalle'!$J132),1,""))</x:f>
      </x:c>
      <x:c r="J267" s="32" t="str">
        <x:f>IF(OR('Detalle'!$J132="",'Detalle'!$K132="",'Detalle'!$L132=""),"",IF(AND(J$8&lt;='Detalle'!$K132,J$9&gt;='Detalle'!$J132),1,""))</x:f>
      </x:c>
      <x:c r="K267" s="32" t="str">
        <x:f>IF(OR('Detalle'!$J132="",'Detalle'!$K132="",'Detalle'!$L132=""),"",IF(AND(K$8&lt;='Detalle'!$K132,K$9&gt;='Detalle'!$J132),1,""))</x:f>
      </x:c>
      <x:c r="L267" s="32" t="str">
        <x:f>IF(OR('Detalle'!$J132="",'Detalle'!$K132="",'Detalle'!$L132=""),"",IF(AND(L$8&lt;='Detalle'!$K132,L$9&gt;='Detalle'!$J132),1,""))</x:f>
      </x:c>
      <x:c r="M267" s="32" t="str">
        <x:f>IF(OR('Detalle'!$J132="",'Detalle'!$K132="",'Detalle'!$L132=""),"",IF(AND(M$8&lt;='Detalle'!$K132,M$9&gt;='Detalle'!$J132),1,""))</x:f>
      </x:c>
      <x:c r="N267" s="32" t="str">
        <x:f>IF(OR('Detalle'!$J132="",'Detalle'!$K132="",'Detalle'!$L132=""),"",IF(AND(N$8&lt;='Detalle'!$K132,N$9&gt;='Detalle'!$J132),1,""))</x:f>
      </x:c>
      <x:c r="O267" s="32" t="str">
        <x:f>IF(OR('Detalle'!$J132="",'Detalle'!$K132="",'Detalle'!$L132=""),"",IF(AND(O$8&lt;='Detalle'!$K132,O$9&gt;='Detalle'!$J132),1,""))</x:f>
      </x:c>
      <x:c r="P267" s="32" t="str">
        <x:f>IF(OR('Detalle'!$J132="",'Detalle'!$K132="",'Detalle'!$L132=""),"",IF(AND(P$8&lt;='Detalle'!$K132,P$9&gt;='Detalle'!$J132),1,""))</x:f>
      </x:c>
      <x:c r="Q267" s="68"/>
      <x:c r="R267" s="67" t="str"/>
      <x:c r="S267" s="67" t="str"/>
    </x:row>
    <x:row r="268" ht="16" customHeight="1">
      <x:c r="A268" s="56" t="str">
        <x:v>ACC02.005</x:v>
      </x:c>
      <x:c r="B268" s="57" t="str">
        <x:v>Validar peso de imagen de entrada</x:v>
      </x:c>
      <x:c r="C268" s="62" t="str">
        <x:v>E</x:v>
      </x:c>
      <x:c r="D268" s="64" t="n">
        <x:f>'Detalle'!I133</x:f>
        <x:v>1</x:v>
      </x:c>
      <x:c r="E268" s="60" t="str">
        <x:f>'Detalle'!F133</x:f>
        <x:v>Completado</x:v>
      </x:c>
      <x:c r="F268" s="32" t="str">
        <x:f>IF(AND(F$8&lt;='Detalle'!$H133,F$9&gt;='Detalle'!$G133),1,"")</x:f>
      </x:c>
      <x:c r="G268" s="32" t="n">
        <x:f>IF(AND(G$8&lt;='Detalle'!$H133,G$9&gt;='Detalle'!$G133),1,"")</x:f>
        <x:v>1</x:v>
      </x:c>
      <x:c r="H268" s="32" t="str">
        <x:f>IF(AND(H$8&lt;='Detalle'!$H133,H$9&gt;='Detalle'!$G133),1,"")</x:f>
      </x:c>
      <x:c r="I268" s="32" t="str">
        <x:f>IF(AND(I$8&lt;='Detalle'!$H133,I$9&gt;='Detalle'!$G133),1,"")</x:f>
      </x:c>
      <x:c r="J268" s="32" t="str">
        <x:f>IF(AND(J$8&lt;='Detalle'!$H133,J$9&gt;='Detalle'!$G133),1,"")</x:f>
      </x:c>
      <x:c r="K268" s="32" t="str">
        <x:f>IF(AND(K$8&lt;='Detalle'!$H133,K$9&gt;='Detalle'!$G133),1,"")</x:f>
      </x:c>
      <x:c r="L268" s="32" t="str">
        <x:f>IF(AND(L$8&lt;='Detalle'!$H133,L$9&gt;='Detalle'!$G133),1,"")</x:f>
      </x:c>
      <x:c r="M268" s="32" t="str">
        <x:f>IF(AND(M$8&lt;='Detalle'!$H133,M$9&gt;='Detalle'!$G133),1,"")</x:f>
      </x:c>
      <x:c r="N268" s="32" t="str">
        <x:f>IF(AND(N$8&lt;='Detalle'!$H133,N$9&gt;='Detalle'!$G133),1,"")</x:f>
      </x:c>
      <x:c r="O268" s="32" t="str">
        <x:f>IF(AND(O$8&lt;='Detalle'!$H133,O$9&gt;='Detalle'!$G133),1,"")</x:f>
      </x:c>
      <x:c r="P268" s="32" t="str">
        <x:f>IF(AND(P$8&lt;='Detalle'!$H133,P$9&gt;='Detalle'!$G133),1,"")</x:f>
      </x:c>
      <x:c r="Q268" s="68"/>
      <x:c r="R268" s="67" t="str">
        <x:f>IF('Detalle'!M133="","",'Detalle'!M133)</x:f>
      </x:c>
      <x:c r="S268" s="67" t="str">
        <x:f>IF('Detalle'!N133="","",'Detalle'!N133)</x:f>
      </x:c>
    </x:row>
    <x:row r="269" ht="16" customHeight="1">
      <x:c r="A269" s="56" t="str">
        <x:v>ACC02.005</x:v>
      </x:c>
      <x:c r="B269" s="57" t="str">
        <x:v>Validar peso de imagen de entrada</x:v>
      </x:c>
      <x:c r="C269" s="63" t="str">
        <x:v>R</x:v>
      </x:c>
      <x:c r="D269" s="65" t="str">
        <x:f>IF('Detalle'!L133="","",'Detalle'!L133)</x:f>
      </x:c>
      <x:c r="E269" s="60" t="str"/>
      <x:c r="F269" s="32" t="str">
        <x:f>IF(OR('Detalle'!$J133="",'Detalle'!$K133="",'Detalle'!$L133=""),"",IF(AND(F$8&lt;='Detalle'!$K133,F$9&gt;='Detalle'!$J133),1,""))</x:f>
      </x:c>
      <x:c r="G269" s="32" t="str">
        <x:f>IF(OR('Detalle'!$J133="",'Detalle'!$K133="",'Detalle'!$L133=""),"",IF(AND(G$8&lt;='Detalle'!$K133,G$9&gt;='Detalle'!$J133),1,""))</x:f>
      </x:c>
      <x:c r="H269" s="32" t="str">
        <x:f>IF(OR('Detalle'!$J133="",'Detalle'!$K133="",'Detalle'!$L133=""),"",IF(AND(H$8&lt;='Detalle'!$K133,H$9&gt;='Detalle'!$J133),1,""))</x:f>
      </x:c>
      <x:c r="I269" s="32" t="str">
        <x:f>IF(OR('Detalle'!$J133="",'Detalle'!$K133="",'Detalle'!$L133=""),"",IF(AND(I$8&lt;='Detalle'!$K133,I$9&gt;='Detalle'!$J133),1,""))</x:f>
      </x:c>
      <x:c r="J269" s="32" t="str">
        <x:f>IF(OR('Detalle'!$J133="",'Detalle'!$K133="",'Detalle'!$L133=""),"",IF(AND(J$8&lt;='Detalle'!$K133,J$9&gt;='Detalle'!$J133),1,""))</x:f>
      </x:c>
      <x:c r="K269" s="32" t="str">
        <x:f>IF(OR('Detalle'!$J133="",'Detalle'!$K133="",'Detalle'!$L133=""),"",IF(AND(K$8&lt;='Detalle'!$K133,K$9&gt;='Detalle'!$J133),1,""))</x:f>
      </x:c>
      <x:c r="L269" s="32" t="str">
        <x:f>IF(OR('Detalle'!$J133="",'Detalle'!$K133="",'Detalle'!$L133=""),"",IF(AND(L$8&lt;='Detalle'!$K133,L$9&gt;='Detalle'!$J133),1,""))</x:f>
      </x:c>
      <x:c r="M269" s="32" t="str">
        <x:f>IF(OR('Detalle'!$J133="",'Detalle'!$K133="",'Detalle'!$L133=""),"",IF(AND(M$8&lt;='Detalle'!$K133,M$9&gt;='Detalle'!$J133),1,""))</x:f>
      </x:c>
      <x:c r="N269" s="32" t="str">
        <x:f>IF(OR('Detalle'!$J133="",'Detalle'!$K133="",'Detalle'!$L133=""),"",IF(AND(N$8&lt;='Detalle'!$K133,N$9&gt;='Detalle'!$J133),1,""))</x:f>
      </x:c>
      <x:c r="O269" s="32" t="str">
        <x:f>IF(OR('Detalle'!$J133="",'Detalle'!$K133="",'Detalle'!$L133=""),"",IF(AND(O$8&lt;='Detalle'!$K133,O$9&gt;='Detalle'!$J133),1,""))</x:f>
      </x:c>
      <x:c r="P269" s="32" t="str">
        <x:f>IF(OR('Detalle'!$J133="",'Detalle'!$K133="",'Detalle'!$L133=""),"",IF(AND(P$8&lt;='Detalle'!$K133,P$9&gt;='Detalle'!$J133),1,""))</x:f>
      </x:c>
      <x:c r="Q269" s="68"/>
      <x:c r="R269" s="67" t="str"/>
      <x:c r="S269" s="67" t="str"/>
    </x:row>
    <x:row r="270" ht="16" customHeight="1">
      <x:c r="A270" s="56" t="str">
        <x:v>ACC02.006</x:v>
      </x:c>
      <x:c r="B270" s="57" t="str">
        <x:v>Validar resolución de entrada</x:v>
      </x:c>
      <x:c r="C270" s="62" t="str">
        <x:v>E</x:v>
      </x:c>
      <x:c r="D270" s="64" t="n">
        <x:f>'Detalle'!I134</x:f>
        <x:v>1</x:v>
      </x:c>
      <x:c r="E270" s="60" t="str">
        <x:f>'Detalle'!F134</x:f>
        <x:v>Completado</x:v>
      </x:c>
      <x:c r="F270" s="32" t="str">
        <x:f>IF(AND(F$8&lt;='Detalle'!$H134,F$9&gt;='Detalle'!$G134),1,"")</x:f>
      </x:c>
      <x:c r="G270" s="32" t="n">
        <x:f>IF(AND(G$8&lt;='Detalle'!$H134,G$9&gt;='Detalle'!$G134),1,"")</x:f>
        <x:v>1</x:v>
      </x:c>
      <x:c r="H270" s="32" t="str">
        <x:f>IF(AND(H$8&lt;='Detalle'!$H134,H$9&gt;='Detalle'!$G134),1,"")</x:f>
      </x:c>
      <x:c r="I270" s="32" t="str">
        <x:f>IF(AND(I$8&lt;='Detalle'!$H134,I$9&gt;='Detalle'!$G134),1,"")</x:f>
      </x:c>
      <x:c r="J270" s="32" t="str">
        <x:f>IF(AND(J$8&lt;='Detalle'!$H134,J$9&gt;='Detalle'!$G134),1,"")</x:f>
      </x:c>
      <x:c r="K270" s="32" t="str">
        <x:f>IF(AND(K$8&lt;='Detalle'!$H134,K$9&gt;='Detalle'!$G134),1,"")</x:f>
      </x:c>
      <x:c r="L270" s="32" t="str">
        <x:f>IF(AND(L$8&lt;='Detalle'!$H134,L$9&gt;='Detalle'!$G134),1,"")</x:f>
      </x:c>
      <x:c r="M270" s="32" t="str">
        <x:f>IF(AND(M$8&lt;='Detalle'!$H134,M$9&gt;='Detalle'!$G134),1,"")</x:f>
      </x:c>
      <x:c r="N270" s="32" t="str">
        <x:f>IF(AND(N$8&lt;='Detalle'!$H134,N$9&gt;='Detalle'!$G134),1,"")</x:f>
      </x:c>
      <x:c r="O270" s="32" t="str">
        <x:f>IF(AND(O$8&lt;='Detalle'!$H134,O$9&gt;='Detalle'!$G134),1,"")</x:f>
      </x:c>
      <x:c r="P270" s="32" t="str">
        <x:f>IF(AND(P$8&lt;='Detalle'!$H134,P$9&gt;='Detalle'!$G134),1,"")</x:f>
      </x:c>
      <x:c r="Q270" s="68"/>
      <x:c r="R270" s="67" t="str">
        <x:f>IF('Detalle'!M134="","",'Detalle'!M134)</x:f>
      </x:c>
      <x:c r="S270" s="67" t="str">
        <x:f>IF('Detalle'!N134="","",'Detalle'!N134)</x:f>
      </x:c>
    </x:row>
    <x:row r="271" ht="16" customHeight="1">
      <x:c r="A271" s="56" t="str">
        <x:v>ACC02.006</x:v>
      </x:c>
      <x:c r="B271" s="57" t="str">
        <x:v>Validar resolución de entrada</x:v>
      </x:c>
      <x:c r="C271" s="63" t="str">
        <x:v>R</x:v>
      </x:c>
      <x:c r="D271" s="65" t="str">
        <x:f>IF('Detalle'!L134="","",'Detalle'!L134)</x:f>
      </x:c>
      <x:c r="E271" s="60" t="str"/>
      <x:c r="F271" s="32" t="str">
        <x:f>IF(OR('Detalle'!$J134="",'Detalle'!$K134="",'Detalle'!$L134=""),"",IF(AND(F$8&lt;='Detalle'!$K134,F$9&gt;='Detalle'!$J134),1,""))</x:f>
      </x:c>
      <x:c r="G271" s="32" t="str">
        <x:f>IF(OR('Detalle'!$J134="",'Detalle'!$K134="",'Detalle'!$L134=""),"",IF(AND(G$8&lt;='Detalle'!$K134,G$9&gt;='Detalle'!$J134),1,""))</x:f>
      </x:c>
      <x:c r="H271" s="32" t="str">
        <x:f>IF(OR('Detalle'!$J134="",'Detalle'!$K134="",'Detalle'!$L134=""),"",IF(AND(H$8&lt;='Detalle'!$K134,H$9&gt;='Detalle'!$J134),1,""))</x:f>
      </x:c>
      <x:c r="I271" s="32" t="str">
        <x:f>IF(OR('Detalle'!$J134="",'Detalle'!$K134="",'Detalle'!$L134=""),"",IF(AND(I$8&lt;='Detalle'!$K134,I$9&gt;='Detalle'!$J134),1,""))</x:f>
      </x:c>
      <x:c r="J271" s="32" t="str">
        <x:f>IF(OR('Detalle'!$J134="",'Detalle'!$K134="",'Detalle'!$L134=""),"",IF(AND(J$8&lt;='Detalle'!$K134,J$9&gt;='Detalle'!$J134),1,""))</x:f>
      </x:c>
      <x:c r="K271" s="32" t="str">
        <x:f>IF(OR('Detalle'!$J134="",'Detalle'!$K134="",'Detalle'!$L134=""),"",IF(AND(K$8&lt;='Detalle'!$K134,K$9&gt;='Detalle'!$J134),1,""))</x:f>
      </x:c>
      <x:c r="L271" s="32" t="str">
        <x:f>IF(OR('Detalle'!$J134="",'Detalle'!$K134="",'Detalle'!$L134=""),"",IF(AND(L$8&lt;='Detalle'!$K134,L$9&gt;='Detalle'!$J134),1,""))</x:f>
      </x:c>
      <x:c r="M271" s="32" t="str">
        <x:f>IF(OR('Detalle'!$J134="",'Detalle'!$K134="",'Detalle'!$L134=""),"",IF(AND(M$8&lt;='Detalle'!$K134,M$9&gt;='Detalle'!$J134),1,""))</x:f>
      </x:c>
      <x:c r="N271" s="32" t="str">
        <x:f>IF(OR('Detalle'!$J134="",'Detalle'!$K134="",'Detalle'!$L134=""),"",IF(AND(N$8&lt;='Detalle'!$K134,N$9&gt;='Detalle'!$J134),1,""))</x:f>
      </x:c>
      <x:c r="O271" s="32" t="str">
        <x:f>IF(OR('Detalle'!$J134="",'Detalle'!$K134="",'Detalle'!$L134=""),"",IF(AND(O$8&lt;='Detalle'!$K134,O$9&gt;='Detalle'!$J134),1,""))</x:f>
      </x:c>
      <x:c r="P271" s="32" t="str">
        <x:f>IF(OR('Detalle'!$J134="",'Detalle'!$K134="",'Detalle'!$L134=""),"",IF(AND(P$8&lt;='Detalle'!$K134,P$9&gt;='Detalle'!$J134),1,""))</x:f>
      </x:c>
      <x:c r="Q271" s="68"/>
      <x:c r="R271" s="67" t="str"/>
      <x:c r="S271" s="67" t="str"/>
    </x:row>
    <x:row r="272" ht="16" customHeight="1">
      <x:c r="A272" s="56" t="str">
        <x:v>ACC02.007</x:v>
      </x:c>
      <x:c r="B272" s="57" t="str">
        <x:v>Normalizar avatar localmente</x:v>
      </x:c>
      <x:c r="C272" s="62" t="str">
        <x:v>E</x:v>
      </x:c>
      <x:c r="D272" s="64" t="n">
        <x:f>'Detalle'!I135</x:f>
        <x:v>1</x:v>
      </x:c>
      <x:c r="E272" s="60" t="str">
        <x:f>'Detalle'!F135</x:f>
        <x:v>Completado</x:v>
      </x:c>
      <x:c r="F272" s="32" t="str">
        <x:f>IF(AND(F$8&lt;='Detalle'!$H135,F$9&gt;='Detalle'!$G135),1,"")</x:f>
      </x:c>
      <x:c r="G272" s="32" t="n">
        <x:f>IF(AND(G$8&lt;='Detalle'!$H135,G$9&gt;='Detalle'!$G135),1,"")</x:f>
        <x:v>1</x:v>
      </x:c>
      <x:c r="H272" s="32" t="str">
        <x:f>IF(AND(H$8&lt;='Detalle'!$H135,H$9&gt;='Detalle'!$G135),1,"")</x:f>
      </x:c>
      <x:c r="I272" s="32" t="str">
        <x:f>IF(AND(I$8&lt;='Detalle'!$H135,I$9&gt;='Detalle'!$G135),1,"")</x:f>
      </x:c>
      <x:c r="J272" s="32" t="str">
        <x:f>IF(AND(J$8&lt;='Detalle'!$H135,J$9&gt;='Detalle'!$G135),1,"")</x:f>
      </x:c>
      <x:c r="K272" s="32" t="str">
        <x:f>IF(AND(K$8&lt;='Detalle'!$H135,K$9&gt;='Detalle'!$G135),1,"")</x:f>
      </x:c>
      <x:c r="L272" s="32" t="str">
        <x:f>IF(AND(L$8&lt;='Detalle'!$H135,L$9&gt;='Detalle'!$G135),1,"")</x:f>
      </x:c>
      <x:c r="M272" s="32" t="str">
        <x:f>IF(AND(M$8&lt;='Detalle'!$H135,M$9&gt;='Detalle'!$G135),1,"")</x:f>
      </x:c>
      <x:c r="N272" s="32" t="str">
        <x:f>IF(AND(N$8&lt;='Detalle'!$H135,N$9&gt;='Detalle'!$G135),1,"")</x:f>
      </x:c>
      <x:c r="O272" s="32" t="str">
        <x:f>IF(AND(O$8&lt;='Detalle'!$H135,O$9&gt;='Detalle'!$G135),1,"")</x:f>
      </x:c>
      <x:c r="P272" s="32" t="str">
        <x:f>IF(AND(P$8&lt;='Detalle'!$H135,P$9&gt;='Detalle'!$G135),1,"")</x:f>
      </x:c>
      <x:c r="Q272" s="68"/>
      <x:c r="R272" s="67" t="str">
        <x:f>IF('Detalle'!M135="","",'Detalle'!M135)</x:f>
      </x:c>
      <x:c r="S272" s="67" t="str">
        <x:f>IF('Detalle'!N135="","",'Detalle'!N135)</x:f>
      </x:c>
    </x:row>
    <x:row r="273" ht="16" customHeight="1">
      <x:c r="A273" s="56" t="str">
        <x:v>ACC02.007</x:v>
      </x:c>
      <x:c r="B273" s="57" t="str">
        <x:v>Normalizar avatar localmente</x:v>
      </x:c>
      <x:c r="C273" s="63" t="str">
        <x:v>R</x:v>
      </x:c>
      <x:c r="D273" s="65" t="str">
        <x:f>IF('Detalle'!L135="","",'Detalle'!L135)</x:f>
      </x:c>
      <x:c r="E273" s="60" t="str"/>
      <x:c r="F273" s="32" t="str">
        <x:f>IF(OR('Detalle'!$J135="",'Detalle'!$K135="",'Detalle'!$L135=""),"",IF(AND(F$8&lt;='Detalle'!$K135,F$9&gt;='Detalle'!$J135),1,""))</x:f>
      </x:c>
      <x:c r="G273" s="32" t="str">
        <x:f>IF(OR('Detalle'!$J135="",'Detalle'!$K135="",'Detalle'!$L135=""),"",IF(AND(G$8&lt;='Detalle'!$K135,G$9&gt;='Detalle'!$J135),1,""))</x:f>
      </x:c>
      <x:c r="H273" s="32" t="str">
        <x:f>IF(OR('Detalle'!$J135="",'Detalle'!$K135="",'Detalle'!$L135=""),"",IF(AND(H$8&lt;='Detalle'!$K135,H$9&gt;='Detalle'!$J135),1,""))</x:f>
      </x:c>
      <x:c r="I273" s="32" t="str">
        <x:f>IF(OR('Detalle'!$J135="",'Detalle'!$K135="",'Detalle'!$L135=""),"",IF(AND(I$8&lt;='Detalle'!$K135,I$9&gt;='Detalle'!$J135),1,""))</x:f>
      </x:c>
      <x:c r="J273" s="32" t="str">
        <x:f>IF(OR('Detalle'!$J135="",'Detalle'!$K135="",'Detalle'!$L135=""),"",IF(AND(J$8&lt;='Detalle'!$K135,J$9&gt;='Detalle'!$J135),1,""))</x:f>
      </x:c>
      <x:c r="K273" s="32" t="str">
        <x:f>IF(OR('Detalle'!$J135="",'Detalle'!$K135="",'Detalle'!$L135=""),"",IF(AND(K$8&lt;='Detalle'!$K135,K$9&gt;='Detalle'!$J135),1,""))</x:f>
      </x:c>
      <x:c r="L273" s="32" t="str">
        <x:f>IF(OR('Detalle'!$J135="",'Detalle'!$K135="",'Detalle'!$L135=""),"",IF(AND(L$8&lt;='Detalle'!$K135,L$9&gt;='Detalle'!$J135),1,""))</x:f>
      </x:c>
      <x:c r="M273" s="32" t="str">
        <x:f>IF(OR('Detalle'!$J135="",'Detalle'!$K135="",'Detalle'!$L135=""),"",IF(AND(M$8&lt;='Detalle'!$K135,M$9&gt;='Detalle'!$J135),1,""))</x:f>
      </x:c>
      <x:c r="N273" s="32" t="str">
        <x:f>IF(OR('Detalle'!$J135="",'Detalle'!$K135="",'Detalle'!$L135=""),"",IF(AND(N$8&lt;='Detalle'!$K135,N$9&gt;='Detalle'!$J135),1,""))</x:f>
      </x:c>
      <x:c r="O273" s="32" t="str">
        <x:f>IF(OR('Detalle'!$J135="",'Detalle'!$K135="",'Detalle'!$L135=""),"",IF(AND(O$8&lt;='Detalle'!$K135,O$9&gt;='Detalle'!$J135),1,""))</x:f>
      </x:c>
      <x:c r="P273" s="32" t="str">
        <x:f>IF(OR('Detalle'!$J135="",'Detalle'!$K135="",'Detalle'!$L135=""),"",IF(AND(P$8&lt;='Detalle'!$K135,P$9&gt;='Detalle'!$J135),1,""))</x:f>
      </x:c>
      <x:c r="Q273" s="68"/>
      <x:c r="R273" s="67" t="str"/>
      <x:c r="S273" s="67" t="str"/>
    </x:row>
    <x:row r="274" ht="16" customHeight="1">
      <x:c r="A274" s="56" t="str">
        <x:v>ACC02.008</x:v>
      </x:c>
      <x:c r="B274" s="57" t="str">
        <x:v>Normalizar portada localmente</x:v>
      </x:c>
      <x:c r="C274" s="62" t="str">
        <x:v>E</x:v>
      </x:c>
      <x:c r="D274" s="64" t="n">
        <x:f>'Detalle'!I136</x:f>
        <x:v>1</x:v>
      </x:c>
      <x:c r="E274" s="60" t="str">
        <x:f>'Detalle'!F136</x:f>
        <x:v>Completado</x:v>
      </x:c>
      <x:c r="F274" s="32" t="str">
        <x:f>IF(AND(F$8&lt;='Detalle'!$H136,F$9&gt;='Detalle'!$G136),1,"")</x:f>
      </x:c>
      <x:c r="G274" s="32" t="n">
        <x:f>IF(AND(G$8&lt;='Detalle'!$H136,G$9&gt;='Detalle'!$G136),1,"")</x:f>
        <x:v>1</x:v>
      </x:c>
      <x:c r="H274" s="32" t="str">
        <x:f>IF(AND(H$8&lt;='Detalle'!$H136,H$9&gt;='Detalle'!$G136),1,"")</x:f>
      </x:c>
      <x:c r="I274" s="32" t="str">
        <x:f>IF(AND(I$8&lt;='Detalle'!$H136,I$9&gt;='Detalle'!$G136),1,"")</x:f>
      </x:c>
      <x:c r="J274" s="32" t="str">
        <x:f>IF(AND(J$8&lt;='Detalle'!$H136,J$9&gt;='Detalle'!$G136),1,"")</x:f>
      </x:c>
      <x:c r="K274" s="32" t="str">
        <x:f>IF(AND(K$8&lt;='Detalle'!$H136,K$9&gt;='Detalle'!$G136),1,"")</x:f>
      </x:c>
      <x:c r="L274" s="32" t="str">
        <x:f>IF(AND(L$8&lt;='Detalle'!$H136,L$9&gt;='Detalle'!$G136),1,"")</x:f>
      </x:c>
      <x:c r="M274" s="32" t="str">
        <x:f>IF(AND(M$8&lt;='Detalle'!$H136,M$9&gt;='Detalle'!$G136),1,"")</x:f>
      </x:c>
      <x:c r="N274" s="32" t="str">
        <x:f>IF(AND(N$8&lt;='Detalle'!$H136,N$9&gt;='Detalle'!$G136),1,"")</x:f>
      </x:c>
      <x:c r="O274" s="32" t="str">
        <x:f>IF(AND(O$8&lt;='Detalle'!$H136,O$9&gt;='Detalle'!$G136),1,"")</x:f>
      </x:c>
      <x:c r="P274" s="32" t="str">
        <x:f>IF(AND(P$8&lt;='Detalle'!$H136,P$9&gt;='Detalle'!$G136),1,"")</x:f>
      </x:c>
      <x:c r="Q274" s="68"/>
      <x:c r="R274" s="67" t="str">
        <x:f>IF('Detalle'!M136="","",'Detalle'!M136)</x:f>
      </x:c>
      <x:c r="S274" s="67" t="str">
        <x:f>IF('Detalle'!N136="","",'Detalle'!N136)</x:f>
      </x:c>
    </x:row>
    <x:row r="275" ht="16" customHeight="1">
      <x:c r="A275" s="56" t="str">
        <x:v>ACC02.008</x:v>
      </x:c>
      <x:c r="B275" s="57" t="str">
        <x:v>Normalizar portada localmente</x:v>
      </x:c>
      <x:c r="C275" s="63" t="str">
        <x:v>R</x:v>
      </x:c>
      <x:c r="D275" s="65" t="str">
        <x:f>IF('Detalle'!L136="","",'Detalle'!L136)</x:f>
      </x:c>
      <x:c r="E275" s="60" t="str"/>
      <x:c r="F275" s="32" t="str">
        <x:f>IF(OR('Detalle'!$J136="",'Detalle'!$K136="",'Detalle'!$L136=""),"",IF(AND(F$8&lt;='Detalle'!$K136,F$9&gt;='Detalle'!$J136),1,""))</x:f>
      </x:c>
      <x:c r="G275" s="32" t="str">
        <x:f>IF(OR('Detalle'!$J136="",'Detalle'!$K136="",'Detalle'!$L136=""),"",IF(AND(G$8&lt;='Detalle'!$K136,G$9&gt;='Detalle'!$J136),1,""))</x:f>
      </x:c>
      <x:c r="H275" s="32" t="str">
        <x:f>IF(OR('Detalle'!$J136="",'Detalle'!$K136="",'Detalle'!$L136=""),"",IF(AND(H$8&lt;='Detalle'!$K136,H$9&gt;='Detalle'!$J136),1,""))</x:f>
      </x:c>
      <x:c r="I275" s="32" t="str">
        <x:f>IF(OR('Detalle'!$J136="",'Detalle'!$K136="",'Detalle'!$L136=""),"",IF(AND(I$8&lt;='Detalle'!$K136,I$9&gt;='Detalle'!$J136),1,""))</x:f>
      </x:c>
      <x:c r="J275" s="32" t="str">
        <x:f>IF(OR('Detalle'!$J136="",'Detalle'!$K136="",'Detalle'!$L136=""),"",IF(AND(J$8&lt;='Detalle'!$K136,J$9&gt;='Detalle'!$J136),1,""))</x:f>
      </x:c>
      <x:c r="K275" s="32" t="str">
        <x:f>IF(OR('Detalle'!$J136="",'Detalle'!$K136="",'Detalle'!$L136=""),"",IF(AND(K$8&lt;='Detalle'!$K136,K$9&gt;='Detalle'!$J136),1,""))</x:f>
      </x:c>
      <x:c r="L275" s="32" t="str">
        <x:f>IF(OR('Detalle'!$J136="",'Detalle'!$K136="",'Detalle'!$L136=""),"",IF(AND(L$8&lt;='Detalle'!$K136,L$9&gt;='Detalle'!$J136),1,""))</x:f>
      </x:c>
      <x:c r="M275" s="32" t="str">
        <x:f>IF(OR('Detalle'!$J136="",'Detalle'!$K136="",'Detalle'!$L136=""),"",IF(AND(M$8&lt;='Detalle'!$K136,M$9&gt;='Detalle'!$J136),1,""))</x:f>
      </x:c>
      <x:c r="N275" s="32" t="str">
        <x:f>IF(OR('Detalle'!$J136="",'Detalle'!$K136="",'Detalle'!$L136=""),"",IF(AND(N$8&lt;='Detalle'!$K136,N$9&gt;='Detalle'!$J136),1,""))</x:f>
      </x:c>
      <x:c r="O275" s="32" t="str">
        <x:f>IF(OR('Detalle'!$J136="",'Detalle'!$K136="",'Detalle'!$L136=""),"",IF(AND(O$8&lt;='Detalle'!$K136,O$9&gt;='Detalle'!$J136),1,""))</x:f>
      </x:c>
      <x:c r="P275" s="32" t="str">
        <x:f>IF(OR('Detalle'!$J136="",'Detalle'!$K136="",'Detalle'!$L136=""),"",IF(AND(P$8&lt;='Detalle'!$K136,P$9&gt;='Detalle'!$J136),1,""))</x:f>
      </x:c>
      <x:c r="Q275" s="68"/>
      <x:c r="R275" s="67" t="str"/>
      <x:c r="S275" s="67" t="str"/>
    </x:row>
    <x:row r="276" ht="16" customHeight="1">
      <x:c r="A276" s="56" t="str">
        <x:v>ACC02.009</x:v>
      </x:c>
      <x:c r="B276" s="57" t="str">
        <x:v>Aplicar ajuste centrado de imagen</x:v>
      </x:c>
      <x:c r="C276" s="62" t="str">
        <x:v>E</x:v>
      </x:c>
      <x:c r="D276" s="64" t="n">
        <x:f>'Detalle'!I137</x:f>
        <x:v>1</x:v>
      </x:c>
      <x:c r="E276" s="60" t="str">
        <x:f>'Detalle'!F137</x:f>
        <x:v>Completado</x:v>
      </x:c>
      <x:c r="F276" s="32" t="str">
        <x:f>IF(AND(F$8&lt;='Detalle'!$H137,F$9&gt;='Detalle'!$G137),1,"")</x:f>
      </x:c>
      <x:c r="G276" s="32" t="n">
        <x:f>IF(AND(G$8&lt;='Detalle'!$H137,G$9&gt;='Detalle'!$G137),1,"")</x:f>
        <x:v>1</x:v>
      </x:c>
      <x:c r="H276" s="32" t="str">
        <x:f>IF(AND(H$8&lt;='Detalle'!$H137,H$9&gt;='Detalle'!$G137),1,"")</x:f>
      </x:c>
      <x:c r="I276" s="32" t="str">
        <x:f>IF(AND(I$8&lt;='Detalle'!$H137,I$9&gt;='Detalle'!$G137),1,"")</x:f>
      </x:c>
      <x:c r="J276" s="32" t="str">
        <x:f>IF(AND(J$8&lt;='Detalle'!$H137,J$9&gt;='Detalle'!$G137),1,"")</x:f>
      </x:c>
      <x:c r="K276" s="32" t="str">
        <x:f>IF(AND(K$8&lt;='Detalle'!$H137,K$9&gt;='Detalle'!$G137),1,"")</x:f>
      </x:c>
      <x:c r="L276" s="32" t="str">
        <x:f>IF(AND(L$8&lt;='Detalle'!$H137,L$9&gt;='Detalle'!$G137),1,"")</x:f>
      </x:c>
      <x:c r="M276" s="32" t="str">
        <x:f>IF(AND(M$8&lt;='Detalle'!$H137,M$9&gt;='Detalle'!$G137),1,"")</x:f>
      </x:c>
      <x:c r="N276" s="32" t="str">
        <x:f>IF(AND(N$8&lt;='Detalle'!$H137,N$9&gt;='Detalle'!$G137),1,"")</x:f>
      </x:c>
      <x:c r="O276" s="32" t="str">
        <x:f>IF(AND(O$8&lt;='Detalle'!$H137,O$9&gt;='Detalle'!$G137),1,"")</x:f>
      </x:c>
      <x:c r="P276" s="32" t="str">
        <x:f>IF(AND(P$8&lt;='Detalle'!$H137,P$9&gt;='Detalle'!$G137),1,"")</x:f>
      </x:c>
      <x:c r="Q276" s="68"/>
      <x:c r="R276" s="67" t="str">
        <x:f>IF('Detalle'!M137="","",'Detalle'!M137)</x:f>
      </x:c>
      <x:c r="S276" s="67" t="str">
        <x:f>IF('Detalle'!N137="","",'Detalle'!N137)</x:f>
      </x:c>
    </x:row>
    <x:row r="277" ht="16" customHeight="1">
      <x:c r="A277" s="56" t="str">
        <x:v>ACC02.009</x:v>
      </x:c>
      <x:c r="B277" s="57" t="str">
        <x:v>Aplicar ajuste centrado de imagen</x:v>
      </x:c>
      <x:c r="C277" s="63" t="str">
        <x:v>R</x:v>
      </x:c>
      <x:c r="D277" s="65" t="str">
        <x:f>IF('Detalle'!L137="","",'Detalle'!L137)</x:f>
      </x:c>
      <x:c r="E277" s="60" t="str"/>
      <x:c r="F277" s="32" t="str">
        <x:f>IF(OR('Detalle'!$J137="",'Detalle'!$K137="",'Detalle'!$L137=""),"",IF(AND(F$8&lt;='Detalle'!$K137,F$9&gt;='Detalle'!$J137),1,""))</x:f>
      </x:c>
      <x:c r="G277" s="32" t="str">
        <x:f>IF(OR('Detalle'!$J137="",'Detalle'!$K137="",'Detalle'!$L137=""),"",IF(AND(G$8&lt;='Detalle'!$K137,G$9&gt;='Detalle'!$J137),1,""))</x:f>
      </x:c>
      <x:c r="H277" s="32" t="str">
        <x:f>IF(OR('Detalle'!$J137="",'Detalle'!$K137="",'Detalle'!$L137=""),"",IF(AND(H$8&lt;='Detalle'!$K137,H$9&gt;='Detalle'!$J137),1,""))</x:f>
      </x:c>
      <x:c r="I277" s="32" t="str">
        <x:f>IF(OR('Detalle'!$J137="",'Detalle'!$K137="",'Detalle'!$L137=""),"",IF(AND(I$8&lt;='Detalle'!$K137,I$9&gt;='Detalle'!$J137),1,""))</x:f>
      </x:c>
      <x:c r="J277" s="32" t="str">
        <x:f>IF(OR('Detalle'!$J137="",'Detalle'!$K137="",'Detalle'!$L137=""),"",IF(AND(J$8&lt;='Detalle'!$K137,J$9&gt;='Detalle'!$J137),1,""))</x:f>
      </x:c>
      <x:c r="K277" s="32" t="str">
        <x:f>IF(OR('Detalle'!$J137="",'Detalle'!$K137="",'Detalle'!$L137=""),"",IF(AND(K$8&lt;='Detalle'!$K137,K$9&gt;='Detalle'!$J137),1,""))</x:f>
      </x:c>
      <x:c r="L277" s="32" t="str">
        <x:f>IF(OR('Detalle'!$J137="",'Detalle'!$K137="",'Detalle'!$L137=""),"",IF(AND(L$8&lt;='Detalle'!$K137,L$9&gt;='Detalle'!$J137),1,""))</x:f>
      </x:c>
      <x:c r="M277" s="32" t="str">
        <x:f>IF(OR('Detalle'!$J137="",'Detalle'!$K137="",'Detalle'!$L137=""),"",IF(AND(M$8&lt;='Detalle'!$K137,M$9&gt;='Detalle'!$J137),1,""))</x:f>
      </x:c>
      <x:c r="N277" s="32" t="str">
        <x:f>IF(OR('Detalle'!$J137="",'Detalle'!$K137="",'Detalle'!$L137=""),"",IF(AND(N$8&lt;='Detalle'!$K137,N$9&gt;='Detalle'!$J137),1,""))</x:f>
      </x:c>
      <x:c r="O277" s="32" t="str">
        <x:f>IF(OR('Detalle'!$J137="",'Detalle'!$K137="",'Detalle'!$L137=""),"",IF(AND(O$8&lt;='Detalle'!$K137,O$9&gt;='Detalle'!$J137),1,""))</x:f>
      </x:c>
      <x:c r="P277" s="32" t="str">
        <x:f>IF(OR('Detalle'!$J137="",'Detalle'!$K137="",'Detalle'!$L137=""),"",IF(AND(P$8&lt;='Detalle'!$K137,P$9&gt;='Detalle'!$J137),1,""))</x:f>
      </x:c>
      <x:c r="Q277" s="68"/>
      <x:c r="R277" s="67" t="str"/>
      <x:c r="S277" s="67" t="str"/>
    </x:row>
    <x:row r="278" ht="16" customHeight="1">
      <x:c r="A278" s="56" t="str">
        <x:v>ACC02.010</x:v>
      </x:c>
      <x:c r="B278" s="57" t="str">
        <x:v>Crear bucket privado profile-media</x:v>
      </x:c>
      <x:c r="C278" s="62" t="str">
        <x:v>E</x:v>
      </x:c>
      <x:c r="D278" s="64" t="n">
        <x:f>'Detalle'!I138</x:f>
        <x:v>1</x:v>
      </x:c>
      <x:c r="E278" s="60" t="str">
        <x:f>'Detalle'!F138</x:f>
        <x:v>Completado</x:v>
      </x:c>
      <x:c r="F278" s="32" t="str">
        <x:f>IF(AND(F$8&lt;='Detalle'!$H138,F$9&gt;='Detalle'!$G138),1,"")</x:f>
      </x:c>
      <x:c r="G278" s="32" t="n">
        <x:f>IF(AND(G$8&lt;='Detalle'!$H138,G$9&gt;='Detalle'!$G138),1,"")</x:f>
        <x:v>1</x:v>
      </x:c>
      <x:c r="H278" s="32" t="str">
        <x:f>IF(AND(H$8&lt;='Detalle'!$H138,H$9&gt;='Detalle'!$G138),1,"")</x:f>
      </x:c>
      <x:c r="I278" s="32" t="str">
        <x:f>IF(AND(I$8&lt;='Detalle'!$H138,I$9&gt;='Detalle'!$G138),1,"")</x:f>
      </x:c>
      <x:c r="J278" s="32" t="str">
        <x:f>IF(AND(J$8&lt;='Detalle'!$H138,J$9&gt;='Detalle'!$G138),1,"")</x:f>
      </x:c>
      <x:c r="K278" s="32" t="str">
        <x:f>IF(AND(K$8&lt;='Detalle'!$H138,K$9&gt;='Detalle'!$G138),1,"")</x:f>
      </x:c>
      <x:c r="L278" s="32" t="str">
        <x:f>IF(AND(L$8&lt;='Detalle'!$H138,L$9&gt;='Detalle'!$G138),1,"")</x:f>
      </x:c>
      <x:c r="M278" s="32" t="str">
        <x:f>IF(AND(M$8&lt;='Detalle'!$H138,M$9&gt;='Detalle'!$G138),1,"")</x:f>
      </x:c>
      <x:c r="N278" s="32" t="str">
        <x:f>IF(AND(N$8&lt;='Detalle'!$H138,N$9&gt;='Detalle'!$G138),1,"")</x:f>
      </x:c>
      <x:c r="O278" s="32" t="str">
        <x:f>IF(AND(O$8&lt;='Detalle'!$H138,O$9&gt;='Detalle'!$G138),1,"")</x:f>
      </x:c>
      <x:c r="P278" s="32" t="str">
        <x:f>IF(AND(P$8&lt;='Detalle'!$H138,P$9&gt;='Detalle'!$G138),1,"")</x:f>
      </x:c>
      <x:c r="Q278" s="68"/>
      <x:c r="R278" s="67" t="str">
        <x:f>IF('Detalle'!M138="","",'Detalle'!M138)</x:f>
      </x:c>
      <x:c r="S278" s="67" t="str">
        <x:f>IF('Detalle'!N138="","",'Detalle'!N138)</x:f>
      </x:c>
    </x:row>
    <x:row r="279" ht="16" customHeight="1">
      <x:c r="A279" s="56" t="str">
        <x:v>ACC02.010</x:v>
      </x:c>
      <x:c r="B279" s="57" t="str">
        <x:v>Crear bucket privado profile-media</x:v>
      </x:c>
      <x:c r="C279" s="63" t="str">
        <x:v>R</x:v>
      </x:c>
      <x:c r="D279" s="65" t="str">
        <x:f>IF('Detalle'!L138="","",'Detalle'!L138)</x:f>
      </x:c>
      <x:c r="E279" s="60" t="str"/>
      <x:c r="F279" s="32" t="str">
        <x:f>IF(OR('Detalle'!$J138="",'Detalle'!$K138="",'Detalle'!$L138=""),"",IF(AND(F$8&lt;='Detalle'!$K138,F$9&gt;='Detalle'!$J138),1,""))</x:f>
      </x:c>
      <x:c r="G279" s="32" t="str">
        <x:f>IF(OR('Detalle'!$J138="",'Detalle'!$K138="",'Detalle'!$L138=""),"",IF(AND(G$8&lt;='Detalle'!$K138,G$9&gt;='Detalle'!$J138),1,""))</x:f>
      </x:c>
      <x:c r="H279" s="32" t="str">
        <x:f>IF(OR('Detalle'!$J138="",'Detalle'!$K138="",'Detalle'!$L138=""),"",IF(AND(H$8&lt;='Detalle'!$K138,H$9&gt;='Detalle'!$J138),1,""))</x:f>
      </x:c>
      <x:c r="I279" s="32" t="str">
        <x:f>IF(OR('Detalle'!$J138="",'Detalle'!$K138="",'Detalle'!$L138=""),"",IF(AND(I$8&lt;='Detalle'!$K138,I$9&gt;='Detalle'!$J138),1,""))</x:f>
      </x:c>
      <x:c r="J279" s="32" t="str">
        <x:f>IF(OR('Detalle'!$J138="",'Detalle'!$K138="",'Detalle'!$L138=""),"",IF(AND(J$8&lt;='Detalle'!$K138,J$9&gt;='Detalle'!$J138),1,""))</x:f>
      </x:c>
      <x:c r="K279" s="32" t="str">
        <x:f>IF(OR('Detalle'!$J138="",'Detalle'!$K138="",'Detalle'!$L138=""),"",IF(AND(K$8&lt;='Detalle'!$K138,K$9&gt;='Detalle'!$J138),1,""))</x:f>
      </x:c>
      <x:c r="L279" s="32" t="str">
        <x:f>IF(OR('Detalle'!$J138="",'Detalle'!$K138="",'Detalle'!$L138=""),"",IF(AND(L$8&lt;='Detalle'!$K138,L$9&gt;='Detalle'!$J138),1,""))</x:f>
      </x:c>
      <x:c r="M279" s="32" t="str">
        <x:f>IF(OR('Detalle'!$J138="",'Detalle'!$K138="",'Detalle'!$L138=""),"",IF(AND(M$8&lt;='Detalle'!$K138,M$9&gt;='Detalle'!$J138),1,""))</x:f>
      </x:c>
      <x:c r="N279" s="32" t="str">
        <x:f>IF(OR('Detalle'!$J138="",'Detalle'!$K138="",'Detalle'!$L138=""),"",IF(AND(N$8&lt;='Detalle'!$K138,N$9&gt;='Detalle'!$J138),1,""))</x:f>
      </x:c>
      <x:c r="O279" s="32" t="str">
        <x:f>IF(OR('Detalle'!$J138="",'Detalle'!$K138="",'Detalle'!$L138=""),"",IF(AND(O$8&lt;='Detalle'!$K138,O$9&gt;='Detalle'!$J138),1,""))</x:f>
      </x:c>
      <x:c r="P279" s="32" t="str">
        <x:f>IF(OR('Detalle'!$J138="",'Detalle'!$K138="",'Detalle'!$L138=""),"",IF(AND(P$8&lt;='Detalle'!$K138,P$9&gt;='Detalle'!$J138),1,""))</x:f>
      </x:c>
      <x:c r="Q279" s="68"/>
      <x:c r="R279" s="67" t="str"/>
      <x:c r="S279" s="67" t="str"/>
    </x:row>
    <x:row r="280" ht="16" customHeight="1">
      <x:c r="A280" s="56" t="str">
        <x:v>ACC02.011</x:v>
      </x:c>
      <x:c r="B280" s="57" t="str">
        <x:v>Validar JWT en profile-media</x:v>
      </x:c>
      <x:c r="C280" s="62" t="str">
        <x:v>E</x:v>
      </x:c>
      <x:c r="D280" s="64" t="n">
        <x:f>'Detalle'!I139</x:f>
        <x:v>1</x:v>
      </x:c>
      <x:c r="E280" s="60" t="str">
        <x:f>'Detalle'!F139</x:f>
        <x:v>Completado</x:v>
      </x:c>
      <x:c r="F280" s="32" t="str">
        <x:f>IF(AND(F$8&lt;='Detalle'!$H139,F$9&gt;='Detalle'!$G139),1,"")</x:f>
      </x:c>
      <x:c r="G280" s="32" t="n">
        <x:f>IF(AND(G$8&lt;='Detalle'!$H139,G$9&gt;='Detalle'!$G139),1,"")</x:f>
        <x:v>1</x:v>
      </x:c>
      <x:c r="H280" s="32" t="str">
        <x:f>IF(AND(H$8&lt;='Detalle'!$H139,H$9&gt;='Detalle'!$G139),1,"")</x:f>
      </x:c>
      <x:c r="I280" s="32" t="str">
        <x:f>IF(AND(I$8&lt;='Detalle'!$H139,I$9&gt;='Detalle'!$G139),1,"")</x:f>
      </x:c>
      <x:c r="J280" s="32" t="str">
        <x:f>IF(AND(J$8&lt;='Detalle'!$H139,J$9&gt;='Detalle'!$G139),1,"")</x:f>
      </x:c>
      <x:c r="K280" s="32" t="str">
        <x:f>IF(AND(K$8&lt;='Detalle'!$H139,K$9&gt;='Detalle'!$G139),1,"")</x:f>
      </x:c>
      <x:c r="L280" s="32" t="str">
        <x:f>IF(AND(L$8&lt;='Detalle'!$H139,L$9&gt;='Detalle'!$G139),1,"")</x:f>
      </x:c>
      <x:c r="M280" s="32" t="str">
        <x:f>IF(AND(M$8&lt;='Detalle'!$H139,M$9&gt;='Detalle'!$G139),1,"")</x:f>
      </x:c>
      <x:c r="N280" s="32" t="str">
        <x:f>IF(AND(N$8&lt;='Detalle'!$H139,N$9&gt;='Detalle'!$G139),1,"")</x:f>
      </x:c>
      <x:c r="O280" s="32" t="str">
        <x:f>IF(AND(O$8&lt;='Detalle'!$H139,O$9&gt;='Detalle'!$G139),1,"")</x:f>
      </x:c>
      <x:c r="P280" s="32" t="str">
        <x:f>IF(AND(P$8&lt;='Detalle'!$H139,P$9&gt;='Detalle'!$G139),1,"")</x:f>
      </x:c>
      <x:c r="Q280" s="68"/>
      <x:c r="R280" s="67" t="str">
        <x:f>IF('Detalle'!M139="","",'Detalle'!M139)</x:f>
      </x:c>
      <x:c r="S280" s="67" t="str">
        <x:f>IF('Detalle'!N139="","",'Detalle'!N139)</x:f>
      </x:c>
    </x:row>
    <x:row r="281" ht="16" customHeight="1">
      <x:c r="A281" s="56" t="str">
        <x:v>ACC02.011</x:v>
      </x:c>
      <x:c r="B281" s="57" t="str">
        <x:v>Validar JWT en profile-media</x:v>
      </x:c>
      <x:c r="C281" s="63" t="str">
        <x:v>R</x:v>
      </x:c>
      <x:c r="D281" s="65" t="str">
        <x:f>IF('Detalle'!L139="","",'Detalle'!L139)</x:f>
      </x:c>
      <x:c r="E281" s="60" t="str"/>
      <x:c r="F281" s="32" t="str">
        <x:f>IF(OR('Detalle'!$J139="",'Detalle'!$K139="",'Detalle'!$L139=""),"",IF(AND(F$8&lt;='Detalle'!$K139,F$9&gt;='Detalle'!$J139),1,""))</x:f>
      </x:c>
      <x:c r="G281" s="32" t="str">
        <x:f>IF(OR('Detalle'!$J139="",'Detalle'!$K139="",'Detalle'!$L139=""),"",IF(AND(G$8&lt;='Detalle'!$K139,G$9&gt;='Detalle'!$J139),1,""))</x:f>
      </x:c>
      <x:c r="H281" s="32" t="str">
        <x:f>IF(OR('Detalle'!$J139="",'Detalle'!$K139="",'Detalle'!$L139=""),"",IF(AND(H$8&lt;='Detalle'!$K139,H$9&gt;='Detalle'!$J139),1,""))</x:f>
      </x:c>
      <x:c r="I281" s="32" t="str">
        <x:f>IF(OR('Detalle'!$J139="",'Detalle'!$K139="",'Detalle'!$L139=""),"",IF(AND(I$8&lt;='Detalle'!$K139,I$9&gt;='Detalle'!$J139),1,""))</x:f>
      </x:c>
      <x:c r="J281" s="32" t="str">
        <x:f>IF(OR('Detalle'!$J139="",'Detalle'!$K139="",'Detalle'!$L139=""),"",IF(AND(J$8&lt;='Detalle'!$K139,J$9&gt;='Detalle'!$J139),1,""))</x:f>
      </x:c>
      <x:c r="K281" s="32" t="str">
        <x:f>IF(OR('Detalle'!$J139="",'Detalle'!$K139="",'Detalle'!$L139=""),"",IF(AND(K$8&lt;='Detalle'!$K139,K$9&gt;='Detalle'!$J139),1,""))</x:f>
      </x:c>
      <x:c r="L281" s="32" t="str">
        <x:f>IF(OR('Detalle'!$J139="",'Detalle'!$K139="",'Detalle'!$L139=""),"",IF(AND(L$8&lt;='Detalle'!$K139,L$9&gt;='Detalle'!$J139),1,""))</x:f>
      </x:c>
      <x:c r="M281" s="32" t="str">
        <x:f>IF(OR('Detalle'!$J139="",'Detalle'!$K139="",'Detalle'!$L139=""),"",IF(AND(M$8&lt;='Detalle'!$K139,M$9&gt;='Detalle'!$J139),1,""))</x:f>
      </x:c>
      <x:c r="N281" s="32" t="str">
        <x:f>IF(OR('Detalle'!$J139="",'Detalle'!$K139="",'Detalle'!$L139=""),"",IF(AND(N$8&lt;='Detalle'!$K139,N$9&gt;='Detalle'!$J139),1,""))</x:f>
      </x:c>
      <x:c r="O281" s="32" t="str">
        <x:f>IF(OR('Detalle'!$J139="",'Detalle'!$K139="",'Detalle'!$L139=""),"",IF(AND(O$8&lt;='Detalle'!$K139,O$9&gt;='Detalle'!$J139),1,""))</x:f>
      </x:c>
      <x:c r="P281" s="32" t="str">
        <x:f>IF(OR('Detalle'!$J139="",'Detalle'!$K139="",'Detalle'!$L139=""),"",IF(AND(P$8&lt;='Detalle'!$K139,P$9&gt;='Detalle'!$J139),1,""))</x:f>
      </x:c>
      <x:c r="Q281" s="68"/>
      <x:c r="R281" s="67" t="str"/>
      <x:c r="S281" s="67" t="str"/>
    </x:row>
    <x:row r="282" ht="16" customHeight="1">
      <x:c r="A282" s="56" t="str">
        <x:v>ACC02.012</x:v>
      </x:c>
      <x:c r="B282" s="57" t="str">
        <x:v>Volver a decodificar imagen en Edge</x:v>
      </x:c>
      <x:c r="C282" s="62" t="str">
        <x:v>E</x:v>
      </x:c>
      <x:c r="D282" s="64" t="n">
        <x:f>'Detalle'!I140</x:f>
        <x:v>1</x:v>
      </x:c>
      <x:c r="E282" s="60" t="str">
        <x:f>'Detalle'!F140</x:f>
        <x:v>Completado</x:v>
      </x:c>
      <x:c r="F282" s="32" t="str">
        <x:f>IF(AND(F$8&lt;='Detalle'!$H140,F$9&gt;='Detalle'!$G140),1,"")</x:f>
      </x:c>
      <x:c r="G282" s="32" t="n">
        <x:f>IF(AND(G$8&lt;='Detalle'!$H140,G$9&gt;='Detalle'!$G140),1,"")</x:f>
        <x:v>1</x:v>
      </x:c>
      <x:c r="H282" s="32" t="str">
        <x:f>IF(AND(H$8&lt;='Detalle'!$H140,H$9&gt;='Detalle'!$G140),1,"")</x:f>
      </x:c>
      <x:c r="I282" s="32" t="str">
        <x:f>IF(AND(I$8&lt;='Detalle'!$H140,I$9&gt;='Detalle'!$G140),1,"")</x:f>
      </x:c>
      <x:c r="J282" s="32" t="str">
        <x:f>IF(AND(J$8&lt;='Detalle'!$H140,J$9&gt;='Detalle'!$G140),1,"")</x:f>
      </x:c>
      <x:c r="K282" s="32" t="str">
        <x:f>IF(AND(K$8&lt;='Detalle'!$H140,K$9&gt;='Detalle'!$G140),1,"")</x:f>
      </x:c>
      <x:c r="L282" s="32" t="str">
        <x:f>IF(AND(L$8&lt;='Detalle'!$H140,L$9&gt;='Detalle'!$G140),1,"")</x:f>
      </x:c>
      <x:c r="M282" s="32" t="str">
        <x:f>IF(AND(M$8&lt;='Detalle'!$H140,M$9&gt;='Detalle'!$G140),1,"")</x:f>
      </x:c>
      <x:c r="N282" s="32" t="str">
        <x:f>IF(AND(N$8&lt;='Detalle'!$H140,N$9&gt;='Detalle'!$G140),1,"")</x:f>
      </x:c>
      <x:c r="O282" s="32" t="str">
        <x:f>IF(AND(O$8&lt;='Detalle'!$H140,O$9&gt;='Detalle'!$G140),1,"")</x:f>
      </x:c>
      <x:c r="P282" s="32" t="str">
        <x:f>IF(AND(P$8&lt;='Detalle'!$H140,P$9&gt;='Detalle'!$G140),1,"")</x:f>
      </x:c>
      <x:c r="Q282" s="68"/>
      <x:c r="R282" s="67" t="str">
        <x:f>IF('Detalle'!M140="","",'Detalle'!M140)</x:f>
      </x:c>
      <x:c r="S282" s="67" t="str">
        <x:f>IF('Detalle'!N140="","",'Detalle'!N140)</x:f>
      </x:c>
    </x:row>
    <x:row r="283" ht="16" customHeight="1">
      <x:c r="A283" s="56" t="str">
        <x:v>ACC02.012</x:v>
      </x:c>
      <x:c r="B283" s="57" t="str">
        <x:v>Volver a decodificar imagen en Edge</x:v>
      </x:c>
      <x:c r="C283" s="63" t="str">
        <x:v>R</x:v>
      </x:c>
      <x:c r="D283" s="65" t="str">
        <x:f>IF('Detalle'!L140="","",'Detalle'!L140)</x:f>
      </x:c>
      <x:c r="E283" s="60" t="str"/>
      <x:c r="F283" s="32" t="str">
        <x:f>IF(OR('Detalle'!$J140="",'Detalle'!$K140="",'Detalle'!$L140=""),"",IF(AND(F$8&lt;='Detalle'!$K140,F$9&gt;='Detalle'!$J140),1,""))</x:f>
      </x:c>
      <x:c r="G283" s="32" t="str">
        <x:f>IF(OR('Detalle'!$J140="",'Detalle'!$K140="",'Detalle'!$L140=""),"",IF(AND(G$8&lt;='Detalle'!$K140,G$9&gt;='Detalle'!$J140),1,""))</x:f>
      </x:c>
      <x:c r="H283" s="32" t="str">
        <x:f>IF(OR('Detalle'!$J140="",'Detalle'!$K140="",'Detalle'!$L140=""),"",IF(AND(H$8&lt;='Detalle'!$K140,H$9&gt;='Detalle'!$J140),1,""))</x:f>
      </x:c>
      <x:c r="I283" s="32" t="str">
        <x:f>IF(OR('Detalle'!$J140="",'Detalle'!$K140="",'Detalle'!$L140=""),"",IF(AND(I$8&lt;='Detalle'!$K140,I$9&gt;='Detalle'!$J140),1,""))</x:f>
      </x:c>
      <x:c r="J283" s="32" t="str">
        <x:f>IF(OR('Detalle'!$J140="",'Detalle'!$K140="",'Detalle'!$L140=""),"",IF(AND(J$8&lt;='Detalle'!$K140,J$9&gt;='Detalle'!$J140),1,""))</x:f>
      </x:c>
      <x:c r="K283" s="32" t="str">
        <x:f>IF(OR('Detalle'!$J140="",'Detalle'!$K140="",'Detalle'!$L140=""),"",IF(AND(K$8&lt;='Detalle'!$K140,K$9&gt;='Detalle'!$J140),1,""))</x:f>
      </x:c>
      <x:c r="L283" s="32" t="str">
        <x:f>IF(OR('Detalle'!$J140="",'Detalle'!$K140="",'Detalle'!$L140=""),"",IF(AND(L$8&lt;='Detalle'!$K140,L$9&gt;='Detalle'!$J140),1,""))</x:f>
      </x:c>
      <x:c r="M283" s="32" t="str">
        <x:f>IF(OR('Detalle'!$J140="",'Detalle'!$K140="",'Detalle'!$L140=""),"",IF(AND(M$8&lt;='Detalle'!$K140,M$9&gt;='Detalle'!$J140),1,""))</x:f>
      </x:c>
      <x:c r="N283" s="32" t="str">
        <x:f>IF(OR('Detalle'!$J140="",'Detalle'!$K140="",'Detalle'!$L140=""),"",IF(AND(N$8&lt;='Detalle'!$K140,N$9&gt;='Detalle'!$J140),1,""))</x:f>
      </x:c>
      <x:c r="O283" s="32" t="str">
        <x:f>IF(OR('Detalle'!$J140="",'Detalle'!$K140="",'Detalle'!$L140=""),"",IF(AND(O$8&lt;='Detalle'!$K140,O$9&gt;='Detalle'!$J140),1,""))</x:f>
      </x:c>
      <x:c r="P283" s="32" t="str">
        <x:f>IF(OR('Detalle'!$J140="",'Detalle'!$K140="",'Detalle'!$L140=""),"",IF(AND(P$8&lt;='Detalle'!$K140,P$9&gt;='Detalle'!$J140),1,""))</x:f>
      </x:c>
      <x:c r="Q283" s="68"/>
      <x:c r="R283" s="67" t="str"/>
      <x:c r="S283" s="67" t="str"/>
    </x:row>
    <x:row r="284" ht="16" customHeight="1">
      <x:c r="A284" s="56" t="str">
        <x:v>ACC02.013</x:v>
      </x:c>
      <x:c r="B284" s="57" t="str">
        <x:v>Restringir escritura directa de medios</x:v>
      </x:c>
      <x:c r="C284" s="62" t="str">
        <x:v>E</x:v>
      </x:c>
      <x:c r="D284" s="64" t="n">
        <x:f>'Detalle'!I141</x:f>
        <x:v>1</x:v>
      </x:c>
      <x:c r="E284" s="60" t="str">
        <x:f>'Detalle'!F141</x:f>
        <x:v>Completado</x:v>
      </x:c>
      <x:c r="F284" s="32" t="str">
        <x:f>IF(AND(F$8&lt;='Detalle'!$H141,F$9&gt;='Detalle'!$G141),1,"")</x:f>
      </x:c>
      <x:c r="G284" s="32" t="n">
        <x:f>IF(AND(G$8&lt;='Detalle'!$H141,G$9&gt;='Detalle'!$G141),1,"")</x:f>
        <x:v>1</x:v>
      </x:c>
      <x:c r="H284" s="32" t="str">
        <x:f>IF(AND(H$8&lt;='Detalle'!$H141,H$9&gt;='Detalle'!$G141),1,"")</x:f>
      </x:c>
      <x:c r="I284" s="32" t="str">
        <x:f>IF(AND(I$8&lt;='Detalle'!$H141,I$9&gt;='Detalle'!$G141),1,"")</x:f>
      </x:c>
      <x:c r="J284" s="32" t="str">
        <x:f>IF(AND(J$8&lt;='Detalle'!$H141,J$9&gt;='Detalle'!$G141),1,"")</x:f>
      </x:c>
      <x:c r="K284" s="32" t="str">
        <x:f>IF(AND(K$8&lt;='Detalle'!$H141,K$9&gt;='Detalle'!$G141),1,"")</x:f>
      </x:c>
      <x:c r="L284" s="32" t="str">
        <x:f>IF(AND(L$8&lt;='Detalle'!$H141,L$9&gt;='Detalle'!$G141),1,"")</x:f>
      </x:c>
      <x:c r="M284" s="32" t="str">
        <x:f>IF(AND(M$8&lt;='Detalle'!$H141,M$9&gt;='Detalle'!$G141),1,"")</x:f>
      </x:c>
      <x:c r="N284" s="32" t="str">
        <x:f>IF(AND(N$8&lt;='Detalle'!$H141,N$9&gt;='Detalle'!$G141),1,"")</x:f>
      </x:c>
      <x:c r="O284" s="32" t="str">
        <x:f>IF(AND(O$8&lt;='Detalle'!$H141,O$9&gt;='Detalle'!$G141),1,"")</x:f>
      </x:c>
      <x:c r="P284" s="32" t="str">
        <x:f>IF(AND(P$8&lt;='Detalle'!$H141,P$9&gt;='Detalle'!$G141),1,"")</x:f>
      </x:c>
      <x:c r="Q284" s="68"/>
      <x:c r="R284" s="67" t="str">
        <x:f>IF('Detalle'!M141="","",'Detalle'!M141)</x:f>
      </x:c>
      <x:c r="S284" s="67" t="str">
        <x:f>IF('Detalle'!N141="","",'Detalle'!N141)</x:f>
      </x:c>
    </x:row>
    <x:row r="285" ht="16" customHeight="1">
      <x:c r="A285" s="56" t="str">
        <x:v>ACC02.013</x:v>
      </x:c>
      <x:c r="B285" s="57" t="str">
        <x:v>Restringir escritura directa de medios</x:v>
      </x:c>
      <x:c r="C285" s="63" t="str">
        <x:v>R</x:v>
      </x:c>
      <x:c r="D285" s="65" t="str">
        <x:f>IF('Detalle'!L141="","",'Detalle'!L141)</x:f>
      </x:c>
      <x:c r="E285" s="60" t="str"/>
      <x:c r="F285" s="32" t="str">
        <x:f>IF(OR('Detalle'!$J141="",'Detalle'!$K141="",'Detalle'!$L141=""),"",IF(AND(F$8&lt;='Detalle'!$K141,F$9&gt;='Detalle'!$J141),1,""))</x:f>
      </x:c>
      <x:c r="G285" s="32" t="str">
        <x:f>IF(OR('Detalle'!$J141="",'Detalle'!$K141="",'Detalle'!$L141=""),"",IF(AND(G$8&lt;='Detalle'!$K141,G$9&gt;='Detalle'!$J141),1,""))</x:f>
      </x:c>
      <x:c r="H285" s="32" t="str">
        <x:f>IF(OR('Detalle'!$J141="",'Detalle'!$K141="",'Detalle'!$L141=""),"",IF(AND(H$8&lt;='Detalle'!$K141,H$9&gt;='Detalle'!$J141),1,""))</x:f>
      </x:c>
      <x:c r="I285" s="32" t="str">
        <x:f>IF(OR('Detalle'!$J141="",'Detalle'!$K141="",'Detalle'!$L141=""),"",IF(AND(I$8&lt;='Detalle'!$K141,I$9&gt;='Detalle'!$J141),1,""))</x:f>
      </x:c>
      <x:c r="J285" s="32" t="str">
        <x:f>IF(OR('Detalle'!$J141="",'Detalle'!$K141="",'Detalle'!$L141=""),"",IF(AND(J$8&lt;='Detalle'!$K141,J$9&gt;='Detalle'!$J141),1,""))</x:f>
      </x:c>
      <x:c r="K285" s="32" t="str">
        <x:f>IF(OR('Detalle'!$J141="",'Detalle'!$K141="",'Detalle'!$L141=""),"",IF(AND(K$8&lt;='Detalle'!$K141,K$9&gt;='Detalle'!$J141),1,""))</x:f>
      </x:c>
      <x:c r="L285" s="32" t="str">
        <x:f>IF(OR('Detalle'!$J141="",'Detalle'!$K141="",'Detalle'!$L141=""),"",IF(AND(L$8&lt;='Detalle'!$K141,L$9&gt;='Detalle'!$J141),1,""))</x:f>
      </x:c>
      <x:c r="M285" s="32" t="str">
        <x:f>IF(OR('Detalle'!$J141="",'Detalle'!$K141="",'Detalle'!$L141=""),"",IF(AND(M$8&lt;='Detalle'!$K141,M$9&gt;='Detalle'!$J141),1,""))</x:f>
      </x:c>
      <x:c r="N285" s="32" t="str">
        <x:f>IF(OR('Detalle'!$J141="",'Detalle'!$K141="",'Detalle'!$L141=""),"",IF(AND(N$8&lt;='Detalle'!$K141,N$9&gt;='Detalle'!$J141),1,""))</x:f>
      </x:c>
      <x:c r="O285" s="32" t="str">
        <x:f>IF(OR('Detalle'!$J141="",'Detalle'!$K141="",'Detalle'!$L141=""),"",IF(AND(O$8&lt;='Detalle'!$K141,O$9&gt;='Detalle'!$J141),1,""))</x:f>
      </x:c>
      <x:c r="P285" s="32" t="str">
        <x:f>IF(OR('Detalle'!$J141="",'Detalle'!$K141="",'Detalle'!$L141=""),"",IF(AND(P$8&lt;='Detalle'!$K141,P$9&gt;='Detalle'!$J141),1,""))</x:f>
      </x:c>
      <x:c r="Q285" s="68"/>
      <x:c r="R285" s="67" t="str"/>
      <x:c r="S285" s="67" t="str"/>
    </x:row>
    <x:row r="286" ht="16" customHeight="1">
      <x:c r="A286" s="56" t="str">
        <x:v>ACC02.014</x:v>
      </x:c>
      <x:c r="B286" s="57" t="str">
        <x:v>Generar URLs firmadas de presentación</x:v>
      </x:c>
      <x:c r="C286" s="62" t="str">
        <x:v>E</x:v>
      </x:c>
      <x:c r="D286" s="64" t="n">
        <x:f>'Detalle'!I142</x:f>
        <x:v>1</x:v>
      </x:c>
      <x:c r="E286" s="60" t="str">
        <x:f>'Detalle'!F142</x:f>
        <x:v>Completado</x:v>
      </x:c>
      <x:c r="F286" s="32" t="str">
        <x:f>IF(AND(F$8&lt;='Detalle'!$H142,F$9&gt;='Detalle'!$G142),1,"")</x:f>
      </x:c>
      <x:c r="G286" s="32" t="n">
        <x:f>IF(AND(G$8&lt;='Detalle'!$H142,G$9&gt;='Detalle'!$G142),1,"")</x:f>
        <x:v>1</x:v>
      </x:c>
      <x:c r="H286" s="32" t="str">
        <x:f>IF(AND(H$8&lt;='Detalle'!$H142,H$9&gt;='Detalle'!$G142),1,"")</x:f>
      </x:c>
      <x:c r="I286" s="32" t="str">
        <x:f>IF(AND(I$8&lt;='Detalle'!$H142,I$9&gt;='Detalle'!$G142),1,"")</x:f>
      </x:c>
      <x:c r="J286" s="32" t="str">
        <x:f>IF(AND(J$8&lt;='Detalle'!$H142,J$9&gt;='Detalle'!$G142),1,"")</x:f>
      </x:c>
      <x:c r="K286" s="32" t="str">
        <x:f>IF(AND(K$8&lt;='Detalle'!$H142,K$9&gt;='Detalle'!$G142),1,"")</x:f>
      </x:c>
      <x:c r="L286" s="32" t="str">
        <x:f>IF(AND(L$8&lt;='Detalle'!$H142,L$9&gt;='Detalle'!$G142),1,"")</x:f>
      </x:c>
      <x:c r="M286" s="32" t="str">
        <x:f>IF(AND(M$8&lt;='Detalle'!$H142,M$9&gt;='Detalle'!$G142),1,"")</x:f>
      </x:c>
      <x:c r="N286" s="32" t="str">
        <x:f>IF(AND(N$8&lt;='Detalle'!$H142,N$9&gt;='Detalle'!$G142),1,"")</x:f>
      </x:c>
      <x:c r="O286" s="32" t="str">
        <x:f>IF(AND(O$8&lt;='Detalle'!$H142,O$9&gt;='Detalle'!$G142),1,"")</x:f>
      </x:c>
      <x:c r="P286" s="32" t="str">
        <x:f>IF(AND(P$8&lt;='Detalle'!$H142,P$9&gt;='Detalle'!$G142),1,"")</x:f>
      </x:c>
      <x:c r="Q286" s="68"/>
      <x:c r="R286" s="67" t="str">
        <x:f>IF('Detalle'!M142="","",'Detalle'!M142)</x:f>
      </x:c>
      <x:c r="S286" s="67" t="str">
        <x:f>IF('Detalle'!N142="","",'Detalle'!N142)</x:f>
      </x:c>
    </x:row>
    <x:row r="287" ht="16" customHeight="1">
      <x:c r="A287" s="56" t="str">
        <x:v>ACC02.014</x:v>
      </x:c>
      <x:c r="B287" s="57" t="str">
        <x:v>Generar URLs firmadas de presentación</x:v>
      </x:c>
      <x:c r="C287" s="63" t="str">
        <x:v>R</x:v>
      </x:c>
      <x:c r="D287" s="65" t="str">
        <x:f>IF('Detalle'!L142="","",'Detalle'!L142)</x:f>
      </x:c>
      <x:c r="E287" s="60" t="str"/>
      <x:c r="F287" s="32" t="str">
        <x:f>IF(OR('Detalle'!$J142="",'Detalle'!$K142="",'Detalle'!$L142=""),"",IF(AND(F$8&lt;='Detalle'!$K142,F$9&gt;='Detalle'!$J142),1,""))</x:f>
      </x:c>
      <x:c r="G287" s="32" t="str">
        <x:f>IF(OR('Detalle'!$J142="",'Detalle'!$K142="",'Detalle'!$L142=""),"",IF(AND(G$8&lt;='Detalle'!$K142,G$9&gt;='Detalle'!$J142),1,""))</x:f>
      </x:c>
      <x:c r="H287" s="32" t="str">
        <x:f>IF(OR('Detalle'!$J142="",'Detalle'!$K142="",'Detalle'!$L142=""),"",IF(AND(H$8&lt;='Detalle'!$K142,H$9&gt;='Detalle'!$J142),1,""))</x:f>
      </x:c>
      <x:c r="I287" s="32" t="str">
        <x:f>IF(OR('Detalle'!$J142="",'Detalle'!$K142="",'Detalle'!$L142=""),"",IF(AND(I$8&lt;='Detalle'!$K142,I$9&gt;='Detalle'!$J142),1,""))</x:f>
      </x:c>
      <x:c r="J287" s="32" t="str">
        <x:f>IF(OR('Detalle'!$J142="",'Detalle'!$K142="",'Detalle'!$L142=""),"",IF(AND(J$8&lt;='Detalle'!$K142,J$9&gt;='Detalle'!$J142),1,""))</x:f>
      </x:c>
      <x:c r="K287" s="32" t="str">
        <x:f>IF(OR('Detalle'!$J142="",'Detalle'!$K142="",'Detalle'!$L142=""),"",IF(AND(K$8&lt;='Detalle'!$K142,K$9&gt;='Detalle'!$J142),1,""))</x:f>
      </x:c>
      <x:c r="L287" s="32" t="str">
        <x:f>IF(OR('Detalle'!$J142="",'Detalle'!$K142="",'Detalle'!$L142=""),"",IF(AND(L$8&lt;='Detalle'!$K142,L$9&gt;='Detalle'!$J142),1,""))</x:f>
      </x:c>
      <x:c r="M287" s="32" t="str">
        <x:f>IF(OR('Detalle'!$J142="",'Detalle'!$K142="",'Detalle'!$L142=""),"",IF(AND(M$8&lt;='Detalle'!$K142,M$9&gt;='Detalle'!$J142),1,""))</x:f>
      </x:c>
      <x:c r="N287" s="32" t="str">
        <x:f>IF(OR('Detalle'!$J142="",'Detalle'!$K142="",'Detalle'!$L142=""),"",IF(AND(N$8&lt;='Detalle'!$K142,N$9&gt;='Detalle'!$J142),1,""))</x:f>
      </x:c>
      <x:c r="O287" s="32" t="str">
        <x:f>IF(OR('Detalle'!$J142="",'Detalle'!$K142="",'Detalle'!$L142=""),"",IF(AND(O$8&lt;='Detalle'!$K142,O$9&gt;='Detalle'!$J142),1,""))</x:f>
      </x:c>
      <x:c r="P287" s="32" t="str">
        <x:f>IF(OR('Detalle'!$J142="",'Detalle'!$K142="",'Detalle'!$L142=""),"",IF(AND(P$8&lt;='Detalle'!$K142,P$9&gt;='Detalle'!$J142),1,""))</x:f>
      </x:c>
      <x:c r="Q287" s="68"/>
      <x:c r="R287" s="67" t="str"/>
      <x:c r="S287" s="67" t="str"/>
    </x:row>
    <x:row r="288" ht="16" customHeight="1">
      <x:c r="A288" s="56" t="str">
        <x:v>ACC02.015</x:v>
      </x:c>
      <x:c r="B288" s="57" t="str">
        <x:v>Conservar imagen anterior durante guardado</x:v>
      </x:c>
      <x:c r="C288" s="62" t="str">
        <x:v>E</x:v>
      </x:c>
      <x:c r="D288" s="64" t="n">
        <x:f>'Detalle'!I143</x:f>
        <x:v>1</x:v>
      </x:c>
      <x:c r="E288" s="60" t="str">
        <x:f>'Detalle'!F143</x:f>
        <x:v>Completado</x:v>
      </x:c>
      <x:c r="F288" s="32" t="str">
        <x:f>IF(AND(F$8&lt;='Detalle'!$H143,F$9&gt;='Detalle'!$G143),1,"")</x:f>
      </x:c>
      <x:c r="G288" s="32" t="n">
        <x:f>IF(AND(G$8&lt;='Detalle'!$H143,G$9&gt;='Detalle'!$G143),1,"")</x:f>
        <x:v>1</x:v>
      </x:c>
      <x:c r="H288" s="32" t="str">
        <x:f>IF(AND(H$8&lt;='Detalle'!$H143,H$9&gt;='Detalle'!$G143),1,"")</x:f>
      </x:c>
      <x:c r="I288" s="32" t="str">
        <x:f>IF(AND(I$8&lt;='Detalle'!$H143,I$9&gt;='Detalle'!$G143),1,"")</x:f>
      </x:c>
      <x:c r="J288" s="32" t="str">
        <x:f>IF(AND(J$8&lt;='Detalle'!$H143,J$9&gt;='Detalle'!$G143),1,"")</x:f>
      </x:c>
      <x:c r="K288" s="32" t="str">
        <x:f>IF(AND(K$8&lt;='Detalle'!$H143,K$9&gt;='Detalle'!$G143),1,"")</x:f>
      </x:c>
      <x:c r="L288" s="32" t="str">
        <x:f>IF(AND(L$8&lt;='Detalle'!$H143,L$9&gt;='Detalle'!$G143),1,"")</x:f>
      </x:c>
      <x:c r="M288" s="32" t="str">
        <x:f>IF(AND(M$8&lt;='Detalle'!$H143,M$9&gt;='Detalle'!$G143),1,"")</x:f>
      </x:c>
      <x:c r="N288" s="32" t="str">
        <x:f>IF(AND(N$8&lt;='Detalle'!$H143,N$9&gt;='Detalle'!$G143),1,"")</x:f>
      </x:c>
      <x:c r="O288" s="32" t="str">
        <x:f>IF(AND(O$8&lt;='Detalle'!$H143,O$9&gt;='Detalle'!$G143),1,"")</x:f>
      </x:c>
      <x:c r="P288" s="32" t="str">
        <x:f>IF(AND(P$8&lt;='Detalle'!$H143,P$9&gt;='Detalle'!$G143),1,"")</x:f>
      </x:c>
      <x:c r="Q288" s="68"/>
      <x:c r="R288" s="67" t="str">
        <x:f>IF('Detalle'!M143="","",'Detalle'!M143)</x:f>
      </x:c>
      <x:c r="S288" s="67" t="str">
        <x:f>IF('Detalle'!N143="","",'Detalle'!N143)</x:f>
      </x:c>
    </x:row>
    <x:row r="289" ht="16" customHeight="1">
      <x:c r="A289" s="56" t="str">
        <x:v>ACC02.015</x:v>
      </x:c>
      <x:c r="B289" s="57" t="str">
        <x:v>Conservar imagen anterior durante guardado</x:v>
      </x:c>
      <x:c r="C289" s="63" t="str">
        <x:v>R</x:v>
      </x:c>
      <x:c r="D289" s="65" t="str">
        <x:f>IF('Detalle'!L143="","",'Detalle'!L143)</x:f>
      </x:c>
      <x:c r="E289" s="60" t="str"/>
      <x:c r="F289" s="32" t="str">
        <x:f>IF(OR('Detalle'!$J143="",'Detalle'!$K143="",'Detalle'!$L143=""),"",IF(AND(F$8&lt;='Detalle'!$K143,F$9&gt;='Detalle'!$J143),1,""))</x:f>
      </x:c>
      <x:c r="G289" s="32" t="str">
        <x:f>IF(OR('Detalle'!$J143="",'Detalle'!$K143="",'Detalle'!$L143=""),"",IF(AND(G$8&lt;='Detalle'!$K143,G$9&gt;='Detalle'!$J143),1,""))</x:f>
      </x:c>
      <x:c r="H289" s="32" t="str">
        <x:f>IF(OR('Detalle'!$J143="",'Detalle'!$K143="",'Detalle'!$L143=""),"",IF(AND(H$8&lt;='Detalle'!$K143,H$9&gt;='Detalle'!$J143),1,""))</x:f>
      </x:c>
      <x:c r="I289" s="32" t="str">
        <x:f>IF(OR('Detalle'!$J143="",'Detalle'!$K143="",'Detalle'!$L143=""),"",IF(AND(I$8&lt;='Detalle'!$K143,I$9&gt;='Detalle'!$J143),1,""))</x:f>
      </x:c>
      <x:c r="J289" s="32" t="str">
        <x:f>IF(OR('Detalle'!$J143="",'Detalle'!$K143="",'Detalle'!$L143=""),"",IF(AND(J$8&lt;='Detalle'!$K143,J$9&gt;='Detalle'!$J143),1,""))</x:f>
      </x:c>
      <x:c r="K289" s="32" t="str">
        <x:f>IF(OR('Detalle'!$J143="",'Detalle'!$K143="",'Detalle'!$L143=""),"",IF(AND(K$8&lt;='Detalle'!$K143,K$9&gt;='Detalle'!$J143),1,""))</x:f>
      </x:c>
      <x:c r="L289" s="32" t="str">
        <x:f>IF(OR('Detalle'!$J143="",'Detalle'!$K143="",'Detalle'!$L143=""),"",IF(AND(L$8&lt;='Detalle'!$K143,L$9&gt;='Detalle'!$J143),1,""))</x:f>
      </x:c>
      <x:c r="M289" s="32" t="str">
        <x:f>IF(OR('Detalle'!$J143="",'Detalle'!$K143="",'Detalle'!$L143=""),"",IF(AND(M$8&lt;='Detalle'!$K143,M$9&gt;='Detalle'!$J143),1,""))</x:f>
      </x:c>
      <x:c r="N289" s="32" t="str">
        <x:f>IF(OR('Detalle'!$J143="",'Detalle'!$K143="",'Detalle'!$L143=""),"",IF(AND(N$8&lt;='Detalle'!$K143,N$9&gt;='Detalle'!$J143),1,""))</x:f>
      </x:c>
      <x:c r="O289" s="32" t="str">
        <x:f>IF(OR('Detalle'!$J143="",'Detalle'!$K143="",'Detalle'!$L143=""),"",IF(AND(O$8&lt;='Detalle'!$K143,O$9&gt;='Detalle'!$J143),1,""))</x:f>
      </x:c>
      <x:c r="P289" s="32" t="str">
        <x:f>IF(OR('Detalle'!$J143="",'Detalle'!$K143="",'Detalle'!$L143=""),"",IF(AND(P$8&lt;='Detalle'!$K143,P$9&gt;='Detalle'!$J143),1,""))</x:f>
      </x:c>
      <x:c r="Q289" s="68"/>
      <x:c r="R289" s="67" t="str"/>
      <x:c r="S289" s="67" t="str"/>
    </x:row>
    <x:row r="290" ht="16" customHeight="1">
      <x:c r="A290" s="56" t="str">
        <x:v>ACC02.016</x:v>
      </x:c>
      <x:c r="B290" s="57" t="str">
        <x:v>Quitar avatar o portada</x:v>
      </x:c>
      <x:c r="C290" s="62" t="str">
        <x:v>E</x:v>
      </x:c>
      <x:c r="D290" s="64" t="n">
        <x:f>'Detalle'!I144</x:f>
        <x:v>1</x:v>
      </x:c>
      <x:c r="E290" s="60" t="str">
        <x:f>'Detalle'!F144</x:f>
        <x:v>Completado</x:v>
      </x:c>
      <x:c r="F290" s="32" t="str">
        <x:f>IF(AND(F$8&lt;='Detalle'!$H144,F$9&gt;='Detalle'!$G144),1,"")</x:f>
      </x:c>
      <x:c r="G290" s="32" t="n">
        <x:f>IF(AND(G$8&lt;='Detalle'!$H144,G$9&gt;='Detalle'!$G144),1,"")</x:f>
        <x:v>1</x:v>
      </x:c>
      <x:c r="H290" s="32" t="str">
        <x:f>IF(AND(H$8&lt;='Detalle'!$H144,H$9&gt;='Detalle'!$G144),1,"")</x:f>
      </x:c>
      <x:c r="I290" s="32" t="str">
        <x:f>IF(AND(I$8&lt;='Detalle'!$H144,I$9&gt;='Detalle'!$G144),1,"")</x:f>
      </x:c>
      <x:c r="J290" s="32" t="str">
        <x:f>IF(AND(J$8&lt;='Detalle'!$H144,J$9&gt;='Detalle'!$G144),1,"")</x:f>
      </x:c>
      <x:c r="K290" s="32" t="str">
        <x:f>IF(AND(K$8&lt;='Detalle'!$H144,K$9&gt;='Detalle'!$G144),1,"")</x:f>
      </x:c>
      <x:c r="L290" s="32" t="str">
        <x:f>IF(AND(L$8&lt;='Detalle'!$H144,L$9&gt;='Detalle'!$G144),1,"")</x:f>
      </x:c>
      <x:c r="M290" s="32" t="str">
        <x:f>IF(AND(M$8&lt;='Detalle'!$H144,M$9&gt;='Detalle'!$G144),1,"")</x:f>
      </x:c>
      <x:c r="N290" s="32" t="str">
        <x:f>IF(AND(N$8&lt;='Detalle'!$H144,N$9&gt;='Detalle'!$G144),1,"")</x:f>
      </x:c>
      <x:c r="O290" s="32" t="str">
        <x:f>IF(AND(O$8&lt;='Detalle'!$H144,O$9&gt;='Detalle'!$G144),1,"")</x:f>
      </x:c>
      <x:c r="P290" s="32" t="str">
        <x:f>IF(AND(P$8&lt;='Detalle'!$H144,P$9&gt;='Detalle'!$G144),1,"")</x:f>
      </x:c>
      <x:c r="Q290" s="68"/>
      <x:c r="R290" s="67" t="str">
        <x:f>IF('Detalle'!M144="","",'Detalle'!M144)</x:f>
      </x:c>
      <x:c r="S290" s="67" t="str">
        <x:f>IF('Detalle'!N144="","",'Detalle'!N144)</x:f>
      </x:c>
    </x:row>
    <x:row r="291" ht="16" customHeight="1">
      <x:c r="A291" s="56" t="str">
        <x:v>ACC02.016</x:v>
      </x:c>
      <x:c r="B291" s="57" t="str">
        <x:v>Quitar avatar o portada</x:v>
      </x:c>
      <x:c r="C291" s="63" t="str">
        <x:v>R</x:v>
      </x:c>
      <x:c r="D291" s="65" t="str">
        <x:f>IF('Detalle'!L144="","",'Detalle'!L144)</x:f>
      </x:c>
      <x:c r="E291" s="60" t="str"/>
      <x:c r="F291" s="32" t="str">
        <x:f>IF(OR('Detalle'!$J144="",'Detalle'!$K144="",'Detalle'!$L144=""),"",IF(AND(F$8&lt;='Detalle'!$K144,F$9&gt;='Detalle'!$J144),1,""))</x:f>
      </x:c>
      <x:c r="G291" s="32" t="str">
        <x:f>IF(OR('Detalle'!$J144="",'Detalle'!$K144="",'Detalle'!$L144=""),"",IF(AND(G$8&lt;='Detalle'!$K144,G$9&gt;='Detalle'!$J144),1,""))</x:f>
      </x:c>
      <x:c r="H291" s="32" t="str">
        <x:f>IF(OR('Detalle'!$J144="",'Detalle'!$K144="",'Detalle'!$L144=""),"",IF(AND(H$8&lt;='Detalle'!$K144,H$9&gt;='Detalle'!$J144),1,""))</x:f>
      </x:c>
      <x:c r="I291" s="32" t="str">
        <x:f>IF(OR('Detalle'!$J144="",'Detalle'!$K144="",'Detalle'!$L144=""),"",IF(AND(I$8&lt;='Detalle'!$K144,I$9&gt;='Detalle'!$J144),1,""))</x:f>
      </x:c>
      <x:c r="J291" s="32" t="str">
        <x:f>IF(OR('Detalle'!$J144="",'Detalle'!$K144="",'Detalle'!$L144=""),"",IF(AND(J$8&lt;='Detalle'!$K144,J$9&gt;='Detalle'!$J144),1,""))</x:f>
      </x:c>
      <x:c r="K291" s="32" t="str">
        <x:f>IF(OR('Detalle'!$J144="",'Detalle'!$K144="",'Detalle'!$L144=""),"",IF(AND(K$8&lt;='Detalle'!$K144,K$9&gt;='Detalle'!$J144),1,""))</x:f>
      </x:c>
      <x:c r="L291" s="32" t="str">
        <x:f>IF(OR('Detalle'!$J144="",'Detalle'!$K144="",'Detalle'!$L144=""),"",IF(AND(L$8&lt;='Detalle'!$K144,L$9&gt;='Detalle'!$J144),1,""))</x:f>
      </x:c>
      <x:c r="M291" s="32" t="str">
        <x:f>IF(OR('Detalle'!$J144="",'Detalle'!$K144="",'Detalle'!$L144=""),"",IF(AND(M$8&lt;='Detalle'!$K144,M$9&gt;='Detalle'!$J144),1,""))</x:f>
      </x:c>
      <x:c r="N291" s="32" t="str">
        <x:f>IF(OR('Detalle'!$J144="",'Detalle'!$K144="",'Detalle'!$L144=""),"",IF(AND(N$8&lt;='Detalle'!$K144,N$9&gt;='Detalle'!$J144),1,""))</x:f>
      </x:c>
      <x:c r="O291" s="32" t="str">
        <x:f>IF(OR('Detalle'!$J144="",'Detalle'!$K144="",'Detalle'!$L144=""),"",IF(AND(O$8&lt;='Detalle'!$K144,O$9&gt;='Detalle'!$J144),1,""))</x:f>
      </x:c>
      <x:c r="P291" s="32" t="str">
        <x:f>IF(OR('Detalle'!$J144="",'Detalle'!$K144="",'Detalle'!$L144=""),"",IF(AND(P$8&lt;='Detalle'!$K144,P$9&gt;='Detalle'!$J144),1,""))</x:f>
      </x:c>
      <x:c r="Q291" s="68"/>
      <x:c r="R291" s="67" t="str"/>
      <x:c r="S291" s="67" t="str"/>
    </x:row>
    <x:row r="292" ht="16" customHeight="1">
      <x:c r="A292" s="56" t="str">
        <x:v>ACC02.017</x:v>
      </x:c>
      <x:c r="B292" s="57" t="str">
        <x:v>Avisar sobre edición sin guardar</x:v>
      </x:c>
      <x:c r="C292" s="62" t="str">
        <x:v>E</x:v>
      </x:c>
      <x:c r="D292" s="64" t="n">
        <x:f>'Detalle'!I145</x:f>
        <x:v>1</x:v>
      </x:c>
      <x:c r="E292" s="60" t="str">
        <x:f>'Detalle'!F145</x:f>
        <x:v>Completado</x:v>
      </x:c>
      <x:c r="F292" s="32" t="str">
        <x:f>IF(AND(F$8&lt;='Detalle'!$H145,F$9&gt;='Detalle'!$G145),1,"")</x:f>
      </x:c>
      <x:c r="G292" s="32" t="n">
        <x:f>IF(AND(G$8&lt;='Detalle'!$H145,G$9&gt;='Detalle'!$G145),1,"")</x:f>
        <x:v>1</x:v>
      </x:c>
      <x:c r="H292" s="32" t="str">
        <x:f>IF(AND(H$8&lt;='Detalle'!$H145,H$9&gt;='Detalle'!$G145),1,"")</x:f>
      </x:c>
      <x:c r="I292" s="32" t="str">
        <x:f>IF(AND(I$8&lt;='Detalle'!$H145,I$9&gt;='Detalle'!$G145),1,"")</x:f>
      </x:c>
      <x:c r="J292" s="32" t="str">
        <x:f>IF(AND(J$8&lt;='Detalle'!$H145,J$9&gt;='Detalle'!$G145),1,"")</x:f>
      </x:c>
      <x:c r="K292" s="32" t="str">
        <x:f>IF(AND(K$8&lt;='Detalle'!$H145,K$9&gt;='Detalle'!$G145),1,"")</x:f>
      </x:c>
      <x:c r="L292" s="32" t="str">
        <x:f>IF(AND(L$8&lt;='Detalle'!$H145,L$9&gt;='Detalle'!$G145),1,"")</x:f>
      </x:c>
      <x:c r="M292" s="32" t="str">
        <x:f>IF(AND(M$8&lt;='Detalle'!$H145,M$9&gt;='Detalle'!$G145),1,"")</x:f>
      </x:c>
      <x:c r="N292" s="32" t="str">
        <x:f>IF(AND(N$8&lt;='Detalle'!$H145,N$9&gt;='Detalle'!$G145),1,"")</x:f>
      </x:c>
      <x:c r="O292" s="32" t="str">
        <x:f>IF(AND(O$8&lt;='Detalle'!$H145,O$9&gt;='Detalle'!$G145),1,"")</x:f>
      </x:c>
      <x:c r="P292" s="32" t="str">
        <x:f>IF(AND(P$8&lt;='Detalle'!$H145,P$9&gt;='Detalle'!$G145),1,"")</x:f>
      </x:c>
      <x:c r="Q292" s="68"/>
      <x:c r="R292" s="67" t="str">
        <x:f>IF('Detalle'!M145="","",'Detalle'!M145)</x:f>
      </x:c>
      <x:c r="S292" s="67" t="str">
        <x:f>IF('Detalle'!N145="","",'Detalle'!N145)</x:f>
      </x:c>
    </x:row>
    <x:row r="293" ht="16" customHeight="1">
      <x:c r="A293" s="56" t="str">
        <x:v>ACC02.017</x:v>
      </x:c>
      <x:c r="B293" s="57" t="str">
        <x:v>Avisar sobre edición sin guardar</x:v>
      </x:c>
      <x:c r="C293" s="63" t="str">
        <x:v>R</x:v>
      </x:c>
      <x:c r="D293" s="65" t="str">
        <x:f>IF('Detalle'!L145="","",'Detalle'!L145)</x:f>
      </x:c>
      <x:c r="E293" s="60" t="str"/>
      <x:c r="F293" s="32" t="str">
        <x:f>IF(OR('Detalle'!$J145="",'Detalle'!$K145="",'Detalle'!$L145=""),"",IF(AND(F$8&lt;='Detalle'!$K145,F$9&gt;='Detalle'!$J145),1,""))</x:f>
      </x:c>
      <x:c r="G293" s="32" t="str">
        <x:f>IF(OR('Detalle'!$J145="",'Detalle'!$K145="",'Detalle'!$L145=""),"",IF(AND(G$8&lt;='Detalle'!$K145,G$9&gt;='Detalle'!$J145),1,""))</x:f>
      </x:c>
      <x:c r="H293" s="32" t="str">
        <x:f>IF(OR('Detalle'!$J145="",'Detalle'!$K145="",'Detalle'!$L145=""),"",IF(AND(H$8&lt;='Detalle'!$K145,H$9&gt;='Detalle'!$J145),1,""))</x:f>
      </x:c>
      <x:c r="I293" s="32" t="str">
        <x:f>IF(OR('Detalle'!$J145="",'Detalle'!$K145="",'Detalle'!$L145=""),"",IF(AND(I$8&lt;='Detalle'!$K145,I$9&gt;='Detalle'!$J145),1,""))</x:f>
      </x:c>
      <x:c r="J293" s="32" t="str">
        <x:f>IF(OR('Detalle'!$J145="",'Detalle'!$K145="",'Detalle'!$L145=""),"",IF(AND(J$8&lt;='Detalle'!$K145,J$9&gt;='Detalle'!$J145),1,""))</x:f>
      </x:c>
      <x:c r="K293" s="32" t="str">
        <x:f>IF(OR('Detalle'!$J145="",'Detalle'!$K145="",'Detalle'!$L145=""),"",IF(AND(K$8&lt;='Detalle'!$K145,K$9&gt;='Detalle'!$J145),1,""))</x:f>
      </x:c>
      <x:c r="L293" s="32" t="str">
        <x:f>IF(OR('Detalle'!$J145="",'Detalle'!$K145="",'Detalle'!$L145=""),"",IF(AND(L$8&lt;='Detalle'!$K145,L$9&gt;='Detalle'!$J145),1,""))</x:f>
      </x:c>
      <x:c r="M293" s="32" t="str">
        <x:f>IF(OR('Detalle'!$J145="",'Detalle'!$K145="",'Detalle'!$L145=""),"",IF(AND(M$8&lt;='Detalle'!$K145,M$9&gt;='Detalle'!$J145),1,""))</x:f>
      </x:c>
      <x:c r="N293" s="32" t="str">
        <x:f>IF(OR('Detalle'!$J145="",'Detalle'!$K145="",'Detalle'!$L145=""),"",IF(AND(N$8&lt;='Detalle'!$K145,N$9&gt;='Detalle'!$J145),1,""))</x:f>
      </x:c>
      <x:c r="O293" s="32" t="str">
        <x:f>IF(OR('Detalle'!$J145="",'Detalle'!$K145="",'Detalle'!$L145=""),"",IF(AND(O$8&lt;='Detalle'!$K145,O$9&gt;='Detalle'!$J145),1,""))</x:f>
      </x:c>
      <x:c r="P293" s="32" t="str">
        <x:f>IF(OR('Detalle'!$J145="",'Detalle'!$K145="",'Detalle'!$L145=""),"",IF(AND(P$8&lt;='Detalle'!$K145,P$9&gt;='Detalle'!$J145),1,""))</x:f>
      </x:c>
      <x:c r="Q293" s="68"/>
      <x:c r="R293" s="67" t="str"/>
      <x:c r="S293" s="67" t="str"/>
    </x:row>
    <x:row r="294" ht="16" customHeight="1">
      <x:c r="A294" s="56" t="str">
        <x:v>ACC02.018</x:v>
      </x:c>
      <x:c r="B294" s="57" t="str">
        <x:v>Limpiar imágenes de edición abandonada</x:v>
      </x:c>
      <x:c r="C294" s="62" t="str">
        <x:v>E</x:v>
      </x:c>
      <x:c r="D294" s="64" t="n">
        <x:f>'Detalle'!I146</x:f>
        <x:v>1</x:v>
      </x:c>
      <x:c r="E294" s="60" t="str">
        <x:f>'Detalle'!F146</x:f>
        <x:v>Completado</x:v>
      </x:c>
      <x:c r="F294" s="32" t="str">
        <x:f>IF(AND(F$8&lt;='Detalle'!$H146,F$9&gt;='Detalle'!$G146),1,"")</x:f>
      </x:c>
      <x:c r="G294" s="32" t="n">
        <x:f>IF(AND(G$8&lt;='Detalle'!$H146,G$9&gt;='Detalle'!$G146),1,"")</x:f>
        <x:v>1</x:v>
      </x:c>
      <x:c r="H294" s="32" t="str">
        <x:f>IF(AND(H$8&lt;='Detalle'!$H146,H$9&gt;='Detalle'!$G146),1,"")</x:f>
      </x:c>
      <x:c r="I294" s="32" t="str">
        <x:f>IF(AND(I$8&lt;='Detalle'!$H146,I$9&gt;='Detalle'!$G146),1,"")</x:f>
      </x:c>
      <x:c r="J294" s="32" t="str">
        <x:f>IF(AND(J$8&lt;='Detalle'!$H146,J$9&gt;='Detalle'!$G146),1,"")</x:f>
      </x:c>
      <x:c r="K294" s="32" t="str">
        <x:f>IF(AND(K$8&lt;='Detalle'!$H146,K$9&gt;='Detalle'!$G146),1,"")</x:f>
      </x:c>
      <x:c r="L294" s="32" t="str">
        <x:f>IF(AND(L$8&lt;='Detalle'!$H146,L$9&gt;='Detalle'!$G146),1,"")</x:f>
      </x:c>
      <x:c r="M294" s="32" t="str">
        <x:f>IF(AND(M$8&lt;='Detalle'!$H146,M$9&gt;='Detalle'!$G146),1,"")</x:f>
      </x:c>
      <x:c r="N294" s="32" t="str">
        <x:f>IF(AND(N$8&lt;='Detalle'!$H146,N$9&gt;='Detalle'!$G146),1,"")</x:f>
      </x:c>
      <x:c r="O294" s="32" t="str">
        <x:f>IF(AND(O$8&lt;='Detalle'!$H146,O$9&gt;='Detalle'!$G146),1,"")</x:f>
      </x:c>
      <x:c r="P294" s="32" t="str">
        <x:f>IF(AND(P$8&lt;='Detalle'!$H146,P$9&gt;='Detalle'!$G146),1,"")</x:f>
      </x:c>
      <x:c r="Q294" s="68"/>
      <x:c r="R294" s="67" t="str">
        <x:f>IF('Detalle'!M146="","",'Detalle'!M146)</x:f>
      </x:c>
      <x:c r="S294" s="67" t="str">
        <x:f>IF('Detalle'!N146="","",'Detalle'!N146)</x:f>
      </x:c>
    </x:row>
    <x:row r="295" ht="16" customHeight="1">
      <x:c r="A295" s="56" t="str">
        <x:v>ACC02.018</x:v>
      </x:c>
      <x:c r="B295" s="57" t="str">
        <x:v>Limpiar imágenes de edición abandonada</x:v>
      </x:c>
      <x:c r="C295" s="63" t="str">
        <x:v>R</x:v>
      </x:c>
      <x:c r="D295" s="65" t="str">
        <x:f>IF('Detalle'!L146="","",'Detalle'!L146)</x:f>
      </x:c>
      <x:c r="E295" s="60" t="str"/>
      <x:c r="F295" s="32" t="str">
        <x:f>IF(OR('Detalle'!$J146="",'Detalle'!$K146="",'Detalle'!$L146=""),"",IF(AND(F$8&lt;='Detalle'!$K146,F$9&gt;='Detalle'!$J146),1,""))</x:f>
      </x:c>
      <x:c r="G295" s="32" t="str">
        <x:f>IF(OR('Detalle'!$J146="",'Detalle'!$K146="",'Detalle'!$L146=""),"",IF(AND(G$8&lt;='Detalle'!$K146,G$9&gt;='Detalle'!$J146),1,""))</x:f>
      </x:c>
      <x:c r="H295" s="32" t="str">
        <x:f>IF(OR('Detalle'!$J146="",'Detalle'!$K146="",'Detalle'!$L146=""),"",IF(AND(H$8&lt;='Detalle'!$K146,H$9&gt;='Detalle'!$J146),1,""))</x:f>
      </x:c>
      <x:c r="I295" s="32" t="str">
        <x:f>IF(OR('Detalle'!$J146="",'Detalle'!$K146="",'Detalle'!$L146=""),"",IF(AND(I$8&lt;='Detalle'!$K146,I$9&gt;='Detalle'!$J146),1,""))</x:f>
      </x:c>
      <x:c r="J295" s="32" t="str">
        <x:f>IF(OR('Detalle'!$J146="",'Detalle'!$K146="",'Detalle'!$L146=""),"",IF(AND(J$8&lt;='Detalle'!$K146,J$9&gt;='Detalle'!$J146),1,""))</x:f>
      </x:c>
      <x:c r="K295" s="32" t="str">
        <x:f>IF(OR('Detalle'!$J146="",'Detalle'!$K146="",'Detalle'!$L146=""),"",IF(AND(K$8&lt;='Detalle'!$K146,K$9&gt;='Detalle'!$J146),1,""))</x:f>
      </x:c>
      <x:c r="L295" s="32" t="str">
        <x:f>IF(OR('Detalle'!$J146="",'Detalle'!$K146="",'Detalle'!$L146=""),"",IF(AND(L$8&lt;='Detalle'!$K146,L$9&gt;='Detalle'!$J146),1,""))</x:f>
      </x:c>
      <x:c r="M295" s="32" t="str">
        <x:f>IF(OR('Detalle'!$J146="",'Detalle'!$K146="",'Detalle'!$L146=""),"",IF(AND(M$8&lt;='Detalle'!$K146,M$9&gt;='Detalle'!$J146),1,""))</x:f>
      </x:c>
      <x:c r="N295" s="32" t="str">
        <x:f>IF(OR('Detalle'!$J146="",'Detalle'!$K146="",'Detalle'!$L146=""),"",IF(AND(N$8&lt;='Detalle'!$K146,N$9&gt;='Detalle'!$J146),1,""))</x:f>
      </x:c>
      <x:c r="O295" s="32" t="str">
        <x:f>IF(OR('Detalle'!$J146="",'Detalle'!$K146="",'Detalle'!$L146=""),"",IF(AND(O$8&lt;='Detalle'!$K146,O$9&gt;='Detalle'!$J146),1,""))</x:f>
      </x:c>
      <x:c r="P295" s="32" t="str">
        <x:f>IF(OR('Detalle'!$J146="",'Detalle'!$K146="",'Detalle'!$L146=""),"",IF(AND(P$8&lt;='Detalle'!$K146,P$9&gt;='Detalle'!$J146),1,""))</x:f>
      </x:c>
      <x:c r="Q295" s="68"/>
      <x:c r="R295" s="67" t="str"/>
      <x:c r="S295" s="67" t="str"/>
    </x:row>
    <x:row r="296" ht="16" customHeight="1">
      <x:c r="A296" s="56" t="str">
        <x:v>ACC02.019</x:v>
      </x:c>
      <x:c r="B296" s="57" t="str">
        <x:v>Coordinar subidas con eliminación de cuenta</x:v>
      </x:c>
      <x:c r="C296" s="62" t="str">
        <x:v>E</x:v>
      </x:c>
      <x:c r="D296" s="64" t="n">
        <x:f>'Detalle'!I147</x:f>
        <x:v>1</x:v>
      </x:c>
      <x:c r="E296" s="60" t="str">
        <x:f>'Detalle'!F147</x:f>
        <x:v>Completado</x:v>
      </x:c>
      <x:c r="F296" s="32" t="str">
        <x:f>IF(AND(F$8&lt;='Detalle'!$H147,F$9&gt;='Detalle'!$G147),1,"")</x:f>
      </x:c>
      <x:c r="G296" s="32" t="n">
        <x:f>IF(AND(G$8&lt;='Detalle'!$H147,G$9&gt;='Detalle'!$G147),1,"")</x:f>
        <x:v>1</x:v>
      </x:c>
      <x:c r="H296" s="32" t="str">
        <x:f>IF(AND(H$8&lt;='Detalle'!$H147,H$9&gt;='Detalle'!$G147),1,"")</x:f>
      </x:c>
      <x:c r="I296" s="32" t="str">
        <x:f>IF(AND(I$8&lt;='Detalle'!$H147,I$9&gt;='Detalle'!$G147),1,"")</x:f>
      </x:c>
      <x:c r="J296" s="32" t="str">
        <x:f>IF(AND(J$8&lt;='Detalle'!$H147,J$9&gt;='Detalle'!$G147),1,"")</x:f>
      </x:c>
      <x:c r="K296" s="32" t="str">
        <x:f>IF(AND(K$8&lt;='Detalle'!$H147,K$9&gt;='Detalle'!$G147),1,"")</x:f>
      </x:c>
      <x:c r="L296" s="32" t="str">
        <x:f>IF(AND(L$8&lt;='Detalle'!$H147,L$9&gt;='Detalle'!$G147),1,"")</x:f>
      </x:c>
      <x:c r="M296" s="32" t="str">
        <x:f>IF(AND(M$8&lt;='Detalle'!$H147,M$9&gt;='Detalle'!$G147),1,"")</x:f>
      </x:c>
      <x:c r="N296" s="32" t="str">
        <x:f>IF(AND(N$8&lt;='Detalle'!$H147,N$9&gt;='Detalle'!$G147),1,"")</x:f>
      </x:c>
      <x:c r="O296" s="32" t="str">
        <x:f>IF(AND(O$8&lt;='Detalle'!$H147,O$9&gt;='Detalle'!$G147),1,"")</x:f>
      </x:c>
      <x:c r="P296" s="32" t="str">
        <x:f>IF(AND(P$8&lt;='Detalle'!$H147,P$9&gt;='Detalle'!$G147),1,"")</x:f>
      </x:c>
      <x:c r="Q296" s="68"/>
      <x:c r="R296" s="67" t="str">
        <x:f>IF('Detalle'!M147="","",'Detalle'!M147)</x:f>
      </x:c>
      <x:c r="S296" s="67" t="str">
        <x:f>IF('Detalle'!N147="","",'Detalle'!N147)</x:f>
      </x:c>
    </x:row>
    <x:row r="297" ht="16" customHeight="1">
      <x:c r="A297" s="56" t="str">
        <x:v>ACC02.019</x:v>
      </x:c>
      <x:c r="B297" s="57" t="str">
        <x:v>Coordinar subidas con eliminación de cuenta</x:v>
      </x:c>
      <x:c r="C297" s="63" t="str">
        <x:v>R</x:v>
      </x:c>
      <x:c r="D297" s="65" t="str">
        <x:f>IF('Detalle'!L147="","",'Detalle'!L147)</x:f>
      </x:c>
      <x:c r="E297" s="60" t="str"/>
      <x:c r="F297" s="32" t="str">
        <x:f>IF(OR('Detalle'!$J147="",'Detalle'!$K147="",'Detalle'!$L147=""),"",IF(AND(F$8&lt;='Detalle'!$K147,F$9&gt;='Detalle'!$J147),1,""))</x:f>
      </x:c>
      <x:c r="G297" s="32" t="str">
        <x:f>IF(OR('Detalle'!$J147="",'Detalle'!$K147="",'Detalle'!$L147=""),"",IF(AND(G$8&lt;='Detalle'!$K147,G$9&gt;='Detalle'!$J147),1,""))</x:f>
      </x:c>
      <x:c r="H297" s="32" t="str">
        <x:f>IF(OR('Detalle'!$J147="",'Detalle'!$K147="",'Detalle'!$L147=""),"",IF(AND(H$8&lt;='Detalle'!$K147,H$9&gt;='Detalle'!$J147),1,""))</x:f>
      </x:c>
      <x:c r="I297" s="32" t="str">
        <x:f>IF(OR('Detalle'!$J147="",'Detalle'!$K147="",'Detalle'!$L147=""),"",IF(AND(I$8&lt;='Detalle'!$K147,I$9&gt;='Detalle'!$J147),1,""))</x:f>
      </x:c>
      <x:c r="J297" s="32" t="str">
        <x:f>IF(OR('Detalle'!$J147="",'Detalle'!$K147="",'Detalle'!$L147=""),"",IF(AND(J$8&lt;='Detalle'!$K147,J$9&gt;='Detalle'!$J147),1,""))</x:f>
      </x:c>
      <x:c r="K297" s="32" t="str">
        <x:f>IF(OR('Detalle'!$J147="",'Detalle'!$K147="",'Detalle'!$L147=""),"",IF(AND(K$8&lt;='Detalle'!$K147,K$9&gt;='Detalle'!$J147),1,""))</x:f>
      </x:c>
      <x:c r="L297" s="32" t="str">
        <x:f>IF(OR('Detalle'!$J147="",'Detalle'!$K147="",'Detalle'!$L147=""),"",IF(AND(L$8&lt;='Detalle'!$K147,L$9&gt;='Detalle'!$J147),1,""))</x:f>
      </x:c>
      <x:c r="M297" s="32" t="str">
        <x:f>IF(OR('Detalle'!$J147="",'Detalle'!$K147="",'Detalle'!$L147=""),"",IF(AND(M$8&lt;='Detalle'!$K147,M$9&gt;='Detalle'!$J147),1,""))</x:f>
      </x:c>
      <x:c r="N297" s="32" t="str">
        <x:f>IF(OR('Detalle'!$J147="",'Detalle'!$K147="",'Detalle'!$L147=""),"",IF(AND(N$8&lt;='Detalle'!$K147,N$9&gt;='Detalle'!$J147),1,""))</x:f>
      </x:c>
      <x:c r="O297" s="32" t="str">
        <x:f>IF(OR('Detalle'!$J147="",'Detalle'!$K147="",'Detalle'!$L147=""),"",IF(AND(O$8&lt;='Detalle'!$K147,O$9&gt;='Detalle'!$J147),1,""))</x:f>
      </x:c>
      <x:c r="P297" s="32" t="str">
        <x:f>IF(OR('Detalle'!$J147="",'Detalle'!$K147="",'Detalle'!$L147=""),"",IF(AND(P$8&lt;='Detalle'!$K147,P$9&gt;='Detalle'!$J147),1,""))</x:f>
      </x:c>
      <x:c r="Q297" s="68"/>
      <x:c r="R297" s="67" t="str"/>
      <x:c r="S297" s="67" t="str"/>
    </x:row>
    <x:row r="298" ht="20" customHeight="1">
      <x:c r="A298" s="52" t="str">
        <x:v>COM01 · Comunidad y publicaciones iniciales</x:v>
      </x:c>
      <x:c r="B298" s="52" t="str">
        <x:v>COM01 · Comunidad y publicaciones iniciales</x:v>
      </x:c>
      <x:c r="C298" s="52" t="str">
        <x:v>COM01 · Comunidad y publicaciones iniciales</x:v>
      </x:c>
      <x:c r="D298" s="52" t="str">
        <x:v>COM01 · Comunidad y publicaciones iniciales</x:v>
      </x:c>
      <x:c r="E298" s="52" t="str">
        <x:v>COM01 · Comunidad y publicaciones iniciales</x:v>
      </x:c>
      <x:c r="F298" s="53" t="str">
        <x:v>COM01 · Comunidad y publicaciones iniciales</x:v>
      </x:c>
      <x:c r="G298" s="53" t="str">
        <x:v>COM01 · Comunidad y publicaciones iniciales</x:v>
      </x:c>
      <x:c r="H298" s="53" t="str">
        <x:v>COM01 · Comunidad y publicaciones iniciales</x:v>
      </x:c>
      <x:c r="I298" s="53" t="str">
        <x:v>COM01 · Comunidad y publicaciones iniciales</x:v>
      </x:c>
      <x:c r="J298" s="53" t="str">
        <x:v>COM01 · Comunidad y publicaciones iniciales</x:v>
      </x:c>
      <x:c r="K298" s="53" t="str">
        <x:v>COM01 · Comunidad y publicaciones iniciales</x:v>
      </x:c>
      <x:c r="L298" s="53" t="str">
        <x:v>COM01 · Comunidad y publicaciones iniciales</x:v>
      </x:c>
      <x:c r="M298" s="53" t="str">
        <x:v>COM01 · Comunidad y publicaciones iniciales</x:v>
      </x:c>
      <x:c r="N298" s="53" t="str">
        <x:v>COM01 · Comunidad y publicaciones iniciales</x:v>
      </x:c>
      <x:c r="O298" s="53" t="str">
        <x:v>COM01 · Comunidad y publicaciones iniciales</x:v>
      </x:c>
      <x:c r="P298" s="53" t="str">
        <x:v>COM01 · Comunidad y publicaciones iniciales</x:v>
      </x:c>
      <x:c r="Q298" s="52" t="str">
        <x:v>COM01 · Comunidad y publicaciones iniciales</x:v>
      </x:c>
      <x:c r="R298" s="52" t="str">
        <x:v>COM01 · Comunidad y publicaciones iniciales</x:v>
      </x:c>
      <x:c r="S298" s="52" t="str">
        <x:v>COM01 · Comunidad y publicaciones iniciales</x:v>
      </x:c>
    </x:row>
    <x:row r="299" ht="16" customHeight="1">
      <x:c r="A299" s="56" t="str">
        <x:v>COM01.001</x:v>
      </x:c>
      <x:c r="B299" s="57" t="str">
        <x:v>Crear tablas de publicaciones</x:v>
      </x:c>
      <x:c r="C299" s="62" t="str">
        <x:v>E</x:v>
      </x:c>
      <x:c r="D299" s="64" t="n">
        <x:f>'Detalle'!I148</x:f>
        <x:v>1</x:v>
      </x:c>
      <x:c r="E299" s="60" t="str">
        <x:f>'Detalle'!F148</x:f>
        <x:v>Completado</x:v>
      </x:c>
      <x:c r="F299" s="32" t="str">
        <x:f>IF(AND(F$8&lt;='Detalle'!$H148,F$9&gt;='Detalle'!$G148),1,"")</x:f>
      </x:c>
      <x:c r="G299" s="32" t="str">
        <x:f>IF(AND(G$8&lt;='Detalle'!$H148,G$9&gt;='Detalle'!$G148),1,"")</x:f>
      </x:c>
      <x:c r="H299" s="32" t="n">
        <x:f>IF(AND(H$8&lt;='Detalle'!$H148,H$9&gt;='Detalle'!$G148),1,"")</x:f>
        <x:v>1</x:v>
      </x:c>
      <x:c r="I299" s="32" t="str">
        <x:f>IF(AND(I$8&lt;='Detalle'!$H148,I$9&gt;='Detalle'!$G148),1,"")</x:f>
      </x:c>
      <x:c r="J299" s="32" t="str">
        <x:f>IF(AND(J$8&lt;='Detalle'!$H148,J$9&gt;='Detalle'!$G148),1,"")</x:f>
      </x:c>
      <x:c r="K299" s="32" t="str">
        <x:f>IF(AND(K$8&lt;='Detalle'!$H148,K$9&gt;='Detalle'!$G148),1,"")</x:f>
      </x:c>
      <x:c r="L299" s="32" t="str">
        <x:f>IF(AND(L$8&lt;='Detalle'!$H148,L$9&gt;='Detalle'!$G148),1,"")</x:f>
      </x:c>
      <x:c r="M299" s="32" t="str">
        <x:f>IF(AND(M$8&lt;='Detalle'!$H148,M$9&gt;='Detalle'!$G148),1,"")</x:f>
      </x:c>
      <x:c r="N299" s="32" t="str">
        <x:f>IF(AND(N$8&lt;='Detalle'!$H148,N$9&gt;='Detalle'!$G148),1,"")</x:f>
      </x:c>
      <x:c r="O299" s="32" t="str">
        <x:f>IF(AND(O$8&lt;='Detalle'!$H148,O$9&gt;='Detalle'!$G148),1,"")</x:f>
      </x:c>
      <x:c r="P299" s="32" t="str">
        <x:f>IF(AND(P$8&lt;='Detalle'!$H148,P$9&gt;='Detalle'!$G148),1,"")</x:f>
      </x:c>
      <x:c r="Q299" s="68"/>
      <x:c r="R299" s="67" t="str">
        <x:f>IF('Detalle'!M148="","",'Detalle'!M148)</x:f>
      </x:c>
      <x:c r="S299" s="67" t="str">
        <x:f>IF('Detalle'!N148="","",'Detalle'!N148)</x:f>
      </x:c>
    </x:row>
    <x:row r="300" ht="16" customHeight="1">
      <x:c r="A300" s="56" t="str">
        <x:v>COM01.001</x:v>
      </x:c>
      <x:c r="B300" s="57" t="str">
        <x:v>Crear tablas de publicaciones</x:v>
      </x:c>
      <x:c r="C300" s="63" t="str">
        <x:v>R</x:v>
      </x:c>
      <x:c r="D300" s="65" t="str">
        <x:f>IF('Detalle'!L148="","",'Detalle'!L148)</x:f>
      </x:c>
      <x:c r="E300" s="60" t="str"/>
      <x:c r="F300" s="32" t="str">
        <x:f>IF(OR('Detalle'!$J148="",'Detalle'!$K148="",'Detalle'!$L148=""),"",IF(AND(F$8&lt;='Detalle'!$K148,F$9&gt;='Detalle'!$J148),1,""))</x:f>
      </x:c>
      <x:c r="G300" s="32" t="str">
        <x:f>IF(OR('Detalle'!$J148="",'Detalle'!$K148="",'Detalle'!$L148=""),"",IF(AND(G$8&lt;='Detalle'!$K148,G$9&gt;='Detalle'!$J148),1,""))</x:f>
      </x:c>
      <x:c r="H300" s="32" t="str">
        <x:f>IF(OR('Detalle'!$J148="",'Detalle'!$K148="",'Detalle'!$L148=""),"",IF(AND(H$8&lt;='Detalle'!$K148,H$9&gt;='Detalle'!$J148),1,""))</x:f>
      </x:c>
      <x:c r="I300" s="32" t="str">
        <x:f>IF(OR('Detalle'!$J148="",'Detalle'!$K148="",'Detalle'!$L148=""),"",IF(AND(I$8&lt;='Detalle'!$K148,I$9&gt;='Detalle'!$J148),1,""))</x:f>
      </x:c>
      <x:c r="J300" s="32" t="str">
        <x:f>IF(OR('Detalle'!$J148="",'Detalle'!$K148="",'Detalle'!$L148=""),"",IF(AND(J$8&lt;='Detalle'!$K148,J$9&gt;='Detalle'!$J148),1,""))</x:f>
      </x:c>
      <x:c r="K300" s="32" t="str">
        <x:f>IF(OR('Detalle'!$J148="",'Detalle'!$K148="",'Detalle'!$L148=""),"",IF(AND(K$8&lt;='Detalle'!$K148,K$9&gt;='Detalle'!$J148),1,""))</x:f>
      </x:c>
      <x:c r="L300" s="32" t="str">
        <x:f>IF(OR('Detalle'!$J148="",'Detalle'!$K148="",'Detalle'!$L148=""),"",IF(AND(L$8&lt;='Detalle'!$K148,L$9&gt;='Detalle'!$J148),1,""))</x:f>
      </x:c>
      <x:c r="M300" s="32" t="str">
        <x:f>IF(OR('Detalle'!$J148="",'Detalle'!$K148="",'Detalle'!$L148=""),"",IF(AND(M$8&lt;='Detalle'!$K148,M$9&gt;='Detalle'!$J148),1,""))</x:f>
      </x:c>
      <x:c r="N300" s="32" t="str">
        <x:f>IF(OR('Detalle'!$J148="",'Detalle'!$K148="",'Detalle'!$L148=""),"",IF(AND(N$8&lt;='Detalle'!$K148,N$9&gt;='Detalle'!$J148),1,""))</x:f>
      </x:c>
      <x:c r="O300" s="32" t="str">
        <x:f>IF(OR('Detalle'!$J148="",'Detalle'!$K148="",'Detalle'!$L148=""),"",IF(AND(O$8&lt;='Detalle'!$K148,O$9&gt;='Detalle'!$J148),1,""))</x:f>
      </x:c>
      <x:c r="P300" s="32" t="str">
        <x:f>IF(OR('Detalle'!$J148="",'Detalle'!$K148="",'Detalle'!$L148=""),"",IF(AND(P$8&lt;='Detalle'!$K148,P$9&gt;='Detalle'!$J148),1,""))</x:f>
      </x:c>
      <x:c r="Q300" s="68"/>
      <x:c r="R300" s="67" t="str"/>
      <x:c r="S300" s="67" t="str"/>
    </x:row>
    <x:row r="301" ht="16" customHeight="1">
      <x:c r="A301" s="56" t="str">
        <x:v>COM01.002</x:v>
      </x:c>
      <x:c r="B301" s="57" t="str">
        <x:v>Crear catálogo de categorías</x:v>
      </x:c>
      <x:c r="C301" s="62" t="str">
        <x:v>E</x:v>
      </x:c>
      <x:c r="D301" s="64" t="n">
        <x:f>'Detalle'!I149</x:f>
        <x:v>1</x:v>
      </x:c>
      <x:c r="E301" s="60" t="str">
        <x:f>'Detalle'!F149</x:f>
        <x:v>Completado</x:v>
      </x:c>
      <x:c r="F301" s="32" t="str">
        <x:f>IF(AND(F$8&lt;='Detalle'!$H149,F$9&gt;='Detalle'!$G149),1,"")</x:f>
      </x:c>
      <x:c r="G301" s="32" t="str">
        <x:f>IF(AND(G$8&lt;='Detalle'!$H149,G$9&gt;='Detalle'!$G149),1,"")</x:f>
      </x:c>
      <x:c r="H301" s="32" t="n">
        <x:f>IF(AND(H$8&lt;='Detalle'!$H149,H$9&gt;='Detalle'!$G149),1,"")</x:f>
        <x:v>1</x:v>
      </x:c>
      <x:c r="I301" s="32" t="str">
        <x:f>IF(AND(I$8&lt;='Detalle'!$H149,I$9&gt;='Detalle'!$G149),1,"")</x:f>
      </x:c>
      <x:c r="J301" s="32" t="str">
        <x:f>IF(AND(J$8&lt;='Detalle'!$H149,J$9&gt;='Detalle'!$G149),1,"")</x:f>
      </x:c>
      <x:c r="K301" s="32" t="str">
        <x:f>IF(AND(K$8&lt;='Detalle'!$H149,K$9&gt;='Detalle'!$G149),1,"")</x:f>
      </x:c>
      <x:c r="L301" s="32" t="str">
        <x:f>IF(AND(L$8&lt;='Detalle'!$H149,L$9&gt;='Detalle'!$G149),1,"")</x:f>
      </x:c>
      <x:c r="M301" s="32" t="str">
        <x:f>IF(AND(M$8&lt;='Detalle'!$H149,M$9&gt;='Detalle'!$G149),1,"")</x:f>
      </x:c>
      <x:c r="N301" s="32" t="str">
        <x:f>IF(AND(N$8&lt;='Detalle'!$H149,N$9&gt;='Detalle'!$G149),1,"")</x:f>
      </x:c>
      <x:c r="O301" s="32" t="str">
        <x:f>IF(AND(O$8&lt;='Detalle'!$H149,O$9&gt;='Detalle'!$G149),1,"")</x:f>
      </x:c>
      <x:c r="P301" s="32" t="str">
        <x:f>IF(AND(P$8&lt;='Detalle'!$H149,P$9&gt;='Detalle'!$G149),1,"")</x:f>
      </x:c>
      <x:c r="Q301" s="68"/>
      <x:c r="R301" s="67" t="str">
        <x:f>IF('Detalle'!M149="","",'Detalle'!M149)</x:f>
      </x:c>
      <x:c r="S301" s="67" t="str">
        <x:f>IF('Detalle'!N149="","",'Detalle'!N149)</x:f>
      </x:c>
    </x:row>
    <x:row r="302" ht="16" customHeight="1">
      <x:c r="A302" s="56" t="str">
        <x:v>COM01.002</x:v>
      </x:c>
      <x:c r="B302" s="57" t="str">
        <x:v>Crear catálogo de categorías</x:v>
      </x:c>
      <x:c r="C302" s="63" t="str">
        <x:v>R</x:v>
      </x:c>
      <x:c r="D302" s="65" t="str">
        <x:f>IF('Detalle'!L149="","",'Detalle'!L149)</x:f>
      </x:c>
      <x:c r="E302" s="60" t="str"/>
      <x:c r="F302" s="32" t="str">
        <x:f>IF(OR('Detalle'!$J149="",'Detalle'!$K149="",'Detalle'!$L149=""),"",IF(AND(F$8&lt;='Detalle'!$K149,F$9&gt;='Detalle'!$J149),1,""))</x:f>
      </x:c>
      <x:c r="G302" s="32" t="str">
        <x:f>IF(OR('Detalle'!$J149="",'Detalle'!$K149="",'Detalle'!$L149=""),"",IF(AND(G$8&lt;='Detalle'!$K149,G$9&gt;='Detalle'!$J149),1,""))</x:f>
      </x:c>
      <x:c r="H302" s="32" t="str">
        <x:f>IF(OR('Detalle'!$J149="",'Detalle'!$K149="",'Detalle'!$L149=""),"",IF(AND(H$8&lt;='Detalle'!$K149,H$9&gt;='Detalle'!$J149),1,""))</x:f>
      </x:c>
      <x:c r="I302" s="32" t="str">
        <x:f>IF(OR('Detalle'!$J149="",'Detalle'!$K149="",'Detalle'!$L149=""),"",IF(AND(I$8&lt;='Detalle'!$K149,I$9&gt;='Detalle'!$J149),1,""))</x:f>
      </x:c>
      <x:c r="J302" s="32" t="str">
        <x:f>IF(OR('Detalle'!$J149="",'Detalle'!$K149="",'Detalle'!$L149=""),"",IF(AND(J$8&lt;='Detalle'!$K149,J$9&gt;='Detalle'!$J149),1,""))</x:f>
      </x:c>
      <x:c r="K302" s="32" t="str">
        <x:f>IF(OR('Detalle'!$J149="",'Detalle'!$K149="",'Detalle'!$L149=""),"",IF(AND(K$8&lt;='Detalle'!$K149,K$9&gt;='Detalle'!$J149),1,""))</x:f>
      </x:c>
      <x:c r="L302" s="32" t="str">
        <x:f>IF(OR('Detalle'!$J149="",'Detalle'!$K149="",'Detalle'!$L149=""),"",IF(AND(L$8&lt;='Detalle'!$K149,L$9&gt;='Detalle'!$J149),1,""))</x:f>
      </x:c>
      <x:c r="M302" s="32" t="str">
        <x:f>IF(OR('Detalle'!$J149="",'Detalle'!$K149="",'Detalle'!$L149=""),"",IF(AND(M$8&lt;='Detalle'!$K149,M$9&gt;='Detalle'!$J149),1,""))</x:f>
      </x:c>
      <x:c r="N302" s="32" t="str">
        <x:f>IF(OR('Detalle'!$J149="",'Detalle'!$K149="",'Detalle'!$L149=""),"",IF(AND(N$8&lt;='Detalle'!$K149,N$9&gt;='Detalle'!$J149),1,""))</x:f>
      </x:c>
      <x:c r="O302" s="32" t="str">
        <x:f>IF(OR('Detalle'!$J149="",'Detalle'!$K149="",'Detalle'!$L149=""),"",IF(AND(O$8&lt;='Detalle'!$K149,O$9&gt;='Detalle'!$J149),1,""))</x:f>
      </x:c>
      <x:c r="P302" s="32" t="str">
        <x:f>IF(OR('Detalle'!$J149="",'Detalle'!$K149="",'Detalle'!$L149=""),"",IF(AND(P$8&lt;='Detalle'!$K149,P$9&gt;='Detalle'!$J149),1,""))</x:f>
      </x:c>
      <x:c r="Q302" s="68"/>
      <x:c r="R302" s="67" t="str"/>
      <x:c r="S302" s="67" t="str"/>
    </x:row>
    <x:row r="303" ht="16" customHeight="1">
      <x:c r="A303" s="56" t="str">
        <x:v>COM01.003</x:v>
      </x:c>
      <x:c r="B303" s="57" t="str">
        <x:v>Definir tipos de publicaciones por perfil</x:v>
      </x:c>
      <x:c r="C303" s="62" t="str">
        <x:v>E</x:v>
      </x:c>
      <x:c r="D303" s="64" t="n">
        <x:f>'Detalle'!I150</x:f>
        <x:v>1</x:v>
      </x:c>
      <x:c r="E303" s="60" t="str">
        <x:f>'Detalle'!F150</x:f>
        <x:v>Completado</x:v>
      </x:c>
      <x:c r="F303" s="32" t="str">
        <x:f>IF(AND(F$8&lt;='Detalle'!$H150,F$9&gt;='Detalle'!$G150),1,"")</x:f>
      </x:c>
      <x:c r="G303" s="32" t="str">
        <x:f>IF(AND(G$8&lt;='Detalle'!$H150,G$9&gt;='Detalle'!$G150),1,"")</x:f>
      </x:c>
      <x:c r="H303" s="32" t="n">
        <x:f>IF(AND(H$8&lt;='Detalle'!$H150,H$9&gt;='Detalle'!$G150),1,"")</x:f>
        <x:v>1</x:v>
      </x:c>
      <x:c r="I303" s="32" t="str">
        <x:f>IF(AND(I$8&lt;='Detalle'!$H150,I$9&gt;='Detalle'!$G150),1,"")</x:f>
      </x:c>
      <x:c r="J303" s="32" t="str">
        <x:f>IF(AND(J$8&lt;='Detalle'!$H150,J$9&gt;='Detalle'!$G150),1,"")</x:f>
      </x:c>
      <x:c r="K303" s="32" t="str">
        <x:f>IF(AND(K$8&lt;='Detalle'!$H150,K$9&gt;='Detalle'!$G150),1,"")</x:f>
      </x:c>
      <x:c r="L303" s="32" t="str">
        <x:f>IF(AND(L$8&lt;='Detalle'!$H150,L$9&gt;='Detalle'!$G150),1,"")</x:f>
      </x:c>
      <x:c r="M303" s="32" t="str">
        <x:f>IF(AND(M$8&lt;='Detalle'!$H150,M$9&gt;='Detalle'!$G150),1,"")</x:f>
      </x:c>
      <x:c r="N303" s="32" t="str">
        <x:f>IF(AND(N$8&lt;='Detalle'!$H150,N$9&gt;='Detalle'!$G150),1,"")</x:f>
      </x:c>
      <x:c r="O303" s="32" t="str">
        <x:f>IF(AND(O$8&lt;='Detalle'!$H150,O$9&gt;='Detalle'!$G150),1,"")</x:f>
      </x:c>
      <x:c r="P303" s="32" t="str">
        <x:f>IF(AND(P$8&lt;='Detalle'!$H150,P$9&gt;='Detalle'!$G150),1,"")</x:f>
      </x:c>
      <x:c r="Q303" s="68"/>
      <x:c r="R303" s="67" t="str">
        <x:f>IF('Detalle'!M150="","",'Detalle'!M150)</x:f>
      </x:c>
      <x:c r="S303" s="67" t="str">
        <x:f>IF('Detalle'!N150="","",'Detalle'!N150)</x:f>
      </x:c>
    </x:row>
    <x:row r="304" ht="16" customHeight="1">
      <x:c r="A304" s="56" t="str">
        <x:v>COM01.003</x:v>
      </x:c>
      <x:c r="B304" s="57" t="str">
        <x:v>Definir tipos de publicaciones por perfil</x:v>
      </x:c>
      <x:c r="C304" s="63" t="str">
        <x:v>R</x:v>
      </x:c>
      <x:c r="D304" s="65" t="str">
        <x:f>IF('Detalle'!L150="","",'Detalle'!L150)</x:f>
      </x:c>
      <x:c r="E304" s="60" t="str"/>
      <x:c r="F304" s="32" t="str">
        <x:f>IF(OR('Detalle'!$J150="",'Detalle'!$K150="",'Detalle'!$L150=""),"",IF(AND(F$8&lt;='Detalle'!$K150,F$9&gt;='Detalle'!$J150),1,""))</x:f>
      </x:c>
      <x:c r="G304" s="32" t="str">
        <x:f>IF(OR('Detalle'!$J150="",'Detalle'!$K150="",'Detalle'!$L150=""),"",IF(AND(G$8&lt;='Detalle'!$K150,G$9&gt;='Detalle'!$J150),1,""))</x:f>
      </x:c>
      <x:c r="H304" s="32" t="str">
        <x:f>IF(OR('Detalle'!$J150="",'Detalle'!$K150="",'Detalle'!$L150=""),"",IF(AND(H$8&lt;='Detalle'!$K150,H$9&gt;='Detalle'!$J150),1,""))</x:f>
      </x:c>
      <x:c r="I304" s="32" t="str">
        <x:f>IF(OR('Detalle'!$J150="",'Detalle'!$K150="",'Detalle'!$L150=""),"",IF(AND(I$8&lt;='Detalle'!$K150,I$9&gt;='Detalle'!$J150),1,""))</x:f>
      </x:c>
      <x:c r="J304" s="32" t="str">
        <x:f>IF(OR('Detalle'!$J150="",'Detalle'!$K150="",'Detalle'!$L150=""),"",IF(AND(J$8&lt;='Detalle'!$K150,J$9&gt;='Detalle'!$J150),1,""))</x:f>
      </x:c>
      <x:c r="K304" s="32" t="str">
        <x:f>IF(OR('Detalle'!$J150="",'Detalle'!$K150="",'Detalle'!$L150=""),"",IF(AND(K$8&lt;='Detalle'!$K150,K$9&gt;='Detalle'!$J150),1,""))</x:f>
      </x:c>
      <x:c r="L304" s="32" t="str">
        <x:f>IF(OR('Detalle'!$J150="",'Detalle'!$K150="",'Detalle'!$L150=""),"",IF(AND(L$8&lt;='Detalle'!$K150,L$9&gt;='Detalle'!$J150),1,""))</x:f>
      </x:c>
      <x:c r="M304" s="32" t="str">
        <x:f>IF(OR('Detalle'!$J150="",'Detalle'!$K150="",'Detalle'!$L150=""),"",IF(AND(M$8&lt;='Detalle'!$K150,M$9&gt;='Detalle'!$J150),1,""))</x:f>
      </x:c>
      <x:c r="N304" s="32" t="str">
        <x:f>IF(OR('Detalle'!$J150="",'Detalle'!$K150="",'Detalle'!$L150=""),"",IF(AND(N$8&lt;='Detalle'!$K150,N$9&gt;='Detalle'!$J150),1,""))</x:f>
      </x:c>
      <x:c r="O304" s="32" t="str">
        <x:f>IF(OR('Detalle'!$J150="",'Detalle'!$K150="",'Detalle'!$L150=""),"",IF(AND(O$8&lt;='Detalle'!$K150,O$9&gt;='Detalle'!$J150),1,""))</x:f>
      </x:c>
      <x:c r="P304" s="32" t="str">
        <x:f>IF(OR('Detalle'!$J150="",'Detalle'!$K150="",'Detalle'!$L150=""),"",IF(AND(P$8&lt;='Detalle'!$K150,P$9&gt;='Detalle'!$J150),1,""))</x:f>
      </x:c>
      <x:c r="Q304" s="68"/>
      <x:c r="R304" s="67" t="str"/>
      <x:c r="S304" s="67" t="str"/>
    </x:row>
    <x:row r="305" ht="16" customHeight="1">
      <x:c r="A305" s="56" t="str">
        <x:v>COM01.004</x:v>
      </x:c>
      <x:c r="B305" s="57" t="str">
        <x:v>Crear modelo de publicación</x:v>
      </x:c>
      <x:c r="C305" s="62" t="str">
        <x:v>E</x:v>
      </x:c>
      <x:c r="D305" s="64" t="n">
        <x:f>'Detalle'!I151</x:f>
        <x:v>1</x:v>
      </x:c>
      <x:c r="E305" s="60" t="str">
        <x:f>'Detalle'!F151</x:f>
        <x:v>Completado</x:v>
      </x:c>
      <x:c r="F305" s="32" t="str">
        <x:f>IF(AND(F$8&lt;='Detalle'!$H151,F$9&gt;='Detalle'!$G151),1,"")</x:f>
      </x:c>
      <x:c r="G305" s="32" t="str">
        <x:f>IF(AND(G$8&lt;='Detalle'!$H151,G$9&gt;='Detalle'!$G151),1,"")</x:f>
      </x:c>
      <x:c r="H305" s="32" t="n">
        <x:f>IF(AND(H$8&lt;='Detalle'!$H151,H$9&gt;='Detalle'!$G151),1,"")</x:f>
        <x:v>1</x:v>
      </x:c>
      <x:c r="I305" s="32" t="str">
        <x:f>IF(AND(I$8&lt;='Detalle'!$H151,I$9&gt;='Detalle'!$G151),1,"")</x:f>
      </x:c>
      <x:c r="J305" s="32" t="str">
        <x:f>IF(AND(J$8&lt;='Detalle'!$H151,J$9&gt;='Detalle'!$G151),1,"")</x:f>
      </x:c>
      <x:c r="K305" s="32" t="str">
        <x:f>IF(AND(K$8&lt;='Detalle'!$H151,K$9&gt;='Detalle'!$G151),1,"")</x:f>
      </x:c>
      <x:c r="L305" s="32" t="str">
        <x:f>IF(AND(L$8&lt;='Detalle'!$H151,L$9&gt;='Detalle'!$G151),1,"")</x:f>
      </x:c>
      <x:c r="M305" s="32" t="str">
        <x:f>IF(AND(M$8&lt;='Detalle'!$H151,M$9&gt;='Detalle'!$G151),1,"")</x:f>
      </x:c>
      <x:c r="N305" s="32" t="str">
        <x:f>IF(AND(N$8&lt;='Detalle'!$H151,N$9&gt;='Detalle'!$G151),1,"")</x:f>
      </x:c>
      <x:c r="O305" s="32" t="str">
        <x:f>IF(AND(O$8&lt;='Detalle'!$H151,O$9&gt;='Detalle'!$G151),1,"")</x:f>
      </x:c>
      <x:c r="P305" s="32" t="str">
        <x:f>IF(AND(P$8&lt;='Detalle'!$H151,P$9&gt;='Detalle'!$G151),1,"")</x:f>
      </x:c>
      <x:c r="Q305" s="68"/>
      <x:c r="R305" s="67" t="str">
        <x:f>IF('Detalle'!M151="","",'Detalle'!M151)</x:f>
      </x:c>
      <x:c r="S305" s="67" t="str">
        <x:f>IF('Detalle'!N151="","",'Detalle'!N151)</x:f>
      </x:c>
    </x:row>
    <x:row r="306" ht="16" customHeight="1">
      <x:c r="A306" s="56" t="str">
        <x:v>COM01.004</x:v>
      </x:c>
      <x:c r="B306" s="57" t="str">
        <x:v>Crear modelo de publicación</x:v>
      </x:c>
      <x:c r="C306" s="63" t="str">
        <x:v>R</x:v>
      </x:c>
      <x:c r="D306" s="65" t="str">
        <x:f>IF('Detalle'!L151="","",'Detalle'!L151)</x:f>
      </x:c>
      <x:c r="E306" s="60" t="str"/>
      <x:c r="F306" s="32" t="str">
        <x:f>IF(OR('Detalle'!$J151="",'Detalle'!$K151="",'Detalle'!$L151=""),"",IF(AND(F$8&lt;='Detalle'!$K151,F$9&gt;='Detalle'!$J151),1,""))</x:f>
      </x:c>
      <x:c r="G306" s="32" t="str">
        <x:f>IF(OR('Detalle'!$J151="",'Detalle'!$K151="",'Detalle'!$L151=""),"",IF(AND(G$8&lt;='Detalle'!$K151,G$9&gt;='Detalle'!$J151),1,""))</x:f>
      </x:c>
      <x:c r="H306" s="32" t="str">
        <x:f>IF(OR('Detalle'!$J151="",'Detalle'!$K151="",'Detalle'!$L151=""),"",IF(AND(H$8&lt;='Detalle'!$K151,H$9&gt;='Detalle'!$J151),1,""))</x:f>
      </x:c>
      <x:c r="I306" s="32" t="str">
        <x:f>IF(OR('Detalle'!$J151="",'Detalle'!$K151="",'Detalle'!$L151=""),"",IF(AND(I$8&lt;='Detalle'!$K151,I$9&gt;='Detalle'!$J151),1,""))</x:f>
      </x:c>
      <x:c r="J306" s="32" t="str">
        <x:f>IF(OR('Detalle'!$J151="",'Detalle'!$K151="",'Detalle'!$L151=""),"",IF(AND(J$8&lt;='Detalle'!$K151,J$9&gt;='Detalle'!$J151),1,""))</x:f>
      </x:c>
      <x:c r="K306" s="32" t="str">
        <x:f>IF(OR('Detalle'!$J151="",'Detalle'!$K151="",'Detalle'!$L151=""),"",IF(AND(K$8&lt;='Detalle'!$K151,K$9&gt;='Detalle'!$J151),1,""))</x:f>
      </x:c>
      <x:c r="L306" s="32" t="str">
        <x:f>IF(OR('Detalle'!$J151="",'Detalle'!$K151="",'Detalle'!$L151=""),"",IF(AND(L$8&lt;='Detalle'!$K151,L$9&gt;='Detalle'!$J151),1,""))</x:f>
      </x:c>
      <x:c r="M306" s="32" t="str">
        <x:f>IF(OR('Detalle'!$J151="",'Detalle'!$K151="",'Detalle'!$L151=""),"",IF(AND(M$8&lt;='Detalle'!$K151,M$9&gt;='Detalle'!$J151),1,""))</x:f>
      </x:c>
      <x:c r="N306" s="32" t="str">
        <x:f>IF(OR('Detalle'!$J151="",'Detalle'!$K151="",'Detalle'!$L151=""),"",IF(AND(N$8&lt;='Detalle'!$K151,N$9&gt;='Detalle'!$J151),1,""))</x:f>
      </x:c>
      <x:c r="O306" s="32" t="str">
        <x:f>IF(OR('Detalle'!$J151="",'Detalle'!$K151="",'Detalle'!$L151=""),"",IF(AND(O$8&lt;='Detalle'!$K151,O$9&gt;='Detalle'!$J151),1,""))</x:f>
      </x:c>
      <x:c r="P306" s="32" t="str">
        <x:f>IF(OR('Detalle'!$J151="",'Detalle'!$K151="",'Detalle'!$L151=""),"",IF(AND(P$8&lt;='Detalle'!$K151,P$9&gt;='Detalle'!$J151),1,""))</x:f>
      </x:c>
      <x:c r="Q306" s="68"/>
      <x:c r="R306" s="67" t="str"/>
      <x:c r="S306" s="67" t="str"/>
    </x:row>
    <x:row r="307" ht="16" customHeight="1">
      <x:c r="A307" s="56" t="str">
        <x:v>COM01.005</x:v>
      </x:c>
      <x:c r="B307" s="57" t="str">
        <x:v>Crear repositorio de comunidad</x:v>
      </x:c>
      <x:c r="C307" s="62" t="str">
        <x:v>E</x:v>
      </x:c>
      <x:c r="D307" s="64" t="n">
        <x:f>'Detalle'!I152</x:f>
        <x:v>1</x:v>
      </x:c>
      <x:c r="E307" s="60" t="str">
        <x:f>'Detalle'!F152</x:f>
        <x:v>Completado</x:v>
      </x:c>
      <x:c r="F307" s="32" t="str">
        <x:f>IF(AND(F$8&lt;='Detalle'!$H152,F$9&gt;='Detalle'!$G152),1,"")</x:f>
      </x:c>
      <x:c r="G307" s="32" t="str">
        <x:f>IF(AND(G$8&lt;='Detalle'!$H152,G$9&gt;='Detalle'!$G152),1,"")</x:f>
      </x:c>
      <x:c r="H307" s="32" t="n">
        <x:f>IF(AND(H$8&lt;='Detalle'!$H152,H$9&gt;='Detalle'!$G152),1,"")</x:f>
        <x:v>1</x:v>
      </x:c>
      <x:c r="I307" s="32" t="str">
        <x:f>IF(AND(I$8&lt;='Detalle'!$H152,I$9&gt;='Detalle'!$G152),1,"")</x:f>
      </x:c>
      <x:c r="J307" s="32" t="str">
        <x:f>IF(AND(J$8&lt;='Detalle'!$H152,J$9&gt;='Detalle'!$G152),1,"")</x:f>
      </x:c>
      <x:c r="K307" s="32" t="str">
        <x:f>IF(AND(K$8&lt;='Detalle'!$H152,K$9&gt;='Detalle'!$G152),1,"")</x:f>
      </x:c>
      <x:c r="L307" s="32" t="str">
        <x:f>IF(AND(L$8&lt;='Detalle'!$H152,L$9&gt;='Detalle'!$G152),1,"")</x:f>
      </x:c>
      <x:c r="M307" s="32" t="str">
        <x:f>IF(AND(M$8&lt;='Detalle'!$H152,M$9&gt;='Detalle'!$G152),1,"")</x:f>
      </x:c>
      <x:c r="N307" s="32" t="str">
        <x:f>IF(AND(N$8&lt;='Detalle'!$H152,N$9&gt;='Detalle'!$G152),1,"")</x:f>
      </x:c>
      <x:c r="O307" s="32" t="str">
        <x:f>IF(AND(O$8&lt;='Detalle'!$H152,O$9&gt;='Detalle'!$G152),1,"")</x:f>
      </x:c>
      <x:c r="P307" s="32" t="str">
        <x:f>IF(AND(P$8&lt;='Detalle'!$H152,P$9&gt;='Detalle'!$G152),1,"")</x:f>
      </x:c>
      <x:c r="Q307" s="68"/>
      <x:c r="R307" s="67" t="str">
        <x:f>IF('Detalle'!M152="","",'Detalle'!M152)</x:f>
      </x:c>
      <x:c r="S307" s="67" t="str">
        <x:f>IF('Detalle'!N152="","",'Detalle'!N152)</x:f>
      </x:c>
    </x:row>
    <x:row r="308" ht="16" customHeight="1">
      <x:c r="A308" s="56" t="str">
        <x:v>COM01.005</x:v>
      </x:c>
      <x:c r="B308" s="57" t="str">
        <x:v>Crear repositorio de comunidad</x:v>
      </x:c>
      <x:c r="C308" s="63" t="str">
        <x:v>R</x:v>
      </x:c>
      <x:c r="D308" s="65" t="str">
        <x:f>IF('Detalle'!L152="","",'Detalle'!L152)</x:f>
      </x:c>
      <x:c r="E308" s="60" t="str"/>
      <x:c r="F308" s="32" t="str">
        <x:f>IF(OR('Detalle'!$J152="",'Detalle'!$K152="",'Detalle'!$L152=""),"",IF(AND(F$8&lt;='Detalle'!$K152,F$9&gt;='Detalle'!$J152),1,""))</x:f>
      </x:c>
      <x:c r="G308" s="32" t="str">
        <x:f>IF(OR('Detalle'!$J152="",'Detalle'!$K152="",'Detalle'!$L152=""),"",IF(AND(G$8&lt;='Detalle'!$K152,G$9&gt;='Detalle'!$J152),1,""))</x:f>
      </x:c>
      <x:c r="H308" s="32" t="str">
        <x:f>IF(OR('Detalle'!$J152="",'Detalle'!$K152="",'Detalle'!$L152=""),"",IF(AND(H$8&lt;='Detalle'!$K152,H$9&gt;='Detalle'!$J152),1,""))</x:f>
      </x:c>
      <x:c r="I308" s="32" t="str">
        <x:f>IF(OR('Detalle'!$J152="",'Detalle'!$K152="",'Detalle'!$L152=""),"",IF(AND(I$8&lt;='Detalle'!$K152,I$9&gt;='Detalle'!$J152),1,""))</x:f>
      </x:c>
      <x:c r="J308" s="32" t="str">
        <x:f>IF(OR('Detalle'!$J152="",'Detalle'!$K152="",'Detalle'!$L152=""),"",IF(AND(J$8&lt;='Detalle'!$K152,J$9&gt;='Detalle'!$J152),1,""))</x:f>
      </x:c>
      <x:c r="K308" s="32" t="str">
        <x:f>IF(OR('Detalle'!$J152="",'Detalle'!$K152="",'Detalle'!$L152=""),"",IF(AND(K$8&lt;='Detalle'!$K152,K$9&gt;='Detalle'!$J152),1,""))</x:f>
      </x:c>
      <x:c r="L308" s="32" t="str">
        <x:f>IF(OR('Detalle'!$J152="",'Detalle'!$K152="",'Detalle'!$L152=""),"",IF(AND(L$8&lt;='Detalle'!$K152,L$9&gt;='Detalle'!$J152),1,""))</x:f>
      </x:c>
      <x:c r="M308" s="32" t="str">
        <x:f>IF(OR('Detalle'!$J152="",'Detalle'!$K152="",'Detalle'!$L152=""),"",IF(AND(M$8&lt;='Detalle'!$K152,M$9&gt;='Detalle'!$J152),1,""))</x:f>
      </x:c>
      <x:c r="N308" s="32" t="str">
        <x:f>IF(OR('Detalle'!$J152="",'Detalle'!$K152="",'Detalle'!$L152=""),"",IF(AND(N$8&lt;='Detalle'!$K152,N$9&gt;='Detalle'!$J152),1,""))</x:f>
      </x:c>
      <x:c r="O308" s="32" t="str">
        <x:f>IF(OR('Detalle'!$J152="",'Detalle'!$K152="",'Detalle'!$L152=""),"",IF(AND(O$8&lt;='Detalle'!$K152,O$9&gt;='Detalle'!$J152),1,""))</x:f>
      </x:c>
      <x:c r="P308" s="32" t="str">
        <x:f>IF(OR('Detalle'!$J152="",'Detalle'!$K152="",'Detalle'!$L152=""),"",IF(AND(P$8&lt;='Detalle'!$K152,P$9&gt;='Detalle'!$J152),1,""))</x:f>
      </x:c>
      <x:c r="Q308" s="68"/>
      <x:c r="R308" s="67" t="str"/>
      <x:c r="S308" s="67" t="str"/>
    </x:row>
    <x:row r="309" ht="16" customHeight="1">
      <x:c r="A309" s="56" t="str">
        <x:v>COM01.006</x:v>
      </x:c>
      <x:c r="B309" s="57" t="str">
        <x:v>Crear feed de Inicio</x:v>
      </x:c>
      <x:c r="C309" s="62" t="str">
        <x:v>E</x:v>
      </x:c>
      <x:c r="D309" s="64" t="n">
        <x:f>'Detalle'!I153</x:f>
        <x:v>1</x:v>
      </x:c>
      <x:c r="E309" s="60" t="str">
        <x:f>'Detalle'!F153</x:f>
        <x:v>Completado</x:v>
      </x:c>
      <x:c r="F309" s="32" t="str">
        <x:f>IF(AND(F$8&lt;='Detalle'!$H153,F$9&gt;='Detalle'!$G153),1,"")</x:f>
      </x:c>
      <x:c r="G309" s="32" t="str">
        <x:f>IF(AND(G$8&lt;='Detalle'!$H153,G$9&gt;='Detalle'!$G153),1,"")</x:f>
      </x:c>
      <x:c r="H309" s="32" t="n">
        <x:f>IF(AND(H$8&lt;='Detalle'!$H153,H$9&gt;='Detalle'!$G153),1,"")</x:f>
        <x:v>1</x:v>
      </x:c>
      <x:c r="I309" s="32" t="str">
        <x:f>IF(AND(I$8&lt;='Detalle'!$H153,I$9&gt;='Detalle'!$G153),1,"")</x:f>
      </x:c>
      <x:c r="J309" s="32" t="str">
        <x:f>IF(AND(J$8&lt;='Detalle'!$H153,J$9&gt;='Detalle'!$G153),1,"")</x:f>
      </x:c>
      <x:c r="K309" s="32" t="str">
        <x:f>IF(AND(K$8&lt;='Detalle'!$H153,K$9&gt;='Detalle'!$G153),1,"")</x:f>
      </x:c>
      <x:c r="L309" s="32" t="str">
        <x:f>IF(AND(L$8&lt;='Detalle'!$H153,L$9&gt;='Detalle'!$G153),1,"")</x:f>
      </x:c>
      <x:c r="M309" s="32" t="str">
        <x:f>IF(AND(M$8&lt;='Detalle'!$H153,M$9&gt;='Detalle'!$G153),1,"")</x:f>
      </x:c>
      <x:c r="N309" s="32" t="str">
        <x:f>IF(AND(N$8&lt;='Detalle'!$H153,N$9&gt;='Detalle'!$G153),1,"")</x:f>
      </x:c>
      <x:c r="O309" s="32" t="str">
        <x:f>IF(AND(O$8&lt;='Detalle'!$H153,O$9&gt;='Detalle'!$G153),1,"")</x:f>
      </x:c>
      <x:c r="P309" s="32" t="str">
        <x:f>IF(AND(P$8&lt;='Detalle'!$H153,P$9&gt;='Detalle'!$G153),1,"")</x:f>
      </x:c>
      <x:c r="Q309" s="68"/>
      <x:c r="R309" s="67" t="str">
        <x:f>IF('Detalle'!M153="","",'Detalle'!M153)</x:f>
      </x:c>
      <x:c r="S309" s="67" t="str">
        <x:f>IF('Detalle'!N153="","",'Detalle'!N153)</x:f>
      </x:c>
    </x:row>
    <x:row r="310" ht="16" customHeight="1">
      <x:c r="A310" s="56" t="str">
        <x:v>COM01.006</x:v>
      </x:c>
      <x:c r="B310" s="57" t="str">
        <x:v>Crear feed de Inicio</x:v>
      </x:c>
      <x:c r="C310" s="63" t="str">
        <x:v>R</x:v>
      </x:c>
      <x:c r="D310" s="65" t="str">
        <x:f>IF('Detalle'!L153="","",'Detalle'!L153)</x:f>
      </x:c>
      <x:c r="E310" s="60" t="str"/>
      <x:c r="F310" s="32" t="str">
        <x:f>IF(OR('Detalle'!$J153="",'Detalle'!$K153="",'Detalle'!$L153=""),"",IF(AND(F$8&lt;='Detalle'!$K153,F$9&gt;='Detalle'!$J153),1,""))</x:f>
      </x:c>
      <x:c r="G310" s="32" t="str">
        <x:f>IF(OR('Detalle'!$J153="",'Detalle'!$K153="",'Detalle'!$L153=""),"",IF(AND(G$8&lt;='Detalle'!$K153,G$9&gt;='Detalle'!$J153),1,""))</x:f>
      </x:c>
      <x:c r="H310" s="32" t="str">
        <x:f>IF(OR('Detalle'!$J153="",'Detalle'!$K153="",'Detalle'!$L153=""),"",IF(AND(H$8&lt;='Detalle'!$K153,H$9&gt;='Detalle'!$J153),1,""))</x:f>
      </x:c>
      <x:c r="I310" s="32" t="str">
        <x:f>IF(OR('Detalle'!$J153="",'Detalle'!$K153="",'Detalle'!$L153=""),"",IF(AND(I$8&lt;='Detalle'!$K153,I$9&gt;='Detalle'!$J153),1,""))</x:f>
      </x:c>
      <x:c r="J310" s="32" t="str">
        <x:f>IF(OR('Detalle'!$J153="",'Detalle'!$K153="",'Detalle'!$L153=""),"",IF(AND(J$8&lt;='Detalle'!$K153,J$9&gt;='Detalle'!$J153),1,""))</x:f>
      </x:c>
      <x:c r="K310" s="32" t="str">
        <x:f>IF(OR('Detalle'!$J153="",'Detalle'!$K153="",'Detalle'!$L153=""),"",IF(AND(K$8&lt;='Detalle'!$K153,K$9&gt;='Detalle'!$J153),1,""))</x:f>
      </x:c>
      <x:c r="L310" s="32" t="str">
        <x:f>IF(OR('Detalle'!$J153="",'Detalle'!$K153="",'Detalle'!$L153=""),"",IF(AND(L$8&lt;='Detalle'!$K153,L$9&gt;='Detalle'!$J153),1,""))</x:f>
      </x:c>
      <x:c r="M310" s="32" t="str">
        <x:f>IF(OR('Detalle'!$J153="",'Detalle'!$K153="",'Detalle'!$L153=""),"",IF(AND(M$8&lt;='Detalle'!$K153,M$9&gt;='Detalle'!$J153),1,""))</x:f>
      </x:c>
      <x:c r="N310" s="32" t="str">
        <x:f>IF(OR('Detalle'!$J153="",'Detalle'!$K153="",'Detalle'!$L153=""),"",IF(AND(N$8&lt;='Detalle'!$K153,N$9&gt;='Detalle'!$J153),1,""))</x:f>
      </x:c>
      <x:c r="O310" s="32" t="str">
        <x:f>IF(OR('Detalle'!$J153="",'Detalle'!$K153="",'Detalle'!$L153=""),"",IF(AND(O$8&lt;='Detalle'!$K153,O$9&gt;='Detalle'!$J153),1,""))</x:f>
      </x:c>
      <x:c r="P310" s="32" t="str">
        <x:f>IF(OR('Detalle'!$J153="",'Detalle'!$K153="",'Detalle'!$L153=""),"",IF(AND(P$8&lt;='Detalle'!$K153,P$9&gt;='Detalle'!$J153),1,""))</x:f>
      </x:c>
      <x:c r="Q310" s="68"/>
      <x:c r="R310" s="67" t="str"/>
      <x:c r="S310" s="67" t="str"/>
    </x:row>
    <x:row r="311" ht="16" customHeight="1">
      <x:c r="A311" s="56" t="str">
        <x:v>COM01.007</x:v>
      </x:c>
      <x:c r="B311" s="57" t="str">
        <x:v>Crear pantalla Explorar</x:v>
      </x:c>
      <x:c r="C311" s="62" t="str">
        <x:v>E</x:v>
      </x:c>
      <x:c r="D311" s="64" t="n">
        <x:f>'Detalle'!I154</x:f>
        <x:v>1</x:v>
      </x:c>
      <x:c r="E311" s="60" t="str">
        <x:f>'Detalle'!F154</x:f>
        <x:v>Completado</x:v>
      </x:c>
      <x:c r="F311" s="32" t="str">
        <x:f>IF(AND(F$8&lt;='Detalle'!$H154,F$9&gt;='Detalle'!$G154),1,"")</x:f>
      </x:c>
      <x:c r="G311" s="32" t="str">
        <x:f>IF(AND(G$8&lt;='Detalle'!$H154,G$9&gt;='Detalle'!$G154),1,"")</x:f>
      </x:c>
      <x:c r="H311" s="32" t="n">
        <x:f>IF(AND(H$8&lt;='Detalle'!$H154,H$9&gt;='Detalle'!$G154),1,"")</x:f>
        <x:v>1</x:v>
      </x:c>
      <x:c r="I311" s="32" t="str">
        <x:f>IF(AND(I$8&lt;='Detalle'!$H154,I$9&gt;='Detalle'!$G154),1,"")</x:f>
      </x:c>
      <x:c r="J311" s="32" t="str">
        <x:f>IF(AND(J$8&lt;='Detalle'!$H154,J$9&gt;='Detalle'!$G154),1,"")</x:f>
      </x:c>
      <x:c r="K311" s="32" t="str">
        <x:f>IF(AND(K$8&lt;='Detalle'!$H154,K$9&gt;='Detalle'!$G154),1,"")</x:f>
      </x:c>
      <x:c r="L311" s="32" t="str">
        <x:f>IF(AND(L$8&lt;='Detalle'!$H154,L$9&gt;='Detalle'!$G154),1,"")</x:f>
      </x:c>
      <x:c r="M311" s="32" t="str">
        <x:f>IF(AND(M$8&lt;='Detalle'!$H154,M$9&gt;='Detalle'!$G154),1,"")</x:f>
      </x:c>
      <x:c r="N311" s="32" t="str">
        <x:f>IF(AND(N$8&lt;='Detalle'!$H154,N$9&gt;='Detalle'!$G154),1,"")</x:f>
      </x:c>
      <x:c r="O311" s="32" t="str">
        <x:f>IF(AND(O$8&lt;='Detalle'!$H154,O$9&gt;='Detalle'!$G154),1,"")</x:f>
      </x:c>
      <x:c r="P311" s="32" t="str">
        <x:f>IF(AND(P$8&lt;='Detalle'!$H154,P$9&gt;='Detalle'!$G154),1,"")</x:f>
      </x:c>
      <x:c r="Q311" s="68"/>
      <x:c r="R311" s="67" t="str">
        <x:f>IF('Detalle'!M154="","",'Detalle'!M154)</x:f>
      </x:c>
      <x:c r="S311" s="67" t="str">
        <x:f>IF('Detalle'!N154="","",'Detalle'!N154)</x:f>
      </x:c>
    </x:row>
    <x:row r="312" ht="16" customHeight="1">
      <x:c r="A312" s="56" t="str">
        <x:v>COM01.007</x:v>
      </x:c>
      <x:c r="B312" s="57" t="str">
        <x:v>Crear pantalla Explorar</x:v>
      </x:c>
      <x:c r="C312" s="63" t="str">
        <x:v>R</x:v>
      </x:c>
      <x:c r="D312" s="65" t="str">
        <x:f>IF('Detalle'!L154="","",'Detalle'!L154)</x:f>
      </x:c>
      <x:c r="E312" s="60" t="str"/>
      <x:c r="F312" s="32" t="str">
        <x:f>IF(OR('Detalle'!$J154="",'Detalle'!$K154="",'Detalle'!$L154=""),"",IF(AND(F$8&lt;='Detalle'!$K154,F$9&gt;='Detalle'!$J154),1,""))</x:f>
      </x:c>
      <x:c r="G312" s="32" t="str">
        <x:f>IF(OR('Detalle'!$J154="",'Detalle'!$K154="",'Detalle'!$L154=""),"",IF(AND(G$8&lt;='Detalle'!$K154,G$9&gt;='Detalle'!$J154),1,""))</x:f>
      </x:c>
      <x:c r="H312" s="32" t="str">
        <x:f>IF(OR('Detalle'!$J154="",'Detalle'!$K154="",'Detalle'!$L154=""),"",IF(AND(H$8&lt;='Detalle'!$K154,H$9&gt;='Detalle'!$J154),1,""))</x:f>
      </x:c>
      <x:c r="I312" s="32" t="str">
        <x:f>IF(OR('Detalle'!$J154="",'Detalle'!$K154="",'Detalle'!$L154=""),"",IF(AND(I$8&lt;='Detalle'!$K154,I$9&gt;='Detalle'!$J154),1,""))</x:f>
      </x:c>
      <x:c r="J312" s="32" t="str">
        <x:f>IF(OR('Detalle'!$J154="",'Detalle'!$K154="",'Detalle'!$L154=""),"",IF(AND(J$8&lt;='Detalle'!$K154,J$9&gt;='Detalle'!$J154),1,""))</x:f>
      </x:c>
      <x:c r="K312" s="32" t="str">
        <x:f>IF(OR('Detalle'!$J154="",'Detalle'!$K154="",'Detalle'!$L154=""),"",IF(AND(K$8&lt;='Detalle'!$K154,K$9&gt;='Detalle'!$J154),1,""))</x:f>
      </x:c>
      <x:c r="L312" s="32" t="str">
        <x:f>IF(OR('Detalle'!$J154="",'Detalle'!$K154="",'Detalle'!$L154=""),"",IF(AND(L$8&lt;='Detalle'!$K154,L$9&gt;='Detalle'!$J154),1,""))</x:f>
      </x:c>
      <x:c r="M312" s="32" t="str">
        <x:f>IF(OR('Detalle'!$J154="",'Detalle'!$K154="",'Detalle'!$L154=""),"",IF(AND(M$8&lt;='Detalle'!$K154,M$9&gt;='Detalle'!$J154),1,""))</x:f>
      </x:c>
      <x:c r="N312" s="32" t="str">
        <x:f>IF(OR('Detalle'!$J154="",'Detalle'!$K154="",'Detalle'!$L154=""),"",IF(AND(N$8&lt;='Detalle'!$K154,N$9&gt;='Detalle'!$J154),1,""))</x:f>
      </x:c>
      <x:c r="O312" s="32" t="str">
        <x:f>IF(OR('Detalle'!$J154="",'Detalle'!$K154="",'Detalle'!$L154=""),"",IF(AND(O$8&lt;='Detalle'!$K154,O$9&gt;='Detalle'!$J154),1,""))</x:f>
      </x:c>
      <x:c r="P312" s="32" t="str">
        <x:f>IF(OR('Detalle'!$J154="",'Detalle'!$K154="",'Detalle'!$L154=""),"",IF(AND(P$8&lt;='Detalle'!$K154,P$9&gt;='Detalle'!$J154),1,""))</x:f>
      </x:c>
      <x:c r="Q312" s="68"/>
      <x:c r="R312" s="67" t="str"/>
      <x:c r="S312" s="67" t="str"/>
    </x:row>
    <x:row r="313" ht="16" customHeight="1">
      <x:c r="A313" s="56" t="str">
        <x:v>COM01.008</x:v>
      </x:c>
      <x:c r="B313" s="57" t="str">
        <x:v>Buscar publicaciones en servidor</x:v>
      </x:c>
      <x:c r="C313" s="62" t="str">
        <x:v>E</x:v>
      </x:c>
      <x:c r="D313" s="64" t="n">
        <x:f>'Detalle'!I155</x:f>
        <x:v>1</x:v>
      </x:c>
      <x:c r="E313" s="60" t="str">
        <x:f>'Detalle'!F155</x:f>
        <x:v>Completado</x:v>
      </x:c>
      <x:c r="F313" s="32" t="str">
        <x:f>IF(AND(F$8&lt;='Detalle'!$H155,F$9&gt;='Detalle'!$G155),1,"")</x:f>
      </x:c>
      <x:c r="G313" s="32" t="str">
        <x:f>IF(AND(G$8&lt;='Detalle'!$H155,G$9&gt;='Detalle'!$G155),1,"")</x:f>
      </x:c>
      <x:c r="H313" s="32" t="n">
        <x:f>IF(AND(H$8&lt;='Detalle'!$H155,H$9&gt;='Detalle'!$G155),1,"")</x:f>
        <x:v>1</x:v>
      </x:c>
      <x:c r="I313" s="32" t="str">
        <x:f>IF(AND(I$8&lt;='Detalle'!$H155,I$9&gt;='Detalle'!$G155),1,"")</x:f>
      </x:c>
      <x:c r="J313" s="32" t="str">
        <x:f>IF(AND(J$8&lt;='Detalle'!$H155,J$9&gt;='Detalle'!$G155),1,"")</x:f>
      </x:c>
      <x:c r="K313" s="32" t="str">
        <x:f>IF(AND(K$8&lt;='Detalle'!$H155,K$9&gt;='Detalle'!$G155),1,"")</x:f>
      </x:c>
      <x:c r="L313" s="32" t="str">
        <x:f>IF(AND(L$8&lt;='Detalle'!$H155,L$9&gt;='Detalle'!$G155),1,"")</x:f>
      </x:c>
      <x:c r="M313" s="32" t="str">
        <x:f>IF(AND(M$8&lt;='Detalle'!$H155,M$9&gt;='Detalle'!$G155),1,"")</x:f>
      </x:c>
      <x:c r="N313" s="32" t="str">
        <x:f>IF(AND(N$8&lt;='Detalle'!$H155,N$9&gt;='Detalle'!$G155),1,"")</x:f>
      </x:c>
      <x:c r="O313" s="32" t="str">
        <x:f>IF(AND(O$8&lt;='Detalle'!$H155,O$9&gt;='Detalle'!$G155),1,"")</x:f>
      </x:c>
      <x:c r="P313" s="32" t="str">
        <x:f>IF(AND(P$8&lt;='Detalle'!$H155,P$9&gt;='Detalle'!$G155),1,"")</x:f>
      </x:c>
      <x:c r="Q313" s="68"/>
      <x:c r="R313" s="67" t="str">
        <x:f>IF('Detalle'!M155="","",'Detalle'!M155)</x:f>
      </x:c>
      <x:c r="S313" s="67" t="str">
        <x:f>IF('Detalle'!N155="","",'Detalle'!N155)</x:f>
      </x:c>
    </x:row>
    <x:row r="314" ht="16" customHeight="1">
      <x:c r="A314" s="56" t="str">
        <x:v>COM01.008</x:v>
      </x:c>
      <x:c r="B314" s="57" t="str">
        <x:v>Buscar publicaciones en servidor</x:v>
      </x:c>
      <x:c r="C314" s="63" t="str">
        <x:v>R</x:v>
      </x:c>
      <x:c r="D314" s="65" t="str">
        <x:f>IF('Detalle'!L155="","",'Detalle'!L155)</x:f>
      </x:c>
      <x:c r="E314" s="60" t="str"/>
      <x:c r="F314" s="32" t="str">
        <x:f>IF(OR('Detalle'!$J155="",'Detalle'!$K155="",'Detalle'!$L155=""),"",IF(AND(F$8&lt;='Detalle'!$K155,F$9&gt;='Detalle'!$J155),1,""))</x:f>
      </x:c>
      <x:c r="G314" s="32" t="str">
        <x:f>IF(OR('Detalle'!$J155="",'Detalle'!$K155="",'Detalle'!$L155=""),"",IF(AND(G$8&lt;='Detalle'!$K155,G$9&gt;='Detalle'!$J155),1,""))</x:f>
      </x:c>
      <x:c r="H314" s="32" t="str">
        <x:f>IF(OR('Detalle'!$J155="",'Detalle'!$K155="",'Detalle'!$L155=""),"",IF(AND(H$8&lt;='Detalle'!$K155,H$9&gt;='Detalle'!$J155),1,""))</x:f>
      </x:c>
      <x:c r="I314" s="32" t="str">
        <x:f>IF(OR('Detalle'!$J155="",'Detalle'!$K155="",'Detalle'!$L155=""),"",IF(AND(I$8&lt;='Detalle'!$K155,I$9&gt;='Detalle'!$J155),1,""))</x:f>
      </x:c>
      <x:c r="J314" s="32" t="str">
        <x:f>IF(OR('Detalle'!$J155="",'Detalle'!$K155="",'Detalle'!$L155=""),"",IF(AND(J$8&lt;='Detalle'!$K155,J$9&gt;='Detalle'!$J155),1,""))</x:f>
      </x:c>
      <x:c r="K314" s="32" t="str">
        <x:f>IF(OR('Detalle'!$J155="",'Detalle'!$K155="",'Detalle'!$L155=""),"",IF(AND(K$8&lt;='Detalle'!$K155,K$9&gt;='Detalle'!$J155),1,""))</x:f>
      </x:c>
      <x:c r="L314" s="32" t="str">
        <x:f>IF(OR('Detalle'!$J155="",'Detalle'!$K155="",'Detalle'!$L155=""),"",IF(AND(L$8&lt;='Detalle'!$K155,L$9&gt;='Detalle'!$J155),1,""))</x:f>
      </x:c>
      <x:c r="M314" s="32" t="str">
        <x:f>IF(OR('Detalle'!$J155="",'Detalle'!$K155="",'Detalle'!$L155=""),"",IF(AND(M$8&lt;='Detalle'!$K155,M$9&gt;='Detalle'!$J155),1,""))</x:f>
      </x:c>
      <x:c r="N314" s="32" t="str">
        <x:f>IF(OR('Detalle'!$J155="",'Detalle'!$K155="",'Detalle'!$L155=""),"",IF(AND(N$8&lt;='Detalle'!$K155,N$9&gt;='Detalle'!$J155),1,""))</x:f>
      </x:c>
      <x:c r="O314" s="32" t="str">
        <x:f>IF(OR('Detalle'!$J155="",'Detalle'!$K155="",'Detalle'!$L155=""),"",IF(AND(O$8&lt;='Detalle'!$K155,O$9&gt;='Detalle'!$J155),1,""))</x:f>
      </x:c>
      <x:c r="P314" s="32" t="str">
        <x:f>IF(OR('Detalle'!$J155="",'Detalle'!$K155="",'Detalle'!$L155=""),"",IF(AND(P$8&lt;='Detalle'!$K155,P$9&gt;='Detalle'!$J155),1,""))</x:f>
      </x:c>
      <x:c r="Q314" s="68"/>
      <x:c r="R314" s="67" t="str"/>
      <x:c r="S314" s="67" t="str"/>
    </x:row>
    <x:row r="315" ht="16" customHeight="1">
      <x:c r="A315" s="56" t="str">
        <x:v>COM01.009</x:v>
      </x:c>
      <x:c r="B315" s="57" t="str">
        <x:v>Filtrar publicaciones por categoría</x:v>
      </x:c>
      <x:c r="C315" s="62" t="str">
        <x:v>E</x:v>
      </x:c>
      <x:c r="D315" s="64" t="n">
        <x:f>'Detalle'!I156</x:f>
        <x:v>1</x:v>
      </x:c>
      <x:c r="E315" s="60" t="str">
        <x:f>'Detalle'!F156</x:f>
        <x:v>Completado</x:v>
      </x:c>
      <x:c r="F315" s="32" t="str">
        <x:f>IF(AND(F$8&lt;='Detalle'!$H156,F$9&gt;='Detalle'!$G156),1,"")</x:f>
      </x:c>
      <x:c r="G315" s="32" t="str">
        <x:f>IF(AND(G$8&lt;='Detalle'!$H156,G$9&gt;='Detalle'!$G156),1,"")</x:f>
      </x:c>
      <x:c r="H315" s="32" t="n">
        <x:f>IF(AND(H$8&lt;='Detalle'!$H156,H$9&gt;='Detalle'!$G156),1,"")</x:f>
        <x:v>1</x:v>
      </x:c>
      <x:c r="I315" s="32" t="str">
        <x:f>IF(AND(I$8&lt;='Detalle'!$H156,I$9&gt;='Detalle'!$G156),1,"")</x:f>
      </x:c>
      <x:c r="J315" s="32" t="str">
        <x:f>IF(AND(J$8&lt;='Detalle'!$H156,J$9&gt;='Detalle'!$G156),1,"")</x:f>
      </x:c>
      <x:c r="K315" s="32" t="str">
        <x:f>IF(AND(K$8&lt;='Detalle'!$H156,K$9&gt;='Detalle'!$G156),1,"")</x:f>
      </x:c>
      <x:c r="L315" s="32" t="str">
        <x:f>IF(AND(L$8&lt;='Detalle'!$H156,L$9&gt;='Detalle'!$G156),1,"")</x:f>
      </x:c>
      <x:c r="M315" s="32" t="str">
        <x:f>IF(AND(M$8&lt;='Detalle'!$H156,M$9&gt;='Detalle'!$G156),1,"")</x:f>
      </x:c>
      <x:c r="N315" s="32" t="str">
        <x:f>IF(AND(N$8&lt;='Detalle'!$H156,N$9&gt;='Detalle'!$G156),1,"")</x:f>
      </x:c>
      <x:c r="O315" s="32" t="str">
        <x:f>IF(AND(O$8&lt;='Detalle'!$H156,O$9&gt;='Detalle'!$G156),1,"")</x:f>
      </x:c>
      <x:c r="P315" s="32" t="str">
        <x:f>IF(AND(P$8&lt;='Detalle'!$H156,P$9&gt;='Detalle'!$G156),1,"")</x:f>
      </x:c>
      <x:c r="Q315" s="68"/>
      <x:c r="R315" s="67" t="str">
        <x:f>IF('Detalle'!M156="","",'Detalle'!M156)</x:f>
      </x:c>
      <x:c r="S315" s="67" t="str">
        <x:f>IF('Detalle'!N156="","",'Detalle'!N156)</x:f>
      </x:c>
    </x:row>
    <x:row r="316" ht="16" customHeight="1">
      <x:c r="A316" s="56" t="str">
        <x:v>COM01.009</x:v>
      </x:c>
      <x:c r="B316" s="57" t="str">
        <x:v>Filtrar publicaciones por categoría</x:v>
      </x:c>
      <x:c r="C316" s="63" t="str">
        <x:v>R</x:v>
      </x:c>
      <x:c r="D316" s="65" t="str">
        <x:f>IF('Detalle'!L156="","",'Detalle'!L156)</x:f>
      </x:c>
      <x:c r="E316" s="60" t="str"/>
      <x:c r="F316" s="32" t="str">
        <x:f>IF(OR('Detalle'!$J156="",'Detalle'!$K156="",'Detalle'!$L156=""),"",IF(AND(F$8&lt;='Detalle'!$K156,F$9&gt;='Detalle'!$J156),1,""))</x:f>
      </x:c>
      <x:c r="G316" s="32" t="str">
        <x:f>IF(OR('Detalle'!$J156="",'Detalle'!$K156="",'Detalle'!$L156=""),"",IF(AND(G$8&lt;='Detalle'!$K156,G$9&gt;='Detalle'!$J156),1,""))</x:f>
      </x:c>
      <x:c r="H316" s="32" t="str">
        <x:f>IF(OR('Detalle'!$J156="",'Detalle'!$K156="",'Detalle'!$L156=""),"",IF(AND(H$8&lt;='Detalle'!$K156,H$9&gt;='Detalle'!$J156),1,""))</x:f>
      </x:c>
      <x:c r="I316" s="32" t="str">
        <x:f>IF(OR('Detalle'!$J156="",'Detalle'!$K156="",'Detalle'!$L156=""),"",IF(AND(I$8&lt;='Detalle'!$K156,I$9&gt;='Detalle'!$J156),1,""))</x:f>
      </x:c>
      <x:c r="J316" s="32" t="str">
        <x:f>IF(OR('Detalle'!$J156="",'Detalle'!$K156="",'Detalle'!$L156=""),"",IF(AND(J$8&lt;='Detalle'!$K156,J$9&gt;='Detalle'!$J156),1,""))</x:f>
      </x:c>
      <x:c r="K316" s="32" t="str">
        <x:f>IF(OR('Detalle'!$J156="",'Detalle'!$K156="",'Detalle'!$L156=""),"",IF(AND(K$8&lt;='Detalle'!$K156,K$9&gt;='Detalle'!$J156),1,""))</x:f>
      </x:c>
      <x:c r="L316" s="32" t="str">
        <x:f>IF(OR('Detalle'!$J156="",'Detalle'!$K156="",'Detalle'!$L156=""),"",IF(AND(L$8&lt;='Detalle'!$K156,L$9&gt;='Detalle'!$J156),1,""))</x:f>
      </x:c>
      <x:c r="M316" s="32" t="str">
        <x:f>IF(OR('Detalle'!$J156="",'Detalle'!$K156="",'Detalle'!$L156=""),"",IF(AND(M$8&lt;='Detalle'!$K156,M$9&gt;='Detalle'!$J156),1,""))</x:f>
      </x:c>
      <x:c r="N316" s="32" t="str">
        <x:f>IF(OR('Detalle'!$J156="",'Detalle'!$K156="",'Detalle'!$L156=""),"",IF(AND(N$8&lt;='Detalle'!$K156,N$9&gt;='Detalle'!$J156),1,""))</x:f>
      </x:c>
      <x:c r="O316" s="32" t="str">
        <x:f>IF(OR('Detalle'!$J156="",'Detalle'!$K156="",'Detalle'!$L156=""),"",IF(AND(O$8&lt;='Detalle'!$K156,O$9&gt;='Detalle'!$J156),1,""))</x:f>
      </x:c>
      <x:c r="P316" s="32" t="str">
        <x:f>IF(OR('Detalle'!$J156="",'Detalle'!$K156="",'Detalle'!$L156=""),"",IF(AND(P$8&lt;='Detalle'!$K156,P$9&gt;='Detalle'!$J156),1,""))</x:f>
      </x:c>
      <x:c r="Q316" s="68"/>
      <x:c r="R316" s="67" t="str"/>
      <x:c r="S316" s="67" t="str"/>
    </x:row>
    <x:row r="317" ht="16" customHeight="1">
      <x:c r="A317" s="56" t="str">
        <x:v>COM01.010</x:v>
      </x:c>
      <x:c r="B317" s="57" t="str">
        <x:v>Crear formulario de publicación</x:v>
      </x:c>
      <x:c r="C317" s="62" t="str">
        <x:v>E</x:v>
      </x:c>
      <x:c r="D317" s="64" t="n">
        <x:f>'Detalle'!I157</x:f>
        <x:v>1</x:v>
      </x:c>
      <x:c r="E317" s="60" t="str">
        <x:f>'Detalle'!F157</x:f>
        <x:v>Completado</x:v>
      </x:c>
      <x:c r="F317" s="32" t="str">
        <x:f>IF(AND(F$8&lt;='Detalle'!$H157,F$9&gt;='Detalle'!$G157),1,"")</x:f>
      </x:c>
      <x:c r="G317" s="32" t="str">
        <x:f>IF(AND(G$8&lt;='Detalle'!$H157,G$9&gt;='Detalle'!$G157),1,"")</x:f>
      </x:c>
      <x:c r="H317" s="32" t="n">
        <x:f>IF(AND(H$8&lt;='Detalle'!$H157,H$9&gt;='Detalle'!$G157),1,"")</x:f>
        <x:v>1</x:v>
      </x:c>
      <x:c r="I317" s="32" t="str">
        <x:f>IF(AND(I$8&lt;='Detalle'!$H157,I$9&gt;='Detalle'!$G157),1,"")</x:f>
      </x:c>
      <x:c r="J317" s="32" t="str">
        <x:f>IF(AND(J$8&lt;='Detalle'!$H157,J$9&gt;='Detalle'!$G157),1,"")</x:f>
      </x:c>
      <x:c r="K317" s="32" t="str">
        <x:f>IF(AND(K$8&lt;='Detalle'!$H157,K$9&gt;='Detalle'!$G157),1,"")</x:f>
      </x:c>
      <x:c r="L317" s="32" t="str">
        <x:f>IF(AND(L$8&lt;='Detalle'!$H157,L$9&gt;='Detalle'!$G157),1,"")</x:f>
      </x:c>
      <x:c r="M317" s="32" t="str">
        <x:f>IF(AND(M$8&lt;='Detalle'!$H157,M$9&gt;='Detalle'!$G157),1,"")</x:f>
      </x:c>
      <x:c r="N317" s="32" t="str">
        <x:f>IF(AND(N$8&lt;='Detalle'!$H157,N$9&gt;='Detalle'!$G157),1,"")</x:f>
      </x:c>
      <x:c r="O317" s="32" t="str">
        <x:f>IF(AND(O$8&lt;='Detalle'!$H157,O$9&gt;='Detalle'!$G157),1,"")</x:f>
      </x:c>
      <x:c r="P317" s="32" t="str">
        <x:f>IF(AND(P$8&lt;='Detalle'!$H157,P$9&gt;='Detalle'!$G157),1,"")</x:f>
      </x:c>
      <x:c r="Q317" s="68"/>
      <x:c r="R317" s="67" t="str">
        <x:f>IF('Detalle'!M157="","",'Detalle'!M157)</x:f>
      </x:c>
      <x:c r="S317" s="67" t="str">
        <x:f>IF('Detalle'!N157="","",'Detalle'!N157)</x:f>
      </x:c>
    </x:row>
    <x:row r="318" ht="16" customHeight="1">
      <x:c r="A318" s="56" t="str">
        <x:v>COM01.010</x:v>
      </x:c>
      <x:c r="B318" s="57" t="str">
        <x:v>Crear formulario de publicación</x:v>
      </x:c>
      <x:c r="C318" s="63" t="str">
        <x:v>R</x:v>
      </x:c>
      <x:c r="D318" s="65" t="str">
        <x:f>IF('Detalle'!L157="","",'Detalle'!L157)</x:f>
      </x:c>
      <x:c r="E318" s="60" t="str"/>
      <x:c r="F318" s="32" t="str">
        <x:f>IF(OR('Detalle'!$J157="",'Detalle'!$K157="",'Detalle'!$L157=""),"",IF(AND(F$8&lt;='Detalle'!$K157,F$9&gt;='Detalle'!$J157),1,""))</x:f>
      </x:c>
      <x:c r="G318" s="32" t="str">
        <x:f>IF(OR('Detalle'!$J157="",'Detalle'!$K157="",'Detalle'!$L157=""),"",IF(AND(G$8&lt;='Detalle'!$K157,G$9&gt;='Detalle'!$J157),1,""))</x:f>
      </x:c>
      <x:c r="H318" s="32" t="str">
        <x:f>IF(OR('Detalle'!$J157="",'Detalle'!$K157="",'Detalle'!$L157=""),"",IF(AND(H$8&lt;='Detalle'!$K157,H$9&gt;='Detalle'!$J157),1,""))</x:f>
      </x:c>
      <x:c r="I318" s="32" t="str">
        <x:f>IF(OR('Detalle'!$J157="",'Detalle'!$K157="",'Detalle'!$L157=""),"",IF(AND(I$8&lt;='Detalle'!$K157,I$9&gt;='Detalle'!$J157),1,""))</x:f>
      </x:c>
      <x:c r="J318" s="32" t="str">
        <x:f>IF(OR('Detalle'!$J157="",'Detalle'!$K157="",'Detalle'!$L157=""),"",IF(AND(J$8&lt;='Detalle'!$K157,J$9&gt;='Detalle'!$J157),1,""))</x:f>
      </x:c>
      <x:c r="K318" s="32" t="str">
        <x:f>IF(OR('Detalle'!$J157="",'Detalle'!$K157="",'Detalle'!$L157=""),"",IF(AND(K$8&lt;='Detalle'!$K157,K$9&gt;='Detalle'!$J157),1,""))</x:f>
      </x:c>
      <x:c r="L318" s="32" t="str">
        <x:f>IF(OR('Detalle'!$J157="",'Detalle'!$K157="",'Detalle'!$L157=""),"",IF(AND(L$8&lt;='Detalle'!$K157,L$9&gt;='Detalle'!$J157),1,""))</x:f>
      </x:c>
      <x:c r="M318" s="32" t="str">
        <x:f>IF(OR('Detalle'!$J157="",'Detalle'!$K157="",'Detalle'!$L157=""),"",IF(AND(M$8&lt;='Detalle'!$K157,M$9&gt;='Detalle'!$J157),1,""))</x:f>
      </x:c>
      <x:c r="N318" s="32" t="str">
        <x:f>IF(OR('Detalle'!$J157="",'Detalle'!$K157="",'Detalle'!$L157=""),"",IF(AND(N$8&lt;='Detalle'!$K157,N$9&gt;='Detalle'!$J157),1,""))</x:f>
      </x:c>
      <x:c r="O318" s="32" t="str">
        <x:f>IF(OR('Detalle'!$J157="",'Detalle'!$K157="",'Detalle'!$L157=""),"",IF(AND(O$8&lt;='Detalle'!$K157,O$9&gt;='Detalle'!$J157),1,""))</x:f>
      </x:c>
      <x:c r="P318" s="32" t="str">
        <x:f>IF(OR('Detalle'!$J157="",'Detalle'!$K157="",'Detalle'!$L157=""),"",IF(AND(P$8&lt;='Detalle'!$K157,P$9&gt;='Detalle'!$J157),1,""))</x:f>
      </x:c>
      <x:c r="Q318" s="68"/>
      <x:c r="R318" s="67" t="str"/>
      <x:c r="S318" s="67" t="str"/>
    </x:row>
    <x:row r="319" ht="16" customHeight="1">
      <x:c r="A319" s="56" t="str">
        <x:v>COM01.011</x:v>
      </x:c>
      <x:c r="B319" s="57" t="str">
        <x:v>Añadir fotografía opcional al post</x:v>
      </x:c>
      <x:c r="C319" s="62" t="str">
        <x:v>E</x:v>
      </x:c>
      <x:c r="D319" s="64" t="n">
        <x:f>'Detalle'!I158</x:f>
        <x:v>1</x:v>
      </x:c>
      <x:c r="E319" s="60" t="str">
        <x:f>'Detalle'!F158</x:f>
        <x:v>Completado</x:v>
      </x:c>
      <x:c r="F319" s="32" t="str">
        <x:f>IF(AND(F$8&lt;='Detalle'!$H158,F$9&gt;='Detalle'!$G158),1,"")</x:f>
      </x:c>
      <x:c r="G319" s="32" t="str">
        <x:f>IF(AND(G$8&lt;='Detalle'!$H158,G$9&gt;='Detalle'!$G158),1,"")</x:f>
      </x:c>
      <x:c r="H319" s="32" t="n">
        <x:f>IF(AND(H$8&lt;='Detalle'!$H158,H$9&gt;='Detalle'!$G158),1,"")</x:f>
        <x:v>1</x:v>
      </x:c>
      <x:c r="I319" s="32" t="str">
        <x:f>IF(AND(I$8&lt;='Detalle'!$H158,I$9&gt;='Detalle'!$G158),1,"")</x:f>
      </x:c>
      <x:c r="J319" s="32" t="str">
        <x:f>IF(AND(J$8&lt;='Detalle'!$H158,J$9&gt;='Detalle'!$G158),1,"")</x:f>
      </x:c>
      <x:c r="K319" s="32" t="str">
        <x:f>IF(AND(K$8&lt;='Detalle'!$H158,K$9&gt;='Detalle'!$G158),1,"")</x:f>
      </x:c>
      <x:c r="L319" s="32" t="str">
        <x:f>IF(AND(L$8&lt;='Detalle'!$H158,L$9&gt;='Detalle'!$G158),1,"")</x:f>
      </x:c>
      <x:c r="M319" s="32" t="str">
        <x:f>IF(AND(M$8&lt;='Detalle'!$H158,M$9&gt;='Detalle'!$G158),1,"")</x:f>
      </x:c>
      <x:c r="N319" s="32" t="str">
        <x:f>IF(AND(N$8&lt;='Detalle'!$H158,N$9&gt;='Detalle'!$G158),1,"")</x:f>
      </x:c>
      <x:c r="O319" s="32" t="str">
        <x:f>IF(AND(O$8&lt;='Detalle'!$H158,O$9&gt;='Detalle'!$G158),1,"")</x:f>
      </x:c>
      <x:c r="P319" s="32" t="str">
        <x:f>IF(AND(P$8&lt;='Detalle'!$H158,P$9&gt;='Detalle'!$G158),1,"")</x:f>
      </x:c>
      <x:c r="Q319" s="68"/>
      <x:c r="R319" s="67" t="str">
        <x:f>IF('Detalle'!M158="","",'Detalle'!M158)</x:f>
      </x:c>
      <x:c r="S319" s="67" t="str">
        <x:f>IF('Detalle'!N158="","",'Detalle'!N158)</x:f>
      </x:c>
    </x:row>
    <x:row r="320" ht="16" customHeight="1">
      <x:c r="A320" s="56" t="str">
        <x:v>COM01.011</x:v>
      </x:c>
      <x:c r="B320" s="57" t="str">
        <x:v>Añadir fotografía opcional al post</x:v>
      </x:c>
      <x:c r="C320" s="63" t="str">
        <x:v>R</x:v>
      </x:c>
      <x:c r="D320" s="65" t="str">
        <x:f>IF('Detalle'!L158="","",'Detalle'!L158)</x:f>
      </x:c>
      <x:c r="E320" s="60" t="str"/>
      <x:c r="F320" s="32" t="str">
        <x:f>IF(OR('Detalle'!$J158="",'Detalle'!$K158="",'Detalle'!$L158=""),"",IF(AND(F$8&lt;='Detalle'!$K158,F$9&gt;='Detalle'!$J158),1,""))</x:f>
      </x:c>
      <x:c r="G320" s="32" t="str">
        <x:f>IF(OR('Detalle'!$J158="",'Detalle'!$K158="",'Detalle'!$L158=""),"",IF(AND(G$8&lt;='Detalle'!$K158,G$9&gt;='Detalle'!$J158),1,""))</x:f>
      </x:c>
      <x:c r="H320" s="32" t="str">
        <x:f>IF(OR('Detalle'!$J158="",'Detalle'!$K158="",'Detalle'!$L158=""),"",IF(AND(H$8&lt;='Detalle'!$K158,H$9&gt;='Detalle'!$J158),1,""))</x:f>
      </x:c>
      <x:c r="I320" s="32" t="str">
        <x:f>IF(OR('Detalle'!$J158="",'Detalle'!$K158="",'Detalle'!$L158=""),"",IF(AND(I$8&lt;='Detalle'!$K158,I$9&gt;='Detalle'!$J158),1,""))</x:f>
      </x:c>
      <x:c r="J320" s="32" t="str">
        <x:f>IF(OR('Detalle'!$J158="",'Detalle'!$K158="",'Detalle'!$L158=""),"",IF(AND(J$8&lt;='Detalle'!$K158,J$9&gt;='Detalle'!$J158),1,""))</x:f>
      </x:c>
      <x:c r="K320" s="32" t="str">
        <x:f>IF(OR('Detalle'!$J158="",'Detalle'!$K158="",'Detalle'!$L158=""),"",IF(AND(K$8&lt;='Detalle'!$K158,K$9&gt;='Detalle'!$J158),1,""))</x:f>
      </x:c>
      <x:c r="L320" s="32" t="str">
        <x:f>IF(OR('Detalle'!$J158="",'Detalle'!$K158="",'Detalle'!$L158=""),"",IF(AND(L$8&lt;='Detalle'!$K158,L$9&gt;='Detalle'!$J158),1,""))</x:f>
      </x:c>
      <x:c r="M320" s="32" t="str">
        <x:f>IF(OR('Detalle'!$J158="",'Detalle'!$K158="",'Detalle'!$L158=""),"",IF(AND(M$8&lt;='Detalle'!$K158,M$9&gt;='Detalle'!$J158),1,""))</x:f>
      </x:c>
      <x:c r="N320" s="32" t="str">
        <x:f>IF(OR('Detalle'!$J158="",'Detalle'!$K158="",'Detalle'!$L158=""),"",IF(AND(N$8&lt;='Detalle'!$K158,N$9&gt;='Detalle'!$J158),1,""))</x:f>
      </x:c>
      <x:c r="O320" s="32" t="str">
        <x:f>IF(OR('Detalle'!$J158="",'Detalle'!$K158="",'Detalle'!$L158=""),"",IF(AND(O$8&lt;='Detalle'!$K158,O$9&gt;='Detalle'!$J158),1,""))</x:f>
      </x:c>
      <x:c r="P320" s="32" t="str">
        <x:f>IF(OR('Detalle'!$J158="",'Detalle'!$K158="",'Detalle'!$L158=""),"",IF(AND(P$8&lt;='Detalle'!$K158,P$9&gt;='Detalle'!$J158),1,""))</x:f>
      </x:c>
      <x:c r="Q320" s="68"/>
      <x:c r="R320" s="67" t="str"/>
      <x:c r="S320" s="67" t="str"/>
    </x:row>
    <x:row r="321" ht="16" customHeight="1">
      <x:c r="A321" s="56" t="str">
        <x:v>COM01.012</x:v>
      </x:c>
      <x:c r="B321" s="57" t="str">
        <x:v>Crear almacenamiento privado post-images</x:v>
      </x:c>
      <x:c r="C321" s="62" t="str">
        <x:v>E</x:v>
      </x:c>
      <x:c r="D321" s="64" t="n">
        <x:f>'Detalle'!I159</x:f>
        <x:v>1</x:v>
      </x:c>
      <x:c r="E321" s="60" t="str">
        <x:f>'Detalle'!F159</x:f>
        <x:v>Completado</x:v>
      </x:c>
      <x:c r="F321" s="32" t="str">
        <x:f>IF(AND(F$8&lt;='Detalle'!$H159,F$9&gt;='Detalle'!$G159),1,"")</x:f>
      </x:c>
      <x:c r="G321" s="32" t="str">
        <x:f>IF(AND(G$8&lt;='Detalle'!$H159,G$9&gt;='Detalle'!$G159),1,"")</x:f>
      </x:c>
      <x:c r="H321" s="32" t="n">
        <x:f>IF(AND(H$8&lt;='Detalle'!$H159,H$9&gt;='Detalle'!$G159),1,"")</x:f>
        <x:v>1</x:v>
      </x:c>
      <x:c r="I321" s="32" t="str">
        <x:f>IF(AND(I$8&lt;='Detalle'!$H159,I$9&gt;='Detalle'!$G159),1,"")</x:f>
      </x:c>
      <x:c r="J321" s="32" t="str">
        <x:f>IF(AND(J$8&lt;='Detalle'!$H159,J$9&gt;='Detalle'!$G159),1,"")</x:f>
      </x:c>
      <x:c r="K321" s="32" t="str">
        <x:f>IF(AND(K$8&lt;='Detalle'!$H159,K$9&gt;='Detalle'!$G159),1,"")</x:f>
      </x:c>
      <x:c r="L321" s="32" t="str">
        <x:f>IF(AND(L$8&lt;='Detalle'!$H159,L$9&gt;='Detalle'!$G159),1,"")</x:f>
      </x:c>
      <x:c r="M321" s="32" t="str">
        <x:f>IF(AND(M$8&lt;='Detalle'!$H159,M$9&gt;='Detalle'!$G159),1,"")</x:f>
      </x:c>
      <x:c r="N321" s="32" t="str">
        <x:f>IF(AND(N$8&lt;='Detalle'!$H159,N$9&gt;='Detalle'!$G159),1,"")</x:f>
      </x:c>
      <x:c r="O321" s="32" t="str">
        <x:f>IF(AND(O$8&lt;='Detalle'!$H159,O$9&gt;='Detalle'!$G159),1,"")</x:f>
      </x:c>
      <x:c r="P321" s="32" t="str">
        <x:f>IF(AND(P$8&lt;='Detalle'!$H159,P$9&gt;='Detalle'!$G159),1,"")</x:f>
      </x:c>
      <x:c r="Q321" s="68"/>
      <x:c r="R321" s="67" t="str">
        <x:f>IF('Detalle'!M159="","",'Detalle'!M159)</x:f>
      </x:c>
      <x:c r="S321" s="67" t="str">
        <x:f>IF('Detalle'!N159="","",'Detalle'!N159)</x:f>
      </x:c>
    </x:row>
    <x:row r="322" ht="16" customHeight="1">
      <x:c r="A322" s="56" t="str">
        <x:v>COM01.012</x:v>
      </x:c>
      <x:c r="B322" s="57" t="str">
        <x:v>Crear almacenamiento privado post-images</x:v>
      </x:c>
      <x:c r="C322" s="63" t="str">
        <x:v>R</x:v>
      </x:c>
      <x:c r="D322" s="65" t="str">
        <x:f>IF('Detalle'!L159="","",'Detalle'!L159)</x:f>
      </x:c>
      <x:c r="E322" s="60" t="str"/>
      <x:c r="F322" s="32" t="str">
        <x:f>IF(OR('Detalle'!$J159="",'Detalle'!$K159="",'Detalle'!$L159=""),"",IF(AND(F$8&lt;='Detalle'!$K159,F$9&gt;='Detalle'!$J159),1,""))</x:f>
      </x:c>
      <x:c r="G322" s="32" t="str">
        <x:f>IF(OR('Detalle'!$J159="",'Detalle'!$K159="",'Detalle'!$L159=""),"",IF(AND(G$8&lt;='Detalle'!$K159,G$9&gt;='Detalle'!$J159),1,""))</x:f>
      </x:c>
      <x:c r="H322" s="32" t="str">
        <x:f>IF(OR('Detalle'!$J159="",'Detalle'!$K159="",'Detalle'!$L159=""),"",IF(AND(H$8&lt;='Detalle'!$K159,H$9&gt;='Detalle'!$J159),1,""))</x:f>
      </x:c>
      <x:c r="I322" s="32" t="str">
        <x:f>IF(OR('Detalle'!$J159="",'Detalle'!$K159="",'Detalle'!$L159=""),"",IF(AND(I$8&lt;='Detalle'!$K159,I$9&gt;='Detalle'!$J159),1,""))</x:f>
      </x:c>
      <x:c r="J322" s="32" t="str">
        <x:f>IF(OR('Detalle'!$J159="",'Detalle'!$K159="",'Detalle'!$L159=""),"",IF(AND(J$8&lt;='Detalle'!$K159,J$9&gt;='Detalle'!$J159),1,""))</x:f>
      </x:c>
      <x:c r="K322" s="32" t="str">
        <x:f>IF(OR('Detalle'!$J159="",'Detalle'!$K159="",'Detalle'!$L159=""),"",IF(AND(K$8&lt;='Detalle'!$K159,K$9&gt;='Detalle'!$J159),1,""))</x:f>
      </x:c>
      <x:c r="L322" s="32" t="str">
        <x:f>IF(OR('Detalle'!$J159="",'Detalle'!$K159="",'Detalle'!$L159=""),"",IF(AND(L$8&lt;='Detalle'!$K159,L$9&gt;='Detalle'!$J159),1,""))</x:f>
      </x:c>
      <x:c r="M322" s="32" t="str">
        <x:f>IF(OR('Detalle'!$J159="",'Detalle'!$K159="",'Detalle'!$L159=""),"",IF(AND(M$8&lt;='Detalle'!$K159,M$9&gt;='Detalle'!$J159),1,""))</x:f>
      </x:c>
      <x:c r="N322" s="32" t="str">
        <x:f>IF(OR('Detalle'!$J159="",'Detalle'!$K159="",'Detalle'!$L159=""),"",IF(AND(N$8&lt;='Detalle'!$K159,N$9&gt;='Detalle'!$J159),1,""))</x:f>
      </x:c>
      <x:c r="O322" s="32" t="str">
        <x:f>IF(OR('Detalle'!$J159="",'Detalle'!$K159="",'Detalle'!$L159=""),"",IF(AND(O$8&lt;='Detalle'!$K159,O$9&gt;='Detalle'!$J159),1,""))</x:f>
      </x:c>
      <x:c r="P322" s="32" t="str">
        <x:f>IF(OR('Detalle'!$J159="",'Detalle'!$K159="",'Detalle'!$L159=""),"",IF(AND(P$8&lt;='Detalle'!$K159,P$9&gt;='Detalle'!$J159),1,""))</x:f>
      </x:c>
      <x:c r="Q322" s="68"/>
      <x:c r="R322" s="67" t="str"/>
      <x:c r="S322" s="67" t="str"/>
    </x:row>
    <x:row r="323" ht="16" customHeight="1">
      <x:c r="A323" s="56" t="str">
        <x:v>COM01.013</x:v>
      </x:c>
      <x:c r="B323" s="57" t="str">
        <x:v>Publicar contenido propio</x:v>
      </x:c>
      <x:c r="C323" s="62" t="str">
        <x:v>E</x:v>
      </x:c>
      <x:c r="D323" s="64" t="n">
        <x:f>'Detalle'!I160</x:f>
        <x:v>1</x:v>
      </x:c>
      <x:c r="E323" s="60" t="str">
        <x:f>'Detalle'!F160</x:f>
        <x:v>Completado</x:v>
      </x:c>
      <x:c r="F323" s="32" t="str">
        <x:f>IF(AND(F$8&lt;='Detalle'!$H160,F$9&gt;='Detalle'!$G160),1,"")</x:f>
      </x:c>
      <x:c r="G323" s="32" t="str">
        <x:f>IF(AND(G$8&lt;='Detalle'!$H160,G$9&gt;='Detalle'!$G160),1,"")</x:f>
      </x:c>
      <x:c r="H323" s="32" t="n">
        <x:f>IF(AND(H$8&lt;='Detalle'!$H160,H$9&gt;='Detalle'!$G160),1,"")</x:f>
        <x:v>1</x:v>
      </x:c>
      <x:c r="I323" s="32" t="str">
        <x:f>IF(AND(I$8&lt;='Detalle'!$H160,I$9&gt;='Detalle'!$G160),1,"")</x:f>
      </x:c>
      <x:c r="J323" s="32" t="str">
        <x:f>IF(AND(J$8&lt;='Detalle'!$H160,J$9&gt;='Detalle'!$G160),1,"")</x:f>
      </x:c>
      <x:c r="K323" s="32" t="str">
        <x:f>IF(AND(K$8&lt;='Detalle'!$H160,K$9&gt;='Detalle'!$G160),1,"")</x:f>
      </x:c>
      <x:c r="L323" s="32" t="str">
        <x:f>IF(AND(L$8&lt;='Detalle'!$H160,L$9&gt;='Detalle'!$G160),1,"")</x:f>
      </x:c>
      <x:c r="M323" s="32" t="str">
        <x:f>IF(AND(M$8&lt;='Detalle'!$H160,M$9&gt;='Detalle'!$G160),1,"")</x:f>
      </x:c>
      <x:c r="N323" s="32" t="str">
        <x:f>IF(AND(N$8&lt;='Detalle'!$H160,N$9&gt;='Detalle'!$G160),1,"")</x:f>
      </x:c>
      <x:c r="O323" s="32" t="str">
        <x:f>IF(AND(O$8&lt;='Detalle'!$H160,O$9&gt;='Detalle'!$G160),1,"")</x:f>
      </x:c>
      <x:c r="P323" s="32" t="str">
        <x:f>IF(AND(P$8&lt;='Detalle'!$H160,P$9&gt;='Detalle'!$G160),1,"")</x:f>
      </x:c>
      <x:c r="Q323" s="68"/>
      <x:c r="R323" s="67" t="str">
        <x:f>IF('Detalle'!M160="","",'Detalle'!M160)</x:f>
      </x:c>
      <x:c r="S323" s="67" t="str">
        <x:f>IF('Detalle'!N160="","",'Detalle'!N160)</x:f>
      </x:c>
    </x:row>
    <x:row r="324" ht="16" customHeight="1">
      <x:c r="A324" s="56" t="str">
        <x:v>COM01.013</x:v>
      </x:c>
      <x:c r="B324" s="57" t="str">
        <x:v>Publicar contenido propio</x:v>
      </x:c>
      <x:c r="C324" s="63" t="str">
        <x:v>R</x:v>
      </x:c>
      <x:c r="D324" s="65" t="str">
        <x:f>IF('Detalle'!L160="","",'Detalle'!L160)</x:f>
      </x:c>
      <x:c r="E324" s="60" t="str"/>
      <x:c r="F324" s="32" t="str">
        <x:f>IF(OR('Detalle'!$J160="",'Detalle'!$K160="",'Detalle'!$L160=""),"",IF(AND(F$8&lt;='Detalle'!$K160,F$9&gt;='Detalle'!$J160),1,""))</x:f>
      </x:c>
      <x:c r="G324" s="32" t="str">
        <x:f>IF(OR('Detalle'!$J160="",'Detalle'!$K160="",'Detalle'!$L160=""),"",IF(AND(G$8&lt;='Detalle'!$K160,G$9&gt;='Detalle'!$J160),1,""))</x:f>
      </x:c>
      <x:c r="H324" s="32" t="str">
        <x:f>IF(OR('Detalle'!$J160="",'Detalle'!$K160="",'Detalle'!$L160=""),"",IF(AND(H$8&lt;='Detalle'!$K160,H$9&gt;='Detalle'!$J160),1,""))</x:f>
      </x:c>
      <x:c r="I324" s="32" t="str">
        <x:f>IF(OR('Detalle'!$J160="",'Detalle'!$K160="",'Detalle'!$L160=""),"",IF(AND(I$8&lt;='Detalle'!$K160,I$9&gt;='Detalle'!$J160),1,""))</x:f>
      </x:c>
      <x:c r="J324" s="32" t="str">
        <x:f>IF(OR('Detalle'!$J160="",'Detalle'!$K160="",'Detalle'!$L160=""),"",IF(AND(J$8&lt;='Detalle'!$K160,J$9&gt;='Detalle'!$J160),1,""))</x:f>
      </x:c>
      <x:c r="K324" s="32" t="str">
        <x:f>IF(OR('Detalle'!$J160="",'Detalle'!$K160="",'Detalle'!$L160=""),"",IF(AND(K$8&lt;='Detalle'!$K160,K$9&gt;='Detalle'!$J160),1,""))</x:f>
      </x:c>
      <x:c r="L324" s="32" t="str">
        <x:f>IF(OR('Detalle'!$J160="",'Detalle'!$K160="",'Detalle'!$L160=""),"",IF(AND(L$8&lt;='Detalle'!$K160,L$9&gt;='Detalle'!$J160),1,""))</x:f>
      </x:c>
      <x:c r="M324" s="32" t="str">
        <x:f>IF(OR('Detalle'!$J160="",'Detalle'!$K160="",'Detalle'!$L160=""),"",IF(AND(M$8&lt;='Detalle'!$K160,M$9&gt;='Detalle'!$J160),1,""))</x:f>
      </x:c>
      <x:c r="N324" s="32" t="str">
        <x:f>IF(OR('Detalle'!$J160="",'Detalle'!$K160="",'Detalle'!$L160=""),"",IF(AND(N$8&lt;='Detalle'!$K160,N$9&gt;='Detalle'!$J160),1,""))</x:f>
      </x:c>
      <x:c r="O324" s="32" t="str">
        <x:f>IF(OR('Detalle'!$J160="",'Detalle'!$K160="",'Detalle'!$L160=""),"",IF(AND(O$8&lt;='Detalle'!$K160,O$9&gt;='Detalle'!$J160),1,""))</x:f>
      </x:c>
      <x:c r="P324" s="32" t="str">
        <x:f>IF(OR('Detalle'!$J160="",'Detalle'!$K160="",'Detalle'!$L160=""),"",IF(AND(P$8&lt;='Detalle'!$K160,P$9&gt;='Detalle'!$J160),1,""))</x:f>
      </x:c>
      <x:c r="Q324" s="68"/>
      <x:c r="R324" s="67" t="str"/>
      <x:c r="S324" s="67" t="str"/>
    </x:row>
    <x:row r="325" ht="16" customHeight="1">
      <x:c r="A325" s="56" t="str">
        <x:v>COM01.014</x:v>
      </x:c>
      <x:c r="B325" s="57" t="str">
        <x:v>Editar publicaciones propias</x:v>
      </x:c>
      <x:c r="C325" s="62" t="str">
        <x:v>E</x:v>
      </x:c>
      <x:c r="D325" s="64" t="n">
        <x:f>'Detalle'!I161</x:f>
        <x:v>1</x:v>
      </x:c>
      <x:c r="E325" s="60" t="str">
        <x:f>'Detalle'!F161</x:f>
        <x:v>Completado</x:v>
      </x:c>
      <x:c r="F325" s="32" t="str">
        <x:f>IF(AND(F$8&lt;='Detalle'!$H161,F$9&gt;='Detalle'!$G161),1,"")</x:f>
      </x:c>
      <x:c r="G325" s="32" t="str">
        <x:f>IF(AND(G$8&lt;='Detalle'!$H161,G$9&gt;='Detalle'!$G161),1,"")</x:f>
      </x:c>
      <x:c r="H325" s="32" t="n">
        <x:f>IF(AND(H$8&lt;='Detalle'!$H161,H$9&gt;='Detalle'!$G161),1,"")</x:f>
        <x:v>1</x:v>
      </x:c>
      <x:c r="I325" s="32" t="str">
        <x:f>IF(AND(I$8&lt;='Detalle'!$H161,I$9&gt;='Detalle'!$G161),1,"")</x:f>
      </x:c>
      <x:c r="J325" s="32" t="str">
        <x:f>IF(AND(J$8&lt;='Detalle'!$H161,J$9&gt;='Detalle'!$G161),1,"")</x:f>
      </x:c>
      <x:c r="K325" s="32" t="str">
        <x:f>IF(AND(K$8&lt;='Detalle'!$H161,K$9&gt;='Detalle'!$G161),1,"")</x:f>
      </x:c>
      <x:c r="L325" s="32" t="str">
        <x:f>IF(AND(L$8&lt;='Detalle'!$H161,L$9&gt;='Detalle'!$G161),1,"")</x:f>
      </x:c>
      <x:c r="M325" s="32" t="str">
        <x:f>IF(AND(M$8&lt;='Detalle'!$H161,M$9&gt;='Detalle'!$G161),1,"")</x:f>
      </x:c>
      <x:c r="N325" s="32" t="str">
        <x:f>IF(AND(N$8&lt;='Detalle'!$H161,N$9&gt;='Detalle'!$G161),1,"")</x:f>
      </x:c>
      <x:c r="O325" s="32" t="str">
        <x:f>IF(AND(O$8&lt;='Detalle'!$H161,O$9&gt;='Detalle'!$G161),1,"")</x:f>
      </x:c>
      <x:c r="P325" s="32" t="str">
        <x:f>IF(AND(P$8&lt;='Detalle'!$H161,P$9&gt;='Detalle'!$G161),1,"")</x:f>
      </x:c>
      <x:c r="Q325" s="68"/>
      <x:c r="R325" s="67" t="str">
        <x:f>IF('Detalle'!M161="","",'Detalle'!M161)</x:f>
      </x:c>
      <x:c r="S325" s="67" t="str">
        <x:f>IF('Detalle'!N161="","",'Detalle'!N161)</x:f>
      </x:c>
    </x:row>
    <x:row r="326" ht="16" customHeight="1">
      <x:c r="A326" s="56" t="str">
        <x:v>COM01.014</x:v>
      </x:c>
      <x:c r="B326" s="57" t="str">
        <x:v>Editar publicaciones propias</x:v>
      </x:c>
      <x:c r="C326" s="63" t="str">
        <x:v>R</x:v>
      </x:c>
      <x:c r="D326" s="65" t="str">
        <x:f>IF('Detalle'!L161="","",'Detalle'!L161)</x:f>
      </x:c>
      <x:c r="E326" s="60" t="str"/>
      <x:c r="F326" s="32" t="str">
        <x:f>IF(OR('Detalle'!$J161="",'Detalle'!$K161="",'Detalle'!$L161=""),"",IF(AND(F$8&lt;='Detalle'!$K161,F$9&gt;='Detalle'!$J161),1,""))</x:f>
      </x:c>
      <x:c r="G326" s="32" t="str">
        <x:f>IF(OR('Detalle'!$J161="",'Detalle'!$K161="",'Detalle'!$L161=""),"",IF(AND(G$8&lt;='Detalle'!$K161,G$9&gt;='Detalle'!$J161),1,""))</x:f>
      </x:c>
      <x:c r="H326" s="32" t="str">
        <x:f>IF(OR('Detalle'!$J161="",'Detalle'!$K161="",'Detalle'!$L161=""),"",IF(AND(H$8&lt;='Detalle'!$K161,H$9&gt;='Detalle'!$J161),1,""))</x:f>
      </x:c>
      <x:c r="I326" s="32" t="str">
        <x:f>IF(OR('Detalle'!$J161="",'Detalle'!$K161="",'Detalle'!$L161=""),"",IF(AND(I$8&lt;='Detalle'!$K161,I$9&gt;='Detalle'!$J161),1,""))</x:f>
      </x:c>
      <x:c r="J326" s="32" t="str">
        <x:f>IF(OR('Detalle'!$J161="",'Detalle'!$K161="",'Detalle'!$L161=""),"",IF(AND(J$8&lt;='Detalle'!$K161,J$9&gt;='Detalle'!$J161),1,""))</x:f>
      </x:c>
      <x:c r="K326" s="32" t="str">
        <x:f>IF(OR('Detalle'!$J161="",'Detalle'!$K161="",'Detalle'!$L161=""),"",IF(AND(K$8&lt;='Detalle'!$K161,K$9&gt;='Detalle'!$J161),1,""))</x:f>
      </x:c>
      <x:c r="L326" s="32" t="str">
        <x:f>IF(OR('Detalle'!$J161="",'Detalle'!$K161="",'Detalle'!$L161=""),"",IF(AND(L$8&lt;='Detalle'!$K161,L$9&gt;='Detalle'!$J161),1,""))</x:f>
      </x:c>
      <x:c r="M326" s="32" t="str">
        <x:f>IF(OR('Detalle'!$J161="",'Detalle'!$K161="",'Detalle'!$L161=""),"",IF(AND(M$8&lt;='Detalle'!$K161,M$9&gt;='Detalle'!$J161),1,""))</x:f>
      </x:c>
      <x:c r="N326" s="32" t="str">
        <x:f>IF(OR('Detalle'!$J161="",'Detalle'!$K161="",'Detalle'!$L161=""),"",IF(AND(N$8&lt;='Detalle'!$K161,N$9&gt;='Detalle'!$J161),1,""))</x:f>
      </x:c>
      <x:c r="O326" s="32" t="str">
        <x:f>IF(OR('Detalle'!$J161="",'Detalle'!$K161="",'Detalle'!$L161=""),"",IF(AND(O$8&lt;='Detalle'!$K161,O$9&gt;='Detalle'!$J161),1,""))</x:f>
      </x:c>
      <x:c r="P326" s="32" t="str">
        <x:f>IF(OR('Detalle'!$J161="",'Detalle'!$K161="",'Detalle'!$L161=""),"",IF(AND(P$8&lt;='Detalle'!$K161,P$9&gt;='Detalle'!$J161),1,""))</x:f>
      </x:c>
      <x:c r="Q326" s="68"/>
      <x:c r="R326" s="67" t="str"/>
      <x:c r="S326" s="67" t="str"/>
    </x:row>
    <x:row r="327" ht="16" customHeight="1">
      <x:c r="A327" s="56" t="str">
        <x:v>COM01.015</x:v>
      </x:c>
      <x:c r="B327" s="57" t="str">
        <x:v>Eliminar publicación con confirmación</x:v>
      </x:c>
      <x:c r="C327" s="62" t="str">
        <x:v>E</x:v>
      </x:c>
      <x:c r="D327" s="64" t="n">
        <x:f>'Detalle'!I162</x:f>
        <x:v>1</x:v>
      </x:c>
      <x:c r="E327" s="60" t="str">
        <x:f>'Detalle'!F162</x:f>
        <x:v>Completado</x:v>
      </x:c>
      <x:c r="F327" s="32" t="str">
        <x:f>IF(AND(F$8&lt;='Detalle'!$H162,F$9&gt;='Detalle'!$G162),1,"")</x:f>
      </x:c>
      <x:c r="G327" s="32" t="str">
        <x:f>IF(AND(G$8&lt;='Detalle'!$H162,G$9&gt;='Detalle'!$G162),1,"")</x:f>
      </x:c>
      <x:c r="H327" s="32" t="n">
        <x:f>IF(AND(H$8&lt;='Detalle'!$H162,H$9&gt;='Detalle'!$G162),1,"")</x:f>
        <x:v>1</x:v>
      </x:c>
      <x:c r="I327" s="32" t="str">
        <x:f>IF(AND(I$8&lt;='Detalle'!$H162,I$9&gt;='Detalle'!$G162),1,"")</x:f>
      </x:c>
      <x:c r="J327" s="32" t="str">
        <x:f>IF(AND(J$8&lt;='Detalle'!$H162,J$9&gt;='Detalle'!$G162),1,"")</x:f>
      </x:c>
      <x:c r="K327" s="32" t="str">
        <x:f>IF(AND(K$8&lt;='Detalle'!$H162,K$9&gt;='Detalle'!$G162),1,"")</x:f>
      </x:c>
      <x:c r="L327" s="32" t="str">
        <x:f>IF(AND(L$8&lt;='Detalle'!$H162,L$9&gt;='Detalle'!$G162),1,"")</x:f>
      </x:c>
      <x:c r="M327" s="32" t="str">
        <x:f>IF(AND(M$8&lt;='Detalle'!$H162,M$9&gt;='Detalle'!$G162),1,"")</x:f>
      </x:c>
      <x:c r="N327" s="32" t="str">
        <x:f>IF(AND(N$8&lt;='Detalle'!$H162,N$9&gt;='Detalle'!$G162),1,"")</x:f>
      </x:c>
      <x:c r="O327" s="32" t="str">
        <x:f>IF(AND(O$8&lt;='Detalle'!$H162,O$9&gt;='Detalle'!$G162),1,"")</x:f>
      </x:c>
      <x:c r="P327" s="32" t="str">
        <x:f>IF(AND(P$8&lt;='Detalle'!$H162,P$9&gt;='Detalle'!$G162),1,"")</x:f>
      </x:c>
      <x:c r="Q327" s="68"/>
      <x:c r="R327" s="67" t="str">
        <x:f>IF('Detalle'!M162="","",'Detalle'!M162)</x:f>
      </x:c>
      <x:c r="S327" s="67" t="str">
        <x:f>IF('Detalle'!N162="","",'Detalle'!N162)</x:f>
      </x:c>
    </x:row>
    <x:row r="328" ht="16" customHeight="1">
      <x:c r="A328" s="56" t="str">
        <x:v>COM01.015</x:v>
      </x:c>
      <x:c r="B328" s="57" t="str">
        <x:v>Eliminar publicación con confirmación</x:v>
      </x:c>
      <x:c r="C328" s="63" t="str">
        <x:v>R</x:v>
      </x:c>
      <x:c r="D328" s="65" t="str">
        <x:f>IF('Detalle'!L162="","",'Detalle'!L162)</x:f>
      </x:c>
      <x:c r="E328" s="60" t="str"/>
      <x:c r="F328" s="32" t="str">
        <x:f>IF(OR('Detalle'!$J162="",'Detalle'!$K162="",'Detalle'!$L162=""),"",IF(AND(F$8&lt;='Detalle'!$K162,F$9&gt;='Detalle'!$J162),1,""))</x:f>
      </x:c>
      <x:c r="G328" s="32" t="str">
        <x:f>IF(OR('Detalle'!$J162="",'Detalle'!$K162="",'Detalle'!$L162=""),"",IF(AND(G$8&lt;='Detalle'!$K162,G$9&gt;='Detalle'!$J162),1,""))</x:f>
      </x:c>
      <x:c r="H328" s="32" t="str">
        <x:f>IF(OR('Detalle'!$J162="",'Detalle'!$K162="",'Detalle'!$L162=""),"",IF(AND(H$8&lt;='Detalle'!$K162,H$9&gt;='Detalle'!$J162),1,""))</x:f>
      </x:c>
      <x:c r="I328" s="32" t="str">
        <x:f>IF(OR('Detalle'!$J162="",'Detalle'!$K162="",'Detalle'!$L162=""),"",IF(AND(I$8&lt;='Detalle'!$K162,I$9&gt;='Detalle'!$J162),1,""))</x:f>
      </x:c>
      <x:c r="J328" s="32" t="str">
        <x:f>IF(OR('Detalle'!$J162="",'Detalle'!$K162="",'Detalle'!$L162=""),"",IF(AND(J$8&lt;='Detalle'!$K162,J$9&gt;='Detalle'!$J162),1,""))</x:f>
      </x:c>
      <x:c r="K328" s="32" t="str">
        <x:f>IF(OR('Detalle'!$J162="",'Detalle'!$K162="",'Detalle'!$L162=""),"",IF(AND(K$8&lt;='Detalle'!$K162,K$9&gt;='Detalle'!$J162),1,""))</x:f>
      </x:c>
      <x:c r="L328" s="32" t="str">
        <x:f>IF(OR('Detalle'!$J162="",'Detalle'!$K162="",'Detalle'!$L162=""),"",IF(AND(L$8&lt;='Detalle'!$K162,L$9&gt;='Detalle'!$J162),1,""))</x:f>
      </x:c>
      <x:c r="M328" s="32" t="str">
        <x:f>IF(OR('Detalle'!$J162="",'Detalle'!$K162="",'Detalle'!$L162=""),"",IF(AND(M$8&lt;='Detalle'!$K162,M$9&gt;='Detalle'!$J162),1,""))</x:f>
      </x:c>
      <x:c r="N328" s="32" t="str">
        <x:f>IF(OR('Detalle'!$J162="",'Detalle'!$K162="",'Detalle'!$L162=""),"",IF(AND(N$8&lt;='Detalle'!$K162,N$9&gt;='Detalle'!$J162),1,""))</x:f>
      </x:c>
      <x:c r="O328" s="32" t="str">
        <x:f>IF(OR('Detalle'!$J162="",'Detalle'!$K162="",'Detalle'!$L162=""),"",IF(AND(O$8&lt;='Detalle'!$K162,O$9&gt;='Detalle'!$J162),1,""))</x:f>
      </x:c>
      <x:c r="P328" s="32" t="str">
        <x:f>IF(OR('Detalle'!$J162="",'Detalle'!$K162="",'Detalle'!$L162=""),"",IF(AND(P$8&lt;='Detalle'!$K162,P$9&gt;='Detalle'!$J162),1,""))</x:f>
      </x:c>
      <x:c r="Q328" s="68"/>
      <x:c r="R328" s="67" t="str"/>
      <x:c r="S328" s="67" t="str"/>
    </x:row>
    <x:row r="329" ht="16" customHeight="1">
      <x:c r="A329" s="56" t="str">
        <x:v>COM01.016</x:v>
      </x:c>
      <x:c r="B329" s="57" t="str">
        <x:v>Crear guardados privados de posts</x:v>
      </x:c>
      <x:c r="C329" s="62" t="str">
        <x:v>E</x:v>
      </x:c>
      <x:c r="D329" s="64" t="n">
        <x:f>'Detalle'!I163</x:f>
        <x:v>1</x:v>
      </x:c>
      <x:c r="E329" s="60" t="str">
        <x:f>'Detalle'!F163</x:f>
        <x:v>Completado</x:v>
      </x:c>
      <x:c r="F329" s="32" t="str">
        <x:f>IF(AND(F$8&lt;='Detalle'!$H163,F$9&gt;='Detalle'!$G163),1,"")</x:f>
      </x:c>
      <x:c r="G329" s="32" t="str">
        <x:f>IF(AND(G$8&lt;='Detalle'!$H163,G$9&gt;='Detalle'!$G163),1,"")</x:f>
      </x:c>
      <x:c r="H329" s="32" t="n">
        <x:f>IF(AND(H$8&lt;='Detalle'!$H163,H$9&gt;='Detalle'!$G163),1,"")</x:f>
        <x:v>1</x:v>
      </x:c>
      <x:c r="I329" s="32" t="str">
        <x:f>IF(AND(I$8&lt;='Detalle'!$H163,I$9&gt;='Detalle'!$G163),1,"")</x:f>
      </x:c>
      <x:c r="J329" s="32" t="str">
        <x:f>IF(AND(J$8&lt;='Detalle'!$H163,J$9&gt;='Detalle'!$G163),1,"")</x:f>
      </x:c>
      <x:c r="K329" s="32" t="str">
        <x:f>IF(AND(K$8&lt;='Detalle'!$H163,K$9&gt;='Detalle'!$G163),1,"")</x:f>
      </x:c>
      <x:c r="L329" s="32" t="str">
        <x:f>IF(AND(L$8&lt;='Detalle'!$H163,L$9&gt;='Detalle'!$G163),1,"")</x:f>
      </x:c>
      <x:c r="M329" s="32" t="str">
        <x:f>IF(AND(M$8&lt;='Detalle'!$H163,M$9&gt;='Detalle'!$G163),1,"")</x:f>
      </x:c>
      <x:c r="N329" s="32" t="str">
        <x:f>IF(AND(N$8&lt;='Detalle'!$H163,N$9&gt;='Detalle'!$G163),1,"")</x:f>
      </x:c>
      <x:c r="O329" s="32" t="str">
        <x:f>IF(AND(O$8&lt;='Detalle'!$H163,O$9&gt;='Detalle'!$G163),1,"")</x:f>
      </x:c>
      <x:c r="P329" s="32" t="str">
        <x:f>IF(AND(P$8&lt;='Detalle'!$H163,P$9&gt;='Detalle'!$G163),1,"")</x:f>
      </x:c>
      <x:c r="Q329" s="68"/>
      <x:c r="R329" s="67" t="str">
        <x:f>IF('Detalle'!M163="","",'Detalle'!M163)</x:f>
      </x:c>
      <x:c r="S329" s="67" t="str">
        <x:f>IF('Detalle'!N163="","",'Detalle'!N163)</x:f>
      </x:c>
    </x:row>
    <x:row r="330" ht="16" customHeight="1">
      <x:c r="A330" s="56" t="str">
        <x:v>COM01.016</x:v>
      </x:c>
      <x:c r="B330" s="57" t="str">
        <x:v>Crear guardados privados de posts</x:v>
      </x:c>
      <x:c r="C330" s="63" t="str">
        <x:v>R</x:v>
      </x:c>
      <x:c r="D330" s="65" t="str">
        <x:f>IF('Detalle'!L163="","",'Detalle'!L163)</x:f>
      </x:c>
      <x:c r="E330" s="60" t="str"/>
      <x:c r="F330" s="32" t="str">
        <x:f>IF(OR('Detalle'!$J163="",'Detalle'!$K163="",'Detalle'!$L163=""),"",IF(AND(F$8&lt;='Detalle'!$K163,F$9&gt;='Detalle'!$J163),1,""))</x:f>
      </x:c>
      <x:c r="G330" s="32" t="str">
        <x:f>IF(OR('Detalle'!$J163="",'Detalle'!$K163="",'Detalle'!$L163=""),"",IF(AND(G$8&lt;='Detalle'!$K163,G$9&gt;='Detalle'!$J163),1,""))</x:f>
      </x:c>
      <x:c r="H330" s="32" t="str">
        <x:f>IF(OR('Detalle'!$J163="",'Detalle'!$K163="",'Detalle'!$L163=""),"",IF(AND(H$8&lt;='Detalle'!$K163,H$9&gt;='Detalle'!$J163),1,""))</x:f>
      </x:c>
      <x:c r="I330" s="32" t="str">
        <x:f>IF(OR('Detalle'!$J163="",'Detalle'!$K163="",'Detalle'!$L163=""),"",IF(AND(I$8&lt;='Detalle'!$K163,I$9&gt;='Detalle'!$J163),1,""))</x:f>
      </x:c>
      <x:c r="J330" s="32" t="str">
        <x:f>IF(OR('Detalle'!$J163="",'Detalle'!$K163="",'Detalle'!$L163=""),"",IF(AND(J$8&lt;='Detalle'!$K163,J$9&gt;='Detalle'!$J163),1,""))</x:f>
      </x:c>
      <x:c r="K330" s="32" t="str">
        <x:f>IF(OR('Detalle'!$J163="",'Detalle'!$K163="",'Detalle'!$L163=""),"",IF(AND(K$8&lt;='Detalle'!$K163,K$9&gt;='Detalle'!$J163),1,""))</x:f>
      </x:c>
      <x:c r="L330" s="32" t="str">
        <x:f>IF(OR('Detalle'!$J163="",'Detalle'!$K163="",'Detalle'!$L163=""),"",IF(AND(L$8&lt;='Detalle'!$K163,L$9&gt;='Detalle'!$J163),1,""))</x:f>
      </x:c>
      <x:c r="M330" s="32" t="str">
        <x:f>IF(OR('Detalle'!$J163="",'Detalle'!$K163="",'Detalle'!$L163=""),"",IF(AND(M$8&lt;='Detalle'!$K163,M$9&gt;='Detalle'!$J163),1,""))</x:f>
      </x:c>
      <x:c r="N330" s="32" t="str">
        <x:f>IF(OR('Detalle'!$J163="",'Detalle'!$K163="",'Detalle'!$L163=""),"",IF(AND(N$8&lt;='Detalle'!$K163,N$9&gt;='Detalle'!$J163),1,""))</x:f>
      </x:c>
      <x:c r="O330" s="32" t="str">
        <x:f>IF(OR('Detalle'!$J163="",'Detalle'!$K163="",'Detalle'!$L163=""),"",IF(AND(O$8&lt;='Detalle'!$K163,O$9&gt;='Detalle'!$J163),1,""))</x:f>
      </x:c>
      <x:c r="P330" s="32" t="str">
        <x:f>IF(OR('Detalle'!$J163="",'Detalle'!$K163="",'Detalle'!$L163=""),"",IF(AND(P$8&lt;='Detalle'!$K163,P$9&gt;='Detalle'!$J163),1,""))</x:f>
      </x:c>
      <x:c r="Q330" s="68"/>
      <x:c r="R330" s="67" t="str"/>
      <x:c r="S330" s="67" t="str"/>
    </x:row>
    <x:row r="331" ht="16" customHeight="1">
      <x:c r="A331" s="56" t="str">
        <x:v>COM01.017</x:v>
      </x:c>
      <x:c r="B331" s="57" t="str">
        <x:v>Guardar y quitar publicaciones</x:v>
      </x:c>
      <x:c r="C331" s="62" t="str">
        <x:v>E</x:v>
      </x:c>
      <x:c r="D331" s="64" t="n">
        <x:f>'Detalle'!I164</x:f>
        <x:v>1</x:v>
      </x:c>
      <x:c r="E331" s="60" t="str">
        <x:f>'Detalle'!F164</x:f>
        <x:v>Completado</x:v>
      </x:c>
      <x:c r="F331" s="32" t="str">
        <x:f>IF(AND(F$8&lt;='Detalle'!$H164,F$9&gt;='Detalle'!$G164),1,"")</x:f>
      </x:c>
      <x:c r="G331" s="32" t="str">
        <x:f>IF(AND(G$8&lt;='Detalle'!$H164,G$9&gt;='Detalle'!$G164),1,"")</x:f>
      </x:c>
      <x:c r="H331" s="32" t="n">
        <x:f>IF(AND(H$8&lt;='Detalle'!$H164,H$9&gt;='Detalle'!$G164),1,"")</x:f>
        <x:v>1</x:v>
      </x:c>
      <x:c r="I331" s="32" t="str">
        <x:f>IF(AND(I$8&lt;='Detalle'!$H164,I$9&gt;='Detalle'!$G164),1,"")</x:f>
      </x:c>
      <x:c r="J331" s="32" t="str">
        <x:f>IF(AND(J$8&lt;='Detalle'!$H164,J$9&gt;='Detalle'!$G164),1,"")</x:f>
      </x:c>
      <x:c r="K331" s="32" t="str">
        <x:f>IF(AND(K$8&lt;='Detalle'!$H164,K$9&gt;='Detalle'!$G164),1,"")</x:f>
      </x:c>
      <x:c r="L331" s="32" t="str">
        <x:f>IF(AND(L$8&lt;='Detalle'!$H164,L$9&gt;='Detalle'!$G164),1,"")</x:f>
      </x:c>
      <x:c r="M331" s="32" t="str">
        <x:f>IF(AND(M$8&lt;='Detalle'!$H164,M$9&gt;='Detalle'!$G164),1,"")</x:f>
      </x:c>
      <x:c r="N331" s="32" t="str">
        <x:f>IF(AND(N$8&lt;='Detalle'!$H164,N$9&gt;='Detalle'!$G164),1,"")</x:f>
      </x:c>
      <x:c r="O331" s="32" t="str">
        <x:f>IF(AND(O$8&lt;='Detalle'!$H164,O$9&gt;='Detalle'!$G164),1,"")</x:f>
      </x:c>
      <x:c r="P331" s="32" t="str">
        <x:f>IF(AND(P$8&lt;='Detalle'!$H164,P$9&gt;='Detalle'!$G164),1,"")</x:f>
      </x:c>
      <x:c r="Q331" s="68"/>
      <x:c r="R331" s="67" t="str">
        <x:f>IF('Detalle'!M164="","",'Detalle'!M164)</x:f>
      </x:c>
      <x:c r="S331" s="67" t="str">
        <x:f>IF('Detalle'!N164="","",'Detalle'!N164)</x:f>
      </x:c>
    </x:row>
    <x:row r="332" ht="16" customHeight="1">
      <x:c r="A332" s="56" t="str">
        <x:v>COM01.017</x:v>
      </x:c>
      <x:c r="B332" s="57" t="str">
        <x:v>Guardar y quitar publicaciones</x:v>
      </x:c>
      <x:c r="C332" s="63" t="str">
        <x:v>R</x:v>
      </x:c>
      <x:c r="D332" s="65" t="str">
        <x:f>IF('Detalle'!L164="","",'Detalle'!L164)</x:f>
      </x:c>
      <x:c r="E332" s="60" t="str"/>
      <x:c r="F332" s="32" t="str">
        <x:f>IF(OR('Detalle'!$J164="",'Detalle'!$K164="",'Detalle'!$L164=""),"",IF(AND(F$8&lt;='Detalle'!$K164,F$9&gt;='Detalle'!$J164),1,""))</x:f>
      </x:c>
      <x:c r="G332" s="32" t="str">
        <x:f>IF(OR('Detalle'!$J164="",'Detalle'!$K164="",'Detalle'!$L164=""),"",IF(AND(G$8&lt;='Detalle'!$K164,G$9&gt;='Detalle'!$J164),1,""))</x:f>
      </x:c>
      <x:c r="H332" s="32" t="str">
        <x:f>IF(OR('Detalle'!$J164="",'Detalle'!$K164="",'Detalle'!$L164=""),"",IF(AND(H$8&lt;='Detalle'!$K164,H$9&gt;='Detalle'!$J164),1,""))</x:f>
      </x:c>
      <x:c r="I332" s="32" t="str">
        <x:f>IF(OR('Detalle'!$J164="",'Detalle'!$K164="",'Detalle'!$L164=""),"",IF(AND(I$8&lt;='Detalle'!$K164,I$9&gt;='Detalle'!$J164),1,""))</x:f>
      </x:c>
      <x:c r="J332" s="32" t="str">
        <x:f>IF(OR('Detalle'!$J164="",'Detalle'!$K164="",'Detalle'!$L164=""),"",IF(AND(J$8&lt;='Detalle'!$K164,J$9&gt;='Detalle'!$J164),1,""))</x:f>
      </x:c>
      <x:c r="K332" s="32" t="str">
        <x:f>IF(OR('Detalle'!$J164="",'Detalle'!$K164="",'Detalle'!$L164=""),"",IF(AND(K$8&lt;='Detalle'!$K164,K$9&gt;='Detalle'!$J164),1,""))</x:f>
      </x:c>
      <x:c r="L332" s="32" t="str">
        <x:f>IF(OR('Detalle'!$J164="",'Detalle'!$K164="",'Detalle'!$L164=""),"",IF(AND(L$8&lt;='Detalle'!$K164,L$9&gt;='Detalle'!$J164),1,""))</x:f>
      </x:c>
      <x:c r="M332" s="32" t="str">
        <x:f>IF(OR('Detalle'!$J164="",'Detalle'!$K164="",'Detalle'!$L164=""),"",IF(AND(M$8&lt;='Detalle'!$K164,M$9&gt;='Detalle'!$J164),1,""))</x:f>
      </x:c>
      <x:c r="N332" s="32" t="str">
        <x:f>IF(OR('Detalle'!$J164="",'Detalle'!$K164="",'Detalle'!$L164=""),"",IF(AND(N$8&lt;='Detalle'!$K164,N$9&gt;='Detalle'!$J164),1,""))</x:f>
      </x:c>
      <x:c r="O332" s="32" t="str">
        <x:f>IF(OR('Detalle'!$J164="",'Detalle'!$K164="",'Detalle'!$L164=""),"",IF(AND(O$8&lt;='Detalle'!$K164,O$9&gt;='Detalle'!$J164),1,""))</x:f>
      </x:c>
      <x:c r="P332" s="32" t="str">
        <x:f>IF(OR('Detalle'!$J164="",'Detalle'!$K164="",'Detalle'!$L164=""),"",IF(AND(P$8&lt;='Detalle'!$K164,P$9&gt;='Detalle'!$J164),1,""))</x:f>
      </x:c>
      <x:c r="Q332" s="68"/>
      <x:c r="R332" s="67" t="str"/>
      <x:c r="S332" s="67" t="str"/>
    </x:row>
    <x:row r="333" ht="16" customHeight="1">
      <x:c r="A333" s="56" t="str">
        <x:v>COM01.018</x:v>
      </x:c>
      <x:c r="B333" s="57" t="str">
        <x:v>Crear directorio público autenticado</x:v>
      </x:c>
      <x:c r="C333" s="62" t="str">
        <x:v>E</x:v>
      </x:c>
      <x:c r="D333" s="64" t="n">
        <x:f>'Detalle'!I165</x:f>
        <x:v>1</x:v>
      </x:c>
      <x:c r="E333" s="60" t="str">
        <x:f>'Detalle'!F165</x:f>
        <x:v>Completado</x:v>
      </x:c>
      <x:c r="F333" s="32" t="str">
        <x:f>IF(AND(F$8&lt;='Detalle'!$H165,F$9&gt;='Detalle'!$G165),1,"")</x:f>
      </x:c>
      <x:c r="G333" s="32" t="str">
        <x:f>IF(AND(G$8&lt;='Detalle'!$H165,G$9&gt;='Detalle'!$G165),1,"")</x:f>
      </x:c>
      <x:c r="H333" s="32" t="n">
        <x:f>IF(AND(H$8&lt;='Detalle'!$H165,H$9&gt;='Detalle'!$G165),1,"")</x:f>
        <x:v>1</x:v>
      </x:c>
      <x:c r="I333" s="32" t="str">
        <x:f>IF(AND(I$8&lt;='Detalle'!$H165,I$9&gt;='Detalle'!$G165),1,"")</x:f>
      </x:c>
      <x:c r="J333" s="32" t="str">
        <x:f>IF(AND(J$8&lt;='Detalle'!$H165,J$9&gt;='Detalle'!$G165),1,"")</x:f>
      </x:c>
      <x:c r="K333" s="32" t="str">
        <x:f>IF(AND(K$8&lt;='Detalle'!$H165,K$9&gt;='Detalle'!$G165),1,"")</x:f>
      </x:c>
      <x:c r="L333" s="32" t="str">
        <x:f>IF(AND(L$8&lt;='Detalle'!$H165,L$9&gt;='Detalle'!$G165),1,"")</x:f>
      </x:c>
      <x:c r="M333" s="32" t="str">
        <x:f>IF(AND(M$8&lt;='Detalle'!$H165,M$9&gt;='Detalle'!$G165),1,"")</x:f>
      </x:c>
      <x:c r="N333" s="32" t="str">
        <x:f>IF(AND(N$8&lt;='Detalle'!$H165,N$9&gt;='Detalle'!$G165),1,"")</x:f>
      </x:c>
      <x:c r="O333" s="32" t="str">
        <x:f>IF(AND(O$8&lt;='Detalle'!$H165,O$9&gt;='Detalle'!$G165),1,"")</x:f>
      </x:c>
      <x:c r="P333" s="32" t="str">
        <x:f>IF(AND(P$8&lt;='Detalle'!$H165,P$9&gt;='Detalle'!$G165),1,"")</x:f>
      </x:c>
      <x:c r="Q333" s="68"/>
      <x:c r="R333" s="67" t="str">
        <x:f>IF('Detalle'!M165="","",'Detalle'!M165)</x:f>
      </x:c>
      <x:c r="S333" s="67" t="str">
        <x:f>IF('Detalle'!N165="","",'Detalle'!N165)</x:f>
      </x:c>
    </x:row>
    <x:row r="334" ht="16" customHeight="1">
      <x:c r="A334" s="56" t="str">
        <x:v>COM01.018</x:v>
      </x:c>
      <x:c r="B334" s="57" t="str">
        <x:v>Crear directorio público autenticado</x:v>
      </x:c>
      <x:c r="C334" s="63" t="str">
        <x:v>R</x:v>
      </x:c>
      <x:c r="D334" s="65" t="str">
        <x:f>IF('Detalle'!L165="","",'Detalle'!L165)</x:f>
      </x:c>
      <x:c r="E334" s="60" t="str"/>
      <x:c r="F334" s="32" t="str">
        <x:f>IF(OR('Detalle'!$J165="",'Detalle'!$K165="",'Detalle'!$L165=""),"",IF(AND(F$8&lt;='Detalle'!$K165,F$9&gt;='Detalle'!$J165),1,""))</x:f>
      </x:c>
      <x:c r="G334" s="32" t="str">
        <x:f>IF(OR('Detalle'!$J165="",'Detalle'!$K165="",'Detalle'!$L165=""),"",IF(AND(G$8&lt;='Detalle'!$K165,G$9&gt;='Detalle'!$J165),1,""))</x:f>
      </x:c>
      <x:c r="H334" s="32" t="str">
        <x:f>IF(OR('Detalle'!$J165="",'Detalle'!$K165="",'Detalle'!$L165=""),"",IF(AND(H$8&lt;='Detalle'!$K165,H$9&gt;='Detalle'!$J165),1,""))</x:f>
      </x:c>
      <x:c r="I334" s="32" t="str">
        <x:f>IF(OR('Detalle'!$J165="",'Detalle'!$K165="",'Detalle'!$L165=""),"",IF(AND(I$8&lt;='Detalle'!$K165,I$9&gt;='Detalle'!$J165),1,""))</x:f>
      </x:c>
      <x:c r="J334" s="32" t="str">
        <x:f>IF(OR('Detalle'!$J165="",'Detalle'!$K165="",'Detalle'!$L165=""),"",IF(AND(J$8&lt;='Detalle'!$K165,J$9&gt;='Detalle'!$J165),1,""))</x:f>
      </x:c>
      <x:c r="K334" s="32" t="str">
        <x:f>IF(OR('Detalle'!$J165="",'Detalle'!$K165="",'Detalle'!$L165=""),"",IF(AND(K$8&lt;='Detalle'!$K165,K$9&gt;='Detalle'!$J165),1,""))</x:f>
      </x:c>
      <x:c r="L334" s="32" t="str">
        <x:f>IF(OR('Detalle'!$J165="",'Detalle'!$K165="",'Detalle'!$L165=""),"",IF(AND(L$8&lt;='Detalle'!$K165,L$9&gt;='Detalle'!$J165),1,""))</x:f>
      </x:c>
      <x:c r="M334" s="32" t="str">
        <x:f>IF(OR('Detalle'!$J165="",'Detalle'!$K165="",'Detalle'!$L165=""),"",IF(AND(M$8&lt;='Detalle'!$K165,M$9&gt;='Detalle'!$J165),1,""))</x:f>
      </x:c>
      <x:c r="N334" s="32" t="str">
        <x:f>IF(OR('Detalle'!$J165="",'Detalle'!$K165="",'Detalle'!$L165=""),"",IF(AND(N$8&lt;='Detalle'!$K165,N$9&gt;='Detalle'!$J165),1,""))</x:f>
      </x:c>
      <x:c r="O334" s="32" t="str">
        <x:f>IF(OR('Detalle'!$J165="",'Detalle'!$K165="",'Detalle'!$L165=""),"",IF(AND(O$8&lt;='Detalle'!$K165,O$9&gt;='Detalle'!$J165),1,""))</x:f>
      </x:c>
      <x:c r="P334" s="32" t="str">
        <x:f>IF(OR('Detalle'!$J165="",'Detalle'!$K165="",'Detalle'!$L165=""),"",IF(AND(P$8&lt;='Detalle'!$K165,P$9&gt;='Detalle'!$J165),1,""))</x:f>
      </x:c>
      <x:c r="Q334" s="68"/>
      <x:c r="R334" s="67" t="str"/>
      <x:c r="S334" s="67" t="str"/>
    </x:row>
    <x:row r="335" ht="16" customHeight="1">
      <x:c r="A335" s="56" t="str">
        <x:v>COM01.019</x:v>
      </x:c>
      <x:c r="B335" s="57" t="str">
        <x:v>Abrir perfil de otra persona</x:v>
      </x:c>
      <x:c r="C335" s="62" t="str">
        <x:v>E</x:v>
      </x:c>
      <x:c r="D335" s="64" t="n">
        <x:f>'Detalle'!I166</x:f>
        <x:v>1</x:v>
      </x:c>
      <x:c r="E335" s="60" t="str">
        <x:f>'Detalle'!F166</x:f>
        <x:v>Completado</x:v>
      </x:c>
      <x:c r="F335" s="32" t="str">
        <x:f>IF(AND(F$8&lt;='Detalle'!$H166,F$9&gt;='Detalle'!$G166),1,"")</x:f>
      </x:c>
      <x:c r="G335" s="32" t="str">
        <x:f>IF(AND(G$8&lt;='Detalle'!$H166,G$9&gt;='Detalle'!$G166),1,"")</x:f>
      </x:c>
      <x:c r="H335" s="32" t="n">
        <x:f>IF(AND(H$8&lt;='Detalle'!$H166,H$9&gt;='Detalle'!$G166),1,"")</x:f>
        <x:v>1</x:v>
      </x:c>
      <x:c r="I335" s="32" t="str">
        <x:f>IF(AND(I$8&lt;='Detalle'!$H166,I$9&gt;='Detalle'!$G166),1,"")</x:f>
      </x:c>
      <x:c r="J335" s="32" t="str">
        <x:f>IF(AND(J$8&lt;='Detalle'!$H166,J$9&gt;='Detalle'!$G166),1,"")</x:f>
      </x:c>
      <x:c r="K335" s="32" t="str">
        <x:f>IF(AND(K$8&lt;='Detalle'!$H166,K$9&gt;='Detalle'!$G166),1,"")</x:f>
      </x:c>
      <x:c r="L335" s="32" t="str">
        <x:f>IF(AND(L$8&lt;='Detalle'!$H166,L$9&gt;='Detalle'!$G166),1,"")</x:f>
      </x:c>
      <x:c r="M335" s="32" t="str">
        <x:f>IF(AND(M$8&lt;='Detalle'!$H166,M$9&gt;='Detalle'!$G166),1,"")</x:f>
      </x:c>
      <x:c r="N335" s="32" t="str">
        <x:f>IF(AND(N$8&lt;='Detalle'!$H166,N$9&gt;='Detalle'!$G166),1,"")</x:f>
      </x:c>
      <x:c r="O335" s="32" t="str">
        <x:f>IF(AND(O$8&lt;='Detalle'!$H166,O$9&gt;='Detalle'!$G166),1,"")</x:f>
      </x:c>
      <x:c r="P335" s="32" t="str">
        <x:f>IF(AND(P$8&lt;='Detalle'!$H166,P$9&gt;='Detalle'!$G166),1,"")</x:f>
      </x:c>
      <x:c r="Q335" s="68"/>
      <x:c r="R335" s="67" t="str">
        <x:f>IF('Detalle'!M166="","",'Detalle'!M166)</x:f>
      </x:c>
      <x:c r="S335" s="67" t="str">
        <x:f>IF('Detalle'!N166="","",'Detalle'!N166)</x:f>
      </x:c>
    </x:row>
    <x:row r="336" ht="16" customHeight="1">
      <x:c r="A336" s="56" t="str">
        <x:v>COM01.019</x:v>
      </x:c>
      <x:c r="B336" s="57" t="str">
        <x:v>Abrir perfil de otra persona</x:v>
      </x:c>
      <x:c r="C336" s="63" t="str">
        <x:v>R</x:v>
      </x:c>
      <x:c r="D336" s="65" t="str">
        <x:f>IF('Detalle'!L166="","",'Detalle'!L166)</x:f>
      </x:c>
      <x:c r="E336" s="60" t="str"/>
      <x:c r="F336" s="32" t="str">
        <x:f>IF(OR('Detalle'!$J166="",'Detalle'!$K166="",'Detalle'!$L166=""),"",IF(AND(F$8&lt;='Detalle'!$K166,F$9&gt;='Detalle'!$J166),1,""))</x:f>
      </x:c>
      <x:c r="G336" s="32" t="str">
        <x:f>IF(OR('Detalle'!$J166="",'Detalle'!$K166="",'Detalle'!$L166=""),"",IF(AND(G$8&lt;='Detalle'!$K166,G$9&gt;='Detalle'!$J166),1,""))</x:f>
      </x:c>
      <x:c r="H336" s="32" t="str">
        <x:f>IF(OR('Detalle'!$J166="",'Detalle'!$K166="",'Detalle'!$L166=""),"",IF(AND(H$8&lt;='Detalle'!$K166,H$9&gt;='Detalle'!$J166),1,""))</x:f>
      </x:c>
      <x:c r="I336" s="32" t="str">
        <x:f>IF(OR('Detalle'!$J166="",'Detalle'!$K166="",'Detalle'!$L166=""),"",IF(AND(I$8&lt;='Detalle'!$K166,I$9&gt;='Detalle'!$J166),1,""))</x:f>
      </x:c>
      <x:c r="J336" s="32" t="str">
        <x:f>IF(OR('Detalle'!$J166="",'Detalle'!$K166="",'Detalle'!$L166=""),"",IF(AND(J$8&lt;='Detalle'!$K166,J$9&gt;='Detalle'!$J166),1,""))</x:f>
      </x:c>
      <x:c r="K336" s="32" t="str">
        <x:f>IF(OR('Detalle'!$J166="",'Detalle'!$K166="",'Detalle'!$L166=""),"",IF(AND(K$8&lt;='Detalle'!$K166,K$9&gt;='Detalle'!$J166),1,""))</x:f>
      </x:c>
      <x:c r="L336" s="32" t="str">
        <x:f>IF(OR('Detalle'!$J166="",'Detalle'!$K166="",'Detalle'!$L166=""),"",IF(AND(L$8&lt;='Detalle'!$K166,L$9&gt;='Detalle'!$J166),1,""))</x:f>
      </x:c>
      <x:c r="M336" s="32" t="str">
        <x:f>IF(OR('Detalle'!$J166="",'Detalle'!$K166="",'Detalle'!$L166=""),"",IF(AND(M$8&lt;='Detalle'!$K166,M$9&gt;='Detalle'!$J166),1,""))</x:f>
      </x:c>
      <x:c r="N336" s="32" t="str">
        <x:f>IF(OR('Detalle'!$J166="",'Detalle'!$K166="",'Detalle'!$L166=""),"",IF(AND(N$8&lt;='Detalle'!$K166,N$9&gt;='Detalle'!$J166),1,""))</x:f>
      </x:c>
      <x:c r="O336" s="32" t="str">
        <x:f>IF(OR('Detalle'!$J166="",'Detalle'!$K166="",'Detalle'!$L166=""),"",IF(AND(O$8&lt;='Detalle'!$K166,O$9&gt;='Detalle'!$J166),1,""))</x:f>
      </x:c>
      <x:c r="P336" s="32" t="str">
        <x:f>IF(OR('Detalle'!$J166="",'Detalle'!$K166="",'Detalle'!$L166=""),"",IF(AND(P$8&lt;='Detalle'!$K166,P$9&gt;='Detalle'!$J166),1,""))</x:f>
      </x:c>
      <x:c r="Q336" s="68"/>
      <x:c r="R336" s="67" t="str"/>
      <x:c r="S336" s="67" t="str"/>
    </x:row>
    <x:row r="337" ht="16" customHeight="1">
      <x:c r="A337" s="56" t="str">
        <x:v>COM01.020</x:v>
      </x:c>
      <x:c r="B337" s="57" t="str">
        <x:v>Mantener edición de contenido histórico</x:v>
      </x:c>
      <x:c r="C337" s="62" t="str">
        <x:v>E</x:v>
      </x:c>
      <x:c r="D337" s="64" t="n">
        <x:f>'Detalle'!I167</x:f>
        <x:v>1</x:v>
      </x:c>
      <x:c r="E337" s="60" t="str">
        <x:f>'Detalle'!F167</x:f>
        <x:v>Completado</x:v>
      </x:c>
      <x:c r="F337" s="32" t="str">
        <x:f>IF(AND(F$8&lt;='Detalle'!$H167,F$9&gt;='Detalle'!$G167),1,"")</x:f>
      </x:c>
      <x:c r="G337" s="32" t="str">
        <x:f>IF(AND(G$8&lt;='Detalle'!$H167,G$9&gt;='Detalle'!$G167),1,"")</x:f>
      </x:c>
      <x:c r="H337" s="32" t="n">
        <x:f>IF(AND(H$8&lt;='Detalle'!$H167,H$9&gt;='Detalle'!$G167),1,"")</x:f>
        <x:v>1</x:v>
      </x:c>
      <x:c r="I337" s="32" t="str">
        <x:f>IF(AND(I$8&lt;='Detalle'!$H167,I$9&gt;='Detalle'!$G167),1,"")</x:f>
      </x:c>
      <x:c r="J337" s="32" t="str">
        <x:f>IF(AND(J$8&lt;='Detalle'!$H167,J$9&gt;='Detalle'!$G167),1,"")</x:f>
      </x:c>
      <x:c r="K337" s="32" t="str">
        <x:f>IF(AND(K$8&lt;='Detalle'!$H167,K$9&gt;='Detalle'!$G167),1,"")</x:f>
      </x:c>
      <x:c r="L337" s="32" t="str">
        <x:f>IF(AND(L$8&lt;='Detalle'!$H167,L$9&gt;='Detalle'!$G167),1,"")</x:f>
      </x:c>
      <x:c r="M337" s="32" t="str">
        <x:f>IF(AND(M$8&lt;='Detalle'!$H167,M$9&gt;='Detalle'!$G167),1,"")</x:f>
      </x:c>
      <x:c r="N337" s="32" t="str">
        <x:f>IF(AND(N$8&lt;='Detalle'!$H167,N$9&gt;='Detalle'!$G167),1,"")</x:f>
      </x:c>
      <x:c r="O337" s="32" t="str">
        <x:f>IF(AND(O$8&lt;='Detalle'!$H167,O$9&gt;='Detalle'!$G167),1,"")</x:f>
      </x:c>
      <x:c r="P337" s="32" t="str">
        <x:f>IF(AND(P$8&lt;='Detalle'!$H167,P$9&gt;='Detalle'!$G167),1,"")</x:f>
      </x:c>
      <x:c r="Q337" s="68"/>
      <x:c r="R337" s="67" t="str">
        <x:f>IF('Detalle'!M167="","",'Detalle'!M167)</x:f>
      </x:c>
      <x:c r="S337" s="67" t="str">
        <x:f>IF('Detalle'!N167="","",'Detalle'!N167)</x:f>
      </x:c>
    </x:row>
    <x:row r="338" ht="16" customHeight="1">
      <x:c r="A338" s="56" t="str">
        <x:v>COM01.020</x:v>
      </x:c>
      <x:c r="B338" s="57" t="str">
        <x:v>Mantener edición de contenido histórico</x:v>
      </x:c>
      <x:c r="C338" s="63" t="str">
        <x:v>R</x:v>
      </x:c>
      <x:c r="D338" s="65" t="str">
        <x:f>IF('Detalle'!L167="","",'Detalle'!L167)</x:f>
      </x:c>
      <x:c r="E338" s="60" t="str"/>
      <x:c r="F338" s="32" t="str">
        <x:f>IF(OR('Detalle'!$J167="",'Detalle'!$K167="",'Detalle'!$L167=""),"",IF(AND(F$8&lt;='Detalle'!$K167,F$9&gt;='Detalle'!$J167),1,""))</x:f>
      </x:c>
      <x:c r="G338" s="32" t="str">
        <x:f>IF(OR('Detalle'!$J167="",'Detalle'!$K167="",'Detalle'!$L167=""),"",IF(AND(G$8&lt;='Detalle'!$K167,G$9&gt;='Detalle'!$J167),1,""))</x:f>
      </x:c>
      <x:c r="H338" s="32" t="str">
        <x:f>IF(OR('Detalle'!$J167="",'Detalle'!$K167="",'Detalle'!$L167=""),"",IF(AND(H$8&lt;='Detalle'!$K167,H$9&gt;='Detalle'!$J167),1,""))</x:f>
      </x:c>
      <x:c r="I338" s="32" t="str">
        <x:f>IF(OR('Detalle'!$J167="",'Detalle'!$K167="",'Detalle'!$L167=""),"",IF(AND(I$8&lt;='Detalle'!$K167,I$9&gt;='Detalle'!$J167),1,""))</x:f>
      </x:c>
      <x:c r="J338" s="32" t="str">
        <x:f>IF(OR('Detalle'!$J167="",'Detalle'!$K167="",'Detalle'!$L167=""),"",IF(AND(J$8&lt;='Detalle'!$K167,J$9&gt;='Detalle'!$J167),1,""))</x:f>
      </x:c>
      <x:c r="K338" s="32" t="str">
        <x:f>IF(OR('Detalle'!$J167="",'Detalle'!$K167="",'Detalle'!$L167=""),"",IF(AND(K$8&lt;='Detalle'!$K167,K$9&gt;='Detalle'!$J167),1,""))</x:f>
      </x:c>
      <x:c r="L338" s="32" t="str">
        <x:f>IF(OR('Detalle'!$J167="",'Detalle'!$K167="",'Detalle'!$L167=""),"",IF(AND(L$8&lt;='Detalle'!$K167,L$9&gt;='Detalle'!$J167),1,""))</x:f>
      </x:c>
      <x:c r="M338" s="32" t="str">
        <x:f>IF(OR('Detalle'!$J167="",'Detalle'!$K167="",'Detalle'!$L167=""),"",IF(AND(M$8&lt;='Detalle'!$K167,M$9&gt;='Detalle'!$J167),1,""))</x:f>
      </x:c>
      <x:c r="N338" s="32" t="str">
        <x:f>IF(OR('Detalle'!$J167="",'Detalle'!$K167="",'Detalle'!$L167=""),"",IF(AND(N$8&lt;='Detalle'!$K167,N$9&gt;='Detalle'!$J167),1,""))</x:f>
      </x:c>
      <x:c r="O338" s="32" t="str">
        <x:f>IF(OR('Detalle'!$J167="",'Detalle'!$K167="",'Detalle'!$L167=""),"",IF(AND(O$8&lt;='Detalle'!$K167,O$9&gt;='Detalle'!$J167),1,""))</x:f>
      </x:c>
      <x:c r="P338" s="32" t="str">
        <x:f>IF(OR('Detalle'!$J167="",'Detalle'!$K167="",'Detalle'!$L167=""),"",IF(AND(P$8&lt;='Detalle'!$K167,P$9&gt;='Detalle'!$J167),1,""))</x:f>
      </x:c>
      <x:c r="Q338" s="68"/>
      <x:c r="R338" s="67" t="str"/>
      <x:c r="S338" s="67" t="str"/>
    </x:row>
    <x:row r="339" ht="20" customHeight="1">
      <x:c r="A339" s="52" t="str">
        <x:v>QA01 · Verificaciones de cuenta y comunidad tempranas</x:v>
      </x:c>
      <x:c r="B339" s="52" t="str">
        <x:v>QA01 · Verificaciones de cuenta y comunidad tempranas</x:v>
      </x:c>
      <x:c r="C339" s="52" t="str">
        <x:v>QA01 · Verificaciones de cuenta y comunidad tempranas</x:v>
      </x:c>
      <x:c r="D339" s="52" t="str">
        <x:v>QA01 · Verificaciones de cuenta y comunidad tempranas</x:v>
      </x:c>
      <x:c r="E339" s="52" t="str">
        <x:v>QA01 · Verificaciones de cuenta y comunidad tempranas</x:v>
      </x:c>
      <x:c r="F339" s="53" t="str">
        <x:v>QA01 · Verificaciones de cuenta y comunidad tempranas</x:v>
      </x:c>
      <x:c r="G339" s="53" t="str">
        <x:v>QA01 · Verificaciones de cuenta y comunidad tempranas</x:v>
      </x:c>
      <x:c r="H339" s="53" t="str">
        <x:v>QA01 · Verificaciones de cuenta y comunidad tempranas</x:v>
      </x:c>
      <x:c r="I339" s="53" t="str">
        <x:v>QA01 · Verificaciones de cuenta y comunidad tempranas</x:v>
      </x:c>
      <x:c r="J339" s="53" t="str">
        <x:v>QA01 · Verificaciones de cuenta y comunidad tempranas</x:v>
      </x:c>
      <x:c r="K339" s="53" t="str">
        <x:v>QA01 · Verificaciones de cuenta y comunidad tempranas</x:v>
      </x:c>
      <x:c r="L339" s="53" t="str">
        <x:v>QA01 · Verificaciones de cuenta y comunidad tempranas</x:v>
      </x:c>
      <x:c r="M339" s="53" t="str">
        <x:v>QA01 · Verificaciones de cuenta y comunidad tempranas</x:v>
      </x:c>
      <x:c r="N339" s="53" t="str">
        <x:v>QA01 · Verificaciones de cuenta y comunidad tempranas</x:v>
      </x:c>
      <x:c r="O339" s="53" t="str">
        <x:v>QA01 · Verificaciones de cuenta y comunidad tempranas</x:v>
      </x:c>
      <x:c r="P339" s="53" t="str">
        <x:v>QA01 · Verificaciones de cuenta y comunidad tempranas</x:v>
      </x:c>
      <x:c r="Q339" s="52" t="str">
        <x:v>QA01 · Verificaciones de cuenta y comunidad tempranas</x:v>
      </x:c>
      <x:c r="R339" s="52" t="str">
        <x:v>QA01 · Verificaciones de cuenta y comunidad tempranas</x:v>
      </x:c>
      <x:c r="S339" s="52" t="str">
        <x:v>QA01 · Verificaciones de cuenta y comunidad tempranas</x:v>
      </x:c>
    </x:row>
    <x:row r="340" ht="16" customHeight="1">
      <x:c r="A340" s="56" t="str">
        <x:v>QA01.001</x:v>
      </x:c>
      <x:c r="B340" s="57" t="str">
        <x:v>Verificar migraciones 001 y 002 desplegadas</x:v>
      </x:c>
      <x:c r="C340" s="62" t="str">
        <x:v>E</x:v>
      </x:c>
      <x:c r="D340" s="64" t="n">
        <x:f>'Detalle'!I168</x:f>
        <x:v>1</x:v>
      </x:c>
      <x:c r="E340" s="60" t="str">
        <x:f>'Detalle'!F168</x:f>
        <x:v>Completado</x:v>
      </x:c>
      <x:c r="F340" s="32" t="str">
        <x:f>IF(AND(F$8&lt;='Detalle'!$H168,F$9&gt;='Detalle'!$G168),1,"")</x:f>
      </x:c>
      <x:c r="G340" s="32" t="str">
        <x:f>IF(AND(G$8&lt;='Detalle'!$H168,G$9&gt;='Detalle'!$G168),1,"")</x:f>
      </x:c>
      <x:c r="H340" s="32" t="n">
        <x:f>IF(AND(H$8&lt;='Detalle'!$H168,H$9&gt;='Detalle'!$G168),1,"")</x:f>
        <x:v>1</x:v>
      </x:c>
      <x:c r="I340" s="32" t="str">
        <x:f>IF(AND(I$8&lt;='Detalle'!$H168,I$9&gt;='Detalle'!$G168),1,"")</x:f>
      </x:c>
      <x:c r="J340" s="32" t="str">
        <x:f>IF(AND(J$8&lt;='Detalle'!$H168,J$9&gt;='Detalle'!$G168),1,"")</x:f>
      </x:c>
      <x:c r="K340" s="32" t="str">
        <x:f>IF(AND(K$8&lt;='Detalle'!$H168,K$9&gt;='Detalle'!$G168),1,"")</x:f>
      </x:c>
      <x:c r="L340" s="32" t="str">
        <x:f>IF(AND(L$8&lt;='Detalle'!$H168,L$9&gt;='Detalle'!$G168),1,"")</x:f>
      </x:c>
      <x:c r="M340" s="32" t="str">
        <x:f>IF(AND(M$8&lt;='Detalle'!$H168,M$9&gt;='Detalle'!$G168),1,"")</x:f>
      </x:c>
      <x:c r="N340" s="32" t="str">
        <x:f>IF(AND(N$8&lt;='Detalle'!$H168,N$9&gt;='Detalle'!$G168),1,"")</x:f>
      </x:c>
      <x:c r="O340" s="32" t="str">
        <x:f>IF(AND(O$8&lt;='Detalle'!$H168,O$9&gt;='Detalle'!$G168),1,"")</x:f>
      </x:c>
      <x:c r="P340" s="32" t="str">
        <x:f>IF(AND(P$8&lt;='Detalle'!$H168,P$9&gt;='Detalle'!$G168),1,"")</x:f>
      </x:c>
      <x:c r="Q340" s="68"/>
      <x:c r="R340" s="67" t="str">
        <x:f>IF('Detalle'!M168="","",'Detalle'!M168)</x:f>
      </x:c>
      <x:c r="S340" s="67" t="str">
        <x:f>IF('Detalle'!N168="","",'Detalle'!N168)</x:f>
      </x:c>
    </x:row>
    <x:row r="341" ht="16" customHeight="1">
      <x:c r="A341" s="56" t="str">
        <x:v>QA01.001</x:v>
      </x:c>
      <x:c r="B341" s="57" t="str">
        <x:v>Verificar migraciones 001 y 002 desplegadas</x:v>
      </x:c>
      <x:c r="C341" s="63" t="str">
        <x:v>R</x:v>
      </x:c>
      <x:c r="D341" s="65" t="str">
        <x:f>IF('Detalle'!L168="","",'Detalle'!L168)</x:f>
      </x:c>
      <x:c r="E341" s="60" t="str"/>
      <x:c r="F341" s="32" t="str">
        <x:f>IF(OR('Detalle'!$J168="",'Detalle'!$K168="",'Detalle'!$L168=""),"",IF(AND(F$8&lt;='Detalle'!$K168,F$9&gt;='Detalle'!$J168),1,""))</x:f>
      </x:c>
      <x:c r="G341" s="32" t="str">
        <x:f>IF(OR('Detalle'!$J168="",'Detalle'!$K168="",'Detalle'!$L168=""),"",IF(AND(G$8&lt;='Detalle'!$K168,G$9&gt;='Detalle'!$J168),1,""))</x:f>
      </x:c>
      <x:c r="H341" s="32" t="str">
        <x:f>IF(OR('Detalle'!$J168="",'Detalle'!$K168="",'Detalle'!$L168=""),"",IF(AND(H$8&lt;='Detalle'!$K168,H$9&gt;='Detalle'!$J168),1,""))</x:f>
      </x:c>
      <x:c r="I341" s="32" t="str">
        <x:f>IF(OR('Detalle'!$J168="",'Detalle'!$K168="",'Detalle'!$L168=""),"",IF(AND(I$8&lt;='Detalle'!$K168,I$9&gt;='Detalle'!$J168),1,""))</x:f>
      </x:c>
      <x:c r="J341" s="32" t="str">
        <x:f>IF(OR('Detalle'!$J168="",'Detalle'!$K168="",'Detalle'!$L168=""),"",IF(AND(J$8&lt;='Detalle'!$K168,J$9&gt;='Detalle'!$J168),1,""))</x:f>
      </x:c>
      <x:c r="K341" s="32" t="str">
        <x:f>IF(OR('Detalle'!$J168="",'Detalle'!$K168="",'Detalle'!$L168=""),"",IF(AND(K$8&lt;='Detalle'!$K168,K$9&gt;='Detalle'!$J168),1,""))</x:f>
      </x:c>
      <x:c r="L341" s="32" t="str">
        <x:f>IF(OR('Detalle'!$J168="",'Detalle'!$K168="",'Detalle'!$L168=""),"",IF(AND(L$8&lt;='Detalle'!$K168,L$9&gt;='Detalle'!$J168),1,""))</x:f>
      </x:c>
      <x:c r="M341" s="32" t="str">
        <x:f>IF(OR('Detalle'!$J168="",'Detalle'!$K168="",'Detalle'!$L168=""),"",IF(AND(M$8&lt;='Detalle'!$K168,M$9&gt;='Detalle'!$J168),1,""))</x:f>
      </x:c>
      <x:c r="N341" s="32" t="str">
        <x:f>IF(OR('Detalle'!$J168="",'Detalle'!$K168="",'Detalle'!$L168=""),"",IF(AND(N$8&lt;='Detalle'!$K168,N$9&gt;='Detalle'!$J168),1,""))</x:f>
      </x:c>
      <x:c r="O341" s="32" t="str">
        <x:f>IF(OR('Detalle'!$J168="",'Detalle'!$K168="",'Detalle'!$L168=""),"",IF(AND(O$8&lt;='Detalle'!$K168,O$9&gt;='Detalle'!$J168),1,""))</x:f>
      </x:c>
      <x:c r="P341" s="32" t="str">
        <x:f>IF(OR('Detalle'!$J168="",'Detalle'!$K168="",'Detalle'!$L168=""),"",IF(AND(P$8&lt;='Detalle'!$K168,P$9&gt;='Detalle'!$J168),1,""))</x:f>
      </x:c>
      <x:c r="Q341" s="68"/>
      <x:c r="R341" s="67" t="str"/>
      <x:c r="S341" s="67" t="str"/>
    </x:row>
    <x:row r="342" ht="16" customHeight="1">
      <x:c r="A342" s="56" t="str">
        <x:v>QA01.002</x:v>
      </x:c>
      <x:c r="B342" s="57" t="str">
        <x:v>Verificar funciones de medios y borrado</x:v>
      </x:c>
      <x:c r="C342" s="62" t="str">
        <x:v>E</x:v>
      </x:c>
      <x:c r="D342" s="64" t="n">
        <x:f>'Detalle'!I169</x:f>
        <x:v>1</x:v>
      </x:c>
      <x:c r="E342" s="60" t="str">
        <x:f>'Detalle'!F169</x:f>
        <x:v>Completado</x:v>
      </x:c>
      <x:c r="F342" s="32" t="str">
        <x:f>IF(AND(F$8&lt;='Detalle'!$H169,F$9&gt;='Detalle'!$G169),1,"")</x:f>
      </x:c>
      <x:c r="G342" s="32" t="str">
        <x:f>IF(AND(G$8&lt;='Detalle'!$H169,G$9&gt;='Detalle'!$G169),1,"")</x:f>
      </x:c>
      <x:c r="H342" s="32" t="n">
        <x:f>IF(AND(H$8&lt;='Detalle'!$H169,H$9&gt;='Detalle'!$G169),1,"")</x:f>
        <x:v>1</x:v>
      </x:c>
      <x:c r="I342" s="32" t="str">
        <x:f>IF(AND(I$8&lt;='Detalle'!$H169,I$9&gt;='Detalle'!$G169),1,"")</x:f>
      </x:c>
      <x:c r="J342" s="32" t="str">
        <x:f>IF(AND(J$8&lt;='Detalle'!$H169,J$9&gt;='Detalle'!$G169),1,"")</x:f>
      </x:c>
      <x:c r="K342" s="32" t="str">
        <x:f>IF(AND(K$8&lt;='Detalle'!$H169,K$9&gt;='Detalle'!$G169),1,"")</x:f>
      </x:c>
      <x:c r="L342" s="32" t="str">
        <x:f>IF(AND(L$8&lt;='Detalle'!$H169,L$9&gt;='Detalle'!$G169),1,"")</x:f>
      </x:c>
      <x:c r="M342" s="32" t="str">
        <x:f>IF(AND(M$8&lt;='Detalle'!$H169,M$9&gt;='Detalle'!$G169),1,"")</x:f>
      </x:c>
      <x:c r="N342" s="32" t="str">
        <x:f>IF(AND(N$8&lt;='Detalle'!$H169,N$9&gt;='Detalle'!$G169),1,"")</x:f>
      </x:c>
      <x:c r="O342" s="32" t="str">
        <x:f>IF(AND(O$8&lt;='Detalle'!$H169,O$9&gt;='Detalle'!$G169),1,"")</x:f>
      </x:c>
      <x:c r="P342" s="32" t="str">
        <x:f>IF(AND(P$8&lt;='Detalle'!$H169,P$9&gt;='Detalle'!$G169),1,"")</x:f>
      </x:c>
      <x:c r="Q342" s="68"/>
      <x:c r="R342" s="67" t="str">
        <x:f>IF('Detalle'!M169="","",'Detalle'!M169)</x:f>
      </x:c>
      <x:c r="S342" s="67" t="str">
        <x:f>IF('Detalle'!N169="","",'Detalle'!N169)</x:f>
      </x:c>
    </x:row>
    <x:row r="343" ht="16" customHeight="1">
      <x:c r="A343" s="56" t="str">
        <x:v>QA01.002</x:v>
      </x:c>
      <x:c r="B343" s="57" t="str">
        <x:v>Verificar funciones de medios y borrado</x:v>
      </x:c>
      <x:c r="C343" s="63" t="str">
        <x:v>R</x:v>
      </x:c>
      <x:c r="D343" s="65" t="str">
        <x:f>IF('Detalle'!L169="","",'Detalle'!L169)</x:f>
      </x:c>
      <x:c r="E343" s="60" t="str"/>
      <x:c r="F343" s="32" t="str">
        <x:f>IF(OR('Detalle'!$J169="",'Detalle'!$K169="",'Detalle'!$L169=""),"",IF(AND(F$8&lt;='Detalle'!$K169,F$9&gt;='Detalle'!$J169),1,""))</x:f>
      </x:c>
      <x:c r="G343" s="32" t="str">
        <x:f>IF(OR('Detalle'!$J169="",'Detalle'!$K169="",'Detalle'!$L169=""),"",IF(AND(G$8&lt;='Detalle'!$K169,G$9&gt;='Detalle'!$J169),1,""))</x:f>
      </x:c>
      <x:c r="H343" s="32" t="str">
        <x:f>IF(OR('Detalle'!$J169="",'Detalle'!$K169="",'Detalle'!$L169=""),"",IF(AND(H$8&lt;='Detalle'!$K169,H$9&gt;='Detalle'!$J169),1,""))</x:f>
      </x:c>
      <x:c r="I343" s="32" t="str">
        <x:f>IF(OR('Detalle'!$J169="",'Detalle'!$K169="",'Detalle'!$L169=""),"",IF(AND(I$8&lt;='Detalle'!$K169,I$9&gt;='Detalle'!$J169),1,""))</x:f>
      </x:c>
      <x:c r="J343" s="32" t="str">
        <x:f>IF(OR('Detalle'!$J169="",'Detalle'!$K169="",'Detalle'!$L169=""),"",IF(AND(J$8&lt;='Detalle'!$K169,J$9&gt;='Detalle'!$J169),1,""))</x:f>
      </x:c>
      <x:c r="K343" s="32" t="str">
        <x:f>IF(OR('Detalle'!$J169="",'Detalle'!$K169="",'Detalle'!$L169=""),"",IF(AND(K$8&lt;='Detalle'!$K169,K$9&gt;='Detalle'!$J169),1,""))</x:f>
      </x:c>
      <x:c r="L343" s="32" t="str">
        <x:f>IF(OR('Detalle'!$J169="",'Detalle'!$K169="",'Detalle'!$L169=""),"",IF(AND(L$8&lt;='Detalle'!$K169,L$9&gt;='Detalle'!$J169),1,""))</x:f>
      </x:c>
      <x:c r="M343" s="32" t="str">
        <x:f>IF(OR('Detalle'!$J169="",'Detalle'!$K169="",'Detalle'!$L169=""),"",IF(AND(M$8&lt;='Detalle'!$K169,M$9&gt;='Detalle'!$J169),1,""))</x:f>
      </x:c>
      <x:c r="N343" s="32" t="str">
        <x:f>IF(OR('Detalle'!$J169="",'Detalle'!$K169="",'Detalle'!$L169=""),"",IF(AND(N$8&lt;='Detalle'!$K169,N$9&gt;='Detalle'!$J169),1,""))</x:f>
      </x:c>
      <x:c r="O343" s="32" t="str">
        <x:f>IF(OR('Detalle'!$J169="",'Detalle'!$K169="",'Detalle'!$L169=""),"",IF(AND(O$8&lt;='Detalle'!$K169,O$9&gt;='Detalle'!$J169),1,""))</x:f>
      </x:c>
      <x:c r="P343" s="32" t="str">
        <x:f>IF(OR('Detalle'!$J169="",'Detalle'!$K169="",'Detalle'!$L169=""),"",IF(AND(P$8&lt;='Detalle'!$K169,P$9&gt;='Detalle'!$J169),1,""))</x:f>
      </x:c>
      <x:c r="Q343" s="68"/>
      <x:c r="R343" s="67" t="str"/>
      <x:c r="S343" s="67" t="str"/>
    </x:row>
    <x:row r="344" ht="16" customHeight="1">
      <x:c r="A344" s="56" t="str">
        <x:v>QA01.003</x:v>
      </x:c>
      <x:c r="B344" s="57" t="str">
        <x:v>Probar almacenamiento administrativo temporal</x:v>
      </x:c>
      <x:c r="C344" s="62" t="str">
        <x:v>E</x:v>
      </x:c>
      <x:c r="D344" s="64" t="n">
        <x:f>'Detalle'!I170</x:f>
        <x:v>1</x:v>
      </x:c>
      <x:c r="E344" s="60" t="str">
        <x:f>'Detalle'!F170</x:f>
        <x:v>Completado</x:v>
      </x:c>
      <x:c r="F344" s="32" t="str">
        <x:f>IF(AND(F$8&lt;='Detalle'!$H170,F$9&gt;='Detalle'!$G170),1,"")</x:f>
      </x:c>
      <x:c r="G344" s="32" t="str">
        <x:f>IF(AND(G$8&lt;='Detalle'!$H170,G$9&gt;='Detalle'!$G170),1,"")</x:f>
      </x:c>
      <x:c r="H344" s="32" t="n">
        <x:f>IF(AND(H$8&lt;='Detalle'!$H170,H$9&gt;='Detalle'!$G170),1,"")</x:f>
        <x:v>1</x:v>
      </x:c>
      <x:c r="I344" s="32" t="str">
        <x:f>IF(AND(I$8&lt;='Detalle'!$H170,I$9&gt;='Detalle'!$G170),1,"")</x:f>
      </x:c>
      <x:c r="J344" s="32" t="str">
        <x:f>IF(AND(J$8&lt;='Detalle'!$H170,J$9&gt;='Detalle'!$G170),1,"")</x:f>
      </x:c>
      <x:c r="K344" s="32" t="str">
        <x:f>IF(AND(K$8&lt;='Detalle'!$H170,K$9&gt;='Detalle'!$G170),1,"")</x:f>
      </x:c>
      <x:c r="L344" s="32" t="str">
        <x:f>IF(AND(L$8&lt;='Detalle'!$H170,L$9&gt;='Detalle'!$G170),1,"")</x:f>
      </x:c>
      <x:c r="M344" s="32" t="str">
        <x:f>IF(AND(M$8&lt;='Detalle'!$H170,M$9&gt;='Detalle'!$G170),1,"")</x:f>
      </x:c>
      <x:c r="N344" s="32" t="str">
        <x:f>IF(AND(N$8&lt;='Detalle'!$H170,N$9&gt;='Detalle'!$G170),1,"")</x:f>
      </x:c>
      <x:c r="O344" s="32" t="str">
        <x:f>IF(AND(O$8&lt;='Detalle'!$H170,O$9&gt;='Detalle'!$G170),1,"")</x:f>
      </x:c>
      <x:c r="P344" s="32" t="str">
        <x:f>IF(AND(P$8&lt;='Detalle'!$H170,P$9&gt;='Detalle'!$G170),1,"")</x:f>
      </x:c>
      <x:c r="Q344" s="68"/>
      <x:c r="R344" s="67" t="str">
        <x:f>IF('Detalle'!M170="","",'Detalle'!M170)</x:f>
      </x:c>
      <x:c r="S344" s="67" t="str">
        <x:f>IF('Detalle'!N170="","",'Detalle'!N170)</x:f>
      </x:c>
    </x:row>
    <x:row r="345" ht="16" customHeight="1">
      <x:c r="A345" s="56" t="str">
        <x:v>QA01.003</x:v>
      </x:c>
      <x:c r="B345" s="57" t="str">
        <x:v>Probar almacenamiento administrativo temporal</x:v>
      </x:c>
      <x:c r="C345" s="63" t="str">
        <x:v>R</x:v>
      </x:c>
      <x:c r="D345" s="65" t="str">
        <x:f>IF('Detalle'!L170="","",'Detalle'!L170)</x:f>
      </x:c>
      <x:c r="E345" s="60" t="str"/>
      <x:c r="F345" s="32" t="str">
        <x:f>IF(OR('Detalle'!$J170="",'Detalle'!$K170="",'Detalle'!$L170=""),"",IF(AND(F$8&lt;='Detalle'!$K170,F$9&gt;='Detalle'!$J170),1,""))</x:f>
      </x:c>
      <x:c r="G345" s="32" t="str">
        <x:f>IF(OR('Detalle'!$J170="",'Detalle'!$K170="",'Detalle'!$L170=""),"",IF(AND(G$8&lt;='Detalle'!$K170,G$9&gt;='Detalle'!$J170),1,""))</x:f>
      </x:c>
      <x:c r="H345" s="32" t="str">
        <x:f>IF(OR('Detalle'!$J170="",'Detalle'!$K170="",'Detalle'!$L170=""),"",IF(AND(H$8&lt;='Detalle'!$K170,H$9&gt;='Detalle'!$J170),1,""))</x:f>
      </x:c>
      <x:c r="I345" s="32" t="str">
        <x:f>IF(OR('Detalle'!$J170="",'Detalle'!$K170="",'Detalle'!$L170=""),"",IF(AND(I$8&lt;='Detalle'!$K170,I$9&gt;='Detalle'!$J170),1,""))</x:f>
      </x:c>
      <x:c r="J345" s="32" t="str">
        <x:f>IF(OR('Detalle'!$J170="",'Detalle'!$K170="",'Detalle'!$L170=""),"",IF(AND(J$8&lt;='Detalle'!$K170,J$9&gt;='Detalle'!$J170),1,""))</x:f>
      </x:c>
      <x:c r="K345" s="32" t="str">
        <x:f>IF(OR('Detalle'!$J170="",'Detalle'!$K170="",'Detalle'!$L170=""),"",IF(AND(K$8&lt;='Detalle'!$K170,K$9&gt;='Detalle'!$J170),1,""))</x:f>
      </x:c>
      <x:c r="L345" s="32" t="str">
        <x:f>IF(OR('Detalle'!$J170="",'Detalle'!$K170="",'Detalle'!$L170=""),"",IF(AND(L$8&lt;='Detalle'!$K170,L$9&gt;='Detalle'!$J170),1,""))</x:f>
      </x:c>
      <x:c r="M345" s="32" t="str">
        <x:f>IF(OR('Detalle'!$J170="",'Detalle'!$K170="",'Detalle'!$L170=""),"",IF(AND(M$8&lt;='Detalle'!$K170,M$9&gt;='Detalle'!$J170),1,""))</x:f>
      </x:c>
      <x:c r="N345" s="32" t="str">
        <x:f>IF(OR('Detalle'!$J170="",'Detalle'!$K170="",'Detalle'!$L170=""),"",IF(AND(N$8&lt;='Detalle'!$K170,N$9&gt;='Detalle'!$J170),1,""))</x:f>
      </x:c>
      <x:c r="O345" s="32" t="str">
        <x:f>IF(OR('Detalle'!$J170="",'Detalle'!$K170="",'Detalle'!$L170=""),"",IF(AND(O$8&lt;='Detalle'!$K170,O$9&gt;='Detalle'!$J170),1,""))</x:f>
      </x:c>
      <x:c r="P345" s="32" t="str">
        <x:f>IF(OR('Detalle'!$J170="",'Detalle'!$K170="",'Detalle'!$L170=""),"",IF(AND(P$8&lt;='Detalle'!$K170,P$9&gt;='Detalle'!$J170),1,""))</x:f>
      </x:c>
      <x:c r="Q345" s="68"/>
      <x:c r="R345" s="67" t="str"/>
      <x:c r="S345" s="67" t="str"/>
    </x:row>
    <x:row r="346" ht="16" customHeight="1">
      <x:c r="A346" s="56" t="str">
        <x:v>QA01.004</x:v>
      </x:c>
      <x:c r="B346" s="57" t="str">
        <x:v>Publicar documentos escolares y abrir registro</x:v>
      </x:c>
      <x:c r="C346" s="62" t="str">
        <x:v>E</x:v>
      </x:c>
      <x:c r="D346" s="64" t="n">
        <x:f>'Detalle'!I171</x:f>
        <x:v>1</x:v>
      </x:c>
      <x:c r="E346" s="60" t="str">
        <x:f>'Detalle'!F171</x:f>
        <x:v>Completado</x:v>
      </x:c>
      <x:c r="F346" s="32" t="str">
        <x:f>IF(AND(F$8&lt;='Detalle'!$H171,F$9&gt;='Detalle'!$G171),1,"")</x:f>
      </x:c>
      <x:c r="G346" s="32" t="str">
        <x:f>IF(AND(G$8&lt;='Detalle'!$H171,G$9&gt;='Detalle'!$G171),1,"")</x:f>
      </x:c>
      <x:c r="H346" s="32" t="n">
        <x:f>IF(AND(H$8&lt;='Detalle'!$H171,H$9&gt;='Detalle'!$G171),1,"")</x:f>
        <x:v>1</x:v>
      </x:c>
      <x:c r="I346" s="32" t="str">
        <x:f>IF(AND(I$8&lt;='Detalle'!$H171,I$9&gt;='Detalle'!$G171),1,"")</x:f>
      </x:c>
      <x:c r="J346" s="32" t="str">
        <x:f>IF(AND(J$8&lt;='Detalle'!$H171,J$9&gt;='Detalle'!$G171),1,"")</x:f>
      </x:c>
      <x:c r="K346" s="32" t="str">
        <x:f>IF(AND(K$8&lt;='Detalle'!$H171,K$9&gt;='Detalle'!$G171),1,"")</x:f>
      </x:c>
      <x:c r="L346" s="32" t="str">
        <x:f>IF(AND(L$8&lt;='Detalle'!$H171,L$9&gt;='Detalle'!$G171),1,"")</x:f>
      </x:c>
      <x:c r="M346" s="32" t="str">
        <x:f>IF(AND(M$8&lt;='Detalle'!$H171,M$9&gt;='Detalle'!$G171),1,"")</x:f>
      </x:c>
      <x:c r="N346" s="32" t="str">
        <x:f>IF(AND(N$8&lt;='Detalle'!$H171,N$9&gt;='Detalle'!$G171),1,"")</x:f>
      </x:c>
      <x:c r="O346" s="32" t="str">
        <x:f>IF(AND(O$8&lt;='Detalle'!$H171,O$9&gt;='Detalle'!$G171),1,"")</x:f>
      </x:c>
      <x:c r="P346" s="32" t="str">
        <x:f>IF(AND(P$8&lt;='Detalle'!$H171,P$9&gt;='Detalle'!$G171),1,"")</x:f>
      </x:c>
      <x:c r="Q346" s="68"/>
      <x:c r="R346" s="67" t="str">
        <x:f>IF('Detalle'!M171="","",'Detalle'!M171)</x:f>
      </x:c>
      <x:c r="S346" s="67" t="str">
        <x:f>IF('Detalle'!N171="","",'Detalle'!N171)</x:f>
      </x:c>
    </x:row>
    <x:row r="347" ht="16" customHeight="1">
      <x:c r="A347" s="56" t="str">
        <x:v>QA01.004</x:v>
      </x:c>
      <x:c r="B347" s="57" t="str">
        <x:v>Publicar documentos escolares y abrir registro</x:v>
      </x:c>
      <x:c r="C347" s="63" t="str">
        <x:v>R</x:v>
      </x:c>
      <x:c r="D347" s="65" t="str">
        <x:f>IF('Detalle'!L171="","",'Detalle'!L171)</x:f>
      </x:c>
      <x:c r="E347" s="60" t="str"/>
      <x:c r="F347" s="32" t="str">
        <x:f>IF(OR('Detalle'!$J171="",'Detalle'!$K171="",'Detalle'!$L171=""),"",IF(AND(F$8&lt;='Detalle'!$K171,F$9&gt;='Detalle'!$J171),1,""))</x:f>
      </x:c>
      <x:c r="G347" s="32" t="str">
        <x:f>IF(OR('Detalle'!$J171="",'Detalle'!$K171="",'Detalle'!$L171=""),"",IF(AND(G$8&lt;='Detalle'!$K171,G$9&gt;='Detalle'!$J171),1,""))</x:f>
      </x:c>
      <x:c r="H347" s="32" t="str">
        <x:f>IF(OR('Detalle'!$J171="",'Detalle'!$K171="",'Detalle'!$L171=""),"",IF(AND(H$8&lt;='Detalle'!$K171,H$9&gt;='Detalle'!$J171),1,""))</x:f>
      </x:c>
      <x:c r="I347" s="32" t="str">
        <x:f>IF(OR('Detalle'!$J171="",'Detalle'!$K171="",'Detalle'!$L171=""),"",IF(AND(I$8&lt;='Detalle'!$K171,I$9&gt;='Detalle'!$J171),1,""))</x:f>
      </x:c>
      <x:c r="J347" s="32" t="str">
        <x:f>IF(OR('Detalle'!$J171="",'Detalle'!$K171="",'Detalle'!$L171=""),"",IF(AND(J$8&lt;='Detalle'!$K171,J$9&gt;='Detalle'!$J171),1,""))</x:f>
      </x:c>
      <x:c r="K347" s="32" t="str">
        <x:f>IF(OR('Detalle'!$J171="",'Detalle'!$K171="",'Detalle'!$L171=""),"",IF(AND(K$8&lt;='Detalle'!$K171,K$9&gt;='Detalle'!$J171),1,""))</x:f>
      </x:c>
      <x:c r="L347" s="32" t="str">
        <x:f>IF(OR('Detalle'!$J171="",'Detalle'!$K171="",'Detalle'!$L171=""),"",IF(AND(L$8&lt;='Detalle'!$K171,L$9&gt;='Detalle'!$J171),1,""))</x:f>
      </x:c>
      <x:c r="M347" s="32" t="str">
        <x:f>IF(OR('Detalle'!$J171="",'Detalle'!$K171="",'Detalle'!$L171=""),"",IF(AND(M$8&lt;='Detalle'!$K171,M$9&gt;='Detalle'!$J171),1,""))</x:f>
      </x:c>
      <x:c r="N347" s="32" t="str">
        <x:f>IF(OR('Detalle'!$J171="",'Detalle'!$K171="",'Detalle'!$L171=""),"",IF(AND(N$8&lt;='Detalle'!$K171,N$9&gt;='Detalle'!$J171),1,""))</x:f>
      </x:c>
      <x:c r="O347" s="32" t="str">
        <x:f>IF(OR('Detalle'!$J171="",'Detalle'!$K171="",'Detalle'!$L171=""),"",IF(AND(O$8&lt;='Detalle'!$K171,O$9&gt;='Detalle'!$J171),1,""))</x:f>
      </x:c>
      <x:c r="P347" s="32" t="str">
        <x:f>IF(OR('Detalle'!$J171="",'Detalle'!$K171="",'Detalle'!$L171=""),"",IF(AND(P$8&lt;='Detalle'!$K171,P$9&gt;='Detalle'!$J171),1,""))</x:f>
      </x:c>
      <x:c r="Q347" s="68"/>
      <x:c r="R347" s="67" t="str"/>
      <x:c r="S347" s="67" t="str"/>
    </x:row>
    <x:row r="348" ht="16" customHeight="1">
      <x:c r="A348" s="56" t="str">
        <x:v>QA01.005</x:v>
      </x:c>
      <x:c r="B348" s="57" t="str">
        <x:v>Aplicar migración 003 de comunidad</x:v>
      </x:c>
      <x:c r="C348" s="62" t="str">
        <x:v>E</x:v>
      </x:c>
      <x:c r="D348" s="64" t="n">
        <x:f>'Detalle'!I172</x:f>
        <x:v>1</x:v>
      </x:c>
      <x:c r="E348" s="60" t="str">
        <x:f>'Detalle'!F172</x:f>
        <x:v>Completado</x:v>
      </x:c>
      <x:c r="F348" s="32" t="str">
        <x:f>IF(AND(F$8&lt;='Detalle'!$H172,F$9&gt;='Detalle'!$G172),1,"")</x:f>
      </x:c>
      <x:c r="G348" s="32" t="str">
        <x:f>IF(AND(G$8&lt;='Detalle'!$H172,G$9&gt;='Detalle'!$G172),1,"")</x:f>
      </x:c>
      <x:c r="H348" s="32" t="n">
        <x:f>IF(AND(H$8&lt;='Detalle'!$H172,H$9&gt;='Detalle'!$G172),1,"")</x:f>
        <x:v>1</x:v>
      </x:c>
      <x:c r="I348" s="32" t="str">
        <x:f>IF(AND(I$8&lt;='Detalle'!$H172,I$9&gt;='Detalle'!$G172),1,"")</x:f>
      </x:c>
      <x:c r="J348" s="32" t="str">
        <x:f>IF(AND(J$8&lt;='Detalle'!$H172,J$9&gt;='Detalle'!$G172),1,"")</x:f>
      </x:c>
      <x:c r="K348" s="32" t="str">
        <x:f>IF(AND(K$8&lt;='Detalle'!$H172,K$9&gt;='Detalle'!$G172),1,"")</x:f>
      </x:c>
      <x:c r="L348" s="32" t="str">
        <x:f>IF(AND(L$8&lt;='Detalle'!$H172,L$9&gt;='Detalle'!$G172),1,"")</x:f>
      </x:c>
      <x:c r="M348" s="32" t="str">
        <x:f>IF(AND(M$8&lt;='Detalle'!$H172,M$9&gt;='Detalle'!$G172),1,"")</x:f>
      </x:c>
      <x:c r="N348" s="32" t="str">
        <x:f>IF(AND(N$8&lt;='Detalle'!$H172,N$9&gt;='Detalle'!$G172),1,"")</x:f>
      </x:c>
      <x:c r="O348" s="32" t="str">
        <x:f>IF(AND(O$8&lt;='Detalle'!$H172,O$9&gt;='Detalle'!$G172),1,"")</x:f>
      </x:c>
      <x:c r="P348" s="32" t="str">
        <x:f>IF(AND(P$8&lt;='Detalle'!$H172,P$9&gt;='Detalle'!$G172),1,"")</x:f>
      </x:c>
      <x:c r="Q348" s="68"/>
      <x:c r="R348" s="67" t="str">
        <x:f>IF('Detalle'!M172="","",'Detalle'!M172)</x:f>
      </x:c>
      <x:c r="S348" s="67" t="str">
        <x:f>IF('Detalle'!N172="","",'Detalle'!N172)</x:f>
      </x:c>
    </x:row>
    <x:row r="349" ht="16" customHeight="1">
      <x:c r="A349" s="56" t="str">
        <x:v>QA01.005</x:v>
      </x:c>
      <x:c r="B349" s="57" t="str">
        <x:v>Aplicar migración 003 de comunidad</x:v>
      </x:c>
      <x:c r="C349" s="63" t="str">
        <x:v>R</x:v>
      </x:c>
      <x:c r="D349" s="65" t="str">
        <x:f>IF('Detalle'!L172="","",'Detalle'!L172)</x:f>
      </x:c>
      <x:c r="E349" s="60" t="str"/>
      <x:c r="F349" s="32" t="str">
        <x:f>IF(OR('Detalle'!$J172="",'Detalle'!$K172="",'Detalle'!$L172=""),"",IF(AND(F$8&lt;='Detalle'!$K172,F$9&gt;='Detalle'!$J172),1,""))</x:f>
      </x:c>
      <x:c r="G349" s="32" t="str">
        <x:f>IF(OR('Detalle'!$J172="",'Detalle'!$K172="",'Detalle'!$L172=""),"",IF(AND(G$8&lt;='Detalle'!$K172,G$9&gt;='Detalle'!$J172),1,""))</x:f>
      </x:c>
      <x:c r="H349" s="32" t="str">
        <x:f>IF(OR('Detalle'!$J172="",'Detalle'!$K172="",'Detalle'!$L172=""),"",IF(AND(H$8&lt;='Detalle'!$K172,H$9&gt;='Detalle'!$J172),1,""))</x:f>
      </x:c>
      <x:c r="I349" s="32" t="str">
        <x:f>IF(OR('Detalle'!$J172="",'Detalle'!$K172="",'Detalle'!$L172=""),"",IF(AND(I$8&lt;='Detalle'!$K172,I$9&gt;='Detalle'!$J172),1,""))</x:f>
      </x:c>
      <x:c r="J349" s="32" t="str">
        <x:f>IF(OR('Detalle'!$J172="",'Detalle'!$K172="",'Detalle'!$L172=""),"",IF(AND(J$8&lt;='Detalle'!$K172,J$9&gt;='Detalle'!$J172),1,""))</x:f>
      </x:c>
      <x:c r="K349" s="32" t="str">
        <x:f>IF(OR('Detalle'!$J172="",'Detalle'!$K172="",'Detalle'!$L172=""),"",IF(AND(K$8&lt;='Detalle'!$K172,K$9&gt;='Detalle'!$J172),1,""))</x:f>
      </x:c>
      <x:c r="L349" s="32" t="str">
        <x:f>IF(OR('Detalle'!$J172="",'Detalle'!$K172="",'Detalle'!$L172=""),"",IF(AND(L$8&lt;='Detalle'!$K172,L$9&gt;='Detalle'!$J172),1,""))</x:f>
      </x:c>
      <x:c r="M349" s="32" t="str">
        <x:f>IF(OR('Detalle'!$J172="",'Detalle'!$K172="",'Detalle'!$L172=""),"",IF(AND(M$8&lt;='Detalle'!$K172,M$9&gt;='Detalle'!$J172),1,""))</x:f>
      </x:c>
      <x:c r="N349" s="32" t="str">
        <x:f>IF(OR('Detalle'!$J172="",'Detalle'!$K172="",'Detalle'!$L172=""),"",IF(AND(N$8&lt;='Detalle'!$K172,N$9&gt;='Detalle'!$J172),1,""))</x:f>
      </x:c>
      <x:c r="O349" s="32" t="str">
        <x:f>IF(OR('Detalle'!$J172="",'Detalle'!$K172="",'Detalle'!$L172=""),"",IF(AND(O$8&lt;='Detalle'!$K172,O$9&gt;='Detalle'!$J172),1,""))</x:f>
      </x:c>
      <x:c r="P349" s="32" t="str">
        <x:f>IF(OR('Detalle'!$J172="",'Detalle'!$K172="",'Detalle'!$L172=""),"",IF(AND(P$8&lt;='Detalle'!$K172,P$9&gt;='Detalle'!$J172),1,""))</x:f>
      </x:c>
      <x:c r="Q349" s="68"/>
      <x:c r="R349" s="67" t="str"/>
      <x:c r="S349" s="67" t="str"/>
    </x:row>
    <x:row r="350" ht="16" customHeight="1">
      <x:c r="A350" s="56" t="str">
        <x:v>QA01.006</x:v>
      </x:c>
      <x:c r="B350" s="57" t="str">
        <x:v>Desplegar limpieza de fotos de posts</x:v>
      </x:c>
      <x:c r="C350" s="62" t="str">
        <x:v>E</x:v>
      </x:c>
      <x:c r="D350" s="64" t="n">
        <x:f>'Detalle'!I173</x:f>
        <x:v>1</x:v>
      </x:c>
      <x:c r="E350" s="60" t="str">
        <x:f>'Detalle'!F173</x:f>
        <x:v>Completado</x:v>
      </x:c>
      <x:c r="F350" s="32" t="str">
        <x:f>IF(AND(F$8&lt;='Detalle'!$H173,F$9&gt;='Detalle'!$G173),1,"")</x:f>
      </x:c>
      <x:c r="G350" s="32" t="str">
        <x:f>IF(AND(G$8&lt;='Detalle'!$H173,G$9&gt;='Detalle'!$G173),1,"")</x:f>
      </x:c>
      <x:c r="H350" s="32" t="n">
        <x:f>IF(AND(H$8&lt;='Detalle'!$H173,H$9&gt;='Detalle'!$G173),1,"")</x:f>
        <x:v>1</x:v>
      </x:c>
      <x:c r="I350" s="32" t="str">
        <x:f>IF(AND(I$8&lt;='Detalle'!$H173,I$9&gt;='Detalle'!$G173),1,"")</x:f>
      </x:c>
      <x:c r="J350" s="32" t="str">
        <x:f>IF(AND(J$8&lt;='Detalle'!$H173,J$9&gt;='Detalle'!$G173),1,"")</x:f>
      </x:c>
      <x:c r="K350" s="32" t="str">
        <x:f>IF(AND(K$8&lt;='Detalle'!$H173,K$9&gt;='Detalle'!$G173),1,"")</x:f>
      </x:c>
      <x:c r="L350" s="32" t="str">
        <x:f>IF(AND(L$8&lt;='Detalle'!$H173,L$9&gt;='Detalle'!$G173),1,"")</x:f>
      </x:c>
      <x:c r="M350" s="32" t="str">
        <x:f>IF(AND(M$8&lt;='Detalle'!$H173,M$9&gt;='Detalle'!$G173),1,"")</x:f>
      </x:c>
      <x:c r="N350" s="32" t="str">
        <x:f>IF(AND(N$8&lt;='Detalle'!$H173,N$9&gt;='Detalle'!$G173),1,"")</x:f>
      </x:c>
      <x:c r="O350" s="32" t="str">
        <x:f>IF(AND(O$8&lt;='Detalle'!$H173,O$9&gt;='Detalle'!$G173),1,"")</x:f>
      </x:c>
      <x:c r="P350" s="32" t="str">
        <x:f>IF(AND(P$8&lt;='Detalle'!$H173,P$9&gt;='Detalle'!$G173),1,"")</x:f>
      </x:c>
      <x:c r="Q350" s="68"/>
      <x:c r="R350" s="67" t="str">
        <x:f>IF('Detalle'!M173="","",'Detalle'!M173)</x:f>
      </x:c>
      <x:c r="S350" s="67" t="str">
        <x:f>IF('Detalle'!N173="","",'Detalle'!N173)</x:f>
      </x:c>
    </x:row>
    <x:row r="351" ht="16" customHeight="1">
      <x:c r="A351" s="56" t="str">
        <x:v>QA01.006</x:v>
      </x:c>
      <x:c r="B351" s="57" t="str">
        <x:v>Desplegar limpieza de fotos de posts</x:v>
      </x:c>
      <x:c r="C351" s="63" t="str">
        <x:v>R</x:v>
      </x:c>
      <x:c r="D351" s="65" t="str">
        <x:f>IF('Detalle'!L173="","",'Detalle'!L173)</x:f>
      </x:c>
      <x:c r="E351" s="60" t="str"/>
      <x:c r="F351" s="32" t="str">
        <x:f>IF(OR('Detalle'!$J173="",'Detalle'!$K173="",'Detalle'!$L173=""),"",IF(AND(F$8&lt;='Detalle'!$K173,F$9&gt;='Detalle'!$J173),1,""))</x:f>
      </x:c>
      <x:c r="G351" s="32" t="str">
        <x:f>IF(OR('Detalle'!$J173="",'Detalle'!$K173="",'Detalle'!$L173=""),"",IF(AND(G$8&lt;='Detalle'!$K173,G$9&gt;='Detalle'!$J173),1,""))</x:f>
      </x:c>
      <x:c r="H351" s="32" t="str">
        <x:f>IF(OR('Detalle'!$J173="",'Detalle'!$K173="",'Detalle'!$L173=""),"",IF(AND(H$8&lt;='Detalle'!$K173,H$9&gt;='Detalle'!$J173),1,""))</x:f>
      </x:c>
      <x:c r="I351" s="32" t="str">
        <x:f>IF(OR('Detalle'!$J173="",'Detalle'!$K173="",'Detalle'!$L173=""),"",IF(AND(I$8&lt;='Detalle'!$K173,I$9&gt;='Detalle'!$J173),1,""))</x:f>
      </x:c>
      <x:c r="J351" s="32" t="str">
        <x:f>IF(OR('Detalle'!$J173="",'Detalle'!$K173="",'Detalle'!$L173=""),"",IF(AND(J$8&lt;='Detalle'!$K173,J$9&gt;='Detalle'!$J173),1,""))</x:f>
      </x:c>
      <x:c r="K351" s="32" t="str">
        <x:f>IF(OR('Detalle'!$J173="",'Detalle'!$K173="",'Detalle'!$L173=""),"",IF(AND(K$8&lt;='Detalle'!$K173,K$9&gt;='Detalle'!$J173),1,""))</x:f>
      </x:c>
      <x:c r="L351" s="32" t="str">
        <x:f>IF(OR('Detalle'!$J173="",'Detalle'!$K173="",'Detalle'!$L173=""),"",IF(AND(L$8&lt;='Detalle'!$K173,L$9&gt;='Detalle'!$J173),1,""))</x:f>
      </x:c>
      <x:c r="M351" s="32" t="str">
        <x:f>IF(OR('Detalle'!$J173="",'Detalle'!$K173="",'Detalle'!$L173=""),"",IF(AND(M$8&lt;='Detalle'!$K173,M$9&gt;='Detalle'!$J173),1,""))</x:f>
      </x:c>
      <x:c r="N351" s="32" t="str">
        <x:f>IF(OR('Detalle'!$J173="",'Detalle'!$K173="",'Detalle'!$L173=""),"",IF(AND(N$8&lt;='Detalle'!$K173,N$9&gt;='Detalle'!$J173),1,""))</x:f>
      </x:c>
      <x:c r="O351" s="32" t="str">
        <x:f>IF(OR('Detalle'!$J173="",'Detalle'!$K173="",'Detalle'!$L173=""),"",IF(AND(O$8&lt;='Detalle'!$K173,O$9&gt;='Detalle'!$J173),1,""))</x:f>
      </x:c>
      <x:c r="P351" s="32" t="str">
        <x:f>IF(OR('Detalle'!$J173="",'Detalle'!$K173="",'Detalle'!$L173=""),"",IF(AND(P$8&lt;='Detalle'!$K173,P$9&gt;='Detalle'!$J173),1,""))</x:f>
      </x:c>
      <x:c r="Q351" s="68"/>
      <x:c r="R351" s="67" t="str"/>
      <x:c r="S351" s="67" t="str"/>
    </x:row>
    <x:row r="352" ht="16" customHeight="1">
      <x:c r="A352" s="56" t="str">
        <x:v>QA01.007</x:v>
      </x:c>
      <x:c r="B352" s="57" t="str">
        <x:v>Validar SQL aislado de comunidad</x:v>
      </x:c>
      <x:c r="C352" s="62" t="str">
        <x:v>E</x:v>
      </x:c>
      <x:c r="D352" s="64" t="n">
        <x:f>'Detalle'!I174</x:f>
        <x:v>1</x:v>
      </x:c>
      <x:c r="E352" s="60" t="str">
        <x:f>'Detalle'!F174</x:f>
        <x:v>Completado</x:v>
      </x:c>
      <x:c r="F352" s="32" t="str">
        <x:f>IF(AND(F$8&lt;='Detalle'!$H174,F$9&gt;='Detalle'!$G174),1,"")</x:f>
      </x:c>
      <x:c r="G352" s="32" t="str">
        <x:f>IF(AND(G$8&lt;='Detalle'!$H174,G$9&gt;='Detalle'!$G174),1,"")</x:f>
      </x:c>
      <x:c r="H352" s="32" t="n">
        <x:f>IF(AND(H$8&lt;='Detalle'!$H174,H$9&gt;='Detalle'!$G174),1,"")</x:f>
        <x:v>1</x:v>
      </x:c>
      <x:c r="I352" s="32" t="str">
        <x:f>IF(AND(I$8&lt;='Detalle'!$H174,I$9&gt;='Detalle'!$G174),1,"")</x:f>
      </x:c>
      <x:c r="J352" s="32" t="str">
        <x:f>IF(AND(J$8&lt;='Detalle'!$H174,J$9&gt;='Detalle'!$G174),1,"")</x:f>
      </x:c>
      <x:c r="K352" s="32" t="str">
        <x:f>IF(AND(K$8&lt;='Detalle'!$H174,K$9&gt;='Detalle'!$G174),1,"")</x:f>
      </x:c>
      <x:c r="L352" s="32" t="str">
        <x:f>IF(AND(L$8&lt;='Detalle'!$H174,L$9&gt;='Detalle'!$G174),1,"")</x:f>
      </x:c>
      <x:c r="M352" s="32" t="str">
        <x:f>IF(AND(M$8&lt;='Detalle'!$H174,M$9&gt;='Detalle'!$G174),1,"")</x:f>
      </x:c>
      <x:c r="N352" s="32" t="str">
        <x:f>IF(AND(N$8&lt;='Detalle'!$H174,N$9&gt;='Detalle'!$G174),1,"")</x:f>
      </x:c>
      <x:c r="O352" s="32" t="str">
        <x:f>IF(AND(O$8&lt;='Detalle'!$H174,O$9&gt;='Detalle'!$G174),1,"")</x:f>
      </x:c>
      <x:c r="P352" s="32" t="str">
        <x:f>IF(AND(P$8&lt;='Detalle'!$H174,P$9&gt;='Detalle'!$G174),1,"")</x:f>
      </x:c>
      <x:c r="Q352" s="68"/>
      <x:c r="R352" s="67" t="str">
        <x:f>IF('Detalle'!M174="","",'Detalle'!M174)</x:f>
      </x:c>
      <x:c r="S352" s="67" t="str">
        <x:f>IF('Detalle'!N174="","",'Detalle'!N174)</x:f>
      </x:c>
    </x:row>
    <x:row r="353" ht="16" customHeight="1">
      <x:c r="A353" s="56" t="str">
        <x:v>QA01.007</x:v>
      </x:c>
      <x:c r="B353" s="57" t="str">
        <x:v>Validar SQL aislado de comunidad</x:v>
      </x:c>
      <x:c r="C353" s="63" t="str">
        <x:v>R</x:v>
      </x:c>
      <x:c r="D353" s="65" t="str">
        <x:f>IF('Detalle'!L174="","",'Detalle'!L174)</x:f>
      </x:c>
      <x:c r="E353" s="60" t="str"/>
      <x:c r="F353" s="32" t="str">
        <x:f>IF(OR('Detalle'!$J174="",'Detalle'!$K174="",'Detalle'!$L174=""),"",IF(AND(F$8&lt;='Detalle'!$K174,F$9&gt;='Detalle'!$J174),1,""))</x:f>
      </x:c>
      <x:c r="G353" s="32" t="str">
        <x:f>IF(OR('Detalle'!$J174="",'Detalle'!$K174="",'Detalle'!$L174=""),"",IF(AND(G$8&lt;='Detalle'!$K174,G$9&gt;='Detalle'!$J174),1,""))</x:f>
      </x:c>
      <x:c r="H353" s="32" t="str">
        <x:f>IF(OR('Detalle'!$J174="",'Detalle'!$K174="",'Detalle'!$L174=""),"",IF(AND(H$8&lt;='Detalle'!$K174,H$9&gt;='Detalle'!$J174),1,""))</x:f>
      </x:c>
      <x:c r="I353" s="32" t="str">
        <x:f>IF(OR('Detalle'!$J174="",'Detalle'!$K174="",'Detalle'!$L174=""),"",IF(AND(I$8&lt;='Detalle'!$K174,I$9&gt;='Detalle'!$J174),1,""))</x:f>
      </x:c>
      <x:c r="J353" s="32" t="str">
        <x:f>IF(OR('Detalle'!$J174="",'Detalle'!$K174="",'Detalle'!$L174=""),"",IF(AND(J$8&lt;='Detalle'!$K174,J$9&gt;='Detalle'!$J174),1,""))</x:f>
      </x:c>
      <x:c r="K353" s="32" t="str">
        <x:f>IF(OR('Detalle'!$J174="",'Detalle'!$K174="",'Detalle'!$L174=""),"",IF(AND(K$8&lt;='Detalle'!$K174,K$9&gt;='Detalle'!$J174),1,""))</x:f>
      </x:c>
      <x:c r="L353" s="32" t="str">
        <x:f>IF(OR('Detalle'!$J174="",'Detalle'!$K174="",'Detalle'!$L174=""),"",IF(AND(L$8&lt;='Detalle'!$K174,L$9&gt;='Detalle'!$J174),1,""))</x:f>
      </x:c>
      <x:c r="M353" s="32" t="str">
        <x:f>IF(OR('Detalle'!$J174="",'Detalle'!$K174="",'Detalle'!$L174=""),"",IF(AND(M$8&lt;='Detalle'!$K174,M$9&gt;='Detalle'!$J174),1,""))</x:f>
      </x:c>
      <x:c r="N353" s="32" t="str">
        <x:f>IF(OR('Detalle'!$J174="",'Detalle'!$K174="",'Detalle'!$L174=""),"",IF(AND(N$8&lt;='Detalle'!$K174,N$9&gt;='Detalle'!$J174),1,""))</x:f>
      </x:c>
      <x:c r="O353" s="32" t="str">
        <x:f>IF(OR('Detalle'!$J174="",'Detalle'!$K174="",'Detalle'!$L174=""),"",IF(AND(O$8&lt;='Detalle'!$K174,O$9&gt;='Detalle'!$J174),1,""))</x:f>
      </x:c>
      <x:c r="P353" s="32" t="str">
        <x:f>IF(OR('Detalle'!$J174="",'Detalle'!$K174="",'Detalle'!$L174=""),"",IF(AND(P$8&lt;='Detalle'!$K174,P$9&gt;='Detalle'!$J174),1,""))</x:f>
      </x:c>
      <x:c r="Q353" s="68"/>
      <x:c r="R353" s="67" t="str"/>
      <x:c r="S353" s="67" t="str"/>
    </x:row>
    <x:row r="354" ht="16" customHeight="1">
      <x:c r="A354" s="56" t="str">
        <x:v>QA01.008</x:v>
      </x:c>
      <x:c r="B354" s="57" t="str">
        <x:v>Validar pantallas de comunidad</x:v>
      </x:c>
      <x:c r="C354" s="62" t="str">
        <x:v>E</x:v>
      </x:c>
      <x:c r="D354" s="64" t="n">
        <x:f>'Detalle'!I175</x:f>
        <x:v>1</x:v>
      </x:c>
      <x:c r="E354" s="60" t="str">
        <x:f>'Detalle'!F175</x:f>
        <x:v>Completado</x:v>
      </x:c>
      <x:c r="F354" s="32" t="str">
        <x:f>IF(AND(F$8&lt;='Detalle'!$H175,F$9&gt;='Detalle'!$G175),1,"")</x:f>
      </x:c>
      <x:c r="G354" s="32" t="str">
        <x:f>IF(AND(G$8&lt;='Detalle'!$H175,G$9&gt;='Detalle'!$G175),1,"")</x:f>
      </x:c>
      <x:c r="H354" s="32" t="n">
        <x:f>IF(AND(H$8&lt;='Detalle'!$H175,H$9&gt;='Detalle'!$G175),1,"")</x:f>
        <x:v>1</x:v>
      </x:c>
      <x:c r="I354" s="32" t="str">
        <x:f>IF(AND(I$8&lt;='Detalle'!$H175,I$9&gt;='Detalle'!$G175),1,"")</x:f>
      </x:c>
      <x:c r="J354" s="32" t="str">
        <x:f>IF(AND(J$8&lt;='Detalle'!$H175,J$9&gt;='Detalle'!$G175),1,"")</x:f>
      </x:c>
      <x:c r="K354" s="32" t="str">
        <x:f>IF(AND(K$8&lt;='Detalle'!$H175,K$9&gt;='Detalle'!$G175),1,"")</x:f>
      </x:c>
      <x:c r="L354" s="32" t="str">
        <x:f>IF(AND(L$8&lt;='Detalle'!$H175,L$9&gt;='Detalle'!$G175),1,"")</x:f>
      </x:c>
      <x:c r="M354" s="32" t="str">
        <x:f>IF(AND(M$8&lt;='Detalle'!$H175,M$9&gt;='Detalle'!$G175),1,"")</x:f>
      </x:c>
      <x:c r="N354" s="32" t="str">
        <x:f>IF(AND(N$8&lt;='Detalle'!$H175,N$9&gt;='Detalle'!$G175),1,"")</x:f>
      </x:c>
      <x:c r="O354" s="32" t="str">
        <x:f>IF(AND(O$8&lt;='Detalle'!$H175,O$9&gt;='Detalle'!$G175),1,"")</x:f>
      </x:c>
      <x:c r="P354" s="32" t="str">
        <x:f>IF(AND(P$8&lt;='Detalle'!$H175,P$9&gt;='Detalle'!$G175),1,"")</x:f>
      </x:c>
      <x:c r="Q354" s="68"/>
      <x:c r="R354" s="67" t="str">
        <x:f>IF('Detalle'!M175="","",'Detalle'!M175)</x:f>
      </x:c>
      <x:c r="S354" s="67" t="str">
        <x:f>IF('Detalle'!N175="","",'Detalle'!N175)</x:f>
      </x:c>
    </x:row>
    <x:row r="355" ht="16" customHeight="1">
      <x:c r="A355" s="56" t="str">
        <x:v>QA01.008</x:v>
      </x:c>
      <x:c r="B355" s="57" t="str">
        <x:v>Validar pantallas de comunidad</x:v>
      </x:c>
      <x:c r="C355" s="63" t="str">
        <x:v>R</x:v>
      </x:c>
      <x:c r="D355" s="65" t="str">
        <x:f>IF('Detalle'!L175="","",'Detalle'!L175)</x:f>
      </x:c>
      <x:c r="E355" s="60" t="str"/>
      <x:c r="F355" s="32" t="str">
        <x:f>IF(OR('Detalle'!$J175="",'Detalle'!$K175="",'Detalle'!$L175=""),"",IF(AND(F$8&lt;='Detalle'!$K175,F$9&gt;='Detalle'!$J175),1,""))</x:f>
      </x:c>
      <x:c r="G355" s="32" t="str">
        <x:f>IF(OR('Detalle'!$J175="",'Detalle'!$K175="",'Detalle'!$L175=""),"",IF(AND(G$8&lt;='Detalle'!$K175,G$9&gt;='Detalle'!$J175),1,""))</x:f>
      </x:c>
      <x:c r="H355" s="32" t="str">
        <x:f>IF(OR('Detalle'!$J175="",'Detalle'!$K175="",'Detalle'!$L175=""),"",IF(AND(H$8&lt;='Detalle'!$K175,H$9&gt;='Detalle'!$J175),1,""))</x:f>
      </x:c>
      <x:c r="I355" s="32" t="str">
        <x:f>IF(OR('Detalle'!$J175="",'Detalle'!$K175="",'Detalle'!$L175=""),"",IF(AND(I$8&lt;='Detalle'!$K175,I$9&gt;='Detalle'!$J175),1,""))</x:f>
      </x:c>
      <x:c r="J355" s="32" t="str">
        <x:f>IF(OR('Detalle'!$J175="",'Detalle'!$K175="",'Detalle'!$L175=""),"",IF(AND(J$8&lt;='Detalle'!$K175,J$9&gt;='Detalle'!$J175),1,""))</x:f>
      </x:c>
      <x:c r="K355" s="32" t="str">
        <x:f>IF(OR('Detalle'!$J175="",'Detalle'!$K175="",'Detalle'!$L175=""),"",IF(AND(K$8&lt;='Detalle'!$K175,K$9&gt;='Detalle'!$J175),1,""))</x:f>
      </x:c>
      <x:c r="L355" s="32" t="str">
        <x:f>IF(OR('Detalle'!$J175="",'Detalle'!$K175="",'Detalle'!$L175=""),"",IF(AND(L$8&lt;='Detalle'!$K175,L$9&gt;='Detalle'!$J175),1,""))</x:f>
      </x:c>
      <x:c r="M355" s="32" t="str">
        <x:f>IF(OR('Detalle'!$J175="",'Detalle'!$K175="",'Detalle'!$L175=""),"",IF(AND(M$8&lt;='Detalle'!$K175,M$9&gt;='Detalle'!$J175),1,""))</x:f>
      </x:c>
      <x:c r="N355" s="32" t="str">
        <x:f>IF(OR('Detalle'!$J175="",'Detalle'!$K175="",'Detalle'!$L175=""),"",IF(AND(N$8&lt;='Detalle'!$K175,N$9&gt;='Detalle'!$J175),1,""))</x:f>
      </x:c>
      <x:c r="O355" s="32" t="str">
        <x:f>IF(OR('Detalle'!$J175="",'Detalle'!$K175="",'Detalle'!$L175=""),"",IF(AND(O$8&lt;='Detalle'!$K175,O$9&gt;='Detalle'!$J175),1,""))</x:f>
      </x:c>
      <x:c r="P355" s="32" t="str">
        <x:f>IF(OR('Detalle'!$J175="",'Detalle'!$K175="",'Detalle'!$L175=""),"",IF(AND(P$8&lt;='Detalle'!$K175,P$9&gt;='Detalle'!$J175),1,""))</x:f>
      </x:c>
      <x:c r="Q355" s="68"/>
      <x:c r="R355" s="67" t="str"/>
      <x:c r="S355" s="67" t="str"/>
    </x:row>
    <x:row r="356" ht="16" customHeight="1">
      <x:c r="A356" s="56" t="str">
        <x:v>QA01.009</x:v>
      </x:c>
      <x:c r="B356" s="57" t="str">
        <x:v>Corregir dimensiones de imágenes en navegador</x:v>
      </x:c>
      <x:c r="C356" s="62" t="str">
        <x:v>E</x:v>
      </x:c>
      <x:c r="D356" s="64" t="n">
        <x:f>'Detalle'!I176</x:f>
        <x:v>1</x:v>
      </x:c>
      <x:c r="E356" s="60" t="str">
        <x:f>'Detalle'!F176</x:f>
        <x:v>Completado</x:v>
      </x:c>
      <x:c r="F356" s="32" t="str">
        <x:f>IF(AND(F$8&lt;='Detalle'!$H176,F$9&gt;='Detalle'!$G176),1,"")</x:f>
      </x:c>
      <x:c r="G356" s="32" t="str">
        <x:f>IF(AND(G$8&lt;='Detalle'!$H176,G$9&gt;='Detalle'!$G176),1,"")</x:f>
      </x:c>
      <x:c r="H356" s="32" t="n">
        <x:f>IF(AND(H$8&lt;='Detalle'!$H176,H$9&gt;='Detalle'!$G176),1,"")</x:f>
        <x:v>1</x:v>
      </x:c>
      <x:c r="I356" s="32" t="str">
        <x:f>IF(AND(I$8&lt;='Detalle'!$H176,I$9&gt;='Detalle'!$G176),1,"")</x:f>
      </x:c>
      <x:c r="J356" s="32" t="str">
        <x:f>IF(AND(J$8&lt;='Detalle'!$H176,J$9&gt;='Detalle'!$G176),1,"")</x:f>
      </x:c>
      <x:c r="K356" s="32" t="str">
        <x:f>IF(AND(K$8&lt;='Detalle'!$H176,K$9&gt;='Detalle'!$G176),1,"")</x:f>
      </x:c>
      <x:c r="L356" s="32" t="str">
        <x:f>IF(AND(L$8&lt;='Detalle'!$H176,L$9&gt;='Detalle'!$G176),1,"")</x:f>
      </x:c>
      <x:c r="M356" s="32" t="str">
        <x:f>IF(AND(M$8&lt;='Detalle'!$H176,M$9&gt;='Detalle'!$G176),1,"")</x:f>
      </x:c>
      <x:c r="N356" s="32" t="str">
        <x:f>IF(AND(N$8&lt;='Detalle'!$H176,N$9&gt;='Detalle'!$G176),1,"")</x:f>
      </x:c>
      <x:c r="O356" s="32" t="str">
        <x:f>IF(AND(O$8&lt;='Detalle'!$H176,O$9&gt;='Detalle'!$G176),1,"")</x:f>
      </x:c>
      <x:c r="P356" s="32" t="str">
        <x:f>IF(AND(P$8&lt;='Detalle'!$H176,P$9&gt;='Detalle'!$G176),1,"")</x:f>
      </x:c>
      <x:c r="Q356" s="68"/>
      <x:c r="R356" s="67" t="str">
        <x:f>IF('Detalle'!M176="","",'Detalle'!M176)</x:f>
      </x:c>
      <x:c r="S356" s="67" t="str">
        <x:f>IF('Detalle'!N176="","",'Detalle'!N176)</x:f>
      </x:c>
    </x:row>
    <x:row r="357" ht="16" customHeight="1">
      <x:c r="A357" s="56" t="str">
        <x:v>QA01.009</x:v>
      </x:c>
      <x:c r="B357" s="57" t="str">
        <x:v>Corregir dimensiones de imágenes en navegador</x:v>
      </x:c>
      <x:c r="C357" s="63" t="str">
        <x:v>R</x:v>
      </x:c>
      <x:c r="D357" s="65" t="str">
        <x:f>IF('Detalle'!L176="","",'Detalle'!L176)</x:f>
      </x:c>
      <x:c r="E357" s="60" t="str"/>
      <x:c r="F357" s="32" t="str">
        <x:f>IF(OR('Detalle'!$J176="",'Detalle'!$K176="",'Detalle'!$L176=""),"",IF(AND(F$8&lt;='Detalle'!$K176,F$9&gt;='Detalle'!$J176),1,""))</x:f>
      </x:c>
      <x:c r="G357" s="32" t="str">
        <x:f>IF(OR('Detalle'!$J176="",'Detalle'!$K176="",'Detalle'!$L176=""),"",IF(AND(G$8&lt;='Detalle'!$K176,G$9&gt;='Detalle'!$J176),1,""))</x:f>
      </x:c>
      <x:c r="H357" s="32" t="str">
        <x:f>IF(OR('Detalle'!$J176="",'Detalle'!$K176="",'Detalle'!$L176=""),"",IF(AND(H$8&lt;='Detalle'!$K176,H$9&gt;='Detalle'!$J176),1,""))</x:f>
      </x:c>
      <x:c r="I357" s="32" t="str">
        <x:f>IF(OR('Detalle'!$J176="",'Detalle'!$K176="",'Detalle'!$L176=""),"",IF(AND(I$8&lt;='Detalle'!$K176,I$9&gt;='Detalle'!$J176),1,""))</x:f>
      </x:c>
      <x:c r="J357" s="32" t="str">
        <x:f>IF(OR('Detalle'!$J176="",'Detalle'!$K176="",'Detalle'!$L176=""),"",IF(AND(J$8&lt;='Detalle'!$K176,J$9&gt;='Detalle'!$J176),1,""))</x:f>
      </x:c>
      <x:c r="K357" s="32" t="str">
        <x:f>IF(OR('Detalle'!$J176="",'Detalle'!$K176="",'Detalle'!$L176=""),"",IF(AND(K$8&lt;='Detalle'!$K176,K$9&gt;='Detalle'!$J176),1,""))</x:f>
      </x:c>
      <x:c r="L357" s="32" t="str">
        <x:f>IF(OR('Detalle'!$J176="",'Detalle'!$K176="",'Detalle'!$L176=""),"",IF(AND(L$8&lt;='Detalle'!$K176,L$9&gt;='Detalle'!$J176),1,""))</x:f>
      </x:c>
      <x:c r="M357" s="32" t="str">
        <x:f>IF(OR('Detalle'!$J176="",'Detalle'!$K176="",'Detalle'!$L176=""),"",IF(AND(M$8&lt;='Detalle'!$K176,M$9&gt;='Detalle'!$J176),1,""))</x:f>
      </x:c>
      <x:c r="N357" s="32" t="str">
        <x:f>IF(OR('Detalle'!$J176="",'Detalle'!$K176="",'Detalle'!$L176=""),"",IF(AND(N$8&lt;='Detalle'!$K176,N$9&gt;='Detalle'!$J176),1,""))</x:f>
      </x:c>
      <x:c r="O357" s="32" t="str">
        <x:f>IF(OR('Detalle'!$J176="",'Detalle'!$K176="",'Detalle'!$L176=""),"",IF(AND(O$8&lt;='Detalle'!$K176,O$9&gt;='Detalle'!$J176),1,""))</x:f>
      </x:c>
      <x:c r="P357" s="32" t="str">
        <x:f>IF(OR('Detalle'!$J176="",'Detalle'!$K176="",'Detalle'!$L176=""),"",IF(AND(P$8&lt;='Detalle'!$K176,P$9&gt;='Detalle'!$J176),1,""))</x:f>
      </x:c>
      <x:c r="Q357" s="68"/>
      <x:c r="R357" s="67" t="str"/>
      <x:c r="S357" s="67" t="str"/>
    </x:row>
    <x:row r="358" ht="16" customHeight="1">
      <x:c r="A358" s="56" t="str">
        <x:v>QA01.010</x:v>
      </x:c>
      <x:c r="B358" s="57" t="str">
        <x:v>Regenerar registro del plugin de fotos Web</x:v>
      </x:c>
      <x:c r="C358" s="62" t="str">
        <x:v>E</x:v>
      </x:c>
      <x:c r="D358" s="64" t="n">
        <x:f>'Detalle'!I177</x:f>
        <x:v>1</x:v>
      </x:c>
      <x:c r="E358" s="60" t="str">
        <x:f>'Detalle'!F177</x:f>
        <x:v>Completado</x:v>
      </x:c>
      <x:c r="F358" s="32" t="str">
        <x:f>IF(AND(F$8&lt;='Detalle'!$H177,F$9&gt;='Detalle'!$G177),1,"")</x:f>
      </x:c>
      <x:c r="G358" s="32" t="str">
        <x:f>IF(AND(G$8&lt;='Detalle'!$H177,G$9&gt;='Detalle'!$G177),1,"")</x:f>
      </x:c>
      <x:c r="H358" s="32" t="n">
        <x:f>IF(AND(H$8&lt;='Detalle'!$H177,H$9&gt;='Detalle'!$G177),1,"")</x:f>
        <x:v>1</x:v>
      </x:c>
      <x:c r="I358" s="32" t="str">
        <x:f>IF(AND(I$8&lt;='Detalle'!$H177,I$9&gt;='Detalle'!$G177),1,"")</x:f>
      </x:c>
      <x:c r="J358" s="32" t="str">
        <x:f>IF(AND(J$8&lt;='Detalle'!$H177,J$9&gt;='Detalle'!$G177),1,"")</x:f>
      </x:c>
      <x:c r="K358" s="32" t="str">
        <x:f>IF(AND(K$8&lt;='Detalle'!$H177,K$9&gt;='Detalle'!$G177),1,"")</x:f>
      </x:c>
      <x:c r="L358" s="32" t="str">
        <x:f>IF(AND(L$8&lt;='Detalle'!$H177,L$9&gt;='Detalle'!$G177),1,"")</x:f>
      </x:c>
      <x:c r="M358" s="32" t="str">
        <x:f>IF(AND(M$8&lt;='Detalle'!$H177,M$9&gt;='Detalle'!$G177),1,"")</x:f>
      </x:c>
      <x:c r="N358" s="32" t="str">
        <x:f>IF(AND(N$8&lt;='Detalle'!$H177,N$9&gt;='Detalle'!$G177),1,"")</x:f>
      </x:c>
      <x:c r="O358" s="32" t="str">
        <x:f>IF(AND(O$8&lt;='Detalle'!$H177,O$9&gt;='Detalle'!$G177),1,"")</x:f>
      </x:c>
      <x:c r="P358" s="32" t="str">
        <x:f>IF(AND(P$8&lt;='Detalle'!$H177,P$9&gt;='Detalle'!$G177),1,"")</x:f>
      </x:c>
      <x:c r="Q358" s="68"/>
      <x:c r="R358" s="67" t="str">
        <x:f>IF('Detalle'!M177="","",'Detalle'!M177)</x:f>
      </x:c>
      <x:c r="S358" s="67" t="str">
        <x:f>IF('Detalle'!N177="","",'Detalle'!N177)</x:f>
      </x:c>
    </x:row>
    <x:row r="359" ht="16" customHeight="1">
      <x:c r="A359" s="56" t="str">
        <x:v>QA01.010</x:v>
      </x:c>
      <x:c r="B359" s="57" t="str">
        <x:v>Regenerar registro del plugin de fotos Web</x:v>
      </x:c>
      <x:c r="C359" s="63" t="str">
        <x:v>R</x:v>
      </x:c>
      <x:c r="D359" s="65" t="str">
        <x:f>IF('Detalle'!L177="","",'Detalle'!L177)</x:f>
      </x:c>
      <x:c r="E359" s="60" t="str"/>
      <x:c r="F359" s="32" t="str">
        <x:f>IF(OR('Detalle'!$J177="",'Detalle'!$K177="",'Detalle'!$L177=""),"",IF(AND(F$8&lt;='Detalle'!$K177,F$9&gt;='Detalle'!$J177),1,""))</x:f>
      </x:c>
      <x:c r="G359" s="32" t="str">
        <x:f>IF(OR('Detalle'!$J177="",'Detalle'!$K177="",'Detalle'!$L177=""),"",IF(AND(G$8&lt;='Detalle'!$K177,G$9&gt;='Detalle'!$J177),1,""))</x:f>
      </x:c>
      <x:c r="H359" s="32" t="str">
        <x:f>IF(OR('Detalle'!$J177="",'Detalle'!$K177="",'Detalle'!$L177=""),"",IF(AND(H$8&lt;='Detalle'!$K177,H$9&gt;='Detalle'!$J177),1,""))</x:f>
      </x:c>
      <x:c r="I359" s="32" t="str">
        <x:f>IF(OR('Detalle'!$J177="",'Detalle'!$K177="",'Detalle'!$L177=""),"",IF(AND(I$8&lt;='Detalle'!$K177,I$9&gt;='Detalle'!$J177),1,""))</x:f>
      </x:c>
      <x:c r="J359" s="32" t="str">
        <x:f>IF(OR('Detalle'!$J177="",'Detalle'!$K177="",'Detalle'!$L177=""),"",IF(AND(J$8&lt;='Detalle'!$K177,J$9&gt;='Detalle'!$J177),1,""))</x:f>
      </x:c>
      <x:c r="K359" s="32" t="str">
        <x:f>IF(OR('Detalle'!$J177="",'Detalle'!$K177="",'Detalle'!$L177=""),"",IF(AND(K$8&lt;='Detalle'!$K177,K$9&gt;='Detalle'!$J177),1,""))</x:f>
      </x:c>
      <x:c r="L359" s="32" t="str">
        <x:f>IF(OR('Detalle'!$J177="",'Detalle'!$K177="",'Detalle'!$L177=""),"",IF(AND(L$8&lt;='Detalle'!$K177,L$9&gt;='Detalle'!$J177),1,""))</x:f>
      </x:c>
      <x:c r="M359" s="32" t="str">
        <x:f>IF(OR('Detalle'!$J177="",'Detalle'!$K177="",'Detalle'!$L177=""),"",IF(AND(M$8&lt;='Detalle'!$K177,M$9&gt;='Detalle'!$J177),1,""))</x:f>
      </x:c>
      <x:c r="N359" s="32" t="str">
        <x:f>IF(OR('Detalle'!$J177="",'Detalle'!$K177="",'Detalle'!$L177=""),"",IF(AND(N$8&lt;='Detalle'!$K177,N$9&gt;='Detalle'!$J177),1,""))</x:f>
      </x:c>
      <x:c r="O359" s="32" t="str">
        <x:f>IF(OR('Detalle'!$J177="",'Detalle'!$K177="",'Detalle'!$L177=""),"",IF(AND(O$8&lt;='Detalle'!$K177,O$9&gt;='Detalle'!$J177),1,""))</x:f>
      </x:c>
      <x:c r="P359" s="32" t="str">
        <x:f>IF(OR('Detalle'!$J177="",'Detalle'!$K177="",'Detalle'!$L177=""),"",IF(AND(P$8&lt;='Detalle'!$K177,P$9&gt;='Detalle'!$J177),1,""))</x:f>
      </x:c>
      <x:c r="Q359" s="68"/>
      <x:c r="R359" s="67" t="str"/>
      <x:c r="S359" s="67" t="str"/>
    </x:row>
    <x:row r="360" ht="16" customHeight="1">
      <x:c r="A360" s="56" t="str">
        <x:v>QA01.011</x:v>
      </x:c>
      <x:c r="B360" s="57" t="str">
        <x:v>Probar selector y vista previa en Chrome</x:v>
      </x:c>
      <x:c r="C360" s="62" t="str">
        <x:v>E</x:v>
      </x:c>
      <x:c r="D360" s="64" t="n">
        <x:f>'Detalle'!I178</x:f>
        <x:v>1</x:v>
      </x:c>
      <x:c r="E360" s="60" t="str">
        <x:f>'Detalle'!F178</x:f>
        <x:v>Completado</x:v>
      </x:c>
      <x:c r="F360" s="32" t="str">
        <x:f>IF(AND(F$8&lt;='Detalle'!$H178,F$9&gt;='Detalle'!$G178),1,"")</x:f>
      </x:c>
      <x:c r="G360" s="32" t="str">
        <x:f>IF(AND(G$8&lt;='Detalle'!$H178,G$9&gt;='Detalle'!$G178),1,"")</x:f>
      </x:c>
      <x:c r="H360" s="32" t="n">
        <x:f>IF(AND(H$8&lt;='Detalle'!$H178,H$9&gt;='Detalle'!$G178),1,"")</x:f>
        <x:v>1</x:v>
      </x:c>
      <x:c r="I360" s="32" t="str">
        <x:f>IF(AND(I$8&lt;='Detalle'!$H178,I$9&gt;='Detalle'!$G178),1,"")</x:f>
      </x:c>
      <x:c r="J360" s="32" t="str">
        <x:f>IF(AND(J$8&lt;='Detalle'!$H178,J$9&gt;='Detalle'!$G178),1,"")</x:f>
      </x:c>
      <x:c r="K360" s="32" t="str">
        <x:f>IF(AND(K$8&lt;='Detalle'!$H178,K$9&gt;='Detalle'!$G178),1,"")</x:f>
      </x:c>
      <x:c r="L360" s="32" t="str">
        <x:f>IF(AND(L$8&lt;='Detalle'!$H178,L$9&gt;='Detalle'!$G178),1,"")</x:f>
      </x:c>
      <x:c r="M360" s="32" t="str">
        <x:f>IF(AND(M$8&lt;='Detalle'!$H178,M$9&gt;='Detalle'!$G178),1,"")</x:f>
      </x:c>
      <x:c r="N360" s="32" t="str">
        <x:f>IF(AND(N$8&lt;='Detalle'!$H178,N$9&gt;='Detalle'!$G178),1,"")</x:f>
      </x:c>
      <x:c r="O360" s="32" t="str">
        <x:f>IF(AND(O$8&lt;='Detalle'!$H178,O$9&gt;='Detalle'!$G178),1,"")</x:f>
      </x:c>
      <x:c r="P360" s="32" t="str">
        <x:f>IF(AND(P$8&lt;='Detalle'!$H178,P$9&gt;='Detalle'!$G178),1,"")</x:f>
      </x:c>
      <x:c r="Q360" s="68"/>
      <x:c r="R360" s="67" t="str">
        <x:f>IF('Detalle'!M178="","",'Detalle'!M178)</x:f>
      </x:c>
      <x:c r="S360" s="67" t="str">
        <x:f>IF('Detalle'!N178="","",'Detalle'!N178)</x:f>
      </x:c>
    </x:row>
    <x:row r="361" ht="16" customHeight="1">
      <x:c r="A361" s="56" t="str">
        <x:v>QA01.011</x:v>
      </x:c>
      <x:c r="B361" s="57" t="str">
        <x:v>Probar selector y vista previa en Chrome</x:v>
      </x:c>
      <x:c r="C361" s="63" t="str">
        <x:v>R</x:v>
      </x:c>
      <x:c r="D361" s="65" t="str">
        <x:f>IF('Detalle'!L178="","",'Detalle'!L178)</x:f>
      </x:c>
      <x:c r="E361" s="60" t="str"/>
      <x:c r="F361" s="32" t="str">
        <x:f>IF(OR('Detalle'!$J178="",'Detalle'!$K178="",'Detalle'!$L178=""),"",IF(AND(F$8&lt;='Detalle'!$K178,F$9&gt;='Detalle'!$J178),1,""))</x:f>
      </x:c>
      <x:c r="G361" s="32" t="str">
        <x:f>IF(OR('Detalle'!$J178="",'Detalle'!$K178="",'Detalle'!$L178=""),"",IF(AND(G$8&lt;='Detalle'!$K178,G$9&gt;='Detalle'!$J178),1,""))</x:f>
      </x:c>
      <x:c r="H361" s="32" t="str">
        <x:f>IF(OR('Detalle'!$J178="",'Detalle'!$K178="",'Detalle'!$L178=""),"",IF(AND(H$8&lt;='Detalle'!$K178,H$9&gt;='Detalle'!$J178),1,""))</x:f>
      </x:c>
      <x:c r="I361" s="32" t="str">
        <x:f>IF(OR('Detalle'!$J178="",'Detalle'!$K178="",'Detalle'!$L178=""),"",IF(AND(I$8&lt;='Detalle'!$K178,I$9&gt;='Detalle'!$J178),1,""))</x:f>
      </x:c>
      <x:c r="J361" s="32" t="str">
        <x:f>IF(OR('Detalle'!$J178="",'Detalle'!$K178="",'Detalle'!$L178=""),"",IF(AND(J$8&lt;='Detalle'!$K178,J$9&gt;='Detalle'!$J178),1,""))</x:f>
      </x:c>
      <x:c r="K361" s="32" t="str">
        <x:f>IF(OR('Detalle'!$J178="",'Detalle'!$K178="",'Detalle'!$L178=""),"",IF(AND(K$8&lt;='Detalle'!$K178,K$9&gt;='Detalle'!$J178),1,""))</x:f>
      </x:c>
      <x:c r="L361" s="32" t="str">
        <x:f>IF(OR('Detalle'!$J178="",'Detalle'!$K178="",'Detalle'!$L178=""),"",IF(AND(L$8&lt;='Detalle'!$K178,L$9&gt;='Detalle'!$J178),1,""))</x:f>
      </x:c>
      <x:c r="M361" s="32" t="str">
        <x:f>IF(OR('Detalle'!$J178="",'Detalle'!$K178="",'Detalle'!$L178=""),"",IF(AND(M$8&lt;='Detalle'!$K178,M$9&gt;='Detalle'!$J178),1,""))</x:f>
      </x:c>
      <x:c r="N361" s="32" t="str">
        <x:f>IF(OR('Detalle'!$J178="",'Detalle'!$K178="",'Detalle'!$L178=""),"",IF(AND(N$8&lt;='Detalle'!$K178,N$9&gt;='Detalle'!$J178),1,""))</x:f>
      </x:c>
      <x:c r="O361" s="32" t="str">
        <x:f>IF(OR('Detalle'!$J178="",'Detalle'!$K178="",'Detalle'!$L178=""),"",IF(AND(O$8&lt;='Detalle'!$K178,O$9&gt;='Detalle'!$J178),1,""))</x:f>
      </x:c>
      <x:c r="P361" s="32" t="str">
        <x:f>IF(OR('Detalle'!$J178="",'Detalle'!$K178="",'Detalle'!$L178=""),"",IF(AND(P$8&lt;='Detalle'!$K178,P$9&gt;='Detalle'!$J178),1,""))</x:f>
      </x:c>
      <x:c r="Q361" s="68"/>
      <x:c r="R361" s="67" t="str"/>
      <x:c r="S361" s="67" t="str"/>
    </x:row>
    <x:row r="362" ht="16" customHeight="1">
      <x:c r="A362" s="56" t="str">
        <x:v>QA01.012</x:v>
      </x:c>
      <x:c r="B362" s="57" t="str">
        <x:v>Validar regresión de fotos Web</x:v>
      </x:c>
      <x:c r="C362" s="62" t="str">
        <x:v>E</x:v>
      </x:c>
      <x:c r="D362" s="64" t="n">
        <x:f>'Detalle'!I179</x:f>
        <x:v>1</x:v>
      </x:c>
      <x:c r="E362" s="60" t="str">
        <x:f>'Detalle'!F179</x:f>
        <x:v>Completado</x:v>
      </x:c>
      <x:c r="F362" s="32" t="str">
        <x:f>IF(AND(F$8&lt;='Detalle'!$H179,F$9&gt;='Detalle'!$G179),1,"")</x:f>
      </x:c>
      <x:c r="G362" s="32" t="str">
        <x:f>IF(AND(G$8&lt;='Detalle'!$H179,G$9&gt;='Detalle'!$G179),1,"")</x:f>
      </x:c>
      <x:c r="H362" s="32" t="n">
        <x:f>IF(AND(H$8&lt;='Detalle'!$H179,H$9&gt;='Detalle'!$G179),1,"")</x:f>
        <x:v>1</x:v>
      </x:c>
      <x:c r="I362" s="32" t="str">
        <x:f>IF(AND(I$8&lt;='Detalle'!$H179,I$9&gt;='Detalle'!$G179),1,"")</x:f>
      </x:c>
      <x:c r="J362" s="32" t="str">
        <x:f>IF(AND(J$8&lt;='Detalle'!$H179,J$9&gt;='Detalle'!$G179),1,"")</x:f>
      </x:c>
      <x:c r="K362" s="32" t="str">
        <x:f>IF(AND(K$8&lt;='Detalle'!$H179,K$9&gt;='Detalle'!$G179),1,"")</x:f>
      </x:c>
      <x:c r="L362" s="32" t="str">
        <x:f>IF(AND(L$8&lt;='Detalle'!$H179,L$9&gt;='Detalle'!$G179),1,"")</x:f>
      </x:c>
      <x:c r="M362" s="32" t="str">
        <x:f>IF(AND(M$8&lt;='Detalle'!$H179,M$9&gt;='Detalle'!$G179),1,"")</x:f>
      </x:c>
      <x:c r="N362" s="32" t="str">
        <x:f>IF(AND(N$8&lt;='Detalle'!$H179,N$9&gt;='Detalle'!$G179),1,"")</x:f>
      </x:c>
      <x:c r="O362" s="32" t="str">
        <x:f>IF(AND(O$8&lt;='Detalle'!$H179,O$9&gt;='Detalle'!$G179),1,"")</x:f>
      </x:c>
      <x:c r="P362" s="32" t="str">
        <x:f>IF(AND(P$8&lt;='Detalle'!$H179,P$9&gt;='Detalle'!$G179),1,"")</x:f>
      </x:c>
      <x:c r="Q362" s="68"/>
      <x:c r="R362" s="67" t="str">
        <x:f>IF('Detalle'!M179="","",'Detalle'!M179)</x:f>
      </x:c>
      <x:c r="S362" s="67" t="str">
        <x:f>IF('Detalle'!N179="","",'Detalle'!N179)</x:f>
      </x:c>
    </x:row>
    <x:row r="363" ht="16" customHeight="1">
      <x:c r="A363" s="56" t="str">
        <x:v>QA01.012</x:v>
      </x:c>
      <x:c r="B363" s="57" t="str">
        <x:v>Validar regresión de fotos Web</x:v>
      </x:c>
      <x:c r="C363" s="63" t="str">
        <x:v>R</x:v>
      </x:c>
      <x:c r="D363" s="65" t="str">
        <x:f>IF('Detalle'!L179="","",'Detalle'!L179)</x:f>
      </x:c>
      <x:c r="E363" s="60" t="str"/>
      <x:c r="F363" s="32" t="str">
        <x:f>IF(OR('Detalle'!$J179="",'Detalle'!$K179="",'Detalle'!$L179=""),"",IF(AND(F$8&lt;='Detalle'!$K179,F$9&gt;='Detalle'!$J179),1,""))</x:f>
      </x:c>
      <x:c r="G363" s="32" t="str">
        <x:f>IF(OR('Detalle'!$J179="",'Detalle'!$K179="",'Detalle'!$L179=""),"",IF(AND(G$8&lt;='Detalle'!$K179,G$9&gt;='Detalle'!$J179),1,""))</x:f>
      </x:c>
      <x:c r="H363" s="32" t="str">
        <x:f>IF(OR('Detalle'!$J179="",'Detalle'!$K179="",'Detalle'!$L179=""),"",IF(AND(H$8&lt;='Detalle'!$K179,H$9&gt;='Detalle'!$J179),1,""))</x:f>
      </x:c>
      <x:c r="I363" s="32" t="str">
        <x:f>IF(OR('Detalle'!$J179="",'Detalle'!$K179="",'Detalle'!$L179=""),"",IF(AND(I$8&lt;='Detalle'!$K179,I$9&gt;='Detalle'!$J179),1,""))</x:f>
      </x:c>
      <x:c r="J363" s="32" t="str">
        <x:f>IF(OR('Detalle'!$J179="",'Detalle'!$K179="",'Detalle'!$L179=""),"",IF(AND(J$8&lt;='Detalle'!$K179,J$9&gt;='Detalle'!$J179),1,""))</x:f>
      </x:c>
      <x:c r="K363" s="32" t="str">
        <x:f>IF(OR('Detalle'!$J179="",'Detalle'!$K179="",'Detalle'!$L179=""),"",IF(AND(K$8&lt;='Detalle'!$K179,K$9&gt;='Detalle'!$J179),1,""))</x:f>
      </x:c>
      <x:c r="L363" s="32" t="str">
        <x:f>IF(OR('Detalle'!$J179="",'Detalle'!$K179="",'Detalle'!$L179=""),"",IF(AND(L$8&lt;='Detalle'!$K179,L$9&gt;='Detalle'!$J179),1,""))</x:f>
      </x:c>
      <x:c r="M363" s="32" t="str">
        <x:f>IF(OR('Detalle'!$J179="",'Detalle'!$K179="",'Detalle'!$L179=""),"",IF(AND(M$8&lt;='Detalle'!$K179,M$9&gt;='Detalle'!$J179),1,""))</x:f>
      </x:c>
      <x:c r="N363" s="32" t="str">
        <x:f>IF(OR('Detalle'!$J179="",'Detalle'!$K179="",'Detalle'!$L179=""),"",IF(AND(N$8&lt;='Detalle'!$K179,N$9&gt;='Detalle'!$J179),1,""))</x:f>
      </x:c>
      <x:c r="O363" s="32" t="str">
        <x:f>IF(OR('Detalle'!$J179="",'Detalle'!$K179="",'Detalle'!$L179=""),"",IF(AND(O$8&lt;='Detalle'!$K179,O$9&gt;='Detalle'!$J179),1,""))</x:f>
      </x:c>
      <x:c r="P363" s="32" t="str">
        <x:f>IF(OR('Detalle'!$J179="",'Detalle'!$K179="",'Detalle'!$L179=""),"",IF(AND(P$8&lt;='Detalle'!$K179,P$9&gt;='Detalle'!$J179),1,""))</x:f>
      </x:c>
      <x:c r="Q363" s="68"/>
      <x:c r="R363" s="67" t="str"/>
      <x:c r="S363" s="67" t="str"/>
    </x:row>
    <x:row r="364" ht="16" customHeight="1">
      <x:c r="A364" s="56" t="str">
        <x:v>QA01.013</x:v>
      </x:c>
      <x:c r="B364" s="57" t="str">
        <x:v>Compilar Web y APK de comunidad</x:v>
      </x:c>
      <x:c r="C364" s="62" t="str">
        <x:v>E</x:v>
      </x:c>
      <x:c r="D364" s="64" t="n">
        <x:f>'Detalle'!I180</x:f>
        <x:v>1</x:v>
      </x:c>
      <x:c r="E364" s="60" t="str">
        <x:f>'Detalle'!F180</x:f>
        <x:v>Completado</x:v>
      </x:c>
      <x:c r="F364" s="32" t="str">
        <x:f>IF(AND(F$8&lt;='Detalle'!$H180,F$9&gt;='Detalle'!$G180),1,"")</x:f>
      </x:c>
      <x:c r="G364" s="32" t="str">
        <x:f>IF(AND(G$8&lt;='Detalle'!$H180,G$9&gt;='Detalle'!$G180),1,"")</x:f>
      </x:c>
      <x:c r="H364" s="32" t="n">
        <x:f>IF(AND(H$8&lt;='Detalle'!$H180,H$9&gt;='Detalle'!$G180),1,"")</x:f>
        <x:v>1</x:v>
      </x:c>
      <x:c r="I364" s="32" t="str">
        <x:f>IF(AND(I$8&lt;='Detalle'!$H180,I$9&gt;='Detalle'!$G180),1,"")</x:f>
      </x:c>
      <x:c r="J364" s="32" t="str">
        <x:f>IF(AND(J$8&lt;='Detalle'!$H180,J$9&gt;='Detalle'!$G180),1,"")</x:f>
      </x:c>
      <x:c r="K364" s="32" t="str">
        <x:f>IF(AND(K$8&lt;='Detalle'!$H180,K$9&gt;='Detalle'!$G180),1,"")</x:f>
      </x:c>
      <x:c r="L364" s="32" t="str">
        <x:f>IF(AND(L$8&lt;='Detalle'!$H180,L$9&gt;='Detalle'!$G180),1,"")</x:f>
      </x:c>
      <x:c r="M364" s="32" t="str">
        <x:f>IF(AND(M$8&lt;='Detalle'!$H180,M$9&gt;='Detalle'!$G180),1,"")</x:f>
      </x:c>
      <x:c r="N364" s="32" t="str">
        <x:f>IF(AND(N$8&lt;='Detalle'!$H180,N$9&gt;='Detalle'!$G180),1,"")</x:f>
      </x:c>
      <x:c r="O364" s="32" t="str">
        <x:f>IF(AND(O$8&lt;='Detalle'!$H180,O$9&gt;='Detalle'!$G180),1,"")</x:f>
      </x:c>
      <x:c r="P364" s="32" t="str">
        <x:f>IF(AND(P$8&lt;='Detalle'!$H180,P$9&gt;='Detalle'!$G180),1,"")</x:f>
      </x:c>
      <x:c r="Q364" s="68"/>
      <x:c r="R364" s="67" t="str">
        <x:f>IF('Detalle'!M180="","",'Detalle'!M180)</x:f>
      </x:c>
      <x:c r="S364" s="67" t="str">
        <x:f>IF('Detalle'!N180="","",'Detalle'!N180)</x:f>
      </x:c>
    </x:row>
    <x:row r="365" ht="16" customHeight="1">
      <x:c r="A365" s="56" t="str">
        <x:v>QA01.013</x:v>
      </x:c>
      <x:c r="B365" s="57" t="str">
        <x:v>Compilar Web y APK de comunidad</x:v>
      </x:c>
      <x:c r="C365" s="63" t="str">
        <x:v>R</x:v>
      </x:c>
      <x:c r="D365" s="65" t="str">
        <x:f>IF('Detalle'!L180="","",'Detalle'!L180)</x:f>
      </x:c>
      <x:c r="E365" s="60" t="str"/>
      <x:c r="F365" s="32" t="str">
        <x:f>IF(OR('Detalle'!$J180="",'Detalle'!$K180="",'Detalle'!$L180=""),"",IF(AND(F$8&lt;='Detalle'!$K180,F$9&gt;='Detalle'!$J180),1,""))</x:f>
      </x:c>
      <x:c r="G365" s="32" t="str">
        <x:f>IF(OR('Detalle'!$J180="",'Detalle'!$K180="",'Detalle'!$L180=""),"",IF(AND(G$8&lt;='Detalle'!$K180,G$9&gt;='Detalle'!$J180),1,""))</x:f>
      </x:c>
      <x:c r="H365" s="32" t="str">
        <x:f>IF(OR('Detalle'!$J180="",'Detalle'!$K180="",'Detalle'!$L180=""),"",IF(AND(H$8&lt;='Detalle'!$K180,H$9&gt;='Detalle'!$J180),1,""))</x:f>
      </x:c>
      <x:c r="I365" s="32" t="str">
        <x:f>IF(OR('Detalle'!$J180="",'Detalle'!$K180="",'Detalle'!$L180=""),"",IF(AND(I$8&lt;='Detalle'!$K180,I$9&gt;='Detalle'!$J180),1,""))</x:f>
      </x:c>
      <x:c r="J365" s="32" t="str">
        <x:f>IF(OR('Detalle'!$J180="",'Detalle'!$K180="",'Detalle'!$L180=""),"",IF(AND(J$8&lt;='Detalle'!$K180,J$9&gt;='Detalle'!$J180),1,""))</x:f>
      </x:c>
      <x:c r="K365" s="32" t="str">
        <x:f>IF(OR('Detalle'!$J180="",'Detalle'!$K180="",'Detalle'!$L180=""),"",IF(AND(K$8&lt;='Detalle'!$K180,K$9&gt;='Detalle'!$J180),1,""))</x:f>
      </x:c>
      <x:c r="L365" s="32" t="str">
        <x:f>IF(OR('Detalle'!$J180="",'Detalle'!$K180="",'Detalle'!$L180=""),"",IF(AND(L$8&lt;='Detalle'!$K180,L$9&gt;='Detalle'!$J180),1,""))</x:f>
      </x:c>
      <x:c r="M365" s="32" t="str">
        <x:f>IF(OR('Detalle'!$J180="",'Detalle'!$K180="",'Detalle'!$L180=""),"",IF(AND(M$8&lt;='Detalle'!$K180,M$9&gt;='Detalle'!$J180),1,""))</x:f>
      </x:c>
      <x:c r="N365" s="32" t="str">
        <x:f>IF(OR('Detalle'!$J180="",'Detalle'!$K180="",'Detalle'!$L180=""),"",IF(AND(N$8&lt;='Detalle'!$K180,N$9&gt;='Detalle'!$J180),1,""))</x:f>
      </x:c>
      <x:c r="O365" s="32" t="str">
        <x:f>IF(OR('Detalle'!$J180="",'Detalle'!$K180="",'Detalle'!$L180=""),"",IF(AND(O$8&lt;='Detalle'!$K180,O$9&gt;='Detalle'!$J180),1,""))</x:f>
      </x:c>
      <x:c r="P365" s="32" t="str">
        <x:f>IF(OR('Detalle'!$J180="",'Detalle'!$K180="",'Detalle'!$L180=""),"",IF(AND(P$8&lt;='Detalle'!$K180,P$9&gt;='Detalle'!$J180),1,""))</x:f>
      </x:c>
      <x:c r="Q365" s="68"/>
      <x:c r="R365" s="67" t="str"/>
      <x:c r="S365" s="67" t="str"/>
    </x:row>
    <x:row r="366" ht="20" customHeight="1">
      <x:c r="A366" s="52" t="str">
        <x:v>COM02 · Ubicación de publicaciones</x:v>
      </x:c>
      <x:c r="B366" s="52" t="str">
        <x:v>COM02 · Ubicación de publicaciones</x:v>
      </x:c>
      <x:c r="C366" s="52" t="str">
        <x:v>COM02 · Ubicación de publicaciones</x:v>
      </x:c>
      <x:c r="D366" s="52" t="str">
        <x:v>COM02 · Ubicación de publicaciones</x:v>
      </x:c>
      <x:c r="E366" s="52" t="str">
        <x:v>COM02 · Ubicación de publicaciones</x:v>
      </x:c>
      <x:c r="F366" s="53" t="str">
        <x:v>COM02 · Ubicación de publicaciones</x:v>
      </x:c>
      <x:c r="G366" s="53" t="str">
        <x:v>COM02 · Ubicación de publicaciones</x:v>
      </x:c>
      <x:c r="H366" s="53" t="str">
        <x:v>COM02 · Ubicación de publicaciones</x:v>
      </x:c>
      <x:c r="I366" s="53" t="str">
        <x:v>COM02 · Ubicación de publicaciones</x:v>
      </x:c>
      <x:c r="J366" s="53" t="str">
        <x:v>COM02 · Ubicación de publicaciones</x:v>
      </x:c>
      <x:c r="K366" s="53" t="str">
        <x:v>COM02 · Ubicación de publicaciones</x:v>
      </x:c>
      <x:c r="L366" s="53" t="str">
        <x:v>COM02 · Ubicación de publicaciones</x:v>
      </x:c>
      <x:c r="M366" s="53" t="str">
        <x:v>COM02 · Ubicación de publicaciones</x:v>
      </x:c>
      <x:c r="N366" s="53" t="str">
        <x:v>COM02 · Ubicación de publicaciones</x:v>
      </x:c>
      <x:c r="O366" s="53" t="str">
        <x:v>COM02 · Ubicación de publicaciones</x:v>
      </x:c>
      <x:c r="P366" s="53" t="str">
        <x:v>COM02 · Ubicación de publicaciones</x:v>
      </x:c>
      <x:c r="Q366" s="52" t="str">
        <x:v>COM02 · Ubicación de publicaciones</x:v>
      </x:c>
      <x:c r="R366" s="52" t="str">
        <x:v>COM02 · Ubicación de publicaciones</x:v>
      </x:c>
      <x:c r="S366" s="52" t="str">
        <x:v>COM02 · Ubicación de publicaciones</x:v>
      </x:c>
    </x:row>
    <x:row r="367" ht="16" customHeight="1">
      <x:c r="A367" s="56" t="str">
        <x:v>COM02.001</x:v>
      </x:c>
      <x:c r="B367" s="57" t="str">
        <x:v>Agregar coordenadas opcionales a posts</x:v>
      </x:c>
      <x:c r="C367" s="62" t="str">
        <x:v>E</x:v>
      </x:c>
      <x:c r="D367" s="64" t="n">
        <x:f>'Detalle'!I181</x:f>
        <x:v>1</x:v>
      </x:c>
      <x:c r="E367" s="60" t="str">
        <x:f>'Detalle'!F181</x:f>
        <x:v>Completado</x:v>
      </x:c>
      <x:c r="F367" s="32" t="str">
        <x:f>IF(AND(F$8&lt;='Detalle'!$H181,F$9&gt;='Detalle'!$G181),1,"")</x:f>
      </x:c>
      <x:c r="G367" s="32" t="str">
        <x:f>IF(AND(G$8&lt;='Detalle'!$H181,G$9&gt;='Detalle'!$G181),1,"")</x:f>
      </x:c>
      <x:c r="H367" s="32" t="n">
        <x:f>IF(AND(H$8&lt;='Detalle'!$H181,H$9&gt;='Detalle'!$G181),1,"")</x:f>
        <x:v>1</x:v>
      </x:c>
      <x:c r="I367" s="32" t="str">
        <x:f>IF(AND(I$8&lt;='Detalle'!$H181,I$9&gt;='Detalle'!$G181),1,"")</x:f>
      </x:c>
      <x:c r="J367" s="32" t="str">
        <x:f>IF(AND(J$8&lt;='Detalle'!$H181,J$9&gt;='Detalle'!$G181),1,"")</x:f>
      </x:c>
      <x:c r="K367" s="32" t="str">
        <x:f>IF(AND(K$8&lt;='Detalle'!$H181,K$9&gt;='Detalle'!$G181),1,"")</x:f>
      </x:c>
      <x:c r="L367" s="32" t="str">
        <x:f>IF(AND(L$8&lt;='Detalle'!$H181,L$9&gt;='Detalle'!$G181),1,"")</x:f>
      </x:c>
      <x:c r="M367" s="32" t="str">
        <x:f>IF(AND(M$8&lt;='Detalle'!$H181,M$9&gt;='Detalle'!$G181),1,"")</x:f>
      </x:c>
      <x:c r="N367" s="32" t="str">
        <x:f>IF(AND(N$8&lt;='Detalle'!$H181,N$9&gt;='Detalle'!$G181),1,"")</x:f>
      </x:c>
      <x:c r="O367" s="32" t="str">
        <x:f>IF(AND(O$8&lt;='Detalle'!$H181,O$9&gt;='Detalle'!$G181),1,"")</x:f>
      </x:c>
      <x:c r="P367" s="32" t="str">
        <x:f>IF(AND(P$8&lt;='Detalle'!$H181,P$9&gt;='Detalle'!$G181),1,"")</x:f>
      </x:c>
      <x:c r="Q367" s="68"/>
      <x:c r="R367" s="67" t="str">
        <x:f>IF('Detalle'!M181="","",'Detalle'!M181)</x:f>
      </x:c>
      <x:c r="S367" s="67" t="str">
        <x:f>IF('Detalle'!N181="","",'Detalle'!N181)</x:f>
      </x:c>
    </x:row>
    <x:row r="368" ht="16" customHeight="1">
      <x:c r="A368" s="56" t="str">
        <x:v>COM02.001</x:v>
      </x:c>
      <x:c r="B368" s="57" t="str">
        <x:v>Agregar coordenadas opcionales a posts</x:v>
      </x:c>
      <x:c r="C368" s="63" t="str">
        <x:v>R</x:v>
      </x:c>
      <x:c r="D368" s="65" t="str">
        <x:f>IF('Detalle'!L181="","",'Detalle'!L181)</x:f>
      </x:c>
      <x:c r="E368" s="60" t="str"/>
      <x:c r="F368" s="32" t="str">
        <x:f>IF(OR('Detalle'!$J181="",'Detalle'!$K181="",'Detalle'!$L181=""),"",IF(AND(F$8&lt;='Detalle'!$K181,F$9&gt;='Detalle'!$J181),1,""))</x:f>
      </x:c>
      <x:c r="G368" s="32" t="str">
        <x:f>IF(OR('Detalle'!$J181="",'Detalle'!$K181="",'Detalle'!$L181=""),"",IF(AND(G$8&lt;='Detalle'!$K181,G$9&gt;='Detalle'!$J181),1,""))</x:f>
      </x:c>
      <x:c r="H368" s="32" t="str">
        <x:f>IF(OR('Detalle'!$J181="",'Detalle'!$K181="",'Detalle'!$L181=""),"",IF(AND(H$8&lt;='Detalle'!$K181,H$9&gt;='Detalle'!$J181),1,""))</x:f>
      </x:c>
      <x:c r="I368" s="32" t="str">
        <x:f>IF(OR('Detalle'!$J181="",'Detalle'!$K181="",'Detalle'!$L181=""),"",IF(AND(I$8&lt;='Detalle'!$K181,I$9&gt;='Detalle'!$J181),1,""))</x:f>
      </x:c>
      <x:c r="J368" s="32" t="str">
        <x:f>IF(OR('Detalle'!$J181="",'Detalle'!$K181="",'Detalle'!$L181=""),"",IF(AND(J$8&lt;='Detalle'!$K181,J$9&gt;='Detalle'!$J181),1,""))</x:f>
      </x:c>
      <x:c r="K368" s="32" t="str">
        <x:f>IF(OR('Detalle'!$J181="",'Detalle'!$K181="",'Detalle'!$L181=""),"",IF(AND(K$8&lt;='Detalle'!$K181,K$9&gt;='Detalle'!$J181),1,""))</x:f>
      </x:c>
      <x:c r="L368" s="32" t="str">
        <x:f>IF(OR('Detalle'!$J181="",'Detalle'!$K181="",'Detalle'!$L181=""),"",IF(AND(L$8&lt;='Detalle'!$K181,L$9&gt;='Detalle'!$J181),1,""))</x:f>
      </x:c>
      <x:c r="M368" s="32" t="str">
        <x:f>IF(OR('Detalle'!$J181="",'Detalle'!$K181="",'Detalle'!$L181=""),"",IF(AND(M$8&lt;='Detalle'!$K181,M$9&gt;='Detalle'!$J181),1,""))</x:f>
      </x:c>
      <x:c r="N368" s="32" t="str">
        <x:f>IF(OR('Detalle'!$J181="",'Detalle'!$K181="",'Detalle'!$L181=""),"",IF(AND(N$8&lt;='Detalle'!$K181,N$9&gt;='Detalle'!$J181),1,""))</x:f>
      </x:c>
      <x:c r="O368" s="32" t="str">
        <x:f>IF(OR('Detalle'!$J181="",'Detalle'!$K181="",'Detalle'!$L181=""),"",IF(AND(O$8&lt;='Detalle'!$K181,O$9&gt;='Detalle'!$J181),1,""))</x:f>
      </x:c>
      <x:c r="P368" s="32" t="str">
        <x:f>IF(OR('Detalle'!$J181="",'Detalle'!$K181="",'Detalle'!$L181=""),"",IF(AND(P$8&lt;='Detalle'!$K181,P$9&gt;='Detalle'!$J181),1,""))</x:f>
      </x:c>
      <x:c r="Q368" s="68"/>
      <x:c r="R368" s="67" t="str"/>
      <x:c r="S368" s="67" t="str"/>
    </x:row>
    <x:row r="369" ht="16" customHeight="1">
      <x:c r="A369" s="56" t="str">
        <x:v>COM02.002</x:v>
      </x:c>
      <x:c r="B369" s="57" t="str">
        <x:v>Registrar precisión exacta o aproximada</x:v>
      </x:c>
      <x:c r="C369" s="62" t="str">
        <x:v>E</x:v>
      </x:c>
      <x:c r="D369" s="64" t="n">
        <x:f>'Detalle'!I182</x:f>
        <x:v>1</x:v>
      </x:c>
      <x:c r="E369" s="60" t="str">
        <x:f>'Detalle'!F182</x:f>
        <x:v>Completado</x:v>
      </x:c>
      <x:c r="F369" s="32" t="str">
        <x:f>IF(AND(F$8&lt;='Detalle'!$H182,F$9&gt;='Detalle'!$G182),1,"")</x:f>
      </x:c>
      <x:c r="G369" s="32" t="str">
        <x:f>IF(AND(G$8&lt;='Detalle'!$H182,G$9&gt;='Detalle'!$G182),1,"")</x:f>
      </x:c>
      <x:c r="H369" s="32" t="n">
        <x:f>IF(AND(H$8&lt;='Detalle'!$H182,H$9&gt;='Detalle'!$G182),1,"")</x:f>
        <x:v>1</x:v>
      </x:c>
      <x:c r="I369" s="32" t="str">
        <x:f>IF(AND(I$8&lt;='Detalle'!$H182,I$9&gt;='Detalle'!$G182),1,"")</x:f>
      </x:c>
      <x:c r="J369" s="32" t="str">
        <x:f>IF(AND(J$8&lt;='Detalle'!$H182,J$9&gt;='Detalle'!$G182),1,"")</x:f>
      </x:c>
      <x:c r="K369" s="32" t="str">
        <x:f>IF(AND(K$8&lt;='Detalle'!$H182,K$9&gt;='Detalle'!$G182),1,"")</x:f>
      </x:c>
      <x:c r="L369" s="32" t="str">
        <x:f>IF(AND(L$8&lt;='Detalle'!$H182,L$9&gt;='Detalle'!$G182),1,"")</x:f>
      </x:c>
      <x:c r="M369" s="32" t="str">
        <x:f>IF(AND(M$8&lt;='Detalle'!$H182,M$9&gt;='Detalle'!$G182),1,"")</x:f>
      </x:c>
      <x:c r="N369" s="32" t="str">
        <x:f>IF(AND(N$8&lt;='Detalle'!$H182,N$9&gt;='Detalle'!$G182),1,"")</x:f>
      </x:c>
      <x:c r="O369" s="32" t="str">
        <x:f>IF(AND(O$8&lt;='Detalle'!$H182,O$9&gt;='Detalle'!$G182),1,"")</x:f>
      </x:c>
      <x:c r="P369" s="32" t="str">
        <x:f>IF(AND(P$8&lt;='Detalle'!$H182,P$9&gt;='Detalle'!$G182),1,"")</x:f>
      </x:c>
      <x:c r="Q369" s="68"/>
      <x:c r="R369" s="67" t="str">
        <x:f>IF('Detalle'!M182="","",'Detalle'!M182)</x:f>
      </x:c>
      <x:c r="S369" s="67" t="str">
        <x:f>IF('Detalle'!N182="","",'Detalle'!N182)</x:f>
      </x:c>
    </x:row>
    <x:row r="370" ht="16" customHeight="1">
      <x:c r="A370" s="56" t="str">
        <x:v>COM02.002</x:v>
      </x:c>
      <x:c r="B370" s="57" t="str">
        <x:v>Registrar precisión exacta o aproximada</x:v>
      </x:c>
      <x:c r="C370" s="63" t="str">
        <x:v>R</x:v>
      </x:c>
      <x:c r="D370" s="65" t="str">
        <x:f>IF('Detalle'!L182="","",'Detalle'!L182)</x:f>
      </x:c>
      <x:c r="E370" s="60" t="str"/>
      <x:c r="F370" s="32" t="str">
        <x:f>IF(OR('Detalle'!$J182="",'Detalle'!$K182="",'Detalle'!$L182=""),"",IF(AND(F$8&lt;='Detalle'!$K182,F$9&gt;='Detalle'!$J182),1,""))</x:f>
      </x:c>
      <x:c r="G370" s="32" t="str">
        <x:f>IF(OR('Detalle'!$J182="",'Detalle'!$K182="",'Detalle'!$L182=""),"",IF(AND(G$8&lt;='Detalle'!$K182,G$9&gt;='Detalle'!$J182),1,""))</x:f>
      </x:c>
      <x:c r="H370" s="32" t="str">
        <x:f>IF(OR('Detalle'!$J182="",'Detalle'!$K182="",'Detalle'!$L182=""),"",IF(AND(H$8&lt;='Detalle'!$K182,H$9&gt;='Detalle'!$J182),1,""))</x:f>
      </x:c>
      <x:c r="I370" s="32" t="str">
        <x:f>IF(OR('Detalle'!$J182="",'Detalle'!$K182="",'Detalle'!$L182=""),"",IF(AND(I$8&lt;='Detalle'!$K182,I$9&gt;='Detalle'!$J182),1,""))</x:f>
      </x:c>
      <x:c r="J370" s="32" t="str">
        <x:f>IF(OR('Detalle'!$J182="",'Detalle'!$K182="",'Detalle'!$L182=""),"",IF(AND(J$8&lt;='Detalle'!$K182,J$9&gt;='Detalle'!$J182),1,""))</x:f>
      </x:c>
      <x:c r="K370" s="32" t="str">
        <x:f>IF(OR('Detalle'!$J182="",'Detalle'!$K182="",'Detalle'!$L182=""),"",IF(AND(K$8&lt;='Detalle'!$K182,K$9&gt;='Detalle'!$J182),1,""))</x:f>
      </x:c>
      <x:c r="L370" s="32" t="str">
        <x:f>IF(OR('Detalle'!$J182="",'Detalle'!$K182="",'Detalle'!$L182=""),"",IF(AND(L$8&lt;='Detalle'!$K182,L$9&gt;='Detalle'!$J182),1,""))</x:f>
      </x:c>
      <x:c r="M370" s="32" t="str">
        <x:f>IF(OR('Detalle'!$J182="",'Detalle'!$K182="",'Detalle'!$L182=""),"",IF(AND(M$8&lt;='Detalle'!$K182,M$9&gt;='Detalle'!$J182),1,""))</x:f>
      </x:c>
      <x:c r="N370" s="32" t="str">
        <x:f>IF(OR('Detalle'!$J182="",'Detalle'!$K182="",'Detalle'!$L182=""),"",IF(AND(N$8&lt;='Detalle'!$K182,N$9&gt;='Detalle'!$J182),1,""))</x:f>
      </x:c>
      <x:c r="O370" s="32" t="str">
        <x:f>IF(OR('Detalle'!$J182="",'Detalle'!$K182="",'Detalle'!$L182=""),"",IF(AND(O$8&lt;='Detalle'!$K182,O$9&gt;='Detalle'!$J182),1,""))</x:f>
      </x:c>
      <x:c r="P370" s="32" t="str">
        <x:f>IF(OR('Detalle'!$J182="",'Detalle'!$K182="",'Detalle'!$L182=""),"",IF(AND(P$8&lt;='Detalle'!$K182,P$9&gt;='Detalle'!$J182),1,""))</x:f>
      </x:c>
      <x:c r="Q370" s="68"/>
      <x:c r="R370" s="67" t="str"/>
      <x:c r="S370" s="67" t="str"/>
    </x:row>
    <x:row r="371" ht="16" customHeight="1">
      <x:c r="A371" s="56" t="str">
        <x:v>COM02.003</x:v>
      </x:c>
      <x:c r="B371" s="57" t="str">
        <x:v>Crear selector visual de ubicación</x:v>
      </x:c>
      <x:c r="C371" s="62" t="str">
        <x:v>E</x:v>
      </x:c>
      <x:c r="D371" s="64" t="n">
        <x:f>'Detalle'!I183</x:f>
        <x:v>1</x:v>
      </x:c>
      <x:c r="E371" s="60" t="str">
        <x:f>'Detalle'!F183</x:f>
        <x:v>Completado</x:v>
      </x:c>
      <x:c r="F371" s="32" t="str">
        <x:f>IF(AND(F$8&lt;='Detalle'!$H183,F$9&gt;='Detalle'!$G183),1,"")</x:f>
      </x:c>
      <x:c r="G371" s="32" t="str">
        <x:f>IF(AND(G$8&lt;='Detalle'!$H183,G$9&gt;='Detalle'!$G183),1,"")</x:f>
      </x:c>
      <x:c r="H371" s="32" t="n">
        <x:f>IF(AND(H$8&lt;='Detalle'!$H183,H$9&gt;='Detalle'!$G183),1,"")</x:f>
        <x:v>1</x:v>
      </x:c>
      <x:c r="I371" s="32" t="str">
        <x:f>IF(AND(I$8&lt;='Detalle'!$H183,I$9&gt;='Detalle'!$G183),1,"")</x:f>
      </x:c>
      <x:c r="J371" s="32" t="str">
        <x:f>IF(AND(J$8&lt;='Detalle'!$H183,J$9&gt;='Detalle'!$G183),1,"")</x:f>
      </x:c>
      <x:c r="K371" s="32" t="str">
        <x:f>IF(AND(K$8&lt;='Detalle'!$H183,K$9&gt;='Detalle'!$G183),1,"")</x:f>
      </x:c>
      <x:c r="L371" s="32" t="str">
        <x:f>IF(AND(L$8&lt;='Detalle'!$H183,L$9&gt;='Detalle'!$G183),1,"")</x:f>
      </x:c>
      <x:c r="M371" s="32" t="str">
        <x:f>IF(AND(M$8&lt;='Detalle'!$H183,M$9&gt;='Detalle'!$G183),1,"")</x:f>
      </x:c>
      <x:c r="N371" s="32" t="str">
        <x:f>IF(AND(N$8&lt;='Detalle'!$H183,N$9&gt;='Detalle'!$G183),1,"")</x:f>
      </x:c>
      <x:c r="O371" s="32" t="str">
        <x:f>IF(AND(O$8&lt;='Detalle'!$H183,O$9&gt;='Detalle'!$G183),1,"")</x:f>
      </x:c>
      <x:c r="P371" s="32" t="str">
        <x:f>IF(AND(P$8&lt;='Detalle'!$H183,P$9&gt;='Detalle'!$G183),1,"")</x:f>
      </x:c>
      <x:c r="Q371" s="68"/>
      <x:c r="R371" s="67" t="str">
        <x:f>IF('Detalle'!M183="","",'Detalle'!M183)</x:f>
      </x:c>
      <x:c r="S371" s="67" t="str">
        <x:f>IF('Detalle'!N183="","",'Detalle'!N183)</x:f>
      </x:c>
    </x:row>
    <x:row r="372" ht="16" customHeight="1">
      <x:c r="A372" s="56" t="str">
        <x:v>COM02.003</x:v>
      </x:c>
      <x:c r="B372" s="57" t="str">
        <x:v>Crear selector visual de ubicación</x:v>
      </x:c>
      <x:c r="C372" s="63" t="str">
        <x:v>R</x:v>
      </x:c>
      <x:c r="D372" s="65" t="str">
        <x:f>IF('Detalle'!L183="","",'Detalle'!L183)</x:f>
      </x:c>
      <x:c r="E372" s="60" t="str"/>
      <x:c r="F372" s="32" t="str">
        <x:f>IF(OR('Detalle'!$J183="",'Detalle'!$K183="",'Detalle'!$L183=""),"",IF(AND(F$8&lt;='Detalle'!$K183,F$9&gt;='Detalle'!$J183),1,""))</x:f>
      </x:c>
      <x:c r="G372" s="32" t="str">
        <x:f>IF(OR('Detalle'!$J183="",'Detalle'!$K183="",'Detalle'!$L183=""),"",IF(AND(G$8&lt;='Detalle'!$K183,G$9&gt;='Detalle'!$J183),1,""))</x:f>
      </x:c>
      <x:c r="H372" s="32" t="str">
        <x:f>IF(OR('Detalle'!$J183="",'Detalle'!$K183="",'Detalle'!$L183=""),"",IF(AND(H$8&lt;='Detalle'!$K183,H$9&gt;='Detalle'!$J183),1,""))</x:f>
      </x:c>
      <x:c r="I372" s="32" t="str">
        <x:f>IF(OR('Detalle'!$J183="",'Detalle'!$K183="",'Detalle'!$L183=""),"",IF(AND(I$8&lt;='Detalle'!$K183,I$9&gt;='Detalle'!$J183),1,""))</x:f>
      </x:c>
      <x:c r="J372" s="32" t="str">
        <x:f>IF(OR('Detalle'!$J183="",'Detalle'!$K183="",'Detalle'!$L183=""),"",IF(AND(J$8&lt;='Detalle'!$K183,J$9&gt;='Detalle'!$J183),1,""))</x:f>
      </x:c>
      <x:c r="K372" s="32" t="str">
        <x:f>IF(OR('Detalle'!$J183="",'Detalle'!$K183="",'Detalle'!$L183=""),"",IF(AND(K$8&lt;='Detalle'!$K183,K$9&gt;='Detalle'!$J183),1,""))</x:f>
      </x:c>
      <x:c r="L372" s="32" t="str">
        <x:f>IF(OR('Detalle'!$J183="",'Detalle'!$K183="",'Detalle'!$L183=""),"",IF(AND(L$8&lt;='Detalle'!$K183,L$9&gt;='Detalle'!$J183),1,""))</x:f>
      </x:c>
      <x:c r="M372" s="32" t="str">
        <x:f>IF(OR('Detalle'!$J183="",'Detalle'!$K183="",'Detalle'!$L183=""),"",IF(AND(M$8&lt;='Detalle'!$K183,M$9&gt;='Detalle'!$J183),1,""))</x:f>
      </x:c>
      <x:c r="N372" s="32" t="str">
        <x:f>IF(OR('Detalle'!$J183="",'Detalle'!$K183="",'Detalle'!$L183=""),"",IF(AND(N$8&lt;='Detalle'!$K183,N$9&gt;='Detalle'!$J183),1,""))</x:f>
      </x:c>
      <x:c r="O372" s="32" t="str">
        <x:f>IF(OR('Detalle'!$J183="",'Detalle'!$K183="",'Detalle'!$L183=""),"",IF(AND(O$8&lt;='Detalle'!$K183,O$9&gt;='Detalle'!$J183),1,""))</x:f>
      </x:c>
      <x:c r="P372" s="32" t="str">
        <x:f>IF(OR('Detalle'!$J183="",'Detalle'!$K183="",'Detalle'!$L183=""),"",IF(AND(P$8&lt;='Detalle'!$K183,P$9&gt;='Detalle'!$J183),1,""))</x:f>
      </x:c>
      <x:c r="Q372" s="68"/>
      <x:c r="R372" s="67" t="str"/>
      <x:c r="S372" s="67" t="str"/>
    </x:row>
    <x:row r="373" ht="16" customHeight="1">
      <x:c r="A373" s="56" t="str">
        <x:v>COM02.004</x:v>
      </x:c>
      <x:c r="B373" s="57" t="str">
        <x:v>Buscar dirección con Nominatim</x:v>
      </x:c>
      <x:c r="C373" s="62" t="str">
        <x:v>E</x:v>
      </x:c>
      <x:c r="D373" s="64" t="n">
        <x:f>'Detalle'!I184</x:f>
        <x:v>1</x:v>
      </x:c>
      <x:c r="E373" s="60" t="str">
        <x:f>'Detalle'!F184</x:f>
        <x:v>Completado</x:v>
      </x:c>
      <x:c r="F373" s="32" t="str">
        <x:f>IF(AND(F$8&lt;='Detalle'!$H184,F$9&gt;='Detalle'!$G184),1,"")</x:f>
      </x:c>
      <x:c r="G373" s="32" t="str">
        <x:f>IF(AND(G$8&lt;='Detalle'!$H184,G$9&gt;='Detalle'!$G184),1,"")</x:f>
      </x:c>
      <x:c r="H373" s="32" t="n">
        <x:f>IF(AND(H$8&lt;='Detalle'!$H184,H$9&gt;='Detalle'!$G184),1,"")</x:f>
        <x:v>1</x:v>
      </x:c>
      <x:c r="I373" s="32" t="str">
        <x:f>IF(AND(I$8&lt;='Detalle'!$H184,I$9&gt;='Detalle'!$G184),1,"")</x:f>
      </x:c>
      <x:c r="J373" s="32" t="str">
        <x:f>IF(AND(J$8&lt;='Detalle'!$H184,J$9&gt;='Detalle'!$G184),1,"")</x:f>
      </x:c>
      <x:c r="K373" s="32" t="str">
        <x:f>IF(AND(K$8&lt;='Detalle'!$H184,K$9&gt;='Detalle'!$G184),1,"")</x:f>
      </x:c>
      <x:c r="L373" s="32" t="str">
        <x:f>IF(AND(L$8&lt;='Detalle'!$H184,L$9&gt;='Detalle'!$G184),1,"")</x:f>
      </x:c>
      <x:c r="M373" s="32" t="str">
        <x:f>IF(AND(M$8&lt;='Detalle'!$H184,M$9&gt;='Detalle'!$G184),1,"")</x:f>
      </x:c>
      <x:c r="N373" s="32" t="str">
        <x:f>IF(AND(N$8&lt;='Detalle'!$H184,N$9&gt;='Detalle'!$G184),1,"")</x:f>
      </x:c>
      <x:c r="O373" s="32" t="str">
        <x:f>IF(AND(O$8&lt;='Detalle'!$H184,O$9&gt;='Detalle'!$G184),1,"")</x:f>
      </x:c>
      <x:c r="P373" s="32" t="str">
        <x:f>IF(AND(P$8&lt;='Detalle'!$H184,P$9&gt;='Detalle'!$G184),1,"")</x:f>
      </x:c>
      <x:c r="Q373" s="68"/>
      <x:c r="R373" s="67" t="str">
        <x:f>IF('Detalle'!M184="","",'Detalle'!M184)</x:f>
      </x:c>
      <x:c r="S373" s="67" t="str">
        <x:f>IF('Detalle'!N184="","",'Detalle'!N184)</x:f>
      </x:c>
    </x:row>
    <x:row r="374" ht="16" customHeight="1">
      <x:c r="A374" s="56" t="str">
        <x:v>COM02.004</x:v>
      </x:c>
      <x:c r="B374" s="57" t="str">
        <x:v>Buscar dirección con Nominatim</x:v>
      </x:c>
      <x:c r="C374" s="63" t="str">
        <x:v>R</x:v>
      </x:c>
      <x:c r="D374" s="65" t="str">
        <x:f>IF('Detalle'!L184="","",'Detalle'!L184)</x:f>
      </x:c>
      <x:c r="E374" s="60" t="str"/>
      <x:c r="F374" s="32" t="str">
        <x:f>IF(OR('Detalle'!$J184="",'Detalle'!$K184="",'Detalle'!$L184=""),"",IF(AND(F$8&lt;='Detalle'!$K184,F$9&gt;='Detalle'!$J184),1,""))</x:f>
      </x:c>
      <x:c r="G374" s="32" t="str">
        <x:f>IF(OR('Detalle'!$J184="",'Detalle'!$K184="",'Detalle'!$L184=""),"",IF(AND(G$8&lt;='Detalle'!$K184,G$9&gt;='Detalle'!$J184),1,""))</x:f>
      </x:c>
      <x:c r="H374" s="32" t="str">
        <x:f>IF(OR('Detalle'!$J184="",'Detalle'!$K184="",'Detalle'!$L184=""),"",IF(AND(H$8&lt;='Detalle'!$K184,H$9&gt;='Detalle'!$J184),1,""))</x:f>
      </x:c>
      <x:c r="I374" s="32" t="str">
        <x:f>IF(OR('Detalle'!$J184="",'Detalle'!$K184="",'Detalle'!$L184=""),"",IF(AND(I$8&lt;='Detalle'!$K184,I$9&gt;='Detalle'!$J184),1,""))</x:f>
      </x:c>
      <x:c r="J374" s="32" t="str">
        <x:f>IF(OR('Detalle'!$J184="",'Detalle'!$K184="",'Detalle'!$L184=""),"",IF(AND(J$8&lt;='Detalle'!$K184,J$9&gt;='Detalle'!$J184),1,""))</x:f>
      </x:c>
      <x:c r="K374" s="32" t="str">
        <x:f>IF(OR('Detalle'!$J184="",'Detalle'!$K184="",'Detalle'!$L184=""),"",IF(AND(K$8&lt;='Detalle'!$K184,K$9&gt;='Detalle'!$J184),1,""))</x:f>
      </x:c>
      <x:c r="L374" s="32" t="str">
        <x:f>IF(OR('Detalle'!$J184="",'Detalle'!$K184="",'Detalle'!$L184=""),"",IF(AND(L$8&lt;='Detalle'!$K184,L$9&gt;='Detalle'!$J184),1,""))</x:f>
      </x:c>
      <x:c r="M374" s="32" t="str">
        <x:f>IF(OR('Detalle'!$J184="",'Detalle'!$K184="",'Detalle'!$L184=""),"",IF(AND(M$8&lt;='Detalle'!$K184,M$9&gt;='Detalle'!$J184),1,""))</x:f>
      </x:c>
      <x:c r="N374" s="32" t="str">
        <x:f>IF(OR('Detalle'!$J184="",'Detalle'!$K184="",'Detalle'!$L184=""),"",IF(AND(N$8&lt;='Detalle'!$K184,N$9&gt;='Detalle'!$J184),1,""))</x:f>
      </x:c>
      <x:c r="O374" s="32" t="str">
        <x:f>IF(OR('Detalle'!$J184="",'Detalle'!$K184="",'Detalle'!$L184=""),"",IF(AND(O$8&lt;='Detalle'!$K184,O$9&gt;='Detalle'!$J184),1,""))</x:f>
      </x:c>
      <x:c r="P374" s="32" t="str">
        <x:f>IF(OR('Detalle'!$J184="",'Detalle'!$K184="",'Detalle'!$L184=""),"",IF(AND(P$8&lt;='Detalle'!$K184,P$9&gt;='Detalle'!$J184),1,""))</x:f>
      </x:c>
      <x:c r="Q374" s="68"/>
      <x:c r="R374" s="67" t="str"/>
      <x:c r="S374" s="67" t="str"/>
    </x:row>
    <x:row r="375" ht="16" customHeight="1">
      <x:c r="A375" s="56" t="str">
        <x:v>COM02.005</x:v>
      </x:c>
      <x:c r="B375" s="57" t="str">
        <x:v>Mover punto manualmente</x:v>
      </x:c>
      <x:c r="C375" s="62" t="str">
        <x:v>E</x:v>
      </x:c>
      <x:c r="D375" s="64" t="n">
        <x:f>'Detalle'!I185</x:f>
        <x:v>1</x:v>
      </x:c>
      <x:c r="E375" s="60" t="str">
        <x:f>'Detalle'!F185</x:f>
        <x:v>Completado</x:v>
      </x:c>
      <x:c r="F375" s="32" t="str">
        <x:f>IF(AND(F$8&lt;='Detalle'!$H185,F$9&gt;='Detalle'!$G185),1,"")</x:f>
      </x:c>
      <x:c r="G375" s="32" t="str">
        <x:f>IF(AND(G$8&lt;='Detalle'!$H185,G$9&gt;='Detalle'!$G185),1,"")</x:f>
      </x:c>
      <x:c r="H375" s="32" t="n">
        <x:f>IF(AND(H$8&lt;='Detalle'!$H185,H$9&gt;='Detalle'!$G185),1,"")</x:f>
        <x:v>1</x:v>
      </x:c>
      <x:c r="I375" s="32" t="str">
        <x:f>IF(AND(I$8&lt;='Detalle'!$H185,I$9&gt;='Detalle'!$G185),1,"")</x:f>
      </x:c>
      <x:c r="J375" s="32" t="str">
        <x:f>IF(AND(J$8&lt;='Detalle'!$H185,J$9&gt;='Detalle'!$G185),1,"")</x:f>
      </x:c>
      <x:c r="K375" s="32" t="str">
        <x:f>IF(AND(K$8&lt;='Detalle'!$H185,K$9&gt;='Detalle'!$G185),1,"")</x:f>
      </x:c>
      <x:c r="L375" s="32" t="str">
        <x:f>IF(AND(L$8&lt;='Detalle'!$H185,L$9&gt;='Detalle'!$G185),1,"")</x:f>
      </x:c>
      <x:c r="M375" s="32" t="str">
        <x:f>IF(AND(M$8&lt;='Detalle'!$H185,M$9&gt;='Detalle'!$G185),1,"")</x:f>
      </x:c>
      <x:c r="N375" s="32" t="str">
        <x:f>IF(AND(N$8&lt;='Detalle'!$H185,N$9&gt;='Detalle'!$G185),1,"")</x:f>
      </x:c>
      <x:c r="O375" s="32" t="str">
        <x:f>IF(AND(O$8&lt;='Detalle'!$H185,O$9&gt;='Detalle'!$G185),1,"")</x:f>
      </x:c>
      <x:c r="P375" s="32" t="str">
        <x:f>IF(AND(P$8&lt;='Detalle'!$H185,P$9&gt;='Detalle'!$G185),1,"")</x:f>
      </x:c>
      <x:c r="Q375" s="68"/>
      <x:c r="R375" s="67" t="str">
        <x:f>IF('Detalle'!M185="","",'Detalle'!M185)</x:f>
      </x:c>
      <x:c r="S375" s="67" t="str">
        <x:f>IF('Detalle'!N185="","",'Detalle'!N185)</x:f>
      </x:c>
    </x:row>
    <x:row r="376" ht="16" customHeight="1">
      <x:c r="A376" s="56" t="str">
        <x:v>COM02.005</x:v>
      </x:c>
      <x:c r="B376" s="57" t="str">
        <x:v>Mover punto manualmente</x:v>
      </x:c>
      <x:c r="C376" s="63" t="str">
        <x:v>R</x:v>
      </x:c>
      <x:c r="D376" s="65" t="str">
        <x:f>IF('Detalle'!L185="","",'Detalle'!L185)</x:f>
      </x:c>
      <x:c r="E376" s="60" t="str"/>
      <x:c r="F376" s="32" t="str">
        <x:f>IF(OR('Detalle'!$J185="",'Detalle'!$K185="",'Detalle'!$L185=""),"",IF(AND(F$8&lt;='Detalle'!$K185,F$9&gt;='Detalle'!$J185),1,""))</x:f>
      </x:c>
      <x:c r="G376" s="32" t="str">
        <x:f>IF(OR('Detalle'!$J185="",'Detalle'!$K185="",'Detalle'!$L185=""),"",IF(AND(G$8&lt;='Detalle'!$K185,G$9&gt;='Detalle'!$J185),1,""))</x:f>
      </x:c>
      <x:c r="H376" s="32" t="str">
        <x:f>IF(OR('Detalle'!$J185="",'Detalle'!$K185="",'Detalle'!$L185=""),"",IF(AND(H$8&lt;='Detalle'!$K185,H$9&gt;='Detalle'!$J185),1,""))</x:f>
      </x:c>
      <x:c r="I376" s="32" t="str">
        <x:f>IF(OR('Detalle'!$J185="",'Detalle'!$K185="",'Detalle'!$L185=""),"",IF(AND(I$8&lt;='Detalle'!$K185,I$9&gt;='Detalle'!$J185),1,""))</x:f>
      </x:c>
      <x:c r="J376" s="32" t="str">
        <x:f>IF(OR('Detalle'!$J185="",'Detalle'!$K185="",'Detalle'!$L185=""),"",IF(AND(J$8&lt;='Detalle'!$K185,J$9&gt;='Detalle'!$J185),1,""))</x:f>
      </x:c>
      <x:c r="K376" s="32" t="str">
        <x:f>IF(OR('Detalle'!$J185="",'Detalle'!$K185="",'Detalle'!$L185=""),"",IF(AND(K$8&lt;='Detalle'!$K185,K$9&gt;='Detalle'!$J185),1,""))</x:f>
      </x:c>
      <x:c r="L376" s="32" t="str">
        <x:f>IF(OR('Detalle'!$J185="",'Detalle'!$K185="",'Detalle'!$L185=""),"",IF(AND(L$8&lt;='Detalle'!$K185,L$9&gt;='Detalle'!$J185),1,""))</x:f>
      </x:c>
      <x:c r="M376" s="32" t="str">
        <x:f>IF(OR('Detalle'!$J185="",'Detalle'!$K185="",'Detalle'!$L185=""),"",IF(AND(M$8&lt;='Detalle'!$K185,M$9&gt;='Detalle'!$J185),1,""))</x:f>
      </x:c>
      <x:c r="N376" s="32" t="str">
        <x:f>IF(OR('Detalle'!$J185="",'Detalle'!$K185="",'Detalle'!$L185=""),"",IF(AND(N$8&lt;='Detalle'!$K185,N$9&gt;='Detalle'!$J185),1,""))</x:f>
      </x:c>
      <x:c r="O376" s="32" t="str">
        <x:f>IF(OR('Detalle'!$J185="",'Detalle'!$K185="",'Detalle'!$L185=""),"",IF(AND(O$8&lt;='Detalle'!$K185,O$9&gt;='Detalle'!$J185),1,""))</x:f>
      </x:c>
      <x:c r="P376" s="32" t="str">
        <x:f>IF(OR('Detalle'!$J185="",'Detalle'!$K185="",'Detalle'!$L185=""),"",IF(AND(P$8&lt;='Detalle'!$K185,P$9&gt;='Detalle'!$J185),1,""))</x:f>
      </x:c>
      <x:c r="Q376" s="68"/>
      <x:c r="R376" s="67" t="str"/>
      <x:c r="S376" s="67" t="str"/>
    </x:row>
    <x:row r="377" ht="16" customHeight="1">
      <x:c r="A377" s="56" t="str">
        <x:v>COM02.006</x:v>
      </x:c>
      <x:c r="B377" s="57" t="str">
        <x:v>Solicitar ubicación mediante acción explícita</x:v>
      </x:c>
      <x:c r="C377" s="62" t="str">
        <x:v>E</x:v>
      </x:c>
      <x:c r="D377" s="64" t="n">
        <x:f>'Detalle'!I186</x:f>
        <x:v>1</x:v>
      </x:c>
      <x:c r="E377" s="60" t="str">
        <x:f>'Detalle'!F186</x:f>
        <x:v>Completado</x:v>
      </x:c>
      <x:c r="F377" s="32" t="str">
        <x:f>IF(AND(F$8&lt;='Detalle'!$H186,F$9&gt;='Detalle'!$G186),1,"")</x:f>
      </x:c>
      <x:c r="G377" s="32" t="str">
        <x:f>IF(AND(G$8&lt;='Detalle'!$H186,G$9&gt;='Detalle'!$G186),1,"")</x:f>
      </x:c>
      <x:c r="H377" s="32" t="n">
        <x:f>IF(AND(H$8&lt;='Detalle'!$H186,H$9&gt;='Detalle'!$G186),1,"")</x:f>
        <x:v>1</x:v>
      </x:c>
      <x:c r="I377" s="32" t="str">
        <x:f>IF(AND(I$8&lt;='Detalle'!$H186,I$9&gt;='Detalle'!$G186),1,"")</x:f>
      </x:c>
      <x:c r="J377" s="32" t="str">
        <x:f>IF(AND(J$8&lt;='Detalle'!$H186,J$9&gt;='Detalle'!$G186),1,"")</x:f>
      </x:c>
      <x:c r="K377" s="32" t="str">
        <x:f>IF(AND(K$8&lt;='Detalle'!$H186,K$9&gt;='Detalle'!$G186),1,"")</x:f>
      </x:c>
      <x:c r="L377" s="32" t="str">
        <x:f>IF(AND(L$8&lt;='Detalle'!$H186,L$9&gt;='Detalle'!$G186),1,"")</x:f>
      </x:c>
      <x:c r="M377" s="32" t="str">
        <x:f>IF(AND(M$8&lt;='Detalle'!$H186,M$9&gt;='Detalle'!$G186),1,"")</x:f>
      </x:c>
      <x:c r="N377" s="32" t="str">
        <x:f>IF(AND(N$8&lt;='Detalle'!$H186,N$9&gt;='Detalle'!$G186),1,"")</x:f>
      </x:c>
      <x:c r="O377" s="32" t="str">
        <x:f>IF(AND(O$8&lt;='Detalle'!$H186,O$9&gt;='Detalle'!$G186),1,"")</x:f>
      </x:c>
      <x:c r="P377" s="32" t="str">
        <x:f>IF(AND(P$8&lt;='Detalle'!$H186,P$9&gt;='Detalle'!$G186),1,"")</x:f>
      </x:c>
      <x:c r="Q377" s="68"/>
      <x:c r="R377" s="67" t="str">
        <x:f>IF('Detalle'!M186="","",'Detalle'!M186)</x:f>
      </x:c>
      <x:c r="S377" s="67" t="str">
        <x:f>IF('Detalle'!N186="","",'Detalle'!N186)</x:f>
      </x:c>
    </x:row>
    <x:row r="378" ht="16" customHeight="1">
      <x:c r="A378" s="56" t="str">
        <x:v>COM02.006</x:v>
      </x:c>
      <x:c r="B378" s="57" t="str">
        <x:v>Solicitar ubicación mediante acción explícita</x:v>
      </x:c>
      <x:c r="C378" s="63" t="str">
        <x:v>R</x:v>
      </x:c>
      <x:c r="D378" s="65" t="str">
        <x:f>IF('Detalle'!L186="","",'Detalle'!L186)</x:f>
      </x:c>
      <x:c r="E378" s="60" t="str"/>
      <x:c r="F378" s="32" t="str">
        <x:f>IF(OR('Detalle'!$J186="",'Detalle'!$K186="",'Detalle'!$L186=""),"",IF(AND(F$8&lt;='Detalle'!$K186,F$9&gt;='Detalle'!$J186),1,""))</x:f>
      </x:c>
      <x:c r="G378" s="32" t="str">
        <x:f>IF(OR('Detalle'!$J186="",'Detalle'!$K186="",'Detalle'!$L186=""),"",IF(AND(G$8&lt;='Detalle'!$K186,G$9&gt;='Detalle'!$J186),1,""))</x:f>
      </x:c>
      <x:c r="H378" s="32" t="str">
        <x:f>IF(OR('Detalle'!$J186="",'Detalle'!$K186="",'Detalle'!$L186=""),"",IF(AND(H$8&lt;='Detalle'!$K186,H$9&gt;='Detalle'!$J186),1,""))</x:f>
      </x:c>
      <x:c r="I378" s="32" t="str">
        <x:f>IF(OR('Detalle'!$J186="",'Detalle'!$K186="",'Detalle'!$L186=""),"",IF(AND(I$8&lt;='Detalle'!$K186,I$9&gt;='Detalle'!$J186),1,""))</x:f>
      </x:c>
      <x:c r="J378" s="32" t="str">
        <x:f>IF(OR('Detalle'!$J186="",'Detalle'!$K186="",'Detalle'!$L186=""),"",IF(AND(J$8&lt;='Detalle'!$K186,J$9&gt;='Detalle'!$J186),1,""))</x:f>
      </x:c>
      <x:c r="K378" s="32" t="str">
        <x:f>IF(OR('Detalle'!$J186="",'Detalle'!$K186="",'Detalle'!$L186=""),"",IF(AND(K$8&lt;='Detalle'!$K186,K$9&gt;='Detalle'!$J186),1,""))</x:f>
      </x:c>
      <x:c r="L378" s="32" t="str">
        <x:f>IF(OR('Detalle'!$J186="",'Detalle'!$K186="",'Detalle'!$L186=""),"",IF(AND(L$8&lt;='Detalle'!$K186,L$9&gt;='Detalle'!$J186),1,""))</x:f>
      </x:c>
      <x:c r="M378" s="32" t="str">
        <x:f>IF(OR('Detalle'!$J186="",'Detalle'!$K186="",'Detalle'!$L186=""),"",IF(AND(M$8&lt;='Detalle'!$K186,M$9&gt;='Detalle'!$J186),1,""))</x:f>
      </x:c>
      <x:c r="N378" s="32" t="str">
        <x:f>IF(OR('Detalle'!$J186="",'Detalle'!$K186="",'Detalle'!$L186=""),"",IF(AND(N$8&lt;='Detalle'!$K186,N$9&gt;='Detalle'!$J186),1,""))</x:f>
      </x:c>
      <x:c r="O378" s="32" t="str">
        <x:f>IF(OR('Detalle'!$J186="",'Detalle'!$K186="",'Detalle'!$L186=""),"",IF(AND(O$8&lt;='Detalle'!$K186,O$9&gt;='Detalle'!$J186),1,""))</x:f>
      </x:c>
      <x:c r="P378" s="32" t="str">
        <x:f>IF(OR('Detalle'!$J186="",'Detalle'!$K186="",'Detalle'!$L186=""),"",IF(AND(P$8&lt;='Detalle'!$K186,P$9&gt;='Detalle'!$J186),1,""))</x:f>
      </x:c>
      <x:c r="Q378" s="68"/>
      <x:c r="R378" s="67" t="str"/>
      <x:c r="S378" s="67" t="str"/>
    </x:row>
    <x:row r="379" ht="16" customHeight="1">
      <x:c r="A379" s="56" t="str">
        <x:v>COM02.007</x:v>
      </x:c>
      <x:c r="B379" s="57" t="str">
        <x:v>Manejar permiso de ubicación rechazado</x:v>
      </x:c>
      <x:c r="C379" s="62" t="str">
        <x:v>E</x:v>
      </x:c>
      <x:c r="D379" s="64" t="n">
        <x:f>'Detalle'!I187</x:f>
        <x:v>1</x:v>
      </x:c>
      <x:c r="E379" s="60" t="str">
        <x:f>'Detalle'!F187</x:f>
        <x:v>Completado</x:v>
      </x:c>
      <x:c r="F379" s="32" t="str">
        <x:f>IF(AND(F$8&lt;='Detalle'!$H187,F$9&gt;='Detalle'!$G187),1,"")</x:f>
      </x:c>
      <x:c r="G379" s="32" t="str">
        <x:f>IF(AND(G$8&lt;='Detalle'!$H187,G$9&gt;='Detalle'!$G187),1,"")</x:f>
      </x:c>
      <x:c r="H379" s="32" t="n">
        <x:f>IF(AND(H$8&lt;='Detalle'!$H187,H$9&gt;='Detalle'!$G187),1,"")</x:f>
        <x:v>1</x:v>
      </x:c>
      <x:c r="I379" s="32" t="str">
        <x:f>IF(AND(I$8&lt;='Detalle'!$H187,I$9&gt;='Detalle'!$G187),1,"")</x:f>
      </x:c>
      <x:c r="J379" s="32" t="str">
        <x:f>IF(AND(J$8&lt;='Detalle'!$H187,J$9&gt;='Detalle'!$G187),1,"")</x:f>
      </x:c>
      <x:c r="K379" s="32" t="str">
        <x:f>IF(AND(K$8&lt;='Detalle'!$H187,K$9&gt;='Detalle'!$G187),1,"")</x:f>
      </x:c>
      <x:c r="L379" s="32" t="str">
        <x:f>IF(AND(L$8&lt;='Detalle'!$H187,L$9&gt;='Detalle'!$G187),1,"")</x:f>
      </x:c>
      <x:c r="M379" s="32" t="str">
        <x:f>IF(AND(M$8&lt;='Detalle'!$H187,M$9&gt;='Detalle'!$G187),1,"")</x:f>
      </x:c>
      <x:c r="N379" s="32" t="str">
        <x:f>IF(AND(N$8&lt;='Detalle'!$H187,N$9&gt;='Detalle'!$G187),1,"")</x:f>
      </x:c>
      <x:c r="O379" s="32" t="str">
        <x:f>IF(AND(O$8&lt;='Detalle'!$H187,O$9&gt;='Detalle'!$G187),1,"")</x:f>
      </x:c>
      <x:c r="P379" s="32" t="str">
        <x:f>IF(AND(P$8&lt;='Detalle'!$H187,P$9&gt;='Detalle'!$G187),1,"")</x:f>
      </x:c>
      <x:c r="Q379" s="68"/>
      <x:c r="R379" s="67" t="str">
        <x:f>IF('Detalle'!M187="","",'Detalle'!M187)</x:f>
      </x:c>
      <x:c r="S379" s="67" t="str">
        <x:f>IF('Detalle'!N187="","",'Detalle'!N187)</x:f>
      </x:c>
    </x:row>
    <x:row r="380" ht="16" customHeight="1">
      <x:c r="A380" s="56" t="str">
        <x:v>COM02.007</x:v>
      </x:c>
      <x:c r="B380" s="57" t="str">
        <x:v>Manejar permiso de ubicación rechazado</x:v>
      </x:c>
      <x:c r="C380" s="63" t="str">
        <x:v>R</x:v>
      </x:c>
      <x:c r="D380" s="65" t="str">
        <x:f>IF('Detalle'!L187="","",'Detalle'!L187)</x:f>
      </x:c>
      <x:c r="E380" s="60" t="str"/>
      <x:c r="F380" s="32" t="str">
        <x:f>IF(OR('Detalle'!$J187="",'Detalle'!$K187="",'Detalle'!$L187=""),"",IF(AND(F$8&lt;='Detalle'!$K187,F$9&gt;='Detalle'!$J187),1,""))</x:f>
      </x:c>
      <x:c r="G380" s="32" t="str">
        <x:f>IF(OR('Detalle'!$J187="",'Detalle'!$K187="",'Detalle'!$L187=""),"",IF(AND(G$8&lt;='Detalle'!$K187,G$9&gt;='Detalle'!$J187),1,""))</x:f>
      </x:c>
      <x:c r="H380" s="32" t="str">
        <x:f>IF(OR('Detalle'!$J187="",'Detalle'!$K187="",'Detalle'!$L187=""),"",IF(AND(H$8&lt;='Detalle'!$K187,H$9&gt;='Detalle'!$J187),1,""))</x:f>
      </x:c>
      <x:c r="I380" s="32" t="str">
        <x:f>IF(OR('Detalle'!$J187="",'Detalle'!$K187="",'Detalle'!$L187=""),"",IF(AND(I$8&lt;='Detalle'!$K187,I$9&gt;='Detalle'!$J187),1,""))</x:f>
      </x:c>
      <x:c r="J380" s="32" t="str">
        <x:f>IF(OR('Detalle'!$J187="",'Detalle'!$K187="",'Detalle'!$L187=""),"",IF(AND(J$8&lt;='Detalle'!$K187,J$9&gt;='Detalle'!$J187),1,""))</x:f>
      </x:c>
      <x:c r="K380" s="32" t="str">
        <x:f>IF(OR('Detalle'!$J187="",'Detalle'!$K187="",'Detalle'!$L187=""),"",IF(AND(K$8&lt;='Detalle'!$K187,K$9&gt;='Detalle'!$J187),1,""))</x:f>
      </x:c>
      <x:c r="L380" s="32" t="str">
        <x:f>IF(OR('Detalle'!$J187="",'Detalle'!$K187="",'Detalle'!$L187=""),"",IF(AND(L$8&lt;='Detalle'!$K187,L$9&gt;='Detalle'!$J187),1,""))</x:f>
      </x:c>
      <x:c r="M380" s="32" t="str">
        <x:f>IF(OR('Detalle'!$J187="",'Detalle'!$K187="",'Detalle'!$L187=""),"",IF(AND(M$8&lt;='Detalle'!$K187,M$9&gt;='Detalle'!$J187),1,""))</x:f>
      </x:c>
      <x:c r="N380" s="32" t="str">
        <x:f>IF(OR('Detalle'!$J187="",'Detalle'!$K187="",'Detalle'!$L187=""),"",IF(AND(N$8&lt;='Detalle'!$K187,N$9&gt;='Detalle'!$J187),1,""))</x:f>
      </x:c>
      <x:c r="O380" s="32" t="str">
        <x:f>IF(OR('Detalle'!$J187="",'Detalle'!$K187="",'Detalle'!$L187=""),"",IF(AND(O$8&lt;='Detalle'!$K187,O$9&gt;='Detalle'!$J187),1,""))</x:f>
      </x:c>
      <x:c r="P380" s="32" t="str">
        <x:f>IF(OR('Detalle'!$J187="",'Detalle'!$K187="",'Detalle'!$L187=""),"",IF(AND(P$8&lt;='Detalle'!$K187,P$9&gt;='Detalle'!$J187),1,""))</x:f>
      </x:c>
      <x:c r="Q380" s="68"/>
      <x:c r="R380" s="67" t="str"/>
      <x:c r="S380" s="67" t="str"/>
    </x:row>
    <x:row r="381" ht="16" customHeight="1">
      <x:c r="A381" s="56" t="str">
        <x:v>COM02.008</x:v>
      </x:c>
      <x:c r="B381" s="57" t="str">
        <x:v>Redondear posición aproximada</x:v>
      </x:c>
      <x:c r="C381" s="62" t="str">
        <x:v>E</x:v>
      </x:c>
      <x:c r="D381" s="64" t="n">
        <x:f>'Detalle'!I188</x:f>
        <x:v>1</x:v>
      </x:c>
      <x:c r="E381" s="60" t="str">
        <x:f>'Detalle'!F188</x:f>
        <x:v>Completado</x:v>
      </x:c>
      <x:c r="F381" s="32" t="str">
        <x:f>IF(AND(F$8&lt;='Detalle'!$H188,F$9&gt;='Detalle'!$G188),1,"")</x:f>
      </x:c>
      <x:c r="G381" s="32" t="str">
        <x:f>IF(AND(G$8&lt;='Detalle'!$H188,G$9&gt;='Detalle'!$G188),1,"")</x:f>
      </x:c>
      <x:c r="H381" s="32" t="n">
        <x:f>IF(AND(H$8&lt;='Detalle'!$H188,H$9&gt;='Detalle'!$G188),1,"")</x:f>
        <x:v>1</x:v>
      </x:c>
      <x:c r="I381" s="32" t="str">
        <x:f>IF(AND(I$8&lt;='Detalle'!$H188,I$9&gt;='Detalle'!$G188),1,"")</x:f>
      </x:c>
      <x:c r="J381" s="32" t="str">
        <x:f>IF(AND(J$8&lt;='Detalle'!$H188,J$9&gt;='Detalle'!$G188),1,"")</x:f>
      </x:c>
      <x:c r="K381" s="32" t="str">
        <x:f>IF(AND(K$8&lt;='Detalle'!$H188,K$9&gt;='Detalle'!$G188),1,"")</x:f>
      </x:c>
      <x:c r="L381" s="32" t="str">
        <x:f>IF(AND(L$8&lt;='Detalle'!$H188,L$9&gt;='Detalle'!$G188),1,"")</x:f>
      </x:c>
      <x:c r="M381" s="32" t="str">
        <x:f>IF(AND(M$8&lt;='Detalle'!$H188,M$9&gt;='Detalle'!$G188),1,"")</x:f>
      </x:c>
      <x:c r="N381" s="32" t="str">
        <x:f>IF(AND(N$8&lt;='Detalle'!$H188,N$9&gt;='Detalle'!$G188),1,"")</x:f>
      </x:c>
      <x:c r="O381" s="32" t="str">
        <x:f>IF(AND(O$8&lt;='Detalle'!$H188,O$9&gt;='Detalle'!$G188),1,"")</x:f>
      </x:c>
      <x:c r="P381" s="32" t="str">
        <x:f>IF(AND(P$8&lt;='Detalle'!$H188,P$9&gt;='Detalle'!$G188),1,"")</x:f>
      </x:c>
      <x:c r="Q381" s="68"/>
      <x:c r="R381" s="67" t="str">
        <x:f>IF('Detalle'!M188="","",'Detalle'!M188)</x:f>
      </x:c>
      <x:c r="S381" s="67" t="str">
        <x:f>IF('Detalle'!N188="","",'Detalle'!N188)</x:f>
      </x:c>
    </x:row>
    <x:row r="382" ht="16" customHeight="1">
      <x:c r="A382" s="56" t="str">
        <x:v>COM02.008</x:v>
      </x:c>
      <x:c r="B382" s="57" t="str">
        <x:v>Redondear posición aproximada</x:v>
      </x:c>
      <x:c r="C382" s="63" t="str">
        <x:v>R</x:v>
      </x:c>
      <x:c r="D382" s="65" t="str">
        <x:f>IF('Detalle'!L188="","",'Detalle'!L188)</x:f>
      </x:c>
      <x:c r="E382" s="60" t="str"/>
      <x:c r="F382" s="32" t="str">
        <x:f>IF(OR('Detalle'!$J188="",'Detalle'!$K188="",'Detalle'!$L188=""),"",IF(AND(F$8&lt;='Detalle'!$K188,F$9&gt;='Detalle'!$J188),1,""))</x:f>
      </x:c>
      <x:c r="G382" s="32" t="str">
        <x:f>IF(OR('Detalle'!$J188="",'Detalle'!$K188="",'Detalle'!$L188=""),"",IF(AND(G$8&lt;='Detalle'!$K188,G$9&gt;='Detalle'!$J188),1,""))</x:f>
      </x:c>
      <x:c r="H382" s="32" t="str">
        <x:f>IF(OR('Detalle'!$J188="",'Detalle'!$K188="",'Detalle'!$L188=""),"",IF(AND(H$8&lt;='Detalle'!$K188,H$9&gt;='Detalle'!$J188),1,""))</x:f>
      </x:c>
      <x:c r="I382" s="32" t="str">
        <x:f>IF(OR('Detalle'!$J188="",'Detalle'!$K188="",'Detalle'!$L188=""),"",IF(AND(I$8&lt;='Detalle'!$K188,I$9&gt;='Detalle'!$J188),1,""))</x:f>
      </x:c>
      <x:c r="J382" s="32" t="str">
        <x:f>IF(OR('Detalle'!$J188="",'Detalle'!$K188="",'Detalle'!$L188=""),"",IF(AND(J$8&lt;='Detalle'!$K188,J$9&gt;='Detalle'!$J188),1,""))</x:f>
      </x:c>
      <x:c r="K382" s="32" t="str">
        <x:f>IF(OR('Detalle'!$J188="",'Detalle'!$K188="",'Detalle'!$L188=""),"",IF(AND(K$8&lt;='Detalle'!$K188,K$9&gt;='Detalle'!$J188),1,""))</x:f>
      </x:c>
      <x:c r="L382" s="32" t="str">
        <x:f>IF(OR('Detalle'!$J188="",'Detalle'!$K188="",'Detalle'!$L188=""),"",IF(AND(L$8&lt;='Detalle'!$K188,L$9&gt;='Detalle'!$J188),1,""))</x:f>
      </x:c>
      <x:c r="M382" s="32" t="str">
        <x:f>IF(OR('Detalle'!$J188="",'Detalle'!$K188="",'Detalle'!$L188=""),"",IF(AND(M$8&lt;='Detalle'!$K188,M$9&gt;='Detalle'!$J188),1,""))</x:f>
      </x:c>
      <x:c r="N382" s="32" t="str">
        <x:f>IF(OR('Detalle'!$J188="",'Detalle'!$K188="",'Detalle'!$L188=""),"",IF(AND(N$8&lt;='Detalle'!$K188,N$9&gt;='Detalle'!$J188),1,""))</x:f>
      </x:c>
      <x:c r="O382" s="32" t="str">
        <x:f>IF(OR('Detalle'!$J188="",'Detalle'!$K188="",'Detalle'!$L188=""),"",IF(AND(O$8&lt;='Detalle'!$K188,O$9&gt;='Detalle'!$J188),1,""))</x:f>
      </x:c>
      <x:c r="P382" s="32" t="str">
        <x:f>IF(OR('Detalle'!$J188="",'Detalle'!$K188="",'Detalle'!$L188=""),"",IF(AND(P$8&lt;='Detalle'!$K188,P$9&gt;='Detalle'!$J188),1,""))</x:f>
      </x:c>
      <x:c r="Q382" s="68"/>
      <x:c r="R382" s="67" t="str"/>
      <x:c r="S382" s="67" t="str"/>
    </x:row>
    <x:row r="383" ht="16" customHeight="1">
      <x:c r="A383" s="56" t="str">
        <x:v>COM02.009</x:v>
      </x:c>
      <x:c r="B383" s="57" t="str">
        <x:v>Confirmar ubicación seleccionada</x:v>
      </x:c>
      <x:c r="C383" s="62" t="str">
        <x:v>E</x:v>
      </x:c>
      <x:c r="D383" s="64" t="n">
        <x:f>'Detalle'!I189</x:f>
        <x:v>1</x:v>
      </x:c>
      <x:c r="E383" s="60" t="str">
        <x:f>'Detalle'!F189</x:f>
        <x:v>Completado</x:v>
      </x:c>
      <x:c r="F383" s="32" t="str">
        <x:f>IF(AND(F$8&lt;='Detalle'!$H189,F$9&gt;='Detalle'!$G189),1,"")</x:f>
      </x:c>
      <x:c r="G383" s="32" t="str">
        <x:f>IF(AND(G$8&lt;='Detalle'!$H189,G$9&gt;='Detalle'!$G189),1,"")</x:f>
      </x:c>
      <x:c r="H383" s="32" t="n">
        <x:f>IF(AND(H$8&lt;='Detalle'!$H189,H$9&gt;='Detalle'!$G189),1,"")</x:f>
        <x:v>1</x:v>
      </x:c>
      <x:c r="I383" s="32" t="str">
        <x:f>IF(AND(I$8&lt;='Detalle'!$H189,I$9&gt;='Detalle'!$G189),1,"")</x:f>
      </x:c>
      <x:c r="J383" s="32" t="str">
        <x:f>IF(AND(J$8&lt;='Detalle'!$H189,J$9&gt;='Detalle'!$G189),1,"")</x:f>
      </x:c>
      <x:c r="K383" s="32" t="str">
        <x:f>IF(AND(K$8&lt;='Detalle'!$H189,K$9&gt;='Detalle'!$G189),1,"")</x:f>
      </x:c>
      <x:c r="L383" s="32" t="str">
        <x:f>IF(AND(L$8&lt;='Detalle'!$H189,L$9&gt;='Detalle'!$G189),1,"")</x:f>
      </x:c>
      <x:c r="M383" s="32" t="str">
        <x:f>IF(AND(M$8&lt;='Detalle'!$H189,M$9&gt;='Detalle'!$G189),1,"")</x:f>
      </x:c>
      <x:c r="N383" s="32" t="str">
        <x:f>IF(AND(N$8&lt;='Detalle'!$H189,N$9&gt;='Detalle'!$G189),1,"")</x:f>
      </x:c>
      <x:c r="O383" s="32" t="str">
        <x:f>IF(AND(O$8&lt;='Detalle'!$H189,O$9&gt;='Detalle'!$G189),1,"")</x:f>
      </x:c>
      <x:c r="P383" s="32" t="str">
        <x:f>IF(AND(P$8&lt;='Detalle'!$H189,P$9&gt;='Detalle'!$G189),1,"")</x:f>
      </x:c>
      <x:c r="Q383" s="68"/>
      <x:c r="R383" s="67" t="str">
        <x:f>IF('Detalle'!M189="","",'Detalle'!M189)</x:f>
      </x:c>
      <x:c r="S383" s="67" t="str">
        <x:f>IF('Detalle'!N189="","",'Detalle'!N189)</x:f>
      </x:c>
    </x:row>
    <x:row r="384" ht="16" customHeight="1">
      <x:c r="A384" s="56" t="str">
        <x:v>COM02.009</x:v>
      </x:c>
      <x:c r="B384" s="57" t="str">
        <x:v>Confirmar ubicación seleccionada</x:v>
      </x:c>
      <x:c r="C384" s="63" t="str">
        <x:v>R</x:v>
      </x:c>
      <x:c r="D384" s="65" t="str">
        <x:f>IF('Detalle'!L189="","",'Detalle'!L189)</x:f>
      </x:c>
      <x:c r="E384" s="60" t="str"/>
      <x:c r="F384" s="32" t="str">
        <x:f>IF(OR('Detalle'!$J189="",'Detalle'!$K189="",'Detalle'!$L189=""),"",IF(AND(F$8&lt;='Detalle'!$K189,F$9&gt;='Detalle'!$J189),1,""))</x:f>
      </x:c>
      <x:c r="G384" s="32" t="str">
        <x:f>IF(OR('Detalle'!$J189="",'Detalle'!$K189="",'Detalle'!$L189=""),"",IF(AND(G$8&lt;='Detalle'!$K189,G$9&gt;='Detalle'!$J189),1,""))</x:f>
      </x:c>
      <x:c r="H384" s="32" t="str">
        <x:f>IF(OR('Detalle'!$J189="",'Detalle'!$K189="",'Detalle'!$L189=""),"",IF(AND(H$8&lt;='Detalle'!$K189,H$9&gt;='Detalle'!$J189),1,""))</x:f>
      </x:c>
      <x:c r="I384" s="32" t="str">
        <x:f>IF(OR('Detalle'!$J189="",'Detalle'!$K189="",'Detalle'!$L189=""),"",IF(AND(I$8&lt;='Detalle'!$K189,I$9&gt;='Detalle'!$J189),1,""))</x:f>
      </x:c>
      <x:c r="J384" s="32" t="str">
        <x:f>IF(OR('Detalle'!$J189="",'Detalle'!$K189="",'Detalle'!$L189=""),"",IF(AND(J$8&lt;='Detalle'!$K189,J$9&gt;='Detalle'!$J189),1,""))</x:f>
      </x:c>
      <x:c r="K384" s="32" t="str">
        <x:f>IF(OR('Detalle'!$J189="",'Detalle'!$K189="",'Detalle'!$L189=""),"",IF(AND(K$8&lt;='Detalle'!$K189,K$9&gt;='Detalle'!$J189),1,""))</x:f>
      </x:c>
      <x:c r="L384" s="32" t="str">
        <x:f>IF(OR('Detalle'!$J189="",'Detalle'!$K189="",'Detalle'!$L189=""),"",IF(AND(L$8&lt;='Detalle'!$K189,L$9&gt;='Detalle'!$J189),1,""))</x:f>
      </x:c>
      <x:c r="M384" s="32" t="str">
        <x:f>IF(OR('Detalle'!$J189="",'Detalle'!$K189="",'Detalle'!$L189=""),"",IF(AND(M$8&lt;='Detalle'!$K189,M$9&gt;='Detalle'!$J189),1,""))</x:f>
      </x:c>
      <x:c r="N384" s="32" t="str">
        <x:f>IF(OR('Detalle'!$J189="",'Detalle'!$K189="",'Detalle'!$L189=""),"",IF(AND(N$8&lt;='Detalle'!$K189,N$9&gt;='Detalle'!$J189),1,""))</x:f>
      </x:c>
      <x:c r="O384" s="32" t="str">
        <x:f>IF(OR('Detalle'!$J189="",'Detalle'!$K189="",'Detalle'!$L189=""),"",IF(AND(O$8&lt;='Detalle'!$K189,O$9&gt;='Detalle'!$J189),1,""))</x:f>
      </x:c>
      <x:c r="P384" s="32" t="str">
        <x:f>IF(OR('Detalle'!$J189="",'Detalle'!$K189="",'Detalle'!$L189=""),"",IF(AND(P$8&lt;='Detalle'!$K189,P$9&gt;='Detalle'!$J189),1,""))</x:f>
      </x:c>
      <x:c r="Q384" s="68"/>
      <x:c r="R384" s="67" t="str"/>
      <x:c r="S384" s="67" t="str"/>
    </x:row>
    <x:row r="385" ht="16" customHeight="1">
      <x:c r="A385" s="56" t="str">
        <x:v>COM02.010</x:v>
      </x:c>
      <x:c r="B385" s="57" t="str">
        <x:v>Retirar ubicación opcional</x:v>
      </x:c>
      <x:c r="C385" s="62" t="str">
        <x:v>E</x:v>
      </x:c>
      <x:c r="D385" s="64" t="n">
        <x:f>'Detalle'!I190</x:f>
        <x:v>1</x:v>
      </x:c>
      <x:c r="E385" s="60" t="str">
        <x:f>'Detalle'!F190</x:f>
        <x:v>Completado</x:v>
      </x:c>
      <x:c r="F385" s="32" t="str">
        <x:f>IF(AND(F$8&lt;='Detalle'!$H190,F$9&gt;='Detalle'!$G190),1,"")</x:f>
      </x:c>
      <x:c r="G385" s="32" t="str">
        <x:f>IF(AND(G$8&lt;='Detalle'!$H190,G$9&gt;='Detalle'!$G190),1,"")</x:f>
      </x:c>
      <x:c r="H385" s="32" t="n">
        <x:f>IF(AND(H$8&lt;='Detalle'!$H190,H$9&gt;='Detalle'!$G190),1,"")</x:f>
        <x:v>1</x:v>
      </x:c>
      <x:c r="I385" s="32" t="str">
        <x:f>IF(AND(I$8&lt;='Detalle'!$H190,I$9&gt;='Detalle'!$G190),1,"")</x:f>
      </x:c>
      <x:c r="J385" s="32" t="str">
        <x:f>IF(AND(J$8&lt;='Detalle'!$H190,J$9&gt;='Detalle'!$G190),1,"")</x:f>
      </x:c>
      <x:c r="K385" s="32" t="str">
        <x:f>IF(AND(K$8&lt;='Detalle'!$H190,K$9&gt;='Detalle'!$G190),1,"")</x:f>
      </x:c>
      <x:c r="L385" s="32" t="str">
        <x:f>IF(AND(L$8&lt;='Detalle'!$H190,L$9&gt;='Detalle'!$G190),1,"")</x:f>
      </x:c>
      <x:c r="M385" s="32" t="str">
        <x:f>IF(AND(M$8&lt;='Detalle'!$H190,M$9&gt;='Detalle'!$G190),1,"")</x:f>
      </x:c>
      <x:c r="N385" s="32" t="str">
        <x:f>IF(AND(N$8&lt;='Detalle'!$H190,N$9&gt;='Detalle'!$G190),1,"")</x:f>
      </x:c>
      <x:c r="O385" s="32" t="str">
        <x:f>IF(AND(O$8&lt;='Detalle'!$H190,O$9&gt;='Detalle'!$G190),1,"")</x:f>
      </x:c>
      <x:c r="P385" s="32" t="str">
        <x:f>IF(AND(P$8&lt;='Detalle'!$H190,P$9&gt;='Detalle'!$G190),1,"")</x:f>
      </x:c>
      <x:c r="Q385" s="68"/>
      <x:c r="R385" s="67" t="str">
        <x:f>IF('Detalle'!M190="","",'Detalle'!M190)</x:f>
      </x:c>
      <x:c r="S385" s="67" t="str">
        <x:f>IF('Detalle'!N190="","",'Detalle'!N190)</x:f>
      </x:c>
    </x:row>
    <x:row r="386" ht="16" customHeight="1">
      <x:c r="A386" s="56" t="str">
        <x:v>COM02.010</x:v>
      </x:c>
      <x:c r="B386" s="57" t="str">
        <x:v>Retirar ubicación opcional</x:v>
      </x:c>
      <x:c r="C386" s="63" t="str">
        <x:v>R</x:v>
      </x:c>
      <x:c r="D386" s="65" t="str">
        <x:f>IF('Detalle'!L190="","",'Detalle'!L190)</x:f>
      </x:c>
      <x:c r="E386" s="60" t="str"/>
      <x:c r="F386" s="32" t="str">
        <x:f>IF(OR('Detalle'!$J190="",'Detalle'!$K190="",'Detalle'!$L190=""),"",IF(AND(F$8&lt;='Detalle'!$K190,F$9&gt;='Detalle'!$J190),1,""))</x:f>
      </x:c>
      <x:c r="G386" s="32" t="str">
        <x:f>IF(OR('Detalle'!$J190="",'Detalle'!$K190="",'Detalle'!$L190=""),"",IF(AND(G$8&lt;='Detalle'!$K190,G$9&gt;='Detalle'!$J190),1,""))</x:f>
      </x:c>
      <x:c r="H386" s="32" t="str">
        <x:f>IF(OR('Detalle'!$J190="",'Detalle'!$K190="",'Detalle'!$L190=""),"",IF(AND(H$8&lt;='Detalle'!$K190,H$9&gt;='Detalle'!$J190),1,""))</x:f>
      </x:c>
      <x:c r="I386" s="32" t="str">
        <x:f>IF(OR('Detalle'!$J190="",'Detalle'!$K190="",'Detalle'!$L190=""),"",IF(AND(I$8&lt;='Detalle'!$K190,I$9&gt;='Detalle'!$J190),1,""))</x:f>
      </x:c>
      <x:c r="J386" s="32" t="str">
        <x:f>IF(OR('Detalle'!$J190="",'Detalle'!$K190="",'Detalle'!$L190=""),"",IF(AND(J$8&lt;='Detalle'!$K190,J$9&gt;='Detalle'!$J190),1,""))</x:f>
      </x:c>
      <x:c r="K386" s="32" t="str">
        <x:f>IF(OR('Detalle'!$J190="",'Detalle'!$K190="",'Detalle'!$L190=""),"",IF(AND(K$8&lt;='Detalle'!$K190,K$9&gt;='Detalle'!$J190),1,""))</x:f>
      </x:c>
      <x:c r="L386" s="32" t="str">
        <x:f>IF(OR('Detalle'!$J190="",'Detalle'!$K190="",'Detalle'!$L190=""),"",IF(AND(L$8&lt;='Detalle'!$K190,L$9&gt;='Detalle'!$J190),1,""))</x:f>
      </x:c>
      <x:c r="M386" s="32" t="str">
        <x:f>IF(OR('Detalle'!$J190="",'Detalle'!$K190="",'Detalle'!$L190=""),"",IF(AND(M$8&lt;='Detalle'!$K190,M$9&gt;='Detalle'!$J190),1,""))</x:f>
      </x:c>
      <x:c r="N386" s="32" t="str">
        <x:f>IF(OR('Detalle'!$J190="",'Detalle'!$K190="",'Detalle'!$L190=""),"",IF(AND(N$8&lt;='Detalle'!$K190,N$9&gt;='Detalle'!$J190),1,""))</x:f>
      </x:c>
      <x:c r="O386" s="32" t="str">
        <x:f>IF(OR('Detalle'!$J190="",'Detalle'!$K190="",'Detalle'!$L190=""),"",IF(AND(O$8&lt;='Detalle'!$K190,O$9&gt;='Detalle'!$J190),1,""))</x:f>
      </x:c>
      <x:c r="P386" s="32" t="str">
        <x:f>IF(OR('Detalle'!$J190="",'Detalle'!$K190="",'Detalle'!$L190=""),"",IF(AND(P$8&lt;='Detalle'!$K190,P$9&gt;='Detalle'!$J190),1,""))</x:f>
      </x:c>
      <x:c r="Q386" s="68"/>
      <x:c r="R386" s="67" t="str"/>
      <x:c r="S386" s="67" t="str"/>
    </x:row>
    <x:row r="387" ht="16" customHeight="1">
      <x:c r="A387" s="56" t="str">
        <x:v>COM02.011</x:v>
      </x:c>
      <x:c r="B387" s="57" t="str">
        <x:v>Mostrar ubicación guardada</x:v>
      </x:c>
      <x:c r="C387" s="62" t="str">
        <x:v>E</x:v>
      </x:c>
      <x:c r="D387" s="64" t="n">
        <x:f>'Detalle'!I191</x:f>
        <x:v>1</x:v>
      </x:c>
      <x:c r="E387" s="60" t="str">
        <x:f>'Detalle'!F191</x:f>
        <x:v>Completado</x:v>
      </x:c>
      <x:c r="F387" s="32" t="str">
        <x:f>IF(AND(F$8&lt;='Detalle'!$H191,F$9&gt;='Detalle'!$G191),1,"")</x:f>
      </x:c>
      <x:c r="G387" s="32" t="str">
        <x:f>IF(AND(G$8&lt;='Detalle'!$H191,G$9&gt;='Detalle'!$G191),1,"")</x:f>
      </x:c>
      <x:c r="H387" s="32" t="n">
        <x:f>IF(AND(H$8&lt;='Detalle'!$H191,H$9&gt;='Detalle'!$G191),1,"")</x:f>
        <x:v>1</x:v>
      </x:c>
      <x:c r="I387" s="32" t="str">
        <x:f>IF(AND(I$8&lt;='Detalle'!$H191,I$9&gt;='Detalle'!$G191),1,"")</x:f>
      </x:c>
      <x:c r="J387" s="32" t="str">
        <x:f>IF(AND(J$8&lt;='Detalle'!$H191,J$9&gt;='Detalle'!$G191),1,"")</x:f>
      </x:c>
      <x:c r="K387" s="32" t="str">
        <x:f>IF(AND(K$8&lt;='Detalle'!$H191,K$9&gt;='Detalle'!$G191),1,"")</x:f>
      </x:c>
      <x:c r="L387" s="32" t="str">
        <x:f>IF(AND(L$8&lt;='Detalle'!$H191,L$9&gt;='Detalle'!$G191),1,"")</x:f>
      </x:c>
      <x:c r="M387" s="32" t="str">
        <x:f>IF(AND(M$8&lt;='Detalle'!$H191,M$9&gt;='Detalle'!$G191),1,"")</x:f>
      </x:c>
      <x:c r="N387" s="32" t="str">
        <x:f>IF(AND(N$8&lt;='Detalle'!$H191,N$9&gt;='Detalle'!$G191),1,"")</x:f>
      </x:c>
      <x:c r="O387" s="32" t="str">
        <x:f>IF(AND(O$8&lt;='Detalle'!$H191,O$9&gt;='Detalle'!$G191),1,"")</x:f>
      </x:c>
      <x:c r="P387" s="32" t="str">
        <x:f>IF(AND(P$8&lt;='Detalle'!$H191,P$9&gt;='Detalle'!$G191),1,"")</x:f>
      </x:c>
      <x:c r="Q387" s="68"/>
      <x:c r="R387" s="67" t="str">
        <x:f>IF('Detalle'!M191="","",'Detalle'!M191)</x:f>
      </x:c>
      <x:c r="S387" s="67" t="str">
        <x:f>IF('Detalle'!N191="","",'Detalle'!N191)</x:f>
      </x:c>
    </x:row>
    <x:row r="388" ht="16" customHeight="1">
      <x:c r="A388" s="56" t="str">
        <x:v>COM02.011</x:v>
      </x:c>
      <x:c r="B388" s="57" t="str">
        <x:v>Mostrar ubicación guardada</x:v>
      </x:c>
      <x:c r="C388" s="63" t="str">
        <x:v>R</x:v>
      </x:c>
      <x:c r="D388" s="65" t="str">
        <x:f>IF('Detalle'!L191="","",'Detalle'!L191)</x:f>
      </x:c>
      <x:c r="E388" s="60" t="str"/>
      <x:c r="F388" s="32" t="str">
        <x:f>IF(OR('Detalle'!$J191="",'Detalle'!$K191="",'Detalle'!$L191=""),"",IF(AND(F$8&lt;='Detalle'!$K191,F$9&gt;='Detalle'!$J191),1,""))</x:f>
      </x:c>
      <x:c r="G388" s="32" t="str">
        <x:f>IF(OR('Detalle'!$J191="",'Detalle'!$K191="",'Detalle'!$L191=""),"",IF(AND(G$8&lt;='Detalle'!$K191,G$9&gt;='Detalle'!$J191),1,""))</x:f>
      </x:c>
      <x:c r="H388" s="32" t="str">
        <x:f>IF(OR('Detalle'!$J191="",'Detalle'!$K191="",'Detalle'!$L191=""),"",IF(AND(H$8&lt;='Detalle'!$K191,H$9&gt;='Detalle'!$J191),1,""))</x:f>
      </x:c>
      <x:c r="I388" s="32" t="str">
        <x:f>IF(OR('Detalle'!$J191="",'Detalle'!$K191="",'Detalle'!$L191=""),"",IF(AND(I$8&lt;='Detalle'!$K191,I$9&gt;='Detalle'!$J191),1,""))</x:f>
      </x:c>
      <x:c r="J388" s="32" t="str">
        <x:f>IF(OR('Detalle'!$J191="",'Detalle'!$K191="",'Detalle'!$L191=""),"",IF(AND(J$8&lt;='Detalle'!$K191,J$9&gt;='Detalle'!$J191),1,""))</x:f>
      </x:c>
      <x:c r="K388" s="32" t="str">
        <x:f>IF(OR('Detalle'!$J191="",'Detalle'!$K191="",'Detalle'!$L191=""),"",IF(AND(K$8&lt;='Detalle'!$K191,K$9&gt;='Detalle'!$J191),1,""))</x:f>
      </x:c>
      <x:c r="L388" s="32" t="str">
        <x:f>IF(OR('Detalle'!$J191="",'Detalle'!$K191="",'Detalle'!$L191=""),"",IF(AND(L$8&lt;='Detalle'!$K191,L$9&gt;='Detalle'!$J191),1,""))</x:f>
      </x:c>
      <x:c r="M388" s="32" t="str">
        <x:f>IF(OR('Detalle'!$J191="",'Detalle'!$K191="",'Detalle'!$L191=""),"",IF(AND(M$8&lt;='Detalle'!$K191,M$9&gt;='Detalle'!$J191),1,""))</x:f>
      </x:c>
      <x:c r="N388" s="32" t="str">
        <x:f>IF(OR('Detalle'!$J191="",'Detalle'!$K191="",'Detalle'!$L191=""),"",IF(AND(N$8&lt;='Detalle'!$K191,N$9&gt;='Detalle'!$J191),1,""))</x:f>
      </x:c>
      <x:c r="O388" s="32" t="str">
        <x:f>IF(OR('Detalle'!$J191="",'Detalle'!$K191="",'Detalle'!$L191=""),"",IF(AND(O$8&lt;='Detalle'!$K191,O$9&gt;='Detalle'!$J191),1,""))</x:f>
      </x:c>
      <x:c r="P388" s="32" t="str">
        <x:f>IF(OR('Detalle'!$J191="",'Detalle'!$K191="",'Detalle'!$L191=""),"",IF(AND(P$8&lt;='Detalle'!$K191,P$9&gt;='Detalle'!$J191),1,""))</x:f>
      </x:c>
      <x:c r="Q388" s="68"/>
      <x:c r="R388" s="67" t="str"/>
      <x:c r="S388" s="67" t="str"/>
    </x:row>
    <x:row r="389" ht="16" customHeight="1">
      <x:c r="A389" s="56" t="str">
        <x:v>COM02.012</x:v>
      </x:c>
      <x:c r="B389" s="57" t="str">
        <x:v>Configurar permisos Android y web</x:v>
      </x:c>
      <x:c r="C389" s="62" t="str">
        <x:v>E</x:v>
      </x:c>
      <x:c r="D389" s="64" t="n">
        <x:f>'Detalle'!I192</x:f>
        <x:v>1</x:v>
      </x:c>
      <x:c r="E389" s="60" t="str">
        <x:f>'Detalle'!F192</x:f>
        <x:v>Completado</x:v>
      </x:c>
      <x:c r="F389" s="32" t="str">
        <x:f>IF(AND(F$8&lt;='Detalle'!$H192,F$9&gt;='Detalle'!$G192),1,"")</x:f>
      </x:c>
      <x:c r="G389" s="32" t="str">
        <x:f>IF(AND(G$8&lt;='Detalle'!$H192,G$9&gt;='Detalle'!$G192),1,"")</x:f>
      </x:c>
      <x:c r="H389" s="32" t="n">
        <x:f>IF(AND(H$8&lt;='Detalle'!$H192,H$9&gt;='Detalle'!$G192),1,"")</x:f>
        <x:v>1</x:v>
      </x:c>
      <x:c r="I389" s="32" t="str">
        <x:f>IF(AND(I$8&lt;='Detalle'!$H192,I$9&gt;='Detalle'!$G192),1,"")</x:f>
      </x:c>
      <x:c r="J389" s="32" t="str">
        <x:f>IF(AND(J$8&lt;='Detalle'!$H192,J$9&gt;='Detalle'!$G192),1,"")</x:f>
      </x:c>
      <x:c r="K389" s="32" t="str">
        <x:f>IF(AND(K$8&lt;='Detalle'!$H192,K$9&gt;='Detalle'!$G192),1,"")</x:f>
      </x:c>
      <x:c r="L389" s="32" t="str">
        <x:f>IF(AND(L$8&lt;='Detalle'!$H192,L$9&gt;='Detalle'!$G192),1,"")</x:f>
      </x:c>
      <x:c r="M389" s="32" t="str">
        <x:f>IF(AND(M$8&lt;='Detalle'!$H192,M$9&gt;='Detalle'!$G192),1,"")</x:f>
      </x:c>
      <x:c r="N389" s="32" t="str">
        <x:f>IF(AND(N$8&lt;='Detalle'!$H192,N$9&gt;='Detalle'!$G192),1,"")</x:f>
      </x:c>
      <x:c r="O389" s="32" t="str">
        <x:f>IF(AND(O$8&lt;='Detalle'!$H192,O$9&gt;='Detalle'!$G192),1,"")</x:f>
      </x:c>
      <x:c r="P389" s="32" t="str">
        <x:f>IF(AND(P$8&lt;='Detalle'!$H192,P$9&gt;='Detalle'!$G192),1,"")</x:f>
      </x:c>
      <x:c r="Q389" s="68"/>
      <x:c r="R389" s="67" t="str">
        <x:f>IF('Detalle'!M192="","",'Detalle'!M192)</x:f>
      </x:c>
      <x:c r="S389" s="67" t="str">
        <x:f>IF('Detalle'!N192="","",'Detalle'!N192)</x:f>
      </x:c>
    </x:row>
    <x:row r="390" ht="16" customHeight="1">
      <x:c r="A390" s="56" t="str">
        <x:v>COM02.012</x:v>
      </x:c>
      <x:c r="B390" s="57" t="str">
        <x:v>Configurar permisos Android y web</x:v>
      </x:c>
      <x:c r="C390" s="63" t="str">
        <x:v>R</x:v>
      </x:c>
      <x:c r="D390" s="65" t="str">
        <x:f>IF('Detalle'!L192="","",'Detalle'!L192)</x:f>
      </x:c>
      <x:c r="E390" s="60" t="str"/>
      <x:c r="F390" s="32" t="str">
        <x:f>IF(OR('Detalle'!$J192="",'Detalle'!$K192="",'Detalle'!$L192=""),"",IF(AND(F$8&lt;='Detalle'!$K192,F$9&gt;='Detalle'!$J192),1,""))</x:f>
      </x:c>
      <x:c r="G390" s="32" t="str">
        <x:f>IF(OR('Detalle'!$J192="",'Detalle'!$K192="",'Detalle'!$L192=""),"",IF(AND(G$8&lt;='Detalle'!$K192,G$9&gt;='Detalle'!$J192),1,""))</x:f>
      </x:c>
      <x:c r="H390" s="32" t="str">
        <x:f>IF(OR('Detalle'!$J192="",'Detalle'!$K192="",'Detalle'!$L192=""),"",IF(AND(H$8&lt;='Detalle'!$K192,H$9&gt;='Detalle'!$J192),1,""))</x:f>
      </x:c>
      <x:c r="I390" s="32" t="str">
        <x:f>IF(OR('Detalle'!$J192="",'Detalle'!$K192="",'Detalle'!$L192=""),"",IF(AND(I$8&lt;='Detalle'!$K192,I$9&gt;='Detalle'!$J192),1,""))</x:f>
      </x:c>
      <x:c r="J390" s="32" t="str">
        <x:f>IF(OR('Detalle'!$J192="",'Detalle'!$K192="",'Detalle'!$L192=""),"",IF(AND(J$8&lt;='Detalle'!$K192,J$9&gt;='Detalle'!$J192),1,""))</x:f>
      </x:c>
      <x:c r="K390" s="32" t="str">
        <x:f>IF(OR('Detalle'!$J192="",'Detalle'!$K192="",'Detalle'!$L192=""),"",IF(AND(K$8&lt;='Detalle'!$K192,K$9&gt;='Detalle'!$J192),1,""))</x:f>
      </x:c>
      <x:c r="L390" s="32" t="str">
        <x:f>IF(OR('Detalle'!$J192="",'Detalle'!$K192="",'Detalle'!$L192=""),"",IF(AND(L$8&lt;='Detalle'!$K192,L$9&gt;='Detalle'!$J192),1,""))</x:f>
      </x:c>
      <x:c r="M390" s="32" t="str">
        <x:f>IF(OR('Detalle'!$J192="",'Detalle'!$K192="",'Detalle'!$L192=""),"",IF(AND(M$8&lt;='Detalle'!$K192,M$9&gt;='Detalle'!$J192),1,""))</x:f>
      </x:c>
      <x:c r="N390" s="32" t="str">
        <x:f>IF(OR('Detalle'!$J192="",'Detalle'!$K192="",'Detalle'!$L192=""),"",IF(AND(N$8&lt;='Detalle'!$K192,N$9&gt;='Detalle'!$J192),1,""))</x:f>
      </x:c>
      <x:c r="O390" s="32" t="str">
        <x:f>IF(OR('Detalle'!$J192="",'Detalle'!$K192="",'Detalle'!$L192=""),"",IF(AND(O$8&lt;='Detalle'!$K192,O$9&gt;='Detalle'!$J192),1,""))</x:f>
      </x:c>
      <x:c r="P390" s="32" t="str">
        <x:f>IF(OR('Detalle'!$J192="",'Detalle'!$K192="",'Detalle'!$L192=""),"",IF(AND(P$8&lt;='Detalle'!$K192,P$9&gt;='Detalle'!$J192),1,""))</x:f>
      </x:c>
      <x:c r="Q390" s="68"/>
      <x:c r="R390" s="67" t="str"/>
      <x:c r="S390" s="67" t="str"/>
    </x:row>
    <x:row r="391" ht="20" customHeight="1">
      <x:c r="A391" s="52" t="str">
        <x:v>MIS01 · Primer flujo y ciclo de vida de misiones</x:v>
      </x:c>
      <x:c r="B391" s="52" t="str">
        <x:v>MIS01 · Primer flujo y ciclo de vida de misiones</x:v>
      </x:c>
      <x:c r="C391" s="52" t="str">
        <x:v>MIS01 · Primer flujo y ciclo de vida de misiones</x:v>
      </x:c>
      <x:c r="D391" s="52" t="str">
        <x:v>MIS01 · Primer flujo y ciclo de vida de misiones</x:v>
      </x:c>
      <x:c r="E391" s="52" t="str">
        <x:v>MIS01 · Primer flujo y ciclo de vida de misiones</x:v>
      </x:c>
      <x:c r="F391" s="53" t="str">
        <x:v>MIS01 · Primer flujo y ciclo de vida de misiones</x:v>
      </x:c>
      <x:c r="G391" s="53" t="str">
        <x:v>MIS01 · Primer flujo y ciclo de vida de misiones</x:v>
      </x:c>
      <x:c r="H391" s="53" t="str">
        <x:v>MIS01 · Primer flujo y ciclo de vida de misiones</x:v>
      </x:c>
      <x:c r="I391" s="53" t="str">
        <x:v>MIS01 · Primer flujo y ciclo de vida de misiones</x:v>
      </x:c>
      <x:c r="J391" s="53" t="str">
        <x:v>MIS01 · Primer flujo y ciclo de vida de misiones</x:v>
      </x:c>
      <x:c r="K391" s="53" t="str">
        <x:v>MIS01 · Primer flujo y ciclo de vida de misiones</x:v>
      </x:c>
      <x:c r="L391" s="53" t="str">
        <x:v>MIS01 · Primer flujo y ciclo de vida de misiones</x:v>
      </x:c>
      <x:c r="M391" s="53" t="str">
        <x:v>MIS01 · Primer flujo y ciclo de vida de misiones</x:v>
      </x:c>
      <x:c r="N391" s="53" t="str">
        <x:v>MIS01 · Primer flujo y ciclo de vida de misiones</x:v>
      </x:c>
      <x:c r="O391" s="53" t="str">
        <x:v>MIS01 · Primer flujo y ciclo de vida de misiones</x:v>
      </x:c>
      <x:c r="P391" s="53" t="str">
        <x:v>MIS01 · Primer flujo y ciclo de vida de misiones</x:v>
      </x:c>
      <x:c r="Q391" s="52" t="str">
        <x:v>MIS01 · Primer flujo y ciclo de vida de misiones</x:v>
      </x:c>
      <x:c r="R391" s="52" t="str">
        <x:v>MIS01 · Primer flujo y ciclo de vida de misiones</x:v>
      </x:c>
      <x:c r="S391" s="52" t="str">
        <x:v>MIS01 · Primer flujo y ciclo de vida de misiones</x:v>
      </x:c>
    </x:row>
    <x:row r="392" ht="16" customHeight="1">
      <x:c r="A392" s="56" t="str">
        <x:v>MIS01.001</x:v>
      </x:c>
      <x:c r="B392" s="57" t="str">
        <x:v>Crear entidades de misión y candidatura</x:v>
      </x:c>
      <x:c r="C392" s="62" t="str">
        <x:v>E</x:v>
      </x:c>
      <x:c r="D392" s="64" t="n">
        <x:f>'Detalle'!I193</x:f>
        <x:v>1</x:v>
      </x:c>
      <x:c r="E392" s="60" t="str">
        <x:f>'Detalle'!F193</x:f>
        <x:v>Completado</x:v>
      </x:c>
      <x:c r="F392" s="32" t="str">
        <x:f>IF(AND(F$8&lt;='Detalle'!$H193,F$9&gt;='Detalle'!$G193),1,"")</x:f>
      </x:c>
      <x:c r="G392" s="32" t="str">
        <x:f>IF(AND(G$8&lt;='Detalle'!$H193,G$9&gt;='Detalle'!$G193),1,"")</x:f>
      </x:c>
      <x:c r="H392" s="32" t="n">
        <x:f>IF(AND(H$8&lt;='Detalle'!$H193,H$9&gt;='Detalle'!$G193),1,"")</x:f>
        <x:v>1</x:v>
      </x:c>
      <x:c r="I392" s="32" t="str">
        <x:f>IF(AND(I$8&lt;='Detalle'!$H193,I$9&gt;='Detalle'!$G193),1,"")</x:f>
      </x:c>
      <x:c r="J392" s="32" t="str">
        <x:f>IF(AND(J$8&lt;='Detalle'!$H193,J$9&gt;='Detalle'!$G193),1,"")</x:f>
      </x:c>
      <x:c r="K392" s="32" t="str">
        <x:f>IF(AND(K$8&lt;='Detalle'!$H193,K$9&gt;='Detalle'!$G193),1,"")</x:f>
      </x:c>
      <x:c r="L392" s="32" t="str">
        <x:f>IF(AND(L$8&lt;='Detalle'!$H193,L$9&gt;='Detalle'!$G193),1,"")</x:f>
      </x:c>
      <x:c r="M392" s="32" t="str">
        <x:f>IF(AND(M$8&lt;='Detalle'!$H193,M$9&gt;='Detalle'!$G193),1,"")</x:f>
      </x:c>
      <x:c r="N392" s="32" t="str">
        <x:f>IF(AND(N$8&lt;='Detalle'!$H193,N$9&gt;='Detalle'!$G193),1,"")</x:f>
      </x:c>
      <x:c r="O392" s="32" t="str">
        <x:f>IF(AND(O$8&lt;='Detalle'!$H193,O$9&gt;='Detalle'!$G193),1,"")</x:f>
      </x:c>
      <x:c r="P392" s="32" t="str">
        <x:f>IF(AND(P$8&lt;='Detalle'!$H193,P$9&gt;='Detalle'!$G193),1,"")</x:f>
      </x:c>
      <x:c r="Q392" s="68"/>
      <x:c r="R392" s="67" t="str">
        <x:f>IF('Detalle'!M193="","",'Detalle'!M193)</x:f>
      </x:c>
      <x:c r="S392" s="67" t="str">
        <x:f>IF('Detalle'!N193="","",'Detalle'!N193)</x:f>
      </x:c>
    </x:row>
    <x:row r="393" ht="16" customHeight="1">
      <x:c r="A393" s="56" t="str">
        <x:v>MIS01.001</x:v>
      </x:c>
      <x:c r="B393" s="57" t="str">
        <x:v>Crear entidades de misión y candidatura</x:v>
      </x:c>
      <x:c r="C393" s="63" t="str">
        <x:v>R</x:v>
      </x:c>
      <x:c r="D393" s="65" t="str">
        <x:f>IF('Detalle'!L193="","",'Detalle'!L193)</x:f>
      </x:c>
      <x:c r="E393" s="60" t="str"/>
      <x:c r="F393" s="32" t="str">
        <x:f>IF(OR('Detalle'!$J193="",'Detalle'!$K193="",'Detalle'!$L193=""),"",IF(AND(F$8&lt;='Detalle'!$K193,F$9&gt;='Detalle'!$J193),1,""))</x:f>
      </x:c>
      <x:c r="G393" s="32" t="str">
        <x:f>IF(OR('Detalle'!$J193="",'Detalle'!$K193="",'Detalle'!$L193=""),"",IF(AND(G$8&lt;='Detalle'!$K193,G$9&gt;='Detalle'!$J193),1,""))</x:f>
      </x:c>
      <x:c r="H393" s="32" t="str">
        <x:f>IF(OR('Detalle'!$J193="",'Detalle'!$K193="",'Detalle'!$L193=""),"",IF(AND(H$8&lt;='Detalle'!$K193,H$9&gt;='Detalle'!$J193),1,""))</x:f>
      </x:c>
      <x:c r="I393" s="32" t="str">
        <x:f>IF(OR('Detalle'!$J193="",'Detalle'!$K193="",'Detalle'!$L193=""),"",IF(AND(I$8&lt;='Detalle'!$K193,I$9&gt;='Detalle'!$J193),1,""))</x:f>
      </x:c>
      <x:c r="J393" s="32" t="str">
        <x:f>IF(OR('Detalle'!$J193="",'Detalle'!$K193="",'Detalle'!$L193=""),"",IF(AND(J$8&lt;='Detalle'!$K193,J$9&gt;='Detalle'!$J193),1,""))</x:f>
      </x:c>
      <x:c r="K393" s="32" t="str">
        <x:f>IF(OR('Detalle'!$J193="",'Detalle'!$K193="",'Detalle'!$L193=""),"",IF(AND(K$8&lt;='Detalle'!$K193,K$9&gt;='Detalle'!$J193),1,""))</x:f>
      </x:c>
      <x:c r="L393" s="32" t="str">
        <x:f>IF(OR('Detalle'!$J193="",'Detalle'!$K193="",'Detalle'!$L193=""),"",IF(AND(L$8&lt;='Detalle'!$K193,L$9&gt;='Detalle'!$J193),1,""))</x:f>
      </x:c>
      <x:c r="M393" s="32" t="str">
        <x:f>IF(OR('Detalle'!$J193="",'Detalle'!$K193="",'Detalle'!$L193=""),"",IF(AND(M$8&lt;='Detalle'!$K193,M$9&gt;='Detalle'!$J193),1,""))</x:f>
      </x:c>
      <x:c r="N393" s="32" t="str">
        <x:f>IF(OR('Detalle'!$J193="",'Detalle'!$K193="",'Detalle'!$L193=""),"",IF(AND(N$8&lt;='Detalle'!$K193,N$9&gt;='Detalle'!$J193),1,""))</x:f>
      </x:c>
      <x:c r="O393" s="32" t="str">
        <x:f>IF(OR('Detalle'!$J193="",'Detalle'!$K193="",'Detalle'!$L193=""),"",IF(AND(O$8&lt;='Detalle'!$K193,O$9&gt;='Detalle'!$J193),1,""))</x:f>
      </x:c>
      <x:c r="P393" s="32" t="str">
        <x:f>IF(OR('Detalle'!$J193="",'Detalle'!$K193="",'Detalle'!$L193=""),"",IF(AND(P$8&lt;='Detalle'!$K193,P$9&gt;='Detalle'!$J193),1,""))</x:f>
      </x:c>
      <x:c r="Q393" s="68"/>
      <x:c r="R393" s="67" t="str"/>
      <x:c r="S393" s="67" t="str"/>
    </x:row>
    <x:row r="394" ht="16" customHeight="1">
      <x:c r="A394" s="56" t="str">
        <x:v>MIS01.002</x:v>
      </x:c>
      <x:c r="B394" s="57" t="str">
        <x:v>Crear formulario inicial de misión</x:v>
      </x:c>
      <x:c r="C394" s="62" t="str">
        <x:v>E</x:v>
      </x:c>
      <x:c r="D394" s="64" t="n">
        <x:f>'Detalle'!I194</x:f>
        <x:v>1</x:v>
      </x:c>
      <x:c r="E394" s="60" t="str">
        <x:f>'Detalle'!F194</x:f>
        <x:v>Completado</x:v>
      </x:c>
      <x:c r="F394" s="32" t="str">
        <x:f>IF(AND(F$8&lt;='Detalle'!$H194,F$9&gt;='Detalle'!$G194),1,"")</x:f>
      </x:c>
      <x:c r="G394" s="32" t="str">
        <x:f>IF(AND(G$8&lt;='Detalle'!$H194,G$9&gt;='Detalle'!$G194),1,"")</x:f>
      </x:c>
      <x:c r="H394" s="32" t="n">
        <x:f>IF(AND(H$8&lt;='Detalle'!$H194,H$9&gt;='Detalle'!$G194),1,"")</x:f>
        <x:v>1</x:v>
      </x:c>
      <x:c r="I394" s="32" t="str">
        <x:f>IF(AND(I$8&lt;='Detalle'!$H194,I$9&gt;='Detalle'!$G194),1,"")</x:f>
      </x:c>
      <x:c r="J394" s="32" t="str">
        <x:f>IF(AND(J$8&lt;='Detalle'!$H194,J$9&gt;='Detalle'!$G194),1,"")</x:f>
      </x:c>
      <x:c r="K394" s="32" t="str">
        <x:f>IF(AND(K$8&lt;='Detalle'!$H194,K$9&gt;='Detalle'!$G194),1,"")</x:f>
      </x:c>
      <x:c r="L394" s="32" t="str">
        <x:f>IF(AND(L$8&lt;='Detalle'!$H194,L$9&gt;='Detalle'!$G194),1,"")</x:f>
      </x:c>
      <x:c r="M394" s="32" t="str">
        <x:f>IF(AND(M$8&lt;='Detalle'!$H194,M$9&gt;='Detalle'!$G194),1,"")</x:f>
      </x:c>
      <x:c r="N394" s="32" t="str">
        <x:f>IF(AND(N$8&lt;='Detalle'!$H194,N$9&gt;='Detalle'!$G194),1,"")</x:f>
      </x:c>
      <x:c r="O394" s="32" t="str">
        <x:f>IF(AND(O$8&lt;='Detalle'!$H194,O$9&gt;='Detalle'!$G194),1,"")</x:f>
      </x:c>
      <x:c r="P394" s="32" t="str">
        <x:f>IF(AND(P$8&lt;='Detalle'!$H194,P$9&gt;='Detalle'!$G194),1,"")</x:f>
      </x:c>
      <x:c r="Q394" s="68"/>
      <x:c r="R394" s="67" t="str">
        <x:f>IF('Detalle'!M194="","",'Detalle'!M194)</x:f>
      </x:c>
      <x:c r="S394" s="67" t="str">
        <x:f>IF('Detalle'!N194="","",'Detalle'!N194)</x:f>
      </x:c>
    </x:row>
    <x:row r="395" ht="16" customHeight="1">
      <x:c r="A395" s="56" t="str">
        <x:v>MIS01.002</x:v>
      </x:c>
      <x:c r="B395" s="57" t="str">
        <x:v>Crear formulario inicial de misión</x:v>
      </x:c>
      <x:c r="C395" s="63" t="str">
        <x:v>R</x:v>
      </x:c>
      <x:c r="D395" s="65" t="str">
        <x:f>IF('Detalle'!L194="","",'Detalle'!L194)</x:f>
      </x:c>
      <x:c r="E395" s="60" t="str"/>
      <x:c r="F395" s="32" t="str">
        <x:f>IF(OR('Detalle'!$J194="",'Detalle'!$K194="",'Detalle'!$L194=""),"",IF(AND(F$8&lt;='Detalle'!$K194,F$9&gt;='Detalle'!$J194),1,""))</x:f>
      </x:c>
      <x:c r="G395" s="32" t="str">
        <x:f>IF(OR('Detalle'!$J194="",'Detalle'!$K194="",'Detalle'!$L194=""),"",IF(AND(G$8&lt;='Detalle'!$K194,G$9&gt;='Detalle'!$J194),1,""))</x:f>
      </x:c>
      <x:c r="H395" s="32" t="str">
        <x:f>IF(OR('Detalle'!$J194="",'Detalle'!$K194="",'Detalle'!$L194=""),"",IF(AND(H$8&lt;='Detalle'!$K194,H$9&gt;='Detalle'!$J194),1,""))</x:f>
      </x:c>
      <x:c r="I395" s="32" t="str">
        <x:f>IF(OR('Detalle'!$J194="",'Detalle'!$K194="",'Detalle'!$L194=""),"",IF(AND(I$8&lt;='Detalle'!$K194,I$9&gt;='Detalle'!$J194),1,""))</x:f>
      </x:c>
      <x:c r="J395" s="32" t="str">
        <x:f>IF(OR('Detalle'!$J194="",'Detalle'!$K194="",'Detalle'!$L194=""),"",IF(AND(J$8&lt;='Detalle'!$K194,J$9&gt;='Detalle'!$J194),1,""))</x:f>
      </x:c>
      <x:c r="K395" s="32" t="str">
        <x:f>IF(OR('Detalle'!$J194="",'Detalle'!$K194="",'Detalle'!$L194=""),"",IF(AND(K$8&lt;='Detalle'!$K194,K$9&gt;='Detalle'!$J194),1,""))</x:f>
      </x:c>
      <x:c r="L395" s="32" t="str">
        <x:f>IF(OR('Detalle'!$J194="",'Detalle'!$K194="",'Detalle'!$L194=""),"",IF(AND(L$8&lt;='Detalle'!$K194,L$9&gt;='Detalle'!$J194),1,""))</x:f>
      </x:c>
      <x:c r="M395" s="32" t="str">
        <x:f>IF(OR('Detalle'!$J194="",'Detalle'!$K194="",'Detalle'!$L194=""),"",IF(AND(M$8&lt;='Detalle'!$K194,M$9&gt;='Detalle'!$J194),1,""))</x:f>
      </x:c>
      <x:c r="N395" s="32" t="str">
        <x:f>IF(OR('Detalle'!$J194="",'Detalle'!$K194="",'Detalle'!$L194=""),"",IF(AND(N$8&lt;='Detalle'!$K194,N$9&gt;='Detalle'!$J194),1,""))</x:f>
      </x:c>
      <x:c r="O395" s="32" t="str">
        <x:f>IF(OR('Detalle'!$J194="",'Detalle'!$K194="",'Detalle'!$L194=""),"",IF(AND(O$8&lt;='Detalle'!$K194,O$9&gt;='Detalle'!$J194),1,""))</x:f>
      </x:c>
      <x:c r="P395" s="32" t="str">
        <x:f>IF(OR('Detalle'!$J194="",'Detalle'!$K194="",'Detalle'!$L194=""),"",IF(AND(P$8&lt;='Detalle'!$K194,P$9&gt;='Detalle'!$J194),1,""))</x:f>
      </x:c>
      <x:c r="Q395" s="68"/>
      <x:c r="R395" s="67" t="str"/>
      <x:c r="S395" s="67" t="str"/>
    </x:row>
    <x:row r="396" ht="16" customHeight="1">
      <x:c r="A396" s="56" t="str">
        <x:v>MIS01.003</x:v>
      </x:c>
      <x:c r="B396" s="57" t="str">
        <x:v>Crear listado inicial de misiones</x:v>
      </x:c>
      <x:c r="C396" s="62" t="str">
        <x:v>E</x:v>
      </x:c>
      <x:c r="D396" s="64" t="n">
        <x:f>'Detalle'!I195</x:f>
        <x:v>1</x:v>
      </x:c>
      <x:c r="E396" s="60" t="str">
        <x:f>'Detalle'!F195</x:f>
        <x:v>Completado</x:v>
      </x:c>
      <x:c r="F396" s="32" t="str">
        <x:f>IF(AND(F$8&lt;='Detalle'!$H195,F$9&gt;='Detalle'!$G195),1,"")</x:f>
      </x:c>
      <x:c r="G396" s="32" t="str">
        <x:f>IF(AND(G$8&lt;='Detalle'!$H195,G$9&gt;='Detalle'!$G195),1,"")</x:f>
      </x:c>
      <x:c r="H396" s="32" t="n">
        <x:f>IF(AND(H$8&lt;='Detalle'!$H195,H$9&gt;='Detalle'!$G195),1,"")</x:f>
        <x:v>1</x:v>
      </x:c>
      <x:c r="I396" s="32" t="str">
        <x:f>IF(AND(I$8&lt;='Detalle'!$H195,I$9&gt;='Detalle'!$G195),1,"")</x:f>
      </x:c>
      <x:c r="J396" s="32" t="str">
        <x:f>IF(AND(J$8&lt;='Detalle'!$H195,J$9&gt;='Detalle'!$G195),1,"")</x:f>
      </x:c>
      <x:c r="K396" s="32" t="str">
        <x:f>IF(AND(K$8&lt;='Detalle'!$H195,K$9&gt;='Detalle'!$G195),1,"")</x:f>
      </x:c>
      <x:c r="L396" s="32" t="str">
        <x:f>IF(AND(L$8&lt;='Detalle'!$H195,L$9&gt;='Detalle'!$G195),1,"")</x:f>
      </x:c>
      <x:c r="M396" s="32" t="str">
        <x:f>IF(AND(M$8&lt;='Detalle'!$H195,M$9&gt;='Detalle'!$G195),1,"")</x:f>
      </x:c>
      <x:c r="N396" s="32" t="str">
        <x:f>IF(AND(N$8&lt;='Detalle'!$H195,N$9&gt;='Detalle'!$G195),1,"")</x:f>
      </x:c>
      <x:c r="O396" s="32" t="str">
        <x:f>IF(AND(O$8&lt;='Detalle'!$H195,O$9&gt;='Detalle'!$G195),1,"")</x:f>
      </x:c>
      <x:c r="P396" s="32" t="str">
        <x:f>IF(AND(P$8&lt;='Detalle'!$H195,P$9&gt;='Detalle'!$G195),1,"")</x:f>
      </x:c>
      <x:c r="Q396" s="68"/>
      <x:c r="R396" s="67" t="str">
        <x:f>IF('Detalle'!M195="","",'Detalle'!M195)</x:f>
      </x:c>
      <x:c r="S396" s="67" t="str">
        <x:f>IF('Detalle'!N195="","",'Detalle'!N195)</x:f>
      </x:c>
    </x:row>
    <x:row r="397" ht="16" customHeight="1">
      <x:c r="A397" s="56" t="str">
        <x:v>MIS01.003</x:v>
      </x:c>
      <x:c r="B397" s="57" t="str">
        <x:v>Crear listado inicial de misiones</x:v>
      </x:c>
      <x:c r="C397" s="63" t="str">
        <x:v>R</x:v>
      </x:c>
      <x:c r="D397" s="65" t="str">
        <x:f>IF('Detalle'!L195="","",'Detalle'!L195)</x:f>
      </x:c>
      <x:c r="E397" s="60" t="str"/>
      <x:c r="F397" s="32" t="str">
        <x:f>IF(OR('Detalle'!$J195="",'Detalle'!$K195="",'Detalle'!$L195=""),"",IF(AND(F$8&lt;='Detalle'!$K195,F$9&gt;='Detalle'!$J195),1,""))</x:f>
      </x:c>
      <x:c r="G397" s="32" t="str">
        <x:f>IF(OR('Detalle'!$J195="",'Detalle'!$K195="",'Detalle'!$L195=""),"",IF(AND(G$8&lt;='Detalle'!$K195,G$9&gt;='Detalle'!$J195),1,""))</x:f>
      </x:c>
      <x:c r="H397" s="32" t="str">
        <x:f>IF(OR('Detalle'!$J195="",'Detalle'!$K195="",'Detalle'!$L195=""),"",IF(AND(H$8&lt;='Detalle'!$K195,H$9&gt;='Detalle'!$J195),1,""))</x:f>
      </x:c>
      <x:c r="I397" s="32" t="str">
        <x:f>IF(OR('Detalle'!$J195="",'Detalle'!$K195="",'Detalle'!$L195=""),"",IF(AND(I$8&lt;='Detalle'!$K195,I$9&gt;='Detalle'!$J195),1,""))</x:f>
      </x:c>
      <x:c r="J397" s="32" t="str">
        <x:f>IF(OR('Detalle'!$J195="",'Detalle'!$K195="",'Detalle'!$L195=""),"",IF(AND(J$8&lt;='Detalle'!$K195,J$9&gt;='Detalle'!$J195),1,""))</x:f>
      </x:c>
      <x:c r="K397" s="32" t="str">
        <x:f>IF(OR('Detalle'!$J195="",'Detalle'!$K195="",'Detalle'!$L195=""),"",IF(AND(K$8&lt;='Detalle'!$K195,K$9&gt;='Detalle'!$J195),1,""))</x:f>
      </x:c>
      <x:c r="L397" s="32" t="str">
        <x:f>IF(OR('Detalle'!$J195="",'Detalle'!$K195="",'Detalle'!$L195=""),"",IF(AND(L$8&lt;='Detalle'!$K195,L$9&gt;='Detalle'!$J195),1,""))</x:f>
      </x:c>
      <x:c r="M397" s="32" t="str">
        <x:f>IF(OR('Detalle'!$J195="",'Detalle'!$K195="",'Detalle'!$L195=""),"",IF(AND(M$8&lt;='Detalle'!$K195,M$9&gt;='Detalle'!$J195),1,""))</x:f>
      </x:c>
      <x:c r="N397" s="32" t="str">
        <x:f>IF(OR('Detalle'!$J195="",'Detalle'!$K195="",'Detalle'!$L195=""),"",IF(AND(N$8&lt;='Detalle'!$K195,N$9&gt;='Detalle'!$J195),1,""))</x:f>
      </x:c>
      <x:c r="O397" s="32" t="str">
        <x:f>IF(OR('Detalle'!$J195="",'Detalle'!$K195="",'Detalle'!$L195=""),"",IF(AND(O$8&lt;='Detalle'!$K195,O$9&gt;='Detalle'!$J195),1,""))</x:f>
      </x:c>
      <x:c r="P397" s="32" t="str">
        <x:f>IF(OR('Detalle'!$J195="",'Detalle'!$K195="",'Detalle'!$L195=""),"",IF(AND(P$8&lt;='Detalle'!$K195,P$9&gt;='Detalle'!$J195),1,""))</x:f>
      </x:c>
      <x:c r="Q397" s="68"/>
      <x:c r="R397" s="67" t="str"/>
      <x:c r="S397" s="67" t="str"/>
    </x:row>
    <x:row r="398" ht="16" customHeight="1">
      <x:c r="A398" s="56" t="str">
        <x:v>MIS01.004</x:v>
      </x:c>
      <x:c r="B398" s="57" t="str">
        <x:v>Crear detalle inicial de misión</x:v>
      </x:c>
      <x:c r="C398" s="62" t="str">
        <x:v>E</x:v>
      </x:c>
      <x:c r="D398" s="64" t="n">
        <x:f>'Detalle'!I196</x:f>
        <x:v>1</x:v>
      </x:c>
      <x:c r="E398" s="60" t="str">
        <x:f>'Detalle'!F196</x:f>
        <x:v>Completado</x:v>
      </x:c>
      <x:c r="F398" s="32" t="str">
        <x:f>IF(AND(F$8&lt;='Detalle'!$H196,F$9&gt;='Detalle'!$G196),1,"")</x:f>
      </x:c>
      <x:c r="G398" s="32" t="str">
        <x:f>IF(AND(G$8&lt;='Detalle'!$H196,G$9&gt;='Detalle'!$G196),1,"")</x:f>
      </x:c>
      <x:c r="H398" s="32" t="n">
        <x:f>IF(AND(H$8&lt;='Detalle'!$H196,H$9&gt;='Detalle'!$G196),1,"")</x:f>
        <x:v>1</x:v>
      </x:c>
      <x:c r="I398" s="32" t="str">
        <x:f>IF(AND(I$8&lt;='Detalle'!$H196,I$9&gt;='Detalle'!$G196),1,"")</x:f>
      </x:c>
      <x:c r="J398" s="32" t="str">
        <x:f>IF(AND(J$8&lt;='Detalle'!$H196,J$9&gt;='Detalle'!$G196),1,"")</x:f>
      </x:c>
      <x:c r="K398" s="32" t="str">
        <x:f>IF(AND(K$8&lt;='Detalle'!$H196,K$9&gt;='Detalle'!$G196),1,"")</x:f>
      </x:c>
      <x:c r="L398" s="32" t="str">
        <x:f>IF(AND(L$8&lt;='Detalle'!$H196,L$9&gt;='Detalle'!$G196),1,"")</x:f>
      </x:c>
      <x:c r="M398" s="32" t="str">
        <x:f>IF(AND(M$8&lt;='Detalle'!$H196,M$9&gt;='Detalle'!$G196),1,"")</x:f>
      </x:c>
      <x:c r="N398" s="32" t="str">
        <x:f>IF(AND(N$8&lt;='Detalle'!$H196,N$9&gt;='Detalle'!$G196),1,"")</x:f>
      </x:c>
      <x:c r="O398" s="32" t="str">
        <x:f>IF(AND(O$8&lt;='Detalle'!$H196,O$9&gt;='Detalle'!$G196),1,"")</x:f>
      </x:c>
      <x:c r="P398" s="32" t="str">
        <x:f>IF(AND(P$8&lt;='Detalle'!$H196,P$9&gt;='Detalle'!$G196),1,"")</x:f>
      </x:c>
      <x:c r="Q398" s="68"/>
      <x:c r="R398" s="67" t="str">
        <x:f>IF('Detalle'!M196="","",'Detalle'!M196)</x:f>
      </x:c>
      <x:c r="S398" s="67" t="str">
        <x:f>IF('Detalle'!N196="","",'Detalle'!N196)</x:f>
      </x:c>
    </x:row>
    <x:row r="399" ht="16" customHeight="1">
      <x:c r="A399" s="56" t="str">
        <x:v>MIS01.004</x:v>
      </x:c>
      <x:c r="B399" s="57" t="str">
        <x:v>Crear detalle inicial de misión</x:v>
      </x:c>
      <x:c r="C399" s="63" t="str">
        <x:v>R</x:v>
      </x:c>
      <x:c r="D399" s="65" t="str">
        <x:f>IF('Detalle'!L196="","",'Detalle'!L196)</x:f>
      </x:c>
      <x:c r="E399" s="60" t="str"/>
      <x:c r="F399" s="32" t="str">
        <x:f>IF(OR('Detalle'!$J196="",'Detalle'!$K196="",'Detalle'!$L196=""),"",IF(AND(F$8&lt;='Detalle'!$K196,F$9&gt;='Detalle'!$J196),1,""))</x:f>
      </x:c>
      <x:c r="G399" s="32" t="str">
        <x:f>IF(OR('Detalle'!$J196="",'Detalle'!$K196="",'Detalle'!$L196=""),"",IF(AND(G$8&lt;='Detalle'!$K196,G$9&gt;='Detalle'!$J196),1,""))</x:f>
      </x:c>
      <x:c r="H399" s="32" t="str">
        <x:f>IF(OR('Detalle'!$J196="",'Detalle'!$K196="",'Detalle'!$L196=""),"",IF(AND(H$8&lt;='Detalle'!$K196,H$9&gt;='Detalle'!$J196),1,""))</x:f>
      </x:c>
      <x:c r="I399" s="32" t="str">
        <x:f>IF(OR('Detalle'!$J196="",'Detalle'!$K196="",'Detalle'!$L196=""),"",IF(AND(I$8&lt;='Detalle'!$K196,I$9&gt;='Detalle'!$J196),1,""))</x:f>
      </x:c>
      <x:c r="J399" s="32" t="str">
        <x:f>IF(OR('Detalle'!$J196="",'Detalle'!$K196="",'Detalle'!$L196=""),"",IF(AND(J$8&lt;='Detalle'!$K196,J$9&gt;='Detalle'!$J196),1,""))</x:f>
      </x:c>
      <x:c r="K399" s="32" t="str">
        <x:f>IF(OR('Detalle'!$J196="",'Detalle'!$K196="",'Detalle'!$L196=""),"",IF(AND(K$8&lt;='Detalle'!$K196,K$9&gt;='Detalle'!$J196),1,""))</x:f>
      </x:c>
      <x:c r="L399" s="32" t="str">
        <x:f>IF(OR('Detalle'!$J196="",'Detalle'!$K196="",'Detalle'!$L196=""),"",IF(AND(L$8&lt;='Detalle'!$K196,L$9&gt;='Detalle'!$J196),1,""))</x:f>
      </x:c>
      <x:c r="M399" s="32" t="str">
        <x:f>IF(OR('Detalle'!$J196="",'Detalle'!$K196="",'Detalle'!$L196=""),"",IF(AND(M$8&lt;='Detalle'!$K196,M$9&gt;='Detalle'!$J196),1,""))</x:f>
      </x:c>
      <x:c r="N399" s="32" t="str">
        <x:f>IF(OR('Detalle'!$J196="",'Detalle'!$K196="",'Detalle'!$L196=""),"",IF(AND(N$8&lt;='Detalle'!$K196,N$9&gt;='Detalle'!$J196),1,""))</x:f>
      </x:c>
      <x:c r="O399" s="32" t="str">
        <x:f>IF(OR('Detalle'!$J196="",'Detalle'!$K196="",'Detalle'!$L196=""),"",IF(AND(O$8&lt;='Detalle'!$K196,O$9&gt;='Detalle'!$J196),1,""))</x:f>
      </x:c>
      <x:c r="P399" s="32" t="str">
        <x:f>IF(OR('Detalle'!$J196="",'Detalle'!$K196="",'Detalle'!$L196=""),"",IF(AND(P$8&lt;='Detalle'!$K196,P$9&gt;='Detalle'!$J196),1,""))</x:f>
      </x:c>
      <x:c r="Q399" s="68"/>
      <x:c r="R399" s="67" t="str"/>
      <x:c r="S399" s="67" t="str"/>
    </x:row>
    <x:row r="400" ht="16" customHeight="1">
      <x:c r="A400" s="56" t="str">
        <x:v>MIS01.005</x:v>
      </x:c>
      <x:c r="B400" s="57" t="str">
        <x:v>Filtrar elegibilidad por tipo solicitado</x:v>
      </x:c>
      <x:c r="C400" s="62" t="str">
        <x:v>E</x:v>
      </x:c>
      <x:c r="D400" s="64" t="n">
        <x:f>'Detalle'!I197</x:f>
        <x:v>1</x:v>
      </x:c>
      <x:c r="E400" s="60" t="str">
        <x:f>'Detalle'!F197</x:f>
        <x:v>Completado</x:v>
      </x:c>
      <x:c r="F400" s="32" t="str">
        <x:f>IF(AND(F$8&lt;='Detalle'!$H197,F$9&gt;='Detalle'!$G197),1,"")</x:f>
      </x:c>
      <x:c r="G400" s="32" t="str">
        <x:f>IF(AND(G$8&lt;='Detalle'!$H197,G$9&gt;='Detalle'!$G197),1,"")</x:f>
      </x:c>
      <x:c r="H400" s="32" t="n">
        <x:f>IF(AND(H$8&lt;='Detalle'!$H197,H$9&gt;='Detalle'!$G197),1,"")</x:f>
        <x:v>1</x:v>
      </x:c>
      <x:c r="I400" s="32" t="str">
        <x:f>IF(AND(I$8&lt;='Detalle'!$H197,I$9&gt;='Detalle'!$G197),1,"")</x:f>
      </x:c>
      <x:c r="J400" s="32" t="str">
        <x:f>IF(AND(J$8&lt;='Detalle'!$H197,J$9&gt;='Detalle'!$G197),1,"")</x:f>
      </x:c>
      <x:c r="K400" s="32" t="str">
        <x:f>IF(AND(K$8&lt;='Detalle'!$H197,K$9&gt;='Detalle'!$G197),1,"")</x:f>
      </x:c>
      <x:c r="L400" s="32" t="str">
        <x:f>IF(AND(L$8&lt;='Detalle'!$H197,L$9&gt;='Detalle'!$G197),1,"")</x:f>
      </x:c>
      <x:c r="M400" s="32" t="str">
        <x:f>IF(AND(M$8&lt;='Detalle'!$H197,M$9&gt;='Detalle'!$G197),1,"")</x:f>
      </x:c>
      <x:c r="N400" s="32" t="str">
        <x:f>IF(AND(N$8&lt;='Detalle'!$H197,N$9&gt;='Detalle'!$G197),1,"")</x:f>
      </x:c>
      <x:c r="O400" s="32" t="str">
        <x:f>IF(AND(O$8&lt;='Detalle'!$H197,O$9&gt;='Detalle'!$G197),1,"")</x:f>
      </x:c>
      <x:c r="P400" s="32" t="str">
        <x:f>IF(AND(P$8&lt;='Detalle'!$H197,P$9&gt;='Detalle'!$G197),1,"")</x:f>
      </x:c>
      <x:c r="Q400" s="68"/>
      <x:c r="R400" s="67" t="str">
        <x:f>IF('Detalle'!M197="","",'Detalle'!M197)</x:f>
      </x:c>
      <x:c r="S400" s="67" t="str">
        <x:f>IF('Detalle'!N197="","",'Detalle'!N197)</x:f>
      </x:c>
    </x:row>
    <x:row r="401" ht="16" customHeight="1">
      <x:c r="A401" s="56" t="str">
        <x:v>MIS01.005</x:v>
      </x:c>
      <x:c r="B401" s="57" t="str">
        <x:v>Filtrar elegibilidad por tipo solicitado</x:v>
      </x:c>
      <x:c r="C401" s="63" t="str">
        <x:v>R</x:v>
      </x:c>
      <x:c r="D401" s="65" t="str">
        <x:f>IF('Detalle'!L197="","",'Detalle'!L197)</x:f>
      </x:c>
      <x:c r="E401" s="60" t="str"/>
      <x:c r="F401" s="32" t="str">
        <x:f>IF(OR('Detalle'!$J197="",'Detalle'!$K197="",'Detalle'!$L197=""),"",IF(AND(F$8&lt;='Detalle'!$K197,F$9&gt;='Detalle'!$J197),1,""))</x:f>
      </x:c>
      <x:c r="G401" s="32" t="str">
        <x:f>IF(OR('Detalle'!$J197="",'Detalle'!$K197="",'Detalle'!$L197=""),"",IF(AND(G$8&lt;='Detalle'!$K197,G$9&gt;='Detalle'!$J197),1,""))</x:f>
      </x:c>
      <x:c r="H401" s="32" t="str">
        <x:f>IF(OR('Detalle'!$J197="",'Detalle'!$K197="",'Detalle'!$L197=""),"",IF(AND(H$8&lt;='Detalle'!$K197,H$9&gt;='Detalle'!$J197),1,""))</x:f>
      </x:c>
      <x:c r="I401" s="32" t="str">
        <x:f>IF(OR('Detalle'!$J197="",'Detalle'!$K197="",'Detalle'!$L197=""),"",IF(AND(I$8&lt;='Detalle'!$K197,I$9&gt;='Detalle'!$J197),1,""))</x:f>
      </x:c>
      <x:c r="J401" s="32" t="str">
        <x:f>IF(OR('Detalle'!$J197="",'Detalle'!$K197="",'Detalle'!$L197=""),"",IF(AND(J$8&lt;='Detalle'!$K197,J$9&gt;='Detalle'!$J197),1,""))</x:f>
      </x:c>
      <x:c r="K401" s="32" t="str">
        <x:f>IF(OR('Detalle'!$J197="",'Detalle'!$K197="",'Detalle'!$L197=""),"",IF(AND(K$8&lt;='Detalle'!$K197,K$9&gt;='Detalle'!$J197),1,""))</x:f>
      </x:c>
      <x:c r="L401" s="32" t="str">
        <x:f>IF(OR('Detalle'!$J197="",'Detalle'!$K197="",'Detalle'!$L197=""),"",IF(AND(L$8&lt;='Detalle'!$K197,L$9&gt;='Detalle'!$J197),1,""))</x:f>
      </x:c>
      <x:c r="M401" s="32" t="str">
        <x:f>IF(OR('Detalle'!$J197="",'Detalle'!$K197="",'Detalle'!$L197=""),"",IF(AND(M$8&lt;='Detalle'!$K197,M$9&gt;='Detalle'!$J197),1,""))</x:f>
      </x:c>
      <x:c r="N401" s="32" t="str">
        <x:f>IF(OR('Detalle'!$J197="",'Detalle'!$K197="",'Detalle'!$L197=""),"",IF(AND(N$8&lt;='Detalle'!$K197,N$9&gt;='Detalle'!$J197),1,""))</x:f>
      </x:c>
      <x:c r="O401" s="32" t="str">
        <x:f>IF(OR('Detalle'!$J197="",'Detalle'!$K197="",'Detalle'!$L197=""),"",IF(AND(O$8&lt;='Detalle'!$K197,O$9&gt;='Detalle'!$J197),1,""))</x:f>
      </x:c>
      <x:c r="P401" s="32" t="str">
        <x:f>IF(OR('Detalle'!$J197="",'Detalle'!$K197="",'Detalle'!$L197=""),"",IF(AND(P$8&lt;='Detalle'!$K197,P$9&gt;='Detalle'!$J197),1,""))</x:f>
      </x:c>
      <x:c r="Q401" s="68"/>
      <x:c r="R401" s="67" t="str"/>
      <x:c r="S401" s="67" t="str"/>
    </x:row>
    <x:row r="402" ht="16" customHeight="1">
      <x:c r="A402" s="56" t="str">
        <x:v>MIS01.006</x:v>
      </x:c>
      <x:c r="B402" s="57" t="str">
        <x:v>Bloquear candidatura del organizador</x:v>
      </x:c>
      <x:c r="C402" s="62" t="str">
        <x:v>E</x:v>
      </x:c>
      <x:c r="D402" s="64" t="n">
        <x:f>'Detalle'!I198</x:f>
        <x:v>1</x:v>
      </x:c>
      <x:c r="E402" s="60" t="str">
        <x:f>'Detalle'!F198</x:f>
        <x:v>Completado</x:v>
      </x:c>
      <x:c r="F402" s="32" t="str">
        <x:f>IF(AND(F$8&lt;='Detalle'!$H198,F$9&gt;='Detalle'!$G198),1,"")</x:f>
      </x:c>
      <x:c r="G402" s="32" t="str">
        <x:f>IF(AND(G$8&lt;='Detalle'!$H198,G$9&gt;='Detalle'!$G198),1,"")</x:f>
      </x:c>
      <x:c r="H402" s="32" t="n">
        <x:f>IF(AND(H$8&lt;='Detalle'!$H198,H$9&gt;='Detalle'!$G198),1,"")</x:f>
        <x:v>1</x:v>
      </x:c>
      <x:c r="I402" s="32" t="str">
        <x:f>IF(AND(I$8&lt;='Detalle'!$H198,I$9&gt;='Detalle'!$G198),1,"")</x:f>
      </x:c>
      <x:c r="J402" s="32" t="str">
        <x:f>IF(AND(J$8&lt;='Detalle'!$H198,J$9&gt;='Detalle'!$G198),1,"")</x:f>
      </x:c>
      <x:c r="K402" s="32" t="str">
        <x:f>IF(AND(K$8&lt;='Detalle'!$H198,K$9&gt;='Detalle'!$G198),1,"")</x:f>
      </x:c>
      <x:c r="L402" s="32" t="str">
        <x:f>IF(AND(L$8&lt;='Detalle'!$H198,L$9&gt;='Detalle'!$G198),1,"")</x:f>
      </x:c>
      <x:c r="M402" s="32" t="str">
        <x:f>IF(AND(M$8&lt;='Detalle'!$H198,M$9&gt;='Detalle'!$G198),1,"")</x:f>
      </x:c>
      <x:c r="N402" s="32" t="str">
        <x:f>IF(AND(N$8&lt;='Detalle'!$H198,N$9&gt;='Detalle'!$G198),1,"")</x:f>
      </x:c>
      <x:c r="O402" s="32" t="str">
        <x:f>IF(AND(O$8&lt;='Detalle'!$H198,O$9&gt;='Detalle'!$G198),1,"")</x:f>
      </x:c>
      <x:c r="P402" s="32" t="str">
        <x:f>IF(AND(P$8&lt;='Detalle'!$H198,P$9&gt;='Detalle'!$G198),1,"")</x:f>
      </x:c>
      <x:c r="Q402" s="68"/>
      <x:c r="R402" s="67" t="str">
        <x:f>IF('Detalle'!M198="","",'Detalle'!M198)</x:f>
      </x:c>
      <x:c r="S402" s="67" t="str">
        <x:f>IF('Detalle'!N198="","",'Detalle'!N198)</x:f>
      </x:c>
    </x:row>
    <x:row r="403" ht="16" customHeight="1">
      <x:c r="A403" s="56" t="str">
        <x:v>MIS01.006</x:v>
      </x:c>
      <x:c r="B403" s="57" t="str">
        <x:v>Bloquear candidatura del organizador</x:v>
      </x:c>
      <x:c r="C403" s="63" t="str">
        <x:v>R</x:v>
      </x:c>
      <x:c r="D403" s="65" t="str">
        <x:f>IF('Detalle'!L198="","",'Detalle'!L198)</x:f>
      </x:c>
      <x:c r="E403" s="60" t="str"/>
      <x:c r="F403" s="32" t="str">
        <x:f>IF(OR('Detalle'!$J198="",'Detalle'!$K198="",'Detalle'!$L198=""),"",IF(AND(F$8&lt;='Detalle'!$K198,F$9&gt;='Detalle'!$J198),1,""))</x:f>
      </x:c>
      <x:c r="G403" s="32" t="str">
        <x:f>IF(OR('Detalle'!$J198="",'Detalle'!$K198="",'Detalle'!$L198=""),"",IF(AND(G$8&lt;='Detalle'!$K198,G$9&gt;='Detalle'!$J198),1,""))</x:f>
      </x:c>
      <x:c r="H403" s="32" t="str">
        <x:f>IF(OR('Detalle'!$J198="",'Detalle'!$K198="",'Detalle'!$L198=""),"",IF(AND(H$8&lt;='Detalle'!$K198,H$9&gt;='Detalle'!$J198),1,""))</x:f>
      </x:c>
      <x:c r="I403" s="32" t="str">
        <x:f>IF(OR('Detalle'!$J198="",'Detalle'!$K198="",'Detalle'!$L198=""),"",IF(AND(I$8&lt;='Detalle'!$K198,I$9&gt;='Detalle'!$J198),1,""))</x:f>
      </x:c>
      <x:c r="J403" s="32" t="str">
        <x:f>IF(OR('Detalle'!$J198="",'Detalle'!$K198="",'Detalle'!$L198=""),"",IF(AND(J$8&lt;='Detalle'!$K198,J$9&gt;='Detalle'!$J198),1,""))</x:f>
      </x:c>
      <x:c r="K403" s="32" t="str">
        <x:f>IF(OR('Detalle'!$J198="",'Detalle'!$K198="",'Detalle'!$L198=""),"",IF(AND(K$8&lt;='Detalle'!$K198,K$9&gt;='Detalle'!$J198),1,""))</x:f>
      </x:c>
      <x:c r="L403" s="32" t="str">
        <x:f>IF(OR('Detalle'!$J198="",'Detalle'!$K198="",'Detalle'!$L198=""),"",IF(AND(L$8&lt;='Detalle'!$K198,L$9&gt;='Detalle'!$J198),1,""))</x:f>
      </x:c>
      <x:c r="M403" s="32" t="str">
        <x:f>IF(OR('Detalle'!$J198="",'Detalle'!$K198="",'Detalle'!$L198=""),"",IF(AND(M$8&lt;='Detalle'!$K198,M$9&gt;='Detalle'!$J198),1,""))</x:f>
      </x:c>
      <x:c r="N403" s="32" t="str">
        <x:f>IF(OR('Detalle'!$J198="",'Detalle'!$K198="",'Detalle'!$L198=""),"",IF(AND(N$8&lt;='Detalle'!$K198,N$9&gt;='Detalle'!$J198),1,""))</x:f>
      </x:c>
      <x:c r="O403" s="32" t="str">
        <x:f>IF(OR('Detalle'!$J198="",'Detalle'!$K198="",'Detalle'!$L198=""),"",IF(AND(O$8&lt;='Detalle'!$K198,O$9&gt;='Detalle'!$J198),1,""))</x:f>
      </x:c>
      <x:c r="P403" s="32" t="str">
        <x:f>IF(OR('Detalle'!$J198="",'Detalle'!$K198="",'Detalle'!$L198=""),"",IF(AND(P$8&lt;='Detalle'!$K198,P$9&gt;='Detalle'!$J198),1,""))</x:f>
      </x:c>
      <x:c r="Q403" s="68"/>
      <x:c r="R403" s="67" t="str"/>
      <x:c r="S403" s="67" t="str"/>
    </x:row>
    <x:row r="404" ht="16" customHeight="1">
      <x:c r="A404" s="56" t="str">
        <x:v>MIS01.007</x:v>
      </x:c>
      <x:c r="B404" s="57" t="str">
        <x:v>Validar fecha límite de candidatura</x:v>
      </x:c>
      <x:c r="C404" s="62" t="str">
        <x:v>E</x:v>
      </x:c>
      <x:c r="D404" s="64" t="n">
        <x:f>'Detalle'!I199</x:f>
        <x:v>1</x:v>
      </x:c>
      <x:c r="E404" s="60" t="str">
        <x:f>'Detalle'!F199</x:f>
        <x:v>Completado</x:v>
      </x:c>
      <x:c r="F404" s="32" t="str">
        <x:f>IF(AND(F$8&lt;='Detalle'!$H199,F$9&gt;='Detalle'!$G199),1,"")</x:f>
      </x:c>
      <x:c r="G404" s="32" t="str">
        <x:f>IF(AND(G$8&lt;='Detalle'!$H199,G$9&gt;='Detalle'!$G199),1,"")</x:f>
      </x:c>
      <x:c r="H404" s="32" t="n">
        <x:f>IF(AND(H$8&lt;='Detalle'!$H199,H$9&gt;='Detalle'!$G199),1,"")</x:f>
        <x:v>1</x:v>
      </x:c>
      <x:c r="I404" s="32" t="str">
        <x:f>IF(AND(I$8&lt;='Detalle'!$H199,I$9&gt;='Detalle'!$G199),1,"")</x:f>
      </x:c>
      <x:c r="J404" s="32" t="str">
        <x:f>IF(AND(J$8&lt;='Detalle'!$H199,J$9&gt;='Detalle'!$G199),1,"")</x:f>
      </x:c>
      <x:c r="K404" s="32" t="str">
        <x:f>IF(AND(K$8&lt;='Detalle'!$H199,K$9&gt;='Detalle'!$G199),1,"")</x:f>
      </x:c>
      <x:c r="L404" s="32" t="str">
        <x:f>IF(AND(L$8&lt;='Detalle'!$H199,L$9&gt;='Detalle'!$G199),1,"")</x:f>
      </x:c>
      <x:c r="M404" s="32" t="str">
        <x:f>IF(AND(M$8&lt;='Detalle'!$H199,M$9&gt;='Detalle'!$G199),1,"")</x:f>
      </x:c>
      <x:c r="N404" s="32" t="str">
        <x:f>IF(AND(N$8&lt;='Detalle'!$H199,N$9&gt;='Detalle'!$G199),1,"")</x:f>
      </x:c>
      <x:c r="O404" s="32" t="str">
        <x:f>IF(AND(O$8&lt;='Detalle'!$H199,O$9&gt;='Detalle'!$G199),1,"")</x:f>
      </x:c>
      <x:c r="P404" s="32" t="str">
        <x:f>IF(AND(P$8&lt;='Detalle'!$H199,P$9&gt;='Detalle'!$G199),1,"")</x:f>
      </x:c>
      <x:c r="Q404" s="68"/>
      <x:c r="R404" s="67" t="str">
        <x:f>IF('Detalle'!M199="","",'Detalle'!M199)</x:f>
      </x:c>
      <x:c r="S404" s="67" t="str">
        <x:f>IF('Detalle'!N199="","",'Detalle'!N199)</x:f>
      </x:c>
    </x:row>
    <x:row r="405" ht="16" customHeight="1">
      <x:c r="A405" s="56" t="str">
        <x:v>MIS01.007</x:v>
      </x:c>
      <x:c r="B405" s="57" t="str">
        <x:v>Validar fecha límite de candidatura</x:v>
      </x:c>
      <x:c r="C405" s="63" t="str">
        <x:v>R</x:v>
      </x:c>
      <x:c r="D405" s="65" t="str">
        <x:f>IF('Detalle'!L199="","",'Detalle'!L199)</x:f>
      </x:c>
      <x:c r="E405" s="60" t="str"/>
      <x:c r="F405" s="32" t="str">
        <x:f>IF(OR('Detalle'!$J199="",'Detalle'!$K199="",'Detalle'!$L199=""),"",IF(AND(F$8&lt;='Detalle'!$K199,F$9&gt;='Detalle'!$J199),1,""))</x:f>
      </x:c>
      <x:c r="G405" s="32" t="str">
        <x:f>IF(OR('Detalle'!$J199="",'Detalle'!$K199="",'Detalle'!$L199=""),"",IF(AND(G$8&lt;='Detalle'!$K199,G$9&gt;='Detalle'!$J199),1,""))</x:f>
      </x:c>
      <x:c r="H405" s="32" t="str">
        <x:f>IF(OR('Detalle'!$J199="",'Detalle'!$K199="",'Detalle'!$L199=""),"",IF(AND(H$8&lt;='Detalle'!$K199,H$9&gt;='Detalle'!$J199),1,""))</x:f>
      </x:c>
      <x:c r="I405" s="32" t="str">
        <x:f>IF(OR('Detalle'!$J199="",'Detalle'!$K199="",'Detalle'!$L199=""),"",IF(AND(I$8&lt;='Detalle'!$K199,I$9&gt;='Detalle'!$J199),1,""))</x:f>
      </x:c>
      <x:c r="J405" s="32" t="str">
        <x:f>IF(OR('Detalle'!$J199="",'Detalle'!$K199="",'Detalle'!$L199=""),"",IF(AND(J$8&lt;='Detalle'!$K199,J$9&gt;='Detalle'!$J199),1,""))</x:f>
      </x:c>
      <x:c r="K405" s="32" t="str">
        <x:f>IF(OR('Detalle'!$J199="",'Detalle'!$K199="",'Detalle'!$L199=""),"",IF(AND(K$8&lt;='Detalle'!$K199,K$9&gt;='Detalle'!$J199),1,""))</x:f>
      </x:c>
      <x:c r="L405" s="32" t="str">
        <x:f>IF(OR('Detalle'!$J199="",'Detalle'!$K199="",'Detalle'!$L199=""),"",IF(AND(L$8&lt;='Detalle'!$K199,L$9&gt;='Detalle'!$J199),1,""))</x:f>
      </x:c>
      <x:c r="M405" s="32" t="str">
        <x:f>IF(OR('Detalle'!$J199="",'Detalle'!$K199="",'Detalle'!$L199=""),"",IF(AND(M$8&lt;='Detalle'!$K199,M$9&gt;='Detalle'!$J199),1,""))</x:f>
      </x:c>
      <x:c r="N405" s="32" t="str">
        <x:f>IF(OR('Detalle'!$J199="",'Detalle'!$K199="",'Detalle'!$L199=""),"",IF(AND(N$8&lt;='Detalle'!$K199,N$9&gt;='Detalle'!$J199),1,""))</x:f>
      </x:c>
      <x:c r="O405" s="32" t="str">
        <x:f>IF(OR('Detalle'!$J199="",'Detalle'!$K199="",'Detalle'!$L199=""),"",IF(AND(O$8&lt;='Detalle'!$K199,O$9&gt;='Detalle'!$J199),1,""))</x:f>
      </x:c>
      <x:c r="P405" s="32" t="str">
        <x:f>IF(OR('Detalle'!$J199="",'Detalle'!$K199="",'Detalle'!$L199=""),"",IF(AND(P$8&lt;='Detalle'!$K199,P$9&gt;='Detalle'!$J199),1,""))</x:f>
      </x:c>
      <x:c r="Q405" s="68"/>
      <x:c r="R405" s="67" t="str"/>
      <x:c r="S405" s="67" t="str"/>
    </x:row>
    <x:row r="406" ht="16" customHeight="1">
      <x:c r="A406" s="56" t="str">
        <x:v>MIS01.008</x:v>
      </x:c>
      <x:c r="B406" s="57" t="str">
        <x:v>Validar disponibilidad de cupo</x:v>
      </x:c>
      <x:c r="C406" s="62" t="str">
        <x:v>E</x:v>
      </x:c>
      <x:c r="D406" s="64" t="n">
        <x:f>'Detalle'!I200</x:f>
        <x:v>1</x:v>
      </x:c>
      <x:c r="E406" s="60" t="str">
        <x:f>'Detalle'!F200</x:f>
        <x:v>Completado</x:v>
      </x:c>
      <x:c r="F406" s="32" t="str">
        <x:f>IF(AND(F$8&lt;='Detalle'!$H200,F$9&gt;='Detalle'!$G200),1,"")</x:f>
      </x:c>
      <x:c r="G406" s="32" t="str">
        <x:f>IF(AND(G$8&lt;='Detalle'!$H200,G$9&gt;='Detalle'!$G200),1,"")</x:f>
      </x:c>
      <x:c r="H406" s="32" t="n">
        <x:f>IF(AND(H$8&lt;='Detalle'!$H200,H$9&gt;='Detalle'!$G200),1,"")</x:f>
        <x:v>1</x:v>
      </x:c>
      <x:c r="I406" s="32" t="str">
        <x:f>IF(AND(I$8&lt;='Detalle'!$H200,I$9&gt;='Detalle'!$G200),1,"")</x:f>
      </x:c>
      <x:c r="J406" s="32" t="str">
        <x:f>IF(AND(J$8&lt;='Detalle'!$H200,J$9&gt;='Detalle'!$G200),1,"")</x:f>
      </x:c>
      <x:c r="K406" s="32" t="str">
        <x:f>IF(AND(K$8&lt;='Detalle'!$H200,K$9&gt;='Detalle'!$G200),1,"")</x:f>
      </x:c>
      <x:c r="L406" s="32" t="str">
        <x:f>IF(AND(L$8&lt;='Detalle'!$H200,L$9&gt;='Detalle'!$G200),1,"")</x:f>
      </x:c>
      <x:c r="M406" s="32" t="str">
        <x:f>IF(AND(M$8&lt;='Detalle'!$H200,M$9&gt;='Detalle'!$G200),1,"")</x:f>
      </x:c>
      <x:c r="N406" s="32" t="str">
        <x:f>IF(AND(N$8&lt;='Detalle'!$H200,N$9&gt;='Detalle'!$G200),1,"")</x:f>
      </x:c>
      <x:c r="O406" s="32" t="str">
        <x:f>IF(AND(O$8&lt;='Detalle'!$H200,O$9&gt;='Detalle'!$G200),1,"")</x:f>
      </x:c>
      <x:c r="P406" s="32" t="str">
        <x:f>IF(AND(P$8&lt;='Detalle'!$H200,P$9&gt;='Detalle'!$G200),1,"")</x:f>
      </x:c>
      <x:c r="Q406" s="68"/>
      <x:c r="R406" s="67" t="str">
        <x:f>IF('Detalle'!M200="","",'Detalle'!M200)</x:f>
      </x:c>
      <x:c r="S406" s="67" t="str">
        <x:f>IF('Detalle'!N200="","",'Detalle'!N200)</x:f>
      </x:c>
    </x:row>
    <x:row r="407" ht="16" customHeight="1">
      <x:c r="A407" s="56" t="str">
        <x:v>MIS01.008</x:v>
      </x:c>
      <x:c r="B407" s="57" t="str">
        <x:v>Validar disponibilidad de cupo</x:v>
      </x:c>
      <x:c r="C407" s="63" t="str">
        <x:v>R</x:v>
      </x:c>
      <x:c r="D407" s="65" t="str">
        <x:f>IF('Detalle'!L200="","",'Detalle'!L200)</x:f>
      </x:c>
      <x:c r="E407" s="60" t="str"/>
      <x:c r="F407" s="32" t="str">
        <x:f>IF(OR('Detalle'!$J200="",'Detalle'!$K200="",'Detalle'!$L200=""),"",IF(AND(F$8&lt;='Detalle'!$K200,F$9&gt;='Detalle'!$J200),1,""))</x:f>
      </x:c>
      <x:c r="G407" s="32" t="str">
        <x:f>IF(OR('Detalle'!$J200="",'Detalle'!$K200="",'Detalle'!$L200=""),"",IF(AND(G$8&lt;='Detalle'!$K200,G$9&gt;='Detalle'!$J200),1,""))</x:f>
      </x:c>
      <x:c r="H407" s="32" t="str">
        <x:f>IF(OR('Detalle'!$J200="",'Detalle'!$K200="",'Detalle'!$L200=""),"",IF(AND(H$8&lt;='Detalle'!$K200,H$9&gt;='Detalle'!$J200),1,""))</x:f>
      </x:c>
      <x:c r="I407" s="32" t="str">
        <x:f>IF(OR('Detalle'!$J200="",'Detalle'!$K200="",'Detalle'!$L200=""),"",IF(AND(I$8&lt;='Detalle'!$K200,I$9&gt;='Detalle'!$J200),1,""))</x:f>
      </x:c>
      <x:c r="J407" s="32" t="str">
        <x:f>IF(OR('Detalle'!$J200="",'Detalle'!$K200="",'Detalle'!$L200=""),"",IF(AND(J$8&lt;='Detalle'!$K200,J$9&gt;='Detalle'!$J200),1,""))</x:f>
      </x:c>
      <x:c r="K407" s="32" t="str">
        <x:f>IF(OR('Detalle'!$J200="",'Detalle'!$K200="",'Detalle'!$L200=""),"",IF(AND(K$8&lt;='Detalle'!$K200,K$9&gt;='Detalle'!$J200),1,""))</x:f>
      </x:c>
      <x:c r="L407" s="32" t="str">
        <x:f>IF(OR('Detalle'!$J200="",'Detalle'!$K200="",'Detalle'!$L200=""),"",IF(AND(L$8&lt;='Detalle'!$K200,L$9&gt;='Detalle'!$J200),1,""))</x:f>
      </x:c>
      <x:c r="M407" s="32" t="str">
        <x:f>IF(OR('Detalle'!$J200="",'Detalle'!$K200="",'Detalle'!$L200=""),"",IF(AND(M$8&lt;='Detalle'!$K200,M$9&gt;='Detalle'!$J200),1,""))</x:f>
      </x:c>
      <x:c r="N407" s="32" t="str">
        <x:f>IF(OR('Detalle'!$J200="",'Detalle'!$K200="",'Detalle'!$L200=""),"",IF(AND(N$8&lt;='Detalle'!$K200,N$9&gt;='Detalle'!$J200),1,""))</x:f>
      </x:c>
      <x:c r="O407" s="32" t="str">
        <x:f>IF(OR('Detalle'!$J200="",'Detalle'!$K200="",'Detalle'!$L200=""),"",IF(AND(O$8&lt;='Detalle'!$K200,O$9&gt;='Detalle'!$J200),1,""))</x:f>
      </x:c>
      <x:c r="P407" s="32" t="str">
        <x:f>IF(OR('Detalle'!$J200="",'Detalle'!$K200="",'Detalle'!$L200=""),"",IF(AND(P$8&lt;='Detalle'!$K200,P$9&gt;='Detalle'!$J200),1,""))</x:f>
      </x:c>
      <x:c r="Q407" s="68"/>
      <x:c r="R407" s="67" t="str"/>
      <x:c r="S407" s="67" t="str"/>
    </x:row>
    <x:row r="408" ht="16" customHeight="1">
      <x:c r="A408" s="56" t="str">
        <x:v>MIS01.009</x:v>
      </x:c>
      <x:c r="B408" s="57" t="str">
        <x:v>Enviar candidatura inicial</x:v>
      </x:c>
      <x:c r="C408" s="62" t="str">
        <x:v>E</x:v>
      </x:c>
      <x:c r="D408" s="64" t="n">
        <x:f>'Detalle'!I201</x:f>
        <x:v>1</x:v>
      </x:c>
      <x:c r="E408" s="60" t="str">
        <x:f>'Detalle'!F201</x:f>
        <x:v>Completado</x:v>
      </x:c>
      <x:c r="F408" s="32" t="str">
        <x:f>IF(AND(F$8&lt;='Detalle'!$H201,F$9&gt;='Detalle'!$G201),1,"")</x:f>
      </x:c>
      <x:c r="G408" s="32" t="str">
        <x:f>IF(AND(G$8&lt;='Detalle'!$H201,G$9&gt;='Detalle'!$G201),1,"")</x:f>
      </x:c>
      <x:c r="H408" s="32" t="n">
        <x:f>IF(AND(H$8&lt;='Detalle'!$H201,H$9&gt;='Detalle'!$G201),1,"")</x:f>
        <x:v>1</x:v>
      </x:c>
      <x:c r="I408" s="32" t="str">
        <x:f>IF(AND(I$8&lt;='Detalle'!$H201,I$9&gt;='Detalle'!$G201),1,"")</x:f>
      </x:c>
      <x:c r="J408" s="32" t="str">
        <x:f>IF(AND(J$8&lt;='Detalle'!$H201,J$9&gt;='Detalle'!$G201),1,"")</x:f>
      </x:c>
      <x:c r="K408" s="32" t="str">
        <x:f>IF(AND(K$8&lt;='Detalle'!$H201,K$9&gt;='Detalle'!$G201),1,"")</x:f>
      </x:c>
      <x:c r="L408" s="32" t="str">
        <x:f>IF(AND(L$8&lt;='Detalle'!$H201,L$9&gt;='Detalle'!$G201),1,"")</x:f>
      </x:c>
      <x:c r="M408" s="32" t="str">
        <x:f>IF(AND(M$8&lt;='Detalle'!$H201,M$9&gt;='Detalle'!$G201),1,"")</x:f>
      </x:c>
      <x:c r="N408" s="32" t="str">
        <x:f>IF(AND(N$8&lt;='Detalle'!$H201,N$9&gt;='Detalle'!$G201),1,"")</x:f>
      </x:c>
      <x:c r="O408" s="32" t="str">
        <x:f>IF(AND(O$8&lt;='Detalle'!$H201,O$9&gt;='Detalle'!$G201),1,"")</x:f>
      </x:c>
      <x:c r="P408" s="32" t="str">
        <x:f>IF(AND(P$8&lt;='Detalle'!$H201,P$9&gt;='Detalle'!$G201),1,"")</x:f>
      </x:c>
      <x:c r="Q408" s="68"/>
      <x:c r="R408" s="67" t="str">
        <x:f>IF('Detalle'!M201="","",'Detalle'!M201)</x:f>
      </x:c>
      <x:c r="S408" s="67" t="str">
        <x:f>IF('Detalle'!N201="","",'Detalle'!N201)</x:f>
      </x:c>
    </x:row>
    <x:row r="409" ht="16" customHeight="1">
      <x:c r="A409" s="56" t="str">
        <x:v>MIS01.009</x:v>
      </x:c>
      <x:c r="B409" s="57" t="str">
        <x:v>Enviar candidatura inicial</x:v>
      </x:c>
      <x:c r="C409" s="63" t="str">
        <x:v>R</x:v>
      </x:c>
      <x:c r="D409" s="65" t="str">
        <x:f>IF('Detalle'!L201="","",'Detalle'!L201)</x:f>
      </x:c>
      <x:c r="E409" s="60" t="str"/>
      <x:c r="F409" s="32" t="str">
        <x:f>IF(OR('Detalle'!$J201="",'Detalle'!$K201="",'Detalle'!$L201=""),"",IF(AND(F$8&lt;='Detalle'!$K201,F$9&gt;='Detalle'!$J201),1,""))</x:f>
      </x:c>
      <x:c r="G409" s="32" t="str">
        <x:f>IF(OR('Detalle'!$J201="",'Detalle'!$K201="",'Detalle'!$L201=""),"",IF(AND(G$8&lt;='Detalle'!$K201,G$9&gt;='Detalle'!$J201),1,""))</x:f>
      </x:c>
      <x:c r="H409" s="32" t="str">
        <x:f>IF(OR('Detalle'!$J201="",'Detalle'!$K201="",'Detalle'!$L201=""),"",IF(AND(H$8&lt;='Detalle'!$K201,H$9&gt;='Detalle'!$J201),1,""))</x:f>
      </x:c>
      <x:c r="I409" s="32" t="str">
        <x:f>IF(OR('Detalle'!$J201="",'Detalle'!$K201="",'Detalle'!$L201=""),"",IF(AND(I$8&lt;='Detalle'!$K201,I$9&gt;='Detalle'!$J201),1,""))</x:f>
      </x:c>
      <x:c r="J409" s="32" t="str">
        <x:f>IF(OR('Detalle'!$J201="",'Detalle'!$K201="",'Detalle'!$L201=""),"",IF(AND(J$8&lt;='Detalle'!$K201,J$9&gt;='Detalle'!$J201),1,""))</x:f>
      </x:c>
      <x:c r="K409" s="32" t="str">
        <x:f>IF(OR('Detalle'!$J201="",'Detalle'!$K201="",'Detalle'!$L201=""),"",IF(AND(K$8&lt;='Detalle'!$K201,K$9&gt;='Detalle'!$J201),1,""))</x:f>
      </x:c>
      <x:c r="L409" s="32" t="str">
        <x:f>IF(OR('Detalle'!$J201="",'Detalle'!$K201="",'Detalle'!$L201=""),"",IF(AND(L$8&lt;='Detalle'!$K201,L$9&gt;='Detalle'!$J201),1,""))</x:f>
      </x:c>
      <x:c r="M409" s="32" t="str">
        <x:f>IF(OR('Detalle'!$J201="",'Detalle'!$K201="",'Detalle'!$L201=""),"",IF(AND(M$8&lt;='Detalle'!$K201,M$9&gt;='Detalle'!$J201),1,""))</x:f>
      </x:c>
      <x:c r="N409" s="32" t="str">
        <x:f>IF(OR('Detalle'!$J201="",'Detalle'!$K201="",'Detalle'!$L201=""),"",IF(AND(N$8&lt;='Detalle'!$K201,N$9&gt;='Detalle'!$J201),1,""))</x:f>
      </x:c>
      <x:c r="O409" s="32" t="str">
        <x:f>IF(OR('Detalle'!$J201="",'Detalle'!$K201="",'Detalle'!$L201=""),"",IF(AND(O$8&lt;='Detalle'!$K201,O$9&gt;='Detalle'!$J201),1,""))</x:f>
      </x:c>
      <x:c r="P409" s="32" t="str">
        <x:f>IF(OR('Detalle'!$J201="",'Detalle'!$K201="",'Detalle'!$L201=""),"",IF(AND(P$8&lt;='Detalle'!$K201,P$9&gt;='Detalle'!$J201),1,""))</x:f>
      </x:c>
      <x:c r="Q409" s="68"/>
      <x:c r="R409" s="67" t="str"/>
      <x:c r="S409" s="67" t="str"/>
    </x:row>
    <x:row r="410" ht="16" customHeight="1">
      <x:c r="A410" s="56" t="str">
        <x:v>MIS01.010</x:v>
      </x:c>
      <x:c r="B410" s="57" t="str">
        <x:v>Consultar candidaturas propias</x:v>
      </x:c>
      <x:c r="C410" s="62" t="str">
        <x:v>E</x:v>
      </x:c>
      <x:c r="D410" s="64" t="n">
        <x:f>'Detalle'!I202</x:f>
        <x:v>1</x:v>
      </x:c>
      <x:c r="E410" s="60" t="str">
        <x:f>'Detalle'!F202</x:f>
        <x:v>Completado</x:v>
      </x:c>
      <x:c r="F410" s="32" t="str">
        <x:f>IF(AND(F$8&lt;='Detalle'!$H202,F$9&gt;='Detalle'!$G202),1,"")</x:f>
      </x:c>
      <x:c r="G410" s="32" t="str">
        <x:f>IF(AND(G$8&lt;='Detalle'!$H202,G$9&gt;='Detalle'!$G202),1,"")</x:f>
      </x:c>
      <x:c r="H410" s="32" t="n">
        <x:f>IF(AND(H$8&lt;='Detalle'!$H202,H$9&gt;='Detalle'!$G202),1,"")</x:f>
        <x:v>1</x:v>
      </x:c>
      <x:c r="I410" s="32" t="str">
        <x:f>IF(AND(I$8&lt;='Detalle'!$H202,I$9&gt;='Detalle'!$G202),1,"")</x:f>
      </x:c>
      <x:c r="J410" s="32" t="str">
        <x:f>IF(AND(J$8&lt;='Detalle'!$H202,J$9&gt;='Detalle'!$G202),1,"")</x:f>
      </x:c>
      <x:c r="K410" s="32" t="str">
        <x:f>IF(AND(K$8&lt;='Detalle'!$H202,K$9&gt;='Detalle'!$G202),1,"")</x:f>
      </x:c>
      <x:c r="L410" s="32" t="str">
        <x:f>IF(AND(L$8&lt;='Detalle'!$H202,L$9&gt;='Detalle'!$G202),1,"")</x:f>
      </x:c>
      <x:c r="M410" s="32" t="str">
        <x:f>IF(AND(M$8&lt;='Detalle'!$H202,M$9&gt;='Detalle'!$G202),1,"")</x:f>
      </x:c>
      <x:c r="N410" s="32" t="str">
        <x:f>IF(AND(N$8&lt;='Detalle'!$H202,N$9&gt;='Detalle'!$G202),1,"")</x:f>
      </x:c>
      <x:c r="O410" s="32" t="str">
        <x:f>IF(AND(O$8&lt;='Detalle'!$H202,O$9&gt;='Detalle'!$G202),1,"")</x:f>
      </x:c>
      <x:c r="P410" s="32" t="str">
        <x:f>IF(AND(P$8&lt;='Detalle'!$H202,P$9&gt;='Detalle'!$G202),1,"")</x:f>
      </x:c>
      <x:c r="Q410" s="68"/>
      <x:c r="R410" s="67" t="str">
        <x:f>IF('Detalle'!M202="","",'Detalle'!M202)</x:f>
      </x:c>
      <x:c r="S410" s="67" t="str">
        <x:f>IF('Detalle'!N202="","",'Detalle'!N202)</x:f>
      </x:c>
    </x:row>
    <x:row r="411" ht="16" customHeight="1">
      <x:c r="A411" s="56" t="str">
        <x:v>MIS01.010</x:v>
      </x:c>
      <x:c r="B411" s="57" t="str">
        <x:v>Consultar candidaturas propias</x:v>
      </x:c>
      <x:c r="C411" s="63" t="str">
        <x:v>R</x:v>
      </x:c>
      <x:c r="D411" s="65" t="str">
        <x:f>IF('Detalle'!L202="","",'Detalle'!L202)</x:f>
      </x:c>
      <x:c r="E411" s="60" t="str"/>
      <x:c r="F411" s="32" t="str">
        <x:f>IF(OR('Detalle'!$J202="",'Detalle'!$K202="",'Detalle'!$L202=""),"",IF(AND(F$8&lt;='Detalle'!$K202,F$9&gt;='Detalle'!$J202),1,""))</x:f>
      </x:c>
      <x:c r="G411" s="32" t="str">
        <x:f>IF(OR('Detalle'!$J202="",'Detalle'!$K202="",'Detalle'!$L202=""),"",IF(AND(G$8&lt;='Detalle'!$K202,G$9&gt;='Detalle'!$J202),1,""))</x:f>
      </x:c>
      <x:c r="H411" s="32" t="str">
        <x:f>IF(OR('Detalle'!$J202="",'Detalle'!$K202="",'Detalle'!$L202=""),"",IF(AND(H$8&lt;='Detalle'!$K202,H$9&gt;='Detalle'!$J202),1,""))</x:f>
      </x:c>
      <x:c r="I411" s="32" t="str">
        <x:f>IF(OR('Detalle'!$J202="",'Detalle'!$K202="",'Detalle'!$L202=""),"",IF(AND(I$8&lt;='Detalle'!$K202,I$9&gt;='Detalle'!$J202),1,""))</x:f>
      </x:c>
      <x:c r="J411" s="32" t="str">
        <x:f>IF(OR('Detalle'!$J202="",'Detalle'!$K202="",'Detalle'!$L202=""),"",IF(AND(J$8&lt;='Detalle'!$K202,J$9&gt;='Detalle'!$J202),1,""))</x:f>
      </x:c>
      <x:c r="K411" s="32" t="str">
        <x:f>IF(OR('Detalle'!$J202="",'Detalle'!$K202="",'Detalle'!$L202=""),"",IF(AND(K$8&lt;='Detalle'!$K202,K$9&gt;='Detalle'!$J202),1,""))</x:f>
      </x:c>
      <x:c r="L411" s="32" t="str">
        <x:f>IF(OR('Detalle'!$J202="",'Detalle'!$K202="",'Detalle'!$L202=""),"",IF(AND(L$8&lt;='Detalle'!$K202,L$9&gt;='Detalle'!$J202),1,""))</x:f>
      </x:c>
      <x:c r="M411" s="32" t="str">
        <x:f>IF(OR('Detalle'!$J202="",'Detalle'!$K202="",'Detalle'!$L202=""),"",IF(AND(M$8&lt;='Detalle'!$K202,M$9&gt;='Detalle'!$J202),1,""))</x:f>
      </x:c>
      <x:c r="N411" s="32" t="str">
        <x:f>IF(OR('Detalle'!$J202="",'Detalle'!$K202="",'Detalle'!$L202=""),"",IF(AND(N$8&lt;='Detalle'!$K202,N$9&gt;='Detalle'!$J202),1,""))</x:f>
      </x:c>
      <x:c r="O411" s="32" t="str">
        <x:f>IF(OR('Detalle'!$J202="",'Detalle'!$K202="",'Detalle'!$L202=""),"",IF(AND(O$8&lt;='Detalle'!$K202,O$9&gt;='Detalle'!$J202),1,""))</x:f>
      </x:c>
      <x:c r="P411" s="32" t="str">
        <x:f>IF(OR('Detalle'!$J202="",'Detalle'!$K202="",'Detalle'!$L202=""),"",IF(AND(P$8&lt;='Detalle'!$K202,P$9&gt;='Detalle'!$J202),1,""))</x:f>
      </x:c>
      <x:c r="Q411" s="68"/>
      <x:c r="R411" s="67" t="str"/>
      <x:c r="S411" s="67" t="str"/>
    </x:row>
    <x:row r="412" ht="16" customHeight="1">
      <x:c r="A412" s="56" t="str">
        <x:v>MIS01.011</x:v>
      </x:c>
      <x:c r="B412" s="57" t="str">
        <x:v>Retirar candidatura propia</x:v>
      </x:c>
      <x:c r="C412" s="62" t="str">
        <x:v>E</x:v>
      </x:c>
      <x:c r="D412" s="64" t="n">
        <x:f>'Detalle'!I203</x:f>
        <x:v>1</x:v>
      </x:c>
      <x:c r="E412" s="60" t="str">
        <x:f>'Detalle'!F203</x:f>
        <x:v>Completado</x:v>
      </x:c>
      <x:c r="F412" s="32" t="str">
        <x:f>IF(AND(F$8&lt;='Detalle'!$H203,F$9&gt;='Detalle'!$G203),1,"")</x:f>
      </x:c>
      <x:c r="G412" s="32" t="str">
        <x:f>IF(AND(G$8&lt;='Detalle'!$H203,G$9&gt;='Detalle'!$G203),1,"")</x:f>
      </x:c>
      <x:c r="H412" s="32" t="n">
        <x:f>IF(AND(H$8&lt;='Detalle'!$H203,H$9&gt;='Detalle'!$G203),1,"")</x:f>
        <x:v>1</x:v>
      </x:c>
      <x:c r="I412" s="32" t="str">
        <x:f>IF(AND(I$8&lt;='Detalle'!$H203,I$9&gt;='Detalle'!$G203),1,"")</x:f>
      </x:c>
      <x:c r="J412" s="32" t="str">
        <x:f>IF(AND(J$8&lt;='Detalle'!$H203,J$9&gt;='Detalle'!$G203),1,"")</x:f>
      </x:c>
      <x:c r="K412" s="32" t="str">
        <x:f>IF(AND(K$8&lt;='Detalle'!$H203,K$9&gt;='Detalle'!$G203),1,"")</x:f>
      </x:c>
      <x:c r="L412" s="32" t="str">
        <x:f>IF(AND(L$8&lt;='Detalle'!$H203,L$9&gt;='Detalle'!$G203),1,"")</x:f>
      </x:c>
      <x:c r="M412" s="32" t="str">
        <x:f>IF(AND(M$8&lt;='Detalle'!$H203,M$9&gt;='Detalle'!$G203),1,"")</x:f>
      </x:c>
      <x:c r="N412" s="32" t="str">
        <x:f>IF(AND(N$8&lt;='Detalle'!$H203,N$9&gt;='Detalle'!$G203),1,"")</x:f>
      </x:c>
      <x:c r="O412" s="32" t="str">
        <x:f>IF(AND(O$8&lt;='Detalle'!$H203,O$9&gt;='Detalle'!$G203),1,"")</x:f>
      </x:c>
      <x:c r="P412" s="32" t="str">
        <x:f>IF(AND(P$8&lt;='Detalle'!$H203,P$9&gt;='Detalle'!$G203),1,"")</x:f>
      </x:c>
      <x:c r="Q412" s="68"/>
      <x:c r="R412" s="67" t="str">
        <x:f>IF('Detalle'!M203="","",'Detalle'!M203)</x:f>
      </x:c>
      <x:c r="S412" s="67" t="str">
        <x:f>IF('Detalle'!N203="","",'Detalle'!N203)</x:f>
      </x:c>
    </x:row>
    <x:row r="413" ht="16" customHeight="1">
      <x:c r="A413" s="56" t="str">
        <x:v>MIS01.011</x:v>
      </x:c>
      <x:c r="B413" s="57" t="str">
        <x:v>Retirar candidatura propia</x:v>
      </x:c>
      <x:c r="C413" s="63" t="str">
        <x:v>R</x:v>
      </x:c>
      <x:c r="D413" s="65" t="str">
        <x:f>IF('Detalle'!L203="","",'Detalle'!L203)</x:f>
      </x:c>
      <x:c r="E413" s="60" t="str"/>
      <x:c r="F413" s="32" t="str">
        <x:f>IF(OR('Detalle'!$J203="",'Detalle'!$K203="",'Detalle'!$L203=""),"",IF(AND(F$8&lt;='Detalle'!$K203,F$9&gt;='Detalle'!$J203),1,""))</x:f>
      </x:c>
      <x:c r="G413" s="32" t="str">
        <x:f>IF(OR('Detalle'!$J203="",'Detalle'!$K203="",'Detalle'!$L203=""),"",IF(AND(G$8&lt;='Detalle'!$K203,G$9&gt;='Detalle'!$J203),1,""))</x:f>
      </x:c>
      <x:c r="H413" s="32" t="str">
        <x:f>IF(OR('Detalle'!$J203="",'Detalle'!$K203="",'Detalle'!$L203=""),"",IF(AND(H$8&lt;='Detalle'!$K203,H$9&gt;='Detalle'!$J203),1,""))</x:f>
      </x:c>
      <x:c r="I413" s="32" t="str">
        <x:f>IF(OR('Detalle'!$J203="",'Detalle'!$K203="",'Detalle'!$L203=""),"",IF(AND(I$8&lt;='Detalle'!$K203,I$9&gt;='Detalle'!$J203),1,""))</x:f>
      </x:c>
      <x:c r="J413" s="32" t="str">
        <x:f>IF(OR('Detalle'!$J203="",'Detalle'!$K203="",'Detalle'!$L203=""),"",IF(AND(J$8&lt;='Detalle'!$K203,J$9&gt;='Detalle'!$J203),1,""))</x:f>
      </x:c>
      <x:c r="K413" s="32" t="str">
        <x:f>IF(OR('Detalle'!$J203="",'Detalle'!$K203="",'Detalle'!$L203=""),"",IF(AND(K$8&lt;='Detalle'!$K203,K$9&gt;='Detalle'!$J203),1,""))</x:f>
      </x:c>
      <x:c r="L413" s="32" t="str">
        <x:f>IF(OR('Detalle'!$J203="",'Detalle'!$K203="",'Detalle'!$L203=""),"",IF(AND(L$8&lt;='Detalle'!$K203,L$9&gt;='Detalle'!$J203),1,""))</x:f>
      </x:c>
      <x:c r="M413" s="32" t="str">
        <x:f>IF(OR('Detalle'!$J203="",'Detalle'!$K203="",'Detalle'!$L203=""),"",IF(AND(M$8&lt;='Detalle'!$K203,M$9&gt;='Detalle'!$J203),1,""))</x:f>
      </x:c>
      <x:c r="N413" s="32" t="str">
        <x:f>IF(OR('Detalle'!$J203="",'Detalle'!$K203="",'Detalle'!$L203=""),"",IF(AND(N$8&lt;='Detalle'!$K203,N$9&gt;='Detalle'!$J203),1,""))</x:f>
      </x:c>
      <x:c r="O413" s="32" t="str">
        <x:f>IF(OR('Detalle'!$J203="",'Detalle'!$K203="",'Detalle'!$L203=""),"",IF(AND(O$8&lt;='Detalle'!$K203,O$9&gt;='Detalle'!$J203),1,""))</x:f>
      </x:c>
      <x:c r="P413" s="32" t="str">
        <x:f>IF(OR('Detalle'!$J203="",'Detalle'!$K203="",'Detalle'!$L203=""),"",IF(AND(P$8&lt;='Detalle'!$K203,P$9&gt;='Detalle'!$J203),1,""))</x:f>
      </x:c>
      <x:c r="Q413" s="68"/>
      <x:c r="R413" s="67" t="str"/>
      <x:c r="S413" s="67" t="str"/>
    </x:row>
    <x:row r="414" ht="16" customHeight="1">
      <x:c r="A414" s="56" t="str">
        <x:v>MIS01.012</x:v>
      </x:c>
      <x:c r="B414" s="57" t="str">
        <x:v>Aceptar candidatura desde organizador</x:v>
      </x:c>
      <x:c r="C414" s="62" t="str">
        <x:v>E</x:v>
      </x:c>
      <x:c r="D414" s="64" t="n">
        <x:f>'Detalle'!I204</x:f>
        <x:v>1</x:v>
      </x:c>
      <x:c r="E414" s="60" t="str">
        <x:f>'Detalle'!F204</x:f>
        <x:v>Completado</x:v>
      </x:c>
      <x:c r="F414" s="32" t="str">
        <x:f>IF(AND(F$8&lt;='Detalle'!$H204,F$9&gt;='Detalle'!$G204),1,"")</x:f>
      </x:c>
      <x:c r="G414" s="32" t="str">
        <x:f>IF(AND(G$8&lt;='Detalle'!$H204,G$9&gt;='Detalle'!$G204),1,"")</x:f>
      </x:c>
      <x:c r="H414" s="32" t="n">
        <x:f>IF(AND(H$8&lt;='Detalle'!$H204,H$9&gt;='Detalle'!$G204),1,"")</x:f>
        <x:v>1</x:v>
      </x:c>
      <x:c r="I414" s="32" t="str">
        <x:f>IF(AND(I$8&lt;='Detalle'!$H204,I$9&gt;='Detalle'!$G204),1,"")</x:f>
      </x:c>
      <x:c r="J414" s="32" t="str">
        <x:f>IF(AND(J$8&lt;='Detalle'!$H204,J$9&gt;='Detalle'!$G204),1,"")</x:f>
      </x:c>
      <x:c r="K414" s="32" t="str">
        <x:f>IF(AND(K$8&lt;='Detalle'!$H204,K$9&gt;='Detalle'!$G204),1,"")</x:f>
      </x:c>
      <x:c r="L414" s="32" t="str">
        <x:f>IF(AND(L$8&lt;='Detalle'!$H204,L$9&gt;='Detalle'!$G204),1,"")</x:f>
      </x:c>
      <x:c r="M414" s="32" t="str">
        <x:f>IF(AND(M$8&lt;='Detalle'!$H204,M$9&gt;='Detalle'!$G204),1,"")</x:f>
      </x:c>
      <x:c r="N414" s="32" t="str">
        <x:f>IF(AND(N$8&lt;='Detalle'!$H204,N$9&gt;='Detalle'!$G204),1,"")</x:f>
      </x:c>
      <x:c r="O414" s="32" t="str">
        <x:f>IF(AND(O$8&lt;='Detalle'!$H204,O$9&gt;='Detalle'!$G204),1,"")</x:f>
      </x:c>
      <x:c r="P414" s="32" t="str">
        <x:f>IF(AND(P$8&lt;='Detalle'!$H204,P$9&gt;='Detalle'!$G204),1,"")</x:f>
      </x:c>
      <x:c r="Q414" s="68"/>
      <x:c r="R414" s="67" t="str">
        <x:f>IF('Detalle'!M204="","",'Detalle'!M204)</x:f>
      </x:c>
      <x:c r="S414" s="67" t="str">
        <x:f>IF('Detalle'!N204="","",'Detalle'!N204)</x:f>
      </x:c>
    </x:row>
    <x:row r="415" ht="16" customHeight="1">
      <x:c r="A415" s="56" t="str">
        <x:v>MIS01.012</x:v>
      </x:c>
      <x:c r="B415" s="57" t="str">
        <x:v>Aceptar candidatura desde organizador</x:v>
      </x:c>
      <x:c r="C415" s="63" t="str">
        <x:v>R</x:v>
      </x:c>
      <x:c r="D415" s="65" t="str">
        <x:f>IF('Detalle'!L204="","",'Detalle'!L204)</x:f>
      </x:c>
      <x:c r="E415" s="60" t="str"/>
      <x:c r="F415" s="32" t="str">
        <x:f>IF(OR('Detalle'!$J204="",'Detalle'!$K204="",'Detalle'!$L204=""),"",IF(AND(F$8&lt;='Detalle'!$K204,F$9&gt;='Detalle'!$J204),1,""))</x:f>
      </x:c>
      <x:c r="G415" s="32" t="str">
        <x:f>IF(OR('Detalle'!$J204="",'Detalle'!$K204="",'Detalle'!$L204=""),"",IF(AND(G$8&lt;='Detalle'!$K204,G$9&gt;='Detalle'!$J204),1,""))</x:f>
      </x:c>
      <x:c r="H415" s="32" t="str">
        <x:f>IF(OR('Detalle'!$J204="",'Detalle'!$K204="",'Detalle'!$L204=""),"",IF(AND(H$8&lt;='Detalle'!$K204,H$9&gt;='Detalle'!$J204),1,""))</x:f>
      </x:c>
      <x:c r="I415" s="32" t="str">
        <x:f>IF(OR('Detalle'!$J204="",'Detalle'!$K204="",'Detalle'!$L204=""),"",IF(AND(I$8&lt;='Detalle'!$K204,I$9&gt;='Detalle'!$J204),1,""))</x:f>
      </x:c>
      <x:c r="J415" s="32" t="str">
        <x:f>IF(OR('Detalle'!$J204="",'Detalle'!$K204="",'Detalle'!$L204=""),"",IF(AND(J$8&lt;='Detalle'!$K204,J$9&gt;='Detalle'!$J204),1,""))</x:f>
      </x:c>
      <x:c r="K415" s="32" t="str">
        <x:f>IF(OR('Detalle'!$J204="",'Detalle'!$K204="",'Detalle'!$L204=""),"",IF(AND(K$8&lt;='Detalle'!$K204,K$9&gt;='Detalle'!$J204),1,""))</x:f>
      </x:c>
      <x:c r="L415" s="32" t="str">
        <x:f>IF(OR('Detalle'!$J204="",'Detalle'!$K204="",'Detalle'!$L204=""),"",IF(AND(L$8&lt;='Detalle'!$K204,L$9&gt;='Detalle'!$J204),1,""))</x:f>
      </x:c>
      <x:c r="M415" s="32" t="str">
        <x:f>IF(OR('Detalle'!$J204="",'Detalle'!$K204="",'Detalle'!$L204=""),"",IF(AND(M$8&lt;='Detalle'!$K204,M$9&gt;='Detalle'!$J204),1,""))</x:f>
      </x:c>
      <x:c r="N415" s="32" t="str">
        <x:f>IF(OR('Detalle'!$J204="",'Detalle'!$K204="",'Detalle'!$L204=""),"",IF(AND(N$8&lt;='Detalle'!$K204,N$9&gt;='Detalle'!$J204),1,""))</x:f>
      </x:c>
      <x:c r="O415" s="32" t="str">
        <x:f>IF(OR('Detalle'!$J204="",'Detalle'!$K204="",'Detalle'!$L204=""),"",IF(AND(O$8&lt;='Detalle'!$K204,O$9&gt;='Detalle'!$J204),1,""))</x:f>
      </x:c>
      <x:c r="P415" s="32" t="str">
        <x:f>IF(OR('Detalle'!$J204="",'Detalle'!$K204="",'Detalle'!$L204=""),"",IF(AND(P$8&lt;='Detalle'!$K204,P$9&gt;='Detalle'!$J204),1,""))</x:f>
      </x:c>
      <x:c r="Q415" s="68"/>
      <x:c r="R415" s="67" t="str"/>
      <x:c r="S415" s="67" t="str"/>
    </x:row>
    <x:row r="416" ht="16" customHeight="1">
      <x:c r="A416" s="56" t="str">
        <x:v>MIS01.013</x:v>
      </x:c>
      <x:c r="B416" s="57" t="str">
        <x:v>Rechazar candidatura individual</x:v>
      </x:c>
      <x:c r="C416" s="62" t="str">
        <x:v>E</x:v>
      </x:c>
      <x:c r="D416" s="64" t="n">
        <x:f>'Detalle'!I205</x:f>
        <x:v>1</x:v>
      </x:c>
      <x:c r="E416" s="60" t="str">
        <x:f>'Detalle'!F205</x:f>
        <x:v>Completado</x:v>
      </x:c>
      <x:c r="F416" s="32" t="str">
        <x:f>IF(AND(F$8&lt;='Detalle'!$H205,F$9&gt;='Detalle'!$G205),1,"")</x:f>
      </x:c>
      <x:c r="G416" s="32" t="str">
        <x:f>IF(AND(G$8&lt;='Detalle'!$H205,G$9&gt;='Detalle'!$G205),1,"")</x:f>
      </x:c>
      <x:c r="H416" s="32" t="n">
        <x:f>IF(AND(H$8&lt;='Detalle'!$H205,H$9&gt;='Detalle'!$G205),1,"")</x:f>
        <x:v>1</x:v>
      </x:c>
      <x:c r="I416" s="32" t="str">
        <x:f>IF(AND(I$8&lt;='Detalle'!$H205,I$9&gt;='Detalle'!$G205),1,"")</x:f>
      </x:c>
      <x:c r="J416" s="32" t="str">
        <x:f>IF(AND(J$8&lt;='Detalle'!$H205,J$9&gt;='Detalle'!$G205),1,"")</x:f>
      </x:c>
      <x:c r="K416" s="32" t="str">
        <x:f>IF(AND(K$8&lt;='Detalle'!$H205,K$9&gt;='Detalle'!$G205),1,"")</x:f>
      </x:c>
      <x:c r="L416" s="32" t="str">
        <x:f>IF(AND(L$8&lt;='Detalle'!$H205,L$9&gt;='Detalle'!$G205),1,"")</x:f>
      </x:c>
      <x:c r="M416" s="32" t="str">
        <x:f>IF(AND(M$8&lt;='Detalle'!$H205,M$9&gt;='Detalle'!$G205),1,"")</x:f>
      </x:c>
      <x:c r="N416" s="32" t="str">
        <x:f>IF(AND(N$8&lt;='Detalle'!$H205,N$9&gt;='Detalle'!$G205),1,"")</x:f>
      </x:c>
      <x:c r="O416" s="32" t="str">
        <x:f>IF(AND(O$8&lt;='Detalle'!$H205,O$9&gt;='Detalle'!$G205),1,"")</x:f>
      </x:c>
      <x:c r="P416" s="32" t="str">
        <x:f>IF(AND(P$8&lt;='Detalle'!$H205,P$9&gt;='Detalle'!$G205),1,"")</x:f>
      </x:c>
      <x:c r="Q416" s="68"/>
      <x:c r="R416" s="67" t="str">
        <x:f>IF('Detalle'!M205="","",'Detalle'!M205)</x:f>
      </x:c>
      <x:c r="S416" s="67" t="str">
        <x:f>IF('Detalle'!N205="","",'Detalle'!N205)</x:f>
      </x:c>
    </x:row>
    <x:row r="417" ht="16" customHeight="1">
      <x:c r="A417" s="56" t="str">
        <x:v>MIS01.013</x:v>
      </x:c>
      <x:c r="B417" s="57" t="str">
        <x:v>Rechazar candidatura individual</x:v>
      </x:c>
      <x:c r="C417" s="63" t="str">
        <x:v>R</x:v>
      </x:c>
      <x:c r="D417" s="65" t="str">
        <x:f>IF('Detalle'!L205="","",'Detalle'!L205)</x:f>
      </x:c>
      <x:c r="E417" s="60" t="str"/>
      <x:c r="F417" s="32" t="str">
        <x:f>IF(OR('Detalle'!$J205="",'Detalle'!$K205="",'Detalle'!$L205=""),"",IF(AND(F$8&lt;='Detalle'!$K205,F$9&gt;='Detalle'!$J205),1,""))</x:f>
      </x:c>
      <x:c r="G417" s="32" t="str">
        <x:f>IF(OR('Detalle'!$J205="",'Detalle'!$K205="",'Detalle'!$L205=""),"",IF(AND(G$8&lt;='Detalle'!$K205,G$9&gt;='Detalle'!$J205),1,""))</x:f>
      </x:c>
      <x:c r="H417" s="32" t="str">
        <x:f>IF(OR('Detalle'!$J205="",'Detalle'!$K205="",'Detalle'!$L205=""),"",IF(AND(H$8&lt;='Detalle'!$K205,H$9&gt;='Detalle'!$J205),1,""))</x:f>
      </x:c>
      <x:c r="I417" s="32" t="str">
        <x:f>IF(OR('Detalle'!$J205="",'Detalle'!$K205="",'Detalle'!$L205=""),"",IF(AND(I$8&lt;='Detalle'!$K205,I$9&gt;='Detalle'!$J205),1,""))</x:f>
      </x:c>
      <x:c r="J417" s="32" t="str">
        <x:f>IF(OR('Detalle'!$J205="",'Detalle'!$K205="",'Detalle'!$L205=""),"",IF(AND(J$8&lt;='Detalle'!$K205,J$9&gt;='Detalle'!$J205),1,""))</x:f>
      </x:c>
      <x:c r="K417" s="32" t="str">
        <x:f>IF(OR('Detalle'!$J205="",'Detalle'!$K205="",'Detalle'!$L205=""),"",IF(AND(K$8&lt;='Detalle'!$K205,K$9&gt;='Detalle'!$J205),1,""))</x:f>
      </x:c>
      <x:c r="L417" s="32" t="str">
        <x:f>IF(OR('Detalle'!$J205="",'Detalle'!$K205="",'Detalle'!$L205=""),"",IF(AND(L$8&lt;='Detalle'!$K205,L$9&gt;='Detalle'!$J205),1,""))</x:f>
      </x:c>
      <x:c r="M417" s="32" t="str">
        <x:f>IF(OR('Detalle'!$J205="",'Detalle'!$K205="",'Detalle'!$L205=""),"",IF(AND(M$8&lt;='Detalle'!$K205,M$9&gt;='Detalle'!$J205),1,""))</x:f>
      </x:c>
      <x:c r="N417" s="32" t="str">
        <x:f>IF(OR('Detalle'!$J205="",'Detalle'!$K205="",'Detalle'!$L205=""),"",IF(AND(N$8&lt;='Detalle'!$K205,N$9&gt;='Detalle'!$J205),1,""))</x:f>
      </x:c>
      <x:c r="O417" s="32" t="str">
        <x:f>IF(OR('Detalle'!$J205="",'Detalle'!$K205="",'Detalle'!$L205=""),"",IF(AND(O$8&lt;='Detalle'!$K205,O$9&gt;='Detalle'!$J205),1,""))</x:f>
      </x:c>
      <x:c r="P417" s="32" t="str">
        <x:f>IF(OR('Detalle'!$J205="",'Detalle'!$K205="",'Detalle'!$L205=""),"",IF(AND(P$8&lt;='Detalle'!$K205,P$9&gt;='Detalle'!$J205),1,""))</x:f>
      </x:c>
      <x:c r="Q417" s="68"/>
      <x:c r="R417" s="67" t="str"/>
      <x:c r="S417" s="67" t="str"/>
    </x:row>
    <x:row r="418" ht="16" customHeight="1">
      <x:c r="A418" s="56" t="str">
        <x:v>MIS01.014</x:v>
      </x:c>
      <x:c r="B418" s="57" t="str">
        <x:v>Cerrar convocatoria</x:v>
      </x:c>
      <x:c r="C418" s="62" t="str">
        <x:v>E</x:v>
      </x:c>
      <x:c r="D418" s="64" t="n">
        <x:f>'Detalle'!I206</x:f>
        <x:v>1</x:v>
      </x:c>
      <x:c r="E418" s="60" t="str">
        <x:f>'Detalle'!F206</x:f>
        <x:v>Completado</x:v>
      </x:c>
      <x:c r="F418" s="32" t="str">
        <x:f>IF(AND(F$8&lt;='Detalle'!$H206,F$9&gt;='Detalle'!$G206),1,"")</x:f>
      </x:c>
      <x:c r="G418" s="32" t="str">
        <x:f>IF(AND(G$8&lt;='Detalle'!$H206,G$9&gt;='Detalle'!$G206),1,"")</x:f>
      </x:c>
      <x:c r="H418" s="32" t="n">
        <x:f>IF(AND(H$8&lt;='Detalle'!$H206,H$9&gt;='Detalle'!$G206),1,"")</x:f>
        <x:v>1</x:v>
      </x:c>
      <x:c r="I418" s="32" t="str">
        <x:f>IF(AND(I$8&lt;='Detalle'!$H206,I$9&gt;='Detalle'!$G206),1,"")</x:f>
      </x:c>
      <x:c r="J418" s="32" t="str">
        <x:f>IF(AND(J$8&lt;='Detalle'!$H206,J$9&gt;='Detalle'!$G206),1,"")</x:f>
      </x:c>
      <x:c r="K418" s="32" t="str">
        <x:f>IF(AND(K$8&lt;='Detalle'!$H206,K$9&gt;='Detalle'!$G206),1,"")</x:f>
      </x:c>
      <x:c r="L418" s="32" t="str">
        <x:f>IF(AND(L$8&lt;='Detalle'!$H206,L$9&gt;='Detalle'!$G206),1,"")</x:f>
      </x:c>
      <x:c r="M418" s="32" t="str">
        <x:f>IF(AND(M$8&lt;='Detalle'!$H206,M$9&gt;='Detalle'!$G206),1,"")</x:f>
      </x:c>
      <x:c r="N418" s="32" t="str">
        <x:f>IF(AND(N$8&lt;='Detalle'!$H206,N$9&gt;='Detalle'!$G206),1,"")</x:f>
      </x:c>
      <x:c r="O418" s="32" t="str">
        <x:f>IF(AND(O$8&lt;='Detalle'!$H206,O$9&gt;='Detalle'!$G206),1,"")</x:f>
      </x:c>
      <x:c r="P418" s="32" t="str">
        <x:f>IF(AND(P$8&lt;='Detalle'!$H206,P$9&gt;='Detalle'!$G206),1,"")</x:f>
      </x:c>
      <x:c r="Q418" s="68"/>
      <x:c r="R418" s="67" t="str">
        <x:f>IF('Detalle'!M206="","",'Detalle'!M206)</x:f>
      </x:c>
      <x:c r="S418" s="67" t="str">
        <x:f>IF('Detalle'!N206="","",'Detalle'!N206)</x:f>
      </x:c>
    </x:row>
    <x:row r="419" ht="16" customHeight="1">
      <x:c r="A419" s="56" t="str">
        <x:v>MIS01.014</x:v>
      </x:c>
      <x:c r="B419" s="57" t="str">
        <x:v>Cerrar convocatoria</x:v>
      </x:c>
      <x:c r="C419" s="63" t="str">
        <x:v>R</x:v>
      </x:c>
      <x:c r="D419" s="65" t="str">
        <x:f>IF('Detalle'!L206="","",'Detalle'!L206)</x:f>
      </x:c>
      <x:c r="E419" s="60" t="str"/>
      <x:c r="F419" s="32" t="str">
        <x:f>IF(OR('Detalle'!$J206="",'Detalle'!$K206="",'Detalle'!$L206=""),"",IF(AND(F$8&lt;='Detalle'!$K206,F$9&gt;='Detalle'!$J206),1,""))</x:f>
      </x:c>
      <x:c r="G419" s="32" t="str">
        <x:f>IF(OR('Detalle'!$J206="",'Detalle'!$K206="",'Detalle'!$L206=""),"",IF(AND(G$8&lt;='Detalle'!$K206,G$9&gt;='Detalle'!$J206),1,""))</x:f>
      </x:c>
      <x:c r="H419" s="32" t="str">
        <x:f>IF(OR('Detalle'!$J206="",'Detalle'!$K206="",'Detalle'!$L206=""),"",IF(AND(H$8&lt;='Detalle'!$K206,H$9&gt;='Detalle'!$J206),1,""))</x:f>
      </x:c>
      <x:c r="I419" s="32" t="str">
        <x:f>IF(OR('Detalle'!$J206="",'Detalle'!$K206="",'Detalle'!$L206=""),"",IF(AND(I$8&lt;='Detalle'!$K206,I$9&gt;='Detalle'!$J206),1,""))</x:f>
      </x:c>
      <x:c r="J419" s="32" t="str">
        <x:f>IF(OR('Detalle'!$J206="",'Detalle'!$K206="",'Detalle'!$L206=""),"",IF(AND(J$8&lt;='Detalle'!$K206,J$9&gt;='Detalle'!$J206),1,""))</x:f>
      </x:c>
      <x:c r="K419" s="32" t="str">
        <x:f>IF(OR('Detalle'!$J206="",'Detalle'!$K206="",'Detalle'!$L206=""),"",IF(AND(K$8&lt;='Detalle'!$K206,K$9&gt;='Detalle'!$J206),1,""))</x:f>
      </x:c>
      <x:c r="L419" s="32" t="str">
        <x:f>IF(OR('Detalle'!$J206="",'Detalle'!$K206="",'Detalle'!$L206=""),"",IF(AND(L$8&lt;='Detalle'!$K206,L$9&gt;='Detalle'!$J206),1,""))</x:f>
      </x:c>
      <x:c r="M419" s="32" t="str">
        <x:f>IF(OR('Detalle'!$J206="",'Detalle'!$K206="",'Detalle'!$L206=""),"",IF(AND(M$8&lt;='Detalle'!$K206,M$9&gt;='Detalle'!$J206),1,""))</x:f>
      </x:c>
      <x:c r="N419" s="32" t="str">
        <x:f>IF(OR('Detalle'!$J206="",'Detalle'!$K206="",'Detalle'!$L206=""),"",IF(AND(N$8&lt;='Detalle'!$K206,N$9&gt;='Detalle'!$J206),1,""))</x:f>
      </x:c>
      <x:c r="O419" s="32" t="str">
        <x:f>IF(OR('Detalle'!$J206="",'Detalle'!$K206="",'Detalle'!$L206=""),"",IF(AND(O$8&lt;='Detalle'!$K206,O$9&gt;='Detalle'!$J206),1,""))</x:f>
      </x:c>
      <x:c r="P419" s="32" t="str">
        <x:f>IF(OR('Detalle'!$J206="",'Detalle'!$K206="",'Detalle'!$L206=""),"",IF(AND(P$8&lt;='Detalle'!$K206,P$9&gt;='Detalle'!$J206),1,""))</x:f>
      </x:c>
      <x:c r="Q419" s="68"/>
      <x:c r="R419" s="67" t="str"/>
      <x:c r="S419" s="67" t="str"/>
    </x:row>
    <x:row r="420" ht="16" customHeight="1">
      <x:c r="A420" s="56" t="str">
        <x:v>MIS01.015</x:v>
      </x:c>
      <x:c r="B420" s="57" t="str">
        <x:v>Reabrir convocatoria válida</x:v>
      </x:c>
      <x:c r="C420" s="62" t="str">
        <x:v>E</x:v>
      </x:c>
      <x:c r="D420" s="64" t="n">
        <x:f>'Detalle'!I207</x:f>
        <x:v>1</x:v>
      </x:c>
      <x:c r="E420" s="60" t="str">
        <x:f>'Detalle'!F207</x:f>
        <x:v>Completado</x:v>
      </x:c>
      <x:c r="F420" s="32" t="str">
        <x:f>IF(AND(F$8&lt;='Detalle'!$H207,F$9&gt;='Detalle'!$G207),1,"")</x:f>
      </x:c>
      <x:c r="G420" s="32" t="str">
        <x:f>IF(AND(G$8&lt;='Detalle'!$H207,G$9&gt;='Detalle'!$G207),1,"")</x:f>
      </x:c>
      <x:c r="H420" s="32" t="n">
        <x:f>IF(AND(H$8&lt;='Detalle'!$H207,H$9&gt;='Detalle'!$G207),1,"")</x:f>
        <x:v>1</x:v>
      </x:c>
      <x:c r="I420" s="32" t="str">
        <x:f>IF(AND(I$8&lt;='Detalle'!$H207,I$9&gt;='Detalle'!$G207),1,"")</x:f>
      </x:c>
      <x:c r="J420" s="32" t="str">
        <x:f>IF(AND(J$8&lt;='Detalle'!$H207,J$9&gt;='Detalle'!$G207),1,"")</x:f>
      </x:c>
      <x:c r="K420" s="32" t="str">
        <x:f>IF(AND(K$8&lt;='Detalle'!$H207,K$9&gt;='Detalle'!$G207),1,"")</x:f>
      </x:c>
      <x:c r="L420" s="32" t="str">
        <x:f>IF(AND(L$8&lt;='Detalle'!$H207,L$9&gt;='Detalle'!$G207),1,"")</x:f>
      </x:c>
      <x:c r="M420" s="32" t="str">
        <x:f>IF(AND(M$8&lt;='Detalle'!$H207,M$9&gt;='Detalle'!$G207),1,"")</x:f>
      </x:c>
      <x:c r="N420" s="32" t="str">
        <x:f>IF(AND(N$8&lt;='Detalle'!$H207,N$9&gt;='Detalle'!$G207),1,"")</x:f>
      </x:c>
      <x:c r="O420" s="32" t="str">
        <x:f>IF(AND(O$8&lt;='Detalle'!$H207,O$9&gt;='Detalle'!$G207),1,"")</x:f>
      </x:c>
      <x:c r="P420" s="32" t="str">
        <x:f>IF(AND(P$8&lt;='Detalle'!$H207,P$9&gt;='Detalle'!$G207),1,"")</x:f>
      </x:c>
      <x:c r="Q420" s="68"/>
      <x:c r="R420" s="67" t="str">
        <x:f>IF('Detalle'!M207="","",'Detalle'!M207)</x:f>
      </x:c>
      <x:c r="S420" s="67" t="str">
        <x:f>IF('Detalle'!N207="","",'Detalle'!N207)</x:f>
      </x:c>
    </x:row>
    <x:row r="421" ht="16" customHeight="1">
      <x:c r="A421" s="56" t="str">
        <x:v>MIS01.015</x:v>
      </x:c>
      <x:c r="B421" s="57" t="str">
        <x:v>Reabrir convocatoria válida</x:v>
      </x:c>
      <x:c r="C421" s="63" t="str">
        <x:v>R</x:v>
      </x:c>
      <x:c r="D421" s="65" t="str">
        <x:f>IF('Detalle'!L207="","",'Detalle'!L207)</x:f>
      </x:c>
      <x:c r="E421" s="60" t="str"/>
      <x:c r="F421" s="32" t="str">
        <x:f>IF(OR('Detalle'!$J207="",'Detalle'!$K207="",'Detalle'!$L207=""),"",IF(AND(F$8&lt;='Detalle'!$K207,F$9&gt;='Detalle'!$J207),1,""))</x:f>
      </x:c>
      <x:c r="G421" s="32" t="str">
        <x:f>IF(OR('Detalle'!$J207="",'Detalle'!$K207="",'Detalle'!$L207=""),"",IF(AND(G$8&lt;='Detalle'!$K207,G$9&gt;='Detalle'!$J207),1,""))</x:f>
      </x:c>
      <x:c r="H421" s="32" t="str">
        <x:f>IF(OR('Detalle'!$J207="",'Detalle'!$K207="",'Detalle'!$L207=""),"",IF(AND(H$8&lt;='Detalle'!$K207,H$9&gt;='Detalle'!$J207),1,""))</x:f>
      </x:c>
      <x:c r="I421" s="32" t="str">
        <x:f>IF(OR('Detalle'!$J207="",'Detalle'!$K207="",'Detalle'!$L207=""),"",IF(AND(I$8&lt;='Detalle'!$K207,I$9&gt;='Detalle'!$J207),1,""))</x:f>
      </x:c>
      <x:c r="J421" s="32" t="str">
        <x:f>IF(OR('Detalle'!$J207="",'Detalle'!$K207="",'Detalle'!$L207=""),"",IF(AND(J$8&lt;='Detalle'!$K207,J$9&gt;='Detalle'!$J207),1,""))</x:f>
      </x:c>
      <x:c r="K421" s="32" t="str">
        <x:f>IF(OR('Detalle'!$J207="",'Detalle'!$K207="",'Detalle'!$L207=""),"",IF(AND(K$8&lt;='Detalle'!$K207,K$9&gt;='Detalle'!$J207),1,""))</x:f>
      </x:c>
      <x:c r="L421" s="32" t="str">
        <x:f>IF(OR('Detalle'!$J207="",'Detalle'!$K207="",'Detalle'!$L207=""),"",IF(AND(L$8&lt;='Detalle'!$K207,L$9&gt;='Detalle'!$J207),1,""))</x:f>
      </x:c>
      <x:c r="M421" s="32" t="str">
        <x:f>IF(OR('Detalle'!$J207="",'Detalle'!$K207="",'Detalle'!$L207=""),"",IF(AND(M$8&lt;='Detalle'!$K207,M$9&gt;='Detalle'!$J207),1,""))</x:f>
      </x:c>
      <x:c r="N421" s="32" t="str">
        <x:f>IF(OR('Detalle'!$J207="",'Detalle'!$K207="",'Detalle'!$L207=""),"",IF(AND(N$8&lt;='Detalle'!$K207,N$9&gt;='Detalle'!$J207),1,""))</x:f>
      </x:c>
      <x:c r="O421" s="32" t="str">
        <x:f>IF(OR('Detalle'!$J207="",'Detalle'!$K207="",'Detalle'!$L207=""),"",IF(AND(O$8&lt;='Detalle'!$K207,O$9&gt;='Detalle'!$J207),1,""))</x:f>
      </x:c>
      <x:c r="P421" s="32" t="str">
        <x:f>IF(OR('Detalle'!$J207="",'Detalle'!$K207="",'Detalle'!$L207=""),"",IF(AND(P$8&lt;='Detalle'!$K207,P$9&gt;='Detalle'!$J207),1,""))</x:f>
      </x:c>
      <x:c r="Q421" s="68"/>
      <x:c r="R421" s="67" t="str"/>
      <x:c r="S421" s="67" t="str"/>
    </x:row>
    <x:row r="422" ht="16" customHeight="1">
      <x:c r="A422" s="56" t="str">
        <x:v>MIS01.016</x:v>
      </x:c>
      <x:c r="B422" s="57" t="str">
        <x:v>Cancelar misión con motivo</x:v>
      </x:c>
      <x:c r="C422" s="62" t="str">
        <x:v>E</x:v>
      </x:c>
      <x:c r="D422" s="64" t="n">
        <x:f>'Detalle'!I208</x:f>
        <x:v>1</x:v>
      </x:c>
      <x:c r="E422" s="60" t="str">
        <x:f>'Detalle'!F208</x:f>
        <x:v>Completado</x:v>
      </x:c>
      <x:c r="F422" s="32" t="str">
        <x:f>IF(AND(F$8&lt;='Detalle'!$H208,F$9&gt;='Detalle'!$G208),1,"")</x:f>
      </x:c>
      <x:c r="G422" s="32" t="str">
        <x:f>IF(AND(G$8&lt;='Detalle'!$H208,G$9&gt;='Detalle'!$G208),1,"")</x:f>
      </x:c>
      <x:c r="H422" s="32" t="n">
        <x:f>IF(AND(H$8&lt;='Detalle'!$H208,H$9&gt;='Detalle'!$G208),1,"")</x:f>
        <x:v>1</x:v>
      </x:c>
      <x:c r="I422" s="32" t="str">
        <x:f>IF(AND(I$8&lt;='Detalle'!$H208,I$9&gt;='Detalle'!$G208),1,"")</x:f>
      </x:c>
      <x:c r="J422" s="32" t="str">
        <x:f>IF(AND(J$8&lt;='Detalle'!$H208,J$9&gt;='Detalle'!$G208),1,"")</x:f>
      </x:c>
      <x:c r="K422" s="32" t="str">
        <x:f>IF(AND(K$8&lt;='Detalle'!$H208,K$9&gt;='Detalle'!$G208),1,"")</x:f>
      </x:c>
      <x:c r="L422" s="32" t="str">
        <x:f>IF(AND(L$8&lt;='Detalle'!$H208,L$9&gt;='Detalle'!$G208),1,"")</x:f>
      </x:c>
      <x:c r="M422" s="32" t="str">
        <x:f>IF(AND(M$8&lt;='Detalle'!$H208,M$9&gt;='Detalle'!$G208),1,"")</x:f>
      </x:c>
      <x:c r="N422" s="32" t="str">
        <x:f>IF(AND(N$8&lt;='Detalle'!$H208,N$9&gt;='Detalle'!$G208),1,"")</x:f>
      </x:c>
      <x:c r="O422" s="32" t="str">
        <x:f>IF(AND(O$8&lt;='Detalle'!$H208,O$9&gt;='Detalle'!$G208),1,"")</x:f>
      </x:c>
      <x:c r="P422" s="32" t="str">
        <x:f>IF(AND(P$8&lt;='Detalle'!$H208,P$9&gt;='Detalle'!$G208),1,"")</x:f>
      </x:c>
      <x:c r="Q422" s="68"/>
      <x:c r="R422" s="67" t="str">
        <x:f>IF('Detalle'!M208="","",'Detalle'!M208)</x:f>
      </x:c>
      <x:c r="S422" s="67" t="str">
        <x:f>IF('Detalle'!N208="","",'Detalle'!N208)</x:f>
      </x:c>
    </x:row>
    <x:row r="423" ht="16" customHeight="1">
      <x:c r="A423" s="56" t="str">
        <x:v>MIS01.016</x:v>
      </x:c>
      <x:c r="B423" s="57" t="str">
        <x:v>Cancelar misión con motivo</x:v>
      </x:c>
      <x:c r="C423" s="63" t="str">
        <x:v>R</x:v>
      </x:c>
      <x:c r="D423" s="65" t="str">
        <x:f>IF('Detalle'!L208="","",'Detalle'!L208)</x:f>
      </x:c>
      <x:c r="E423" s="60" t="str"/>
      <x:c r="F423" s="32" t="str">
        <x:f>IF(OR('Detalle'!$J208="",'Detalle'!$K208="",'Detalle'!$L208=""),"",IF(AND(F$8&lt;='Detalle'!$K208,F$9&gt;='Detalle'!$J208),1,""))</x:f>
      </x:c>
      <x:c r="G423" s="32" t="str">
        <x:f>IF(OR('Detalle'!$J208="",'Detalle'!$K208="",'Detalle'!$L208=""),"",IF(AND(G$8&lt;='Detalle'!$K208,G$9&gt;='Detalle'!$J208),1,""))</x:f>
      </x:c>
      <x:c r="H423" s="32" t="str">
        <x:f>IF(OR('Detalle'!$J208="",'Detalle'!$K208="",'Detalle'!$L208=""),"",IF(AND(H$8&lt;='Detalle'!$K208,H$9&gt;='Detalle'!$J208),1,""))</x:f>
      </x:c>
      <x:c r="I423" s="32" t="str">
        <x:f>IF(OR('Detalle'!$J208="",'Detalle'!$K208="",'Detalle'!$L208=""),"",IF(AND(I$8&lt;='Detalle'!$K208,I$9&gt;='Detalle'!$J208),1,""))</x:f>
      </x:c>
      <x:c r="J423" s="32" t="str">
        <x:f>IF(OR('Detalle'!$J208="",'Detalle'!$K208="",'Detalle'!$L208=""),"",IF(AND(J$8&lt;='Detalle'!$K208,J$9&gt;='Detalle'!$J208),1,""))</x:f>
      </x:c>
      <x:c r="K423" s="32" t="str">
        <x:f>IF(OR('Detalle'!$J208="",'Detalle'!$K208="",'Detalle'!$L208=""),"",IF(AND(K$8&lt;='Detalle'!$K208,K$9&gt;='Detalle'!$J208),1,""))</x:f>
      </x:c>
      <x:c r="L423" s="32" t="str">
        <x:f>IF(OR('Detalle'!$J208="",'Detalle'!$K208="",'Detalle'!$L208=""),"",IF(AND(L$8&lt;='Detalle'!$K208,L$9&gt;='Detalle'!$J208),1,""))</x:f>
      </x:c>
      <x:c r="M423" s="32" t="str">
        <x:f>IF(OR('Detalle'!$J208="",'Detalle'!$K208="",'Detalle'!$L208=""),"",IF(AND(M$8&lt;='Detalle'!$K208,M$9&gt;='Detalle'!$J208),1,""))</x:f>
      </x:c>
      <x:c r="N423" s="32" t="str">
        <x:f>IF(OR('Detalle'!$J208="",'Detalle'!$K208="",'Detalle'!$L208=""),"",IF(AND(N$8&lt;='Detalle'!$K208,N$9&gt;='Detalle'!$J208),1,""))</x:f>
      </x:c>
      <x:c r="O423" s="32" t="str">
        <x:f>IF(OR('Detalle'!$J208="",'Detalle'!$K208="",'Detalle'!$L208=""),"",IF(AND(O$8&lt;='Detalle'!$K208,O$9&gt;='Detalle'!$J208),1,""))</x:f>
      </x:c>
      <x:c r="P423" s="32" t="str">
        <x:f>IF(OR('Detalle'!$J208="",'Detalle'!$K208="",'Detalle'!$L208=""),"",IF(AND(P$8&lt;='Detalle'!$K208,P$9&gt;='Detalle'!$J208),1,""))</x:f>
      </x:c>
      <x:c r="Q423" s="68"/>
      <x:c r="R423" s="67" t="str"/>
      <x:c r="S423" s="67" t="str"/>
    </x:row>
    <x:row r="424" ht="16" customHeight="1">
      <x:c r="A424" s="56" t="str">
        <x:v>MIS01.017</x:v>
      </x:c>
      <x:c r="B424" s="57" t="str">
        <x:v>Finalizar misión</x:v>
      </x:c>
      <x:c r="C424" s="62" t="str">
        <x:v>E</x:v>
      </x:c>
      <x:c r="D424" s="64" t="n">
        <x:f>'Detalle'!I209</x:f>
        <x:v>1</x:v>
      </x:c>
      <x:c r="E424" s="60" t="str">
        <x:f>'Detalle'!F209</x:f>
        <x:v>Completado</x:v>
      </x:c>
      <x:c r="F424" s="32" t="str">
        <x:f>IF(AND(F$8&lt;='Detalle'!$H209,F$9&gt;='Detalle'!$G209),1,"")</x:f>
      </x:c>
      <x:c r="G424" s="32" t="str">
        <x:f>IF(AND(G$8&lt;='Detalle'!$H209,G$9&gt;='Detalle'!$G209),1,"")</x:f>
      </x:c>
      <x:c r="H424" s="32" t="n">
        <x:f>IF(AND(H$8&lt;='Detalle'!$H209,H$9&gt;='Detalle'!$G209),1,"")</x:f>
        <x:v>1</x:v>
      </x:c>
      <x:c r="I424" s="32" t="str">
        <x:f>IF(AND(I$8&lt;='Detalle'!$H209,I$9&gt;='Detalle'!$G209),1,"")</x:f>
      </x:c>
      <x:c r="J424" s="32" t="str">
        <x:f>IF(AND(J$8&lt;='Detalle'!$H209,J$9&gt;='Detalle'!$G209),1,"")</x:f>
      </x:c>
      <x:c r="K424" s="32" t="str">
        <x:f>IF(AND(K$8&lt;='Detalle'!$H209,K$9&gt;='Detalle'!$G209),1,"")</x:f>
      </x:c>
      <x:c r="L424" s="32" t="str">
        <x:f>IF(AND(L$8&lt;='Detalle'!$H209,L$9&gt;='Detalle'!$G209),1,"")</x:f>
      </x:c>
      <x:c r="M424" s="32" t="str">
        <x:f>IF(AND(M$8&lt;='Detalle'!$H209,M$9&gt;='Detalle'!$G209),1,"")</x:f>
      </x:c>
      <x:c r="N424" s="32" t="str">
        <x:f>IF(AND(N$8&lt;='Detalle'!$H209,N$9&gt;='Detalle'!$G209),1,"")</x:f>
      </x:c>
      <x:c r="O424" s="32" t="str">
        <x:f>IF(AND(O$8&lt;='Detalle'!$H209,O$9&gt;='Detalle'!$G209),1,"")</x:f>
      </x:c>
      <x:c r="P424" s="32" t="str">
        <x:f>IF(AND(P$8&lt;='Detalle'!$H209,P$9&gt;='Detalle'!$G209),1,"")</x:f>
      </x:c>
      <x:c r="Q424" s="68"/>
      <x:c r="R424" s="67" t="str">
        <x:f>IF('Detalle'!M209="","",'Detalle'!M209)</x:f>
      </x:c>
      <x:c r="S424" s="67" t="str">
        <x:f>IF('Detalle'!N209="","",'Detalle'!N209)</x:f>
      </x:c>
    </x:row>
    <x:row r="425" ht="16" customHeight="1">
      <x:c r="A425" s="56" t="str">
        <x:v>MIS01.017</x:v>
      </x:c>
      <x:c r="B425" s="57" t="str">
        <x:v>Finalizar misión</x:v>
      </x:c>
      <x:c r="C425" s="63" t="str">
        <x:v>R</x:v>
      </x:c>
      <x:c r="D425" s="65" t="str">
        <x:f>IF('Detalle'!L209="","",'Detalle'!L209)</x:f>
      </x:c>
      <x:c r="E425" s="60" t="str"/>
      <x:c r="F425" s="32" t="str">
        <x:f>IF(OR('Detalle'!$J209="",'Detalle'!$K209="",'Detalle'!$L209=""),"",IF(AND(F$8&lt;='Detalle'!$K209,F$9&gt;='Detalle'!$J209),1,""))</x:f>
      </x:c>
      <x:c r="G425" s="32" t="str">
        <x:f>IF(OR('Detalle'!$J209="",'Detalle'!$K209="",'Detalle'!$L209=""),"",IF(AND(G$8&lt;='Detalle'!$K209,G$9&gt;='Detalle'!$J209),1,""))</x:f>
      </x:c>
      <x:c r="H425" s="32" t="str">
        <x:f>IF(OR('Detalle'!$J209="",'Detalle'!$K209="",'Detalle'!$L209=""),"",IF(AND(H$8&lt;='Detalle'!$K209,H$9&gt;='Detalle'!$J209),1,""))</x:f>
      </x:c>
      <x:c r="I425" s="32" t="str">
        <x:f>IF(OR('Detalle'!$J209="",'Detalle'!$K209="",'Detalle'!$L209=""),"",IF(AND(I$8&lt;='Detalle'!$K209,I$9&gt;='Detalle'!$J209),1,""))</x:f>
      </x:c>
      <x:c r="J425" s="32" t="str">
        <x:f>IF(OR('Detalle'!$J209="",'Detalle'!$K209="",'Detalle'!$L209=""),"",IF(AND(J$8&lt;='Detalle'!$K209,J$9&gt;='Detalle'!$J209),1,""))</x:f>
      </x:c>
      <x:c r="K425" s="32" t="str">
        <x:f>IF(OR('Detalle'!$J209="",'Detalle'!$K209="",'Detalle'!$L209=""),"",IF(AND(K$8&lt;='Detalle'!$K209,K$9&gt;='Detalle'!$J209),1,""))</x:f>
      </x:c>
      <x:c r="L425" s="32" t="str">
        <x:f>IF(OR('Detalle'!$J209="",'Detalle'!$K209="",'Detalle'!$L209=""),"",IF(AND(L$8&lt;='Detalle'!$K209,L$9&gt;='Detalle'!$J209),1,""))</x:f>
      </x:c>
      <x:c r="M425" s="32" t="str">
        <x:f>IF(OR('Detalle'!$J209="",'Detalle'!$K209="",'Detalle'!$L209=""),"",IF(AND(M$8&lt;='Detalle'!$K209,M$9&gt;='Detalle'!$J209),1,""))</x:f>
      </x:c>
      <x:c r="N425" s="32" t="str">
        <x:f>IF(OR('Detalle'!$J209="",'Detalle'!$K209="",'Detalle'!$L209=""),"",IF(AND(N$8&lt;='Detalle'!$K209,N$9&gt;='Detalle'!$J209),1,""))</x:f>
      </x:c>
      <x:c r="O425" s="32" t="str">
        <x:f>IF(OR('Detalle'!$J209="",'Detalle'!$K209="",'Detalle'!$L209=""),"",IF(AND(O$8&lt;='Detalle'!$K209,O$9&gt;='Detalle'!$J209),1,""))</x:f>
      </x:c>
      <x:c r="P425" s="32" t="str">
        <x:f>IF(OR('Detalle'!$J209="",'Detalle'!$K209="",'Detalle'!$L209=""),"",IF(AND(P$8&lt;='Detalle'!$K209,P$9&gt;='Detalle'!$J209),1,""))</x:f>
      </x:c>
      <x:c r="Q425" s="68"/>
      <x:c r="R425" s="67" t="str"/>
      <x:c r="S425" s="67" t="str"/>
    </x:row>
    <x:row r="426" ht="16" customHeight="1">
      <x:c r="A426" s="56" t="str">
        <x:v>MIS01.018</x:v>
      </x:c>
      <x:c r="B426" s="57" t="str">
        <x:v>Bloquear condiciones tras primera candidatura</x:v>
      </x:c>
      <x:c r="C426" s="62" t="str">
        <x:v>E</x:v>
      </x:c>
      <x:c r="D426" s="64" t="n">
        <x:f>'Detalle'!I210</x:f>
        <x:v>1</x:v>
      </x:c>
      <x:c r="E426" s="60" t="str">
        <x:f>'Detalle'!F210</x:f>
        <x:v>Completado</x:v>
      </x:c>
      <x:c r="F426" s="32" t="str">
        <x:f>IF(AND(F$8&lt;='Detalle'!$H210,F$9&gt;='Detalle'!$G210),1,"")</x:f>
      </x:c>
      <x:c r="G426" s="32" t="str">
        <x:f>IF(AND(G$8&lt;='Detalle'!$H210,G$9&gt;='Detalle'!$G210),1,"")</x:f>
      </x:c>
      <x:c r="H426" s="32" t="n">
        <x:f>IF(AND(H$8&lt;='Detalle'!$H210,H$9&gt;='Detalle'!$G210),1,"")</x:f>
        <x:v>1</x:v>
      </x:c>
      <x:c r="I426" s="32" t="str">
        <x:f>IF(AND(I$8&lt;='Detalle'!$H210,I$9&gt;='Detalle'!$G210),1,"")</x:f>
      </x:c>
      <x:c r="J426" s="32" t="str">
        <x:f>IF(AND(J$8&lt;='Detalle'!$H210,J$9&gt;='Detalle'!$G210),1,"")</x:f>
      </x:c>
      <x:c r="K426" s="32" t="str">
        <x:f>IF(AND(K$8&lt;='Detalle'!$H210,K$9&gt;='Detalle'!$G210),1,"")</x:f>
      </x:c>
      <x:c r="L426" s="32" t="str">
        <x:f>IF(AND(L$8&lt;='Detalle'!$H210,L$9&gt;='Detalle'!$G210),1,"")</x:f>
      </x:c>
      <x:c r="M426" s="32" t="str">
        <x:f>IF(AND(M$8&lt;='Detalle'!$H210,M$9&gt;='Detalle'!$G210),1,"")</x:f>
      </x:c>
      <x:c r="N426" s="32" t="str">
        <x:f>IF(AND(N$8&lt;='Detalle'!$H210,N$9&gt;='Detalle'!$G210),1,"")</x:f>
      </x:c>
      <x:c r="O426" s="32" t="str">
        <x:f>IF(AND(O$8&lt;='Detalle'!$H210,O$9&gt;='Detalle'!$G210),1,"")</x:f>
      </x:c>
      <x:c r="P426" s="32" t="str">
        <x:f>IF(AND(P$8&lt;='Detalle'!$H210,P$9&gt;='Detalle'!$G210),1,"")</x:f>
      </x:c>
      <x:c r="Q426" s="68"/>
      <x:c r="R426" s="67" t="str">
        <x:f>IF('Detalle'!M210="","",'Detalle'!M210)</x:f>
      </x:c>
      <x:c r="S426" s="67" t="str">
        <x:f>IF('Detalle'!N210="","",'Detalle'!N210)</x:f>
      </x:c>
    </x:row>
    <x:row r="427" ht="16" customHeight="1">
      <x:c r="A427" s="56" t="str">
        <x:v>MIS01.018</x:v>
      </x:c>
      <x:c r="B427" s="57" t="str">
        <x:v>Bloquear condiciones tras primera candidatura</x:v>
      </x:c>
      <x:c r="C427" s="63" t="str">
        <x:v>R</x:v>
      </x:c>
      <x:c r="D427" s="65" t="str">
        <x:f>IF('Detalle'!L210="","",'Detalle'!L210)</x:f>
      </x:c>
      <x:c r="E427" s="60" t="str"/>
      <x:c r="F427" s="32" t="str">
        <x:f>IF(OR('Detalle'!$J210="",'Detalle'!$K210="",'Detalle'!$L210=""),"",IF(AND(F$8&lt;='Detalle'!$K210,F$9&gt;='Detalle'!$J210),1,""))</x:f>
      </x:c>
      <x:c r="G427" s="32" t="str">
        <x:f>IF(OR('Detalle'!$J210="",'Detalle'!$K210="",'Detalle'!$L210=""),"",IF(AND(G$8&lt;='Detalle'!$K210,G$9&gt;='Detalle'!$J210),1,""))</x:f>
      </x:c>
      <x:c r="H427" s="32" t="str">
        <x:f>IF(OR('Detalle'!$J210="",'Detalle'!$K210="",'Detalle'!$L210=""),"",IF(AND(H$8&lt;='Detalle'!$K210,H$9&gt;='Detalle'!$J210),1,""))</x:f>
      </x:c>
      <x:c r="I427" s="32" t="str">
        <x:f>IF(OR('Detalle'!$J210="",'Detalle'!$K210="",'Detalle'!$L210=""),"",IF(AND(I$8&lt;='Detalle'!$K210,I$9&gt;='Detalle'!$J210),1,""))</x:f>
      </x:c>
      <x:c r="J427" s="32" t="str">
        <x:f>IF(OR('Detalle'!$J210="",'Detalle'!$K210="",'Detalle'!$L210=""),"",IF(AND(J$8&lt;='Detalle'!$K210,J$9&gt;='Detalle'!$J210),1,""))</x:f>
      </x:c>
      <x:c r="K427" s="32" t="str">
        <x:f>IF(OR('Detalle'!$J210="",'Detalle'!$K210="",'Detalle'!$L210=""),"",IF(AND(K$8&lt;='Detalle'!$K210,K$9&gt;='Detalle'!$J210),1,""))</x:f>
      </x:c>
      <x:c r="L427" s="32" t="str">
        <x:f>IF(OR('Detalle'!$J210="",'Detalle'!$K210="",'Detalle'!$L210=""),"",IF(AND(L$8&lt;='Detalle'!$K210,L$9&gt;='Detalle'!$J210),1,""))</x:f>
      </x:c>
      <x:c r="M427" s="32" t="str">
        <x:f>IF(OR('Detalle'!$J210="",'Detalle'!$K210="",'Detalle'!$L210=""),"",IF(AND(M$8&lt;='Detalle'!$K210,M$9&gt;='Detalle'!$J210),1,""))</x:f>
      </x:c>
      <x:c r="N427" s="32" t="str">
        <x:f>IF(OR('Detalle'!$J210="",'Detalle'!$K210="",'Detalle'!$L210=""),"",IF(AND(N$8&lt;='Detalle'!$K210,N$9&gt;='Detalle'!$J210),1,""))</x:f>
      </x:c>
      <x:c r="O427" s="32" t="str">
        <x:f>IF(OR('Detalle'!$J210="",'Detalle'!$K210="",'Detalle'!$L210=""),"",IF(AND(O$8&lt;='Detalle'!$K210,O$9&gt;='Detalle'!$J210),1,""))</x:f>
      </x:c>
      <x:c r="P427" s="32" t="str">
        <x:f>IF(OR('Detalle'!$J210="",'Detalle'!$K210="",'Detalle'!$L210=""),"",IF(AND(P$8&lt;='Detalle'!$K210,P$9&gt;='Detalle'!$J210),1,""))</x:f>
      </x:c>
      <x:c r="Q427" s="68"/>
      <x:c r="R427" s="67" t="str"/>
      <x:c r="S427" s="67" t="str"/>
    </x:row>
    <x:row r="428" ht="20" customHeight="1">
      <x:c r="A428" s="52" t="str">
        <x:v>COM03 · Moderación y eliminación ampliada de cuenta</x:v>
      </x:c>
      <x:c r="B428" s="52" t="str">
        <x:v>COM03 · Moderación y eliminación ampliada de cuenta</x:v>
      </x:c>
      <x:c r="C428" s="52" t="str">
        <x:v>COM03 · Moderación y eliminación ampliada de cuenta</x:v>
      </x:c>
      <x:c r="D428" s="52" t="str">
        <x:v>COM03 · Moderación y eliminación ampliada de cuenta</x:v>
      </x:c>
      <x:c r="E428" s="52" t="str">
        <x:v>COM03 · Moderación y eliminación ampliada de cuenta</x:v>
      </x:c>
      <x:c r="F428" s="53" t="str">
        <x:v>COM03 · Moderación y eliminación ampliada de cuenta</x:v>
      </x:c>
      <x:c r="G428" s="53" t="str">
        <x:v>COM03 · Moderación y eliminación ampliada de cuenta</x:v>
      </x:c>
      <x:c r="H428" s="53" t="str">
        <x:v>COM03 · Moderación y eliminación ampliada de cuenta</x:v>
      </x:c>
      <x:c r="I428" s="53" t="str">
        <x:v>COM03 · Moderación y eliminación ampliada de cuenta</x:v>
      </x:c>
      <x:c r="J428" s="53" t="str">
        <x:v>COM03 · Moderación y eliminación ampliada de cuenta</x:v>
      </x:c>
      <x:c r="K428" s="53" t="str">
        <x:v>COM03 · Moderación y eliminación ampliada de cuenta</x:v>
      </x:c>
      <x:c r="L428" s="53" t="str">
        <x:v>COM03 · Moderación y eliminación ampliada de cuenta</x:v>
      </x:c>
      <x:c r="M428" s="53" t="str">
        <x:v>COM03 · Moderación y eliminación ampliada de cuenta</x:v>
      </x:c>
      <x:c r="N428" s="53" t="str">
        <x:v>COM03 · Moderación y eliminación ampliada de cuenta</x:v>
      </x:c>
      <x:c r="O428" s="53" t="str">
        <x:v>COM03 · Moderación y eliminación ampliada de cuenta</x:v>
      </x:c>
      <x:c r="P428" s="53" t="str">
        <x:v>COM03 · Moderación y eliminación ampliada de cuenta</x:v>
      </x:c>
      <x:c r="Q428" s="52" t="str">
        <x:v>COM03 · Moderación y eliminación ampliada de cuenta</x:v>
      </x:c>
      <x:c r="R428" s="52" t="str">
        <x:v>COM03 · Moderación y eliminación ampliada de cuenta</x:v>
      </x:c>
      <x:c r="S428" s="52" t="str">
        <x:v>COM03 · Moderación y eliminación ampliada de cuenta</x:v>
      </x:c>
    </x:row>
    <x:row r="429" ht="16" customHeight="1">
      <x:c r="A429" s="56" t="str">
        <x:v>COM03.001</x:v>
      </x:c>
      <x:c r="B429" s="57" t="str">
        <x:v>Reportar publicaciones</x:v>
      </x:c>
      <x:c r="C429" s="62" t="str">
        <x:v>E</x:v>
      </x:c>
      <x:c r="D429" s="64" t="n">
        <x:f>'Detalle'!I211</x:f>
        <x:v>1</x:v>
      </x:c>
      <x:c r="E429" s="60" t="str">
        <x:f>'Detalle'!F211</x:f>
        <x:v>Completado</x:v>
      </x:c>
      <x:c r="F429" s="32" t="str">
        <x:f>IF(AND(F$8&lt;='Detalle'!$H211,F$9&gt;='Detalle'!$G211),1,"")</x:f>
      </x:c>
      <x:c r="G429" s="32" t="str">
        <x:f>IF(AND(G$8&lt;='Detalle'!$H211,G$9&gt;='Detalle'!$G211),1,"")</x:f>
      </x:c>
      <x:c r="H429" s="32" t="n">
        <x:f>IF(AND(H$8&lt;='Detalle'!$H211,H$9&gt;='Detalle'!$G211),1,"")</x:f>
        <x:v>1</x:v>
      </x:c>
      <x:c r="I429" s="32" t="str">
        <x:f>IF(AND(I$8&lt;='Detalle'!$H211,I$9&gt;='Detalle'!$G211),1,"")</x:f>
      </x:c>
      <x:c r="J429" s="32" t="str">
        <x:f>IF(AND(J$8&lt;='Detalle'!$H211,J$9&gt;='Detalle'!$G211),1,"")</x:f>
      </x:c>
      <x:c r="K429" s="32" t="str">
        <x:f>IF(AND(K$8&lt;='Detalle'!$H211,K$9&gt;='Detalle'!$G211),1,"")</x:f>
      </x:c>
      <x:c r="L429" s="32" t="str">
        <x:f>IF(AND(L$8&lt;='Detalle'!$H211,L$9&gt;='Detalle'!$G211),1,"")</x:f>
      </x:c>
      <x:c r="M429" s="32" t="str">
        <x:f>IF(AND(M$8&lt;='Detalle'!$H211,M$9&gt;='Detalle'!$G211),1,"")</x:f>
      </x:c>
      <x:c r="N429" s="32" t="str">
        <x:f>IF(AND(N$8&lt;='Detalle'!$H211,N$9&gt;='Detalle'!$G211),1,"")</x:f>
      </x:c>
      <x:c r="O429" s="32" t="str">
        <x:f>IF(AND(O$8&lt;='Detalle'!$H211,O$9&gt;='Detalle'!$G211),1,"")</x:f>
      </x:c>
      <x:c r="P429" s="32" t="str">
        <x:f>IF(AND(P$8&lt;='Detalle'!$H211,P$9&gt;='Detalle'!$G211),1,"")</x:f>
      </x:c>
      <x:c r="Q429" s="68"/>
      <x:c r="R429" s="67" t="str">
        <x:f>IF('Detalle'!M211="","",'Detalle'!M211)</x:f>
      </x:c>
      <x:c r="S429" s="67" t="str">
        <x:f>IF('Detalle'!N211="","",'Detalle'!N211)</x:f>
      </x:c>
    </x:row>
    <x:row r="430" ht="16" customHeight="1">
      <x:c r="A430" s="56" t="str">
        <x:v>COM03.001</x:v>
      </x:c>
      <x:c r="B430" s="57" t="str">
        <x:v>Reportar publicaciones</x:v>
      </x:c>
      <x:c r="C430" s="63" t="str">
        <x:v>R</x:v>
      </x:c>
      <x:c r="D430" s="65" t="str">
        <x:f>IF('Detalle'!L211="","",'Detalle'!L211)</x:f>
      </x:c>
      <x:c r="E430" s="60" t="str"/>
      <x:c r="F430" s="32" t="str">
        <x:f>IF(OR('Detalle'!$J211="",'Detalle'!$K211="",'Detalle'!$L211=""),"",IF(AND(F$8&lt;='Detalle'!$K211,F$9&gt;='Detalle'!$J211),1,""))</x:f>
      </x:c>
      <x:c r="G430" s="32" t="str">
        <x:f>IF(OR('Detalle'!$J211="",'Detalle'!$K211="",'Detalle'!$L211=""),"",IF(AND(G$8&lt;='Detalle'!$K211,G$9&gt;='Detalle'!$J211),1,""))</x:f>
      </x:c>
      <x:c r="H430" s="32" t="str">
        <x:f>IF(OR('Detalle'!$J211="",'Detalle'!$K211="",'Detalle'!$L211=""),"",IF(AND(H$8&lt;='Detalle'!$K211,H$9&gt;='Detalle'!$J211),1,""))</x:f>
      </x:c>
      <x:c r="I430" s="32" t="str">
        <x:f>IF(OR('Detalle'!$J211="",'Detalle'!$K211="",'Detalle'!$L211=""),"",IF(AND(I$8&lt;='Detalle'!$K211,I$9&gt;='Detalle'!$J211),1,""))</x:f>
      </x:c>
      <x:c r="J430" s="32" t="str">
        <x:f>IF(OR('Detalle'!$J211="",'Detalle'!$K211="",'Detalle'!$L211=""),"",IF(AND(J$8&lt;='Detalle'!$K211,J$9&gt;='Detalle'!$J211),1,""))</x:f>
      </x:c>
      <x:c r="K430" s="32" t="str">
        <x:f>IF(OR('Detalle'!$J211="",'Detalle'!$K211="",'Detalle'!$L211=""),"",IF(AND(K$8&lt;='Detalle'!$K211,K$9&gt;='Detalle'!$J211),1,""))</x:f>
      </x:c>
      <x:c r="L430" s="32" t="str">
        <x:f>IF(OR('Detalle'!$J211="",'Detalle'!$K211="",'Detalle'!$L211=""),"",IF(AND(L$8&lt;='Detalle'!$K211,L$9&gt;='Detalle'!$J211),1,""))</x:f>
      </x:c>
      <x:c r="M430" s="32" t="str">
        <x:f>IF(OR('Detalle'!$J211="",'Detalle'!$K211="",'Detalle'!$L211=""),"",IF(AND(M$8&lt;='Detalle'!$K211,M$9&gt;='Detalle'!$J211),1,""))</x:f>
      </x:c>
      <x:c r="N430" s="32" t="str">
        <x:f>IF(OR('Detalle'!$J211="",'Detalle'!$K211="",'Detalle'!$L211=""),"",IF(AND(N$8&lt;='Detalle'!$K211,N$9&gt;='Detalle'!$J211),1,""))</x:f>
      </x:c>
      <x:c r="O430" s="32" t="str">
        <x:f>IF(OR('Detalle'!$J211="",'Detalle'!$K211="",'Detalle'!$L211=""),"",IF(AND(O$8&lt;='Detalle'!$K211,O$9&gt;='Detalle'!$J211),1,""))</x:f>
      </x:c>
      <x:c r="P430" s="32" t="str">
        <x:f>IF(OR('Detalle'!$J211="",'Detalle'!$K211="",'Detalle'!$L211=""),"",IF(AND(P$8&lt;='Detalle'!$K211,P$9&gt;='Detalle'!$J211),1,""))</x:f>
      </x:c>
      <x:c r="Q430" s="68"/>
      <x:c r="R430" s="67" t="str"/>
      <x:c r="S430" s="67" t="str"/>
    </x:row>
    <x:row r="431" ht="16" customHeight="1">
      <x:c r="A431" s="56" t="str">
        <x:v>COM03.002</x:v>
      </x:c>
      <x:c r="B431" s="57" t="str">
        <x:v>Reportar misiones</x:v>
      </x:c>
      <x:c r="C431" s="62" t="str">
        <x:v>E</x:v>
      </x:c>
      <x:c r="D431" s="64" t="n">
        <x:f>'Detalle'!I212</x:f>
        <x:v>1</x:v>
      </x:c>
      <x:c r="E431" s="60" t="str">
        <x:f>'Detalle'!F212</x:f>
        <x:v>Completado</x:v>
      </x:c>
      <x:c r="F431" s="32" t="str">
        <x:f>IF(AND(F$8&lt;='Detalle'!$H212,F$9&gt;='Detalle'!$G212),1,"")</x:f>
      </x:c>
      <x:c r="G431" s="32" t="str">
        <x:f>IF(AND(G$8&lt;='Detalle'!$H212,G$9&gt;='Detalle'!$G212),1,"")</x:f>
      </x:c>
      <x:c r="H431" s="32" t="n">
        <x:f>IF(AND(H$8&lt;='Detalle'!$H212,H$9&gt;='Detalle'!$G212),1,"")</x:f>
        <x:v>1</x:v>
      </x:c>
      <x:c r="I431" s="32" t="str">
        <x:f>IF(AND(I$8&lt;='Detalle'!$H212,I$9&gt;='Detalle'!$G212),1,"")</x:f>
      </x:c>
      <x:c r="J431" s="32" t="str">
        <x:f>IF(AND(J$8&lt;='Detalle'!$H212,J$9&gt;='Detalle'!$G212),1,"")</x:f>
      </x:c>
      <x:c r="K431" s="32" t="str">
        <x:f>IF(AND(K$8&lt;='Detalle'!$H212,K$9&gt;='Detalle'!$G212),1,"")</x:f>
      </x:c>
      <x:c r="L431" s="32" t="str">
        <x:f>IF(AND(L$8&lt;='Detalle'!$H212,L$9&gt;='Detalle'!$G212),1,"")</x:f>
      </x:c>
      <x:c r="M431" s="32" t="str">
        <x:f>IF(AND(M$8&lt;='Detalle'!$H212,M$9&gt;='Detalle'!$G212),1,"")</x:f>
      </x:c>
      <x:c r="N431" s="32" t="str">
        <x:f>IF(AND(N$8&lt;='Detalle'!$H212,N$9&gt;='Detalle'!$G212),1,"")</x:f>
      </x:c>
      <x:c r="O431" s="32" t="str">
        <x:f>IF(AND(O$8&lt;='Detalle'!$H212,O$9&gt;='Detalle'!$G212),1,"")</x:f>
      </x:c>
      <x:c r="P431" s="32" t="str">
        <x:f>IF(AND(P$8&lt;='Detalle'!$H212,P$9&gt;='Detalle'!$G212),1,"")</x:f>
      </x:c>
      <x:c r="Q431" s="68"/>
      <x:c r="R431" s="67" t="str">
        <x:f>IF('Detalle'!M212="","",'Detalle'!M212)</x:f>
      </x:c>
      <x:c r="S431" s="67" t="str">
        <x:f>IF('Detalle'!N212="","",'Detalle'!N212)</x:f>
      </x:c>
    </x:row>
    <x:row r="432" ht="16" customHeight="1">
      <x:c r="A432" s="56" t="str">
        <x:v>COM03.002</x:v>
      </x:c>
      <x:c r="B432" s="57" t="str">
        <x:v>Reportar misiones</x:v>
      </x:c>
      <x:c r="C432" s="63" t="str">
        <x:v>R</x:v>
      </x:c>
      <x:c r="D432" s="65" t="str">
        <x:f>IF('Detalle'!L212="","",'Detalle'!L212)</x:f>
      </x:c>
      <x:c r="E432" s="60" t="str"/>
      <x:c r="F432" s="32" t="str">
        <x:f>IF(OR('Detalle'!$J212="",'Detalle'!$K212="",'Detalle'!$L212=""),"",IF(AND(F$8&lt;='Detalle'!$K212,F$9&gt;='Detalle'!$J212),1,""))</x:f>
      </x:c>
      <x:c r="G432" s="32" t="str">
        <x:f>IF(OR('Detalle'!$J212="",'Detalle'!$K212="",'Detalle'!$L212=""),"",IF(AND(G$8&lt;='Detalle'!$K212,G$9&gt;='Detalle'!$J212),1,""))</x:f>
      </x:c>
      <x:c r="H432" s="32" t="str">
        <x:f>IF(OR('Detalle'!$J212="",'Detalle'!$K212="",'Detalle'!$L212=""),"",IF(AND(H$8&lt;='Detalle'!$K212,H$9&gt;='Detalle'!$J212),1,""))</x:f>
      </x:c>
      <x:c r="I432" s="32" t="str">
        <x:f>IF(OR('Detalle'!$J212="",'Detalle'!$K212="",'Detalle'!$L212=""),"",IF(AND(I$8&lt;='Detalle'!$K212,I$9&gt;='Detalle'!$J212),1,""))</x:f>
      </x:c>
      <x:c r="J432" s="32" t="str">
        <x:f>IF(OR('Detalle'!$J212="",'Detalle'!$K212="",'Detalle'!$L212=""),"",IF(AND(J$8&lt;='Detalle'!$K212,J$9&gt;='Detalle'!$J212),1,""))</x:f>
      </x:c>
      <x:c r="K432" s="32" t="str">
        <x:f>IF(OR('Detalle'!$J212="",'Detalle'!$K212="",'Detalle'!$L212=""),"",IF(AND(K$8&lt;='Detalle'!$K212,K$9&gt;='Detalle'!$J212),1,""))</x:f>
      </x:c>
      <x:c r="L432" s="32" t="str">
        <x:f>IF(OR('Detalle'!$J212="",'Detalle'!$K212="",'Detalle'!$L212=""),"",IF(AND(L$8&lt;='Detalle'!$K212,L$9&gt;='Detalle'!$J212),1,""))</x:f>
      </x:c>
      <x:c r="M432" s="32" t="str">
        <x:f>IF(OR('Detalle'!$J212="",'Detalle'!$K212="",'Detalle'!$L212=""),"",IF(AND(M$8&lt;='Detalle'!$K212,M$9&gt;='Detalle'!$J212),1,""))</x:f>
      </x:c>
      <x:c r="N432" s="32" t="str">
        <x:f>IF(OR('Detalle'!$J212="",'Detalle'!$K212="",'Detalle'!$L212=""),"",IF(AND(N$8&lt;='Detalle'!$K212,N$9&gt;='Detalle'!$J212),1,""))</x:f>
      </x:c>
      <x:c r="O432" s="32" t="str">
        <x:f>IF(OR('Detalle'!$J212="",'Detalle'!$K212="",'Detalle'!$L212=""),"",IF(AND(O$8&lt;='Detalle'!$K212,O$9&gt;='Detalle'!$J212),1,""))</x:f>
      </x:c>
      <x:c r="P432" s="32" t="str">
        <x:f>IF(OR('Detalle'!$J212="",'Detalle'!$K212="",'Detalle'!$L212=""),"",IF(AND(P$8&lt;='Detalle'!$K212,P$9&gt;='Detalle'!$J212),1,""))</x:f>
      </x:c>
      <x:c r="Q432" s="68"/>
      <x:c r="R432" s="67" t="str"/>
      <x:c r="S432" s="67" t="str"/>
    </x:row>
    <x:row r="433" ht="16" customHeight="1">
      <x:c r="A433" s="56" t="str">
        <x:v>COM03.003</x:v>
      </x:c>
      <x:c r="B433" s="57" t="str">
        <x:v>Crear cola privada de moderación</x:v>
      </x:c>
      <x:c r="C433" s="62" t="str">
        <x:v>E</x:v>
      </x:c>
      <x:c r="D433" s="64" t="n">
        <x:f>'Detalle'!I213</x:f>
        <x:v>1</x:v>
      </x:c>
      <x:c r="E433" s="60" t="str">
        <x:f>'Detalle'!F213</x:f>
        <x:v>Completado</x:v>
      </x:c>
      <x:c r="F433" s="32" t="str">
        <x:f>IF(AND(F$8&lt;='Detalle'!$H213,F$9&gt;='Detalle'!$G213),1,"")</x:f>
      </x:c>
      <x:c r="G433" s="32" t="str">
        <x:f>IF(AND(G$8&lt;='Detalle'!$H213,G$9&gt;='Detalle'!$G213),1,"")</x:f>
      </x:c>
      <x:c r="H433" s="32" t="n">
        <x:f>IF(AND(H$8&lt;='Detalle'!$H213,H$9&gt;='Detalle'!$G213),1,"")</x:f>
        <x:v>1</x:v>
      </x:c>
      <x:c r="I433" s="32" t="str">
        <x:f>IF(AND(I$8&lt;='Detalle'!$H213,I$9&gt;='Detalle'!$G213),1,"")</x:f>
      </x:c>
      <x:c r="J433" s="32" t="str">
        <x:f>IF(AND(J$8&lt;='Detalle'!$H213,J$9&gt;='Detalle'!$G213),1,"")</x:f>
      </x:c>
      <x:c r="K433" s="32" t="str">
        <x:f>IF(AND(K$8&lt;='Detalle'!$H213,K$9&gt;='Detalle'!$G213),1,"")</x:f>
      </x:c>
      <x:c r="L433" s="32" t="str">
        <x:f>IF(AND(L$8&lt;='Detalle'!$H213,L$9&gt;='Detalle'!$G213),1,"")</x:f>
      </x:c>
      <x:c r="M433" s="32" t="str">
        <x:f>IF(AND(M$8&lt;='Detalle'!$H213,M$9&gt;='Detalle'!$G213),1,"")</x:f>
      </x:c>
      <x:c r="N433" s="32" t="str">
        <x:f>IF(AND(N$8&lt;='Detalle'!$H213,N$9&gt;='Detalle'!$G213),1,"")</x:f>
      </x:c>
      <x:c r="O433" s="32" t="str">
        <x:f>IF(AND(O$8&lt;='Detalle'!$H213,O$9&gt;='Detalle'!$G213),1,"")</x:f>
      </x:c>
      <x:c r="P433" s="32" t="str">
        <x:f>IF(AND(P$8&lt;='Detalle'!$H213,P$9&gt;='Detalle'!$G213),1,"")</x:f>
      </x:c>
      <x:c r="Q433" s="68"/>
      <x:c r="R433" s="67" t="str">
        <x:f>IF('Detalle'!M213="","",'Detalle'!M213)</x:f>
      </x:c>
      <x:c r="S433" s="67" t="str">
        <x:f>IF('Detalle'!N213="","",'Detalle'!N213)</x:f>
      </x:c>
    </x:row>
    <x:row r="434" ht="16" customHeight="1">
      <x:c r="A434" s="56" t="str">
        <x:v>COM03.003</x:v>
      </x:c>
      <x:c r="B434" s="57" t="str">
        <x:v>Crear cola privada de moderación</x:v>
      </x:c>
      <x:c r="C434" s="63" t="str">
        <x:v>R</x:v>
      </x:c>
      <x:c r="D434" s="65" t="str">
        <x:f>IF('Detalle'!L213="","",'Detalle'!L213)</x:f>
      </x:c>
      <x:c r="E434" s="60" t="str"/>
      <x:c r="F434" s="32" t="str">
        <x:f>IF(OR('Detalle'!$J213="",'Detalle'!$K213="",'Detalle'!$L213=""),"",IF(AND(F$8&lt;='Detalle'!$K213,F$9&gt;='Detalle'!$J213),1,""))</x:f>
      </x:c>
      <x:c r="G434" s="32" t="str">
        <x:f>IF(OR('Detalle'!$J213="",'Detalle'!$K213="",'Detalle'!$L213=""),"",IF(AND(G$8&lt;='Detalle'!$K213,G$9&gt;='Detalle'!$J213),1,""))</x:f>
      </x:c>
      <x:c r="H434" s="32" t="str">
        <x:f>IF(OR('Detalle'!$J213="",'Detalle'!$K213="",'Detalle'!$L213=""),"",IF(AND(H$8&lt;='Detalle'!$K213,H$9&gt;='Detalle'!$J213),1,""))</x:f>
      </x:c>
      <x:c r="I434" s="32" t="str">
        <x:f>IF(OR('Detalle'!$J213="",'Detalle'!$K213="",'Detalle'!$L213=""),"",IF(AND(I$8&lt;='Detalle'!$K213,I$9&gt;='Detalle'!$J213),1,""))</x:f>
      </x:c>
      <x:c r="J434" s="32" t="str">
        <x:f>IF(OR('Detalle'!$J213="",'Detalle'!$K213="",'Detalle'!$L213=""),"",IF(AND(J$8&lt;='Detalle'!$K213,J$9&gt;='Detalle'!$J213),1,""))</x:f>
      </x:c>
      <x:c r="K434" s="32" t="str">
        <x:f>IF(OR('Detalle'!$J213="",'Detalle'!$K213="",'Detalle'!$L213=""),"",IF(AND(K$8&lt;='Detalle'!$K213,K$9&gt;='Detalle'!$J213),1,""))</x:f>
      </x:c>
      <x:c r="L434" s="32" t="str">
        <x:f>IF(OR('Detalle'!$J213="",'Detalle'!$K213="",'Detalle'!$L213=""),"",IF(AND(L$8&lt;='Detalle'!$K213,L$9&gt;='Detalle'!$J213),1,""))</x:f>
      </x:c>
      <x:c r="M434" s="32" t="str">
        <x:f>IF(OR('Detalle'!$J213="",'Detalle'!$K213="",'Detalle'!$L213=""),"",IF(AND(M$8&lt;='Detalle'!$K213,M$9&gt;='Detalle'!$J213),1,""))</x:f>
      </x:c>
      <x:c r="N434" s="32" t="str">
        <x:f>IF(OR('Detalle'!$J213="",'Detalle'!$K213="",'Detalle'!$L213=""),"",IF(AND(N$8&lt;='Detalle'!$K213,N$9&gt;='Detalle'!$J213),1,""))</x:f>
      </x:c>
      <x:c r="O434" s="32" t="str">
        <x:f>IF(OR('Detalle'!$J213="",'Detalle'!$K213="",'Detalle'!$L213=""),"",IF(AND(O$8&lt;='Detalle'!$K213,O$9&gt;='Detalle'!$J213),1,""))</x:f>
      </x:c>
      <x:c r="P434" s="32" t="str">
        <x:f>IF(OR('Detalle'!$J213="",'Detalle'!$K213="",'Detalle'!$L213=""),"",IF(AND(P$8&lt;='Detalle'!$K213,P$9&gt;='Detalle'!$J213),1,""))</x:f>
      </x:c>
      <x:c r="Q434" s="68"/>
      <x:c r="R434" s="67" t="str"/>
      <x:c r="S434" s="67" t="str"/>
    </x:row>
    <x:row r="435" ht="16" customHeight="1">
      <x:c r="A435" s="56" t="str">
        <x:v>COM03.004</x:v>
      </x:c>
      <x:c r="B435" s="57" t="str">
        <x:v>Ocultar contenido reportado</x:v>
      </x:c>
      <x:c r="C435" s="62" t="str">
        <x:v>E</x:v>
      </x:c>
      <x:c r="D435" s="64" t="n">
        <x:f>'Detalle'!I214</x:f>
        <x:v>1</x:v>
      </x:c>
      <x:c r="E435" s="60" t="str">
        <x:f>'Detalle'!F214</x:f>
        <x:v>Completado</x:v>
      </x:c>
      <x:c r="F435" s="32" t="str">
        <x:f>IF(AND(F$8&lt;='Detalle'!$H214,F$9&gt;='Detalle'!$G214),1,"")</x:f>
      </x:c>
      <x:c r="G435" s="32" t="str">
        <x:f>IF(AND(G$8&lt;='Detalle'!$H214,G$9&gt;='Detalle'!$G214),1,"")</x:f>
      </x:c>
      <x:c r="H435" s="32" t="n">
        <x:f>IF(AND(H$8&lt;='Detalle'!$H214,H$9&gt;='Detalle'!$G214),1,"")</x:f>
        <x:v>1</x:v>
      </x:c>
      <x:c r="I435" s="32" t="str">
        <x:f>IF(AND(I$8&lt;='Detalle'!$H214,I$9&gt;='Detalle'!$G214),1,"")</x:f>
      </x:c>
      <x:c r="J435" s="32" t="str">
        <x:f>IF(AND(J$8&lt;='Detalle'!$H214,J$9&gt;='Detalle'!$G214),1,"")</x:f>
      </x:c>
      <x:c r="K435" s="32" t="str">
        <x:f>IF(AND(K$8&lt;='Detalle'!$H214,K$9&gt;='Detalle'!$G214),1,"")</x:f>
      </x:c>
      <x:c r="L435" s="32" t="str">
        <x:f>IF(AND(L$8&lt;='Detalle'!$H214,L$9&gt;='Detalle'!$G214),1,"")</x:f>
      </x:c>
      <x:c r="M435" s="32" t="str">
        <x:f>IF(AND(M$8&lt;='Detalle'!$H214,M$9&gt;='Detalle'!$G214),1,"")</x:f>
      </x:c>
      <x:c r="N435" s="32" t="str">
        <x:f>IF(AND(N$8&lt;='Detalle'!$H214,N$9&gt;='Detalle'!$G214),1,"")</x:f>
      </x:c>
      <x:c r="O435" s="32" t="str">
        <x:f>IF(AND(O$8&lt;='Detalle'!$H214,O$9&gt;='Detalle'!$G214),1,"")</x:f>
      </x:c>
      <x:c r="P435" s="32" t="str">
        <x:f>IF(AND(P$8&lt;='Detalle'!$H214,P$9&gt;='Detalle'!$G214),1,"")</x:f>
      </x:c>
      <x:c r="Q435" s="68"/>
      <x:c r="R435" s="67" t="str">
        <x:f>IF('Detalle'!M214="","",'Detalle'!M214)</x:f>
      </x:c>
      <x:c r="S435" s="67" t="str">
        <x:f>IF('Detalle'!N214="","",'Detalle'!N214)</x:f>
      </x:c>
    </x:row>
    <x:row r="436" ht="16" customHeight="1">
      <x:c r="A436" s="56" t="str">
        <x:v>COM03.004</x:v>
      </x:c>
      <x:c r="B436" s="57" t="str">
        <x:v>Ocultar contenido reportado</x:v>
      </x:c>
      <x:c r="C436" s="63" t="str">
        <x:v>R</x:v>
      </x:c>
      <x:c r="D436" s="65" t="str">
        <x:f>IF('Detalle'!L214="","",'Detalle'!L214)</x:f>
      </x:c>
      <x:c r="E436" s="60" t="str"/>
      <x:c r="F436" s="32" t="str">
        <x:f>IF(OR('Detalle'!$J214="",'Detalle'!$K214="",'Detalle'!$L214=""),"",IF(AND(F$8&lt;='Detalle'!$K214,F$9&gt;='Detalle'!$J214),1,""))</x:f>
      </x:c>
      <x:c r="G436" s="32" t="str">
        <x:f>IF(OR('Detalle'!$J214="",'Detalle'!$K214="",'Detalle'!$L214=""),"",IF(AND(G$8&lt;='Detalle'!$K214,G$9&gt;='Detalle'!$J214),1,""))</x:f>
      </x:c>
      <x:c r="H436" s="32" t="str">
        <x:f>IF(OR('Detalle'!$J214="",'Detalle'!$K214="",'Detalle'!$L214=""),"",IF(AND(H$8&lt;='Detalle'!$K214,H$9&gt;='Detalle'!$J214),1,""))</x:f>
      </x:c>
      <x:c r="I436" s="32" t="str">
        <x:f>IF(OR('Detalle'!$J214="",'Detalle'!$K214="",'Detalle'!$L214=""),"",IF(AND(I$8&lt;='Detalle'!$K214,I$9&gt;='Detalle'!$J214),1,""))</x:f>
      </x:c>
      <x:c r="J436" s="32" t="str">
        <x:f>IF(OR('Detalle'!$J214="",'Detalle'!$K214="",'Detalle'!$L214=""),"",IF(AND(J$8&lt;='Detalle'!$K214,J$9&gt;='Detalle'!$J214),1,""))</x:f>
      </x:c>
      <x:c r="K436" s="32" t="str">
        <x:f>IF(OR('Detalle'!$J214="",'Detalle'!$K214="",'Detalle'!$L214=""),"",IF(AND(K$8&lt;='Detalle'!$K214,K$9&gt;='Detalle'!$J214),1,""))</x:f>
      </x:c>
      <x:c r="L436" s="32" t="str">
        <x:f>IF(OR('Detalle'!$J214="",'Detalle'!$K214="",'Detalle'!$L214=""),"",IF(AND(L$8&lt;='Detalle'!$K214,L$9&gt;='Detalle'!$J214),1,""))</x:f>
      </x:c>
      <x:c r="M436" s="32" t="str">
        <x:f>IF(OR('Detalle'!$J214="",'Detalle'!$K214="",'Detalle'!$L214=""),"",IF(AND(M$8&lt;='Detalle'!$K214,M$9&gt;='Detalle'!$J214),1,""))</x:f>
      </x:c>
      <x:c r="N436" s="32" t="str">
        <x:f>IF(OR('Detalle'!$J214="",'Detalle'!$K214="",'Detalle'!$L214=""),"",IF(AND(N$8&lt;='Detalle'!$K214,N$9&gt;='Detalle'!$J214),1,""))</x:f>
      </x:c>
      <x:c r="O436" s="32" t="str">
        <x:f>IF(OR('Detalle'!$J214="",'Detalle'!$K214="",'Detalle'!$L214=""),"",IF(AND(O$8&lt;='Detalle'!$K214,O$9&gt;='Detalle'!$J214),1,""))</x:f>
      </x:c>
      <x:c r="P436" s="32" t="str">
        <x:f>IF(OR('Detalle'!$J214="",'Detalle'!$K214="",'Detalle'!$L214=""),"",IF(AND(P$8&lt;='Detalle'!$K214,P$9&gt;='Detalle'!$J214),1,""))</x:f>
      </x:c>
      <x:c r="Q436" s="68"/>
      <x:c r="R436" s="67" t="str"/>
      <x:c r="S436" s="67" t="str"/>
    </x:row>
    <x:row r="437" ht="16" customHeight="1">
      <x:c r="A437" s="56" t="str">
        <x:v>COM03.005</x:v>
      </x:c>
      <x:c r="B437" s="57" t="str">
        <x:v>Restaurar contenido desde historial</x:v>
      </x:c>
      <x:c r="C437" s="62" t="str">
        <x:v>E</x:v>
      </x:c>
      <x:c r="D437" s="64" t="n">
        <x:f>'Detalle'!I215</x:f>
        <x:v>1</x:v>
      </x:c>
      <x:c r="E437" s="60" t="str">
        <x:f>'Detalle'!F215</x:f>
        <x:v>Completado</x:v>
      </x:c>
      <x:c r="F437" s="32" t="str">
        <x:f>IF(AND(F$8&lt;='Detalle'!$H215,F$9&gt;='Detalle'!$G215),1,"")</x:f>
      </x:c>
      <x:c r="G437" s="32" t="str">
        <x:f>IF(AND(G$8&lt;='Detalle'!$H215,G$9&gt;='Detalle'!$G215),1,"")</x:f>
      </x:c>
      <x:c r="H437" s="32" t="n">
        <x:f>IF(AND(H$8&lt;='Detalle'!$H215,H$9&gt;='Detalle'!$G215),1,"")</x:f>
        <x:v>1</x:v>
      </x:c>
      <x:c r="I437" s="32" t="str">
        <x:f>IF(AND(I$8&lt;='Detalle'!$H215,I$9&gt;='Detalle'!$G215),1,"")</x:f>
      </x:c>
      <x:c r="J437" s="32" t="str">
        <x:f>IF(AND(J$8&lt;='Detalle'!$H215,J$9&gt;='Detalle'!$G215),1,"")</x:f>
      </x:c>
      <x:c r="K437" s="32" t="str">
        <x:f>IF(AND(K$8&lt;='Detalle'!$H215,K$9&gt;='Detalle'!$G215),1,"")</x:f>
      </x:c>
      <x:c r="L437" s="32" t="str">
        <x:f>IF(AND(L$8&lt;='Detalle'!$H215,L$9&gt;='Detalle'!$G215),1,"")</x:f>
      </x:c>
      <x:c r="M437" s="32" t="str">
        <x:f>IF(AND(M$8&lt;='Detalle'!$H215,M$9&gt;='Detalle'!$G215),1,"")</x:f>
      </x:c>
      <x:c r="N437" s="32" t="str">
        <x:f>IF(AND(N$8&lt;='Detalle'!$H215,N$9&gt;='Detalle'!$G215),1,"")</x:f>
      </x:c>
      <x:c r="O437" s="32" t="str">
        <x:f>IF(AND(O$8&lt;='Detalle'!$H215,O$9&gt;='Detalle'!$G215),1,"")</x:f>
      </x:c>
      <x:c r="P437" s="32" t="str">
        <x:f>IF(AND(P$8&lt;='Detalle'!$H215,P$9&gt;='Detalle'!$G215),1,"")</x:f>
      </x:c>
      <x:c r="Q437" s="68"/>
      <x:c r="R437" s="67" t="str">
        <x:f>IF('Detalle'!M215="","",'Detalle'!M215)</x:f>
      </x:c>
      <x:c r="S437" s="67" t="str">
        <x:f>IF('Detalle'!N215="","",'Detalle'!N215)</x:f>
      </x:c>
    </x:row>
    <x:row r="438" ht="16" customHeight="1">
      <x:c r="A438" s="56" t="str">
        <x:v>COM03.005</x:v>
      </x:c>
      <x:c r="B438" s="57" t="str">
        <x:v>Restaurar contenido desde historial</x:v>
      </x:c>
      <x:c r="C438" s="63" t="str">
        <x:v>R</x:v>
      </x:c>
      <x:c r="D438" s="65" t="str">
        <x:f>IF('Detalle'!L215="","",'Detalle'!L215)</x:f>
      </x:c>
      <x:c r="E438" s="60" t="str"/>
      <x:c r="F438" s="32" t="str">
        <x:f>IF(OR('Detalle'!$J215="",'Detalle'!$K215="",'Detalle'!$L215=""),"",IF(AND(F$8&lt;='Detalle'!$K215,F$9&gt;='Detalle'!$J215),1,""))</x:f>
      </x:c>
      <x:c r="G438" s="32" t="str">
        <x:f>IF(OR('Detalle'!$J215="",'Detalle'!$K215="",'Detalle'!$L215=""),"",IF(AND(G$8&lt;='Detalle'!$K215,G$9&gt;='Detalle'!$J215),1,""))</x:f>
      </x:c>
      <x:c r="H438" s="32" t="str">
        <x:f>IF(OR('Detalle'!$J215="",'Detalle'!$K215="",'Detalle'!$L215=""),"",IF(AND(H$8&lt;='Detalle'!$K215,H$9&gt;='Detalle'!$J215),1,""))</x:f>
      </x:c>
      <x:c r="I438" s="32" t="str">
        <x:f>IF(OR('Detalle'!$J215="",'Detalle'!$K215="",'Detalle'!$L215=""),"",IF(AND(I$8&lt;='Detalle'!$K215,I$9&gt;='Detalle'!$J215),1,""))</x:f>
      </x:c>
      <x:c r="J438" s="32" t="str">
        <x:f>IF(OR('Detalle'!$J215="",'Detalle'!$K215="",'Detalle'!$L215=""),"",IF(AND(J$8&lt;='Detalle'!$K215,J$9&gt;='Detalle'!$J215),1,""))</x:f>
      </x:c>
      <x:c r="K438" s="32" t="str">
        <x:f>IF(OR('Detalle'!$J215="",'Detalle'!$K215="",'Detalle'!$L215=""),"",IF(AND(K$8&lt;='Detalle'!$K215,K$9&gt;='Detalle'!$J215),1,""))</x:f>
      </x:c>
      <x:c r="L438" s="32" t="str">
        <x:f>IF(OR('Detalle'!$J215="",'Detalle'!$K215="",'Detalle'!$L215=""),"",IF(AND(L$8&lt;='Detalle'!$K215,L$9&gt;='Detalle'!$J215),1,""))</x:f>
      </x:c>
      <x:c r="M438" s="32" t="str">
        <x:f>IF(OR('Detalle'!$J215="",'Detalle'!$K215="",'Detalle'!$L215=""),"",IF(AND(M$8&lt;='Detalle'!$K215,M$9&gt;='Detalle'!$J215),1,""))</x:f>
      </x:c>
      <x:c r="N438" s="32" t="str">
        <x:f>IF(OR('Detalle'!$J215="",'Detalle'!$K215="",'Detalle'!$L215=""),"",IF(AND(N$8&lt;='Detalle'!$K215,N$9&gt;='Detalle'!$J215),1,""))</x:f>
      </x:c>
      <x:c r="O438" s="32" t="str">
        <x:f>IF(OR('Detalle'!$J215="",'Detalle'!$K215="",'Detalle'!$L215=""),"",IF(AND(O$8&lt;='Detalle'!$K215,O$9&gt;='Detalle'!$J215),1,""))</x:f>
      </x:c>
      <x:c r="P438" s="32" t="str">
        <x:f>IF(OR('Detalle'!$J215="",'Detalle'!$K215="",'Detalle'!$L215=""),"",IF(AND(P$8&lt;='Detalle'!$K215,P$9&gt;='Detalle'!$J215),1,""))</x:f>
      </x:c>
      <x:c r="Q438" s="68"/>
      <x:c r="R438" s="67" t="str"/>
      <x:c r="S438" s="67" t="str"/>
    </x:row>
    <x:row r="439" ht="16" customHeight="1">
      <x:c r="A439" s="56" t="str">
        <x:v>COM03.006</x:v>
      </x:c>
      <x:c r="B439" s="57" t="str">
        <x:v>Separar rol administrador del tipo de perfil</x:v>
      </x:c>
      <x:c r="C439" s="62" t="str">
        <x:v>E</x:v>
      </x:c>
      <x:c r="D439" s="64" t="n">
        <x:f>'Detalle'!I216</x:f>
        <x:v>1</x:v>
      </x:c>
      <x:c r="E439" s="60" t="str">
        <x:f>'Detalle'!F216</x:f>
        <x:v>Completado</x:v>
      </x:c>
      <x:c r="F439" s="32" t="str">
        <x:f>IF(AND(F$8&lt;='Detalle'!$H216,F$9&gt;='Detalle'!$G216),1,"")</x:f>
      </x:c>
      <x:c r="G439" s="32" t="str">
        <x:f>IF(AND(G$8&lt;='Detalle'!$H216,G$9&gt;='Detalle'!$G216),1,"")</x:f>
      </x:c>
      <x:c r="H439" s="32" t="n">
        <x:f>IF(AND(H$8&lt;='Detalle'!$H216,H$9&gt;='Detalle'!$G216),1,"")</x:f>
        <x:v>1</x:v>
      </x:c>
      <x:c r="I439" s="32" t="str">
        <x:f>IF(AND(I$8&lt;='Detalle'!$H216,I$9&gt;='Detalle'!$G216),1,"")</x:f>
      </x:c>
      <x:c r="J439" s="32" t="str">
        <x:f>IF(AND(J$8&lt;='Detalle'!$H216,J$9&gt;='Detalle'!$G216),1,"")</x:f>
      </x:c>
      <x:c r="K439" s="32" t="str">
        <x:f>IF(AND(K$8&lt;='Detalle'!$H216,K$9&gt;='Detalle'!$G216),1,"")</x:f>
      </x:c>
      <x:c r="L439" s="32" t="str">
        <x:f>IF(AND(L$8&lt;='Detalle'!$H216,L$9&gt;='Detalle'!$G216),1,"")</x:f>
      </x:c>
      <x:c r="M439" s="32" t="str">
        <x:f>IF(AND(M$8&lt;='Detalle'!$H216,M$9&gt;='Detalle'!$G216),1,"")</x:f>
      </x:c>
      <x:c r="N439" s="32" t="str">
        <x:f>IF(AND(N$8&lt;='Detalle'!$H216,N$9&gt;='Detalle'!$G216),1,"")</x:f>
      </x:c>
      <x:c r="O439" s="32" t="str">
        <x:f>IF(AND(O$8&lt;='Detalle'!$H216,O$9&gt;='Detalle'!$G216),1,"")</x:f>
      </x:c>
      <x:c r="P439" s="32" t="str">
        <x:f>IF(AND(P$8&lt;='Detalle'!$H216,P$9&gt;='Detalle'!$G216),1,"")</x:f>
      </x:c>
      <x:c r="Q439" s="68"/>
      <x:c r="R439" s="67" t="str">
        <x:f>IF('Detalle'!M216="","",'Detalle'!M216)</x:f>
      </x:c>
      <x:c r="S439" s="67" t="str">
        <x:f>IF('Detalle'!N216="","",'Detalle'!N216)</x:f>
      </x:c>
    </x:row>
    <x:row r="440" ht="16" customHeight="1">
      <x:c r="A440" s="56" t="str">
        <x:v>COM03.006</x:v>
      </x:c>
      <x:c r="B440" s="57" t="str">
        <x:v>Separar rol administrador del tipo de perfil</x:v>
      </x:c>
      <x:c r="C440" s="63" t="str">
        <x:v>R</x:v>
      </x:c>
      <x:c r="D440" s="65" t="str">
        <x:f>IF('Detalle'!L216="","",'Detalle'!L216)</x:f>
      </x:c>
      <x:c r="E440" s="60" t="str"/>
      <x:c r="F440" s="32" t="str">
        <x:f>IF(OR('Detalle'!$J216="",'Detalle'!$K216="",'Detalle'!$L216=""),"",IF(AND(F$8&lt;='Detalle'!$K216,F$9&gt;='Detalle'!$J216),1,""))</x:f>
      </x:c>
      <x:c r="G440" s="32" t="str">
        <x:f>IF(OR('Detalle'!$J216="",'Detalle'!$K216="",'Detalle'!$L216=""),"",IF(AND(G$8&lt;='Detalle'!$K216,G$9&gt;='Detalle'!$J216),1,""))</x:f>
      </x:c>
      <x:c r="H440" s="32" t="str">
        <x:f>IF(OR('Detalle'!$J216="",'Detalle'!$K216="",'Detalle'!$L216=""),"",IF(AND(H$8&lt;='Detalle'!$K216,H$9&gt;='Detalle'!$J216),1,""))</x:f>
      </x:c>
      <x:c r="I440" s="32" t="str">
        <x:f>IF(OR('Detalle'!$J216="",'Detalle'!$K216="",'Detalle'!$L216=""),"",IF(AND(I$8&lt;='Detalle'!$K216,I$9&gt;='Detalle'!$J216),1,""))</x:f>
      </x:c>
      <x:c r="J440" s="32" t="str">
        <x:f>IF(OR('Detalle'!$J216="",'Detalle'!$K216="",'Detalle'!$L216=""),"",IF(AND(J$8&lt;='Detalle'!$K216,J$9&gt;='Detalle'!$J216),1,""))</x:f>
      </x:c>
      <x:c r="K440" s="32" t="str">
        <x:f>IF(OR('Detalle'!$J216="",'Detalle'!$K216="",'Detalle'!$L216=""),"",IF(AND(K$8&lt;='Detalle'!$K216,K$9&gt;='Detalle'!$J216),1,""))</x:f>
      </x:c>
      <x:c r="L440" s="32" t="str">
        <x:f>IF(OR('Detalle'!$J216="",'Detalle'!$K216="",'Detalle'!$L216=""),"",IF(AND(L$8&lt;='Detalle'!$K216,L$9&gt;='Detalle'!$J216),1,""))</x:f>
      </x:c>
      <x:c r="M440" s="32" t="str">
        <x:f>IF(OR('Detalle'!$J216="",'Detalle'!$K216="",'Detalle'!$L216=""),"",IF(AND(M$8&lt;='Detalle'!$K216,M$9&gt;='Detalle'!$J216),1,""))</x:f>
      </x:c>
      <x:c r="N440" s="32" t="str">
        <x:f>IF(OR('Detalle'!$J216="",'Detalle'!$K216="",'Detalle'!$L216=""),"",IF(AND(N$8&lt;='Detalle'!$K216,N$9&gt;='Detalle'!$J216),1,""))</x:f>
      </x:c>
      <x:c r="O440" s="32" t="str">
        <x:f>IF(OR('Detalle'!$J216="",'Detalle'!$K216="",'Detalle'!$L216=""),"",IF(AND(O$8&lt;='Detalle'!$K216,O$9&gt;='Detalle'!$J216),1,""))</x:f>
      </x:c>
      <x:c r="P440" s="32" t="str">
        <x:f>IF(OR('Detalle'!$J216="",'Detalle'!$K216="",'Detalle'!$L216=""),"",IF(AND(P$8&lt;='Detalle'!$K216,P$9&gt;='Detalle'!$J216),1,""))</x:f>
      </x:c>
      <x:c r="Q440" s="68"/>
      <x:c r="R440" s="67" t="str"/>
      <x:c r="S440" s="67" t="str"/>
    </x:row>
    <x:row r="441" ht="16" customHeight="1">
      <x:c r="A441" s="56" t="str">
        <x:v>COM03.007</x:v>
      </x:c>
      <x:c r="B441" s="57" t="str">
        <x:v>Crear marcador durable de eliminación</x:v>
      </x:c>
      <x:c r="C441" s="62" t="str">
        <x:v>E</x:v>
      </x:c>
      <x:c r="D441" s="64" t="n">
        <x:f>'Detalle'!I217</x:f>
        <x:v>1</x:v>
      </x:c>
      <x:c r="E441" s="60" t="str">
        <x:f>'Detalle'!F217</x:f>
        <x:v>Completado</x:v>
      </x:c>
      <x:c r="F441" s="32" t="str">
        <x:f>IF(AND(F$8&lt;='Detalle'!$H217,F$9&gt;='Detalle'!$G217),1,"")</x:f>
      </x:c>
      <x:c r="G441" s="32" t="str">
        <x:f>IF(AND(G$8&lt;='Detalle'!$H217,G$9&gt;='Detalle'!$G217),1,"")</x:f>
      </x:c>
      <x:c r="H441" s="32" t="n">
        <x:f>IF(AND(H$8&lt;='Detalle'!$H217,H$9&gt;='Detalle'!$G217),1,"")</x:f>
        <x:v>1</x:v>
      </x:c>
      <x:c r="I441" s="32" t="str">
        <x:f>IF(AND(I$8&lt;='Detalle'!$H217,I$9&gt;='Detalle'!$G217),1,"")</x:f>
      </x:c>
      <x:c r="J441" s="32" t="str">
        <x:f>IF(AND(J$8&lt;='Detalle'!$H217,J$9&gt;='Detalle'!$G217),1,"")</x:f>
      </x:c>
      <x:c r="K441" s="32" t="str">
        <x:f>IF(AND(K$8&lt;='Detalle'!$H217,K$9&gt;='Detalle'!$G217),1,"")</x:f>
      </x:c>
      <x:c r="L441" s="32" t="str">
        <x:f>IF(AND(L$8&lt;='Detalle'!$H217,L$9&gt;='Detalle'!$G217),1,"")</x:f>
      </x:c>
      <x:c r="M441" s="32" t="str">
        <x:f>IF(AND(M$8&lt;='Detalle'!$H217,M$9&gt;='Detalle'!$G217),1,"")</x:f>
      </x:c>
      <x:c r="N441" s="32" t="str">
        <x:f>IF(AND(N$8&lt;='Detalle'!$H217,N$9&gt;='Detalle'!$G217),1,"")</x:f>
      </x:c>
      <x:c r="O441" s="32" t="str">
        <x:f>IF(AND(O$8&lt;='Detalle'!$H217,O$9&gt;='Detalle'!$G217),1,"")</x:f>
      </x:c>
      <x:c r="P441" s="32" t="str">
        <x:f>IF(AND(P$8&lt;='Detalle'!$H217,P$9&gt;='Detalle'!$G217),1,"")</x:f>
      </x:c>
      <x:c r="Q441" s="68"/>
      <x:c r="R441" s="67" t="str">
        <x:f>IF('Detalle'!M217="","",'Detalle'!M217)</x:f>
      </x:c>
      <x:c r="S441" s="67" t="str">
        <x:f>IF('Detalle'!N217="","",'Detalle'!N217)</x:f>
      </x:c>
    </x:row>
    <x:row r="442" ht="16" customHeight="1">
      <x:c r="A442" s="56" t="str">
        <x:v>COM03.007</x:v>
      </x:c>
      <x:c r="B442" s="57" t="str">
        <x:v>Crear marcador durable de eliminación</x:v>
      </x:c>
      <x:c r="C442" s="63" t="str">
        <x:v>R</x:v>
      </x:c>
      <x:c r="D442" s="65" t="str">
        <x:f>IF('Detalle'!L217="","",'Detalle'!L217)</x:f>
      </x:c>
      <x:c r="E442" s="60" t="str"/>
      <x:c r="F442" s="32" t="str">
        <x:f>IF(OR('Detalle'!$J217="",'Detalle'!$K217="",'Detalle'!$L217=""),"",IF(AND(F$8&lt;='Detalle'!$K217,F$9&gt;='Detalle'!$J217),1,""))</x:f>
      </x:c>
      <x:c r="G442" s="32" t="str">
        <x:f>IF(OR('Detalle'!$J217="",'Detalle'!$K217="",'Detalle'!$L217=""),"",IF(AND(G$8&lt;='Detalle'!$K217,G$9&gt;='Detalle'!$J217),1,""))</x:f>
      </x:c>
      <x:c r="H442" s="32" t="str">
        <x:f>IF(OR('Detalle'!$J217="",'Detalle'!$K217="",'Detalle'!$L217=""),"",IF(AND(H$8&lt;='Detalle'!$K217,H$9&gt;='Detalle'!$J217),1,""))</x:f>
      </x:c>
      <x:c r="I442" s="32" t="str">
        <x:f>IF(OR('Detalle'!$J217="",'Detalle'!$K217="",'Detalle'!$L217=""),"",IF(AND(I$8&lt;='Detalle'!$K217,I$9&gt;='Detalle'!$J217),1,""))</x:f>
      </x:c>
      <x:c r="J442" s="32" t="str">
        <x:f>IF(OR('Detalle'!$J217="",'Detalle'!$K217="",'Detalle'!$L217=""),"",IF(AND(J$8&lt;='Detalle'!$K217,J$9&gt;='Detalle'!$J217),1,""))</x:f>
      </x:c>
      <x:c r="K442" s="32" t="str">
        <x:f>IF(OR('Detalle'!$J217="",'Detalle'!$K217="",'Detalle'!$L217=""),"",IF(AND(K$8&lt;='Detalle'!$K217,K$9&gt;='Detalle'!$J217),1,""))</x:f>
      </x:c>
      <x:c r="L442" s="32" t="str">
        <x:f>IF(OR('Detalle'!$J217="",'Detalle'!$K217="",'Detalle'!$L217=""),"",IF(AND(L$8&lt;='Detalle'!$K217,L$9&gt;='Detalle'!$J217),1,""))</x:f>
      </x:c>
      <x:c r="M442" s="32" t="str">
        <x:f>IF(OR('Detalle'!$J217="",'Detalle'!$K217="",'Detalle'!$L217=""),"",IF(AND(M$8&lt;='Detalle'!$K217,M$9&gt;='Detalle'!$J217),1,""))</x:f>
      </x:c>
      <x:c r="N442" s="32" t="str">
        <x:f>IF(OR('Detalle'!$J217="",'Detalle'!$K217="",'Detalle'!$L217=""),"",IF(AND(N$8&lt;='Detalle'!$K217,N$9&gt;='Detalle'!$J217),1,""))</x:f>
      </x:c>
      <x:c r="O442" s="32" t="str">
        <x:f>IF(OR('Detalle'!$J217="",'Detalle'!$K217="",'Detalle'!$L217=""),"",IF(AND(O$8&lt;='Detalle'!$K217,O$9&gt;='Detalle'!$J217),1,""))</x:f>
      </x:c>
      <x:c r="P442" s="32" t="str">
        <x:f>IF(OR('Detalle'!$J217="",'Detalle'!$K217="",'Detalle'!$L217=""),"",IF(AND(P$8&lt;='Detalle'!$K217,P$9&gt;='Detalle'!$J217),1,""))</x:f>
      </x:c>
      <x:c r="Q442" s="68"/>
      <x:c r="R442" s="67" t="str"/>
      <x:c r="S442" s="67" t="str"/>
    </x:row>
    <x:row r="443" ht="16" customHeight="1">
      <x:c r="A443" s="56" t="str">
        <x:v>COM03.008</x:v>
      </x:c>
      <x:c r="B443" s="57" t="str">
        <x:v>Bloquear escrituras de cuenta en eliminación</x:v>
      </x:c>
      <x:c r="C443" s="62" t="str">
        <x:v>E</x:v>
      </x:c>
      <x:c r="D443" s="64" t="n">
        <x:f>'Detalle'!I218</x:f>
        <x:v>1</x:v>
      </x:c>
      <x:c r="E443" s="60" t="str">
        <x:f>'Detalle'!F218</x:f>
        <x:v>Completado</x:v>
      </x:c>
      <x:c r="F443" s="32" t="str">
        <x:f>IF(AND(F$8&lt;='Detalle'!$H218,F$9&gt;='Detalle'!$G218),1,"")</x:f>
      </x:c>
      <x:c r="G443" s="32" t="str">
        <x:f>IF(AND(G$8&lt;='Detalle'!$H218,G$9&gt;='Detalle'!$G218),1,"")</x:f>
      </x:c>
      <x:c r="H443" s="32" t="n">
        <x:f>IF(AND(H$8&lt;='Detalle'!$H218,H$9&gt;='Detalle'!$G218),1,"")</x:f>
        <x:v>1</x:v>
      </x:c>
      <x:c r="I443" s="32" t="str">
        <x:f>IF(AND(I$8&lt;='Detalle'!$H218,I$9&gt;='Detalle'!$G218),1,"")</x:f>
      </x:c>
      <x:c r="J443" s="32" t="str">
        <x:f>IF(AND(J$8&lt;='Detalle'!$H218,J$9&gt;='Detalle'!$G218),1,"")</x:f>
      </x:c>
      <x:c r="K443" s="32" t="str">
        <x:f>IF(AND(K$8&lt;='Detalle'!$H218,K$9&gt;='Detalle'!$G218),1,"")</x:f>
      </x:c>
      <x:c r="L443" s="32" t="str">
        <x:f>IF(AND(L$8&lt;='Detalle'!$H218,L$9&gt;='Detalle'!$G218),1,"")</x:f>
      </x:c>
      <x:c r="M443" s="32" t="str">
        <x:f>IF(AND(M$8&lt;='Detalle'!$H218,M$9&gt;='Detalle'!$G218),1,"")</x:f>
      </x:c>
      <x:c r="N443" s="32" t="str">
        <x:f>IF(AND(N$8&lt;='Detalle'!$H218,N$9&gt;='Detalle'!$G218),1,"")</x:f>
      </x:c>
      <x:c r="O443" s="32" t="str">
        <x:f>IF(AND(O$8&lt;='Detalle'!$H218,O$9&gt;='Detalle'!$G218),1,"")</x:f>
      </x:c>
      <x:c r="P443" s="32" t="str">
        <x:f>IF(AND(P$8&lt;='Detalle'!$H218,P$9&gt;='Detalle'!$G218),1,"")</x:f>
      </x:c>
      <x:c r="Q443" s="68"/>
      <x:c r="R443" s="67" t="str">
        <x:f>IF('Detalle'!M218="","",'Detalle'!M218)</x:f>
      </x:c>
      <x:c r="S443" s="67" t="str">
        <x:f>IF('Detalle'!N218="","",'Detalle'!N218)</x:f>
      </x:c>
    </x:row>
    <x:row r="444" ht="16" customHeight="1">
      <x:c r="A444" s="56" t="str">
        <x:v>COM03.008</x:v>
      </x:c>
      <x:c r="B444" s="57" t="str">
        <x:v>Bloquear escrituras de cuenta en eliminación</x:v>
      </x:c>
      <x:c r="C444" s="63" t="str">
        <x:v>R</x:v>
      </x:c>
      <x:c r="D444" s="65" t="str">
        <x:f>IF('Detalle'!L218="","",'Detalle'!L218)</x:f>
      </x:c>
      <x:c r="E444" s="60" t="str"/>
      <x:c r="F444" s="32" t="str">
        <x:f>IF(OR('Detalle'!$J218="",'Detalle'!$K218="",'Detalle'!$L218=""),"",IF(AND(F$8&lt;='Detalle'!$K218,F$9&gt;='Detalle'!$J218),1,""))</x:f>
      </x:c>
      <x:c r="G444" s="32" t="str">
        <x:f>IF(OR('Detalle'!$J218="",'Detalle'!$K218="",'Detalle'!$L218=""),"",IF(AND(G$8&lt;='Detalle'!$K218,G$9&gt;='Detalle'!$J218),1,""))</x:f>
      </x:c>
      <x:c r="H444" s="32" t="str">
        <x:f>IF(OR('Detalle'!$J218="",'Detalle'!$K218="",'Detalle'!$L218=""),"",IF(AND(H$8&lt;='Detalle'!$K218,H$9&gt;='Detalle'!$J218),1,""))</x:f>
      </x:c>
      <x:c r="I444" s="32" t="str">
        <x:f>IF(OR('Detalle'!$J218="",'Detalle'!$K218="",'Detalle'!$L218=""),"",IF(AND(I$8&lt;='Detalle'!$K218,I$9&gt;='Detalle'!$J218),1,""))</x:f>
      </x:c>
      <x:c r="J444" s="32" t="str">
        <x:f>IF(OR('Detalle'!$J218="",'Detalle'!$K218="",'Detalle'!$L218=""),"",IF(AND(J$8&lt;='Detalle'!$K218,J$9&gt;='Detalle'!$J218),1,""))</x:f>
      </x:c>
      <x:c r="K444" s="32" t="str">
        <x:f>IF(OR('Detalle'!$J218="",'Detalle'!$K218="",'Detalle'!$L218=""),"",IF(AND(K$8&lt;='Detalle'!$K218,K$9&gt;='Detalle'!$J218),1,""))</x:f>
      </x:c>
      <x:c r="L444" s="32" t="str">
        <x:f>IF(OR('Detalle'!$J218="",'Detalle'!$K218="",'Detalle'!$L218=""),"",IF(AND(L$8&lt;='Detalle'!$K218,L$9&gt;='Detalle'!$J218),1,""))</x:f>
      </x:c>
      <x:c r="M444" s="32" t="str">
        <x:f>IF(OR('Detalle'!$J218="",'Detalle'!$K218="",'Detalle'!$L218=""),"",IF(AND(M$8&lt;='Detalle'!$K218,M$9&gt;='Detalle'!$J218),1,""))</x:f>
      </x:c>
      <x:c r="N444" s="32" t="str">
        <x:f>IF(OR('Detalle'!$J218="",'Detalle'!$K218="",'Detalle'!$L218=""),"",IF(AND(N$8&lt;='Detalle'!$K218,N$9&gt;='Detalle'!$J218),1,""))</x:f>
      </x:c>
      <x:c r="O444" s="32" t="str">
        <x:f>IF(OR('Detalle'!$J218="",'Detalle'!$K218="",'Detalle'!$L218=""),"",IF(AND(O$8&lt;='Detalle'!$K218,O$9&gt;='Detalle'!$J218),1,""))</x:f>
      </x:c>
      <x:c r="P444" s="32" t="str">
        <x:f>IF(OR('Detalle'!$J218="",'Detalle'!$K218="",'Detalle'!$L218=""),"",IF(AND(P$8&lt;='Detalle'!$K218,P$9&gt;='Detalle'!$J218),1,""))</x:f>
      </x:c>
      <x:c r="Q444" s="68"/>
      <x:c r="R444" s="67" t="str"/>
      <x:c r="S444" s="67" t="str"/>
    </x:row>
    <x:row r="445" ht="16" customHeight="1">
      <x:c r="A445" s="56" t="str">
        <x:v>COM03.009</x:v>
      </x:c>
      <x:c r="B445" s="57" t="str">
        <x:v>Esperar operaciones de imagen en curso</x:v>
      </x:c>
      <x:c r="C445" s="62" t="str">
        <x:v>E</x:v>
      </x:c>
      <x:c r="D445" s="64" t="n">
        <x:f>'Detalle'!I219</x:f>
        <x:v>1</x:v>
      </x:c>
      <x:c r="E445" s="60" t="str">
        <x:f>'Detalle'!F219</x:f>
        <x:v>Completado</x:v>
      </x:c>
      <x:c r="F445" s="32" t="str">
        <x:f>IF(AND(F$8&lt;='Detalle'!$H219,F$9&gt;='Detalle'!$G219),1,"")</x:f>
      </x:c>
      <x:c r="G445" s="32" t="str">
        <x:f>IF(AND(G$8&lt;='Detalle'!$H219,G$9&gt;='Detalle'!$G219),1,"")</x:f>
      </x:c>
      <x:c r="H445" s="32" t="n">
        <x:f>IF(AND(H$8&lt;='Detalle'!$H219,H$9&gt;='Detalle'!$G219),1,"")</x:f>
        <x:v>1</x:v>
      </x:c>
      <x:c r="I445" s="32" t="str">
        <x:f>IF(AND(I$8&lt;='Detalle'!$H219,I$9&gt;='Detalle'!$G219),1,"")</x:f>
      </x:c>
      <x:c r="J445" s="32" t="str">
        <x:f>IF(AND(J$8&lt;='Detalle'!$H219,J$9&gt;='Detalle'!$G219),1,"")</x:f>
      </x:c>
      <x:c r="K445" s="32" t="str">
        <x:f>IF(AND(K$8&lt;='Detalle'!$H219,K$9&gt;='Detalle'!$G219),1,"")</x:f>
      </x:c>
      <x:c r="L445" s="32" t="str">
        <x:f>IF(AND(L$8&lt;='Detalle'!$H219,L$9&gt;='Detalle'!$G219),1,"")</x:f>
      </x:c>
      <x:c r="M445" s="32" t="str">
        <x:f>IF(AND(M$8&lt;='Detalle'!$H219,M$9&gt;='Detalle'!$G219),1,"")</x:f>
      </x:c>
      <x:c r="N445" s="32" t="str">
        <x:f>IF(AND(N$8&lt;='Detalle'!$H219,N$9&gt;='Detalle'!$G219),1,"")</x:f>
      </x:c>
      <x:c r="O445" s="32" t="str">
        <x:f>IF(AND(O$8&lt;='Detalle'!$H219,O$9&gt;='Detalle'!$G219),1,"")</x:f>
      </x:c>
      <x:c r="P445" s="32" t="str">
        <x:f>IF(AND(P$8&lt;='Detalle'!$H219,P$9&gt;='Detalle'!$G219),1,"")</x:f>
      </x:c>
      <x:c r="Q445" s="68"/>
      <x:c r="R445" s="67" t="str">
        <x:f>IF('Detalle'!M219="","",'Detalle'!M219)</x:f>
      </x:c>
      <x:c r="S445" s="67" t="str">
        <x:f>IF('Detalle'!N219="","",'Detalle'!N219)</x:f>
      </x:c>
    </x:row>
    <x:row r="446" ht="16" customHeight="1">
      <x:c r="A446" s="56" t="str">
        <x:v>COM03.009</x:v>
      </x:c>
      <x:c r="B446" s="57" t="str">
        <x:v>Esperar operaciones de imagen en curso</x:v>
      </x:c>
      <x:c r="C446" s="63" t="str">
        <x:v>R</x:v>
      </x:c>
      <x:c r="D446" s="65" t="str">
        <x:f>IF('Detalle'!L219="","",'Detalle'!L219)</x:f>
      </x:c>
      <x:c r="E446" s="60" t="str"/>
      <x:c r="F446" s="32" t="str">
        <x:f>IF(OR('Detalle'!$J219="",'Detalle'!$K219="",'Detalle'!$L219=""),"",IF(AND(F$8&lt;='Detalle'!$K219,F$9&gt;='Detalle'!$J219),1,""))</x:f>
      </x:c>
      <x:c r="G446" s="32" t="str">
        <x:f>IF(OR('Detalle'!$J219="",'Detalle'!$K219="",'Detalle'!$L219=""),"",IF(AND(G$8&lt;='Detalle'!$K219,G$9&gt;='Detalle'!$J219),1,""))</x:f>
      </x:c>
      <x:c r="H446" s="32" t="str">
        <x:f>IF(OR('Detalle'!$J219="",'Detalle'!$K219="",'Detalle'!$L219=""),"",IF(AND(H$8&lt;='Detalle'!$K219,H$9&gt;='Detalle'!$J219),1,""))</x:f>
      </x:c>
      <x:c r="I446" s="32" t="str">
        <x:f>IF(OR('Detalle'!$J219="",'Detalle'!$K219="",'Detalle'!$L219=""),"",IF(AND(I$8&lt;='Detalle'!$K219,I$9&gt;='Detalle'!$J219),1,""))</x:f>
      </x:c>
      <x:c r="J446" s="32" t="str">
        <x:f>IF(OR('Detalle'!$J219="",'Detalle'!$K219="",'Detalle'!$L219=""),"",IF(AND(J$8&lt;='Detalle'!$K219,J$9&gt;='Detalle'!$J219),1,""))</x:f>
      </x:c>
      <x:c r="K446" s="32" t="str">
        <x:f>IF(OR('Detalle'!$J219="",'Detalle'!$K219="",'Detalle'!$L219=""),"",IF(AND(K$8&lt;='Detalle'!$K219,K$9&gt;='Detalle'!$J219),1,""))</x:f>
      </x:c>
      <x:c r="L446" s="32" t="str">
        <x:f>IF(OR('Detalle'!$J219="",'Detalle'!$K219="",'Detalle'!$L219=""),"",IF(AND(L$8&lt;='Detalle'!$K219,L$9&gt;='Detalle'!$J219),1,""))</x:f>
      </x:c>
      <x:c r="M446" s="32" t="str">
        <x:f>IF(OR('Detalle'!$J219="",'Detalle'!$K219="",'Detalle'!$L219=""),"",IF(AND(M$8&lt;='Detalle'!$K219,M$9&gt;='Detalle'!$J219),1,""))</x:f>
      </x:c>
      <x:c r="N446" s="32" t="str">
        <x:f>IF(OR('Detalle'!$J219="",'Detalle'!$K219="",'Detalle'!$L219=""),"",IF(AND(N$8&lt;='Detalle'!$K219,N$9&gt;='Detalle'!$J219),1,""))</x:f>
      </x:c>
      <x:c r="O446" s="32" t="str">
        <x:f>IF(OR('Detalle'!$J219="",'Detalle'!$K219="",'Detalle'!$L219=""),"",IF(AND(O$8&lt;='Detalle'!$K219,O$9&gt;='Detalle'!$J219),1,""))</x:f>
      </x:c>
      <x:c r="P446" s="32" t="str">
        <x:f>IF(OR('Detalle'!$J219="",'Detalle'!$K219="",'Detalle'!$L219=""),"",IF(AND(P$8&lt;='Detalle'!$K219,P$9&gt;='Detalle'!$J219),1,""))</x:f>
      </x:c>
      <x:c r="Q446" s="68"/>
      <x:c r="R446" s="67" t="str"/>
      <x:c r="S446" s="67" t="str"/>
    </x:row>
    <x:row r="447" ht="16" customHeight="1">
      <x:c r="A447" s="56" t="str">
        <x:v>COM03.010</x:v>
      </x:c>
      <x:c r="B447" s="57" t="str">
        <x:v>Limpiar imágenes de publicaciones al borrar cuenta</x:v>
      </x:c>
      <x:c r="C447" s="62" t="str">
        <x:v>E</x:v>
      </x:c>
      <x:c r="D447" s="64" t="n">
        <x:f>'Detalle'!I220</x:f>
        <x:v>1</x:v>
      </x:c>
      <x:c r="E447" s="60" t="str">
        <x:f>'Detalle'!F220</x:f>
        <x:v>Completado</x:v>
      </x:c>
      <x:c r="F447" s="32" t="str">
        <x:f>IF(AND(F$8&lt;='Detalle'!$H220,F$9&gt;='Detalle'!$G220),1,"")</x:f>
      </x:c>
      <x:c r="G447" s="32" t="str">
        <x:f>IF(AND(G$8&lt;='Detalle'!$H220,G$9&gt;='Detalle'!$G220),1,"")</x:f>
      </x:c>
      <x:c r="H447" s="32" t="n">
        <x:f>IF(AND(H$8&lt;='Detalle'!$H220,H$9&gt;='Detalle'!$G220),1,"")</x:f>
        <x:v>1</x:v>
      </x:c>
      <x:c r="I447" s="32" t="str">
        <x:f>IF(AND(I$8&lt;='Detalle'!$H220,I$9&gt;='Detalle'!$G220),1,"")</x:f>
      </x:c>
      <x:c r="J447" s="32" t="str">
        <x:f>IF(AND(J$8&lt;='Detalle'!$H220,J$9&gt;='Detalle'!$G220),1,"")</x:f>
      </x:c>
      <x:c r="K447" s="32" t="str">
        <x:f>IF(AND(K$8&lt;='Detalle'!$H220,K$9&gt;='Detalle'!$G220),1,"")</x:f>
      </x:c>
      <x:c r="L447" s="32" t="str">
        <x:f>IF(AND(L$8&lt;='Detalle'!$H220,L$9&gt;='Detalle'!$G220),1,"")</x:f>
      </x:c>
      <x:c r="M447" s="32" t="str">
        <x:f>IF(AND(M$8&lt;='Detalle'!$H220,M$9&gt;='Detalle'!$G220),1,"")</x:f>
      </x:c>
      <x:c r="N447" s="32" t="str">
        <x:f>IF(AND(N$8&lt;='Detalle'!$H220,N$9&gt;='Detalle'!$G220),1,"")</x:f>
      </x:c>
      <x:c r="O447" s="32" t="str">
        <x:f>IF(AND(O$8&lt;='Detalle'!$H220,O$9&gt;='Detalle'!$G220),1,"")</x:f>
      </x:c>
      <x:c r="P447" s="32" t="str">
        <x:f>IF(AND(P$8&lt;='Detalle'!$H220,P$9&gt;='Detalle'!$G220),1,"")</x:f>
      </x:c>
      <x:c r="Q447" s="68"/>
      <x:c r="R447" s="67" t="str">
        <x:f>IF('Detalle'!M220="","",'Detalle'!M220)</x:f>
      </x:c>
      <x:c r="S447" s="67" t="str">
        <x:f>IF('Detalle'!N220="","",'Detalle'!N220)</x:f>
      </x:c>
    </x:row>
    <x:row r="448" ht="16" customHeight="1">
      <x:c r="A448" s="56" t="str">
        <x:v>COM03.010</x:v>
      </x:c>
      <x:c r="B448" s="57" t="str">
        <x:v>Limpiar imágenes de publicaciones al borrar cuenta</x:v>
      </x:c>
      <x:c r="C448" s="63" t="str">
        <x:v>R</x:v>
      </x:c>
      <x:c r="D448" s="65" t="str">
        <x:f>IF('Detalle'!L220="","",'Detalle'!L220)</x:f>
      </x:c>
      <x:c r="E448" s="60" t="str"/>
      <x:c r="F448" s="32" t="str">
        <x:f>IF(OR('Detalle'!$J220="",'Detalle'!$K220="",'Detalle'!$L220=""),"",IF(AND(F$8&lt;='Detalle'!$K220,F$9&gt;='Detalle'!$J220),1,""))</x:f>
      </x:c>
      <x:c r="G448" s="32" t="str">
        <x:f>IF(OR('Detalle'!$J220="",'Detalle'!$K220="",'Detalle'!$L220=""),"",IF(AND(G$8&lt;='Detalle'!$K220,G$9&gt;='Detalle'!$J220),1,""))</x:f>
      </x:c>
      <x:c r="H448" s="32" t="str">
        <x:f>IF(OR('Detalle'!$J220="",'Detalle'!$K220="",'Detalle'!$L220=""),"",IF(AND(H$8&lt;='Detalle'!$K220,H$9&gt;='Detalle'!$J220),1,""))</x:f>
      </x:c>
      <x:c r="I448" s="32" t="str">
        <x:f>IF(OR('Detalle'!$J220="",'Detalle'!$K220="",'Detalle'!$L220=""),"",IF(AND(I$8&lt;='Detalle'!$K220,I$9&gt;='Detalle'!$J220),1,""))</x:f>
      </x:c>
      <x:c r="J448" s="32" t="str">
        <x:f>IF(OR('Detalle'!$J220="",'Detalle'!$K220="",'Detalle'!$L220=""),"",IF(AND(J$8&lt;='Detalle'!$K220,J$9&gt;='Detalle'!$J220),1,""))</x:f>
      </x:c>
      <x:c r="K448" s="32" t="str">
        <x:f>IF(OR('Detalle'!$J220="",'Detalle'!$K220="",'Detalle'!$L220=""),"",IF(AND(K$8&lt;='Detalle'!$K220,K$9&gt;='Detalle'!$J220),1,""))</x:f>
      </x:c>
      <x:c r="L448" s="32" t="str">
        <x:f>IF(OR('Detalle'!$J220="",'Detalle'!$K220="",'Detalle'!$L220=""),"",IF(AND(L$8&lt;='Detalle'!$K220,L$9&gt;='Detalle'!$J220),1,""))</x:f>
      </x:c>
      <x:c r="M448" s="32" t="str">
        <x:f>IF(OR('Detalle'!$J220="",'Detalle'!$K220="",'Detalle'!$L220=""),"",IF(AND(M$8&lt;='Detalle'!$K220,M$9&gt;='Detalle'!$J220),1,""))</x:f>
      </x:c>
      <x:c r="N448" s="32" t="str">
        <x:f>IF(OR('Detalle'!$J220="",'Detalle'!$K220="",'Detalle'!$L220=""),"",IF(AND(N$8&lt;='Detalle'!$K220,N$9&gt;='Detalle'!$J220),1,""))</x:f>
      </x:c>
      <x:c r="O448" s="32" t="str">
        <x:f>IF(OR('Detalle'!$J220="",'Detalle'!$K220="",'Detalle'!$L220=""),"",IF(AND(O$8&lt;='Detalle'!$K220,O$9&gt;='Detalle'!$J220),1,""))</x:f>
      </x:c>
      <x:c r="P448" s="32" t="str">
        <x:f>IF(OR('Detalle'!$J220="",'Detalle'!$K220="",'Detalle'!$L220=""),"",IF(AND(P$8&lt;='Detalle'!$K220,P$9&gt;='Detalle'!$J220),1,""))</x:f>
      </x:c>
      <x:c r="Q448" s="68"/>
      <x:c r="R448" s="67" t="str"/>
      <x:c r="S448" s="67" t="str"/>
    </x:row>
    <x:row r="449" ht="16" customHeight="1">
      <x:c r="A449" s="56" t="str">
        <x:v>COM03.011</x:v>
      </x:c>
      <x:c r="B449" s="57" t="str">
        <x:v>Eliminar Auth tras limpieza</x:v>
      </x:c>
      <x:c r="C449" s="62" t="str">
        <x:v>E</x:v>
      </x:c>
      <x:c r="D449" s="64" t="n">
        <x:f>'Detalle'!I221</x:f>
        <x:v>1</x:v>
      </x:c>
      <x:c r="E449" s="60" t="str">
        <x:f>'Detalle'!F221</x:f>
        <x:v>Completado</x:v>
      </x:c>
      <x:c r="F449" s="32" t="str">
        <x:f>IF(AND(F$8&lt;='Detalle'!$H221,F$9&gt;='Detalle'!$G221),1,"")</x:f>
      </x:c>
      <x:c r="G449" s="32" t="str">
        <x:f>IF(AND(G$8&lt;='Detalle'!$H221,G$9&gt;='Detalle'!$G221),1,"")</x:f>
      </x:c>
      <x:c r="H449" s="32" t="n">
        <x:f>IF(AND(H$8&lt;='Detalle'!$H221,H$9&gt;='Detalle'!$G221),1,"")</x:f>
        <x:v>1</x:v>
      </x:c>
      <x:c r="I449" s="32" t="str">
        <x:f>IF(AND(I$8&lt;='Detalle'!$H221,I$9&gt;='Detalle'!$G221),1,"")</x:f>
      </x:c>
      <x:c r="J449" s="32" t="str">
        <x:f>IF(AND(J$8&lt;='Detalle'!$H221,J$9&gt;='Detalle'!$G221),1,"")</x:f>
      </x:c>
      <x:c r="K449" s="32" t="str">
        <x:f>IF(AND(K$8&lt;='Detalle'!$H221,K$9&gt;='Detalle'!$G221),1,"")</x:f>
      </x:c>
      <x:c r="L449" s="32" t="str">
        <x:f>IF(AND(L$8&lt;='Detalle'!$H221,L$9&gt;='Detalle'!$G221),1,"")</x:f>
      </x:c>
      <x:c r="M449" s="32" t="str">
        <x:f>IF(AND(M$8&lt;='Detalle'!$H221,M$9&gt;='Detalle'!$G221),1,"")</x:f>
      </x:c>
      <x:c r="N449" s="32" t="str">
        <x:f>IF(AND(N$8&lt;='Detalle'!$H221,N$9&gt;='Detalle'!$G221),1,"")</x:f>
      </x:c>
      <x:c r="O449" s="32" t="str">
        <x:f>IF(AND(O$8&lt;='Detalle'!$H221,O$9&gt;='Detalle'!$G221),1,"")</x:f>
      </x:c>
      <x:c r="P449" s="32" t="str">
        <x:f>IF(AND(P$8&lt;='Detalle'!$H221,P$9&gt;='Detalle'!$G221),1,"")</x:f>
      </x:c>
      <x:c r="Q449" s="68"/>
      <x:c r="R449" s="67" t="str">
        <x:f>IF('Detalle'!M221="","",'Detalle'!M221)</x:f>
      </x:c>
      <x:c r="S449" s="67" t="str">
        <x:f>IF('Detalle'!N221="","",'Detalle'!N221)</x:f>
      </x:c>
    </x:row>
    <x:row r="450" ht="16" customHeight="1">
      <x:c r="A450" s="56" t="str">
        <x:v>COM03.011</x:v>
      </x:c>
      <x:c r="B450" s="57" t="str">
        <x:v>Eliminar Auth tras limpieza</x:v>
      </x:c>
      <x:c r="C450" s="63" t="str">
        <x:v>R</x:v>
      </x:c>
      <x:c r="D450" s="65" t="str">
        <x:f>IF('Detalle'!L221="","",'Detalle'!L221)</x:f>
      </x:c>
      <x:c r="E450" s="60" t="str"/>
      <x:c r="F450" s="32" t="str">
        <x:f>IF(OR('Detalle'!$J221="",'Detalle'!$K221="",'Detalle'!$L221=""),"",IF(AND(F$8&lt;='Detalle'!$K221,F$9&gt;='Detalle'!$J221),1,""))</x:f>
      </x:c>
      <x:c r="G450" s="32" t="str">
        <x:f>IF(OR('Detalle'!$J221="",'Detalle'!$K221="",'Detalle'!$L221=""),"",IF(AND(G$8&lt;='Detalle'!$K221,G$9&gt;='Detalle'!$J221),1,""))</x:f>
      </x:c>
      <x:c r="H450" s="32" t="str">
        <x:f>IF(OR('Detalle'!$J221="",'Detalle'!$K221="",'Detalle'!$L221=""),"",IF(AND(H$8&lt;='Detalle'!$K221,H$9&gt;='Detalle'!$J221),1,""))</x:f>
      </x:c>
      <x:c r="I450" s="32" t="str">
        <x:f>IF(OR('Detalle'!$J221="",'Detalle'!$K221="",'Detalle'!$L221=""),"",IF(AND(I$8&lt;='Detalle'!$K221,I$9&gt;='Detalle'!$J221),1,""))</x:f>
      </x:c>
      <x:c r="J450" s="32" t="str">
        <x:f>IF(OR('Detalle'!$J221="",'Detalle'!$K221="",'Detalle'!$L221=""),"",IF(AND(J$8&lt;='Detalle'!$K221,J$9&gt;='Detalle'!$J221),1,""))</x:f>
      </x:c>
      <x:c r="K450" s="32" t="str">
        <x:f>IF(OR('Detalle'!$J221="",'Detalle'!$K221="",'Detalle'!$L221=""),"",IF(AND(K$8&lt;='Detalle'!$K221,K$9&gt;='Detalle'!$J221),1,""))</x:f>
      </x:c>
      <x:c r="L450" s="32" t="str">
        <x:f>IF(OR('Detalle'!$J221="",'Detalle'!$K221="",'Detalle'!$L221=""),"",IF(AND(L$8&lt;='Detalle'!$K221,L$9&gt;='Detalle'!$J221),1,""))</x:f>
      </x:c>
      <x:c r="M450" s="32" t="str">
        <x:f>IF(OR('Detalle'!$J221="",'Detalle'!$K221="",'Detalle'!$L221=""),"",IF(AND(M$8&lt;='Detalle'!$K221,M$9&gt;='Detalle'!$J221),1,""))</x:f>
      </x:c>
      <x:c r="N450" s="32" t="str">
        <x:f>IF(OR('Detalle'!$J221="",'Detalle'!$K221="",'Detalle'!$L221=""),"",IF(AND(N$8&lt;='Detalle'!$K221,N$9&gt;='Detalle'!$J221),1,""))</x:f>
      </x:c>
      <x:c r="O450" s="32" t="str">
        <x:f>IF(OR('Detalle'!$J221="",'Detalle'!$K221="",'Detalle'!$L221=""),"",IF(AND(O$8&lt;='Detalle'!$K221,O$9&gt;='Detalle'!$J221),1,""))</x:f>
      </x:c>
      <x:c r="P450" s="32" t="str">
        <x:f>IF(OR('Detalle'!$J221="",'Detalle'!$K221="",'Detalle'!$L221=""),"",IF(AND(P$8&lt;='Detalle'!$K221,P$9&gt;='Detalle'!$J221),1,""))</x:f>
      </x:c>
      <x:c r="Q450" s="68"/>
      <x:c r="R450" s="67" t="str"/>
      <x:c r="S450" s="67" t="str"/>
    </x:row>
    <x:row r="451" ht="20" customHeight="1">
      <x:c r="A451" s="52" t="str">
        <x:v>GIT01 · Publicación del repositorio e integración del historial</x:v>
      </x:c>
      <x:c r="B451" s="52" t="str">
        <x:v>GIT01 · Publicación del repositorio e integración del historial</x:v>
      </x:c>
      <x:c r="C451" s="52" t="str">
        <x:v>GIT01 · Publicación del repositorio e integración del historial</x:v>
      </x:c>
      <x:c r="D451" s="52" t="str">
        <x:v>GIT01 · Publicación del repositorio e integración del historial</x:v>
      </x:c>
      <x:c r="E451" s="52" t="str">
        <x:v>GIT01 · Publicación del repositorio e integración del historial</x:v>
      </x:c>
      <x:c r="F451" s="53" t="str">
        <x:v>GIT01 · Publicación del repositorio e integración del historial</x:v>
      </x:c>
      <x:c r="G451" s="53" t="str">
        <x:v>GIT01 · Publicación del repositorio e integración del historial</x:v>
      </x:c>
      <x:c r="H451" s="53" t="str">
        <x:v>GIT01 · Publicación del repositorio e integración del historial</x:v>
      </x:c>
      <x:c r="I451" s="53" t="str">
        <x:v>GIT01 · Publicación del repositorio e integración del historial</x:v>
      </x:c>
      <x:c r="J451" s="53" t="str">
        <x:v>GIT01 · Publicación del repositorio e integración del historial</x:v>
      </x:c>
      <x:c r="K451" s="53" t="str">
        <x:v>GIT01 · Publicación del repositorio e integración del historial</x:v>
      </x:c>
      <x:c r="L451" s="53" t="str">
        <x:v>GIT01 · Publicación del repositorio e integración del historial</x:v>
      </x:c>
      <x:c r="M451" s="53" t="str">
        <x:v>GIT01 · Publicación del repositorio e integración del historial</x:v>
      </x:c>
      <x:c r="N451" s="53" t="str">
        <x:v>GIT01 · Publicación del repositorio e integración del historial</x:v>
      </x:c>
      <x:c r="O451" s="53" t="str">
        <x:v>GIT01 · Publicación del repositorio e integración del historial</x:v>
      </x:c>
      <x:c r="P451" s="53" t="str">
        <x:v>GIT01 · Publicación del repositorio e integración del historial</x:v>
      </x:c>
      <x:c r="Q451" s="52" t="str">
        <x:v>GIT01 · Publicación del repositorio e integración del historial</x:v>
      </x:c>
      <x:c r="R451" s="52" t="str">
        <x:v>GIT01 · Publicación del repositorio e integración del historial</x:v>
      </x:c>
      <x:c r="S451" s="52" t="str">
        <x:v>GIT01 · Publicación del repositorio e integración del historial</x:v>
      </x:c>
    </x:row>
    <x:row r="452" ht="16" customHeight="1">
      <x:c r="A452" s="56" t="str">
        <x:v>GIT01.001</x:v>
      </x:c>
      <x:c r="B452" s="57" t="str">
        <x:v>Preparar archivos públicos del proyecto</x:v>
      </x:c>
      <x:c r="C452" s="62" t="str">
        <x:v>E</x:v>
      </x:c>
      <x:c r="D452" s="64" t="n">
        <x:f>'Detalle'!I222</x:f>
        <x:v>1</x:v>
      </x:c>
      <x:c r="E452" s="60" t="str">
        <x:f>'Detalle'!F222</x:f>
        <x:v>Completado</x:v>
      </x:c>
      <x:c r="F452" s="32" t="str">
        <x:f>IF(AND(F$8&lt;='Detalle'!$H222,F$9&gt;='Detalle'!$G222),1,"")</x:f>
      </x:c>
      <x:c r="G452" s="32" t="str">
        <x:f>IF(AND(G$8&lt;='Detalle'!$H222,G$9&gt;='Detalle'!$G222),1,"")</x:f>
      </x:c>
      <x:c r="H452" s="32" t="str">
        <x:f>IF(AND(H$8&lt;='Detalle'!$H222,H$9&gt;='Detalle'!$G222),1,"")</x:f>
      </x:c>
      <x:c r="I452" s="32" t="n">
        <x:f>IF(AND(I$8&lt;='Detalle'!$H222,I$9&gt;='Detalle'!$G222),1,"")</x:f>
        <x:v>1</x:v>
      </x:c>
      <x:c r="J452" s="32" t="str">
        <x:f>IF(AND(J$8&lt;='Detalle'!$H222,J$9&gt;='Detalle'!$G222),1,"")</x:f>
      </x:c>
      <x:c r="K452" s="32" t="str">
        <x:f>IF(AND(K$8&lt;='Detalle'!$H222,K$9&gt;='Detalle'!$G222),1,"")</x:f>
      </x:c>
      <x:c r="L452" s="32" t="str">
        <x:f>IF(AND(L$8&lt;='Detalle'!$H222,L$9&gt;='Detalle'!$G222),1,"")</x:f>
      </x:c>
      <x:c r="M452" s="32" t="str">
        <x:f>IF(AND(M$8&lt;='Detalle'!$H222,M$9&gt;='Detalle'!$G222),1,"")</x:f>
      </x:c>
      <x:c r="N452" s="32" t="str">
        <x:f>IF(AND(N$8&lt;='Detalle'!$H222,N$9&gt;='Detalle'!$G222),1,"")</x:f>
      </x:c>
      <x:c r="O452" s="32" t="str">
        <x:f>IF(AND(O$8&lt;='Detalle'!$H222,O$9&gt;='Detalle'!$G222),1,"")</x:f>
      </x:c>
      <x:c r="P452" s="32" t="str">
        <x:f>IF(AND(P$8&lt;='Detalle'!$H222,P$9&gt;='Detalle'!$G222),1,"")</x:f>
      </x:c>
      <x:c r="Q452" s="68"/>
      <x:c r="R452" s="67" t="str">
        <x:f>IF('Detalle'!M222="","",'Detalle'!M222)</x:f>
      </x:c>
      <x:c r="S452" s="67" t="str">
        <x:f>IF('Detalle'!N222="","",'Detalle'!N222)</x:f>
      </x:c>
    </x:row>
    <x:row r="453" ht="16" customHeight="1">
      <x:c r="A453" s="56" t="str">
        <x:v>GIT01.001</x:v>
      </x:c>
      <x:c r="B453" s="57" t="str">
        <x:v>Preparar archivos públicos del proyecto</x:v>
      </x:c>
      <x:c r="C453" s="63" t="str">
        <x:v>R</x:v>
      </x:c>
      <x:c r="D453" s="65" t="str">
        <x:f>IF('Detalle'!L222="","",'Detalle'!L222)</x:f>
      </x:c>
      <x:c r="E453" s="60" t="str"/>
      <x:c r="F453" s="32" t="str">
        <x:f>IF(OR('Detalle'!$J222="",'Detalle'!$K222="",'Detalle'!$L222=""),"",IF(AND(F$8&lt;='Detalle'!$K222,F$9&gt;='Detalle'!$J222),1,""))</x:f>
      </x:c>
      <x:c r="G453" s="32" t="str">
        <x:f>IF(OR('Detalle'!$J222="",'Detalle'!$K222="",'Detalle'!$L222=""),"",IF(AND(G$8&lt;='Detalle'!$K222,G$9&gt;='Detalle'!$J222),1,""))</x:f>
      </x:c>
      <x:c r="H453" s="32" t="str">
        <x:f>IF(OR('Detalle'!$J222="",'Detalle'!$K222="",'Detalle'!$L222=""),"",IF(AND(H$8&lt;='Detalle'!$K222,H$9&gt;='Detalle'!$J222),1,""))</x:f>
      </x:c>
      <x:c r="I453" s="32" t="str">
        <x:f>IF(OR('Detalle'!$J222="",'Detalle'!$K222="",'Detalle'!$L222=""),"",IF(AND(I$8&lt;='Detalle'!$K222,I$9&gt;='Detalle'!$J222),1,""))</x:f>
      </x:c>
      <x:c r="J453" s="32" t="str">
        <x:f>IF(OR('Detalle'!$J222="",'Detalle'!$K222="",'Detalle'!$L222=""),"",IF(AND(J$8&lt;='Detalle'!$K222,J$9&gt;='Detalle'!$J222),1,""))</x:f>
      </x:c>
      <x:c r="K453" s="32" t="str">
        <x:f>IF(OR('Detalle'!$J222="",'Detalle'!$K222="",'Detalle'!$L222=""),"",IF(AND(K$8&lt;='Detalle'!$K222,K$9&gt;='Detalle'!$J222),1,""))</x:f>
      </x:c>
      <x:c r="L453" s="32" t="str">
        <x:f>IF(OR('Detalle'!$J222="",'Detalle'!$K222="",'Detalle'!$L222=""),"",IF(AND(L$8&lt;='Detalle'!$K222,L$9&gt;='Detalle'!$J222),1,""))</x:f>
      </x:c>
      <x:c r="M453" s="32" t="str">
        <x:f>IF(OR('Detalle'!$J222="",'Detalle'!$K222="",'Detalle'!$L222=""),"",IF(AND(M$8&lt;='Detalle'!$K222,M$9&gt;='Detalle'!$J222),1,""))</x:f>
      </x:c>
      <x:c r="N453" s="32" t="str">
        <x:f>IF(OR('Detalle'!$J222="",'Detalle'!$K222="",'Detalle'!$L222=""),"",IF(AND(N$8&lt;='Detalle'!$K222,N$9&gt;='Detalle'!$J222),1,""))</x:f>
      </x:c>
      <x:c r="O453" s="32" t="str">
        <x:f>IF(OR('Detalle'!$J222="",'Detalle'!$K222="",'Detalle'!$L222=""),"",IF(AND(O$8&lt;='Detalle'!$K222,O$9&gt;='Detalle'!$J222),1,""))</x:f>
      </x:c>
      <x:c r="P453" s="32" t="str">
        <x:f>IF(OR('Detalle'!$J222="",'Detalle'!$K222="",'Detalle'!$L222=""),"",IF(AND(P$8&lt;='Detalle'!$K222,P$9&gt;='Detalle'!$J222),1,""))</x:f>
      </x:c>
      <x:c r="Q453" s="68"/>
      <x:c r="R453" s="67" t="str"/>
      <x:c r="S453" s="67" t="str"/>
    </x:row>
    <x:row r="454" ht="16" customHeight="1">
      <x:c r="A454" s="56" t="str">
        <x:v>GIT01.002</x:v>
      </x:c>
      <x:c r="B454" s="57" t="str">
        <x:v>Conservar ejemplos de configuración</x:v>
      </x:c>
      <x:c r="C454" s="62" t="str">
        <x:v>E</x:v>
      </x:c>
      <x:c r="D454" s="64" t="n">
        <x:f>'Detalle'!I223</x:f>
        <x:v>1</x:v>
      </x:c>
      <x:c r="E454" s="60" t="str">
        <x:f>'Detalle'!F223</x:f>
        <x:v>Completado</x:v>
      </x:c>
      <x:c r="F454" s="32" t="str">
        <x:f>IF(AND(F$8&lt;='Detalle'!$H223,F$9&gt;='Detalle'!$G223),1,"")</x:f>
      </x:c>
      <x:c r="G454" s="32" t="str">
        <x:f>IF(AND(G$8&lt;='Detalle'!$H223,G$9&gt;='Detalle'!$G223),1,"")</x:f>
      </x:c>
      <x:c r="H454" s="32" t="str">
        <x:f>IF(AND(H$8&lt;='Detalle'!$H223,H$9&gt;='Detalle'!$G223),1,"")</x:f>
      </x:c>
      <x:c r="I454" s="32" t="n">
        <x:f>IF(AND(I$8&lt;='Detalle'!$H223,I$9&gt;='Detalle'!$G223),1,"")</x:f>
        <x:v>1</x:v>
      </x:c>
      <x:c r="J454" s="32" t="str">
        <x:f>IF(AND(J$8&lt;='Detalle'!$H223,J$9&gt;='Detalle'!$G223),1,"")</x:f>
      </x:c>
      <x:c r="K454" s="32" t="str">
        <x:f>IF(AND(K$8&lt;='Detalle'!$H223,K$9&gt;='Detalle'!$G223),1,"")</x:f>
      </x:c>
      <x:c r="L454" s="32" t="str">
        <x:f>IF(AND(L$8&lt;='Detalle'!$H223,L$9&gt;='Detalle'!$G223),1,"")</x:f>
      </x:c>
      <x:c r="M454" s="32" t="str">
        <x:f>IF(AND(M$8&lt;='Detalle'!$H223,M$9&gt;='Detalle'!$G223),1,"")</x:f>
      </x:c>
      <x:c r="N454" s="32" t="str">
        <x:f>IF(AND(N$8&lt;='Detalle'!$H223,N$9&gt;='Detalle'!$G223),1,"")</x:f>
      </x:c>
      <x:c r="O454" s="32" t="str">
        <x:f>IF(AND(O$8&lt;='Detalle'!$H223,O$9&gt;='Detalle'!$G223),1,"")</x:f>
      </x:c>
      <x:c r="P454" s="32" t="str">
        <x:f>IF(AND(P$8&lt;='Detalle'!$H223,P$9&gt;='Detalle'!$G223),1,"")</x:f>
      </x:c>
      <x:c r="Q454" s="68"/>
      <x:c r="R454" s="67" t="str">
        <x:f>IF('Detalle'!M223="","",'Detalle'!M223)</x:f>
      </x:c>
      <x:c r="S454" s="67" t="str">
        <x:f>IF('Detalle'!N223="","",'Detalle'!N223)</x:f>
      </x:c>
    </x:row>
    <x:row r="455" ht="16" customHeight="1">
      <x:c r="A455" s="56" t="str">
        <x:v>GIT01.002</x:v>
      </x:c>
      <x:c r="B455" s="57" t="str">
        <x:v>Conservar ejemplos de configuración</x:v>
      </x:c>
      <x:c r="C455" s="63" t="str">
        <x:v>R</x:v>
      </x:c>
      <x:c r="D455" s="65" t="str">
        <x:f>IF('Detalle'!L223="","",'Detalle'!L223)</x:f>
      </x:c>
      <x:c r="E455" s="60" t="str"/>
      <x:c r="F455" s="32" t="str">
        <x:f>IF(OR('Detalle'!$J223="",'Detalle'!$K223="",'Detalle'!$L223=""),"",IF(AND(F$8&lt;='Detalle'!$K223,F$9&gt;='Detalle'!$J223),1,""))</x:f>
      </x:c>
      <x:c r="G455" s="32" t="str">
        <x:f>IF(OR('Detalle'!$J223="",'Detalle'!$K223="",'Detalle'!$L223=""),"",IF(AND(G$8&lt;='Detalle'!$K223,G$9&gt;='Detalle'!$J223),1,""))</x:f>
      </x:c>
      <x:c r="H455" s="32" t="str">
        <x:f>IF(OR('Detalle'!$J223="",'Detalle'!$K223="",'Detalle'!$L223=""),"",IF(AND(H$8&lt;='Detalle'!$K223,H$9&gt;='Detalle'!$J223),1,""))</x:f>
      </x:c>
      <x:c r="I455" s="32" t="str">
        <x:f>IF(OR('Detalle'!$J223="",'Detalle'!$K223="",'Detalle'!$L223=""),"",IF(AND(I$8&lt;='Detalle'!$K223,I$9&gt;='Detalle'!$J223),1,""))</x:f>
      </x:c>
      <x:c r="J455" s="32" t="str">
        <x:f>IF(OR('Detalle'!$J223="",'Detalle'!$K223="",'Detalle'!$L223=""),"",IF(AND(J$8&lt;='Detalle'!$K223,J$9&gt;='Detalle'!$J223),1,""))</x:f>
      </x:c>
      <x:c r="K455" s="32" t="str">
        <x:f>IF(OR('Detalle'!$J223="",'Detalle'!$K223="",'Detalle'!$L223=""),"",IF(AND(K$8&lt;='Detalle'!$K223,K$9&gt;='Detalle'!$J223),1,""))</x:f>
      </x:c>
      <x:c r="L455" s="32" t="str">
        <x:f>IF(OR('Detalle'!$J223="",'Detalle'!$K223="",'Detalle'!$L223=""),"",IF(AND(L$8&lt;='Detalle'!$K223,L$9&gt;='Detalle'!$J223),1,""))</x:f>
      </x:c>
      <x:c r="M455" s="32" t="str">
        <x:f>IF(OR('Detalle'!$J223="",'Detalle'!$K223="",'Detalle'!$L223=""),"",IF(AND(M$8&lt;='Detalle'!$K223,M$9&gt;='Detalle'!$J223),1,""))</x:f>
      </x:c>
      <x:c r="N455" s="32" t="str">
        <x:f>IF(OR('Detalle'!$J223="",'Detalle'!$K223="",'Detalle'!$L223=""),"",IF(AND(N$8&lt;='Detalle'!$K223,N$9&gt;='Detalle'!$J223),1,""))</x:f>
      </x:c>
      <x:c r="O455" s="32" t="str">
        <x:f>IF(OR('Detalle'!$J223="",'Detalle'!$K223="",'Detalle'!$L223=""),"",IF(AND(O$8&lt;='Detalle'!$K223,O$9&gt;='Detalle'!$J223),1,""))</x:f>
      </x:c>
      <x:c r="P455" s="32" t="str">
        <x:f>IF(OR('Detalle'!$J223="",'Detalle'!$K223="",'Detalle'!$L223=""),"",IF(AND(P$8&lt;='Detalle'!$K223,P$9&gt;='Detalle'!$J223),1,""))</x:f>
      </x:c>
      <x:c r="Q455" s="68"/>
      <x:c r="R455" s="67" t="str"/>
      <x:c r="S455" s="67" t="str"/>
    </x:row>
    <x:row r="456" ht="16" customHeight="1">
      <x:c r="A456" s="56" t="str">
        <x:v>GIT01.003</x:v>
      </x:c>
      <x:c r="B456" s="57" t="str">
        <x:v>Excluir configuración privada del snapshot público</x:v>
      </x:c>
      <x:c r="C456" s="62" t="str">
        <x:v>E</x:v>
      </x:c>
      <x:c r="D456" s="64" t="n">
        <x:f>'Detalle'!I224</x:f>
        <x:v>1</x:v>
      </x:c>
      <x:c r="E456" s="60" t="str">
        <x:f>'Detalle'!F224</x:f>
        <x:v>Completado</x:v>
      </x:c>
      <x:c r="F456" s="32" t="str">
        <x:f>IF(AND(F$8&lt;='Detalle'!$H224,F$9&gt;='Detalle'!$G224),1,"")</x:f>
      </x:c>
      <x:c r="G456" s="32" t="str">
        <x:f>IF(AND(G$8&lt;='Detalle'!$H224,G$9&gt;='Detalle'!$G224),1,"")</x:f>
      </x:c>
      <x:c r="H456" s="32" t="str">
        <x:f>IF(AND(H$8&lt;='Detalle'!$H224,H$9&gt;='Detalle'!$G224),1,"")</x:f>
      </x:c>
      <x:c r="I456" s="32" t="n">
        <x:f>IF(AND(I$8&lt;='Detalle'!$H224,I$9&gt;='Detalle'!$G224),1,"")</x:f>
        <x:v>1</x:v>
      </x:c>
      <x:c r="J456" s="32" t="str">
        <x:f>IF(AND(J$8&lt;='Detalle'!$H224,J$9&gt;='Detalle'!$G224),1,"")</x:f>
      </x:c>
      <x:c r="K456" s="32" t="str">
        <x:f>IF(AND(K$8&lt;='Detalle'!$H224,K$9&gt;='Detalle'!$G224),1,"")</x:f>
      </x:c>
      <x:c r="L456" s="32" t="str">
        <x:f>IF(AND(L$8&lt;='Detalle'!$H224,L$9&gt;='Detalle'!$G224),1,"")</x:f>
      </x:c>
      <x:c r="M456" s="32" t="str">
        <x:f>IF(AND(M$8&lt;='Detalle'!$H224,M$9&gt;='Detalle'!$G224),1,"")</x:f>
      </x:c>
      <x:c r="N456" s="32" t="str">
        <x:f>IF(AND(N$8&lt;='Detalle'!$H224,N$9&gt;='Detalle'!$G224),1,"")</x:f>
      </x:c>
      <x:c r="O456" s="32" t="str">
        <x:f>IF(AND(O$8&lt;='Detalle'!$H224,O$9&gt;='Detalle'!$G224),1,"")</x:f>
      </x:c>
      <x:c r="P456" s="32" t="str">
        <x:f>IF(AND(P$8&lt;='Detalle'!$H224,P$9&gt;='Detalle'!$G224),1,"")</x:f>
      </x:c>
      <x:c r="Q456" s="68"/>
      <x:c r="R456" s="67" t="str">
        <x:f>IF('Detalle'!M224="","",'Detalle'!M224)</x:f>
      </x:c>
      <x:c r="S456" s="67" t="str">
        <x:f>IF('Detalle'!N224="","",'Detalle'!N224)</x:f>
      </x:c>
    </x:row>
    <x:row r="457" ht="16" customHeight="1">
      <x:c r="A457" s="56" t="str">
        <x:v>GIT01.003</x:v>
      </x:c>
      <x:c r="B457" s="57" t="str">
        <x:v>Excluir configuración privada del snapshot público</x:v>
      </x:c>
      <x:c r="C457" s="63" t="str">
        <x:v>R</x:v>
      </x:c>
      <x:c r="D457" s="65" t="str">
        <x:f>IF('Detalle'!L224="","",'Detalle'!L224)</x:f>
      </x:c>
      <x:c r="E457" s="60" t="str"/>
      <x:c r="F457" s="32" t="str">
        <x:f>IF(OR('Detalle'!$J224="",'Detalle'!$K224="",'Detalle'!$L224=""),"",IF(AND(F$8&lt;='Detalle'!$K224,F$9&gt;='Detalle'!$J224),1,""))</x:f>
      </x:c>
      <x:c r="G457" s="32" t="str">
        <x:f>IF(OR('Detalle'!$J224="",'Detalle'!$K224="",'Detalle'!$L224=""),"",IF(AND(G$8&lt;='Detalle'!$K224,G$9&gt;='Detalle'!$J224),1,""))</x:f>
      </x:c>
      <x:c r="H457" s="32" t="str">
        <x:f>IF(OR('Detalle'!$J224="",'Detalle'!$K224="",'Detalle'!$L224=""),"",IF(AND(H$8&lt;='Detalle'!$K224,H$9&gt;='Detalle'!$J224),1,""))</x:f>
      </x:c>
      <x:c r="I457" s="32" t="str">
        <x:f>IF(OR('Detalle'!$J224="",'Detalle'!$K224="",'Detalle'!$L224=""),"",IF(AND(I$8&lt;='Detalle'!$K224,I$9&gt;='Detalle'!$J224),1,""))</x:f>
      </x:c>
      <x:c r="J457" s="32" t="str">
        <x:f>IF(OR('Detalle'!$J224="",'Detalle'!$K224="",'Detalle'!$L224=""),"",IF(AND(J$8&lt;='Detalle'!$K224,J$9&gt;='Detalle'!$J224),1,""))</x:f>
      </x:c>
      <x:c r="K457" s="32" t="str">
        <x:f>IF(OR('Detalle'!$J224="",'Detalle'!$K224="",'Detalle'!$L224=""),"",IF(AND(K$8&lt;='Detalle'!$K224,K$9&gt;='Detalle'!$J224),1,""))</x:f>
      </x:c>
      <x:c r="L457" s="32" t="str">
        <x:f>IF(OR('Detalle'!$J224="",'Detalle'!$K224="",'Detalle'!$L224=""),"",IF(AND(L$8&lt;='Detalle'!$K224,L$9&gt;='Detalle'!$J224),1,""))</x:f>
      </x:c>
      <x:c r="M457" s="32" t="str">
        <x:f>IF(OR('Detalle'!$J224="",'Detalle'!$K224="",'Detalle'!$L224=""),"",IF(AND(M$8&lt;='Detalle'!$K224,M$9&gt;='Detalle'!$J224),1,""))</x:f>
      </x:c>
      <x:c r="N457" s="32" t="str">
        <x:f>IF(OR('Detalle'!$J224="",'Detalle'!$K224="",'Detalle'!$L224=""),"",IF(AND(N$8&lt;='Detalle'!$K224,N$9&gt;='Detalle'!$J224),1,""))</x:f>
      </x:c>
      <x:c r="O457" s="32" t="str">
        <x:f>IF(OR('Detalle'!$J224="",'Detalle'!$K224="",'Detalle'!$L224=""),"",IF(AND(O$8&lt;='Detalle'!$K224,O$9&gt;='Detalle'!$J224),1,""))</x:f>
      </x:c>
      <x:c r="P457" s="32" t="str">
        <x:f>IF(OR('Detalle'!$J224="",'Detalle'!$K224="",'Detalle'!$L224=""),"",IF(AND(P$8&lt;='Detalle'!$K224,P$9&gt;='Detalle'!$J224),1,""))</x:f>
      </x:c>
      <x:c r="Q457" s="68"/>
      <x:c r="R457" s="67" t="str"/>
      <x:c r="S457" s="67" t="str"/>
    </x:row>
    <x:row r="458" ht="16" customHeight="1">
      <x:c r="A458" s="56" t="str">
        <x:v>GIT01.004</x:v>
      </x:c>
      <x:c r="B458" s="57" t="str">
        <x:v>Conservar etapa previa del MVP</x:v>
      </x:c>
      <x:c r="C458" s="62" t="str">
        <x:v>E</x:v>
      </x:c>
      <x:c r="D458" s="64" t="n">
        <x:f>'Detalle'!I225</x:f>
        <x:v>1</x:v>
      </x:c>
      <x:c r="E458" s="60" t="str">
        <x:f>'Detalle'!F225</x:f>
        <x:v>Completado</x:v>
      </x:c>
      <x:c r="F458" s="32" t="str">
        <x:f>IF(AND(F$8&lt;='Detalle'!$H225,F$9&gt;='Detalle'!$G225),1,"")</x:f>
      </x:c>
      <x:c r="G458" s="32" t="str">
        <x:f>IF(AND(G$8&lt;='Detalle'!$H225,G$9&gt;='Detalle'!$G225),1,"")</x:f>
      </x:c>
      <x:c r="H458" s="32" t="str">
        <x:f>IF(AND(H$8&lt;='Detalle'!$H225,H$9&gt;='Detalle'!$G225),1,"")</x:f>
      </x:c>
      <x:c r="I458" s="32" t="n">
        <x:f>IF(AND(I$8&lt;='Detalle'!$H225,I$9&gt;='Detalle'!$G225),1,"")</x:f>
        <x:v>1</x:v>
      </x:c>
      <x:c r="J458" s="32" t="str">
        <x:f>IF(AND(J$8&lt;='Detalle'!$H225,J$9&gt;='Detalle'!$G225),1,"")</x:f>
      </x:c>
      <x:c r="K458" s="32" t="str">
        <x:f>IF(AND(K$8&lt;='Detalle'!$H225,K$9&gt;='Detalle'!$G225),1,"")</x:f>
      </x:c>
      <x:c r="L458" s="32" t="str">
        <x:f>IF(AND(L$8&lt;='Detalle'!$H225,L$9&gt;='Detalle'!$G225),1,"")</x:f>
      </x:c>
      <x:c r="M458" s="32" t="str">
        <x:f>IF(AND(M$8&lt;='Detalle'!$H225,M$9&gt;='Detalle'!$G225),1,"")</x:f>
      </x:c>
      <x:c r="N458" s="32" t="str">
        <x:f>IF(AND(N$8&lt;='Detalle'!$H225,N$9&gt;='Detalle'!$G225),1,"")</x:f>
      </x:c>
      <x:c r="O458" s="32" t="str">
        <x:f>IF(AND(O$8&lt;='Detalle'!$H225,O$9&gt;='Detalle'!$G225),1,"")</x:f>
      </x:c>
      <x:c r="P458" s="32" t="str">
        <x:f>IF(AND(P$8&lt;='Detalle'!$H225,P$9&gt;='Detalle'!$G225),1,"")</x:f>
      </x:c>
      <x:c r="Q458" s="68"/>
      <x:c r="R458" s="67" t="str">
        <x:f>IF('Detalle'!M225="","",'Detalle'!M225)</x:f>
      </x:c>
      <x:c r="S458" s="67" t="str">
        <x:f>IF('Detalle'!N225="","",'Detalle'!N225)</x:f>
      </x:c>
    </x:row>
    <x:row r="459" ht="16" customHeight="1">
      <x:c r="A459" s="56" t="str">
        <x:v>GIT01.004</x:v>
      </x:c>
      <x:c r="B459" s="57" t="str">
        <x:v>Conservar etapa previa del MVP</x:v>
      </x:c>
      <x:c r="C459" s="63" t="str">
        <x:v>R</x:v>
      </x:c>
      <x:c r="D459" s="65" t="str">
        <x:f>IF('Detalle'!L225="","",'Detalle'!L225)</x:f>
      </x:c>
      <x:c r="E459" s="60" t="str"/>
      <x:c r="F459" s="32" t="str">
        <x:f>IF(OR('Detalle'!$J225="",'Detalle'!$K225="",'Detalle'!$L225=""),"",IF(AND(F$8&lt;='Detalle'!$K225,F$9&gt;='Detalle'!$J225),1,""))</x:f>
      </x:c>
      <x:c r="G459" s="32" t="str">
        <x:f>IF(OR('Detalle'!$J225="",'Detalle'!$K225="",'Detalle'!$L225=""),"",IF(AND(G$8&lt;='Detalle'!$K225,G$9&gt;='Detalle'!$J225),1,""))</x:f>
      </x:c>
      <x:c r="H459" s="32" t="str">
        <x:f>IF(OR('Detalle'!$J225="",'Detalle'!$K225="",'Detalle'!$L225=""),"",IF(AND(H$8&lt;='Detalle'!$K225,H$9&gt;='Detalle'!$J225),1,""))</x:f>
      </x:c>
      <x:c r="I459" s="32" t="str">
        <x:f>IF(OR('Detalle'!$J225="",'Detalle'!$K225="",'Detalle'!$L225=""),"",IF(AND(I$8&lt;='Detalle'!$K225,I$9&gt;='Detalle'!$J225),1,""))</x:f>
      </x:c>
      <x:c r="J459" s="32" t="str">
        <x:f>IF(OR('Detalle'!$J225="",'Detalle'!$K225="",'Detalle'!$L225=""),"",IF(AND(J$8&lt;='Detalle'!$K225,J$9&gt;='Detalle'!$J225),1,""))</x:f>
      </x:c>
      <x:c r="K459" s="32" t="str">
        <x:f>IF(OR('Detalle'!$J225="",'Detalle'!$K225="",'Detalle'!$L225=""),"",IF(AND(K$8&lt;='Detalle'!$K225,K$9&gt;='Detalle'!$J225),1,""))</x:f>
      </x:c>
      <x:c r="L459" s="32" t="str">
        <x:f>IF(OR('Detalle'!$J225="",'Detalle'!$K225="",'Detalle'!$L225=""),"",IF(AND(L$8&lt;='Detalle'!$K225,L$9&gt;='Detalle'!$J225),1,""))</x:f>
      </x:c>
      <x:c r="M459" s="32" t="str">
        <x:f>IF(OR('Detalle'!$J225="",'Detalle'!$K225="",'Detalle'!$L225=""),"",IF(AND(M$8&lt;='Detalle'!$K225,M$9&gt;='Detalle'!$J225),1,""))</x:f>
      </x:c>
      <x:c r="N459" s="32" t="str">
        <x:f>IF(OR('Detalle'!$J225="",'Detalle'!$K225="",'Detalle'!$L225=""),"",IF(AND(N$8&lt;='Detalle'!$K225,N$9&gt;='Detalle'!$J225),1,""))</x:f>
      </x:c>
      <x:c r="O459" s="32" t="str">
        <x:f>IF(OR('Detalle'!$J225="",'Detalle'!$K225="",'Detalle'!$L225=""),"",IF(AND(O$8&lt;='Detalle'!$K225,O$9&gt;='Detalle'!$J225),1,""))</x:f>
      </x:c>
      <x:c r="P459" s="32" t="str">
        <x:f>IF(OR('Detalle'!$J225="",'Detalle'!$K225="",'Detalle'!$L225=""),"",IF(AND(P$8&lt;='Detalle'!$K225,P$9&gt;='Detalle'!$J225),1,""))</x:f>
      </x:c>
      <x:c r="Q459" s="68"/>
      <x:c r="R459" s="67" t="str"/>
      <x:c r="S459" s="67" t="str"/>
    </x:row>
    <x:row r="460" ht="16" customHeight="1">
      <x:c r="A460" s="56" t="str">
        <x:v>GIT01.005</x:v>
      </x:c>
      <x:c r="B460" s="57" t="str">
        <x:v>Registrar nueva raíz de publicación</x:v>
      </x:c>
      <x:c r="C460" s="62" t="str">
        <x:v>E</x:v>
      </x:c>
      <x:c r="D460" s="64" t="n">
        <x:f>'Detalle'!I226</x:f>
        <x:v>1</x:v>
      </x:c>
      <x:c r="E460" s="60" t="str">
        <x:f>'Detalle'!F226</x:f>
        <x:v>Completado</x:v>
      </x:c>
      <x:c r="F460" s="32" t="str">
        <x:f>IF(AND(F$8&lt;='Detalle'!$H226,F$9&gt;='Detalle'!$G226),1,"")</x:f>
      </x:c>
      <x:c r="G460" s="32" t="str">
        <x:f>IF(AND(G$8&lt;='Detalle'!$H226,G$9&gt;='Detalle'!$G226),1,"")</x:f>
      </x:c>
      <x:c r="H460" s="32" t="str">
        <x:f>IF(AND(H$8&lt;='Detalle'!$H226,H$9&gt;='Detalle'!$G226),1,"")</x:f>
      </x:c>
      <x:c r="I460" s="32" t="n">
        <x:f>IF(AND(I$8&lt;='Detalle'!$H226,I$9&gt;='Detalle'!$G226),1,"")</x:f>
        <x:v>1</x:v>
      </x:c>
      <x:c r="J460" s="32" t="str">
        <x:f>IF(AND(J$8&lt;='Detalle'!$H226,J$9&gt;='Detalle'!$G226),1,"")</x:f>
      </x:c>
      <x:c r="K460" s="32" t="str">
        <x:f>IF(AND(K$8&lt;='Detalle'!$H226,K$9&gt;='Detalle'!$G226),1,"")</x:f>
      </x:c>
      <x:c r="L460" s="32" t="str">
        <x:f>IF(AND(L$8&lt;='Detalle'!$H226,L$9&gt;='Detalle'!$G226),1,"")</x:f>
      </x:c>
      <x:c r="M460" s="32" t="str">
        <x:f>IF(AND(M$8&lt;='Detalle'!$H226,M$9&gt;='Detalle'!$G226),1,"")</x:f>
      </x:c>
      <x:c r="N460" s="32" t="str">
        <x:f>IF(AND(N$8&lt;='Detalle'!$H226,N$9&gt;='Detalle'!$G226),1,"")</x:f>
      </x:c>
      <x:c r="O460" s="32" t="str">
        <x:f>IF(AND(O$8&lt;='Detalle'!$H226,O$9&gt;='Detalle'!$G226),1,"")</x:f>
      </x:c>
      <x:c r="P460" s="32" t="str">
        <x:f>IF(AND(P$8&lt;='Detalle'!$H226,P$9&gt;='Detalle'!$G226),1,"")</x:f>
      </x:c>
      <x:c r="Q460" s="68"/>
      <x:c r="R460" s="67" t="str">
        <x:f>IF('Detalle'!M226="","",'Detalle'!M226)</x:f>
      </x:c>
      <x:c r="S460" s="67" t="str">
        <x:f>IF('Detalle'!N226="","",'Detalle'!N226)</x:f>
      </x:c>
    </x:row>
    <x:row r="461" ht="16" customHeight="1">
      <x:c r="A461" s="56" t="str">
        <x:v>GIT01.005</x:v>
      </x:c>
      <x:c r="B461" s="57" t="str">
        <x:v>Registrar nueva raíz de publicación</x:v>
      </x:c>
      <x:c r="C461" s="63" t="str">
        <x:v>R</x:v>
      </x:c>
      <x:c r="D461" s="65" t="str">
        <x:f>IF('Detalle'!L226="","",'Detalle'!L226)</x:f>
      </x:c>
      <x:c r="E461" s="60" t="str"/>
      <x:c r="F461" s="32" t="str">
        <x:f>IF(OR('Detalle'!$J226="",'Detalle'!$K226="",'Detalle'!$L226=""),"",IF(AND(F$8&lt;='Detalle'!$K226,F$9&gt;='Detalle'!$J226),1,""))</x:f>
      </x:c>
      <x:c r="G461" s="32" t="str">
        <x:f>IF(OR('Detalle'!$J226="",'Detalle'!$K226="",'Detalle'!$L226=""),"",IF(AND(G$8&lt;='Detalle'!$K226,G$9&gt;='Detalle'!$J226),1,""))</x:f>
      </x:c>
      <x:c r="H461" s="32" t="str">
        <x:f>IF(OR('Detalle'!$J226="",'Detalle'!$K226="",'Detalle'!$L226=""),"",IF(AND(H$8&lt;='Detalle'!$K226,H$9&gt;='Detalle'!$J226),1,""))</x:f>
      </x:c>
      <x:c r="I461" s="32" t="str">
        <x:f>IF(OR('Detalle'!$J226="",'Detalle'!$K226="",'Detalle'!$L226=""),"",IF(AND(I$8&lt;='Detalle'!$K226,I$9&gt;='Detalle'!$J226),1,""))</x:f>
      </x:c>
      <x:c r="J461" s="32" t="str">
        <x:f>IF(OR('Detalle'!$J226="",'Detalle'!$K226="",'Detalle'!$L226=""),"",IF(AND(J$8&lt;='Detalle'!$K226,J$9&gt;='Detalle'!$J226),1,""))</x:f>
      </x:c>
      <x:c r="K461" s="32" t="str">
        <x:f>IF(OR('Detalle'!$J226="",'Detalle'!$K226="",'Detalle'!$L226=""),"",IF(AND(K$8&lt;='Detalle'!$K226,K$9&gt;='Detalle'!$J226),1,""))</x:f>
      </x:c>
      <x:c r="L461" s="32" t="str">
        <x:f>IF(OR('Detalle'!$J226="",'Detalle'!$K226="",'Detalle'!$L226=""),"",IF(AND(L$8&lt;='Detalle'!$K226,L$9&gt;='Detalle'!$J226),1,""))</x:f>
      </x:c>
      <x:c r="M461" s="32" t="str">
        <x:f>IF(OR('Detalle'!$J226="",'Detalle'!$K226="",'Detalle'!$L226=""),"",IF(AND(M$8&lt;='Detalle'!$K226,M$9&gt;='Detalle'!$J226),1,""))</x:f>
      </x:c>
      <x:c r="N461" s="32" t="str">
        <x:f>IF(OR('Detalle'!$J226="",'Detalle'!$K226="",'Detalle'!$L226=""),"",IF(AND(N$8&lt;='Detalle'!$K226,N$9&gt;='Detalle'!$J226),1,""))</x:f>
      </x:c>
      <x:c r="O461" s="32" t="str">
        <x:f>IF(OR('Detalle'!$J226="",'Detalle'!$K226="",'Detalle'!$L226=""),"",IF(AND(O$8&lt;='Detalle'!$K226,O$9&gt;='Detalle'!$J226),1,""))</x:f>
      </x:c>
      <x:c r="P461" s="32" t="str">
        <x:f>IF(OR('Detalle'!$J226="",'Detalle'!$K226="",'Detalle'!$L226=""),"",IF(AND(P$8&lt;='Detalle'!$K226,P$9&gt;='Detalle'!$J226),1,""))</x:f>
      </x:c>
      <x:c r="Q461" s="68"/>
      <x:c r="R461" s="67" t="str"/>
      <x:c r="S461" s="67" t="str"/>
    </x:row>
    <x:row r="462" ht="16" customHeight="1">
      <x:c r="A462" s="56" t="str">
        <x:v>GIT01.006</x:v>
      </x:c>
      <x:c r="B462" s="57" t="str">
        <x:v>Conservar checkpoint previo de trabajo</x:v>
      </x:c>
      <x:c r="C462" s="62" t="str">
        <x:v>E</x:v>
      </x:c>
      <x:c r="D462" s="64" t="n">
        <x:f>'Detalle'!I227</x:f>
        <x:v>1</x:v>
      </x:c>
      <x:c r="E462" s="60" t="str">
        <x:f>'Detalle'!F227</x:f>
        <x:v>Completado</x:v>
      </x:c>
      <x:c r="F462" s="32" t="str">
        <x:f>IF(AND(F$8&lt;='Detalle'!$H227,F$9&gt;='Detalle'!$G227),1,"")</x:f>
      </x:c>
      <x:c r="G462" s="32" t="str">
        <x:f>IF(AND(G$8&lt;='Detalle'!$H227,G$9&gt;='Detalle'!$G227),1,"")</x:f>
      </x:c>
      <x:c r="H462" s="32" t="str">
        <x:f>IF(AND(H$8&lt;='Detalle'!$H227,H$9&gt;='Detalle'!$G227),1,"")</x:f>
      </x:c>
      <x:c r="I462" s="32" t="n">
        <x:f>IF(AND(I$8&lt;='Detalle'!$H227,I$9&gt;='Detalle'!$G227),1,"")</x:f>
        <x:v>1</x:v>
      </x:c>
      <x:c r="J462" s="32" t="str">
        <x:f>IF(AND(J$8&lt;='Detalle'!$H227,J$9&gt;='Detalle'!$G227),1,"")</x:f>
      </x:c>
      <x:c r="K462" s="32" t="str">
        <x:f>IF(AND(K$8&lt;='Detalle'!$H227,K$9&gt;='Detalle'!$G227),1,"")</x:f>
      </x:c>
      <x:c r="L462" s="32" t="str">
        <x:f>IF(AND(L$8&lt;='Detalle'!$H227,L$9&gt;='Detalle'!$G227),1,"")</x:f>
      </x:c>
      <x:c r="M462" s="32" t="str">
        <x:f>IF(AND(M$8&lt;='Detalle'!$H227,M$9&gt;='Detalle'!$G227),1,"")</x:f>
      </x:c>
      <x:c r="N462" s="32" t="str">
        <x:f>IF(AND(N$8&lt;='Detalle'!$H227,N$9&gt;='Detalle'!$G227),1,"")</x:f>
      </x:c>
      <x:c r="O462" s="32" t="str">
        <x:f>IF(AND(O$8&lt;='Detalle'!$H227,O$9&gt;='Detalle'!$G227),1,"")</x:f>
      </x:c>
      <x:c r="P462" s="32" t="str">
        <x:f>IF(AND(P$8&lt;='Detalle'!$H227,P$9&gt;='Detalle'!$G227),1,"")</x:f>
      </x:c>
      <x:c r="Q462" s="68"/>
      <x:c r="R462" s="67" t="str">
        <x:f>IF('Detalle'!M227="","",'Detalle'!M227)</x:f>
      </x:c>
      <x:c r="S462" s="67" t="str">
        <x:f>IF('Detalle'!N227="","",'Detalle'!N227)</x:f>
      </x:c>
    </x:row>
    <x:row r="463" ht="16" customHeight="1">
      <x:c r="A463" s="56" t="str">
        <x:v>GIT01.006</x:v>
      </x:c>
      <x:c r="B463" s="57" t="str">
        <x:v>Conservar checkpoint previo de trabajo</x:v>
      </x:c>
      <x:c r="C463" s="63" t="str">
        <x:v>R</x:v>
      </x:c>
      <x:c r="D463" s="65" t="str">
        <x:f>IF('Detalle'!L227="","",'Detalle'!L227)</x:f>
      </x:c>
      <x:c r="E463" s="60" t="str"/>
      <x:c r="F463" s="32" t="str">
        <x:f>IF(OR('Detalle'!$J227="",'Detalle'!$K227="",'Detalle'!$L227=""),"",IF(AND(F$8&lt;='Detalle'!$K227,F$9&gt;='Detalle'!$J227),1,""))</x:f>
      </x:c>
      <x:c r="G463" s="32" t="str">
        <x:f>IF(OR('Detalle'!$J227="",'Detalle'!$K227="",'Detalle'!$L227=""),"",IF(AND(G$8&lt;='Detalle'!$K227,G$9&gt;='Detalle'!$J227),1,""))</x:f>
      </x:c>
      <x:c r="H463" s="32" t="str">
        <x:f>IF(OR('Detalle'!$J227="",'Detalle'!$K227="",'Detalle'!$L227=""),"",IF(AND(H$8&lt;='Detalle'!$K227,H$9&gt;='Detalle'!$J227),1,""))</x:f>
      </x:c>
      <x:c r="I463" s="32" t="str">
        <x:f>IF(OR('Detalle'!$J227="",'Detalle'!$K227="",'Detalle'!$L227=""),"",IF(AND(I$8&lt;='Detalle'!$K227,I$9&gt;='Detalle'!$J227),1,""))</x:f>
      </x:c>
      <x:c r="J463" s="32" t="str">
        <x:f>IF(OR('Detalle'!$J227="",'Detalle'!$K227="",'Detalle'!$L227=""),"",IF(AND(J$8&lt;='Detalle'!$K227,J$9&gt;='Detalle'!$J227),1,""))</x:f>
      </x:c>
      <x:c r="K463" s="32" t="str">
        <x:f>IF(OR('Detalle'!$J227="",'Detalle'!$K227="",'Detalle'!$L227=""),"",IF(AND(K$8&lt;='Detalle'!$K227,K$9&gt;='Detalle'!$J227),1,""))</x:f>
      </x:c>
      <x:c r="L463" s="32" t="str">
        <x:f>IF(OR('Detalle'!$J227="",'Detalle'!$K227="",'Detalle'!$L227=""),"",IF(AND(L$8&lt;='Detalle'!$K227,L$9&gt;='Detalle'!$J227),1,""))</x:f>
      </x:c>
      <x:c r="M463" s="32" t="str">
        <x:f>IF(OR('Detalle'!$J227="",'Detalle'!$K227="",'Detalle'!$L227=""),"",IF(AND(M$8&lt;='Detalle'!$K227,M$9&gt;='Detalle'!$J227),1,""))</x:f>
      </x:c>
      <x:c r="N463" s="32" t="str">
        <x:f>IF(OR('Detalle'!$J227="",'Detalle'!$K227="",'Detalle'!$L227=""),"",IF(AND(N$8&lt;='Detalle'!$K227,N$9&gt;='Detalle'!$J227),1,""))</x:f>
      </x:c>
      <x:c r="O463" s="32" t="str">
        <x:f>IF(OR('Detalle'!$J227="",'Detalle'!$K227="",'Detalle'!$L227=""),"",IF(AND(O$8&lt;='Detalle'!$K227,O$9&gt;='Detalle'!$J227),1,""))</x:f>
      </x:c>
      <x:c r="P463" s="32" t="str">
        <x:f>IF(OR('Detalle'!$J227="",'Detalle'!$K227="",'Detalle'!$L227=""),"",IF(AND(P$8&lt;='Detalle'!$K227,P$9&gt;='Detalle'!$J227),1,""))</x:f>
      </x:c>
      <x:c r="Q463" s="68"/>
      <x:c r="R463" s="67" t="str"/>
      <x:c r="S463" s="67" t="str"/>
    </x:row>
    <x:row r="464" ht="20" customHeight="1">
      <x:c r="A464" s="52" t="str">
        <x:v>PRO01 · Experiencia profesional y confirmación de perfil</x:v>
      </x:c>
      <x:c r="B464" s="52" t="str">
        <x:v>PRO01 · Experiencia profesional y confirmación de perfil</x:v>
      </x:c>
      <x:c r="C464" s="52" t="str">
        <x:v>PRO01 · Experiencia profesional y confirmación de perfil</x:v>
      </x:c>
      <x:c r="D464" s="52" t="str">
        <x:v>PRO01 · Experiencia profesional y confirmación de perfil</x:v>
      </x:c>
      <x:c r="E464" s="52" t="str">
        <x:v>PRO01 · Experiencia profesional y confirmación de perfil</x:v>
      </x:c>
      <x:c r="F464" s="53" t="str">
        <x:v>PRO01 · Experiencia profesional y confirmación de perfil</x:v>
      </x:c>
      <x:c r="G464" s="53" t="str">
        <x:v>PRO01 · Experiencia profesional y confirmación de perfil</x:v>
      </x:c>
      <x:c r="H464" s="53" t="str">
        <x:v>PRO01 · Experiencia profesional y confirmación de perfil</x:v>
      </x:c>
      <x:c r="I464" s="53" t="str">
        <x:v>PRO01 · Experiencia profesional y confirmación de perfil</x:v>
      </x:c>
      <x:c r="J464" s="53" t="str">
        <x:v>PRO01 · Experiencia profesional y confirmación de perfil</x:v>
      </x:c>
      <x:c r="K464" s="53" t="str">
        <x:v>PRO01 · Experiencia profesional y confirmación de perfil</x:v>
      </x:c>
      <x:c r="L464" s="53" t="str">
        <x:v>PRO01 · Experiencia profesional y confirmación de perfil</x:v>
      </x:c>
      <x:c r="M464" s="53" t="str">
        <x:v>PRO01 · Experiencia profesional y confirmación de perfil</x:v>
      </x:c>
      <x:c r="N464" s="53" t="str">
        <x:v>PRO01 · Experiencia profesional y confirmación de perfil</x:v>
      </x:c>
      <x:c r="O464" s="53" t="str">
        <x:v>PRO01 · Experiencia profesional y confirmación de perfil</x:v>
      </x:c>
      <x:c r="P464" s="53" t="str">
        <x:v>PRO01 · Experiencia profesional y confirmación de perfil</x:v>
      </x:c>
      <x:c r="Q464" s="52" t="str">
        <x:v>PRO01 · Experiencia profesional y confirmación de perfil</x:v>
      </x:c>
      <x:c r="R464" s="52" t="str">
        <x:v>PRO01 · Experiencia profesional y confirmación de perfil</x:v>
      </x:c>
      <x:c r="S464" s="52" t="str">
        <x:v>PRO01 · Experiencia profesional y confirmación de perfil</x:v>
      </x:c>
    </x:row>
    <x:row r="465" ht="16" customHeight="1">
      <x:c r="A465" s="56" t="str">
        <x:v>PRO01.001</x:v>
      </x:c>
      <x:c r="B465" s="57" t="str">
        <x:v>Agregar marca de confirmación inicial</x:v>
      </x:c>
      <x:c r="C465" s="62" t="str">
        <x:v>E</x:v>
      </x:c>
      <x:c r="D465" s="64" t="n">
        <x:f>'Detalle'!I228</x:f>
        <x:v>1</x:v>
      </x:c>
      <x:c r="E465" s="60" t="str">
        <x:f>'Detalle'!F228</x:f>
        <x:v>Completado</x:v>
      </x:c>
      <x:c r="F465" s="32" t="str">
        <x:f>IF(AND(F$8&lt;='Detalle'!$H228,F$9&gt;='Detalle'!$G228),1,"")</x:f>
      </x:c>
      <x:c r="G465" s="32" t="str">
        <x:f>IF(AND(G$8&lt;='Detalle'!$H228,G$9&gt;='Detalle'!$G228),1,"")</x:f>
      </x:c>
      <x:c r="H465" s="32" t="str">
        <x:f>IF(AND(H$8&lt;='Detalle'!$H228,H$9&gt;='Detalle'!$G228),1,"")</x:f>
      </x:c>
      <x:c r="I465" s="32" t="n">
        <x:f>IF(AND(I$8&lt;='Detalle'!$H228,I$9&gt;='Detalle'!$G228),1,"")</x:f>
        <x:v>1</x:v>
      </x:c>
      <x:c r="J465" s="32" t="str">
        <x:f>IF(AND(J$8&lt;='Detalle'!$H228,J$9&gt;='Detalle'!$G228),1,"")</x:f>
      </x:c>
      <x:c r="K465" s="32" t="str">
        <x:f>IF(AND(K$8&lt;='Detalle'!$H228,K$9&gt;='Detalle'!$G228),1,"")</x:f>
      </x:c>
      <x:c r="L465" s="32" t="str">
        <x:f>IF(AND(L$8&lt;='Detalle'!$H228,L$9&gt;='Detalle'!$G228),1,"")</x:f>
      </x:c>
      <x:c r="M465" s="32" t="str">
        <x:f>IF(AND(M$8&lt;='Detalle'!$H228,M$9&gt;='Detalle'!$G228),1,"")</x:f>
      </x:c>
      <x:c r="N465" s="32" t="str">
        <x:f>IF(AND(N$8&lt;='Detalle'!$H228,N$9&gt;='Detalle'!$G228),1,"")</x:f>
      </x:c>
      <x:c r="O465" s="32" t="str">
        <x:f>IF(AND(O$8&lt;='Detalle'!$H228,O$9&gt;='Detalle'!$G228),1,"")</x:f>
      </x:c>
      <x:c r="P465" s="32" t="str">
        <x:f>IF(AND(P$8&lt;='Detalle'!$H228,P$9&gt;='Detalle'!$G228),1,"")</x:f>
      </x:c>
      <x:c r="Q465" s="68"/>
      <x:c r="R465" s="67" t="str">
        <x:f>IF('Detalle'!M228="","",'Detalle'!M228)</x:f>
      </x:c>
      <x:c r="S465" s="67" t="str">
        <x:f>IF('Detalle'!N228="","",'Detalle'!N228)</x:f>
      </x:c>
    </x:row>
    <x:row r="466" ht="16" customHeight="1">
      <x:c r="A466" s="56" t="str">
        <x:v>PRO01.001</x:v>
      </x:c>
      <x:c r="B466" s="57" t="str">
        <x:v>Agregar marca de confirmación inicial</x:v>
      </x:c>
      <x:c r="C466" s="63" t="str">
        <x:v>R</x:v>
      </x:c>
      <x:c r="D466" s="65" t="str">
        <x:f>IF('Detalle'!L228="","",'Detalle'!L228)</x:f>
      </x:c>
      <x:c r="E466" s="60" t="str"/>
      <x:c r="F466" s="32" t="str">
        <x:f>IF(OR('Detalle'!$J228="",'Detalle'!$K228="",'Detalle'!$L228=""),"",IF(AND(F$8&lt;='Detalle'!$K228,F$9&gt;='Detalle'!$J228),1,""))</x:f>
      </x:c>
      <x:c r="G466" s="32" t="str">
        <x:f>IF(OR('Detalle'!$J228="",'Detalle'!$K228="",'Detalle'!$L228=""),"",IF(AND(G$8&lt;='Detalle'!$K228,G$9&gt;='Detalle'!$J228),1,""))</x:f>
      </x:c>
      <x:c r="H466" s="32" t="str">
        <x:f>IF(OR('Detalle'!$J228="",'Detalle'!$K228="",'Detalle'!$L228=""),"",IF(AND(H$8&lt;='Detalle'!$K228,H$9&gt;='Detalle'!$J228),1,""))</x:f>
      </x:c>
      <x:c r="I466" s="32" t="str">
        <x:f>IF(OR('Detalle'!$J228="",'Detalle'!$K228="",'Detalle'!$L228=""),"",IF(AND(I$8&lt;='Detalle'!$K228,I$9&gt;='Detalle'!$J228),1,""))</x:f>
      </x:c>
      <x:c r="J466" s="32" t="str">
        <x:f>IF(OR('Detalle'!$J228="",'Detalle'!$K228="",'Detalle'!$L228=""),"",IF(AND(J$8&lt;='Detalle'!$K228,J$9&gt;='Detalle'!$J228),1,""))</x:f>
      </x:c>
      <x:c r="K466" s="32" t="str">
        <x:f>IF(OR('Detalle'!$J228="",'Detalle'!$K228="",'Detalle'!$L228=""),"",IF(AND(K$8&lt;='Detalle'!$K228,K$9&gt;='Detalle'!$J228),1,""))</x:f>
      </x:c>
      <x:c r="L466" s="32" t="str">
        <x:f>IF(OR('Detalle'!$J228="",'Detalle'!$K228="",'Detalle'!$L228=""),"",IF(AND(L$8&lt;='Detalle'!$K228,L$9&gt;='Detalle'!$J228),1,""))</x:f>
      </x:c>
      <x:c r="M466" s="32" t="str">
        <x:f>IF(OR('Detalle'!$J228="",'Detalle'!$K228="",'Detalle'!$L228=""),"",IF(AND(M$8&lt;='Detalle'!$K228,M$9&gt;='Detalle'!$J228),1,""))</x:f>
      </x:c>
      <x:c r="N466" s="32" t="str">
        <x:f>IF(OR('Detalle'!$J228="",'Detalle'!$K228="",'Detalle'!$L228=""),"",IF(AND(N$8&lt;='Detalle'!$K228,N$9&gt;='Detalle'!$J228),1,""))</x:f>
      </x:c>
      <x:c r="O466" s="32" t="str">
        <x:f>IF(OR('Detalle'!$J228="",'Detalle'!$K228="",'Detalle'!$L228=""),"",IF(AND(O$8&lt;='Detalle'!$K228,O$9&gt;='Detalle'!$J228),1,""))</x:f>
      </x:c>
      <x:c r="P466" s="32" t="str">
        <x:f>IF(OR('Detalle'!$J228="",'Detalle'!$K228="",'Detalle'!$L228=""),"",IF(AND(P$8&lt;='Detalle'!$K228,P$9&gt;='Detalle'!$J228),1,""))</x:f>
      </x:c>
      <x:c r="Q466" s="68"/>
      <x:c r="R466" s="67" t="str"/>
      <x:c r="S466" s="67" t="str"/>
    </x:row>
    <x:row r="467" ht="16" customHeight="1">
      <x:c r="A467" s="56" t="str">
        <x:v>PRO01.002</x:v>
      </x:c>
      <x:c r="B467" s="57" t="str">
        <x:v>Crear complete_initial_profile</x:v>
      </x:c>
      <x:c r="C467" s="62" t="str">
        <x:v>E</x:v>
      </x:c>
      <x:c r="D467" s="64" t="n">
        <x:f>'Detalle'!I229</x:f>
        <x:v>1</x:v>
      </x:c>
      <x:c r="E467" s="60" t="str">
        <x:f>'Detalle'!F229</x:f>
        <x:v>Completado</x:v>
      </x:c>
      <x:c r="F467" s="32" t="str">
        <x:f>IF(AND(F$8&lt;='Detalle'!$H229,F$9&gt;='Detalle'!$G229),1,"")</x:f>
      </x:c>
      <x:c r="G467" s="32" t="str">
        <x:f>IF(AND(G$8&lt;='Detalle'!$H229,G$9&gt;='Detalle'!$G229),1,"")</x:f>
      </x:c>
      <x:c r="H467" s="32" t="str">
        <x:f>IF(AND(H$8&lt;='Detalle'!$H229,H$9&gt;='Detalle'!$G229),1,"")</x:f>
      </x:c>
      <x:c r="I467" s="32" t="n">
        <x:f>IF(AND(I$8&lt;='Detalle'!$H229,I$9&gt;='Detalle'!$G229),1,"")</x:f>
        <x:v>1</x:v>
      </x:c>
      <x:c r="J467" s="32" t="str">
        <x:f>IF(AND(J$8&lt;='Detalle'!$H229,J$9&gt;='Detalle'!$G229),1,"")</x:f>
      </x:c>
      <x:c r="K467" s="32" t="str">
        <x:f>IF(AND(K$8&lt;='Detalle'!$H229,K$9&gt;='Detalle'!$G229),1,"")</x:f>
      </x:c>
      <x:c r="L467" s="32" t="str">
        <x:f>IF(AND(L$8&lt;='Detalle'!$H229,L$9&gt;='Detalle'!$G229),1,"")</x:f>
      </x:c>
      <x:c r="M467" s="32" t="str">
        <x:f>IF(AND(M$8&lt;='Detalle'!$H229,M$9&gt;='Detalle'!$G229),1,"")</x:f>
      </x:c>
      <x:c r="N467" s="32" t="str">
        <x:f>IF(AND(N$8&lt;='Detalle'!$H229,N$9&gt;='Detalle'!$G229),1,"")</x:f>
      </x:c>
      <x:c r="O467" s="32" t="str">
        <x:f>IF(AND(O$8&lt;='Detalle'!$H229,O$9&gt;='Detalle'!$G229),1,"")</x:f>
      </x:c>
      <x:c r="P467" s="32" t="str">
        <x:f>IF(AND(P$8&lt;='Detalle'!$H229,P$9&gt;='Detalle'!$G229),1,"")</x:f>
      </x:c>
      <x:c r="Q467" s="68"/>
      <x:c r="R467" s="67" t="str">
        <x:f>IF('Detalle'!M229="","",'Detalle'!M229)</x:f>
      </x:c>
      <x:c r="S467" s="67" t="str">
        <x:f>IF('Detalle'!N229="","",'Detalle'!N229)</x:f>
      </x:c>
    </x:row>
    <x:row r="468" ht="16" customHeight="1">
      <x:c r="A468" s="56" t="str">
        <x:v>PRO01.002</x:v>
      </x:c>
      <x:c r="B468" s="57" t="str">
        <x:v>Crear complete_initial_profile</x:v>
      </x:c>
      <x:c r="C468" s="63" t="str">
        <x:v>R</x:v>
      </x:c>
      <x:c r="D468" s="65" t="str">
        <x:f>IF('Detalle'!L229="","",'Detalle'!L229)</x:f>
      </x:c>
      <x:c r="E468" s="60" t="str"/>
      <x:c r="F468" s="32" t="str">
        <x:f>IF(OR('Detalle'!$J229="",'Detalle'!$K229="",'Detalle'!$L229=""),"",IF(AND(F$8&lt;='Detalle'!$K229,F$9&gt;='Detalle'!$J229),1,""))</x:f>
      </x:c>
      <x:c r="G468" s="32" t="str">
        <x:f>IF(OR('Detalle'!$J229="",'Detalle'!$K229="",'Detalle'!$L229=""),"",IF(AND(G$8&lt;='Detalle'!$K229,G$9&gt;='Detalle'!$J229),1,""))</x:f>
      </x:c>
      <x:c r="H468" s="32" t="str">
        <x:f>IF(OR('Detalle'!$J229="",'Detalle'!$K229="",'Detalle'!$L229=""),"",IF(AND(H$8&lt;='Detalle'!$K229,H$9&gt;='Detalle'!$J229),1,""))</x:f>
      </x:c>
      <x:c r="I468" s="32" t="str">
        <x:f>IF(OR('Detalle'!$J229="",'Detalle'!$K229="",'Detalle'!$L229=""),"",IF(AND(I$8&lt;='Detalle'!$K229,I$9&gt;='Detalle'!$J229),1,""))</x:f>
      </x:c>
      <x:c r="J468" s="32" t="str">
        <x:f>IF(OR('Detalle'!$J229="",'Detalle'!$K229="",'Detalle'!$L229=""),"",IF(AND(J$8&lt;='Detalle'!$K229,J$9&gt;='Detalle'!$J229),1,""))</x:f>
      </x:c>
      <x:c r="K468" s="32" t="str">
        <x:f>IF(OR('Detalle'!$J229="",'Detalle'!$K229="",'Detalle'!$L229=""),"",IF(AND(K$8&lt;='Detalle'!$K229,K$9&gt;='Detalle'!$J229),1,""))</x:f>
      </x:c>
      <x:c r="L468" s="32" t="str">
        <x:f>IF(OR('Detalle'!$J229="",'Detalle'!$K229="",'Detalle'!$L229=""),"",IF(AND(L$8&lt;='Detalle'!$K229,L$9&gt;='Detalle'!$J229),1,""))</x:f>
      </x:c>
      <x:c r="M468" s="32" t="str">
        <x:f>IF(OR('Detalle'!$J229="",'Detalle'!$K229="",'Detalle'!$L229=""),"",IF(AND(M$8&lt;='Detalle'!$K229,M$9&gt;='Detalle'!$J229),1,""))</x:f>
      </x:c>
      <x:c r="N468" s="32" t="str">
        <x:f>IF(OR('Detalle'!$J229="",'Detalle'!$K229="",'Detalle'!$L229=""),"",IF(AND(N$8&lt;='Detalle'!$K229,N$9&gt;='Detalle'!$J229),1,""))</x:f>
      </x:c>
      <x:c r="O468" s="32" t="str">
        <x:f>IF(OR('Detalle'!$J229="",'Detalle'!$K229="",'Detalle'!$L229=""),"",IF(AND(O$8&lt;='Detalle'!$K229,O$9&gt;='Detalle'!$J229),1,""))</x:f>
      </x:c>
      <x:c r="P468" s="32" t="str">
        <x:f>IF(OR('Detalle'!$J229="",'Detalle'!$K229="",'Detalle'!$L229=""),"",IF(AND(P$8&lt;='Detalle'!$K229,P$9&gt;='Detalle'!$J229),1,""))</x:f>
      </x:c>
      <x:c r="Q468" s="68"/>
      <x:c r="R468" s="67" t="str"/>
      <x:c r="S468" s="67" t="str"/>
    </x:row>
    <x:row r="469" ht="16" customHeight="1">
      <x:c r="A469" s="56" t="str">
        <x:v>PRO01.003</x:v>
      </x:c>
      <x:c r="B469" s="57" t="str">
        <x:v>Proteger tipo confirmado contra edición</x:v>
      </x:c>
      <x:c r="C469" s="62" t="str">
        <x:v>E</x:v>
      </x:c>
      <x:c r="D469" s="64" t="n">
        <x:f>'Detalle'!I230</x:f>
        <x:v>1</x:v>
      </x:c>
      <x:c r="E469" s="60" t="str">
        <x:f>'Detalle'!F230</x:f>
        <x:v>Completado</x:v>
      </x:c>
      <x:c r="F469" s="32" t="str">
        <x:f>IF(AND(F$8&lt;='Detalle'!$H230,F$9&gt;='Detalle'!$G230),1,"")</x:f>
      </x:c>
      <x:c r="G469" s="32" t="str">
        <x:f>IF(AND(G$8&lt;='Detalle'!$H230,G$9&gt;='Detalle'!$G230),1,"")</x:f>
      </x:c>
      <x:c r="H469" s="32" t="str">
        <x:f>IF(AND(H$8&lt;='Detalle'!$H230,H$9&gt;='Detalle'!$G230),1,"")</x:f>
      </x:c>
      <x:c r="I469" s="32" t="n">
        <x:f>IF(AND(I$8&lt;='Detalle'!$H230,I$9&gt;='Detalle'!$G230),1,"")</x:f>
        <x:v>1</x:v>
      </x:c>
      <x:c r="J469" s="32" t="str">
        <x:f>IF(AND(J$8&lt;='Detalle'!$H230,J$9&gt;='Detalle'!$G230),1,"")</x:f>
      </x:c>
      <x:c r="K469" s="32" t="str">
        <x:f>IF(AND(K$8&lt;='Detalle'!$H230,K$9&gt;='Detalle'!$G230),1,"")</x:f>
      </x:c>
      <x:c r="L469" s="32" t="str">
        <x:f>IF(AND(L$8&lt;='Detalle'!$H230,L$9&gt;='Detalle'!$G230),1,"")</x:f>
      </x:c>
      <x:c r="M469" s="32" t="str">
        <x:f>IF(AND(M$8&lt;='Detalle'!$H230,M$9&gt;='Detalle'!$G230),1,"")</x:f>
      </x:c>
      <x:c r="N469" s="32" t="str">
        <x:f>IF(AND(N$8&lt;='Detalle'!$H230,N$9&gt;='Detalle'!$G230),1,"")</x:f>
      </x:c>
      <x:c r="O469" s="32" t="str">
        <x:f>IF(AND(O$8&lt;='Detalle'!$H230,O$9&gt;='Detalle'!$G230),1,"")</x:f>
      </x:c>
      <x:c r="P469" s="32" t="str">
        <x:f>IF(AND(P$8&lt;='Detalle'!$H230,P$9&gt;='Detalle'!$G230),1,"")</x:f>
      </x:c>
      <x:c r="Q469" s="68"/>
      <x:c r="R469" s="67" t="str">
        <x:f>IF('Detalle'!M230="","",'Detalle'!M230)</x:f>
      </x:c>
      <x:c r="S469" s="67" t="str">
        <x:f>IF('Detalle'!N230="","",'Detalle'!N230)</x:f>
      </x:c>
    </x:row>
    <x:row r="470" ht="16" customHeight="1">
      <x:c r="A470" s="56" t="str">
        <x:v>PRO01.003</x:v>
      </x:c>
      <x:c r="B470" s="57" t="str">
        <x:v>Proteger tipo confirmado contra edición</x:v>
      </x:c>
      <x:c r="C470" s="63" t="str">
        <x:v>R</x:v>
      </x:c>
      <x:c r="D470" s="65" t="str">
        <x:f>IF('Detalle'!L230="","",'Detalle'!L230)</x:f>
      </x:c>
      <x:c r="E470" s="60" t="str"/>
      <x:c r="F470" s="32" t="str">
        <x:f>IF(OR('Detalle'!$J230="",'Detalle'!$K230="",'Detalle'!$L230=""),"",IF(AND(F$8&lt;='Detalle'!$K230,F$9&gt;='Detalle'!$J230),1,""))</x:f>
      </x:c>
      <x:c r="G470" s="32" t="str">
        <x:f>IF(OR('Detalle'!$J230="",'Detalle'!$K230="",'Detalle'!$L230=""),"",IF(AND(G$8&lt;='Detalle'!$K230,G$9&gt;='Detalle'!$J230),1,""))</x:f>
      </x:c>
      <x:c r="H470" s="32" t="str">
        <x:f>IF(OR('Detalle'!$J230="",'Detalle'!$K230="",'Detalle'!$L230=""),"",IF(AND(H$8&lt;='Detalle'!$K230,H$9&gt;='Detalle'!$J230),1,""))</x:f>
      </x:c>
      <x:c r="I470" s="32" t="str">
        <x:f>IF(OR('Detalle'!$J230="",'Detalle'!$K230="",'Detalle'!$L230=""),"",IF(AND(I$8&lt;='Detalle'!$K230,I$9&gt;='Detalle'!$J230),1,""))</x:f>
      </x:c>
      <x:c r="J470" s="32" t="str">
        <x:f>IF(OR('Detalle'!$J230="",'Detalle'!$K230="",'Detalle'!$L230=""),"",IF(AND(J$8&lt;='Detalle'!$K230,J$9&gt;='Detalle'!$J230),1,""))</x:f>
      </x:c>
      <x:c r="K470" s="32" t="str">
        <x:f>IF(OR('Detalle'!$J230="",'Detalle'!$K230="",'Detalle'!$L230=""),"",IF(AND(K$8&lt;='Detalle'!$K230,K$9&gt;='Detalle'!$J230),1,""))</x:f>
      </x:c>
      <x:c r="L470" s="32" t="str">
        <x:f>IF(OR('Detalle'!$J230="",'Detalle'!$K230="",'Detalle'!$L230=""),"",IF(AND(L$8&lt;='Detalle'!$K230,L$9&gt;='Detalle'!$J230),1,""))</x:f>
      </x:c>
      <x:c r="M470" s="32" t="str">
        <x:f>IF(OR('Detalle'!$J230="",'Detalle'!$K230="",'Detalle'!$L230=""),"",IF(AND(M$8&lt;='Detalle'!$K230,M$9&gt;='Detalle'!$J230),1,""))</x:f>
      </x:c>
      <x:c r="N470" s="32" t="str">
        <x:f>IF(OR('Detalle'!$J230="",'Detalle'!$K230="",'Detalle'!$L230=""),"",IF(AND(N$8&lt;='Detalle'!$K230,N$9&gt;='Detalle'!$J230),1,""))</x:f>
      </x:c>
      <x:c r="O470" s="32" t="str">
        <x:f>IF(OR('Detalle'!$J230="",'Detalle'!$K230="",'Detalle'!$L230=""),"",IF(AND(O$8&lt;='Detalle'!$K230,O$9&gt;='Detalle'!$J230),1,""))</x:f>
      </x:c>
      <x:c r="P470" s="32" t="str">
        <x:f>IF(OR('Detalle'!$J230="",'Detalle'!$K230="",'Detalle'!$L230=""),"",IF(AND(P$8&lt;='Detalle'!$K230,P$9&gt;='Detalle'!$J230),1,""))</x:f>
      </x:c>
      <x:c r="Q470" s="68"/>
      <x:c r="R470" s="67" t="str"/>
      <x:c r="S470" s="67" t="str"/>
    </x:row>
    <x:row r="471" ht="16" customHeight="1">
      <x:c r="A471" s="56" t="str">
        <x:v>PRO01.004</x:v>
      </x:c>
      <x:c r="B471" s="57" t="str">
        <x:v>Persistir intereses privados</x:v>
      </x:c>
      <x:c r="C471" s="62" t="str">
        <x:v>E</x:v>
      </x:c>
      <x:c r="D471" s="64" t="n">
        <x:f>'Detalle'!I231</x:f>
        <x:v>1</x:v>
      </x:c>
      <x:c r="E471" s="60" t="str">
        <x:f>'Detalle'!F231</x:f>
        <x:v>Completado</x:v>
      </x:c>
      <x:c r="F471" s="32" t="str">
        <x:f>IF(AND(F$8&lt;='Detalle'!$H231,F$9&gt;='Detalle'!$G231),1,"")</x:f>
      </x:c>
      <x:c r="G471" s="32" t="str">
        <x:f>IF(AND(G$8&lt;='Detalle'!$H231,G$9&gt;='Detalle'!$G231),1,"")</x:f>
      </x:c>
      <x:c r="H471" s="32" t="str">
        <x:f>IF(AND(H$8&lt;='Detalle'!$H231,H$9&gt;='Detalle'!$G231),1,"")</x:f>
      </x:c>
      <x:c r="I471" s="32" t="n">
        <x:f>IF(AND(I$8&lt;='Detalle'!$H231,I$9&gt;='Detalle'!$G231),1,"")</x:f>
        <x:v>1</x:v>
      </x:c>
      <x:c r="J471" s="32" t="str">
        <x:f>IF(AND(J$8&lt;='Detalle'!$H231,J$9&gt;='Detalle'!$G231),1,"")</x:f>
      </x:c>
      <x:c r="K471" s="32" t="str">
        <x:f>IF(AND(K$8&lt;='Detalle'!$H231,K$9&gt;='Detalle'!$G231),1,"")</x:f>
      </x:c>
      <x:c r="L471" s="32" t="str">
        <x:f>IF(AND(L$8&lt;='Detalle'!$H231,L$9&gt;='Detalle'!$G231),1,"")</x:f>
      </x:c>
      <x:c r="M471" s="32" t="str">
        <x:f>IF(AND(M$8&lt;='Detalle'!$H231,M$9&gt;='Detalle'!$G231),1,"")</x:f>
      </x:c>
      <x:c r="N471" s="32" t="str">
        <x:f>IF(AND(N$8&lt;='Detalle'!$H231,N$9&gt;='Detalle'!$G231),1,"")</x:f>
      </x:c>
      <x:c r="O471" s="32" t="str">
        <x:f>IF(AND(O$8&lt;='Detalle'!$H231,O$9&gt;='Detalle'!$G231),1,"")</x:f>
      </x:c>
      <x:c r="P471" s="32" t="str">
        <x:f>IF(AND(P$8&lt;='Detalle'!$H231,P$9&gt;='Detalle'!$G231),1,"")</x:f>
      </x:c>
      <x:c r="Q471" s="68"/>
      <x:c r="R471" s="67" t="str">
        <x:f>IF('Detalle'!M231="","",'Detalle'!M231)</x:f>
      </x:c>
      <x:c r="S471" s="67" t="str">
        <x:f>IF('Detalle'!N231="","",'Detalle'!N231)</x:f>
      </x:c>
    </x:row>
    <x:row r="472" ht="16" customHeight="1">
      <x:c r="A472" s="56" t="str">
        <x:v>PRO01.004</x:v>
      </x:c>
      <x:c r="B472" s="57" t="str">
        <x:v>Persistir intereses privados</x:v>
      </x:c>
      <x:c r="C472" s="63" t="str">
        <x:v>R</x:v>
      </x:c>
      <x:c r="D472" s="65" t="str">
        <x:f>IF('Detalle'!L231="","",'Detalle'!L231)</x:f>
      </x:c>
      <x:c r="E472" s="60" t="str"/>
      <x:c r="F472" s="32" t="str">
        <x:f>IF(OR('Detalle'!$J231="",'Detalle'!$K231="",'Detalle'!$L231=""),"",IF(AND(F$8&lt;='Detalle'!$K231,F$9&gt;='Detalle'!$J231),1,""))</x:f>
      </x:c>
      <x:c r="G472" s="32" t="str">
        <x:f>IF(OR('Detalle'!$J231="",'Detalle'!$K231="",'Detalle'!$L231=""),"",IF(AND(G$8&lt;='Detalle'!$K231,G$9&gt;='Detalle'!$J231),1,""))</x:f>
      </x:c>
      <x:c r="H472" s="32" t="str">
        <x:f>IF(OR('Detalle'!$J231="",'Detalle'!$K231="",'Detalle'!$L231=""),"",IF(AND(H$8&lt;='Detalle'!$K231,H$9&gt;='Detalle'!$J231),1,""))</x:f>
      </x:c>
      <x:c r="I472" s="32" t="str">
        <x:f>IF(OR('Detalle'!$J231="",'Detalle'!$K231="",'Detalle'!$L231=""),"",IF(AND(I$8&lt;='Detalle'!$K231,I$9&gt;='Detalle'!$J231),1,""))</x:f>
      </x:c>
      <x:c r="J472" s="32" t="str">
        <x:f>IF(OR('Detalle'!$J231="",'Detalle'!$K231="",'Detalle'!$L231=""),"",IF(AND(J$8&lt;='Detalle'!$K231,J$9&gt;='Detalle'!$J231),1,""))</x:f>
      </x:c>
      <x:c r="K472" s="32" t="str">
        <x:f>IF(OR('Detalle'!$J231="",'Detalle'!$K231="",'Detalle'!$L231=""),"",IF(AND(K$8&lt;='Detalle'!$K231,K$9&gt;='Detalle'!$J231),1,""))</x:f>
      </x:c>
      <x:c r="L472" s="32" t="str">
        <x:f>IF(OR('Detalle'!$J231="",'Detalle'!$K231="",'Detalle'!$L231=""),"",IF(AND(L$8&lt;='Detalle'!$K231,L$9&gt;='Detalle'!$J231),1,""))</x:f>
      </x:c>
      <x:c r="M472" s="32" t="str">
        <x:f>IF(OR('Detalle'!$J231="",'Detalle'!$K231="",'Detalle'!$L231=""),"",IF(AND(M$8&lt;='Detalle'!$K231,M$9&gt;='Detalle'!$J231),1,""))</x:f>
      </x:c>
      <x:c r="N472" s="32" t="str">
        <x:f>IF(OR('Detalle'!$J231="",'Detalle'!$K231="",'Detalle'!$L231=""),"",IF(AND(N$8&lt;='Detalle'!$K231,N$9&gt;='Detalle'!$J231),1,""))</x:f>
      </x:c>
      <x:c r="O472" s="32" t="str">
        <x:f>IF(OR('Detalle'!$J231="",'Detalle'!$K231="",'Detalle'!$L231=""),"",IF(AND(O$8&lt;='Detalle'!$K231,O$9&gt;='Detalle'!$J231),1,""))</x:f>
      </x:c>
      <x:c r="P472" s="32" t="str">
        <x:f>IF(OR('Detalle'!$J231="",'Detalle'!$K231="",'Detalle'!$L231=""),"",IF(AND(P$8&lt;='Detalle'!$K231,P$9&gt;='Detalle'!$J231),1,""))</x:f>
      </x:c>
      <x:c r="Q472" s="68"/>
      <x:c r="R472" s="67" t="str"/>
      <x:c r="S472" s="67" t="str"/>
    </x:row>
    <x:row r="473" ht="16" customHeight="1">
      <x:c r="A473" s="56" t="str">
        <x:v>PRO01.005</x:v>
      </x:c>
      <x:c r="B473" s="57" t="str">
        <x:v>Persistir objetivos privados</x:v>
      </x:c>
      <x:c r="C473" s="62" t="str">
        <x:v>E</x:v>
      </x:c>
      <x:c r="D473" s="64" t="n">
        <x:f>'Detalle'!I232</x:f>
        <x:v>1</x:v>
      </x:c>
      <x:c r="E473" s="60" t="str">
        <x:f>'Detalle'!F232</x:f>
        <x:v>Completado</x:v>
      </x:c>
      <x:c r="F473" s="32" t="str">
        <x:f>IF(AND(F$8&lt;='Detalle'!$H232,F$9&gt;='Detalle'!$G232),1,"")</x:f>
      </x:c>
      <x:c r="G473" s="32" t="str">
        <x:f>IF(AND(G$8&lt;='Detalle'!$H232,G$9&gt;='Detalle'!$G232),1,"")</x:f>
      </x:c>
      <x:c r="H473" s="32" t="str">
        <x:f>IF(AND(H$8&lt;='Detalle'!$H232,H$9&gt;='Detalle'!$G232),1,"")</x:f>
      </x:c>
      <x:c r="I473" s="32" t="n">
        <x:f>IF(AND(I$8&lt;='Detalle'!$H232,I$9&gt;='Detalle'!$G232),1,"")</x:f>
        <x:v>1</x:v>
      </x:c>
      <x:c r="J473" s="32" t="str">
        <x:f>IF(AND(J$8&lt;='Detalle'!$H232,J$9&gt;='Detalle'!$G232),1,"")</x:f>
      </x:c>
      <x:c r="K473" s="32" t="str">
        <x:f>IF(AND(K$8&lt;='Detalle'!$H232,K$9&gt;='Detalle'!$G232),1,"")</x:f>
      </x:c>
      <x:c r="L473" s="32" t="str">
        <x:f>IF(AND(L$8&lt;='Detalle'!$H232,L$9&gt;='Detalle'!$G232),1,"")</x:f>
      </x:c>
      <x:c r="M473" s="32" t="str">
        <x:f>IF(AND(M$8&lt;='Detalle'!$H232,M$9&gt;='Detalle'!$G232),1,"")</x:f>
      </x:c>
      <x:c r="N473" s="32" t="str">
        <x:f>IF(AND(N$8&lt;='Detalle'!$H232,N$9&gt;='Detalle'!$G232),1,"")</x:f>
      </x:c>
      <x:c r="O473" s="32" t="str">
        <x:f>IF(AND(O$8&lt;='Detalle'!$H232,O$9&gt;='Detalle'!$G232),1,"")</x:f>
      </x:c>
      <x:c r="P473" s="32" t="str">
        <x:f>IF(AND(P$8&lt;='Detalle'!$H232,P$9&gt;='Detalle'!$G232),1,"")</x:f>
      </x:c>
      <x:c r="Q473" s="68"/>
      <x:c r="R473" s="67" t="str">
        <x:f>IF('Detalle'!M232="","",'Detalle'!M232)</x:f>
      </x:c>
      <x:c r="S473" s="67" t="str">
        <x:f>IF('Detalle'!N232="","",'Detalle'!N232)</x:f>
      </x:c>
    </x:row>
    <x:row r="474" ht="16" customHeight="1">
      <x:c r="A474" s="56" t="str">
        <x:v>PRO01.005</x:v>
      </x:c>
      <x:c r="B474" s="57" t="str">
        <x:v>Persistir objetivos privados</x:v>
      </x:c>
      <x:c r="C474" s="63" t="str">
        <x:v>R</x:v>
      </x:c>
      <x:c r="D474" s="65" t="str">
        <x:f>IF('Detalle'!L232="","",'Detalle'!L232)</x:f>
      </x:c>
      <x:c r="E474" s="60" t="str"/>
      <x:c r="F474" s="32" t="str">
        <x:f>IF(OR('Detalle'!$J232="",'Detalle'!$K232="",'Detalle'!$L232=""),"",IF(AND(F$8&lt;='Detalle'!$K232,F$9&gt;='Detalle'!$J232),1,""))</x:f>
      </x:c>
      <x:c r="G474" s="32" t="str">
        <x:f>IF(OR('Detalle'!$J232="",'Detalle'!$K232="",'Detalle'!$L232=""),"",IF(AND(G$8&lt;='Detalle'!$K232,G$9&gt;='Detalle'!$J232),1,""))</x:f>
      </x:c>
      <x:c r="H474" s="32" t="str">
        <x:f>IF(OR('Detalle'!$J232="",'Detalle'!$K232="",'Detalle'!$L232=""),"",IF(AND(H$8&lt;='Detalle'!$K232,H$9&gt;='Detalle'!$J232),1,""))</x:f>
      </x:c>
      <x:c r="I474" s="32" t="str">
        <x:f>IF(OR('Detalle'!$J232="",'Detalle'!$K232="",'Detalle'!$L232=""),"",IF(AND(I$8&lt;='Detalle'!$K232,I$9&gt;='Detalle'!$J232),1,""))</x:f>
      </x:c>
      <x:c r="J474" s="32" t="str">
        <x:f>IF(OR('Detalle'!$J232="",'Detalle'!$K232="",'Detalle'!$L232=""),"",IF(AND(J$8&lt;='Detalle'!$K232,J$9&gt;='Detalle'!$J232),1,""))</x:f>
      </x:c>
      <x:c r="K474" s="32" t="str">
        <x:f>IF(OR('Detalle'!$J232="",'Detalle'!$K232="",'Detalle'!$L232=""),"",IF(AND(K$8&lt;='Detalle'!$K232,K$9&gt;='Detalle'!$J232),1,""))</x:f>
      </x:c>
      <x:c r="L474" s="32" t="str">
        <x:f>IF(OR('Detalle'!$J232="",'Detalle'!$K232="",'Detalle'!$L232=""),"",IF(AND(L$8&lt;='Detalle'!$K232,L$9&gt;='Detalle'!$J232),1,""))</x:f>
      </x:c>
      <x:c r="M474" s="32" t="str">
        <x:f>IF(OR('Detalle'!$J232="",'Detalle'!$K232="",'Detalle'!$L232=""),"",IF(AND(M$8&lt;='Detalle'!$K232,M$9&gt;='Detalle'!$J232),1,""))</x:f>
      </x:c>
      <x:c r="N474" s="32" t="str">
        <x:f>IF(OR('Detalle'!$J232="",'Detalle'!$K232="",'Detalle'!$L232=""),"",IF(AND(N$8&lt;='Detalle'!$K232,N$9&gt;='Detalle'!$J232),1,""))</x:f>
      </x:c>
      <x:c r="O474" s="32" t="str">
        <x:f>IF(OR('Detalle'!$J232="",'Detalle'!$K232="",'Detalle'!$L232=""),"",IF(AND(O$8&lt;='Detalle'!$K232,O$9&gt;='Detalle'!$J232),1,""))</x:f>
      </x:c>
      <x:c r="P474" s="32" t="str">
        <x:f>IF(OR('Detalle'!$J232="",'Detalle'!$K232="",'Detalle'!$L232=""),"",IF(AND(P$8&lt;='Detalle'!$K232,P$9&gt;='Detalle'!$J232),1,""))</x:f>
      </x:c>
      <x:c r="Q474" s="68"/>
      <x:c r="R474" s="67" t="str"/>
      <x:c r="S474" s="67" t="str"/>
    </x:row>
    <x:row r="475" ht="16" customHeight="1">
      <x:c r="A475" s="56" t="str">
        <x:v>PRO01.006</x:v>
      </x:c>
      <x:c r="B475" s="57" t="str">
        <x:v>Agregar enlace HTTPS de contacto</x:v>
      </x:c>
      <x:c r="C475" s="62" t="str">
        <x:v>E</x:v>
      </x:c>
      <x:c r="D475" s="64" t="n">
        <x:f>'Detalle'!I233</x:f>
        <x:v>1</x:v>
      </x:c>
      <x:c r="E475" s="60" t="str">
        <x:f>'Detalle'!F233</x:f>
        <x:v>Completado</x:v>
      </x:c>
      <x:c r="F475" s="32" t="str">
        <x:f>IF(AND(F$8&lt;='Detalle'!$H233,F$9&gt;='Detalle'!$G233),1,"")</x:f>
      </x:c>
      <x:c r="G475" s="32" t="str">
        <x:f>IF(AND(G$8&lt;='Detalle'!$H233,G$9&gt;='Detalle'!$G233),1,"")</x:f>
      </x:c>
      <x:c r="H475" s="32" t="str">
        <x:f>IF(AND(H$8&lt;='Detalle'!$H233,H$9&gt;='Detalle'!$G233),1,"")</x:f>
      </x:c>
      <x:c r="I475" s="32" t="n">
        <x:f>IF(AND(I$8&lt;='Detalle'!$H233,I$9&gt;='Detalle'!$G233),1,"")</x:f>
        <x:v>1</x:v>
      </x:c>
      <x:c r="J475" s="32" t="str">
        <x:f>IF(AND(J$8&lt;='Detalle'!$H233,J$9&gt;='Detalle'!$G233),1,"")</x:f>
      </x:c>
      <x:c r="K475" s="32" t="str">
        <x:f>IF(AND(K$8&lt;='Detalle'!$H233,K$9&gt;='Detalle'!$G233),1,"")</x:f>
      </x:c>
      <x:c r="L475" s="32" t="str">
        <x:f>IF(AND(L$8&lt;='Detalle'!$H233,L$9&gt;='Detalle'!$G233),1,"")</x:f>
      </x:c>
      <x:c r="M475" s="32" t="str">
        <x:f>IF(AND(M$8&lt;='Detalle'!$H233,M$9&gt;='Detalle'!$G233),1,"")</x:f>
      </x:c>
      <x:c r="N475" s="32" t="str">
        <x:f>IF(AND(N$8&lt;='Detalle'!$H233,N$9&gt;='Detalle'!$G233),1,"")</x:f>
      </x:c>
      <x:c r="O475" s="32" t="str">
        <x:f>IF(AND(O$8&lt;='Detalle'!$H233,O$9&gt;='Detalle'!$G233),1,"")</x:f>
      </x:c>
      <x:c r="P475" s="32" t="str">
        <x:f>IF(AND(P$8&lt;='Detalle'!$H233,P$9&gt;='Detalle'!$G233),1,"")</x:f>
      </x:c>
      <x:c r="Q475" s="68"/>
      <x:c r="R475" s="67" t="str">
        <x:f>IF('Detalle'!M233="","",'Detalle'!M233)</x:f>
      </x:c>
      <x:c r="S475" s="67" t="str">
        <x:f>IF('Detalle'!N233="","",'Detalle'!N233)</x:f>
      </x:c>
    </x:row>
    <x:row r="476" ht="16" customHeight="1">
      <x:c r="A476" s="56" t="str">
        <x:v>PRO01.006</x:v>
      </x:c>
      <x:c r="B476" s="57" t="str">
        <x:v>Agregar enlace HTTPS de contacto</x:v>
      </x:c>
      <x:c r="C476" s="63" t="str">
        <x:v>R</x:v>
      </x:c>
      <x:c r="D476" s="65" t="str">
        <x:f>IF('Detalle'!L233="","",'Detalle'!L233)</x:f>
      </x:c>
      <x:c r="E476" s="60" t="str"/>
      <x:c r="F476" s="32" t="str">
        <x:f>IF(OR('Detalle'!$J233="",'Detalle'!$K233="",'Detalle'!$L233=""),"",IF(AND(F$8&lt;='Detalle'!$K233,F$9&gt;='Detalle'!$J233),1,""))</x:f>
      </x:c>
      <x:c r="G476" s="32" t="str">
        <x:f>IF(OR('Detalle'!$J233="",'Detalle'!$K233="",'Detalle'!$L233=""),"",IF(AND(G$8&lt;='Detalle'!$K233,G$9&gt;='Detalle'!$J233),1,""))</x:f>
      </x:c>
      <x:c r="H476" s="32" t="str">
        <x:f>IF(OR('Detalle'!$J233="",'Detalle'!$K233="",'Detalle'!$L233=""),"",IF(AND(H$8&lt;='Detalle'!$K233,H$9&gt;='Detalle'!$J233),1,""))</x:f>
      </x:c>
      <x:c r="I476" s="32" t="str">
        <x:f>IF(OR('Detalle'!$J233="",'Detalle'!$K233="",'Detalle'!$L233=""),"",IF(AND(I$8&lt;='Detalle'!$K233,I$9&gt;='Detalle'!$J233),1,""))</x:f>
      </x:c>
      <x:c r="J476" s="32" t="str">
        <x:f>IF(OR('Detalle'!$J233="",'Detalle'!$K233="",'Detalle'!$L233=""),"",IF(AND(J$8&lt;='Detalle'!$K233,J$9&gt;='Detalle'!$J233),1,""))</x:f>
      </x:c>
      <x:c r="K476" s="32" t="str">
        <x:f>IF(OR('Detalle'!$J233="",'Detalle'!$K233="",'Detalle'!$L233=""),"",IF(AND(K$8&lt;='Detalle'!$K233,K$9&gt;='Detalle'!$J233),1,""))</x:f>
      </x:c>
      <x:c r="L476" s="32" t="str">
        <x:f>IF(OR('Detalle'!$J233="",'Detalle'!$K233="",'Detalle'!$L233=""),"",IF(AND(L$8&lt;='Detalle'!$K233,L$9&gt;='Detalle'!$J233),1,""))</x:f>
      </x:c>
      <x:c r="M476" s="32" t="str">
        <x:f>IF(OR('Detalle'!$J233="",'Detalle'!$K233="",'Detalle'!$L233=""),"",IF(AND(M$8&lt;='Detalle'!$K233,M$9&gt;='Detalle'!$J233),1,""))</x:f>
      </x:c>
      <x:c r="N476" s="32" t="str">
        <x:f>IF(OR('Detalle'!$J233="",'Detalle'!$K233="",'Detalle'!$L233=""),"",IF(AND(N$8&lt;='Detalle'!$K233,N$9&gt;='Detalle'!$J233),1,""))</x:f>
      </x:c>
      <x:c r="O476" s="32" t="str">
        <x:f>IF(OR('Detalle'!$J233="",'Detalle'!$K233="",'Detalle'!$L233=""),"",IF(AND(O$8&lt;='Detalle'!$K233,O$9&gt;='Detalle'!$J233),1,""))</x:f>
      </x:c>
      <x:c r="P476" s="32" t="str">
        <x:f>IF(OR('Detalle'!$J233="",'Detalle'!$K233="",'Detalle'!$L233=""),"",IF(AND(P$8&lt;='Detalle'!$K233,P$9&gt;='Detalle'!$J233),1,""))</x:f>
      </x:c>
      <x:c r="Q476" s="68"/>
      <x:c r="R476" s="67" t="str"/>
      <x:c r="S476" s="67" t="str"/>
    </x:row>
    <x:row r="477" ht="16" customHeight="1">
      <x:c r="A477" s="56" t="str">
        <x:v>PRO01.007</x:v>
      </x:c>
      <x:c r="B477" s="57" t="str">
        <x:v>Agregar disponibilidad para colaborar</x:v>
      </x:c>
      <x:c r="C477" s="62" t="str">
        <x:v>E</x:v>
      </x:c>
      <x:c r="D477" s="64" t="n">
        <x:f>'Detalle'!I234</x:f>
        <x:v>1</x:v>
      </x:c>
      <x:c r="E477" s="60" t="str">
        <x:f>'Detalle'!F234</x:f>
        <x:v>Completado</x:v>
      </x:c>
      <x:c r="F477" s="32" t="str">
        <x:f>IF(AND(F$8&lt;='Detalle'!$H234,F$9&gt;='Detalle'!$G234),1,"")</x:f>
      </x:c>
      <x:c r="G477" s="32" t="str">
        <x:f>IF(AND(G$8&lt;='Detalle'!$H234,G$9&gt;='Detalle'!$G234),1,"")</x:f>
      </x:c>
      <x:c r="H477" s="32" t="str">
        <x:f>IF(AND(H$8&lt;='Detalle'!$H234,H$9&gt;='Detalle'!$G234),1,"")</x:f>
      </x:c>
      <x:c r="I477" s="32" t="n">
        <x:f>IF(AND(I$8&lt;='Detalle'!$H234,I$9&gt;='Detalle'!$G234),1,"")</x:f>
        <x:v>1</x:v>
      </x:c>
      <x:c r="J477" s="32" t="str">
        <x:f>IF(AND(J$8&lt;='Detalle'!$H234,J$9&gt;='Detalle'!$G234),1,"")</x:f>
      </x:c>
      <x:c r="K477" s="32" t="str">
        <x:f>IF(AND(K$8&lt;='Detalle'!$H234,K$9&gt;='Detalle'!$G234),1,"")</x:f>
      </x:c>
      <x:c r="L477" s="32" t="str">
        <x:f>IF(AND(L$8&lt;='Detalle'!$H234,L$9&gt;='Detalle'!$G234),1,"")</x:f>
      </x:c>
      <x:c r="M477" s="32" t="str">
        <x:f>IF(AND(M$8&lt;='Detalle'!$H234,M$9&gt;='Detalle'!$G234),1,"")</x:f>
      </x:c>
      <x:c r="N477" s="32" t="str">
        <x:f>IF(AND(N$8&lt;='Detalle'!$H234,N$9&gt;='Detalle'!$G234),1,"")</x:f>
      </x:c>
      <x:c r="O477" s="32" t="str">
        <x:f>IF(AND(O$8&lt;='Detalle'!$H234,O$9&gt;='Detalle'!$G234),1,"")</x:f>
      </x:c>
      <x:c r="P477" s="32" t="str">
        <x:f>IF(AND(P$8&lt;='Detalle'!$H234,P$9&gt;='Detalle'!$G234),1,"")</x:f>
      </x:c>
      <x:c r="Q477" s="68"/>
      <x:c r="R477" s="67" t="str">
        <x:f>IF('Detalle'!M234="","",'Detalle'!M234)</x:f>
      </x:c>
      <x:c r="S477" s="67" t="str">
        <x:f>IF('Detalle'!N234="","",'Detalle'!N234)</x:f>
      </x:c>
    </x:row>
    <x:row r="478" ht="16" customHeight="1">
      <x:c r="A478" s="56" t="str">
        <x:v>PRO01.007</x:v>
      </x:c>
      <x:c r="B478" s="57" t="str">
        <x:v>Agregar disponibilidad para colaborar</x:v>
      </x:c>
      <x:c r="C478" s="63" t="str">
        <x:v>R</x:v>
      </x:c>
      <x:c r="D478" s="65" t="str">
        <x:f>IF('Detalle'!L234="","",'Detalle'!L234)</x:f>
      </x:c>
      <x:c r="E478" s="60" t="str"/>
      <x:c r="F478" s="32" t="str">
        <x:f>IF(OR('Detalle'!$J234="",'Detalle'!$K234="",'Detalle'!$L234=""),"",IF(AND(F$8&lt;='Detalle'!$K234,F$9&gt;='Detalle'!$J234),1,""))</x:f>
      </x:c>
      <x:c r="G478" s="32" t="str">
        <x:f>IF(OR('Detalle'!$J234="",'Detalle'!$K234="",'Detalle'!$L234=""),"",IF(AND(G$8&lt;='Detalle'!$K234,G$9&gt;='Detalle'!$J234),1,""))</x:f>
      </x:c>
      <x:c r="H478" s="32" t="str">
        <x:f>IF(OR('Detalle'!$J234="",'Detalle'!$K234="",'Detalle'!$L234=""),"",IF(AND(H$8&lt;='Detalle'!$K234,H$9&gt;='Detalle'!$J234),1,""))</x:f>
      </x:c>
      <x:c r="I478" s="32" t="str">
        <x:f>IF(OR('Detalle'!$J234="",'Detalle'!$K234="",'Detalle'!$L234=""),"",IF(AND(I$8&lt;='Detalle'!$K234,I$9&gt;='Detalle'!$J234),1,""))</x:f>
      </x:c>
      <x:c r="J478" s="32" t="str">
        <x:f>IF(OR('Detalle'!$J234="",'Detalle'!$K234="",'Detalle'!$L234=""),"",IF(AND(J$8&lt;='Detalle'!$K234,J$9&gt;='Detalle'!$J234),1,""))</x:f>
      </x:c>
      <x:c r="K478" s="32" t="str">
        <x:f>IF(OR('Detalle'!$J234="",'Detalle'!$K234="",'Detalle'!$L234=""),"",IF(AND(K$8&lt;='Detalle'!$K234,K$9&gt;='Detalle'!$J234),1,""))</x:f>
      </x:c>
      <x:c r="L478" s="32" t="str">
        <x:f>IF(OR('Detalle'!$J234="",'Detalle'!$K234="",'Detalle'!$L234=""),"",IF(AND(L$8&lt;='Detalle'!$K234,L$9&gt;='Detalle'!$J234),1,""))</x:f>
      </x:c>
      <x:c r="M478" s="32" t="str">
        <x:f>IF(OR('Detalle'!$J234="",'Detalle'!$K234="",'Detalle'!$L234=""),"",IF(AND(M$8&lt;='Detalle'!$K234,M$9&gt;='Detalle'!$J234),1,""))</x:f>
      </x:c>
      <x:c r="N478" s="32" t="str">
        <x:f>IF(OR('Detalle'!$J234="",'Detalle'!$K234="",'Detalle'!$L234=""),"",IF(AND(N$8&lt;='Detalle'!$K234,N$9&gt;='Detalle'!$J234),1,""))</x:f>
      </x:c>
      <x:c r="O478" s="32" t="str">
        <x:f>IF(OR('Detalle'!$J234="",'Detalle'!$K234="",'Detalle'!$L234=""),"",IF(AND(O$8&lt;='Detalle'!$K234,O$9&gt;='Detalle'!$J234),1,""))</x:f>
      </x:c>
      <x:c r="P478" s="32" t="str">
        <x:f>IF(OR('Detalle'!$J234="",'Detalle'!$K234="",'Detalle'!$L234=""),"",IF(AND(P$8&lt;='Detalle'!$K234,P$9&gt;='Detalle'!$J234),1,""))</x:f>
      </x:c>
      <x:c r="Q478" s="68"/>
      <x:c r="R478" s="67" t="str"/>
      <x:c r="S478" s="67" t="str"/>
    </x:row>
    <x:row r="479" ht="16" customHeight="1">
      <x:c r="A479" s="56" t="str">
        <x:v>PRO01.008</x:v>
      </x:c>
      <x:c r="B479" s="57" t="str">
        <x:v>Agregar datos de negocio</x:v>
      </x:c>
      <x:c r="C479" s="62" t="str">
        <x:v>E</x:v>
      </x:c>
      <x:c r="D479" s="64" t="n">
        <x:f>'Detalle'!I235</x:f>
        <x:v>1</x:v>
      </x:c>
      <x:c r="E479" s="60" t="str">
        <x:f>'Detalle'!F235</x:f>
        <x:v>Completado</x:v>
      </x:c>
      <x:c r="F479" s="32" t="str">
        <x:f>IF(AND(F$8&lt;='Detalle'!$H235,F$9&gt;='Detalle'!$G235),1,"")</x:f>
      </x:c>
      <x:c r="G479" s="32" t="str">
        <x:f>IF(AND(G$8&lt;='Detalle'!$H235,G$9&gt;='Detalle'!$G235),1,"")</x:f>
      </x:c>
      <x:c r="H479" s="32" t="str">
        <x:f>IF(AND(H$8&lt;='Detalle'!$H235,H$9&gt;='Detalle'!$G235),1,"")</x:f>
      </x:c>
      <x:c r="I479" s="32" t="n">
        <x:f>IF(AND(I$8&lt;='Detalle'!$H235,I$9&gt;='Detalle'!$G235),1,"")</x:f>
        <x:v>1</x:v>
      </x:c>
      <x:c r="J479" s="32" t="str">
        <x:f>IF(AND(J$8&lt;='Detalle'!$H235,J$9&gt;='Detalle'!$G235),1,"")</x:f>
      </x:c>
      <x:c r="K479" s="32" t="str">
        <x:f>IF(AND(K$8&lt;='Detalle'!$H235,K$9&gt;='Detalle'!$G235),1,"")</x:f>
      </x:c>
      <x:c r="L479" s="32" t="str">
        <x:f>IF(AND(L$8&lt;='Detalle'!$H235,L$9&gt;='Detalle'!$G235),1,"")</x:f>
      </x:c>
      <x:c r="M479" s="32" t="str">
        <x:f>IF(AND(M$8&lt;='Detalle'!$H235,M$9&gt;='Detalle'!$G235),1,"")</x:f>
      </x:c>
      <x:c r="N479" s="32" t="str">
        <x:f>IF(AND(N$8&lt;='Detalle'!$H235,N$9&gt;='Detalle'!$G235),1,"")</x:f>
      </x:c>
      <x:c r="O479" s="32" t="str">
        <x:f>IF(AND(O$8&lt;='Detalle'!$H235,O$9&gt;='Detalle'!$G235),1,"")</x:f>
      </x:c>
      <x:c r="P479" s="32" t="str">
        <x:f>IF(AND(P$8&lt;='Detalle'!$H235,P$9&gt;='Detalle'!$G235),1,"")</x:f>
      </x:c>
      <x:c r="Q479" s="68"/>
      <x:c r="R479" s="67" t="str">
        <x:f>IF('Detalle'!M235="","",'Detalle'!M235)</x:f>
      </x:c>
      <x:c r="S479" s="67" t="str">
        <x:f>IF('Detalle'!N235="","",'Detalle'!N235)</x:f>
      </x:c>
    </x:row>
    <x:row r="480" ht="16" customHeight="1">
      <x:c r="A480" s="56" t="str">
        <x:v>PRO01.008</x:v>
      </x:c>
      <x:c r="B480" s="57" t="str">
        <x:v>Agregar datos de negocio</x:v>
      </x:c>
      <x:c r="C480" s="63" t="str">
        <x:v>R</x:v>
      </x:c>
      <x:c r="D480" s="65" t="str">
        <x:f>IF('Detalle'!L235="","",'Detalle'!L235)</x:f>
      </x:c>
      <x:c r="E480" s="60" t="str"/>
      <x:c r="F480" s="32" t="str">
        <x:f>IF(OR('Detalle'!$J235="",'Detalle'!$K235="",'Detalle'!$L235=""),"",IF(AND(F$8&lt;='Detalle'!$K235,F$9&gt;='Detalle'!$J235),1,""))</x:f>
      </x:c>
      <x:c r="G480" s="32" t="str">
        <x:f>IF(OR('Detalle'!$J235="",'Detalle'!$K235="",'Detalle'!$L235=""),"",IF(AND(G$8&lt;='Detalle'!$K235,G$9&gt;='Detalle'!$J235),1,""))</x:f>
      </x:c>
      <x:c r="H480" s="32" t="str">
        <x:f>IF(OR('Detalle'!$J235="",'Detalle'!$K235="",'Detalle'!$L235=""),"",IF(AND(H$8&lt;='Detalle'!$K235,H$9&gt;='Detalle'!$J235),1,""))</x:f>
      </x:c>
      <x:c r="I480" s="32" t="str">
        <x:f>IF(OR('Detalle'!$J235="",'Detalle'!$K235="",'Detalle'!$L235=""),"",IF(AND(I$8&lt;='Detalle'!$K235,I$9&gt;='Detalle'!$J235),1,""))</x:f>
      </x:c>
      <x:c r="J480" s="32" t="str">
        <x:f>IF(OR('Detalle'!$J235="",'Detalle'!$K235="",'Detalle'!$L235=""),"",IF(AND(J$8&lt;='Detalle'!$K235,J$9&gt;='Detalle'!$J235),1,""))</x:f>
      </x:c>
      <x:c r="K480" s="32" t="str">
        <x:f>IF(OR('Detalle'!$J235="",'Detalle'!$K235="",'Detalle'!$L235=""),"",IF(AND(K$8&lt;='Detalle'!$K235,K$9&gt;='Detalle'!$J235),1,""))</x:f>
      </x:c>
      <x:c r="L480" s="32" t="str">
        <x:f>IF(OR('Detalle'!$J235="",'Detalle'!$K235="",'Detalle'!$L235=""),"",IF(AND(L$8&lt;='Detalle'!$K235,L$9&gt;='Detalle'!$J235),1,""))</x:f>
      </x:c>
      <x:c r="M480" s="32" t="str">
        <x:f>IF(OR('Detalle'!$J235="",'Detalle'!$K235="",'Detalle'!$L235=""),"",IF(AND(M$8&lt;='Detalle'!$K235,M$9&gt;='Detalle'!$J235),1,""))</x:f>
      </x:c>
      <x:c r="N480" s="32" t="str">
        <x:f>IF(OR('Detalle'!$J235="",'Detalle'!$K235="",'Detalle'!$L235=""),"",IF(AND(N$8&lt;='Detalle'!$K235,N$9&gt;='Detalle'!$J235),1,""))</x:f>
      </x:c>
      <x:c r="O480" s="32" t="str">
        <x:f>IF(OR('Detalle'!$J235="",'Detalle'!$K235="",'Detalle'!$L235=""),"",IF(AND(O$8&lt;='Detalle'!$K235,O$9&gt;='Detalle'!$J235),1,""))</x:f>
      </x:c>
      <x:c r="P480" s="32" t="str">
        <x:f>IF(OR('Detalle'!$J235="",'Detalle'!$K235="",'Detalle'!$L235=""),"",IF(AND(P$8&lt;='Detalle'!$K235,P$9&gt;='Detalle'!$J235),1,""))</x:f>
      </x:c>
      <x:c r="Q480" s="68"/>
      <x:c r="R480" s="67" t="str"/>
      <x:c r="S480" s="67" t="str"/>
    </x:row>
    <x:row r="481" ht="16" customHeight="1">
      <x:c r="A481" s="56" t="str">
        <x:v>PRO01.009</x:v>
      </x:c>
      <x:c r="B481" s="57" t="str">
        <x:v>Agregar horarios semanales</x:v>
      </x:c>
      <x:c r="C481" s="62" t="str">
        <x:v>E</x:v>
      </x:c>
      <x:c r="D481" s="64" t="n">
        <x:f>'Detalle'!I236</x:f>
        <x:v>1</x:v>
      </x:c>
      <x:c r="E481" s="60" t="str">
        <x:f>'Detalle'!F236</x:f>
        <x:v>Completado</x:v>
      </x:c>
      <x:c r="F481" s="32" t="str">
        <x:f>IF(AND(F$8&lt;='Detalle'!$H236,F$9&gt;='Detalle'!$G236),1,"")</x:f>
      </x:c>
      <x:c r="G481" s="32" t="str">
        <x:f>IF(AND(G$8&lt;='Detalle'!$H236,G$9&gt;='Detalle'!$G236),1,"")</x:f>
      </x:c>
      <x:c r="H481" s="32" t="str">
        <x:f>IF(AND(H$8&lt;='Detalle'!$H236,H$9&gt;='Detalle'!$G236),1,"")</x:f>
      </x:c>
      <x:c r="I481" s="32" t="n">
        <x:f>IF(AND(I$8&lt;='Detalle'!$H236,I$9&gt;='Detalle'!$G236),1,"")</x:f>
        <x:v>1</x:v>
      </x:c>
      <x:c r="J481" s="32" t="str">
        <x:f>IF(AND(J$8&lt;='Detalle'!$H236,J$9&gt;='Detalle'!$G236),1,"")</x:f>
      </x:c>
      <x:c r="K481" s="32" t="str">
        <x:f>IF(AND(K$8&lt;='Detalle'!$H236,K$9&gt;='Detalle'!$G236),1,"")</x:f>
      </x:c>
      <x:c r="L481" s="32" t="str">
        <x:f>IF(AND(L$8&lt;='Detalle'!$H236,L$9&gt;='Detalle'!$G236),1,"")</x:f>
      </x:c>
      <x:c r="M481" s="32" t="str">
        <x:f>IF(AND(M$8&lt;='Detalle'!$H236,M$9&gt;='Detalle'!$G236),1,"")</x:f>
      </x:c>
      <x:c r="N481" s="32" t="str">
        <x:f>IF(AND(N$8&lt;='Detalle'!$H236,N$9&gt;='Detalle'!$G236),1,"")</x:f>
      </x:c>
      <x:c r="O481" s="32" t="str">
        <x:f>IF(AND(O$8&lt;='Detalle'!$H236,O$9&gt;='Detalle'!$G236),1,"")</x:f>
      </x:c>
      <x:c r="P481" s="32" t="str">
        <x:f>IF(AND(P$8&lt;='Detalle'!$H236,P$9&gt;='Detalle'!$G236),1,"")</x:f>
      </x:c>
      <x:c r="Q481" s="68"/>
      <x:c r="R481" s="67" t="str">
        <x:f>IF('Detalle'!M236="","",'Detalle'!M236)</x:f>
      </x:c>
      <x:c r="S481" s="67" t="str">
        <x:f>IF('Detalle'!N236="","",'Detalle'!N236)</x:f>
      </x:c>
    </x:row>
    <x:row r="482" ht="16" customHeight="1">
      <x:c r="A482" s="56" t="str">
        <x:v>PRO01.009</x:v>
      </x:c>
      <x:c r="B482" s="57" t="str">
        <x:v>Agregar horarios semanales</x:v>
      </x:c>
      <x:c r="C482" s="63" t="str">
        <x:v>R</x:v>
      </x:c>
      <x:c r="D482" s="65" t="str">
        <x:f>IF('Detalle'!L236="","",'Detalle'!L236)</x:f>
      </x:c>
      <x:c r="E482" s="60" t="str"/>
      <x:c r="F482" s="32" t="str">
        <x:f>IF(OR('Detalle'!$J236="",'Detalle'!$K236="",'Detalle'!$L236=""),"",IF(AND(F$8&lt;='Detalle'!$K236,F$9&gt;='Detalle'!$J236),1,""))</x:f>
      </x:c>
      <x:c r="G482" s="32" t="str">
        <x:f>IF(OR('Detalle'!$J236="",'Detalle'!$K236="",'Detalle'!$L236=""),"",IF(AND(G$8&lt;='Detalle'!$K236,G$9&gt;='Detalle'!$J236),1,""))</x:f>
      </x:c>
      <x:c r="H482" s="32" t="str">
        <x:f>IF(OR('Detalle'!$J236="",'Detalle'!$K236="",'Detalle'!$L236=""),"",IF(AND(H$8&lt;='Detalle'!$K236,H$9&gt;='Detalle'!$J236),1,""))</x:f>
      </x:c>
      <x:c r="I482" s="32" t="str">
        <x:f>IF(OR('Detalle'!$J236="",'Detalle'!$K236="",'Detalle'!$L236=""),"",IF(AND(I$8&lt;='Detalle'!$K236,I$9&gt;='Detalle'!$J236),1,""))</x:f>
      </x:c>
      <x:c r="J482" s="32" t="str">
        <x:f>IF(OR('Detalle'!$J236="",'Detalle'!$K236="",'Detalle'!$L236=""),"",IF(AND(J$8&lt;='Detalle'!$K236,J$9&gt;='Detalle'!$J236),1,""))</x:f>
      </x:c>
      <x:c r="K482" s="32" t="str">
        <x:f>IF(OR('Detalle'!$J236="",'Detalle'!$K236="",'Detalle'!$L236=""),"",IF(AND(K$8&lt;='Detalle'!$K236,K$9&gt;='Detalle'!$J236),1,""))</x:f>
      </x:c>
      <x:c r="L482" s="32" t="str">
        <x:f>IF(OR('Detalle'!$J236="",'Detalle'!$K236="",'Detalle'!$L236=""),"",IF(AND(L$8&lt;='Detalle'!$K236,L$9&gt;='Detalle'!$J236),1,""))</x:f>
      </x:c>
      <x:c r="M482" s="32" t="str">
        <x:f>IF(OR('Detalle'!$J236="",'Detalle'!$K236="",'Detalle'!$L236=""),"",IF(AND(M$8&lt;='Detalle'!$K236,M$9&gt;='Detalle'!$J236),1,""))</x:f>
      </x:c>
      <x:c r="N482" s="32" t="str">
        <x:f>IF(OR('Detalle'!$J236="",'Detalle'!$K236="",'Detalle'!$L236=""),"",IF(AND(N$8&lt;='Detalle'!$K236,N$9&gt;='Detalle'!$J236),1,""))</x:f>
      </x:c>
      <x:c r="O482" s="32" t="str">
        <x:f>IF(OR('Detalle'!$J236="",'Detalle'!$K236="",'Detalle'!$L236=""),"",IF(AND(O$8&lt;='Detalle'!$K236,O$9&gt;='Detalle'!$J236),1,""))</x:f>
      </x:c>
      <x:c r="P482" s="32" t="str">
        <x:f>IF(OR('Detalle'!$J236="",'Detalle'!$K236="",'Detalle'!$L236=""),"",IF(AND(P$8&lt;='Detalle'!$K236,P$9&gt;='Detalle'!$J236),1,""))</x:f>
      </x:c>
      <x:c r="Q482" s="68"/>
      <x:c r="R482" s="67" t="str"/>
      <x:c r="S482" s="67" t="str"/>
    </x:row>
    <x:row r="483" ht="16" customHeight="1">
      <x:c r="A483" s="56" t="str">
        <x:v>PRO01.010</x:v>
      </x:c>
      <x:c r="B483" s="57" t="str">
        <x:v>Crear herramientas por tipo de perfil</x:v>
      </x:c>
      <x:c r="C483" s="62" t="str">
        <x:v>E</x:v>
      </x:c>
      <x:c r="D483" s="64" t="n">
        <x:f>'Detalle'!I237</x:f>
        <x:v>1</x:v>
      </x:c>
      <x:c r="E483" s="60" t="str">
        <x:f>'Detalle'!F237</x:f>
        <x:v>Completado</x:v>
      </x:c>
      <x:c r="F483" s="32" t="str">
        <x:f>IF(AND(F$8&lt;='Detalle'!$H237,F$9&gt;='Detalle'!$G237),1,"")</x:f>
      </x:c>
      <x:c r="G483" s="32" t="str">
        <x:f>IF(AND(G$8&lt;='Detalle'!$H237,G$9&gt;='Detalle'!$G237),1,"")</x:f>
      </x:c>
      <x:c r="H483" s="32" t="str">
        <x:f>IF(AND(H$8&lt;='Detalle'!$H237,H$9&gt;='Detalle'!$G237),1,"")</x:f>
      </x:c>
      <x:c r="I483" s="32" t="n">
        <x:f>IF(AND(I$8&lt;='Detalle'!$H237,I$9&gt;='Detalle'!$G237),1,"")</x:f>
        <x:v>1</x:v>
      </x:c>
      <x:c r="J483" s="32" t="str">
        <x:f>IF(AND(J$8&lt;='Detalle'!$H237,J$9&gt;='Detalle'!$G237),1,"")</x:f>
      </x:c>
      <x:c r="K483" s="32" t="str">
        <x:f>IF(AND(K$8&lt;='Detalle'!$H237,K$9&gt;='Detalle'!$G237),1,"")</x:f>
      </x:c>
      <x:c r="L483" s="32" t="str">
        <x:f>IF(AND(L$8&lt;='Detalle'!$H237,L$9&gt;='Detalle'!$G237),1,"")</x:f>
      </x:c>
      <x:c r="M483" s="32" t="str">
        <x:f>IF(AND(M$8&lt;='Detalle'!$H237,M$9&gt;='Detalle'!$G237),1,"")</x:f>
      </x:c>
      <x:c r="N483" s="32" t="str">
        <x:f>IF(AND(N$8&lt;='Detalle'!$H237,N$9&gt;='Detalle'!$G237),1,"")</x:f>
      </x:c>
      <x:c r="O483" s="32" t="str">
        <x:f>IF(AND(O$8&lt;='Detalle'!$H237,O$9&gt;='Detalle'!$G237),1,"")</x:f>
      </x:c>
      <x:c r="P483" s="32" t="str">
        <x:f>IF(AND(P$8&lt;='Detalle'!$H237,P$9&gt;='Detalle'!$G237),1,"")</x:f>
      </x:c>
      <x:c r="Q483" s="68"/>
      <x:c r="R483" s="67" t="str">
        <x:f>IF('Detalle'!M237="","",'Detalle'!M237)</x:f>
      </x:c>
      <x:c r="S483" s="67" t="str">
        <x:f>IF('Detalle'!N237="","",'Detalle'!N237)</x:f>
      </x:c>
    </x:row>
    <x:row r="484" ht="16" customHeight="1">
      <x:c r="A484" s="56" t="str">
        <x:v>PRO01.010</x:v>
      </x:c>
      <x:c r="B484" s="57" t="str">
        <x:v>Crear herramientas por tipo de perfil</x:v>
      </x:c>
      <x:c r="C484" s="63" t="str">
        <x:v>R</x:v>
      </x:c>
      <x:c r="D484" s="65" t="str">
        <x:f>IF('Detalle'!L237="","",'Detalle'!L237)</x:f>
      </x:c>
      <x:c r="E484" s="60" t="str"/>
      <x:c r="F484" s="32" t="str">
        <x:f>IF(OR('Detalle'!$J237="",'Detalle'!$K237="",'Detalle'!$L237=""),"",IF(AND(F$8&lt;='Detalle'!$K237,F$9&gt;='Detalle'!$J237),1,""))</x:f>
      </x:c>
      <x:c r="G484" s="32" t="str">
        <x:f>IF(OR('Detalle'!$J237="",'Detalle'!$K237="",'Detalle'!$L237=""),"",IF(AND(G$8&lt;='Detalle'!$K237,G$9&gt;='Detalle'!$J237),1,""))</x:f>
      </x:c>
      <x:c r="H484" s="32" t="str">
        <x:f>IF(OR('Detalle'!$J237="",'Detalle'!$K237="",'Detalle'!$L237=""),"",IF(AND(H$8&lt;='Detalle'!$K237,H$9&gt;='Detalle'!$J237),1,""))</x:f>
      </x:c>
      <x:c r="I484" s="32" t="str">
        <x:f>IF(OR('Detalle'!$J237="",'Detalle'!$K237="",'Detalle'!$L237=""),"",IF(AND(I$8&lt;='Detalle'!$K237,I$9&gt;='Detalle'!$J237),1,""))</x:f>
      </x:c>
      <x:c r="J484" s="32" t="str">
        <x:f>IF(OR('Detalle'!$J237="",'Detalle'!$K237="",'Detalle'!$L237=""),"",IF(AND(J$8&lt;='Detalle'!$K237,J$9&gt;='Detalle'!$J237),1,""))</x:f>
      </x:c>
      <x:c r="K484" s="32" t="str">
        <x:f>IF(OR('Detalle'!$J237="",'Detalle'!$K237="",'Detalle'!$L237=""),"",IF(AND(K$8&lt;='Detalle'!$K237,K$9&gt;='Detalle'!$J237),1,""))</x:f>
      </x:c>
      <x:c r="L484" s="32" t="str">
        <x:f>IF(OR('Detalle'!$J237="",'Detalle'!$K237="",'Detalle'!$L237=""),"",IF(AND(L$8&lt;='Detalle'!$K237,L$9&gt;='Detalle'!$J237),1,""))</x:f>
      </x:c>
      <x:c r="M484" s="32" t="str">
        <x:f>IF(OR('Detalle'!$J237="",'Detalle'!$K237="",'Detalle'!$L237=""),"",IF(AND(M$8&lt;='Detalle'!$K237,M$9&gt;='Detalle'!$J237),1,""))</x:f>
      </x:c>
      <x:c r="N484" s="32" t="str">
        <x:f>IF(OR('Detalle'!$J237="",'Detalle'!$K237="",'Detalle'!$L237=""),"",IF(AND(N$8&lt;='Detalle'!$K237,N$9&gt;='Detalle'!$J237),1,""))</x:f>
      </x:c>
      <x:c r="O484" s="32" t="str">
        <x:f>IF(OR('Detalle'!$J237="",'Detalle'!$K237="",'Detalle'!$L237=""),"",IF(AND(O$8&lt;='Detalle'!$K237,O$9&gt;='Detalle'!$J237),1,""))</x:f>
      </x:c>
      <x:c r="P484" s="32" t="str">
        <x:f>IF(OR('Detalle'!$J237="",'Detalle'!$K237="",'Detalle'!$L237=""),"",IF(AND(P$8&lt;='Detalle'!$K237,P$9&gt;='Detalle'!$J237),1,""))</x:f>
      </x:c>
      <x:c r="Q484" s="68"/>
      <x:c r="R484" s="67" t="str"/>
      <x:c r="S484" s="67" t="str"/>
    </x:row>
    <x:row r="485" ht="16" customHeight="1">
      <x:c r="A485" s="56" t="str">
        <x:v>PRO01.011</x:v>
      </x:c>
      <x:c r="B485" s="57" t="str">
        <x:v>Separar perfil propio y público</x:v>
      </x:c>
      <x:c r="C485" s="62" t="str">
        <x:v>E</x:v>
      </x:c>
      <x:c r="D485" s="64" t="n">
        <x:f>'Detalle'!I238</x:f>
        <x:v>1</x:v>
      </x:c>
      <x:c r="E485" s="60" t="str">
        <x:f>'Detalle'!F238</x:f>
        <x:v>Completado</x:v>
      </x:c>
      <x:c r="F485" s="32" t="str">
        <x:f>IF(AND(F$8&lt;='Detalle'!$H238,F$9&gt;='Detalle'!$G238),1,"")</x:f>
      </x:c>
      <x:c r="G485" s="32" t="str">
        <x:f>IF(AND(G$8&lt;='Detalle'!$H238,G$9&gt;='Detalle'!$G238),1,"")</x:f>
      </x:c>
      <x:c r="H485" s="32" t="str">
        <x:f>IF(AND(H$8&lt;='Detalle'!$H238,H$9&gt;='Detalle'!$G238),1,"")</x:f>
      </x:c>
      <x:c r="I485" s="32" t="n">
        <x:f>IF(AND(I$8&lt;='Detalle'!$H238,I$9&gt;='Detalle'!$G238),1,"")</x:f>
        <x:v>1</x:v>
      </x:c>
      <x:c r="J485" s="32" t="str">
        <x:f>IF(AND(J$8&lt;='Detalle'!$H238,J$9&gt;='Detalle'!$G238),1,"")</x:f>
      </x:c>
      <x:c r="K485" s="32" t="str">
        <x:f>IF(AND(K$8&lt;='Detalle'!$H238,K$9&gt;='Detalle'!$G238),1,"")</x:f>
      </x:c>
      <x:c r="L485" s="32" t="str">
        <x:f>IF(AND(L$8&lt;='Detalle'!$H238,L$9&gt;='Detalle'!$G238),1,"")</x:f>
      </x:c>
      <x:c r="M485" s="32" t="str">
        <x:f>IF(AND(M$8&lt;='Detalle'!$H238,M$9&gt;='Detalle'!$G238),1,"")</x:f>
      </x:c>
      <x:c r="N485" s="32" t="str">
        <x:f>IF(AND(N$8&lt;='Detalle'!$H238,N$9&gt;='Detalle'!$G238),1,"")</x:f>
      </x:c>
      <x:c r="O485" s="32" t="str">
        <x:f>IF(AND(O$8&lt;='Detalle'!$H238,O$9&gt;='Detalle'!$G238),1,"")</x:f>
      </x:c>
      <x:c r="P485" s="32" t="str">
        <x:f>IF(AND(P$8&lt;='Detalle'!$H238,P$9&gt;='Detalle'!$G238),1,"")</x:f>
      </x:c>
      <x:c r="Q485" s="68"/>
      <x:c r="R485" s="67" t="str">
        <x:f>IF('Detalle'!M238="","",'Detalle'!M238)</x:f>
      </x:c>
      <x:c r="S485" s="67" t="str">
        <x:f>IF('Detalle'!N238="","",'Detalle'!N238)</x:f>
      </x:c>
    </x:row>
    <x:row r="486" ht="16" customHeight="1">
      <x:c r="A486" s="56" t="str">
        <x:v>PRO01.011</x:v>
      </x:c>
      <x:c r="B486" s="57" t="str">
        <x:v>Separar perfil propio y público</x:v>
      </x:c>
      <x:c r="C486" s="63" t="str">
        <x:v>R</x:v>
      </x:c>
      <x:c r="D486" s="65" t="str">
        <x:f>IF('Detalle'!L238="","",'Detalle'!L238)</x:f>
      </x:c>
      <x:c r="E486" s="60" t="str"/>
      <x:c r="F486" s="32" t="str">
        <x:f>IF(OR('Detalle'!$J238="",'Detalle'!$K238="",'Detalle'!$L238=""),"",IF(AND(F$8&lt;='Detalle'!$K238,F$9&gt;='Detalle'!$J238),1,""))</x:f>
      </x:c>
      <x:c r="G486" s="32" t="str">
        <x:f>IF(OR('Detalle'!$J238="",'Detalle'!$K238="",'Detalle'!$L238=""),"",IF(AND(G$8&lt;='Detalle'!$K238,G$9&gt;='Detalle'!$J238),1,""))</x:f>
      </x:c>
      <x:c r="H486" s="32" t="str">
        <x:f>IF(OR('Detalle'!$J238="",'Detalle'!$K238="",'Detalle'!$L238=""),"",IF(AND(H$8&lt;='Detalle'!$K238,H$9&gt;='Detalle'!$J238),1,""))</x:f>
      </x:c>
      <x:c r="I486" s="32" t="str">
        <x:f>IF(OR('Detalle'!$J238="",'Detalle'!$K238="",'Detalle'!$L238=""),"",IF(AND(I$8&lt;='Detalle'!$K238,I$9&gt;='Detalle'!$J238),1,""))</x:f>
      </x:c>
      <x:c r="J486" s="32" t="str">
        <x:f>IF(OR('Detalle'!$J238="",'Detalle'!$K238="",'Detalle'!$L238=""),"",IF(AND(J$8&lt;='Detalle'!$K238,J$9&gt;='Detalle'!$J238),1,""))</x:f>
      </x:c>
      <x:c r="K486" s="32" t="str">
        <x:f>IF(OR('Detalle'!$J238="",'Detalle'!$K238="",'Detalle'!$L238=""),"",IF(AND(K$8&lt;='Detalle'!$K238,K$9&gt;='Detalle'!$J238),1,""))</x:f>
      </x:c>
      <x:c r="L486" s="32" t="str">
        <x:f>IF(OR('Detalle'!$J238="",'Detalle'!$K238="",'Detalle'!$L238=""),"",IF(AND(L$8&lt;='Detalle'!$K238,L$9&gt;='Detalle'!$J238),1,""))</x:f>
      </x:c>
      <x:c r="M486" s="32" t="str">
        <x:f>IF(OR('Detalle'!$J238="",'Detalle'!$K238="",'Detalle'!$L238=""),"",IF(AND(M$8&lt;='Detalle'!$K238,M$9&gt;='Detalle'!$J238),1,""))</x:f>
      </x:c>
      <x:c r="N486" s="32" t="str">
        <x:f>IF(OR('Detalle'!$J238="",'Detalle'!$K238="",'Detalle'!$L238=""),"",IF(AND(N$8&lt;='Detalle'!$K238,N$9&gt;='Detalle'!$J238),1,""))</x:f>
      </x:c>
      <x:c r="O486" s="32" t="str">
        <x:f>IF(OR('Detalle'!$J238="",'Detalle'!$K238="",'Detalle'!$L238=""),"",IF(AND(O$8&lt;='Detalle'!$K238,O$9&gt;='Detalle'!$J238),1,""))</x:f>
      </x:c>
      <x:c r="P486" s="32" t="str">
        <x:f>IF(OR('Detalle'!$J238="",'Detalle'!$K238="",'Detalle'!$L238=""),"",IF(AND(P$8&lt;='Detalle'!$K238,P$9&gt;='Detalle'!$J238),1,""))</x:f>
      </x:c>
      <x:c r="Q486" s="68"/>
      <x:c r="R486" s="67" t="str"/>
      <x:c r="S486" s="67" t="str"/>
    </x:row>
    <x:row r="487" ht="16" customHeight="1">
      <x:c r="A487" s="56" t="str">
        <x:v>PRO01.012</x:v>
      </x:c>
      <x:c r="B487" s="57" t="str">
        <x:v>Separar publicaciones y fichas profesionales</x:v>
      </x:c>
      <x:c r="C487" s="62" t="str">
        <x:v>E</x:v>
      </x:c>
      <x:c r="D487" s="64" t="n">
        <x:f>'Detalle'!I239</x:f>
        <x:v>1</x:v>
      </x:c>
      <x:c r="E487" s="60" t="str">
        <x:f>'Detalle'!F239</x:f>
        <x:v>Completado</x:v>
      </x:c>
      <x:c r="F487" s="32" t="str">
        <x:f>IF(AND(F$8&lt;='Detalle'!$H239,F$9&gt;='Detalle'!$G239),1,"")</x:f>
      </x:c>
      <x:c r="G487" s="32" t="str">
        <x:f>IF(AND(G$8&lt;='Detalle'!$H239,G$9&gt;='Detalle'!$G239),1,"")</x:f>
      </x:c>
      <x:c r="H487" s="32" t="str">
        <x:f>IF(AND(H$8&lt;='Detalle'!$H239,H$9&gt;='Detalle'!$G239),1,"")</x:f>
      </x:c>
      <x:c r="I487" s="32" t="n">
        <x:f>IF(AND(I$8&lt;='Detalle'!$H239,I$9&gt;='Detalle'!$G239),1,"")</x:f>
        <x:v>1</x:v>
      </x:c>
      <x:c r="J487" s="32" t="str">
        <x:f>IF(AND(J$8&lt;='Detalle'!$H239,J$9&gt;='Detalle'!$G239),1,"")</x:f>
      </x:c>
      <x:c r="K487" s="32" t="str">
        <x:f>IF(AND(K$8&lt;='Detalle'!$H239,K$9&gt;='Detalle'!$G239),1,"")</x:f>
      </x:c>
      <x:c r="L487" s="32" t="str">
        <x:f>IF(AND(L$8&lt;='Detalle'!$H239,L$9&gt;='Detalle'!$G239),1,"")</x:f>
      </x:c>
      <x:c r="M487" s="32" t="str">
        <x:f>IF(AND(M$8&lt;='Detalle'!$H239,M$9&gt;='Detalle'!$G239),1,"")</x:f>
      </x:c>
      <x:c r="N487" s="32" t="str">
        <x:f>IF(AND(N$8&lt;='Detalle'!$H239,N$9&gt;='Detalle'!$G239),1,"")</x:f>
      </x:c>
      <x:c r="O487" s="32" t="str">
        <x:f>IF(AND(O$8&lt;='Detalle'!$H239,O$9&gt;='Detalle'!$G239),1,"")</x:f>
      </x:c>
      <x:c r="P487" s="32" t="str">
        <x:f>IF(AND(P$8&lt;='Detalle'!$H239,P$9&gt;='Detalle'!$G239),1,"")</x:f>
      </x:c>
      <x:c r="Q487" s="68"/>
      <x:c r="R487" s="67" t="str">
        <x:f>IF('Detalle'!M239="","",'Detalle'!M239)</x:f>
      </x:c>
      <x:c r="S487" s="67" t="str">
        <x:f>IF('Detalle'!N239="","",'Detalle'!N239)</x:f>
      </x:c>
    </x:row>
    <x:row r="488" ht="16" customHeight="1">
      <x:c r="A488" s="56" t="str">
        <x:v>PRO01.012</x:v>
      </x:c>
      <x:c r="B488" s="57" t="str">
        <x:v>Separar publicaciones y fichas profesionales</x:v>
      </x:c>
      <x:c r="C488" s="63" t="str">
        <x:v>R</x:v>
      </x:c>
      <x:c r="D488" s="65" t="str">
        <x:f>IF('Detalle'!L239="","",'Detalle'!L239)</x:f>
      </x:c>
      <x:c r="E488" s="60" t="str"/>
      <x:c r="F488" s="32" t="str">
        <x:f>IF(OR('Detalle'!$J239="",'Detalle'!$K239="",'Detalle'!$L239=""),"",IF(AND(F$8&lt;='Detalle'!$K239,F$9&gt;='Detalle'!$J239),1,""))</x:f>
      </x:c>
      <x:c r="G488" s="32" t="str">
        <x:f>IF(OR('Detalle'!$J239="",'Detalle'!$K239="",'Detalle'!$L239=""),"",IF(AND(G$8&lt;='Detalle'!$K239,G$9&gt;='Detalle'!$J239),1,""))</x:f>
      </x:c>
      <x:c r="H488" s="32" t="str">
        <x:f>IF(OR('Detalle'!$J239="",'Detalle'!$K239="",'Detalle'!$L239=""),"",IF(AND(H$8&lt;='Detalle'!$K239,H$9&gt;='Detalle'!$J239),1,""))</x:f>
      </x:c>
      <x:c r="I488" s="32" t="str">
        <x:f>IF(OR('Detalle'!$J239="",'Detalle'!$K239="",'Detalle'!$L239=""),"",IF(AND(I$8&lt;='Detalle'!$K239,I$9&gt;='Detalle'!$J239),1,""))</x:f>
      </x:c>
      <x:c r="J488" s="32" t="str">
        <x:f>IF(OR('Detalle'!$J239="",'Detalle'!$K239="",'Detalle'!$L239=""),"",IF(AND(J$8&lt;='Detalle'!$K239,J$9&gt;='Detalle'!$J239),1,""))</x:f>
      </x:c>
      <x:c r="K488" s="32" t="str">
        <x:f>IF(OR('Detalle'!$J239="",'Detalle'!$K239="",'Detalle'!$L239=""),"",IF(AND(K$8&lt;='Detalle'!$K239,K$9&gt;='Detalle'!$J239),1,""))</x:f>
      </x:c>
      <x:c r="L488" s="32" t="str">
        <x:f>IF(OR('Detalle'!$J239="",'Detalle'!$K239="",'Detalle'!$L239=""),"",IF(AND(L$8&lt;='Detalle'!$K239,L$9&gt;='Detalle'!$J239),1,""))</x:f>
      </x:c>
      <x:c r="M488" s="32" t="str">
        <x:f>IF(OR('Detalle'!$J239="",'Detalle'!$K239="",'Detalle'!$L239=""),"",IF(AND(M$8&lt;='Detalle'!$K239,M$9&gt;='Detalle'!$J239),1,""))</x:f>
      </x:c>
      <x:c r="N488" s="32" t="str">
        <x:f>IF(OR('Detalle'!$J239="",'Detalle'!$K239="",'Detalle'!$L239=""),"",IF(AND(N$8&lt;='Detalle'!$K239,N$9&gt;='Detalle'!$J239),1,""))</x:f>
      </x:c>
      <x:c r="O488" s="32" t="str">
        <x:f>IF(OR('Detalle'!$J239="",'Detalle'!$K239="",'Detalle'!$L239=""),"",IF(AND(O$8&lt;='Detalle'!$K239,O$9&gt;='Detalle'!$J239),1,""))</x:f>
      </x:c>
      <x:c r="P488" s="32" t="str">
        <x:f>IF(OR('Detalle'!$J239="",'Detalle'!$K239="",'Detalle'!$L239=""),"",IF(AND(P$8&lt;='Detalle'!$K239,P$9&gt;='Detalle'!$J239),1,""))</x:f>
      </x:c>
      <x:c r="Q488" s="68"/>
      <x:c r="R488" s="67" t="str"/>
      <x:c r="S488" s="67" t="str"/>
    </x:row>
    <x:row r="489" ht="16" customHeight="1">
      <x:c r="A489" s="56" t="str">
        <x:v>PRO01.013</x:v>
      </x:c>
      <x:c r="B489" s="57" t="str">
        <x:v>Integrar lectura pública de avatar y portada</x:v>
      </x:c>
      <x:c r="C489" s="62" t="str">
        <x:v>E</x:v>
      </x:c>
      <x:c r="D489" s="64" t="n">
        <x:f>'Detalle'!I240</x:f>
        <x:v>1</x:v>
      </x:c>
      <x:c r="E489" s="60" t="str">
        <x:f>'Detalle'!F240</x:f>
        <x:v>Completado</x:v>
      </x:c>
      <x:c r="F489" s="32" t="str">
        <x:f>IF(AND(F$8&lt;='Detalle'!$H240,F$9&gt;='Detalle'!$G240),1,"")</x:f>
      </x:c>
      <x:c r="G489" s="32" t="str">
        <x:f>IF(AND(G$8&lt;='Detalle'!$H240,G$9&gt;='Detalle'!$G240),1,"")</x:f>
      </x:c>
      <x:c r="H489" s="32" t="str">
        <x:f>IF(AND(H$8&lt;='Detalle'!$H240,H$9&gt;='Detalle'!$G240),1,"")</x:f>
      </x:c>
      <x:c r="I489" s="32" t="n">
        <x:f>IF(AND(I$8&lt;='Detalle'!$H240,I$9&gt;='Detalle'!$G240),1,"")</x:f>
        <x:v>1</x:v>
      </x:c>
      <x:c r="J489" s="32" t="str">
        <x:f>IF(AND(J$8&lt;='Detalle'!$H240,J$9&gt;='Detalle'!$G240),1,"")</x:f>
      </x:c>
      <x:c r="K489" s="32" t="str">
        <x:f>IF(AND(K$8&lt;='Detalle'!$H240,K$9&gt;='Detalle'!$G240),1,"")</x:f>
      </x:c>
      <x:c r="L489" s="32" t="str">
        <x:f>IF(AND(L$8&lt;='Detalle'!$H240,L$9&gt;='Detalle'!$G240),1,"")</x:f>
      </x:c>
      <x:c r="M489" s="32" t="str">
        <x:f>IF(AND(M$8&lt;='Detalle'!$H240,M$9&gt;='Detalle'!$G240),1,"")</x:f>
      </x:c>
      <x:c r="N489" s="32" t="str">
        <x:f>IF(AND(N$8&lt;='Detalle'!$H240,N$9&gt;='Detalle'!$G240),1,"")</x:f>
      </x:c>
      <x:c r="O489" s="32" t="str">
        <x:f>IF(AND(O$8&lt;='Detalle'!$H240,O$9&gt;='Detalle'!$G240),1,"")</x:f>
      </x:c>
      <x:c r="P489" s="32" t="str">
        <x:f>IF(AND(P$8&lt;='Detalle'!$H240,P$9&gt;='Detalle'!$G240),1,"")</x:f>
      </x:c>
      <x:c r="Q489" s="68"/>
      <x:c r="R489" s="67" t="str">
        <x:f>IF('Detalle'!M240="","",'Detalle'!M240)</x:f>
      </x:c>
      <x:c r="S489" s="67" t="str">
        <x:f>IF('Detalle'!N240="","",'Detalle'!N240)</x:f>
      </x:c>
    </x:row>
    <x:row r="490" ht="16" customHeight="1">
      <x:c r="A490" s="56" t="str">
        <x:v>PRO01.013</x:v>
      </x:c>
      <x:c r="B490" s="57" t="str">
        <x:v>Integrar lectura pública de avatar y portada</x:v>
      </x:c>
      <x:c r="C490" s="63" t="str">
        <x:v>R</x:v>
      </x:c>
      <x:c r="D490" s="65" t="str">
        <x:f>IF('Detalle'!L240="","",'Detalle'!L240)</x:f>
      </x:c>
      <x:c r="E490" s="60" t="str"/>
      <x:c r="F490" s="32" t="str">
        <x:f>IF(OR('Detalle'!$J240="",'Detalle'!$K240="",'Detalle'!$L240=""),"",IF(AND(F$8&lt;='Detalle'!$K240,F$9&gt;='Detalle'!$J240),1,""))</x:f>
      </x:c>
      <x:c r="G490" s="32" t="str">
        <x:f>IF(OR('Detalle'!$J240="",'Detalle'!$K240="",'Detalle'!$L240=""),"",IF(AND(G$8&lt;='Detalle'!$K240,G$9&gt;='Detalle'!$J240),1,""))</x:f>
      </x:c>
      <x:c r="H490" s="32" t="str">
        <x:f>IF(OR('Detalle'!$J240="",'Detalle'!$K240="",'Detalle'!$L240=""),"",IF(AND(H$8&lt;='Detalle'!$K240,H$9&gt;='Detalle'!$J240),1,""))</x:f>
      </x:c>
      <x:c r="I490" s="32" t="str">
        <x:f>IF(OR('Detalle'!$J240="",'Detalle'!$K240="",'Detalle'!$L240=""),"",IF(AND(I$8&lt;='Detalle'!$K240,I$9&gt;='Detalle'!$J240),1,""))</x:f>
      </x:c>
      <x:c r="J490" s="32" t="str">
        <x:f>IF(OR('Detalle'!$J240="",'Detalle'!$K240="",'Detalle'!$L240=""),"",IF(AND(J$8&lt;='Detalle'!$K240,J$9&gt;='Detalle'!$J240),1,""))</x:f>
      </x:c>
      <x:c r="K490" s="32" t="str">
        <x:f>IF(OR('Detalle'!$J240="",'Detalle'!$K240="",'Detalle'!$L240=""),"",IF(AND(K$8&lt;='Detalle'!$K240,K$9&gt;='Detalle'!$J240),1,""))</x:f>
      </x:c>
      <x:c r="L490" s="32" t="str">
        <x:f>IF(OR('Detalle'!$J240="",'Detalle'!$K240="",'Detalle'!$L240=""),"",IF(AND(L$8&lt;='Detalle'!$K240,L$9&gt;='Detalle'!$J240),1,""))</x:f>
      </x:c>
      <x:c r="M490" s="32" t="str">
        <x:f>IF(OR('Detalle'!$J240="",'Detalle'!$K240="",'Detalle'!$L240=""),"",IF(AND(M$8&lt;='Detalle'!$K240,M$9&gt;='Detalle'!$J240),1,""))</x:f>
      </x:c>
      <x:c r="N490" s="32" t="str">
        <x:f>IF(OR('Detalle'!$J240="",'Detalle'!$K240="",'Detalle'!$L240=""),"",IF(AND(N$8&lt;='Detalle'!$K240,N$9&gt;='Detalle'!$J240),1,""))</x:f>
      </x:c>
      <x:c r="O490" s="32" t="str">
        <x:f>IF(OR('Detalle'!$J240="",'Detalle'!$K240="",'Detalle'!$L240=""),"",IF(AND(O$8&lt;='Detalle'!$K240,O$9&gt;='Detalle'!$J240),1,""))</x:f>
      </x:c>
      <x:c r="P490" s="32" t="str">
        <x:f>IF(OR('Detalle'!$J240="",'Detalle'!$K240="",'Detalle'!$L240=""),"",IF(AND(P$8&lt;='Detalle'!$K240,P$9&gt;='Detalle'!$J240),1,""))</x:f>
      </x:c>
      <x:c r="Q490" s="68"/>
      <x:c r="R490" s="67" t="str"/>
      <x:c r="S490" s="67" t="str"/>
    </x:row>
    <x:row r="491" ht="16" customHeight="1">
      <x:c r="A491" s="56" t="str">
        <x:v>PRO01.014</x:v>
      </x:c>
      <x:c r="B491" s="57" t="str">
        <x:v>Desplegar migración 006</x:v>
      </x:c>
      <x:c r="C491" s="62" t="str">
        <x:v>E</x:v>
      </x:c>
      <x:c r="D491" s="64" t="n">
        <x:f>'Detalle'!I241</x:f>
        <x:v>1</x:v>
      </x:c>
      <x:c r="E491" s="60" t="str">
        <x:f>'Detalle'!F241</x:f>
        <x:v>Completado</x:v>
      </x:c>
      <x:c r="F491" s="32" t="str">
        <x:f>IF(AND(F$8&lt;='Detalle'!$H241,F$9&gt;='Detalle'!$G241),1,"")</x:f>
      </x:c>
      <x:c r="G491" s="32" t="str">
        <x:f>IF(AND(G$8&lt;='Detalle'!$H241,G$9&gt;='Detalle'!$G241),1,"")</x:f>
      </x:c>
      <x:c r="H491" s="32" t="str">
        <x:f>IF(AND(H$8&lt;='Detalle'!$H241,H$9&gt;='Detalle'!$G241),1,"")</x:f>
      </x:c>
      <x:c r="I491" s="32" t="n">
        <x:f>IF(AND(I$8&lt;='Detalle'!$H241,I$9&gt;='Detalle'!$G241),1,"")</x:f>
        <x:v>1</x:v>
      </x:c>
      <x:c r="J491" s="32" t="str">
        <x:f>IF(AND(J$8&lt;='Detalle'!$H241,J$9&gt;='Detalle'!$G241),1,"")</x:f>
      </x:c>
      <x:c r="K491" s="32" t="str">
        <x:f>IF(AND(K$8&lt;='Detalle'!$H241,K$9&gt;='Detalle'!$G241),1,"")</x:f>
      </x:c>
      <x:c r="L491" s="32" t="str">
        <x:f>IF(AND(L$8&lt;='Detalle'!$H241,L$9&gt;='Detalle'!$G241),1,"")</x:f>
      </x:c>
      <x:c r="M491" s="32" t="str">
        <x:f>IF(AND(M$8&lt;='Detalle'!$H241,M$9&gt;='Detalle'!$G241),1,"")</x:f>
      </x:c>
      <x:c r="N491" s="32" t="str">
        <x:f>IF(AND(N$8&lt;='Detalle'!$H241,N$9&gt;='Detalle'!$G241),1,"")</x:f>
      </x:c>
      <x:c r="O491" s="32" t="str">
        <x:f>IF(AND(O$8&lt;='Detalle'!$H241,O$9&gt;='Detalle'!$G241),1,"")</x:f>
      </x:c>
      <x:c r="P491" s="32" t="str">
        <x:f>IF(AND(P$8&lt;='Detalle'!$H241,P$9&gt;='Detalle'!$G241),1,"")</x:f>
      </x:c>
      <x:c r="Q491" s="68"/>
      <x:c r="R491" s="67" t="str">
        <x:f>IF('Detalle'!M241="","",'Detalle'!M241)</x:f>
      </x:c>
      <x:c r="S491" s="67" t="str">
        <x:f>IF('Detalle'!N241="","",'Detalle'!N241)</x:f>
      </x:c>
    </x:row>
    <x:row r="492" ht="16" customHeight="1">
      <x:c r="A492" s="56" t="str">
        <x:v>PRO01.014</x:v>
      </x:c>
      <x:c r="B492" s="57" t="str">
        <x:v>Desplegar migración 006</x:v>
      </x:c>
      <x:c r="C492" s="63" t="str">
        <x:v>R</x:v>
      </x:c>
      <x:c r="D492" s="65" t="str">
        <x:f>IF('Detalle'!L241="","",'Detalle'!L241)</x:f>
      </x:c>
      <x:c r="E492" s="60" t="str"/>
      <x:c r="F492" s="32" t="str">
        <x:f>IF(OR('Detalle'!$J241="",'Detalle'!$K241="",'Detalle'!$L241=""),"",IF(AND(F$8&lt;='Detalle'!$K241,F$9&gt;='Detalle'!$J241),1,""))</x:f>
      </x:c>
      <x:c r="G492" s="32" t="str">
        <x:f>IF(OR('Detalle'!$J241="",'Detalle'!$K241="",'Detalle'!$L241=""),"",IF(AND(G$8&lt;='Detalle'!$K241,G$9&gt;='Detalle'!$J241),1,""))</x:f>
      </x:c>
      <x:c r="H492" s="32" t="str">
        <x:f>IF(OR('Detalle'!$J241="",'Detalle'!$K241="",'Detalle'!$L241=""),"",IF(AND(H$8&lt;='Detalle'!$K241,H$9&gt;='Detalle'!$J241),1,""))</x:f>
      </x:c>
      <x:c r="I492" s="32" t="str">
        <x:f>IF(OR('Detalle'!$J241="",'Detalle'!$K241="",'Detalle'!$L241=""),"",IF(AND(I$8&lt;='Detalle'!$K241,I$9&gt;='Detalle'!$J241),1,""))</x:f>
      </x:c>
      <x:c r="J492" s="32" t="str">
        <x:f>IF(OR('Detalle'!$J241="",'Detalle'!$K241="",'Detalle'!$L241=""),"",IF(AND(J$8&lt;='Detalle'!$K241,J$9&gt;='Detalle'!$J241),1,""))</x:f>
      </x:c>
      <x:c r="K492" s="32" t="str">
        <x:f>IF(OR('Detalle'!$J241="",'Detalle'!$K241="",'Detalle'!$L241=""),"",IF(AND(K$8&lt;='Detalle'!$K241,K$9&gt;='Detalle'!$J241),1,""))</x:f>
      </x:c>
      <x:c r="L492" s="32" t="str">
        <x:f>IF(OR('Detalle'!$J241="",'Detalle'!$K241="",'Detalle'!$L241=""),"",IF(AND(L$8&lt;='Detalle'!$K241,L$9&gt;='Detalle'!$J241),1,""))</x:f>
      </x:c>
      <x:c r="M492" s="32" t="str">
        <x:f>IF(OR('Detalle'!$J241="",'Detalle'!$K241="",'Detalle'!$L241=""),"",IF(AND(M$8&lt;='Detalle'!$K241,M$9&gt;='Detalle'!$J241),1,""))</x:f>
      </x:c>
      <x:c r="N492" s="32" t="str">
        <x:f>IF(OR('Detalle'!$J241="",'Detalle'!$K241="",'Detalle'!$L241=""),"",IF(AND(N$8&lt;='Detalle'!$K241,N$9&gt;='Detalle'!$J241),1,""))</x:f>
      </x:c>
      <x:c r="O492" s="32" t="str">
        <x:f>IF(OR('Detalle'!$J241="",'Detalle'!$K241="",'Detalle'!$L241=""),"",IF(AND(O$8&lt;='Detalle'!$K241,O$9&gt;='Detalle'!$J241),1,""))</x:f>
      </x:c>
      <x:c r="P492" s="32" t="str">
        <x:f>IF(OR('Detalle'!$J241="",'Detalle'!$K241="",'Detalle'!$L241=""),"",IF(AND(P$8&lt;='Detalle'!$K241,P$9&gt;='Detalle'!$J241),1,""))</x:f>
      </x:c>
      <x:c r="Q492" s="68"/>
      <x:c r="R492" s="67" t="str"/>
      <x:c r="S492" s="67" t="str"/>
    </x:row>
    <x:row r="493" ht="16" customHeight="1">
      <x:c r="A493" s="56" t="str">
        <x:v>PRO01.015</x:v>
      </x:c>
      <x:c r="B493" s="57" t="str">
        <x:v>Actualizar limpieza de showcase-media</x:v>
      </x:c>
      <x:c r="C493" s="62" t="str">
        <x:v>E</x:v>
      </x:c>
      <x:c r="D493" s="64" t="n">
        <x:f>'Detalle'!I242</x:f>
        <x:v>1</x:v>
      </x:c>
      <x:c r="E493" s="60" t="str">
        <x:f>'Detalle'!F242</x:f>
        <x:v>Completado</x:v>
      </x:c>
      <x:c r="F493" s="32" t="str">
        <x:f>IF(AND(F$8&lt;='Detalle'!$H242,F$9&gt;='Detalle'!$G242),1,"")</x:f>
      </x:c>
      <x:c r="G493" s="32" t="str">
        <x:f>IF(AND(G$8&lt;='Detalle'!$H242,G$9&gt;='Detalle'!$G242),1,"")</x:f>
      </x:c>
      <x:c r="H493" s="32" t="str">
        <x:f>IF(AND(H$8&lt;='Detalle'!$H242,H$9&gt;='Detalle'!$G242),1,"")</x:f>
      </x:c>
      <x:c r="I493" s="32" t="n">
        <x:f>IF(AND(I$8&lt;='Detalle'!$H242,I$9&gt;='Detalle'!$G242),1,"")</x:f>
        <x:v>1</x:v>
      </x:c>
      <x:c r="J493" s="32" t="str">
        <x:f>IF(AND(J$8&lt;='Detalle'!$H242,J$9&gt;='Detalle'!$G242),1,"")</x:f>
      </x:c>
      <x:c r="K493" s="32" t="str">
        <x:f>IF(AND(K$8&lt;='Detalle'!$H242,K$9&gt;='Detalle'!$G242),1,"")</x:f>
      </x:c>
      <x:c r="L493" s="32" t="str">
        <x:f>IF(AND(L$8&lt;='Detalle'!$H242,L$9&gt;='Detalle'!$G242),1,"")</x:f>
      </x:c>
      <x:c r="M493" s="32" t="str">
        <x:f>IF(AND(M$8&lt;='Detalle'!$H242,M$9&gt;='Detalle'!$G242),1,"")</x:f>
      </x:c>
      <x:c r="N493" s="32" t="str">
        <x:f>IF(AND(N$8&lt;='Detalle'!$H242,N$9&gt;='Detalle'!$G242),1,"")</x:f>
      </x:c>
      <x:c r="O493" s="32" t="str">
        <x:f>IF(AND(O$8&lt;='Detalle'!$H242,O$9&gt;='Detalle'!$G242),1,"")</x:f>
      </x:c>
      <x:c r="P493" s="32" t="str">
        <x:f>IF(AND(P$8&lt;='Detalle'!$H242,P$9&gt;='Detalle'!$G242),1,"")</x:f>
      </x:c>
      <x:c r="Q493" s="68"/>
      <x:c r="R493" s="67" t="str">
        <x:f>IF('Detalle'!M242="","",'Detalle'!M242)</x:f>
      </x:c>
      <x:c r="S493" s="67" t="str">
        <x:f>IF('Detalle'!N242="","",'Detalle'!N242)</x:f>
      </x:c>
    </x:row>
    <x:row r="494" ht="16" customHeight="1">
      <x:c r="A494" s="56" t="str">
        <x:v>PRO01.015</x:v>
      </x:c>
      <x:c r="B494" s="57" t="str">
        <x:v>Actualizar limpieza de showcase-media</x:v>
      </x:c>
      <x:c r="C494" s="63" t="str">
        <x:v>R</x:v>
      </x:c>
      <x:c r="D494" s="65" t="str">
        <x:f>IF('Detalle'!L242="","",'Detalle'!L242)</x:f>
      </x:c>
      <x:c r="E494" s="60" t="str"/>
      <x:c r="F494" s="32" t="str">
        <x:f>IF(OR('Detalle'!$J242="",'Detalle'!$K242="",'Detalle'!$L242=""),"",IF(AND(F$8&lt;='Detalle'!$K242,F$9&gt;='Detalle'!$J242),1,""))</x:f>
      </x:c>
      <x:c r="G494" s="32" t="str">
        <x:f>IF(OR('Detalle'!$J242="",'Detalle'!$K242="",'Detalle'!$L242=""),"",IF(AND(G$8&lt;='Detalle'!$K242,G$9&gt;='Detalle'!$J242),1,""))</x:f>
      </x:c>
      <x:c r="H494" s="32" t="str">
        <x:f>IF(OR('Detalle'!$J242="",'Detalle'!$K242="",'Detalle'!$L242=""),"",IF(AND(H$8&lt;='Detalle'!$K242,H$9&gt;='Detalle'!$J242),1,""))</x:f>
      </x:c>
      <x:c r="I494" s="32" t="str">
        <x:f>IF(OR('Detalle'!$J242="",'Detalle'!$K242="",'Detalle'!$L242=""),"",IF(AND(I$8&lt;='Detalle'!$K242,I$9&gt;='Detalle'!$J242),1,""))</x:f>
      </x:c>
      <x:c r="J494" s="32" t="str">
        <x:f>IF(OR('Detalle'!$J242="",'Detalle'!$K242="",'Detalle'!$L242=""),"",IF(AND(J$8&lt;='Detalle'!$K242,J$9&gt;='Detalle'!$J242),1,""))</x:f>
      </x:c>
      <x:c r="K494" s="32" t="str">
        <x:f>IF(OR('Detalle'!$J242="",'Detalle'!$K242="",'Detalle'!$L242=""),"",IF(AND(K$8&lt;='Detalle'!$K242,K$9&gt;='Detalle'!$J242),1,""))</x:f>
      </x:c>
      <x:c r="L494" s="32" t="str">
        <x:f>IF(OR('Detalle'!$J242="",'Detalle'!$K242="",'Detalle'!$L242=""),"",IF(AND(L$8&lt;='Detalle'!$K242,L$9&gt;='Detalle'!$J242),1,""))</x:f>
      </x:c>
      <x:c r="M494" s="32" t="str">
        <x:f>IF(OR('Detalle'!$J242="",'Detalle'!$K242="",'Detalle'!$L242=""),"",IF(AND(M$8&lt;='Detalle'!$K242,M$9&gt;='Detalle'!$J242),1,""))</x:f>
      </x:c>
      <x:c r="N494" s="32" t="str">
        <x:f>IF(OR('Detalle'!$J242="",'Detalle'!$K242="",'Detalle'!$L242=""),"",IF(AND(N$8&lt;='Detalle'!$K242,N$9&gt;='Detalle'!$J242),1,""))</x:f>
      </x:c>
      <x:c r="O494" s="32" t="str">
        <x:f>IF(OR('Detalle'!$J242="",'Detalle'!$K242="",'Detalle'!$L242=""),"",IF(AND(O$8&lt;='Detalle'!$K242,O$9&gt;='Detalle'!$J242),1,""))</x:f>
      </x:c>
      <x:c r="P494" s="32" t="str">
        <x:f>IF(OR('Detalle'!$J242="",'Detalle'!$K242="",'Detalle'!$L242=""),"",IF(AND(P$8&lt;='Detalle'!$K242,P$9&gt;='Detalle'!$J242),1,""))</x:f>
      </x:c>
      <x:c r="Q494" s="68"/>
      <x:c r="R494" s="67" t="str"/>
      <x:c r="S494" s="67" t="str"/>
    </x:row>
    <x:row r="495" ht="16" customHeight="1">
      <x:c r="A495" s="56" t="str">
        <x:v>PRO01.016</x:v>
      </x:c>
      <x:c r="B495" s="57" t="str">
        <x:v>Verificar perfiles y fichas</x:v>
      </x:c>
      <x:c r="C495" s="62" t="str">
        <x:v>E</x:v>
      </x:c>
      <x:c r="D495" s="64" t="n">
        <x:f>'Detalle'!I243</x:f>
        <x:v>1</x:v>
      </x:c>
      <x:c r="E495" s="60" t="str">
        <x:f>'Detalle'!F243</x:f>
        <x:v>Completado</x:v>
      </x:c>
      <x:c r="F495" s="32" t="str">
        <x:f>IF(AND(F$8&lt;='Detalle'!$H243,F$9&gt;='Detalle'!$G243),1,"")</x:f>
      </x:c>
      <x:c r="G495" s="32" t="str">
        <x:f>IF(AND(G$8&lt;='Detalle'!$H243,G$9&gt;='Detalle'!$G243),1,"")</x:f>
      </x:c>
      <x:c r="H495" s="32" t="str">
        <x:f>IF(AND(H$8&lt;='Detalle'!$H243,H$9&gt;='Detalle'!$G243),1,"")</x:f>
      </x:c>
      <x:c r="I495" s="32" t="n">
        <x:f>IF(AND(I$8&lt;='Detalle'!$H243,I$9&gt;='Detalle'!$G243),1,"")</x:f>
        <x:v>1</x:v>
      </x:c>
      <x:c r="J495" s="32" t="str">
        <x:f>IF(AND(J$8&lt;='Detalle'!$H243,J$9&gt;='Detalle'!$G243),1,"")</x:f>
      </x:c>
      <x:c r="K495" s="32" t="str">
        <x:f>IF(AND(K$8&lt;='Detalle'!$H243,K$9&gt;='Detalle'!$G243),1,"")</x:f>
      </x:c>
      <x:c r="L495" s="32" t="str">
        <x:f>IF(AND(L$8&lt;='Detalle'!$H243,L$9&gt;='Detalle'!$G243),1,"")</x:f>
      </x:c>
      <x:c r="M495" s="32" t="str">
        <x:f>IF(AND(M$8&lt;='Detalle'!$H243,M$9&gt;='Detalle'!$G243),1,"")</x:f>
      </x:c>
      <x:c r="N495" s="32" t="str">
        <x:f>IF(AND(N$8&lt;='Detalle'!$H243,N$9&gt;='Detalle'!$G243),1,"")</x:f>
      </x:c>
      <x:c r="O495" s="32" t="str">
        <x:f>IF(AND(O$8&lt;='Detalle'!$H243,O$9&gt;='Detalle'!$G243),1,"")</x:f>
      </x:c>
      <x:c r="P495" s="32" t="str">
        <x:f>IF(AND(P$8&lt;='Detalle'!$H243,P$9&gt;='Detalle'!$G243),1,"")</x:f>
      </x:c>
      <x:c r="Q495" s="68"/>
      <x:c r="R495" s="67" t="str">
        <x:f>IF('Detalle'!M243="","",'Detalle'!M243)</x:f>
      </x:c>
      <x:c r="S495" s="67" t="str">
        <x:f>IF('Detalle'!N243="","",'Detalle'!N243)</x:f>
      </x:c>
    </x:row>
    <x:row r="496" ht="16" customHeight="1">
      <x:c r="A496" s="56" t="str">
        <x:v>PRO01.016</x:v>
      </x:c>
      <x:c r="B496" s="57" t="str">
        <x:v>Verificar perfiles y fichas</x:v>
      </x:c>
      <x:c r="C496" s="63" t="str">
        <x:v>R</x:v>
      </x:c>
      <x:c r="D496" s="65" t="str">
        <x:f>IF('Detalle'!L243="","",'Detalle'!L243)</x:f>
      </x:c>
      <x:c r="E496" s="60" t="str"/>
      <x:c r="F496" s="32" t="str">
        <x:f>IF(OR('Detalle'!$J243="",'Detalle'!$K243="",'Detalle'!$L243=""),"",IF(AND(F$8&lt;='Detalle'!$K243,F$9&gt;='Detalle'!$J243),1,""))</x:f>
      </x:c>
      <x:c r="G496" s="32" t="str">
        <x:f>IF(OR('Detalle'!$J243="",'Detalle'!$K243="",'Detalle'!$L243=""),"",IF(AND(G$8&lt;='Detalle'!$K243,G$9&gt;='Detalle'!$J243),1,""))</x:f>
      </x:c>
      <x:c r="H496" s="32" t="str">
        <x:f>IF(OR('Detalle'!$J243="",'Detalle'!$K243="",'Detalle'!$L243=""),"",IF(AND(H$8&lt;='Detalle'!$K243,H$9&gt;='Detalle'!$J243),1,""))</x:f>
      </x:c>
      <x:c r="I496" s="32" t="str">
        <x:f>IF(OR('Detalle'!$J243="",'Detalle'!$K243="",'Detalle'!$L243=""),"",IF(AND(I$8&lt;='Detalle'!$K243,I$9&gt;='Detalle'!$J243),1,""))</x:f>
      </x:c>
      <x:c r="J496" s="32" t="str">
        <x:f>IF(OR('Detalle'!$J243="",'Detalle'!$K243="",'Detalle'!$L243=""),"",IF(AND(J$8&lt;='Detalle'!$K243,J$9&gt;='Detalle'!$J243),1,""))</x:f>
      </x:c>
      <x:c r="K496" s="32" t="str">
        <x:f>IF(OR('Detalle'!$J243="",'Detalle'!$K243="",'Detalle'!$L243=""),"",IF(AND(K$8&lt;='Detalle'!$K243,K$9&gt;='Detalle'!$J243),1,""))</x:f>
      </x:c>
      <x:c r="L496" s="32" t="str">
        <x:f>IF(OR('Detalle'!$J243="",'Detalle'!$K243="",'Detalle'!$L243=""),"",IF(AND(L$8&lt;='Detalle'!$K243,L$9&gt;='Detalle'!$J243),1,""))</x:f>
      </x:c>
      <x:c r="M496" s="32" t="str">
        <x:f>IF(OR('Detalle'!$J243="",'Detalle'!$K243="",'Detalle'!$L243=""),"",IF(AND(M$8&lt;='Detalle'!$K243,M$9&gt;='Detalle'!$J243),1,""))</x:f>
      </x:c>
      <x:c r="N496" s="32" t="str">
        <x:f>IF(OR('Detalle'!$J243="",'Detalle'!$K243="",'Detalle'!$L243=""),"",IF(AND(N$8&lt;='Detalle'!$K243,N$9&gt;='Detalle'!$J243),1,""))</x:f>
      </x:c>
      <x:c r="O496" s="32" t="str">
        <x:f>IF(OR('Detalle'!$J243="",'Detalle'!$K243="",'Detalle'!$L243=""),"",IF(AND(O$8&lt;='Detalle'!$K243,O$9&gt;='Detalle'!$J243),1,""))</x:f>
      </x:c>
      <x:c r="P496" s="32" t="str">
        <x:f>IF(OR('Detalle'!$J243="",'Detalle'!$K243="",'Detalle'!$L243=""),"",IF(AND(P$8&lt;='Detalle'!$K243,P$9&gt;='Detalle'!$J243),1,""))</x:f>
      </x:c>
      <x:c r="Q496" s="68"/>
      <x:c r="R496" s="67" t="str"/>
      <x:c r="S496" s="67" t="str"/>
    </x:row>
    <x:row r="497" ht="20" customHeight="1">
      <x:c r="A497" s="52" t="str">
        <x:v>PRO02 · Fichas de portafolio, catálogo y servicios</x:v>
      </x:c>
      <x:c r="B497" s="52" t="str">
        <x:v>PRO02 · Fichas de portafolio, catálogo y servicios</x:v>
      </x:c>
      <x:c r="C497" s="52" t="str">
        <x:v>PRO02 · Fichas de portafolio, catálogo y servicios</x:v>
      </x:c>
      <x:c r="D497" s="52" t="str">
        <x:v>PRO02 · Fichas de portafolio, catálogo y servicios</x:v>
      </x:c>
      <x:c r="E497" s="52" t="str">
        <x:v>PRO02 · Fichas de portafolio, catálogo y servicios</x:v>
      </x:c>
      <x:c r="F497" s="53" t="str">
        <x:v>PRO02 · Fichas de portafolio, catálogo y servicios</x:v>
      </x:c>
      <x:c r="G497" s="53" t="str">
        <x:v>PRO02 · Fichas de portafolio, catálogo y servicios</x:v>
      </x:c>
      <x:c r="H497" s="53" t="str">
        <x:v>PRO02 · Fichas de portafolio, catálogo y servicios</x:v>
      </x:c>
      <x:c r="I497" s="53" t="str">
        <x:v>PRO02 · Fichas de portafolio, catálogo y servicios</x:v>
      </x:c>
      <x:c r="J497" s="53" t="str">
        <x:v>PRO02 · Fichas de portafolio, catálogo y servicios</x:v>
      </x:c>
      <x:c r="K497" s="53" t="str">
        <x:v>PRO02 · Fichas de portafolio, catálogo y servicios</x:v>
      </x:c>
      <x:c r="L497" s="53" t="str">
        <x:v>PRO02 · Fichas de portafolio, catálogo y servicios</x:v>
      </x:c>
      <x:c r="M497" s="53" t="str">
        <x:v>PRO02 · Fichas de portafolio, catálogo y servicios</x:v>
      </x:c>
      <x:c r="N497" s="53" t="str">
        <x:v>PRO02 · Fichas de portafolio, catálogo y servicios</x:v>
      </x:c>
      <x:c r="O497" s="53" t="str">
        <x:v>PRO02 · Fichas de portafolio, catálogo y servicios</x:v>
      </x:c>
      <x:c r="P497" s="53" t="str">
        <x:v>PRO02 · Fichas de portafolio, catálogo y servicios</x:v>
      </x:c>
      <x:c r="Q497" s="52" t="str">
        <x:v>PRO02 · Fichas de portafolio, catálogo y servicios</x:v>
      </x:c>
      <x:c r="R497" s="52" t="str">
        <x:v>PRO02 · Fichas de portafolio, catálogo y servicios</x:v>
      </x:c>
      <x:c r="S497" s="52" t="str">
        <x:v>PRO02 · Fichas de portafolio, catálogo y servicios</x:v>
      </x:c>
    </x:row>
    <x:row r="498" ht="16" customHeight="1">
      <x:c r="A498" s="56" t="str">
        <x:v>PRO02.001</x:v>
      </x:c>
      <x:c r="B498" s="57" t="str">
        <x:v>Crear modelo de ficha profesional</x:v>
      </x:c>
      <x:c r="C498" s="62" t="str">
        <x:v>E</x:v>
      </x:c>
      <x:c r="D498" s="64" t="n">
        <x:f>'Detalle'!I244</x:f>
        <x:v>1</x:v>
      </x:c>
      <x:c r="E498" s="60" t="str">
        <x:f>'Detalle'!F244</x:f>
        <x:v>Completado</x:v>
      </x:c>
      <x:c r="F498" s="32" t="str">
        <x:f>IF(AND(F$8&lt;='Detalle'!$H244,F$9&gt;='Detalle'!$G244),1,"")</x:f>
      </x:c>
      <x:c r="G498" s="32" t="str">
        <x:f>IF(AND(G$8&lt;='Detalle'!$H244,G$9&gt;='Detalle'!$G244),1,"")</x:f>
      </x:c>
      <x:c r="H498" s="32" t="str">
        <x:f>IF(AND(H$8&lt;='Detalle'!$H244,H$9&gt;='Detalle'!$G244),1,"")</x:f>
      </x:c>
      <x:c r="I498" s="32" t="n">
        <x:f>IF(AND(I$8&lt;='Detalle'!$H244,I$9&gt;='Detalle'!$G244),1,"")</x:f>
        <x:v>1</x:v>
      </x:c>
      <x:c r="J498" s="32" t="str">
        <x:f>IF(AND(J$8&lt;='Detalle'!$H244,J$9&gt;='Detalle'!$G244),1,"")</x:f>
      </x:c>
      <x:c r="K498" s="32" t="str">
        <x:f>IF(AND(K$8&lt;='Detalle'!$H244,K$9&gt;='Detalle'!$G244),1,"")</x:f>
      </x:c>
      <x:c r="L498" s="32" t="str">
        <x:f>IF(AND(L$8&lt;='Detalle'!$H244,L$9&gt;='Detalle'!$G244),1,"")</x:f>
      </x:c>
      <x:c r="M498" s="32" t="str">
        <x:f>IF(AND(M$8&lt;='Detalle'!$H244,M$9&gt;='Detalle'!$G244),1,"")</x:f>
      </x:c>
      <x:c r="N498" s="32" t="str">
        <x:f>IF(AND(N$8&lt;='Detalle'!$H244,N$9&gt;='Detalle'!$G244),1,"")</x:f>
      </x:c>
      <x:c r="O498" s="32" t="str">
        <x:f>IF(AND(O$8&lt;='Detalle'!$H244,O$9&gt;='Detalle'!$G244),1,"")</x:f>
      </x:c>
      <x:c r="P498" s="32" t="str">
        <x:f>IF(AND(P$8&lt;='Detalle'!$H244,P$9&gt;='Detalle'!$G244),1,"")</x:f>
      </x:c>
      <x:c r="Q498" s="68"/>
      <x:c r="R498" s="67" t="str">
        <x:f>IF('Detalle'!M244="","",'Detalle'!M244)</x:f>
      </x:c>
      <x:c r="S498" s="67" t="str">
        <x:f>IF('Detalle'!N244="","",'Detalle'!N244)</x:f>
      </x:c>
    </x:row>
    <x:row r="499" ht="16" customHeight="1">
      <x:c r="A499" s="56" t="str">
        <x:v>PRO02.001</x:v>
      </x:c>
      <x:c r="B499" s="57" t="str">
        <x:v>Crear modelo de ficha profesional</x:v>
      </x:c>
      <x:c r="C499" s="63" t="str">
        <x:v>R</x:v>
      </x:c>
      <x:c r="D499" s="65" t="str">
        <x:f>IF('Detalle'!L244="","",'Detalle'!L244)</x:f>
      </x:c>
      <x:c r="E499" s="60" t="str"/>
      <x:c r="F499" s="32" t="str">
        <x:f>IF(OR('Detalle'!$J244="",'Detalle'!$K244="",'Detalle'!$L244=""),"",IF(AND(F$8&lt;='Detalle'!$K244,F$9&gt;='Detalle'!$J244),1,""))</x:f>
      </x:c>
      <x:c r="G499" s="32" t="str">
        <x:f>IF(OR('Detalle'!$J244="",'Detalle'!$K244="",'Detalle'!$L244=""),"",IF(AND(G$8&lt;='Detalle'!$K244,G$9&gt;='Detalle'!$J244),1,""))</x:f>
      </x:c>
      <x:c r="H499" s="32" t="str">
        <x:f>IF(OR('Detalle'!$J244="",'Detalle'!$K244="",'Detalle'!$L244=""),"",IF(AND(H$8&lt;='Detalle'!$K244,H$9&gt;='Detalle'!$J244),1,""))</x:f>
      </x:c>
      <x:c r="I499" s="32" t="str">
        <x:f>IF(OR('Detalle'!$J244="",'Detalle'!$K244="",'Detalle'!$L244=""),"",IF(AND(I$8&lt;='Detalle'!$K244,I$9&gt;='Detalle'!$J244),1,""))</x:f>
      </x:c>
      <x:c r="J499" s="32" t="str">
        <x:f>IF(OR('Detalle'!$J244="",'Detalle'!$K244="",'Detalle'!$L244=""),"",IF(AND(J$8&lt;='Detalle'!$K244,J$9&gt;='Detalle'!$J244),1,""))</x:f>
      </x:c>
      <x:c r="K499" s="32" t="str">
        <x:f>IF(OR('Detalle'!$J244="",'Detalle'!$K244="",'Detalle'!$L244=""),"",IF(AND(K$8&lt;='Detalle'!$K244,K$9&gt;='Detalle'!$J244),1,""))</x:f>
      </x:c>
      <x:c r="L499" s="32" t="str">
        <x:f>IF(OR('Detalle'!$J244="",'Detalle'!$K244="",'Detalle'!$L244=""),"",IF(AND(L$8&lt;='Detalle'!$K244,L$9&gt;='Detalle'!$J244),1,""))</x:f>
      </x:c>
      <x:c r="M499" s="32" t="str">
        <x:f>IF(OR('Detalle'!$J244="",'Detalle'!$K244="",'Detalle'!$L244=""),"",IF(AND(M$8&lt;='Detalle'!$K244,M$9&gt;='Detalle'!$J244),1,""))</x:f>
      </x:c>
      <x:c r="N499" s="32" t="str">
        <x:f>IF(OR('Detalle'!$J244="",'Detalle'!$K244="",'Detalle'!$L244=""),"",IF(AND(N$8&lt;='Detalle'!$K244,N$9&gt;='Detalle'!$J244),1,""))</x:f>
      </x:c>
      <x:c r="O499" s="32" t="str">
        <x:f>IF(OR('Detalle'!$J244="",'Detalle'!$K244="",'Detalle'!$L244=""),"",IF(AND(O$8&lt;='Detalle'!$K244,O$9&gt;='Detalle'!$J244),1,""))</x:f>
      </x:c>
      <x:c r="P499" s="32" t="str">
        <x:f>IF(OR('Detalle'!$J244="",'Detalle'!$K244="",'Detalle'!$L244=""),"",IF(AND(P$8&lt;='Detalle'!$K244,P$9&gt;='Detalle'!$J244),1,""))</x:f>
      </x:c>
      <x:c r="Q499" s="68"/>
      <x:c r="R499" s="67" t="str"/>
      <x:c r="S499" s="67" t="str"/>
    </x:row>
    <x:row r="500" ht="16" customHeight="1">
      <x:c r="A500" s="56" t="str">
        <x:v>PRO02.002</x:v>
      </x:c>
      <x:c r="B500" s="57" t="str">
        <x:v>Crear repositorio de showcase</x:v>
      </x:c>
      <x:c r="C500" s="62" t="str">
        <x:v>E</x:v>
      </x:c>
      <x:c r="D500" s="64" t="n">
        <x:f>'Detalle'!I245</x:f>
        <x:v>1</x:v>
      </x:c>
      <x:c r="E500" s="60" t="str">
        <x:f>'Detalle'!F245</x:f>
        <x:v>Completado</x:v>
      </x:c>
      <x:c r="F500" s="32" t="str">
        <x:f>IF(AND(F$8&lt;='Detalle'!$H245,F$9&gt;='Detalle'!$G245),1,"")</x:f>
      </x:c>
      <x:c r="G500" s="32" t="str">
        <x:f>IF(AND(G$8&lt;='Detalle'!$H245,G$9&gt;='Detalle'!$G245),1,"")</x:f>
      </x:c>
      <x:c r="H500" s="32" t="str">
        <x:f>IF(AND(H$8&lt;='Detalle'!$H245,H$9&gt;='Detalle'!$G245),1,"")</x:f>
      </x:c>
      <x:c r="I500" s="32" t="n">
        <x:f>IF(AND(I$8&lt;='Detalle'!$H245,I$9&gt;='Detalle'!$G245),1,"")</x:f>
        <x:v>1</x:v>
      </x:c>
      <x:c r="J500" s="32" t="str">
        <x:f>IF(AND(J$8&lt;='Detalle'!$H245,J$9&gt;='Detalle'!$G245),1,"")</x:f>
      </x:c>
      <x:c r="K500" s="32" t="str">
        <x:f>IF(AND(K$8&lt;='Detalle'!$H245,K$9&gt;='Detalle'!$G245),1,"")</x:f>
      </x:c>
      <x:c r="L500" s="32" t="str">
        <x:f>IF(AND(L$8&lt;='Detalle'!$H245,L$9&gt;='Detalle'!$G245),1,"")</x:f>
      </x:c>
      <x:c r="M500" s="32" t="str">
        <x:f>IF(AND(M$8&lt;='Detalle'!$H245,M$9&gt;='Detalle'!$G245),1,"")</x:f>
      </x:c>
      <x:c r="N500" s="32" t="str">
        <x:f>IF(AND(N$8&lt;='Detalle'!$H245,N$9&gt;='Detalle'!$G245),1,"")</x:f>
      </x:c>
      <x:c r="O500" s="32" t="str">
        <x:f>IF(AND(O$8&lt;='Detalle'!$H245,O$9&gt;='Detalle'!$G245),1,"")</x:f>
      </x:c>
      <x:c r="P500" s="32" t="str">
        <x:f>IF(AND(P$8&lt;='Detalle'!$H245,P$9&gt;='Detalle'!$G245),1,"")</x:f>
      </x:c>
      <x:c r="Q500" s="68"/>
      <x:c r="R500" s="67" t="str">
        <x:f>IF('Detalle'!M245="","",'Detalle'!M245)</x:f>
      </x:c>
      <x:c r="S500" s="67" t="str">
        <x:f>IF('Detalle'!N245="","",'Detalle'!N245)</x:f>
      </x:c>
    </x:row>
    <x:row r="501" ht="16" customHeight="1">
      <x:c r="A501" s="56" t="str">
        <x:v>PRO02.002</x:v>
      </x:c>
      <x:c r="B501" s="57" t="str">
        <x:v>Crear repositorio de showcase</x:v>
      </x:c>
      <x:c r="C501" s="63" t="str">
        <x:v>R</x:v>
      </x:c>
      <x:c r="D501" s="65" t="str">
        <x:f>IF('Detalle'!L245="","",'Detalle'!L245)</x:f>
      </x:c>
      <x:c r="E501" s="60" t="str"/>
      <x:c r="F501" s="32" t="str">
        <x:f>IF(OR('Detalle'!$J245="",'Detalle'!$K245="",'Detalle'!$L245=""),"",IF(AND(F$8&lt;='Detalle'!$K245,F$9&gt;='Detalle'!$J245),1,""))</x:f>
      </x:c>
      <x:c r="G501" s="32" t="str">
        <x:f>IF(OR('Detalle'!$J245="",'Detalle'!$K245="",'Detalle'!$L245=""),"",IF(AND(G$8&lt;='Detalle'!$K245,G$9&gt;='Detalle'!$J245),1,""))</x:f>
      </x:c>
      <x:c r="H501" s="32" t="str">
        <x:f>IF(OR('Detalle'!$J245="",'Detalle'!$K245="",'Detalle'!$L245=""),"",IF(AND(H$8&lt;='Detalle'!$K245,H$9&gt;='Detalle'!$J245),1,""))</x:f>
      </x:c>
      <x:c r="I501" s="32" t="str">
        <x:f>IF(OR('Detalle'!$J245="",'Detalle'!$K245="",'Detalle'!$L245=""),"",IF(AND(I$8&lt;='Detalle'!$K245,I$9&gt;='Detalle'!$J245),1,""))</x:f>
      </x:c>
      <x:c r="J501" s="32" t="str">
        <x:f>IF(OR('Detalle'!$J245="",'Detalle'!$K245="",'Detalle'!$L245=""),"",IF(AND(J$8&lt;='Detalle'!$K245,J$9&gt;='Detalle'!$J245),1,""))</x:f>
      </x:c>
      <x:c r="K501" s="32" t="str">
        <x:f>IF(OR('Detalle'!$J245="",'Detalle'!$K245="",'Detalle'!$L245=""),"",IF(AND(K$8&lt;='Detalle'!$K245,K$9&gt;='Detalle'!$J245),1,""))</x:f>
      </x:c>
      <x:c r="L501" s="32" t="str">
        <x:f>IF(OR('Detalle'!$J245="",'Detalle'!$K245="",'Detalle'!$L245=""),"",IF(AND(L$8&lt;='Detalle'!$K245,L$9&gt;='Detalle'!$J245),1,""))</x:f>
      </x:c>
      <x:c r="M501" s="32" t="str">
        <x:f>IF(OR('Detalle'!$J245="",'Detalle'!$K245="",'Detalle'!$L245=""),"",IF(AND(M$8&lt;='Detalle'!$K245,M$9&gt;='Detalle'!$J245),1,""))</x:f>
      </x:c>
      <x:c r="N501" s="32" t="str">
        <x:f>IF(OR('Detalle'!$J245="",'Detalle'!$K245="",'Detalle'!$L245=""),"",IF(AND(N$8&lt;='Detalle'!$K245,N$9&gt;='Detalle'!$J245),1,""))</x:f>
      </x:c>
      <x:c r="O501" s="32" t="str">
        <x:f>IF(OR('Detalle'!$J245="",'Detalle'!$K245="",'Detalle'!$L245=""),"",IF(AND(O$8&lt;='Detalle'!$K245,O$9&gt;='Detalle'!$J245),1,""))</x:f>
      </x:c>
      <x:c r="P501" s="32" t="str">
        <x:f>IF(OR('Detalle'!$J245="",'Detalle'!$K245="",'Detalle'!$L245=""),"",IF(AND(P$8&lt;='Detalle'!$K245,P$9&gt;='Detalle'!$J245),1,""))</x:f>
      </x:c>
      <x:c r="Q501" s="68"/>
      <x:c r="R501" s="67" t="str"/>
      <x:c r="S501" s="67" t="str"/>
    </x:row>
    <x:row r="502" ht="16" customHeight="1">
      <x:c r="A502" s="56" t="str">
        <x:v>PRO02.003</x:v>
      </x:c>
      <x:c r="B502" s="57" t="str">
        <x:v>Crear compositor de obra o proyecto</x:v>
      </x:c>
      <x:c r="C502" s="62" t="str">
        <x:v>E</x:v>
      </x:c>
      <x:c r="D502" s="64" t="n">
        <x:f>'Detalle'!I246</x:f>
        <x:v>1</x:v>
      </x:c>
      <x:c r="E502" s="60" t="str">
        <x:f>'Detalle'!F246</x:f>
        <x:v>Completado</x:v>
      </x:c>
      <x:c r="F502" s="32" t="str">
        <x:f>IF(AND(F$8&lt;='Detalle'!$H246,F$9&gt;='Detalle'!$G246),1,"")</x:f>
      </x:c>
      <x:c r="G502" s="32" t="str">
        <x:f>IF(AND(G$8&lt;='Detalle'!$H246,G$9&gt;='Detalle'!$G246),1,"")</x:f>
      </x:c>
      <x:c r="H502" s="32" t="str">
        <x:f>IF(AND(H$8&lt;='Detalle'!$H246,H$9&gt;='Detalle'!$G246),1,"")</x:f>
      </x:c>
      <x:c r="I502" s="32" t="n">
        <x:f>IF(AND(I$8&lt;='Detalle'!$H246,I$9&gt;='Detalle'!$G246),1,"")</x:f>
        <x:v>1</x:v>
      </x:c>
      <x:c r="J502" s="32" t="str">
        <x:f>IF(AND(J$8&lt;='Detalle'!$H246,J$9&gt;='Detalle'!$G246),1,"")</x:f>
      </x:c>
      <x:c r="K502" s="32" t="str">
        <x:f>IF(AND(K$8&lt;='Detalle'!$H246,K$9&gt;='Detalle'!$G246),1,"")</x:f>
      </x:c>
      <x:c r="L502" s="32" t="str">
        <x:f>IF(AND(L$8&lt;='Detalle'!$H246,L$9&gt;='Detalle'!$G246),1,"")</x:f>
      </x:c>
      <x:c r="M502" s="32" t="str">
        <x:f>IF(AND(M$8&lt;='Detalle'!$H246,M$9&gt;='Detalle'!$G246),1,"")</x:f>
      </x:c>
      <x:c r="N502" s="32" t="str">
        <x:f>IF(AND(N$8&lt;='Detalle'!$H246,N$9&gt;='Detalle'!$G246),1,"")</x:f>
      </x:c>
      <x:c r="O502" s="32" t="str">
        <x:f>IF(AND(O$8&lt;='Detalle'!$H246,O$9&gt;='Detalle'!$G246),1,"")</x:f>
      </x:c>
      <x:c r="P502" s="32" t="str">
        <x:f>IF(AND(P$8&lt;='Detalle'!$H246,P$9&gt;='Detalle'!$G246),1,"")</x:f>
      </x:c>
      <x:c r="Q502" s="68"/>
      <x:c r="R502" s="67" t="str">
        <x:f>IF('Detalle'!M246="","",'Detalle'!M246)</x:f>
      </x:c>
      <x:c r="S502" s="67" t="str">
        <x:f>IF('Detalle'!N246="","",'Detalle'!N246)</x:f>
      </x:c>
    </x:row>
    <x:row r="503" ht="16" customHeight="1">
      <x:c r="A503" s="56" t="str">
        <x:v>PRO02.003</x:v>
      </x:c>
      <x:c r="B503" s="57" t="str">
        <x:v>Crear compositor de obra o proyecto</x:v>
      </x:c>
      <x:c r="C503" s="63" t="str">
        <x:v>R</x:v>
      </x:c>
      <x:c r="D503" s="65" t="str">
        <x:f>IF('Detalle'!L246="","",'Detalle'!L246)</x:f>
      </x:c>
      <x:c r="E503" s="60" t="str"/>
      <x:c r="F503" s="32" t="str">
        <x:f>IF(OR('Detalle'!$J246="",'Detalle'!$K246="",'Detalle'!$L246=""),"",IF(AND(F$8&lt;='Detalle'!$K246,F$9&gt;='Detalle'!$J246),1,""))</x:f>
      </x:c>
      <x:c r="G503" s="32" t="str">
        <x:f>IF(OR('Detalle'!$J246="",'Detalle'!$K246="",'Detalle'!$L246=""),"",IF(AND(G$8&lt;='Detalle'!$K246,G$9&gt;='Detalle'!$J246),1,""))</x:f>
      </x:c>
      <x:c r="H503" s="32" t="str">
        <x:f>IF(OR('Detalle'!$J246="",'Detalle'!$K246="",'Detalle'!$L246=""),"",IF(AND(H$8&lt;='Detalle'!$K246,H$9&gt;='Detalle'!$J246),1,""))</x:f>
      </x:c>
      <x:c r="I503" s="32" t="str">
        <x:f>IF(OR('Detalle'!$J246="",'Detalle'!$K246="",'Detalle'!$L246=""),"",IF(AND(I$8&lt;='Detalle'!$K246,I$9&gt;='Detalle'!$J246),1,""))</x:f>
      </x:c>
      <x:c r="J503" s="32" t="str">
        <x:f>IF(OR('Detalle'!$J246="",'Detalle'!$K246="",'Detalle'!$L246=""),"",IF(AND(J$8&lt;='Detalle'!$K246,J$9&gt;='Detalle'!$J246),1,""))</x:f>
      </x:c>
      <x:c r="K503" s="32" t="str">
        <x:f>IF(OR('Detalle'!$J246="",'Detalle'!$K246="",'Detalle'!$L246=""),"",IF(AND(K$8&lt;='Detalle'!$K246,K$9&gt;='Detalle'!$J246),1,""))</x:f>
      </x:c>
      <x:c r="L503" s="32" t="str">
        <x:f>IF(OR('Detalle'!$J246="",'Detalle'!$K246="",'Detalle'!$L246=""),"",IF(AND(L$8&lt;='Detalle'!$K246,L$9&gt;='Detalle'!$J246),1,""))</x:f>
      </x:c>
      <x:c r="M503" s="32" t="str">
        <x:f>IF(OR('Detalle'!$J246="",'Detalle'!$K246="",'Detalle'!$L246=""),"",IF(AND(M$8&lt;='Detalle'!$K246,M$9&gt;='Detalle'!$J246),1,""))</x:f>
      </x:c>
      <x:c r="N503" s="32" t="str">
        <x:f>IF(OR('Detalle'!$J246="",'Detalle'!$K246="",'Detalle'!$L246=""),"",IF(AND(N$8&lt;='Detalle'!$K246,N$9&gt;='Detalle'!$J246),1,""))</x:f>
      </x:c>
      <x:c r="O503" s="32" t="str">
        <x:f>IF(OR('Detalle'!$J246="",'Detalle'!$K246="",'Detalle'!$L246=""),"",IF(AND(O$8&lt;='Detalle'!$K246,O$9&gt;='Detalle'!$J246),1,""))</x:f>
      </x:c>
      <x:c r="P503" s="32" t="str">
        <x:f>IF(OR('Detalle'!$J246="",'Detalle'!$K246="",'Detalle'!$L246=""),"",IF(AND(P$8&lt;='Detalle'!$K246,P$9&gt;='Detalle'!$J246),1,""))</x:f>
      </x:c>
      <x:c r="Q503" s="68"/>
      <x:c r="R503" s="67" t="str"/>
      <x:c r="S503" s="67" t="str"/>
    </x:row>
    <x:row r="504" ht="16" customHeight="1">
      <x:c r="A504" s="56" t="str">
        <x:v>PRO02.004</x:v>
      </x:c>
      <x:c r="B504" s="57" t="str">
        <x:v>Crear compositor de producto</x:v>
      </x:c>
      <x:c r="C504" s="62" t="str">
        <x:v>E</x:v>
      </x:c>
      <x:c r="D504" s="64" t="n">
        <x:f>'Detalle'!I247</x:f>
        <x:v>1</x:v>
      </x:c>
      <x:c r="E504" s="60" t="str">
        <x:f>'Detalle'!F247</x:f>
        <x:v>Completado</x:v>
      </x:c>
      <x:c r="F504" s="32" t="str">
        <x:f>IF(AND(F$8&lt;='Detalle'!$H247,F$9&gt;='Detalle'!$G247),1,"")</x:f>
      </x:c>
      <x:c r="G504" s="32" t="str">
        <x:f>IF(AND(G$8&lt;='Detalle'!$H247,G$9&gt;='Detalle'!$G247),1,"")</x:f>
      </x:c>
      <x:c r="H504" s="32" t="str">
        <x:f>IF(AND(H$8&lt;='Detalle'!$H247,H$9&gt;='Detalle'!$G247),1,"")</x:f>
      </x:c>
      <x:c r="I504" s="32" t="n">
        <x:f>IF(AND(I$8&lt;='Detalle'!$H247,I$9&gt;='Detalle'!$G247),1,"")</x:f>
        <x:v>1</x:v>
      </x:c>
      <x:c r="J504" s="32" t="str">
        <x:f>IF(AND(J$8&lt;='Detalle'!$H247,J$9&gt;='Detalle'!$G247),1,"")</x:f>
      </x:c>
      <x:c r="K504" s="32" t="str">
        <x:f>IF(AND(K$8&lt;='Detalle'!$H247,K$9&gt;='Detalle'!$G247),1,"")</x:f>
      </x:c>
      <x:c r="L504" s="32" t="str">
        <x:f>IF(AND(L$8&lt;='Detalle'!$H247,L$9&gt;='Detalle'!$G247),1,"")</x:f>
      </x:c>
      <x:c r="M504" s="32" t="str">
        <x:f>IF(AND(M$8&lt;='Detalle'!$H247,M$9&gt;='Detalle'!$G247),1,"")</x:f>
      </x:c>
      <x:c r="N504" s="32" t="str">
        <x:f>IF(AND(N$8&lt;='Detalle'!$H247,N$9&gt;='Detalle'!$G247),1,"")</x:f>
      </x:c>
      <x:c r="O504" s="32" t="str">
        <x:f>IF(AND(O$8&lt;='Detalle'!$H247,O$9&gt;='Detalle'!$G247),1,"")</x:f>
      </x:c>
      <x:c r="P504" s="32" t="str">
        <x:f>IF(AND(P$8&lt;='Detalle'!$H247,P$9&gt;='Detalle'!$G247),1,"")</x:f>
      </x:c>
      <x:c r="Q504" s="68"/>
      <x:c r="R504" s="67" t="str">
        <x:f>IF('Detalle'!M247="","",'Detalle'!M247)</x:f>
      </x:c>
      <x:c r="S504" s="67" t="str">
        <x:f>IF('Detalle'!N247="","",'Detalle'!N247)</x:f>
      </x:c>
    </x:row>
    <x:row r="505" ht="16" customHeight="1">
      <x:c r="A505" s="56" t="str">
        <x:v>PRO02.004</x:v>
      </x:c>
      <x:c r="B505" s="57" t="str">
        <x:v>Crear compositor de producto</x:v>
      </x:c>
      <x:c r="C505" s="63" t="str">
        <x:v>R</x:v>
      </x:c>
      <x:c r="D505" s="65" t="str">
        <x:f>IF('Detalle'!L247="","",'Detalle'!L247)</x:f>
      </x:c>
      <x:c r="E505" s="60" t="str"/>
      <x:c r="F505" s="32" t="str">
        <x:f>IF(OR('Detalle'!$J247="",'Detalle'!$K247="",'Detalle'!$L247=""),"",IF(AND(F$8&lt;='Detalle'!$K247,F$9&gt;='Detalle'!$J247),1,""))</x:f>
      </x:c>
      <x:c r="G505" s="32" t="str">
        <x:f>IF(OR('Detalle'!$J247="",'Detalle'!$K247="",'Detalle'!$L247=""),"",IF(AND(G$8&lt;='Detalle'!$K247,G$9&gt;='Detalle'!$J247),1,""))</x:f>
      </x:c>
      <x:c r="H505" s="32" t="str">
        <x:f>IF(OR('Detalle'!$J247="",'Detalle'!$K247="",'Detalle'!$L247=""),"",IF(AND(H$8&lt;='Detalle'!$K247,H$9&gt;='Detalle'!$J247),1,""))</x:f>
      </x:c>
      <x:c r="I505" s="32" t="str">
        <x:f>IF(OR('Detalle'!$J247="",'Detalle'!$K247="",'Detalle'!$L247=""),"",IF(AND(I$8&lt;='Detalle'!$K247,I$9&gt;='Detalle'!$J247),1,""))</x:f>
      </x:c>
      <x:c r="J505" s="32" t="str">
        <x:f>IF(OR('Detalle'!$J247="",'Detalle'!$K247="",'Detalle'!$L247=""),"",IF(AND(J$8&lt;='Detalle'!$K247,J$9&gt;='Detalle'!$J247),1,""))</x:f>
      </x:c>
      <x:c r="K505" s="32" t="str">
        <x:f>IF(OR('Detalle'!$J247="",'Detalle'!$K247="",'Detalle'!$L247=""),"",IF(AND(K$8&lt;='Detalle'!$K247,K$9&gt;='Detalle'!$J247),1,""))</x:f>
      </x:c>
      <x:c r="L505" s="32" t="str">
        <x:f>IF(OR('Detalle'!$J247="",'Detalle'!$K247="",'Detalle'!$L247=""),"",IF(AND(L$8&lt;='Detalle'!$K247,L$9&gt;='Detalle'!$J247),1,""))</x:f>
      </x:c>
      <x:c r="M505" s="32" t="str">
        <x:f>IF(OR('Detalle'!$J247="",'Detalle'!$K247="",'Detalle'!$L247=""),"",IF(AND(M$8&lt;='Detalle'!$K247,M$9&gt;='Detalle'!$J247),1,""))</x:f>
      </x:c>
      <x:c r="N505" s="32" t="str">
        <x:f>IF(OR('Detalle'!$J247="",'Detalle'!$K247="",'Detalle'!$L247=""),"",IF(AND(N$8&lt;='Detalle'!$K247,N$9&gt;='Detalle'!$J247),1,""))</x:f>
      </x:c>
      <x:c r="O505" s="32" t="str">
        <x:f>IF(OR('Detalle'!$J247="",'Detalle'!$K247="",'Detalle'!$L247=""),"",IF(AND(O$8&lt;='Detalle'!$K247,O$9&gt;='Detalle'!$J247),1,""))</x:f>
      </x:c>
      <x:c r="P505" s="32" t="str">
        <x:f>IF(OR('Detalle'!$J247="",'Detalle'!$K247="",'Detalle'!$L247=""),"",IF(AND(P$8&lt;='Detalle'!$K247,P$9&gt;='Detalle'!$J247),1,""))</x:f>
      </x:c>
      <x:c r="Q505" s="68"/>
      <x:c r="R505" s="67" t="str"/>
      <x:c r="S505" s="67" t="str"/>
    </x:row>
    <x:row r="506" ht="16" customHeight="1">
      <x:c r="A506" s="56" t="str">
        <x:v>PRO02.005</x:v>
      </x:c>
      <x:c r="B506" s="57" t="str">
        <x:v>Crear compositor de servicio</x:v>
      </x:c>
      <x:c r="C506" s="62" t="str">
        <x:v>E</x:v>
      </x:c>
      <x:c r="D506" s="64" t="n">
        <x:f>'Detalle'!I248</x:f>
        <x:v>1</x:v>
      </x:c>
      <x:c r="E506" s="60" t="str">
        <x:f>'Detalle'!F248</x:f>
        <x:v>Completado</x:v>
      </x:c>
      <x:c r="F506" s="32" t="str">
        <x:f>IF(AND(F$8&lt;='Detalle'!$H248,F$9&gt;='Detalle'!$G248),1,"")</x:f>
      </x:c>
      <x:c r="G506" s="32" t="str">
        <x:f>IF(AND(G$8&lt;='Detalle'!$H248,G$9&gt;='Detalle'!$G248),1,"")</x:f>
      </x:c>
      <x:c r="H506" s="32" t="str">
        <x:f>IF(AND(H$8&lt;='Detalle'!$H248,H$9&gt;='Detalle'!$G248),1,"")</x:f>
      </x:c>
      <x:c r="I506" s="32" t="n">
        <x:f>IF(AND(I$8&lt;='Detalle'!$H248,I$9&gt;='Detalle'!$G248),1,"")</x:f>
        <x:v>1</x:v>
      </x:c>
      <x:c r="J506" s="32" t="str">
        <x:f>IF(AND(J$8&lt;='Detalle'!$H248,J$9&gt;='Detalle'!$G248),1,"")</x:f>
      </x:c>
      <x:c r="K506" s="32" t="str">
        <x:f>IF(AND(K$8&lt;='Detalle'!$H248,K$9&gt;='Detalle'!$G248),1,"")</x:f>
      </x:c>
      <x:c r="L506" s="32" t="str">
        <x:f>IF(AND(L$8&lt;='Detalle'!$H248,L$9&gt;='Detalle'!$G248),1,"")</x:f>
      </x:c>
      <x:c r="M506" s="32" t="str">
        <x:f>IF(AND(M$8&lt;='Detalle'!$H248,M$9&gt;='Detalle'!$G248),1,"")</x:f>
      </x:c>
      <x:c r="N506" s="32" t="str">
        <x:f>IF(AND(N$8&lt;='Detalle'!$H248,N$9&gt;='Detalle'!$G248),1,"")</x:f>
      </x:c>
      <x:c r="O506" s="32" t="str">
        <x:f>IF(AND(O$8&lt;='Detalle'!$H248,O$9&gt;='Detalle'!$G248),1,"")</x:f>
      </x:c>
      <x:c r="P506" s="32" t="str">
        <x:f>IF(AND(P$8&lt;='Detalle'!$H248,P$9&gt;='Detalle'!$G248),1,"")</x:f>
      </x:c>
      <x:c r="Q506" s="68"/>
      <x:c r="R506" s="67" t="str">
        <x:f>IF('Detalle'!M248="","",'Detalle'!M248)</x:f>
      </x:c>
      <x:c r="S506" s="67" t="str">
        <x:f>IF('Detalle'!N248="","",'Detalle'!N248)</x:f>
      </x:c>
    </x:row>
    <x:row r="507" ht="16" customHeight="1">
      <x:c r="A507" s="56" t="str">
        <x:v>PRO02.005</x:v>
      </x:c>
      <x:c r="B507" s="57" t="str">
        <x:v>Crear compositor de servicio</x:v>
      </x:c>
      <x:c r="C507" s="63" t="str">
        <x:v>R</x:v>
      </x:c>
      <x:c r="D507" s="65" t="str">
        <x:f>IF('Detalle'!L248="","",'Detalle'!L248)</x:f>
      </x:c>
      <x:c r="E507" s="60" t="str"/>
      <x:c r="F507" s="32" t="str">
        <x:f>IF(OR('Detalle'!$J248="",'Detalle'!$K248="",'Detalle'!$L248=""),"",IF(AND(F$8&lt;='Detalle'!$K248,F$9&gt;='Detalle'!$J248),1,""))</x:f>
      </x:c>
      <x:c r="G507" s="32" t="str">
        <x:f>IF(OR('Detalle'!$J248="",'Detalle'!$K248="",'Detalle'!$L248=""),"",IF(AND(G$8&lt;='Detalle'!$K248,G$9&gt;='Detalle'!$J248),1,""))</x:f>
      </x:c>
      <x:c r="H507" s="32" t="str">
        <x:f>IF(OR('Detalle'!$J248="",'Detalle'!$K248="",'Detalle'!$L248=""),"",IF(AND(H$8&lt;='Detalle'!$K248,H$9&gt;='Detalle'!$J248),1,""))</x:f>
      </x:c>
      <x:c r="I507" s="32" t="str">
        <x:f>IF(OR('Detalle'!$J248="",'Detalle'!$K248="",'Detalle'!$L248=""),"",IF(AND(I$8&lt;='Detalle'!$K248,I$9&gt;='Detalle'!$J248),1,""))</x:f>
      </x:c>
      <x:c r="J507" s="32" t="str">
        <x:f>IF(OR('Detalle'!$J248="",'Detalle'!$K248="",'Detalle'!$L248=""),"",IF(AND(J$8&lt;='Detalle'!$K248,J$9&gt;='Detalle'!$J248),1,""))</x:f>
      </x:c>
      <x:c r="K507" s="32" t="str">
        <x:f>IF(OR('Detalle'!$J248="",'Detalle'!$K248="",'Detalle'!$L248=""),"",IF(AND(K$8&lt;='Detalle'!$K248,K$9&gt;='Detalle'!$J248),1,""))</x:f>
      </x:c>
      <x:c r="L507" s="32" t="str">
        <x:f>IF(OR('Detalle'!$J248="",'Detalle'!$K248="",'Detalle'!$L248=""),"",IF(AND(L$8&lt;='Detalle'!$K248,L$9&gt;='Detalle'!$J248),1,""))</x:f>
      </x:c>
      <x:c r="M507" s="32" t="str">
        <x:f>IF(OR('Detalle'!$J248="",'Detalle'!$K248="",'Detalle'!$L248=""),"",IF(AND(M$8&lt;='Detalle'!$K248,M$9&gt;='Detalle'!$J248),1,""))</x:f>
      </x:c>
      <x:c r="N507" s="32" t="str">
        <x:f>IF(OR('Detalle'!$J248="",'Detalle'!$K248="",'Detalle'!$L248=""),"",IF(AND(N$8&lt;='Detalle'!$K248,N$9&gt;='Detalle'!$J248),1,""))</x:f>
      </x:c>
      <x:c r="O507" s="32" t="str">
        <x:f>IF(OR('Detalle'!$J248="",'Detalle'!$K248="",'Detalle'!$L248=""),"",IF(AND(O$8&lt;='Detalle'!$K248,O$9&gt;='Detalle'!$J248),1,""))</x:f>
      </x:c>
      <x:c r="P507" s="32" t="str">
        <x:f>IF(OR('Detalle'!$J248="",'Detalle'!$K248="",'Detalle'!$L248=""),"",IF(AND(P$8&lt;='Detalle'!$K248,P$9&gt;='Detalle'!$J248),1,""))</x:f>
      </x:c>
      <x:c r="Q507" s="68"/>
      <x:c r="R507" s="67" t="str"/>
      <x:c r="S507" s="67" t="str"/>
    </x:row>
    <x:row r="508" ht="16" customHeight="1">
      <x:c r="A508" s="56" t="str">
        <x:v>PRO02.006</x:v>
      </x:c>
      <x:c r="B508" s="57" t="str">
        <x:v>Capturar título y descripción de ficha</x:v>
      </x:c>
      <x:c r="C508" s="62" t="str">
        <x:v>E</x:v>
      </x:c>
      <x:c r="D508" s="64" t="n">
        <x:f>'Detalle'!I249</x:f>
        <x:v>1</x:v>
      </x:c>
      <x:c r="E508" s="60" t="str">
        <x:f>'Detalle'!F249</x:f>
        <x:v>Completado</x:v>
      </x:c>
      <x:c r="F508" s="32" t="str">
        <x:f>IF(AND(F$8&lt;='Detalle'!$H249,F$9&gt;='Detalle'!$G249),1,"")</x:f>
      </x:c>
      <x:c r="G508" s="32" t="str">
        <x:f>IF(AND(G$8&lt;='Detalle'!$H249,G$9&gt;='Detalle'!$G249),1,"")</x:f>
      </x:c>
      <x:c r="H508" s="32" t="str">
        <x:f>IF(AND(H$8&lt;='Detalle'!$H249,H$9&gt;='Detalle'!$G249),1,"")</x:f>
      </x:c>
      <x:c r="I508" s="32" t="n">
        <x:f>IF(AND(I$8&lt;='Detalle'!$H249,I$9&gt;='Detalle'!$G249),1,"")</x:f>
        <x:v>1</x:v>
      </x:c>
      <x:c r="J508" s="32" t="str">
        <x:f>IF(AND(J$8&lt;='Detalle'!$H249,J$9&gt;='Detalle'!$G249),1,"")</x:f>
      </x:c>
      <x:c r="K508" s="32" t="str">
        <x:f>IF(AND(K$8&lt;='Detalle'!$H249,K$9&gt;='Detalle'!$G249),1,"")</x:f>
      </x:c>
      <x:c r="L508" s="32" t="str">
        <x:f>IF(AND(L$8&lt;='Detalle'!$H249,L$9&gt;='Detalle'!$G249),1,"")</x:f>
      </x:c>
      <x:c r="M508" s="32" t="str">
        <x:f>IF(AND(M$8&lt;='Detalle'!$H249,M$9&gt;='Detalle'!$G249),1,"")</x:f>
      </x:c>
      <x:c r="N508" s="32" t="str">
        <x:f>IF(AND(N$8&lt;='Detalle'!$H249,N$9&gt;='Detalle'!$G249),1,"")</x:f>
      </x:c>
      <x:c r="O508" s="32" t="str">
        <x:f>IF(AND(O$8&lt;='Detalle'!$H249,O$9&gt;='Detalle'!$G249),1,"")</x:f>
      </x:c>
      <x:c r="P508" s="32" t="str">
        <x:f>IF(AND(P$8&lt;='Detalle'!$H249,P$9&gt;='Detalle'!$G249),1,"")</x:f>
      </x:c>
      <x:c r="Q508" s="68"/>
      <x:c r="R508" s="67" t="str">
        <x:f>IF('Detalle'!M249="","",'Detalle'!M249)</x:f>
      </x:c>
      <x:c r="S508" s="67" t="str">
        <x:f>IF('Detalle'!N249="","",'Detalle'!N249)</x:f>
      </x:c>
    </x:row>
    <x:row r="509" ht="16" customHeight="1">
      <x:c r="A509" s="56" t="str">
        <x:v>PRO02.006</x:v>
      </x:c>
      <x:c r="B509" s="57" t="str">
        <x:v>Capturar título y descripción de ficha</x:v>
      </x:c>
      <x:c r="C509" s="63" t="str">
        <x:v>R</x:v>
      </x:c>
      <x:c r="D509" s="65" t="str">
        <x:f>IF('Detalle'!L249="","",'Detalle'!L249)</x:f>
      </x:c>
      <x:c r="E509" s="60" t="str"/>
      <x:c r="F509" s="32" t="str">
        <x:f>IF(OR('Detalle'!$J249="",'Detalle'!$K249="",'Detalle'!$L249=""),"",IF(AND(F$8&lt;='Detalle'!$K249,F$9&gt;='Detalle'!$J249),1,""))</x:f>
      </x:c>
      <x:c r="G509" s="32" t="str">
        <x:f>IF(OR('Detalle'!$J249="",'Detalle'!$K249="",'Detalle'!$L249=""),"",IF(AND(G$8&lt;='Detalle'!$K249,G$9&gt;='Detalle'!$J249),1,""))</x:f>
      </x:c>
      <x:c r="H509" s="32" t="str">
        <x:f>IF(OR('Detalle'!$J249="",'Detalle'!$K249="",'Detalle'!$L249=""),"",IF(AND(H$8&lt;='Detalle'!$K249,H$9&gt;='Detalle'!$J249),1,""))</x:f>
      </x:c>
      <x:c r="I509" s="32" t="str">
        <x:f>IF(OR('Detalle'!$J249="",'Detalle'!$K249="",'Detalle'!$L249=""),"",IF(AND(I$8&lt;='Detalle'!$K249,I$9&gt;='Detalle'!$J249),1,""))</x:f>
      </x:c>
      <x:c r="J509" s="32" t="str">
        <x:f>IF(OR('Detalle'!$J249="",'Detalle'!$K249="",'Detalle'!$L249=""),"",IF(AND(J$8&lt;='Detalle'!$K249,J$9&gt;='Detalle'!$J249),1,""))</x:f>
      </x:c>
      <x:c r="K509" s="32" t="str">
        <x:f>IF(OR('Detalle'!$J249="",'Detalle'!$K249="",'Detalle'!$L249=""),"",IF(AND(K$8&lt;='Detalle'!$K249,K$9&gt;='Detalle'!$J249),1,""))</x:f>
      </x:c>
      <x:c r="L509" s="32" t="str">
        <x:f>IF(OR('Detalle'!$J249="",'Detalle'!$K249="",'Detalle'!$L249=""),"",IF(AND(L$8&lt;='Detalle'!$K249,L$9&gt;='Detalle'!$J249),1,""))</x:f>
      </x:c>
      <x:c r="M509" s="32" t="str">
        <x:f>IF(OR('Detalle'!$J249="",'Detalle'!$K249="",'Detalle'!$L249=""),"",IF(AND(M$8&lt;='Detalle'!$K249,M$9&gt;='Detalle'!$J249),1,""))</x:f>
      </x:c>
      <x:c r="N509" s="32" t="str">
        <x:f>IF(OR('Detalle'!$J249="",'Detalle'!$K249="",'Detalle'!$L249=""),"",IF(AND(N$8&lt;='Detalle'!$K249,N$9&gt;='Detalle'!$J249),1,""))</x:f>
      </x:c>
      <x:c r="O509" s="32" t="str">
        <x:f>IF(OR('Detalle'!$J249="",'Detalle'!$K249="",'Detalle'!$L249=""),"",IF(AND(O$8&lt;='Detalle'!$K249,O$9&gt;='Detalle'!$J249),1,""))</x:f>
      </x:c>
      <x:c r="P509" s="32" t="str">
        <x:f>IF(OR('Detalle'!$J249="",'Detalle'!$K249="",'Detalle'!$L249=""),"",IF(AND(P$8&lt;='Detalle'!$K249,P$9&gt;='Detalle'!$J249),1,""))</x:f>
      </x:c>
      <x:c r="Q509" s="68"/>
      <x:c r="R509" s="67" t="str"/>
      <x:c r="S509" s="67" t="str"/>
    </x:row>
    <x:row r="510" ht="16" customHeight="1">
      <x:c r="A510" s="56" t="str">
        <x:v>PRO02.007</x:v>
      </x:c>
      <x:c r="B510" s="57" t="str">
        <x:v>Seleccionar categoría de ficha</x:v>
      </x:c>
      <x:c r="C510" s="62" t="str">
        <x:v>E</x:v>
      </x:c>
      <x:c r="D510" s="64" t="n">
        <x:f>'Detalle'!I250</x:f>
        <x:v>1</x:v>
      </x:c>
      <x:c r="E510" s="60" t="str">
        <x:f>'Detalle'!F250</x:f>
        <x:v>Completado</x:v>
      </x:c>
      <x:c r="F510" s="32" t="str">
        <x:f>IF(AND(F$8&lt;='Detalle'!$H250,F$9&gt;='Detalle'!$G250),1,"")</x:f>
      </x:c>
      <x:c r="G510" s="32" t="str">
        <x:f>IF(AND(G$8&lt;='Detalle'!$H250,G$9&gt;='Detalle'!$G250),1,"")</x:f>
      </x:c>
      <x:c r="H510" s="32" t="str">
        <x:f>IF(AND(H$8&lt;='Detalle'!$H250,H$9&gt;='Detalle'!$G250),1,"")</x:f>
      </x:c>
      <x:c r="I510" s="32" t="n">
        <x:f>IF(AND(I$8&lt;='Detalle'!$H250,I$9&gt;='Detalle'!$G250),1,"")</x:f>
        <x:v>1</x:v>
      </x:c>
      <x:c r="J510" s="32" t="str">
        <x:f>IF(AND(J$8&lt;='Detalle'!$H250,J$9&gt;='Detalle'!$G250),1,"")</x:f>
      </x:c>
      <x:c r="K510" s="32" t="str">
        <x:f>IF(AND(K$8&lt;='Detalle'!$H250,K$9&gt;='Detalle'!$G250),1,"")</x:f>
      </x:c>
      <x:c r="L510" s="32" t="str">
        <x:f>IF(AND(L$8&lt;='Detalle'!$H250,L$9&gt;='Detalle'!$G250),1,"")</x:f>
      </x:c>
      <x:c r="M510" s="32" t="str">
        <x:f>IF(AND(M$8&lt;='Detalle'!$H250,M$9&gt;='Detalle'!$G250),1,"")</x:f>
      </x:c>
      <x:c r="N510" s="32" t="str">
        <x:f>IF(AND(N$8&lt;='Detalle'!$H250,N$9&gt;='Detalle'!$G250),1,"")</x:f>
      </x:c>
      <x:c r="O510" s="32" t="str">
        <x:f>IF(AND(O$8&lt;='Detalle'!$H250,O$9&gt;='Detalle'!$G250),1,"")</x:f>
      </x:c>
      <x:c r="P510" s="32" t="str">
        <x:f>IF(AND(P$8&lt;='Detalle'!$H250,P$9&gt;='Detalle'!$G250),1,"")</x:f>
      </x:c>
      <x:c r="Q510" s="68"/>
      <x:c r="R510" s="67" t="str">
        <x:f>IF('Detalle'!M250="","",'Detalle'!M250)</x:f>
      </x:c>
      <x:c r="S510" s="67" t="str">
        <x:f>IF('Detalle'!N250="","",'Detalle'!N250)</x:f>
      </x:c>
    </x:row>
    <x:row r="511" ht="16" customHeight="1">
      <x:c r="A511" s="56" t="str">
        <x:v>PRO02.007</x:v>
      </x:c>
      <x:c r="B511" s="57" t="str">
        <x:v>Seleccionar categoría de ficha</x:v>
      </x:c>
      <x:c r="C511" s="63" t="str">
        <x:v>R</x:v>
      </x:c>
      <x:c r="D511" s="65" t="str">
        <x:f>IF('Detalle'!L250="","",'Detalle'!L250)</x:f>
      </x:c>
      <x:c r="E511" s="60" t="str"/>
      <x:c r="F511" s="32" t="str">
        <x:f>IF(OR('Detalle'!$J250="",'Detalle'!$K250="",'Detalle'!$L250=""),"",IF(AND(F$8&lt;='Detalle'!$K250,F$9&gt;='Detalle'!$J250),1,""))</x:f>
      </x:c>
      <x:c r="G511" s="32" t="str">
        <x:f>IF(OR('Detalle'!$J250="",'Detalle'!$K250="",'Detalle'!$L250=""),"",IF(AND(G$8&lt;='Detalle'!$K250,G$9&gt;='Detalle'!$J250),1,""))</x:f>
      </x:c>
      <x:c r="H511" s="32" t="str">
        <x:f>IF(OR('Detalle'!$J250="",'Detalle'!$K250="",'Detalle'!$L250=""),"",IF(AND(H$8&lt;='Detalle'!$K250,H$9&gt;='Detalle'!$J250),1,""))</x:f>
      </x:c>
      <x:c r="I511" s="32" t="str">
        <x:f>IF(OR('Detalle'!$J250="",'Detalle'!$K250="",'Detalle'!$L250=""),"",IF(AND(I$8&lt;='Detalle'!$K250,I$9&gt;='Detalle'!$J250),1,""))</x:f>
      </x:c>
      <x:c r="J511" s="32" t="str">
        <x:f>IF(OR('Detalle'!$J250="",'Detalle'!$K250="",'Detalle'!$L250=""),"",IF(AND(J$8&lt;='Detalle'!$K250,J$9&gt;='Detalle'!$J250),1,""))</x:f>
      </x:c>
      <x:c r="K511" s="32" t="str">
        <x:f>IF(OR('Detalle'!$J250="",'Detalle'!$K250="",'Detalle'!$L250=""),"",IF(AND(K$8&lt;='Detalle'!$K250,K$9&gt;='Detalle'!$J250),1,""))</x:f>
      </x:c>
      <x:c r="L511" s="32" t="str">
        <x:f>IF(OR('Detalle'!$J250="",'Detalle'!$K250="",'Detalle'!$L250=""),"",IF(AND(L$8&lt;='Detalle'!$K250,L$9&gt;='Detalle'!$J250),1,""))</x:f>
      </x:c>
      <x:c r="M511" s="32" t="str">
        <x:f>IF(OR('Detalle'!$J250="",'Detalle'!$K250="",'Detalle'!$L250=""),"",IF(AND(M$8&lt;='Detalle'!$K250,M$9&gt;='Detalle'!$J250),1,""))</x:f>
      </x:c>
      <x:c r="N511" s="32" t="str">
        <x:f>IF(OR('Detalle'!$J250="",'Detalle'!$K250="",'Detalle'!$L250=""),"",IF(AND(N$8&lt;='Detalle'!$K250,N$9&gt;='Detalle'!$J250),1,""))</x:f>
      </x:c>
      <x:c r="O511" s="32" t="str">
        <x:f>IF(OR('Detalle'!$J250="",'Detalle'!$K250="",'Detalle'!$L250=""),"",IF(AND(O$8&lt;='Detalle'!$K250,O$9&gt;='Detalle'!$J250),1,""))</x:f>
      </x:c>
      <x:c r="P511" s="32" t="str">
        <x:f>IF(OR('Detalle'!$J250="",'Detalle'!$K250="",'Detalle'!$L250=""),"",IF(AND(P$8&lt;='Detalle'!$K250,P$9&gt;='Detalle'!$J250),1,""))</x:f>
      </x:c>
      <x:c r="Q511" s="68"/>
      <x:c r="R511" s="67" t="str"/>
      <x:c r="S511" s="67" t="str"/>
    </x:row>
    <x:row r="512" ht="16" customHeight="1">
      <x:c r="A512" s="56" t="str">
        <x:v>PRO02.008</x:v>
      </x:c>
      <x:c r="B512" s="57" t="str">
        <x:v>Agregar hasta seis fotos ordenadas</x:v>
      </x:c>
      <x:c r="C512" s="62" t="str">
        <x:v>E</x:v>
      </x:c>
      <x:c r="D512" s="64" t="n">
        <x:f>'Detalle'!I251</x:f>
        <x:v>1</x:v>
      </x:c>
      <x:c r="E512" s="60" t="str">
        <x:f>'Detalle'!F251</x:f>
        <x:v>Completado</x:v>
      </x:c>
      <x:c r="F512" s="32" t="str">
        <x:f>IF(AND(F$8&lt;='Detalle'!$H251,F$9&gt;='Detalle'!$G251),1,"")</x:f>
      </x:c>
      <x:c r="G512" s="32" t="str">
        <x:f>IF(AND(G$8&lt;='Detalle'!$H251,G$9&gt;='Detalle'!$G251),1,"")</x:f>
      </x:c>
      <x:c r="H512" s="32" t="str">
        <x:f>IF(AND(H$8&lt;='Detalle'!$H251,H$9&gt;='Detalle'!$G251),1,"")</x:f>
      </x:c>
      <x:c r="I512" s="32" t="n">
        <x:f>IF(AND(I$8&lt;='Detalle'!$H251,I$9&gt;='Detalle'!$G251),1,"")</x:f>
        <x:v>1</x:v>
      </x:c>
      <x:c r="J512" s="32" t="str">
        <x:f>IF(AND(J$8&lt;='Detalle'!$H251,J$9&gt;='Detalle'!$G251),1,"")</x:f>
      </x:c>
      <x:c r="K512" s="32" t="str">
        <x:f>IF(AND(K$8&lt;='Detalle'!$H251,K$9&gt;='Detalle'!$G251),1,"")</x:f>
      </x:c>
      <x:c r="L512" s="32" t="str">
        <x:f>IF(AND(L$8&lt;='Detalle'!$H251,L$9&gt;='Detalle'!$G251),1,"")</x:f>
      </x:c>
      <x:c r="M512" s="32" t="str">
        <x:f>IF(AND(M$8&lt;='Detalle'!$H251,M$9&gt;='Detalle'!$G251),1,"")</x:f>
      </x:c>
      <x:c r="N512" s="32" t="str">
        <x:f>IF(AND(N$8&lt;='Detalle'!$H251,N$9&gt;='Detalle'!$G251),1,"")</x:f>
      </x:c>
      <x:c r="O512" s="32" t="str">
        <x:f>IF(AND(O$8&lt;='Detalle'!$H251,O$9&gt;='Detalle'!$G251),1,"")</x:f>
      </x:c>
      <x:c r="P512" s="32" t="str">
        <x:f>IF(AND(P$8&lt;='Detalle'!$H251,P$9&gt;='Detalle'!$G251),1,"")</x:f>
      </x:c>
      <x:c r="Q512" s="68"/>
      <x:c r="R512" s="67" t="str">
        <x:f>IF('Detalle'!M251="","",'Detalle'!M251)</x:f>
      </x:c>
      <x:c r="S512" s="67" t="str">
        <x:f>IF('Detalle'!N251="","",'Detalle'!N251)</x:f>
      </x:c>
    </x:row>
    <x:row r="513" ht="16" customHeight="1">
      <x:c r="A513" s="56" t="str">
        <x:v>PRO02.008</x:v>
      </x:c>
      <x:c r="B513" s="57" t="str">
        <x:v>Agregar hasta seis fotos ordenadas</x:v>
      </x:c>
      <x:c r="C513" s="63" t="str">
        <x:v>R</x:v>
      </x:c>
      <x:c r="D513" s="65" t="str">
        <x:f>IF('Detalle'!L251="","",'Detalle'!L251)</x:f>
      </x:c>
      <x:c r="E513" s="60" t="str"/>
      <x:c r="F513" s="32" t="str">
        <x:f>IF(OR('Detalle'!$J251="",'Detalle'!$K251="",'Detalle'!$L251=""),"",IF(AND(F$8&lt;='Detalle'!$K251,F$9&gt;='Detalle'!$J251),1,""))</x:f>
      </x:c>
      <x:c r="G513" s="32" t="str">
        <x:f>IF(OR('Detalle'!$J251="",'Detalle'!$K251="",'Detalle'!$L251=""),"",IF(AND(G$8&lt;='Detalle'!$K251,G$9&gt;='Detalle'!$J251),1,""))</x:f>
      </x:c>
      <x:c r="H513" s="32" t="str">
        <x:f>IF(OR('Detalle'!$J251="",'Detalle'!$K251="",'Detalle'!$L251=""),"",IF(AND(H$8&lt;='Detalle'!$K251,H$9&gt;='Detalle'!$J251),1,""))</x:f>
      </x:c>
      <x:c r="I513" s="32" t="str">
        <x:f>IF(OR('Detalle'!$J251="",'Detalle'!$K251="",'Detalle'!$L251=""),"",IF(AND(I$8&lt;='Detalle'!$K251,I$9&gt;='Detalle'!$J251),1,""))</x:f>
      </x:c>
      <x:c r="J513" s="32" t="str">
        <x:f>IF(OR('Detalle'!$J251="",'Detalle'!$K251="",'Detalle'!$L251=""),"",IF(AND(J$8&lt;='Detalle'!$K251,J$9&gt;='Detalle'!$J251),1,""))</x:f>
      </x:c>
      <x:c r="K513" s="32" t="str">
        <x:f>IF(OR('Detalle'!$J251="",'Detalle'!$K251="",'Detalle'!$L251=""),"",IF(AND(K$8&lt;='Detalle'!$K251,K$9&gt;='Detalle'!$J251),1,""))</x:f>
      </x:c>
      <x:c r="L513" s="32" t="str">
        <x:f>IF(OR('Detalle'!$J251="",'Detalle'!$K251="",'Detalle'!$L251=""),"",IF(AND(L$8&lt;='Detalle'!$K251,L$9&gt;='Detalle'!$J251),1,""))</x:f>
      </x:c>
      <x:c r="M513" s="32" t="str">
        <x:f>IF(OR('Detalle'!$J251="",'Detalle'!$K251="",'Detalle'!$L251=""),"",IF(AND(M$8&lt;='Detalle'!$K251,M$9&gt;='Detalle'!$J251),1,""))</x:f>
      </x:c>
      <x:c r="N513" s="32" t="str">
        <x:f>IF(OR('Detalle'!$J251="",'Detalle'!$K251="",'Detalle'!$L251=""),"",IF(AND(N$8&lt;='Detalle'!$K251,N$9&gt;='Detalle'!$J251),1,""))</x:f>
      </x:c>
      <x:c r="O513" s="32" t="str">
        <x:f>IF(OR('Detalle'!$J251="",'Detalle'!$K251="",'Detalle'!$L251=""),"",IF(AND(O$8&lt;='Detalle'!$K251,O$9&gt;='Detalle'!$J251),1,""))</x:f>
      </x:c>
      <x:c r="P513" s="32" t="str">
        <x:f>IF(OR('Detalle'!$J251="",'Detalle'!$K251="",'Detalle'!$L251=""),"",IF(AND(P$8&lt;='Detalle'!$K251,P$9&gt;='Detalle'!$J251),1,""))</x:f>
      </x:c>
      <x:c r="Q513" s="68"/>
      <x:c r="R513" s="67" t="str"/>
      <x:c r="S513" s="67" t="str"/>
    </x:row>
    <x:row r="514" ht="16" customHeight="1">
      <x:c r="A514" s="56" t="str">
        <x:v>PRO02.009</x:v>
      </x:c>
      <x:c r="B514" s="57" t="str">
        <x:v>Crear bucket privado showcase-media</x:v>
      </x:c>
      <x:c r="C514" s="62" t="str">
        <x:v>E</x:v>
      </x:c>
      <x:c r="D514" s="64" t="n">
        <x:f>'Detalle'!I252</x:f>
        <x:v>1</x:v>
      </x:c>
      <x:c r="E514" s="60" t="str">
        <x:f>'Detalle'!F252</x:f>
        <x:v>Completado</x:v>
      </x:c>
      <x:c r="F514" s="32" t="str">
        <x:f>IF(AND(F$8&lt;='Detalle'!$H252,F$9&gt;='Detalle'!$G252),1,"")</x:f>
      </x:c>
      <x:c r="G514" s="32" t="str">
        <x:f>IF(AND(G$8&lt;='Detalle'!$H252,G$9&gt;='Detalle'!$G252),1,"")</x:f>
      </x:c>
      <x:c r="H514" s="32" t="str">
        <x:f>IF(AND(H$8&lt;='Detalle'!$H252,H$9&gt;='Detalle'!$G252),1,"")</x:f>
      </x:c>
      <x:c r="I514" s="32" t="n">
        <x:f>IF(AND(I$8&lt;='Detalle'!$H252,I$9&gt;='Detalle'!$G252),1,"")</x:f>
        <x:v>1</x:v>
      </x:c>
      <x:c r="J514" s="32" t="str">
        <x:f>IF(AND(J$8&lt;='Detalle'!$H252,J$9&gt;='Detalle'!$G252),1,"")</x:f>
      </x:c>
      <x:c r="K514" s="32" t="str">
        <x:f>IF(AND(K$8&lt;='Detalle'!$H252,K$9&gt;='Detalle'!$G252),1,"")</x:f>
      </x:c>
      <x:c r="L514" s="32" t="str">
        <x:f>IF(AND(L$8&lt;='Detalle'!$H252,L$9&gt;='Detalle'!$G252),1,"")</x:f>
      </x:c>
      <x:c r="M514" s="32" t="str">
        <x:f>IF(AND(M$8&lt;='Detalle'!$H252,M$9&gt;='Detalle'!$G252),1,"")</x:f>
      </x:c>
      <x:c r="N514" s="32" t="str">
        <x:f>IF(AND(N$8&lt;='Detalle'!$H252,N$9&gt;='Detalle'!$G252),1,"")</x:f>
      </x:c>
      <x:c r="O514" s="32" t="str">
        <x:f>IF(AND(O$8&lt;='Detalle'!$H252,O$9&gt;='Detalle'!$G252),1,"")</x:f>
      </x:c>
      <x:c r="P514" s="32" t="str">
        <x:f>IF(AND(P$8&lt;='Detalle'!$H252,P$9&gt;='Detalle'!$G252),1,"")</x:f>
      </x:c>
      <x:c r="Q514" s="68"/>
      <x:c r="R514" s="67" t="str">
        <x:f>IF('Detalle'!M252="","",'Detalle'!M252)</x:f>
      </x:c>
      <x:c r="S514" s="67" t="str">
        <x:f>IF('Detalle'!N252="","",'Detalle'!N252)</x:f>
      </x:c>
    </x:row>
    <x:row r="515" ht="16" customHeight="1">
      <x:c r="A515" s="56" t="str">
        <x:v>PRO02.009</x:v>
      </x:c>
      <x:c r="B515" s="57" t="str">
        <x:v>Crear bucket privado showcase-media</x:v>
      </x:c>
      <x:c r="C515" s="63" t="str">
        <x:v>R</x:v>
      </x:c>
      <x:c r="D515" s="65" t="str">
        <x:f>IF('Detalle'!L252="","",'Detalle'!L252)</x:f>
      </x:c>
      <x:c r="E515" s="60" t="str"/>
      <x:c r="F515" s="32" t="str">
        <x:f>IF(OR('Detalle'!$J252="",'Detalle'!$K252="",'Detalle'!$L252=""),"",IF(AND(F$8&lt;='Detalle'!$K252,F$9&gt;='Detalle'!$J252),1,""))</x:f>
      </x:c>
      <x:c r="G515" s="32" t="str">
        <x:f>IF(OR('Detalle'!$J252="",'Detalle'!$K252="",'Detalle'!$L252=""),"",IF(AND(G$8&lt;='Detalle'!$K252,G$9&gt;='Detalle'!$J252),1,""))</x:f>
      </x:c>
      <x:c r="H515" s="32" t="str">
        <x:f>IF(OR('Detalle'!$J252="",'Detalle'!$K252="",'Detalle'!$L252=""),"",IF(AND(H$8&lt;='Detalle'!$K252,H$9&gt;='Detalle'!$J252),1,""))</x:f>
      </x:c>
      <x:c r="I515" s="32" t="str">
        <x:f>IF(OR('Detalle'!$J252="",'Detalle'!$K252="",'Detalle'!$L252=""),"",IF(AND(I$8&lt;='Detalle'!$K252,I$9&gt;='Detalle'!$J252),1,""))</x:f>
      </x:c>
      <x:c r="J515" s="32" t="str">
        <x:f>IF(OR('Detalle'!$J252="",'Detalle'!$K252="",'Detalle'!$L252=""),"",IF(AND(J$8&lt;='Detalle'!$K252,J$9&gt;='Detalle'!$J252),1,""))</x:f>
      </x:c>
      <x:c r="K515" s="32" t="str">
        <x:f>IF(OR('Detalle'!$J252="",'Detalle'!$K252="",'Detalle'!$L252=""),"",IF(AND(K$8&lt;='Detalle'!$K252,K$9&gt;='Detalle'!$J252),1,""))</x:f>
      </x:c>
      <x:c r="L515" s="32" t="str">
        <x:f>IF(OR('Detalle'!$J252="",'Detalle'!$K252="",'Detalle'!$L252=""),"",IF(AND(L$8&lt;='Detalle'!$K252,L$9&gt;='Detalle'!$J252),1,""))</x:f>
      </x:c>
      <x:c r="M515" s="32" t="str">
        <x:f>IF(OR('Detalle'!$J252="",'Detalle'!$K252="",'Detalle'!$L252=""),"",IF(AND(M$8&lt;='Detalle'!$K252,M$9&gt;='Detalle'!$J252),1,""))</x:f>
      </x:c>
      <x:c r="N515" s="32" t="str">
        <x:f>IF(OR('Detalle'!$J252="",'Detalle'!$K252="",'Detalle'!$L252=""),"",IF(AND(N$8&lt;='Detalle'!$K252,N$9&gt;='Detalle'!$J252),1,""))</x:f>
      </x:c>
      <x:c r="O515" s="32" t="str">
        <x:f>IF(OR('Detalle'!$J252="",'Detalle'!$K252="",'Detalle'!$L252=""),"",IF(AND(O$8&lt;='Detalle'!$K252,O$9&gt;='Detalle'!$J252),1,""))</x:f>
      </x:c>
      <x:c r="P515" s="32" t="str">
        <x:f>IF(OR('Detalle'!$J252="",'Detalle'!$K252="",'Detalle'!$L252=""),"",IF(AND(P$8&lt;='Detalle'!$K252,P$9&gt;='Detalle'!$J252),1,""))</x:f>
      </x:c>
      <x:c r="Q515" s="68"/>
      <x:c r="R515" s="67" t="str"/>
      <x:c r="S515" s="67" t="str"/>
    </x:row>
    <x:row r="516" ht="16" customHeight="1">
      <x:c r="A516" s="56" t="str">
        <x:v>PRO02.010</x:v>
      </x:c>
      <x:c r="B516" s="57" t="str">
        <x:v>Exigir foto para obra y producto publicados</x:v>
      </x:c>
      <x:c r="C516" s="62" t="str">
        <x:v>E</x:v>
      </x:c>
      <x:c r="D516" s="64" t="n">
        <x:f>'Detalle'!I253</x:f>
        <x:v>1</x:v>
      </x:c>
      <x:c r="E516" s="60" t="str">
        <x:f>'Detalle'!F253</x:f>
        <x:v>Completado</x:v>
      </x:c>
      <x:c r="F516" s="32" t="str">
        <x:f>IF(AND(F$8&lt;='Detalle'!$H253,F$9&gt;='Detalle'!$G253),1,"")</x:f>
      </x:c>
      <x:c r="G516" s="32" t="str">
        <x:f>IF(AND(G$8&lt;='Detalle'!$H253,G$9&gt;='Detalle'!$G253),1,"")</x:f>
      </x:c>
      <x:c r="H516" s="32" t="str">
        <x:f>IF(AND(H$8&lt;='Detalle'!$H253,H$9&gt;='Detalle'!$G253),1,"")</x:f>
      </x:c>
      <x:c r="I516" s="32" t="n">
        <x:f>IF(AND(I$8&lt;='Detalle'!$H253,I$9&gt;='Detalle'!$G253),1,"")</x:f>
        <x:v>1</x:v>
      </x:c>
      <x:c r="J516" s="32" t="str">
        <x:f>IF(AND(J$8&lt;='Detalle'!$H253,J$9&gt;='Detalle'!$G253),1,"")</x:f>
      </x:c>
      <x:c r="K516" s="32" t="str">
        <x:f>IF(AND(K$8&lt;='Detalle'!$H253,K$9&gt;='Detalle'!$G253),1,"")</x:f>
      </x:c>
      <x:c r="L516" s="32" t="str">
        <x:f>IF(AND(L$8&lt;='Detalle'!$H253,L$9&gt;='Detalle'!$G253),1,"")</x:f>
      </x:c>
      <x:c r="M516" s="32" t="str">
        <x:f>IF(AND(M$8&lt;='Detalle'!$H253,M$9&gt;='Detalle'!$G253),1,"")</x:f>
      </x:c>
      <x:c r="N516" s="32" t="str">
        <x:f>IF(AND(N$8&lt;='Detalle'!$H253,N$9&gt;='Detalle'!$G253),1,"")</x:f>
      </x:c>
      <x:c r="O516" s="32" t="str">
        <x:f>IF(AND(O$8&lt;='Detalle'!$H253,O$9&gt;='Detalle'!$G253),1,"")</x:f>
      </x:c>
      <x:c r="P516" s="32" t="str">
        <x:f>IF(AND(P$8&lt;='Detalle'!$H253,P$9&gt;='Detalle'!$G253),1,"")</x:f>
      </x:c>
      <x:c r="Q516" s="68"/>
      <x:c r="R516" s="67" t="str">
        <x:f>IF('Detalle'!M253="","",'Detalle'!M253)</x:f>
      </x:c>
      <x:c r="S516" s="67" t="str">
        <x:f>IF('Detalle'!N253="","",'Detalle'!N253)</x:f>
      </x:c>
    </x:row>
    <x:row r="517" ht="16" customHeight="1">
      <x:c r="A517" s="56" t="str">
        <x:v>PRO02.010</x:v>
      </x:c>
      <x:c r="B517" s="57" t="str">
        <x:v>Exigir foto para obra y producto publicados</x:v>
      </x:c>
      <x:c r="C517" s="63" t="str">
        <x:v>R</x:v>
      </x:c>
      <x:c r="D517" s="65" t="str">
        <x:f>IF('Detalle'!L253="","",'Detalle'!L253)</x:f>
      </x:c>
      <x:c r="E517" s="60" t="str"/>
      <x:c r="F517" s="32" t="str">
        <x:f>IF(OR('Detalle'!$J253="",'Detalle'!$K253="",'Detalle'!$L253=""),"",IF(AND(F$8&lt;='Detalle'!$K253,F$9&gt;='Detalle'!$J253),1,""))</x:f>
      </x:c>
      <x:c r="G517" s="32" t="str">
        <x:f>IF(OR('Detalle'!$J253="",'Detalle'!$K253="",'Detalle'!$L253=""),"",IF(AND(G$8&lt;='Detalle'!$K253,G$9&gt;='Detalle'!$J253),1,""))</x:f>
      </x:c>
      <x:c r="H517" s="32" t="str">
        <x:f>IF(OR('Detalle'!$J253="",'Detalle'!$K253="",'Detalle'!$L253=""),"",IF(AND(H$8&lt;='Detalle'!$K253,H$9&gt;='Detalle'!$J253),1,""))</x:f>
      </x:c>
      <x:c r="I517" s="32" t="str">
        <x:f>IF(OR('Detalle'!$J253="",'Detalle'!$K253="",'Detalle'!$L253=""),"",IF(AND(I$8&lt;='Detalle'!$K253,I$9&gt;='Detalle'!$J253),1,""))</x:f>
      </x:c>
      <x:c r="J517" s="32" t="str">
        <x:f>IF(OR('Detalle'!$J253="",'Detalle'!$K253="",'Detalle'!$L253=""),"",IF(AND(J$8&lt;='Detalle'!$K253,J$9&gt;='Detalle'!$J253),1,""))</x:f>
      </x:c>
      <x:c r="K517" s="32" t="str">
        <x:f>IF(OR('Detalle'!$J253="",'Detalle'!$K253="",'Detalle'!$L253=""),"",IF(AND(K$8&lt;='Detalle'!$K253,K$9&gt;='Detalle'!$J253),1,""))</x:f>
      </x:c>
      <x:c r="L517" s="32" t="str">
        <x:f>IF(OR('Detalle'!$J253="",'Detalle'!$K253="",'Detalle'!$L253=""),"",IF(AND(L$8&lt;='Detalle'!$K253,L$9&gt;='Detalle'!$J253),1,""))</x:f>
      </x:c>
      <x:c r="M517" s="32" t="str">
        <x:f>IF(OR('Detalle'!$J253="",'Detalle'!$K253="",'Detalle'!$L253=""),"",IF(AND(M$8&lt;='Detalle'!$K253,M$9&gt;='Detalle'!$J253),1,""))</x:f>
      </x:c>
      <x:c r="N517" s="32" t="str">
        <x:f>IF(OR('Detalle'!$J253="",'Detalle'!$K253="",'Detalle'!$L253=""),"",IF(AND(N$8&lt;='Detalle'!$K253,N$9&gt;='Detalle'!$J253),1,""))</x:f>
      </x:c>
      <x:c r="O517" s="32" t="str">
        <x:f>IF(OR('Detalle'!$J253="",'Detalle'!$K253="",'Detalle'!$L253=""),"",IF(AND(O$8&lt;='Detalle'!$K253,O$9&gt;='Detalle'!$J253),1,""))</x:f>
      </x:c>
      <x:c r="P517" s="32" t="str">
        <x:f>IF(OR('Detalle'!$J253="",'Detalle'!$K253="",'Detalle'!$L253=""),"",IF(AND(P$8&lt;='Detalle'!$K253,P$9&gt;='Detalle'!$J253),1,""))</x:f>
      </x:c>
      <x:c r="Q517" s="68"/>
      <x:c r="R517" s="67" t="str"/>
      <x:c r="S517" s="67" t="str"/>
    </x:row>
    <x:row r="518" ht="16" customHeight="1">
      <x:c r="A518" s="56" t="str">
        <x:v>PRO02.011</x:v>
      </x:c>
      <x:c r="B518" s="57" t="str">
        <x:v>Capturar precio opcional en MXN</x:v>
      </x:c>
      <x:c r="C518" s="62" t="str">
        <x:v>E</x:v>
      </x:c>
      <x:c r="D518" s="64" t="n">
        <x:f>'Detalle'!I254</x:f>
        <x:v>1</x:v>
      </x:c>
      <x:c r="E518" s="60" t="str">
        <x:f>'Detalle'!F254</x:f>
        <x:v>Completado</x:v>
      </x:c>
      <x:c r="F518" s="32" t="str">
        <x:f>IF(AND(F$8&lt;='Detalle'!$H254,F$9&gt;='Detalle'!$G254),1,"")</x:f>
      </x:c>
      <x:c r="G518" s="32" t="str">
        <x:f>IF(AND(G$8&lt;='Detalle'!$H254,G$9&gt;='Detalle'!$G254),1,"")</x:f>
      </x:c>
      <x:c r="H518" s="32" t="str">
        <x:f>IF(AND(H$8&lt;='Detalle'!$H254,H$9&gt;='Detalle'!$G254),1,"")</x:f>
      </x:c>
      <x:c r="I518" s="32" t="n">
        <x:f>IF(AND(I$8&lt;='Detalle'!$H254,I$9&gt;='Detalle'!$G254),1,"")</x:f>
        <x:v>1</x:v>
      </x:c>
      <x:c r="J518" s="32" t="str">
        <x:f>IF(AND(J$8&lt;='Detalle'!$H254,J$9&gt;='Detalle'!$G254),1,"")</x:f>
      </x:c>
      <x:c r="K518" s="32" t="str">
        <x:f>IF(AND(K$8&lt;='Detalle'!$H254,K$9&gt;='Detalle'!$G254),1,"")</x:f>
      </x:c>
      <x:c r="L518" s="32" t="str">
        <x:f>IF(AND(L$8&lt;='Detalle'!$H254,L$9&gt;='Detalle'!$G254),1,"")</x:f>
      </x:c>
      <x:c r="M518" s="32" t="str">
        <x:f>IF(AND(M$8&lt;='Detalle'!$H254,M$9&gt;='Detalle'!$G254),1,"")</x:f>
      </x:c>
      <x:c r="N518" s="32" t="str">
        <x:f>IF(AND(N$8&lt;='Detalle'!$H254,N$9&gt;='Detalle'!$G254),1,"")</x:f>
      </x:c>
      <x:c r="O518" s="32" t="str">
        <x:f>IF(AND(O$8&lt;='Detalle'!$H254,O$9&gt;='Detalle'!$G254),1,"")</x:f>
      </x:c>
      <x:c r="P518" s="32" t="str">
        <x:f>IF(AND(P$8&lt;='Detalle'!$H254,P$9&gt;='Detalle'!$G254),1,"")</x:f>
      </x:c>
      <x:c r="Q518" s="68"/>
      <x:c r="R518" s="67" t="str">
        <x:f>IF('Detalle'!M254="","",'Detalle'!M254)</x:f>
      </x:c>
      <x:c r="S518" s="67" t="str">
        <x:f>IF('Detalle'!N254="","",'Detalle'!N254)</x:f>
      </x:c>
    </x:row>
    <x:row r="519" ht="16" customHeight="1">
      <x:c r="A519" s="56" t="str">
        <x:v>PRO02.011</x:v>
      </x:c>
      <x:c r="B519" s="57" t="str">
        <x:v>Capturar precio opcional en MXN</x:v>
      </x:c>
      <x:c r="C519" s="63" t="str">
        <x:v>R</x:v>
      </x:c>
      <x:c r="D519" s="65" t="str">
        <x:f>IF('Detalle'!L254="","",'Detalle'!L254)</x:f>
      </x:c>
      <x:c r="E519" s="60" t="str"/>
      <x:c r="F519" s="32" t="str">
        <x:f>IF(OR('Detalle'!$J254="",'Detalle'!$K254="",'Detalle'!$L254=""),"",IF(AND(F$8&lt;='Detalle'!$K254,F$9&gt;='Detalle'!$J254),1,""))</x:f>
      </x:c>
      <x:c r="G519" s="32" t="str">
        <x:f>IF(OR('Detalle'!$J254="",'Detalle'!$K254="",'Detalle'!$L254=""),"",IF(AND(G$8&lt;='Detalle'!$K254,G$9&gt;='Detalle'!$J254),1,""))</x:f>
      </x:c>
      <x:c r="H519" s="32" t="str">
        <x:f>IF(OR('Detalle'!$J254="",'Detalle'!$K254="",'Detalle'!$L254=""),"",IF(AND(H$8&lt;='Detalle'!$K254,H$9&gt;='Detalle'!$J254),1,""))</x:f>
      </x:c>
      <x:c r="I519" s="32" t="str">
        <x:f>IF(OR('Detalle'!$J254="",'Detalle'!$K254="",'Detalle'!$L254=""),"",IF(AND(I$8&lt;='Detalle'!$K254,I$9&gt;='Detalle'!$J254),1,""))</x:f>
      </x:c>
      <x:c r="J519" s="32" t="str">
        <x:f>IF(OR('Detalle'!$J254="",'Detalle'!$K254="",'Detalle'!$L254=""),"",IF(AND(J$8&lt;='Detalle'!$K254,J$9&gt;='Detalle'!$J254),1,""))</x:f>
      </x:c>
      <x:c r="K519" s="32" t="str">
        <x:f>IF(OR('Detalle'!$J254="",'Detalle'!$K254="",'Detalle'!$L254=""),"",IF(AND(K$8&lt;='Detalle'!$K254,K$9&gt;='Detalle'!$J254),1,""))</x:f>
      </x:c>
      <x:c r="L519" s="32" t="str">
        <x:f>IF(OR('Detalle'!$J254="",'Detalle'!$K254="",'Detalle'!$L254=""),"",IF(AND(L$8&lt;='Detalle'!$K254,L$9&gt;='Detalle'!$J254),1,""))</x:f>
      </x:c>
      <x:c r="M519" s="32" t="str">
        <x:f>IF(OR('Detalle'!$J254="",'Detalle'!$K254="",'Detalle'!$L254=""),"",IF(AND(M$8&lt;='Detalle'!$K254,M$9&gt;='Detalle'!$J254),1,""))</x:f>
      </x:c>
      <x:c r="N519" s="32" t="str">
        <x:f>IF(OR('Detalle'!$J254="",'Detalle'!$K254="",'Detalle'!$L254=""),"",IF(AND(N$8&lt;='Detalle'!$K254,N$9&gt;='Detalle'!$J254),1,""))</x:f>
      </x:c>
      <x:c r="O519" s="32" t="str">
        <x:f>IF(OR('Detalle'!$J254="",'Detalle'!$K254="",'Detalle'!$L254=""),"",IF(AND(O$8&lt;='Detalle'!$K254,O$9&gt;='Detalle'!$J254),1,""))</x:f>
      </x:c>
      <x:c r="P519" s="32" t="str">
        <x:f>IF(OR('Detalle'!$J254="",'Detalle'!$K254="",'Detalle'!$L254=""),"",IF(AND(P$8&lt;='Detalle'!$K254,P$9&gt;='Detalle'!$J254),1,""))</x:f>
      </x:c>
      <x:c r="Q519" s="68"/>
      <x:c r="R519" s="67" t="str"/>
      <x:c r="S519" s="67" t="str"/>
    </x:row>
    <x:row r="520" ht="16" customHeight="1">
      <x:c r="A520" s="56" t="str">
        <x:v>PRO02.012</x:v>
      </x:c>
      <x:c r="B520" s="57" t="str">
        <x:v>Capturar disponibilidad de ficha</x:v>
      </x:c>
      <x:c r="C520" s="62" t="str">
        <x:v>E</x:v>
      </x:c>
      <x:c r="D520" s="64" t="n">
        <x:f>'Detalle'!I255</x:f>
        <x:v>1</x:v>
      </x:c>
      <x:c r="E520" s="60" t="str">
        <x:f>'Detalle'!F255</x:f>
        <x:v>Completado</x:v>
      </x:c>
      <x:c r="F520" s="32" t="str">
        <x:f>IF(AND(F$8&lt;='Detalle'!$H255,F$9&gt;='Detalle'!$G255),1,"")</x:f>
      </x:c>
      <x:c r="G520" s="32" t="str">
        <x:f>IF(AND(G$8&lt;='Detalle'!$H255,G$9&gt;='Detalle'!$G255),1,"")</x:f>
      </x:c>
      <x:c r="H520" s="32" t="str">
        <x:f>IF(AND(H$8&lt;='Detalle'!$H255,H$9&gt;='Detalle'!$G255),1,"")</x:f>
      </x:c>
      <x:c r="I520" s="32" t="n">
        <x:f>IF(AND(I$8&lt;='Detalle'!$H255,I$9&gt;='Detalle'!$G255),1,"")</x:f>
        <x:v>1</x:v>
      </x:c>
      <x:c r="J520" s="32" t="str">
        <x:f>IF(AND(J$8&lt;='Detalle'!$H255,J$9&gt;='Detalle'!$G255),1,"")</x:f>
      </x:c>
      <x:c r="K520" s="32" t="str">
        <x:f>IF(AND(K$8&lt;='Detalle'!$H255,K$9&gt;='Detalle'!$G255),1,"")</x:f>
      </x:c>
      <x:c r="L520" s="32" t="str">
        <x:f>IF(AND(L$8&lt;='Detalle'!$H255,L$9&gt;='Detalle'!$G255),1,"")</x:f>
      </x:c>
      <x:c r="M520" s="32" t="str">
        <x:f>IF(AND(M$8&lt;='Detalle'!$H255,M$9&gt;='Detalle'!$G255),1,"")</x:f>
      </x:c>
      <x:c r="N520" s="32" t="str">
        <x:f>IF(AND(N$8&lt;='Detalle'!$H255,N$9&gt;='Detalle'!$G255),1,"")</x:f>
      </x:c>
      <x:c r="O520" s="32" t="str">
        <x:f>IF(AND(O$8&lt;='Detalle'!$H255,O$9&gt;='Detalle'!$G255),1,"")</x:f>
      </x:c>
      <x:c r="P520" s="32" t="str">
        <x:f>IF(AND(P$8&lt;='Detalle'!$H255,P$9&gt;='Detalle'!$G255),1,"")</x:f>
      </x:c>
      <x:c r="Q520" s="68"/>
      <x:c r="R520" s="67" t="str">
        <x:f>IF('Detalle'!M255="","",'Detalle'!M255)</x:f>
      </x:c>
      <x:c r="S520" s="67" t="str">
        <x:f>IF('Detalle'!N255="","",'Detalle'!N255)</x:f>
      </x:c>
    </x:row>
    <x:row r="521" ht="16" customHeight="1">
      <x:c r="A521" s="56" t="str">
        <x:v>PRO02.012</x:v>
      </x:c>
      <x:c r="B521" s="57" t="str">
        <x:v>Capturar disponibilidad de ficha</x:v>
      </x:c>
      <x:c r="C521" s="63" t="str">
        <x:v>R</x:v>
      </x:c>
      <x:c r="D521" s="65" t="str">
        <x:f>IF('Detalle'!L255="","",'Detalle'!L255)</x:f>
      </x:c>
      <x:c r="E521" s="60" t="str"/>
      <x:c r="F521" s="32" t="str">
        <x:f>IF(OR('Detalle'!$J255="",'Detalle'!$K255="",'Detalle'!$L255=""),"",IF(AND(F$8&lt;='Detalle'!$K255,F$9&gt;='Detalle'!$J255),1,""))</x:f>
      </x:c>
      <x:c r="G521" s="32" t="str">
        <x:f>IF(OR('Detalle'!$J255="",'Detalle'!$K255="",'Detalle'!$L255=""),"",IF(AND(G$8&lt;='Detalle'!$K255,G$9&gt;='Detalle'!$J255),1,""))</x:f>
      </x:c>
      <x:c r="H521" s="32" t="str">
        <x:f>IF(OR('Detalle'!$J255="",'Detalle'!$K255="",'Detalle'!$L255=""),"",IF(AND(H$8&lt;='Detalle'!$K255,H$9&gt;='Detalle'!$J255),1,""))</x:f>
      </x:c>
      <x:c r="I521" s="32" t="str">
        <x:f>IF(OR('Detalle'!$J255="",'Detalle'!$K255="",'Detalle'!$L255=""),"",IF(AND(I$8&lt;='Detalle'!$K255,I$9&gt;='Detalle'!$J255),1,""))</x:f>
      </x:c>
      <x:c r="J521" s="32" t="str">
        <x:f>IF(OR('Detalle'!$J255="",'Detalle'!$K255="",'Detalle'!$L255=""),"",IF(AND(J$8&lt;='Detalle'!$K255,J$9&gt;='Detalle'!$J255),1,""))</x:f>
      </x:c>
      <x:c r="K521" s="32" t="str">
        <x:f>IF(OR('Detalle'!$J255="",'Detalle'!$K255="",'Detalle'!$L255=""),"",IF(AND(K$8&lt;='Detalle'!$K255,K$9&gt;='Detalle'!$J255),1,""))</x:f>
      </x:c>
      <x:c r="L521" s="32" t="str">
        <x:f>IF(OR('Detalle'!$J255="",'Detalle'!$K255="",'Detalle'!$L255=""),"",IF(AND(L$8&lt;='Detalle'!$K255,L$9&gt;='Detalle'!$J255),1,""))</x:f>
      </x:c>
      <x:c r="M521" s="32" t="str">
        <x:f>IF(OR('Detalle'!$J255="",'Detalle'!$K255="",'Detalle'!$L255=""),"",IF(AND(M$8&lt;='Detalle'!$K255,M$9&gt;='Detalle'!$J255),1,""))</x:f>
      </x:c>
      <x:c r="N521" s="32" t="str">
        <x:f>IF(OR('Detalle'!$J255="",'Detalle'!$K255="",'Detalle'!$L255=""),"",IF(AND(N$8&lt;='Detalle'!$K255,N$9&gt;='Detalle'!$J255),1,""))</x:f>
      </x:c>
      <x:c r="O521" s="32" t="str">
        <x:f>IF(OR('Detalle'!$J255="",'Detalle'!$K255="",'Detalle'!$L255=""),"",IF(AND(O$8&lt;='Detalle'!$K255,O$9&gt;='Detalle'!$J255),1,""))</x:f>
      </x:c>
      <x:c r="P521" s="32" t="str">
        <x:f>IF(OR('Detalle'!$J255="",'Detalle'!$K255="",'Detalle'!$L255=""),"",IF(AND(P$8&lt;='Detalle'!$K255,P$9&gt;='Detalle'!$J255),1,""))</x:f>
      </x:c>
      <x:c r="Q521" s="68"/>
      <x:c r="R521" s="67" t="str"/>
      <x:c r="S521" s="67" t="str"/>
    </x:row>
    <x:row r="522" ht="16" customHeight="1">
      <x:c r="A522" s="56" t="str">
        <x:v>PRO02.013</x:v>
      </x:c>
      <x:c r="B522" s="57" t="str">
        <x:v>Guardar borrador privado</x:v>
      </x:c>
      <x:c r="C522" s="62" t="str">
        <x:v>E</x:v>
      </x:c>
      <x:c r="D522" s="64" t="n">
        <x:f>'Detalle'!I256</x:f>
        <x:v>1</x:v>
      </x:c>
      <x:c r="E522" s="60" t="str">
        <x:f>'Detalle'!F256</x:f>
        <x:v>Completado</x:v>
      </x:c>
      <x:c r="F522" s="32" t="str">
        <x:f>IF(AND(F$8&lt;='Detalle'!$H256,F$9&gt;='Detalle'!$G256),1,"")</x:f>
      </x:c>
      <x:c r="G522" s="32" t="str">
        <x:f>IF(AND(G$8&lt;='Detalle'!$H256,G$9&gt;='Detalle'!$G256),1,"")</x:f>
      </x:c>
      <x:c r="H522" s="32" t="str">
        <x:f>IF(AND(H$8&lt;='Detalle'!$H256,H$9&gt;='Detalle'!$G256),1,"")</x:f>
      </x:c>
      <x:c r="I522" s="32" t="n">
        <x:f>IF(AND(I$8&lt;='Detalle'!$H256,I$9&gt;='Detalle'!$G256),1,"")</x:f>
        <x:v>1</x:v>
      </x:c>
      <x:c r="J522" s="32" t="str">
        <x:f>IF(AND(J$8&lt;='Detalle'!$H256,J$9&gt;='Detalle'!$G256),1,"")</x:f>
      </x:c>
      <x:c r="K522" s="32" t="str">
        <x:f>IF(AND(K$8&lt;='Detalle'!$H256,K$9&gt;='Detalle'!$G256),1,"")</x:f>
      </x:c>
      <x:c r="L522" s="32" t="str">
        <x:f>IF(AND(L$8&lt;='Detalle'!$H256,L$9&gt;='Detalle'!$G256),1,"")</x:f>
      </x:c>
      <x:c r="M522" s="32" t="str">
        <x:f>IF(AND(M$8&lt;='Detalle'!$H256,M$9&gt;='Detalle'!$G256),1,"")</x:f>
      </x:c>
      <x:c r="N522" s="32" t="str">
        <x:f>IF(AND(N$8&lt;='Detalle'!$H256,N$9&gt;='Detalle'!$G256),1,"")</x:f>
      </x:c>
      <x:c r="O522" s="32" t="str">
        <x:f>IF(AND(O$8&lt;='Detalle'!$H256,O$9&gt;='Detalle'!$G256),1,"")</x:f>
      </x:c>
      <x:c r="P522" s="32" t="str">
        <x:f>IF(AND(P$8&lt;='Detalle'!$H256,P$9&gt;='Detalle'!$G256),1,"")</x:f>
      </x:c>
      <x:c r="Q522" s="68"/>
      <x:c r="R522" s="67" t="str">
        <x:f>IF('Detalle'!M256="","",'Detalle'!M256)</x:f>
      </x:c>
      <x:c r="S522" s="67" t="str">
        <x:f>IF('Detalle'!N256="","",'Detalle'!N256)</x:f>
      </x:c>
    </x:row>
    <x:row r="523" ht="16" customHeight="1">
      <x:c r="A523" s="56" t="str">
        <x:v>PRO02.013</x:v>
      </x:c>
      <x:c r="B523" s="57" t="str">
        <x:v>Guardar borrador privado</x:v>
      </x:c>
      <x:c r="C523" s="63" t="str">
        <x:v>R</x:v>
      </x:c>
      <x:c r="D523" s="65" t="str">
        <x:f>IF('Detalle'!L256="","",'Detalle'!L256)</x:f>
      </x:c>
      <x:c r="E523" s="60" t="str"/>
      <x:c r="F523" s="32" t="str">
        <x:f>IF(OR('Detalle'!$J256="",'Detalle'!$K256="",'Detalle'!$L256=""),"",IF(AND(F$8&lt;='Detalle'!$K256,F$9&gt;='Detalle'!$J256),1,""))</x:f>
      </x:c>
      <x:c r="G523" s="32" t="str">
        <x:f>IF(OR('Detalle'!$J256="",'Detalle'!$K256="",'Detalle'!$L256=""),"",IF(AND(G$8&lt;='Detalle'!$K256,G$9&gt;='Detalle'!$J256),1,""))</x:f>
      </x:c>
      <x:c r="H523" s="32" t="str">
        <x:f>IF(OR('Detalle'!$J256="",'Detalle'!$K256="",'Detalle'!$L256=""),"",IF(AND(H$8&lt;='Detalle'!$K256,H$9&gt;='Detalle'!$J256),1,""))</x:f>
      </x:c>
      <x:c r="I523" s="32" t="str">
        <x:f>IF(OR('Detalle'!$J256="",'Detalle'!$K256="",'Detalle'!$L256=""),"",IF(AND(I$8&lt;='Detalle'!$K256,I$9&gt;='Detalle'!$J256),1,""))</x:f>
      </x:c>
      <x:c r="J523" s="32" t="str">
        <x:f>IF(OR('Detalle'!$J256="",'Detalle'!$K256="",'Detalle'!$L256=""),"",IF(AND(J$8&lt;='Detalle'!$K256,J$9&gt;='Detalle'!$J256),1,""))</x:f>
      </x:c>
      <x:c r="K523" s="32" t="str">
        <x:f>IF(OR('Detalle'!$J256="",'Detalle'!$K256="",'Detalle'!$L256=""),"",IF(AND(K$8&lt;='Detalle'!$K256,K$9&gt;='Detalle'!$J256),1,""))</x:f>
      </x:c>
      <x:c r="L523" s="32" t="str">
        <x:f>IF(OR('Detalle'!$J256="",'Detalle'!$K256="",'Detalle'!$L256=""),"",IF(AND(L$8&lt;='Detalle'!$K256,L$9&gt;='Detalle'!$J256),1,""))</x:f>
      </x:c>
      <x:c r="M523" s="32" t="str">
        <x:f>IF(OR('Detalle'!$J256="",'Detalle'!$K256="",'Detalle'!$L256=""),"",IF(AND(M$8&lt;='Detalle'!$K256,M$9&gt;='Detalle'!$J256),1,""))</x:f>
      </x:c>
      <x:c r="N523" s="32" t="str">
        <x:f>IF(OR('Detalle'!$J256="",'Detalle'!$K256="",'Detalle'!$L256=""),"",IF(AND(N$8&lt;='Detalle'!$K256,N$9&gt;='Detalle'!$J256),1,""))</x:f>
      </x:c>
      <x:c r="O523" s="32" t="str">
        <x:f>IF(OR('Detalle'!$J256="",'Detalle'!$K256="",'Detalle'!$L256=""),"",IF(AND(O$8&lt;='Detalle'!$K256,O$9&gt;='Detalle'!$J256),1,""))</x:f>
      </x:c>
      <x:c r="P523" s="32" t="str">
        <x:f>IF(OR('Detalle'!$J256="",'Detalle'!$K256="",'Detalle'!$L256=""),"",IF(AND(P$8&lt;='Detalle'!$K256,P$9&gt;='Detalle'!$J256),1,""))</x:f>
      </x:c>
      <x:c r="Q523" s="68"/>
      <x:c r="R523" s="67" t="str"/>
      <x:c r="S523" s="67" t="str"/>
    </x:row>
    <x:row r="524" ht="16" customHeight="1">
      <x:c r="A524" s="56" t="str">
        <x:v>PRO02.014</x:v>
      </x:c>
      <x:c r="B524" s="57" t="str">
        <x:v>Publicar ficha válida</x:v>
      </x:c>
      <x:c r="C524" s="62" t="str">
        <x:v>E</x:v>
      </x:c>
      <x:c r="D524" s="64" t="n">
        <x:f>'Detalle'!I257</x:f>
        <x:v>1</x:v>
      </x:c>
      <x:c r="E524" s="60" t="str">
        <x:f>'Detalle'!F257</x:f>
        <x:v>Completado</x:v>
      </x:c>
      <x:c r="F524" s="32" t="str">
        <x:f>IF(AND(F$8&lt;='Detalle'!$H257,F$9&gt;='Detalle'!$G257),1,"")</x:f>
      </x:c>
      <x:c r="G524" s="32" t="str">
        <x:f>IF(AND(G$8&lt;='Detalle'!$H257,G$9&gt;='Detalle'!$G257),1,"")</x:f>
      </x:c>
      <x:c r="H524" s="32" t="str">
        <x:f>IF(AND(H$8&lt;='Detalle'!$H257,H$9&gt;='Detalle'!$G257),1,"")</x:f>
      </x:c>
      <x:c r="I524" s="32" t="n">
        <x:f>IF(AND(I$8&lt;='Detalle'!$H257,I$9&gt;='Detalle'!$G257),1,"")</x:f>
        <x:v>1</x:v>
      </x:c>
      <x:c r="J524" s="32" t="str">
        <x:f>IF(AND(J$8&lt;='Detalle'!$H257,J$9&gt;='Detalle'!$G257),1,"")</x:f>
      </x:c>
      <x:c r="K524" s="32" t="str">
        <x:f>IF(AND(K$8&lt;='Detalle'!$H257,K$9&gt;='Detalle'!$G257),1,"")</x:f>
      </x:c>
      <x:c r="L524" s="32" t="str">
        <x:f>IF(AND(L$8&lt;='Detalle'!$H257,L$9&gt;='Detalle'!$G257),1,"")</x:f>
      </x:c>
      <x:c r="M524" s="32" t="str">
        <x:f>IF(AND(M$8&lt;='Detalle'!$H257,M$9&gt;='Detalle'!$G257),1,"")</x:f>
      </x:c>
      <x:c r="N524" s="32" t="str">
        <x:f>IF(AND(N$8&lt;='Detalle'!$H257,N$9&gt;='Detalle'!$G257),1,"")</x:f>
      </x:c>
      <x:c r="O524" s="32" t="str">
        <x:f>IF(AND(O$8&lt;='Detalle'!$H257,O$9&gt;='Detalle'!$G257),1,"")</x:f>
      </x:c>
      <x:c r="P524" s="32" t="str">
        <x:f>IF(AND(P$8&lt;='Detalle'!$H257,P$9&gt;='Detalle'!$G257),1,"")</x:f>
      </x:c>
      <x:c r="Q524" s="68"/>
      <x:c r="R524" s="67" t="str">
        <x:f>IF('Detalle'!M257="","",'Detalle'!M257)</x:f>
      </x:c>
      <x:c r="S524" s="67" t="str">
        <x:f>IF('Detalle'!N257="","",'Detalle'!N257)</x:f>
      </x:c>
    </x:row>
    <x:row r="525" ht="16" customHeight="1">
      <x:c r="A525" s="56" t="str">
        <x:v>PRO02.014</x:v>
      </x:c>
      <x:c r="B525" s="57" t="str">
        <x:v>Publicar ficha válida</x:v>
      </x:c>
      <x:c r="C525" s="63" t="str">
        <x:v>R</x:v>
      </x:c>
      <x:c r="D525" s="65" t="str">
        <x:f>IF('Detalle'!L257="","",'Detalle'!L257)</x:f>
      </x:c>
      <x:c r="E525" s="60" t="str"/>
      <x:c r="F525" s="32" t="str">
        <x:f>IF(OR('Detalle'!$J257="",'Detalle'!$K257="",'Detalle'!$L257=""),"",IF(AND(F$8&lt;='Detalle'!$K257,F$9&gt;='Detalle'!$J257),1,""))</x:f>
      </x:c>
      <x:c r="G525" s="32" t="str">
        <x:f>IF(OR('Detalle'!$J257="",'Detalle'!$K257="",'Detalle'!$L257=""),"",IF(AND(G$8&lt;='Detalle'!$K257,G$9&gt;='Detalle'!$J257),1,""))</x:f>
      </x:c>
      <x:c r="H525" s="32" t="str">
        <x:f>IF(OR('Detalle'!$J257="",'Detalle'!$K257="",'Detalle'!$L257=""),"",IF(AND(H$8&lt;='Detalle'!$K257,H$9&gt;='Detalle'!$J257),1,""))</x:f>
      </x:c>
      <x:c r="I525" s="32" t="str">
        <x:f>IF(OR('Detalle'!$J257="",'Detalle'!$K257="",'Detalle'!$L257=""),"",IF(AND(I$8&lt;='Detalle'!$K257,I$9&gt;='Detalle'!$J257),1,""))</x:f>
      </x:c>
      <x:c r="J525" s="32" t="str">
        <x:f>IF(OR('Detalle'!$J257="",'Detalle'!$K257="",'Detalle'!$L257=""),"",IF(AND(J$8&lt;='Detalle'!$K257,J$9&gt;='Detalle'!$J257),1,""))</x:f>
      </x:c>
      <x:c r="K525" s="32" t="str">
        <x:f>IF(OR('Detalle'!$J257="",'Detalle'!$K257="",'Detalle'!$L257=""),"",IF(AND(K$8&lt;='Detalle'!$K257,K$9&gt;='Detalle'!$J257),1,""))</x:f>
      </x:c>
      <x:c r="L525" s="32" t="str">
        <x:f>IF(OR('Detalle'!$J257="",'Detalle'!$K257="",'Detalle'!$L257=""),"",IF(AND(L$8&lt;='Detalle'!$K257,L$9&gt;='Detalle'!$J257),1,""))</x:f>
      </x:c>
      <x:c r="M525" s="32" t="str">
        <x:f>IF(OR('Detalle'!$J257="",'Detalle'!$K257="",'Detalle'!$L257=""),"",IF(AND(M$8&lt;='Detalle'!$K257,M$9&gt;='Detalle'!$J257),1,""))</x:f>
      </x:c>
      <x:c r="N525" s="32" t="str">
        <x:f>IF(OR('Detalle'!$J257="",'Detalle'!$K257="",'Detalle'!$L257=""),"",IF(AND(N$8&lt;='Detalle'!$K257,N$9&gt;='Detalle'!$J257),1,""))</x:f>
      </x:c>
      <x:c r="O525" s="32" t="str">
        <x:f>IF(OR('Detalle'!$J257="",'Detalle'!$K257="",'Detalle'!$L257=""),"",IF(AND(O$8&lt;='Detalle'!$K257,O$9&gt;='Detalle'!$J257),1,""))</x:f>
      </x:c>
      <x:c r="P525" s="32" t="str">
        <x:f>IF(OR('Detalle'!$J257="",'Detalle'!$K257="",'Detalle'!$L257=""),"",IF(AND(P$8&lt;='Detalle'!$K257,P$9&gt;='Detalle'!$J257),1,""))</x:f>
      </x:c>
      <x:c r="Q525" s="68"/>
      <x:c r="R525" s="67" t="str"/>
      <x:c r="S525" s="67" t="str"/>
    </x:row>
    <x:row r="526" ht="16" customHeight="1">
      <x:c r="A526" s="56" t="str">
        <x:v>PRO02.015</x:v>
      </x:c>
      <x:c r="B526" s="57" t="str">
        <x:v>Editar ficha propia</x:v>
      </x:c>
      <x:c r="C526" s="62" t="str">
        <x:v>E</x:v>
      </x:c>
      <x:c r="D526" s="64" t="n">
        <x:f>'Detalle'!I258</x:f>
        <x:v>1</x:v>
      </x:c>
      <x:c r="E526" s="60" t="str">
        <x:f>'Detalle'!F258</x:f>
        <x:v>Completado</x:v>
      </x:c>
      <x:c r="F526" s="32" t="str">
        <x:f>IF(AND(F$8&lt;='Detalle'!$H258,F$9&gt;='Detalle'!$G258),1,"")</x:f>
      </x:c>
      <x:c r="G526" s="32" t="str">
        <x:f>IF(AND(G$8&lt;='Detalle'!$H258,G$9&gt;='Detalle'!$G258),1,"")</x:f>
      </x:c>
      <x:c r="H526" s="32" t="str">
        <x:f>IF(AND(H$8&lt;='Detalle'!$H258,H$9&gt;='Detalle'!$G258),1,"")</x:f>
      </x:c>
      <x:c r="I526" s="32" t="n">
        <x:f>IF(AND(I$8&lt;='Detalle'!$H258,I$9&gt;='Detalle'!$G258),1,"")</x:f>
        <x:v>1</x:v>
      </x:c>
      <x:c r="J526" s="32" t="str">
        <x:f>IF(AND(J$8&lt;='Detalle'!$H258,J$9&gt;='Detalle'!$G258),1,"")</x:f>
      </x:c>
      <x:c r="K526" s="32" t="str">
        <x:f>IF(AND(K$8&lt;='Detalle'!$H258,K$9&gt;='Detalle'!$G258),1,"")</x:f>
      </x:c>
      <x:c r="L526" s="32" t="str">
        <x:f>IF(AND(L$8&lt;='Detalle'!$H258,L$9&gt;='Detalle'!$G258),1,"")</x:f>
      </x:c>
      <x:c r="M526" s="32" t="str">
        <x:f>IF(AND(M$8&lt;='Detalle'!$H258,M$9&gt;='Detalle'!$G258),1,"")</x:f>
      </x:c>
      <x:c r="N526" s="32" t="str">
        <x:f>IF(AND(N$8&lt;='Detalle'!$H258,N$9&gt;='Detalle'!$G258),1,"")</x:f>
      </x:c>
      <x:c r="O526" s="32" t="str">
        <x:f>IF(AND(O$8&lt;='Detalle'!$H258,O$9&gt;='Detalle'!$G258),1,"")</x:f>
      </x:c>
      <x:c r="P526" s="32" t="str">
        <x:f>IF(AND(P$8&lt;='Detalle'!$H258,P$9&gt;='Detalle'!$G258),1,"")</x:f>
      </x:c>
      <x:c r="Q526" s="68"/>
      <x:c r="R526" s="67" t="str">
        <x:f>IF('Detalle'!M258="","",'Detalle'!M258)</x:f>
      </x:c>
      <x:c r="S526" s="67" t="str">
        <x:f>IF('Detalle'!N258="","",'Detalle'!N258)</x:f>
      </x:c>
    </x:row>
    <x:row r="527" ht="16" customHeight="1">
      <x:c r="A527" s="56" t="str">
        <x:v>PRO02.015</x:v>
      </x:c>
      <x:c r="B527" s="57" t="str">
        <x:v>Editar ficha propia</x:v>
      </x:c>
      <x:c r="C527" s="63" t="str">
        <x:v>R</x:v>
      </x:c>
      <x:c r="D527" s="65" t="str">
        <x:f>IF('Detalle'!L258="","",'Detalle'!L258)</x:f>
      </x:c>
      <x:c r="E527" s="60" t="str"/>
      <x:c r="F527" s="32" t="str">
        <x:f>IF(OR('Detalle'!$J258="",'Detalle'!$K258="",'Detalle'!$L258=""),"",IF(AND(F$8&lt;='Detalle'!$K258,F$9&gt;='Detalle'!$J258),1,""))</x:f>
      </x:c>
      <x:c r="G527" s="32" t="str">
        <x:f>IF(OR('Detalle'!$J258="",'Detalle'!$K258="",'Detalle'!$L258=""),"",IF(AND(G$8&lt;='Detalle'!$K258,G$9&gt;='Detalle'!$J258),1,""))</x:f>
      </x:c>
      <x:c r="H527" s="32" t="str">
        <x:f>IF(OR('Detalle'!$J258="",'Detalle'!$K258="",'Detalle'!$L258=""),"",IF(AND(H$8&lt;='Detalle'!$K258,H$9&gt;='Detalle'!$J258),1,""))</x:f>
      </x:c>
      <x:c r="I527" s="32" t="str">
        <x:f>IF(OR('Detalle'!$J258="",'Detalle'!$K258="",'Detalle'!$L258=""),"",IF(AND(I$8&lt;='Detalle'!$K258,I$9&gt;='Detalle'!$J258),1,""))</x:f>
      </x:c>
      <x:c r="J527" s="32" t="str">
        <x:f>IF(OR('Detalle'!$J258="",'Detalle'!$K258="",'Detalle'!$L258=""),"",IF(AND(J$8&lt;='Detalle'!$K258,J$9&gt;='Detalle'!$J258),1,""))</x:f>
      </x:c>
      <x:c r="K527" s="32" t="str">
        <x:f>IF(OR('Detalle'!$J258="",'Detalle'!$K258="",'Detalle'!$L258=""),"",IF(AND(K$8&lt;='Detalle'!$K258,K$9&gt;='Detalle'!$J258),1,""))</x:f>
      </x:c>
      <x:c r="L527" s="32" t="str">
        <x:f>IF(OR('Detalle'!$J258="",'Detalle'!$K258="",'Detalle'!$L258=""),"",IF(AND(L$8&lt;='Detalle'!$K258,L$9&gt;='Detalle'!$J258),1,""))</x:f>
      </x:c>
      <x:c r="M527" s="32" t="str">
        <x:f>IF(OR('Detalle'!$J258="",'Detalle'!$K258="",'Detalle'!$L258=""),"",IF(AND(M$8&lt;='Detalle'!$K258,M$9&gt;='Detalle'!$J258),1,""))</x:f>
      </x:c>
      <x:c r="N527" s="32" t="str">
        <x:f>IF(OR('Detalle'!$J258="",'Detalle'!$K258="",'Detalle'!$L258=""),"",IF(AND(N$8&lt;='Detalle'!$K258,N$9&gt;='Detalle'!$J258),1,""))</x:f>
      </x:c>
      <x:c r="O527" s="32" t="str">
        <x:f>IF(OR('Detalle'!$J258="",'Detalle'!$K258="",'Detalle'!$L258=""),"",IF(AND(O$8&lt;='Detalle'!$K258,O$9&gt;='Detalle'!$J258),1,""))</x:f>
      </x:c>
      <x:c r="P527" s="32" t="str">
        <x:f>IF(OR('Detalle'!$J258="",'Detalle'!$K258="",'Detalle'!$L258=""),"",IF(AND(P$8&lt;='Detalle'!$K258,P$9&gt;='Detalle'!$J258),1,""))</x:f>
      </x:c>
      <x:c r="Q527" s="68"/>
      <x:c r="R527" s="67" t="str"/>
      <x:c r="S527" s="67" t="str"/>
    </x:row>
    <x:row r="528" ht="16" customHeight="1">
      <x:c r="A528" s="56" t="str">
        <x:v>PRO02.016</x:v>
      </x:c>
      <x:c r="B528" s="57" t="str">
        <x:v>Archivar ficha</x:v>
      </x:c>
      <x:c r="C528" s="62" t="str">
        <x:v>E</x:v>
      </x:c>
      <x:c r="D528" s="64" t="n">
        <x:f>'Detalle'!I259</x:f>
        <x:v>1</x:v>
      </x:c>
      <x:c r="E528" s="60" t="str">
        <x:f>'Detalle'!F259</x:f>
        <x:v>Completado</x:v>
      </x:c>
      <x:c r="F528" s="32" t="str">
        <x:f>IF(AND(F$8&lt;='Detalle'!$H259,F$9&gt;='Detalle'!$G259),1,"")</x:f>
      </x:c>
      <x:c r="G528" s="32" t="str">
        <x:f>IF(AND(G$8&lt;='Detalle'!$H259,G$9&gt;='Detalle'!$G259),1,"")</x:f>
      </x:c>
      <x:c r="H528" s="32" t="str">
        <x:f>IF(AND(H$8&lt;='Detalle'!$H259,H$9&gt;='Detalle'!$G259),1,"")</x:f>
      </x:c>
      <x:c r="I528" s="32" t="n">
        <x:f>IF(AND(I$8&lt;='Detalle'!$H259,I$9&gt;='Detalle'!$G259),1,"")</x:f>
        <x:v>1</x:v>
      </x:c>
      <x:c r="J528" s="32" t="str">
        <x:f>IF(AND(J$8&lt;='Detalle'!$H259,J$9&gt;='Detalle'!$G259),1,"")</x:f>
      </x:c>
      <x:c r="K528" s="32" t="str">
        <x:f>IF(AND(K$8&lt;='Detalle'!$H259,K$9&gt;='Detalle'!$G259),1,"")</x:f>
      </x:c>
      <x:c r="L528" s="32" t="str">
        <x:f>IF(AND(L$8&lt;='Detalle'!$H259,L$9&gt;='Detalle'!$G259),1,"")</x:f>
      </x:c>
      <x:c r="M528" s="32" t="str">
        <x:f>IF(AND(M$8&lt;='Detalle'!$H259,M$9&gt;='Detalle'!$G259),1,"")</x:f>
      </x:c>
      <x:c r="N528" s="32" t="str">
        <x:f>IF(AND(N$8&lt;='Detalle'!$H259,N$9&gt;='Detalle'!$G259),1,"")</x:f>
      </x:c>
      <x:c r="O528" s="32" t="str">
        <x:f>IF(AND(O$8&lt;='Detalle'!$H259,O$9&gt;='Detalle'!$G259),1,"")</x:f>
      </x:c>
      <x:c r="P528" s="32" t="str">
        <x:f>IF(AND(P$8&lt;='Detalle'!$H259,P$9&gt;='Detalle'!$G259),1,"")</x:f>
      </x:c>
      <x:c r="Q528" s="68"/>
      <x:c r="R528" s="67" t="str">
        <x:f>IF('Detalle'!M259="","",'Detalle'!M259)</x:f>
      </x:c>
      <x:c r="S528" s="67" t="str">
        <x:f>IF('Detalle'!N259="","",'Detalle'!N259)</x:f>
      </x:c>
    </x:row>
    <x:row r="529" ht="16" customHeight="1">
      <x:c r="A529" s="56" t="str">
        <x:v>PRO02.016</x:v>
      </x:c>
      <x:c r="B529" s="57" t="str">
        <x:v>Archivar ficha</x:v>
      </x:c>
      <x:c r="C529" s="63" t="str">
        <x:v>R</x:v>
      </x:c>
      <x:c r="D529" s="65" t="str">
        <x:f>IF('Detalle'!L259="","",'Detalle'!L259)</x:f>
      </x:c>
      <x:c r="E529" s="60" t="str"/>
      <x:c r="F529" s="32" t="str">
        <x:f>IF(OR('Detalle'!$J259="",'Detalle'!$K259="",'Detalle'!$L259=""),"",IF(AND(F$8&lt;='Detalle'!$K259,F$9&gt;='Detalle'!$J259),1,""))</x:f>
      </x:c>
      <x:c r="G529" s="32" t="str">
        <x:f>IF(OR('Detalle'!$J259="",'Detalle'!$K259="",'Detalle'!$L259=""),"",IF(AND(G$8&lt;='Detalle'!$K259,G$9&gt;='Detalle'!$J259),1,""))</x:f>
      </x:c>
      <x:c r="H529" s="32" t="str">
        <x:f>IF(OR('Detalle'!$J259="",'Detalle'!$K259="",'Detalle'!$L259=""),"",IF(AND(H$8&lt;='Detalle'!$K259,H$9&gt;='Detalle'!$J259),1,""))</x:f>
      </x:c>
      <x:c r="I529" s="32" t="str">
        <x:f>IF(OR('Detalle'!$J259="",'Detalle'!$K259="",'Detalle'!$L259=""),"",IF(AND(I$8&lt;='Detalle'!$K259,I$9&gt;='Detalle'!$J259),1,""))</x:f>
      </x:c>
      <x:c r="J529" s="32" t="str">
        <x:f>IF(OR('Detalle'!$J259="",'Detalle'!$K259="",'Detalle'!$L259=""),"",IF(AND(J$8&lt;='Detalle'!$K259,J$9&gt;='Detalle'!$J259),1,""))</x:f>
      </x:c>
      <x:c r="K529" s="32" t="str">
        <x:f>IF(OR('Detalle'!$J259="",'Detalle'!$K259="",'Detalle'!$L259=""),"",IF(AND(K$8&lt;='Detalle'!$K259,K$9&gt;='Detalle'!$J259),1,""))</x:f>
      </x:c>
      <x:c r="L529" s="32" t="str">
        <x:f>IF(OR('Detalle'!$J259="",'Detalle'!$K259="",'Detalle'!$L259=""),"",IF(AND(L$8&lt;='Detalle'!$K259,L$9&gt;='Detalle'!$J259),1,""))</x:f>
      </x:c>
      <x:c r="M529" s="32" t="str">
        <x:f>IF(OR('Detalle'!$J259="",'Detalle'!$K259="",'Detalle'!$L259=""),"",IF(AND(M$8&lt;='Detalle'!$K259,M$9&gt;='Detalle'!$J259),1,""))</x:f>
      </x:c>
      <x:c r="N529" s="32" t="str">
        <x:f>IF(OR('Detalle'!$J259="",'Detalle'!$K259="",'Detalle'!$L259=""),"",IF(AND(N$8&lt;='Detalle'!$K259,N$9&gt;='Detalle'!$J259),1,""))</x:f>
      </x:c>
      <x:c r="O529" s="32" t="str">
        <x:f>IF(OR('Detalle'!$J259="",'Detalle'!$K259="",'Detalle'!$L259=""),"",IF(AND(O$8&lt;='Detalle'!$K259,O$9&gt;='Detalle'!$J259),1,""))</x:f>
      </x:c>
      <x:c r="P529" s="32" t="str">
        <x:f>IF(OR('Detalle'!$J259="",'Detalle'!$K259="",'Detalle'!$L259=""),"",IF(AND(P$8&lt;='Detalle'!$K259,P$9&gt;='Detalle'!$J259),1,""))</x:f>
      </x:c>
      <x:c r="Q529" s="68"/>
      <x:c r="R529" s="67" t="str"/>
      <x:c r="S529" s="67" t="str"/>
    </x:row>
    <x:row r="530" ht="16" customHeight="1">
      <x:c r="A530" s="56" t="str">
        <x:v>PRO02.017</x:v>
      </x:c>
      <x:c r="B530" s="57" t="str">
        <x:v>Volver ficha a borrador</x:v>
      </x:c>
      <x:c r="C530" s="62" t="str">
        <x:v>E</x:v>
      </x:c>
      <x:c r="D530" s="64" t="n">
        <x:f>'Detalle'!I260</x:f>
        <x:v>1</x:v>
      </x:c>
      <x:c r="E530" s="60" t="str">
        <x:f>'Detalle'!F260</x:f>
        <x:v>Completado</x:v>
      </x:c>
      <x:c r="F530" s="32" t="str">
        <x:f>IF(AND(F$8&lt;='Detalle'!$H260,F$9&gt;='Detalle'!$G260),1,"")</x:f>
      </x:c>
      <x:c r="G530" s="32" t="str">
        <x:f>IF(AND(G$8&lt;='Detalle'!$H260,G$9&gt;='Detalle'!$G260),1,"")</x:f>
      </x:c>
      <x:c r="H530" s="32" t="str">
        <x:f>IF(AND(H$8&lt;='Detalle'!$H260,H$9&gt;='Detalle'!$G260),1,"")</x:f>
      </x:c>
      <x:c r="I530" s="32" t="n">
        <x:f>IF(AND(I$8&lt;='Detalle'!$H260,I$9&gt;='Detalle'!$G260),1,"")</x:f>
        <x:v>1</x:v>
      </x:c>
      <x:c r="J530" s="32" t="str">
        <x:f>IF(AND(J$8&lt;='Detalle'!$H260,J$9&gt;='Detalle'!$G260),1,"")</x:f>
      </x:c>
      <x:c r="K530" s="32" t="str">
        <x:f>IF(AND(K$8&lt;='Detalle'!$H260,K$9&gt;='Detalle'!$G260),1,"")</x:f>
      </x:c>
      <x:c r="L530" s="32" t="str">
        <x:f>IF(AND(L$8&lt;='Detalle'!$H260,L$9&gt;='Detalle'!$G260),1,"")</x:f>
      </x:c>
      <x:c r="M530" s="32" t="str">
        <x:f>IF(AND(M$8&lt;='Detalle'!$H260,M$9&gt;='Detalle'!$G260),1,"")</x:f>
      </x:c>
      <x:c r="N530" s="32" t="str">
        <x:f>IF(AND(N$8&lt;='Detalle'!$H260,N$9&gt;='Detalle'!$G260),1,"")</x:f>
      </x:c>
      <x:c r="O530" s="32" t="str">
        <x:f>IF(AND(O$8&lt;='Detalle'!$H260,O$9&gt;='Detalle'!$G260),1,"")</x:f>
      </x:c>
      <x:c r="P530" s="32" t="str">
        <x:f>IF(AND(P$8&lt;='Detalle'!$H260,P$9&gt;='Detalle'!$G260),1,"")</x:f>
      </x:c>
      <x:c r="Q530" s="68"/>
      <x:c r="R530" s="67" t="str">
        <x:f>IF('Detalle'!M260="","",'Detalle'!M260)</x:f>
      </x:c>
      <x:c r="S530" s="67" t="str">
        <x:f>IF('Detalle'!N260="","",'Detalle'!N260)</x:f>
      </x:c>
    </x:row>
    <x:row r="531" ht="16" customHeight="1">
      <x:c r="A531" s="56" t="str">
        <x:v>PRO02.017</x:v>
      </x:c>
      <x:c r="B531" s="57" t="str">
        <x:v>Volver ficha a borrador</x:v>
      </x:c>
      <x:c r="C531" s="63" t="str">
        <x:v>R</x:v>
      </x:c>
      <x:c r="D531" s="65" t="str">
        <x:f>IF('Detalle'!L260="","",'Detalle'!L260)</x:f>
      </x:c>
      <x:c r="E531" s="60" t="str"/>
      <x:c r="F531" s="32" t="str">
        <x:f>IF(OR('Detalle'!$J260="",'Detalle'!$K260="",'Detalle'!$L260=""),"",IF(AND(F$8&lt;='Detalle'!$K260,F$9&gt;='Detalle'!$J260),1,""))</x:f>
      </x:c>
      <x:c r="G531" s="32" t="str">
        <x:f>IF(OR('Detalle'!$J260="",'Detalle'!$K260="",'Detalle'!$L260=""),"",IF(AND(G$8&lt;='Detalle'!$K260,G$9&gt;='Detalle'!$J260),1,""))</x:f>
      </x:c>
      <x:c r="H531" s="32" t="str">
        <x:f>IF(OR('Detalle'!$J260="",'Detalle'!$K260="",'Detalle'!$L260=""),"",IF(AND(H$8&lt;='Detalle'!$K260,H$9&gt;='Detalle'!$J260),1,""))</x:f>
      </x:c>
      <x:c r="I531" s="32" t="str">
        <x:f>IF(OR('Detalle'!$J260="",'Detalle'!$K260="",'Detalle'!$L260=""),"",IF(AND(I$8&lt;='Detalle'!$K260,I$9&gt;='Detalle'!$J260),1,""))</x:f>
      </x:c>
      <x:c r="J531" s="32" t="str">
        <x:f>IF(OR('Detalle'!$J260="",'Detalle'!$K260="",'Detalle'!$L260=""),"",IF(AND(J$8&lt;='Detalle'!$K260,J$9&gt;='Detalle'!$J260),1,""))</x:f>
      </x:c>
      <x:c r="K531" s="32" t="str">
        <x:f>IF(OR('Detalle'!$J260="",'Detalle'!$K260="",'Detalle'!$L260=""),"",IF(AND(K$8&lt;='Detalle'!$K260,K$9&gt;='Detalle'!$J260),1,""))</x:f>
      </x:c>
      <x:c r="L531" s="32" t="str">
        <x:f>IF(OR('Detalle'!$J260="",'Detalle'!$K260="",'Detalle'!$L260=""),"",IF(AND(L$8&lt;='Detalle'!$K260,L$9&gt;='Detalle'!$J260),1,""))</x:f>
      </x:c>
      <x:c r="M531" s="32" t="str">
        <x:f>IF(OR('Detalle'!$J260="",'Detalle'!$K260="",'Detalle'!$L260=""),"",IF(AND(M$8&lt;='Detalle'!$K260,M$9&gt;='Detalle'!$J260),1,""))</x:f>
      </x:c>
      <x:c r="N531" s="32" t="str">
        <x:f>IF(OR('Detalle'!$J260="",'Detalle'!$K260="",'Detalle'!$L260=""),"",IF(AND(N$8&lt;='Detalle'!$K260,N$9&gt;='Detalle'!$J260),1,""))</x:f>
      </x:c>
      <x:c r="O531" s="32" t="str">
        <x:f>IF(OR('Detalle'!$J260="",'Detalle'!$K260="",'Detalle'!$L260=""),"",IF(AND(O$8&lt;='Detalle'!$K260,O$9&gt;='Detalle'!$J260),1,""))</x:f>
      </x:c>
      <x:c r="P531" s="32" t="str">
        <x:f>IF(OR('Detalle'!$J260="",'Detalle'!$K260="",'Detalle'!$L260=""),"",IF(AND(P$8&lt;='Detalle'!$K260,P$9&gt;='Detalle'!$J260),1,""))</x:f>
      </x:c>
      <x:c r="Q531" s="68"/>
      <x:c r="R531" s="67" t="str"/>
      <x:c r="S531" s="67" t="str"/>
    </x:row>
    <x:row r="532" ht="16" customHeight="1">
      <x:c r="A532" s="56" t="str">
        <x:v>PRO02.018</x:v>
      </x:c>
      <x:c r="B532" s="57" t="str">
        <x:v>Eliminar ficha con confirmación</x:v>
      </x:c>
      <x:c r="C532" s="62" t="str">
        <x:v>E</x:v>
      </x:c>
      <x:c r="D532" s="64" t="n">
        <x:f>'Detalle'!I261</x:f>
        <x:v>1</x:v>
      </x:c>
      <x:c r="E532" s="60" t="str">
        <x:f>'Detalle'!F261</x:f>
        <x:v>Completado</x:v>
      </x:c>
      <x:c r="F532" s="32" t="str">
        <x:f>IF(AND(F$8&lt;='Detalle'!$H261,F$9&gt;='Detalle'!$G261),1,"")</x:f>
      </x:c>
      <x:c r="G532" s="32" t="str">
        <x:f>IF(AND(G$8&lt;='Detalle'!$H261,G$9&gt;='Detalle'!$G261),1,"")</x:f>
      </x:c>
      <x:c r="H532" s="32" t="str">
        <x:f>IF(AND(H$8&lt;='Detalle'!$H261,H$9&gt;='Detalle'!$G261),1,"")</x:f>
      </x:c>
      <x:c r="I532" s="32" t="n">
        <x:f>IF(AND(I$8&lt;='Detalle'!$H261,I$9&gt;='Detalle'!$G261),1,"")</x:f>
        <x:v>1</x:v>
      </x:c>
      <x:c r="J532" s="32" t="str">
        <x:f>IF(AND(J$8&lt;='Detalle'!$H261,J$9&gt;='Detalle'!$G261),1,"")</x:f>
      </x:c>
      <x:c r="K532" s="32" t="str">
        <x:f>IF(AND(K$8&lt;='Detalle'!$H261,K$9&gt;='Detalle'!$G261),1,"")</x:f>
      </x:c>
      <x:c r="L532" s="32" t="str">
        <x:f>IF(AND(L$8&lt;='Detalle'!$H261,L$9&gt;='Detalle'!$G261),1,"")</x:f>
      </x:c>
      <x:c r="M532" s="32" t="str">
        <x:f>IF(AND(M$8&lt;='Detalle'!$H261,M$9&gt;='Detalle'!$G261),1,"")</x:f>
      </x:c>
      <x:c r="N532" s="32" t="str">
        <x:f>IF(AND(N$8&lt;='Detalle'!$H261,N$9&gt;='Detalle'!$G261),1,"")</x:f>
      </x:c>
      <x:c r="O532" s="32" t="str">
        <x:f>IF(AND(O$8&lt;='Detalle'!$H261,O$9&gt;='Detalle'!$G261),1,"")</x:f>
      </x:c>
      <x:c r="P532" s="32" t="str">
        <x:f>IF(AND(P$8&lt;='Detalle'!$H261,P$9&gt;='Detalle'!$G261),1,"")</x:f>
      </x:c>
      <x:c r="Q532" s="68"/>
      <x:c r="R532" s="67" t="str">
        <x:f>IF('Detalle'!M261="","",'Detalle'!M261)</x:f>
      </x:c>
      <x:c r="S532" s="67" t="str">
        <x:f>IF('Detalle'!N261="","",'Detalle'!N261)</x:f>
      </x:c>
    </x:row>
    <x:row r="533" ht="16" customHeight="1">
      <x:c r="A533" s="56" t="str">
        <x:v>PRO02.018</x:v>
      </x:c>
      <x:c r="B533" s="57" t="str">
        <x:v>Eliminar ficha con confirmación</x:v>
      </x:c>
      <x:c r="C533" s="63" t="str">
        <x:v>R</x:v>
      </x:c>
      <x:c r="D533" s="65" t="str">
        <x:f>IF('Detalle'!L261="","",'Detalle'!L261)</x:f>
      </x:c>
      <x:c r="E533" s="60" t="str"/>
      <x:c r="F533" s="32" t="str">
        <x:f>IF(OR('Detalle'!$J261="",'Detalle'!$K261="",'Detalle'!$L261=""),"",IF(AND(F$8&lt;='Detalle'!$K261,F$9&gt;='Detalle'!$J261),1,""))</x:f>
      </x:c>
      <x:c r="G533" s="32" t="str">
        <x:f>IF(OR('Detalle'!$J261="",'Detalle'!$K261="",'Detalle'!$L261=""),"",IF(AND(G$8&lt;='Detalle'!$K261,G$9&gt;='Detalle'!$J261),1,""))</x:f>
      </x:c>
      <x:c r="H533" s="32" t="str">
        <x:f>IF(OR('Detalle'!$J261="",'Detalle'!$K261="",'Detalle'!$L261=""),"",IF(AND(H$8&lt;='Detalle'!$K261,H$9&gt;='Detalle'!$J261),1,""))</x:f>
      </x:c>
      <x:c r="I533" s="32" t="str">
        <x:f>IF(OR('Detalle'!$J261="",'Detalle'!$K261="",'Detalle'!$L261=""),"",IF(AND(I$8&lt;='Detalle'!$K261,I$9&gt;='Detalle'!$J261),1,""))</x:f>
      </x:c>
      <x:c r="J533" s="32" t="str">
        <x:f>IF(OR('Detalle'!$J261="",'Detalle'!$K261="",'Detalle'!$L261=""),"",IF(AND(J$8&lt;='Detalle'!$K261,J$9&gt;='Detalle'!$J261),1,""))</x:f>
      </x:c>
      <x:c r="K533" s="32" t="str">
        <x:f>IF(OR('Detalle'!$J261="",'Detalle'!$K261="",'Detalle'!$L261=""),"",IF(AND(K$8&lt;='Detalle'!$K261,K$9&gt;='Detalle'!$J261),1,""))</x:f>
      </x:c>
      <x:c r="L533" s="32" t="str">
        <x:f>IF(OR('Detalle'!$J261="",'Detalle'!$K261="",'Detalle'!$L261=""),"",IF(AND(L$8&lt;='Detalle'!$K261,L$9&gt;='Detalle'!$J261),1,""))</x:f>
      </x:c>
      <x:c r="M533" s="32" t="str">
        <x:f>IF(OR('Detalle'!$J261="",'Detalle'!$K261="",'Detalle'!$L261=""),"",IF(AND(M$8&lt;='Detalle'!$K261,M$9&gt;='Detalle'!$J261),1,""))</x:f>
      </x:c>
      <x:c r="N533" s="32" t="str">
        <x:f>IF(OR('Detalle'!$J261="",'Detalle'!$K261="",'Detalle'!$L261=""),"",IF(AND(N$8&lt;='Detalle'!$K261,N$9&gt;='Detalle'!$J261),1,""))</x:f>
      </x:c>
      <x:c r="O533" s="32" t="str">
        <x:f>IF(OR('Detalle'!$J261="",'Detalle'!$K261="",'Detalle'!$L261=""),"",IF(AND(O$8&lt;='Detalle'!$K261,O$9&gt;='Detalle'!$J261),1,""))</x:f>
      </x:c>
      <x:c r="P533" s="32" t="str">
        <x:f>IF(OR('Detalle'!$J261="",'Detalle'!$K261="",'Detalle'!$L261=""),"",IF(AND(P$8&lt;='Detalle'!$K261,P$9&gt;='Detalle'!$J261),1,""))</x:f>
      </x:c>
      <x:c r="Q533" s="68"/>
      <x:c r="R533" s="67" t="str"/>
      <x:c r="S533" s="67" t="str"/>
    </x:row>
    <x:row r="534" ht="16" customHeight="1">
      <x:c r="A534" s="56" t="str">
        <x:v>PRO02.019</x:v>
      </x:c>
      <x:c r="B534" s="57" t="str">
        <x:v>Mostrar detalle y galería de ficha</x:v>
      </x:c>
      <x:c r="C534" s="62" t="str">
        <x:v>E</x:v>
      </x:c>
      <x:c r="D534" s="64" t="n">
        <x:f>'Detalle'!I262</x:f>
        <x:v>1</x:v>
      </x:c>
      <x:c r="E534" s="60" t="str">
        <x:f>'Detalle'!F262</x:f>
        <x:v>Completado</x:v>
      </x:c>
      <x:c r="F534" s="32" t="str">
        <x:f>IF(AND(F$8&lt;='Detalle'!$H262,F$9&gt;='Detalle'!$G262),1,"")</x:f>
      </x:c>
      <x:c r="G534" s="32" t="str">
        <x:f>IF(AND(G$8&lt;='Detalle'!$H262,G$9&gt;='Detalle'!$G262),1,"")</x:f>
      </x:c>
      <x:c r="H534" s="32" t="str">
        <x:f>IF(AND(H$8&lt;='Detalle'!$H262,H$9&gt;='Detalle'!$G262),1,"")</x:f>
      </x:c>
      <x:c r="I534" s="32" t="n">
        <x:f>IF(AND(I$8&lt;='Detalle'!$H262,I$9&gt;='Detalle'!$G262),1,"")</x:f>
        <x:v>1</x:v>
      </x:c>
      <x:c r="J534" s="32" t="str">
        <x:f>IF(AND(J$8&lt;='Detalle'!$H262,J$9&gt;='Detalle'!$G262),1,"")</x:f>
      </x:c>
      <x:c r="K534" s="32" t="str">
        <x:f>IF(AND(K$8&lt;='Detalle'!$H262,K$9&gt;='Detalle'!$G262),1,"")</x:f>
      </x:c>
      <x:c r="L534" s="32" t="str">
        <x:f>IF(AND(L$8&lt;='Detalle'!$H262,L$9&gt;='Detalle'!$G262),1,"")</x:f>
      </x:c>
      <x:c r="M534" s="32" t="str">
        <x:f>IF(AND(M$8&lt;='Detalle'!$H262,M$9&gt;='Detalle'!$G262),1,"")</x:f>
      </x:c>
      <x:c r="N534" s="32" t="str">
        <x:f>IF(AND(N$8&lt;='Detalle'!$H262,N$9&gt;='Detalle'!$G262),1,"")</x:f>
      </x:c>
      <x:c r="O534" s="32" t="str">
        <x:f>IF(AND(O$8&lt;='Detalle'!$H262,O$9&gt;='Detalle'!$G262),1,"")</x:f>
      </x:c>
      <x:c r="P534" s="32" t="str">
        <x:f>IF(AND(P$8&lt;='Detalle'!$H262,P$9&gt;='Detalle'!$G262),1,"")</x:f>
      </x:c>
      <x:c r="Q534" s="68"/>
      <x:c r="R534" s="67" t="str">
        <x:f>IF('Detalle'!M262="","",'Detalle'!M262)</x:f>
      </x:c>
      <x:c r="S534" s="67" t="str">
        <x:f>IF('Detalle'!N262="","",'Detalle'!N262)</x:f>
      </x:c>
    </x:row>
    <x:row r="535" ht="16" customHeight="1">
      <x:c r="A535" s="56" t="str">
        <x:v>PRO02.019</x:v>
      </x:c>
      <x:c r="B535" s="57" t="str">
        <x:v>Mostrar detalle y galería de ficha</x:v>
      </x:c>
      <x:c r="C535" s="63" t="str">
        <x:v>R</x:v>
      </x:c>
      <x:c r="D535" s="65" t="str">
        <x:f>IF('Detalle'!L262="","",'Detalle'!L262)</x:f>
      </x:c>
      <x:c r="E535" s="60" t="str"/>
      <x:c r="F535" s="32" t="str">
        <x:f>IF(OR('Detalle'!$J262="",'Detalle'!$K262="",'Detalle'!$L262=""),"",IF(AND(F$8&lt;='Detalle'!$K262,F$9&gt;='Detalle'!$J262),1,""))</x:f>
      </x:c>
      <x:c r="G535" s="32" t="str">
        <x:f>IF(OR('Detalle'!$J262="",'Detalle'!$K262="",'Detalle'!$L262=""),"",IF(AND(G$8&lt;='Detalle'!$K262,G$9&gt;='Detalle'!$J262),1,""))</x:f>
      </x:c>
      <x:c r="H535" s="32" t="str">
        <x:f>IF(OR('Detalle'!$J262="",'Detalle'!$K262="",'Detalle'!$L262=""),"",IF(AND(H$8&lt;='Detalle'!$K262,H$9&gt;='Detalle'!$J262),1,""))</x:f>
      </x:c>
      <x:c r="I535" s="32" t="str">
        <x:f>IF(OR('Detalle'!$J262="",'Detalle'!$K262="",'Detalle'!$L262=""),"",IF(AND(I$8&lt;='Detalle'!$K262,I$9&gt;='Detalle'!$J262),1,""))</x:f>
      </x:c>
      <x:c r="J535" s="32" t="str">
        <x:f>IF(OR('Detalle'!$J262="",'Detalle'!$K262="",'Detalle'!$L262=""),"",IF(AND(J$8&lt;='Detalle'!$K262,J$9&gt;='Detalle'!$J262),1,""))</x:f>
      </x:c>
      <x:c r="K535" s="32" t="str">
        <x:f>IF(OR('Detalle'!$J262="",'Detalle'!$K262="",'Detalle'!$L262=""),"",IF(AND(K$8&lt;='Detalle'!$K262,K$9&gt;='Detalle'!$J262),1,""))</x:f>
      </x:c>
      <x:c r="L535" s="32" t="str">
        <x:f>IF(OR('Detalle'!$J262="",'Detalle'!$K262="",'Detalle'!$L262=""),"",IF(AND(L$8&lt;='Detalle'!$K262,L$9&gt;='Detalle'!$J262),1,""))</x:f>
      </x:c>
      <x:c r="M535" s="32" t="str">
        <x:f>IF(OR('Detalle'!$J262="",'Detalle'!$K262="",'Detalle'!$L262=""),"",IF(AND(M$8&lt;='Detalle'!$K262,M$9&gt;='Detalle'!$J262),1,""))</x:f>
      </x:c>
      <x:c r="N535" s="32" t="str">
        <x:f>IF(OR('Detalle'!$J262="",'Detalle'!$K262="",'Detalle'!$L262=""),"",IF(AND(N$8&lt;='Detalle'!$K262,N$9&gt;='Detalle'!$J262),1,""))</x:f>
      </x:c>
      <x:c r="O535" s="32" t="str">
        <x:f>IF(OR('Detalle'!$J262="",'Detalle'!$K262="",'Detalle'!$L262=""),"",IF(AND(O$8&lt;='Detalle'!$K262,O$9&gt;='Detalle'!$J262),1,""))</x:f>
      </x:c>
      <x:c r="P535" s="32" t="str">
        <x:f>IF(OR('Detalle'!$J262="",'Detalle'!$K262="",'Detalle'!$L262=""),"",IF(AND(P$8&lt;='Detalle'!$K262,P$9&gt;='Detalle'!$J262),1,""))</x:f>
      </x:c>
      <x:c r="Q535" s="68"/>
      <x:c r="R535" s="67" t="str"/>
      <x:c r="S535" s="67" t="str"/>
    </x:row>
    <x:row r="536" ht="16" customHeight="1">
      <x:c r="A536" s="56" t="str">
        <x:v>PRO02.020</x:v>
      </x:c>
      <x:c r="B536" s="57" t="str">
        <x:v>Mostrar contacto del perfil en ficha</x:v>
      </x:c>
      <x:c r="C536" s="62" t="str">
        <x:v>E</x:v>
      </x:c>
      <x:c r="D536" s="64" t="n">
        <x:f>'Detalle'!I263</x:f>
        <x:v>1</x:v>
      </x:c>
      <x:c r="E536" s="60" t="str">
        <x:f>'Detalle'!F263</x:f>
        <x:v>Completado</x:v>
      </x:c>
      <x:c r="F536" s="32" t="str">
        <x:f>IF(AND(F$8&lt;='Detalle'!$H263,F$9&gt;='Detalle'!$G263),1,"")</x:f>
      </x:c>
      <x:c r="G536" s="32" t="str">
        <x:f>IF(AND(G$8&lt;='Detalle'!$H263,G$9&gt;='Detalle'!$G263),1,"")</x:f>
      </x:c>
      <x:c r="H536" s="32" t="str">
        <x:f>IF(AND(H$8&lt;='Detalle'!$H263,H$9&gt;='Detalle'!$G263),1,"")</x:f>
      </x:c>
      <x:c r="I536" s="32" t="n">
        <x:f>IF(AND(I$8&lt;='Detalle'!$H263,I$9&gt;='Detalle'!$G263),1,"")</x:f>
        <x:v>1</x:v>
      </x:c>
      <x:c r="J536" s="32" t="str">
        <x:f>IF(AND(J$8&lt;='Detalle'!$H263,J$9&gt;='Detalle'!$G263),1,"")</x:f>
      </x:c>
      <x:c r="K536" s="32" t="str">
        <x:f>IF(AND(K$8&lt;='Detalle'!$H263,K$9&gt;='Detalle'!$G263),1,"")</x:f>
      </x:c>
      <x:c r="L536" s="32" t="str">
        <x:f>IF(AND(L$8&lt;='Detalle'!$H263,L$9&gt;='Detalle'!$G263),1,"")</x:f>
      </x:c>
      <x:c r="M536" s="32" t="str">
        <x:f>IF(AND(M$8&lt;='Detalle'!$H263,M$9&gt;='Detalle'!$G263),1,"")</x:f>
      </x:c>
      <x:c r="N536" s="32" t="str">
        <x:f>IF(AND(N$8&lt;='Detalle'!$H263,N$9&gt;='Detalle'!$G263),1,"")</x:f>
      </x:c>
      <x:c r="O536" s="32" t="str">
        <x:f>IF(AND(O$8&lt;='Detalle'!$H263,O$9&gt;='Detalle'!$G263),1,"")</x:f>
      </x:c>
      <x:c r="P536" s="32" t="str">
        <x:f>IF(AND(P$8&lt;='Detalle'!$H263,P$9&gt;='Detalle'!$G263),1,"")</x:f>
      </x:c>
      <x:c r="Q536" s="68"/>
      <x:c r="R536" s="67" t="str">
        <x:f>IF('Detalle'!M263="","",'Detalle'!M263)</x:f>
      </x:c>
      <x:c r="S536" s="67" t="str">
        <x:f>IF('Detalle'!N263="","",'Detalle'!N263)</x:f>
      </x:c>
    </x:row>
    <x:row r="537" ht="16" customHeight="1">
      <x:c r="A537" s="56" t="str">
        <x:v>PRO02.020</x:v>
      </x:c>
      <x:c r="B537" s="57" t="str">
        <x:v>Mostrar contacto del perfil en ficha</x:v>
      </x:c>
      <x:c r="C537" s="63" t="str">
        <x:v>R</x:v>
      </x:c>
      <x:c r="D537" s="65" t="str">
        <x:f>IF('Detalle'!L263="","",'Detalle'!L263)</x:f>
      </x:c>
      <x:c r="E537" s="60" t="str"/>
      <x:c r="F537" s="32" t="str">
        <x:f>IF(OR('Detalle'!$J263="",'Detalle'!$K263="",'Detalle'!$L263=""),"",IF(AND(F$8&lt;='Detalle'!$K263,F$9&gt;='Detalle'!$J263),1,""))</x:f>
      </x:c>
      <x:c r="G537" s="32" t="str">
        <x:f>IF(OR('Detalle'!$J263="",'Detalle'!$K263="",'Detalle'!$L263=""),"",IF(AND(G$8&lt;='Detalle'!$K263,G$9&gt;='Detalle'!$J263),1,""))</x:f>
      </x:c>
      <x:c r="H537" s="32" t="str">
        <x:f>IF(OR('Detalle'!$J263="",'Detalle'!$K263="",'Detalle'!$L263=""),"",IF(AND(H$8&lt;='Detalle'!$K263,H$9&gt;='Detalle'!$J263),1,""))</x:f>
      </x:c>
      <x:c r="I537" s="32" t="str">
        <x:f>IF(OR('Detalle'!$J263="",'Detalle'!$K263="",'Detalle'!$L263=""),"",IF(AND(I$8&lt;='Detalle'!$K263,I$9&gt;='Detalle'!$J263),1,""))</x:f>
      </x:c>
      <x:c r="J537" s="32" t="str">
        <x:f>IF(OR('Detalle'!$J263="",'Detalle'!$K263="",'Detalle'!$L263=""),"",IF(AND(J$8&lt;='Detalle'!$K263,J$9&gt;='Detalle'!$J263),1,""))</x:f>
      </x:c>
      <x:c r="K537" s="32" t="str">
        <x:f>IF(OR('Detalle'!$J263="",'Detalle'!$K263="",'Detalle'!$L263=""),"",IF(AND(K$8&lt;='Detalle'!$K263,K$9&gt;='Detalle'!$J263),1,""))</x:f>
      </x:c>
      <x:c r="L537" s="32" t="str">
        <x:f>IF(OR('Detalle'!$J263="",'Detalle'!$K263="",'Detalle'!$L263=""),"",IF(AND(L$8&lt;='Detalle'!$K263,L$9&gt;='Detalle'!$J263),1,""))</x:f>
      </x:c>
      <x:c r="M537" s="32" t="str">
        <x:f>IF(OR('Detalle'!$J263="",'Detalle'!$K263="",'Detalle'!$L263=""),"",IF(AND(M$8&lt;='Detalle'!$K263,M$9&gt;='Detalle'!$J263),1,""))</x:f>
      </x:c>
      <x:c r="N537" s="32" t="str">
        <x:f>IF(OR('Detalle'!$J263="",'Detalle'!$K263="",'Detalle'!$L263=""),"",IF(AND(N$8&lt;='Detalle'!$K263,N$9&gt;='Detalle'!$J263),1,""))</x:f>
      </x:c>
      <x:c r="O537" s="32" t="str">
        <x:f>IF(OR('Detalle'!$J263="",'Detalle'!$K263="",'Detalle'!$L263=""),"",IF(AND(O$8&lt;='Detalle'!$K263,O$9&gt;='Detalle'!$J263),1,""))</x:f>
      </x:c>
      <x:c r="P537" s="32" t="str">
        <x:f>IF(OR('Detalle'!$J263="",'Detalle'!$K263="",'Detalle'!$L263=""),"",IF(AND(P$8&lt;='Detalle'!$K263,P$9&gt;='Detalle'!$J263),1,""))</x:f>
      </x:c>
      <x:c r="Q537" s="68"/>
      <x:c r="R537" s="67" t="str"/>
      <x:c r="S537" s="67" t="str"/>
    </x:row>
    <x:row r="538" ht="16" customHeight="1">
      <x:c r="A538" s="56" t="str">
        <x:v>PRO02.021</x:v>
      </x:c>
      <x:c r="B538" s="57" t="str">
        <x:v>Buscar fichas en Explorar</x:v>
      </x:c>
      <x:c r="C538" s="62" t="str">
        <x:v>E</x:v>
      </x:c>
      <x:c r="D538" s="64" t="n">
        <x:f>'Detalle'!I264</x:f>
        <x:v>1</x:v>
      </x:c>
      <x:c r="E538" s="60" t="str">
        <x:f>'Detalle'!F264</x:f>
        <x:v>Completado</x:v>
      </x:c>
      <x:c r="F538" s="32" t="str">
        <x:f>IF(AND(F$8&lt;='Detalle'!$H264,F$9&gt;='Detalle'!$G264),1,"")</x:f>
      </x:c>
      <x:c r="G538" s="32" t="str">
        <x:f>IF(AND(G$8&lt;='Detalle'!$H264,G$9&gt;='Detalle'!$G264),1,"")</x:f>
      </x:c>
      <x:c r="H538" s="32" t="str">
        <x:f>IF(AND(H$8&lt;='Detalle'!$H264,H$9&gt;='Detalle'!$G264),1,"")</x:f>
      </x:c>
      <x:c r="I538" s="32" t="n">
        <x:f>IF(AND(I$8&lt;='Detalle'!$H264,I$9&gt;='Detalle'!$G264),1,"")</x:f>
        <x:v>1</x:v>
      </x:c>
      <x:c r="J538" s="32" t="str">
        <x:f>IF(AND(J$8&lt;='Detalle'!$H264,J$9&gt;='Detalle'!$G264),1,"")</x:f>
      </x:c>
      <x:c r="K538" s="32" t="str">
        <x:f>IF(AND(K$8&lt;='Detalle'!$H264,K$9&gt;='Detalle'!$G264),1,"")</x:f>
      </x:c>
      <x:c r="L538" s="32" t="str">
        <x:f>IF(AND(L$8&lt;='Detalle'!$H264,L$9&gt;='Detalle'!$G264),1,"")</x:f>
      </x:c>
      <x:c r="M538" s="32" t="str">
        <x:f>IF(AND(M$8&lt;='Detalle'!$H264,M$9&gt;='Detalle'!$G264),1,"")</x:f>
      </x:c>
      <x:c r="N538" s="32" t="str">
        <x:f>IF(AND(N$8&lt;='Detalle'!$H264,N$9&gt;='Detalle'!$G264),1,"")</x:f>
      </x:c>
      <x:c r="O538" s="32" t="str">
        <x:f>IF(AND(O$8&lt;='Detalle'!$H264,O$9&gt;='Detalle'!$G264),1,"")</x:f>
      </x:c>
      <x:c r="P538" s="32" t="str">
        <x:f>IF(AND(P$8&lt;='Detalle'!$H264,P$9&gt;='Detalle'!$G264),1,"")</x:f>
      </x:c>
      <x:c r="Q538" s="68"/>
      <x:c r="R538" s="67" t="str">
        <x:f>IF('Detalle'!M264="","",'Detalle'!M264)</x:f>
      </x:c>
      <x:c r="S538" s="67" t="str">
        <x:f>IF('Detalle'!N264="","",'Detalle'!N264)</x:f>
      </x:c>
    </x:row>
    <x:row r="539" ht="16" customHeight="1">
      <x:c r="A539" s="56" t="str">
        <x:v>PRO02.021</x:v>
      </x:c>
      <x:c r="B539" s="57" t="str">
        <x:v>Buscar fichas en Explorar</x:v>
      </x:c>
      <x:c r="C539" s="63" t="str">
        <x:v>R</x:v>
      </x:c>
      <x:c r="D539" s="65" t="str">
        <x:f>IF('Detalle'!L264="","",'Detalle'!L264)</x:f>
      </x:c>
      <x:c r="E539" s="60" t="str"/>
      <x:c r="F539" s="32" t="str">
        <x:f>IF(OR('Detalle'!$J264="",'Detalle'!$K264="",'Detalle'!$L264=""),"",IF(AND(F$8&lt;='Detalle'!$K264,F$9&gt;='Detalle'!$J264),1,""))</x:f>
      </x:c>
      <x:c r="G539" s="32" t="str">
        <x:f>IF(OR('Detalle'!$J264="",'Detalle'!$K264="",'Detalle'!$L264=""),"",IF(AND(G$8&lt;='Detalle'!$K264,G$9&gt;='Detalle'!$J264),1,""))</x:f>
      </x:c>
      <x:c r="H539" s="32" t="str">
        <x:f>IF(OR('Detalle'!$J264="",'Detalle'!$K264="",'Detalle'!$L264=""),"",IF(AND(H$8&lt;='Detalle'!$K264,H$9&gt;='Detalle'!$J264),1,""))</x:f>
      </x:c>
      <x:c r="I539" s="32" t="str">
        <x:f>IF(OR('Detalle'!$J264="",'Detalle'!$K264="",'Detalle'!$L264=""),"",IF(AND(I$8&lt;='Detalle'!$K264,I$9&gt;='Detalle'!$J264),1,""))</x:f>
      </x:c>
      <x:c r="J539" s="32" t="str">
        <x:f>IF(OR('Detalle'!$J264="",'Detalle'!$K264="",'Detalle'!$L264=""),"",IF(AND(J$8&lt;='Detalle'!$K264,J$9&gt;='Detalle'!$J264),1,""))</x:f>
      </x:c>
      <x:c r="K539" s="32" t="str">
        <x:f>IF(OR('Detalle'!$J264="",'Detalle'!$K264="",'Detalle'!$L264=""),"",IF(AND(K$8&lt;='Detalle'!$K264,K$9&gt;='Detalle'!$J264),1,""))</x:f>
      </x:c>
      <x:c r="L539" s="32" t="str">
        <x:f>IF(OR('Detalle'!$J264="",'Detalle'!$K264="",'Detalle'!$L264=""),"",IF(AND(L$8&lt;='Detalle'!$K264,L$9&gt;='Detalle'!$J264),1,""))</x:f>
      </x:c>
      <x:c r="M539" s="32" t="str">
        <x:f>IF(OR('Detalle'!$J264="",'Detalle'!$K264="",'Detalle'!$L264=""),"",IF(AND(M$8&lt;='Detalle'!$K264,M$9&gt;='Detalle'!$J264),1,""))</x:f>
      </x:c>
      <x:c r="N539" s="32" t="str">
        <x:f>IF(OR('Detalle'!$J264="",'Detalle'!$K264="",'Detalle'!$L264=""),"",IF(AND(N$8&lt;='Detalle'!$K264,N$9&gt;='Detalle'!$J264),1,""))</x:f>
      </x:c>
      <x:c r="O539" s="32" t="str">
        <x:f>IF(OR('Detalle'!$J264="",'Detalle'!$K264="",'Detalle'!$L264=""),"",IF(AND(O$8&lt;='Detalle'!$K264,O$9&gt;='Detalle'!$J264),1,""))</x:f>
      </x:c>
      <x:c r="P539" s="32" t="str">
        <x:f>IF(OR('Detalle'!$J264="",'Detalle'!$K264="",'Detalle'!$L264=""),"",IF(AND(P$8&lt;='Detalle'!$K264,P$9&gt;='Detalle'!$J264),1,""))</x:f>
      </x:c>
      <x:c r="Q539" s="68"/>
      <x:c r="R539" s="67" t="str"/>
      <x:c r="S539" s="67" t="str"/>
    </x:row>
    <x:row r="540" ht="16" customHeight="1">
      <x:c r="A540" s="56" t="str">
        <x:v>PRO02.022</x:v>
      </x:c>
      <x:c r="B540" s="57" t="str">
        <x:v>Guardar y quitar fichas</x:v>
      </x:c>
      <x:c r="C540" s="62" t="str">
        <x:v>E</x:v>
      </x:c>
      <x:c r="D540" s="64" t="n">
        <x:f>'Detalle'!I265</x:f>
        <x:v>1</x:v>
      </x:c>
      <x:c r="E540" s="60" t="str">
        <x:f>'Detalle'!F265</x:f>
        <x:v>Completado</x:v>
      </x:c>
      <x:c r="F540" s="32" t="str">
        <x:f>IF(AND(F$8&lt;='Detalle'!$H265,F$9&gt;='Detalle'!$G265),1,"")</x:f>
      </x:c>
      <x:c r="G540" s="32" t="str">
        <x:f>IF(AND(G$8&lt;='Detalle'!$H265,G$9&gt;='Detalle'!$G265),1,"")</x:f>
      </x:c>
      <x:c r="H540" s="32" t="str">
        <x:f>IF(AND(H$8&lt;='Detalle'!$H265,H$9&gt;='Detalle'!$G265),1,"")</x:f>
      </x:c>
      <x:c r="I540" s="32" t="n">
        <x:f>IF(AND(I$8&lt;='Detalle'!$H265,I$9&gt;='Detalle'!$G265),1,"")</x:f>
        <x:v>1</x:v>
      </x:c>
      <x:c r="J540" s="32" t="str">
        <x:f>IF(AND(J$8&lt;='Detalle'!$H265,J$9&gt;='Detalle'!$G265),1,"")</x:f>
      </x:c>
      <x:c r="K540" s="32" t="str">
        <x:f>IF(AND(K$8&lt;='Detalle'!$H265,K$9&gt;='Detalle'!$G265),1,"")</x:f>
      </x:c>
      <x:c r="L540" s="32" t="str">
        <x:f>IF(AND(L$8&lt;='Detalle'!$H265,L$9&gt;='Detalle'!$G265),1,"")</x:f>
      </x:c>
      <x:c r="M540" s="32" t="str">
        <x:f>IF(AND(M$8&lt;='Detalle'!$H265,M$9&gt;='Detalle'!$G265),1,"")</x:f>
      </x:c>
      <x:c r="N540" s="32" t="str">
        <x:f>IF(AND(N$8&lt;='Detalle'!$H265,N$9&gt;='Detalle'!$G265),1,"")</x:f>
      </x:c>
      <x:c r="O540" s="32" t="str">
        <x:f>IF(AND(O$8&lt;='Detalle'!$H265,O$9&gt;='Detalle'!$G265),1,"")</x:f>
      </x:c>
      <x:c r="P540" s="32" t="str">
        <x:f>IF(AND(P$8&lt;='Detalle'!$H265,P$9&gt;='Detalle'!$G265),1,"")</x:f>
      </x:c>
      <x:c r="Q540" s="68"/>
      <x:c r="R540" s="67" t="str">
        <x:f>IF('Detalle'!M265="","",'Detalle'!M265)</x:f>
      </x:c>
      <x:c r="S540" s="67" t="str">
        <x:f>IF('Detalle'!N265="","",'Detalle'!N265)</x:f>
      </x:c>
    </x:row>
    <x:row r="541" ht="16" customHeight="1">
      <x:c r="A541" s="56" t="str">
        <x:v>PRO02.022</x:v>
      </x:c>
      <x:c r="B541" s="57" t="str">
        <x:v>Guardar y quitar fichas</x:v>
      </x:c>
      <x:c r="C541" s="63" t="str">
        <x:v>R</x:v>
      </x:c>
      <x:c r="D541" s="65" t="str">
        <x:f>IF('Detalle'!L265="","",'Detalle'!L265)</x:f>
      </x:c>
      <x:c r="E541" s="60" t="str"/>
      <x:c r="F541" s="32" t="str">
        <x:f>IF(OR('Detalle'!$J265="",'Detalle'!$K265="",'Detalle'!$L265=""),"",IF(AND(F$8&lt;='Detalle'!$K265,F$9&gt;='Detalle'!$J265),1,""))</x:f>
      </x:c>
      <x:c r="G541" s="32" t="str">
        <x:f>IF(OR('Detalle'!$J265="",'Detalle'!$K265="",'Detalle'!$L265=""),"",IF(AND(G$8&lt;='Detalle'!$K265,G$9&gt;='Detalle'!$J265),1,""))</x:f>
      </x:c>
      <x:c r="H541" s="32" t="str">
        <x:f>IF(OR('Detalle'!$J265="",'Detalle'!$K265="",'Detalle'!$L265=""),"",IF(AND(H$8&lt;='Detalle'!$K265,H$9&gt;='Detalle'!$J265),1,""))</x:f>
      </x:c>
      <x:c r="I541" s="32" t="str">
        <x:f>IF(OR('Detalle'!$J265="",'Detalle'!$K265="",'Detalle'!$L265=""),"",IF(AND(I$8&lt;='Detalle'!$K265,I$9&gt;='Detalle'!$J265),1,""))</x:f>
      </x:c>
      <x:c r="J541" s="32" t="str">
        <x:f>IF(OR('Detalle'!$J265="",'Detalle'!$K265="",'Detalle'!$L265=""),"",IF(AND(J$8&lt;='Detalle'!$K265,J$9&gt;='Detalle'!$J265),1,""))</x:f>
      </x:c>
      <x:c r="K541" s="32" t="str">
        <x:f>IF(OR('Detalle'!$J265="",'Detalle'!$K265="",'Detalle'!$L265=""),"",IF(AND(K$8&lt;='Detalle'!$K265,K$9&gt;='Detalle'!$J265),1,""))</x:f>
      </x:c>
      <x:c r="L541" s="32" t="str">
        <x:f>IF(OR('Detalle'!$J265="",'Detalle'!$K265="",'Detalle'!$L265=""),"",IF(AND(L$8&lt;='Detalle'!$K265,L$9&gt;='Detalle'!$J265),1,""))</x:f>
      </x:c>
      <x:c r="M541" s="32" t="str">
        <x:f>IF(OR('Detalle'!$J265="",'Detalle'!$K265="",'Detalle'!$L265=""),"",IF(AND(M$8&lt;='Detalle'!$K265,M$9&gt;='Detalle'!$J265),1,""))</x:f>
      </x:c>
      <x:c r="N541" s="32" t="str">
        <x:f>IF(OR('Detalle'!$J265="",'Detalle'!$K265="",'Detalle'!$L265=""),"",IF(AND(N$8&lt;='Detalle'!$K265,N$9&gt;='Detalle'!$J265),1,""))</x:f>
      </x:c>
      <x:c r="O541" s="32" t="str">
        <x:f>IF(OR('Detalle'!$J265="",'Detalle'!$K265="",'Detalle'!$L265=""),"",IF(AND(O$8&lt;='Detalle'!$K265,O$9&gt;='Detalle'!$J265),1,""))</x:f>
      </x:c>
      <x:c r="P541" s="32" t="str">
        <x:f>IF(OR('Detalle'!$J265="",'Detalle'!$K265="",'Detalle'!$L265=""),"",IF(AND(P$8&lt;='Detalle'!$K265,P$9&gt;='Detalle'!$J265),1,""))</x:f>
      </x:c>
      <x:c r="Q541" s="68"/>
      <x:c r="R541" s="67" t="str"/>
      <x:c r="S541" s="67" t="str"/>
    </x:row>
    <x:row r="542" ht="16" customHeight="1">
      <x:c r="A542" s="56" t="str">
        <x:v>PRO02.023</x:v>
      </x:c>
      <x:c r="B542" s="57" t="str">
        <x:v>Reportar ficha profesional</x:v>
      </x:c>
      <x:c r="C542" s="62" t="str">
        <x:v>E</x:v>
      </x:c>
      <x:c r="D542" s="64" t="n">
        <x:f>'Detalle'!I266</x:f>
        <x:v>1</x:v>
      </x:c>
      <x:c r="E542" s="60" t="str">
        <x:f>'Detalle'!F266</x:f>
        <x:v>Completado</x:v>
      </x:c>
      <x:c r="F542" s="32" t="str">
        <x:f>IF(AND(F$8&lt;='Detalle'!$H266,F$9&gt;='Detalle'!$G266),1,"")</x:f>
      </x:c>
      <x:c r="G542" s="32" t="str">
        <x:f>IF(AND(G$8&lt;='Detalle'!$H266,G$9&gt;='Detalle'!$G266),1,"")</x:f>
      </x:c>
      <x:c r="H542" s="32" t="str">
        <x:f>IF(AND(H$8&lt;='Detalle'!$H266,H$9&gt;='Detalle'!$G266),1,"")</x:f>
      </x:c>
      <x:c r="I542" s="32" t="n">
        <x:f>IF(AND(I$8&lt;='Detalle'!$H266,I$9&gt;='Detalle'!$G266),1,"")</x:f>
        <x:v>1</x:v>
      </x:c>
      <x:c r="J542" s="32" t="str">
        <x:f>IF(AND(J$8&lt;='Detalle'!$H266,J$9&gt;='Detalle'!$G266),1,"")</x:f>
      </x:c>
      <x:c r="K542" s="32" t="str">
        <x:f>IF(AND(K$8&lt;='Detalle'!$H266,K$9&gt;='Detalle'!$G266),1,"")</x:f>
      </x:c>
      <x:c r="L542" s="32" t="str">
        <x:f>IF(AND(L$8&lt;='Detalle'!$H266,L$9&gt;='Detalle'!$G266),1,"")</x:f>
      </x:c>
      <x:c r="M542" s="32" t="str">
        <x:f>IF(AND(M$8&lt;='Detalle'!$H266,M$9&gt;='Detalle'!$G266),1,"")</x:f>
      </x:c>
      <x:c r="N542" s="32" t="str">
        <x:f>IF(AND(N$8&lt;='Detalle'!$H266,N$9&gt;='Detalle'!$G266),1,"")</x:f>
      </x:c>
      <x:c r="O542" s="32" t="str">
        <x:f>IF(AND(O$8&lt;='Detalle'!$H266,O$9&gt;='Detalle'!$G266),1,"")</x:f>
      </x:c>
      <x:c r="P542" s="32" t="str">
        <x:f>IF(AND(P$8&lt;='Detalle'!$H266,P$9&gt;='Detalle'!$G266),1,"")</x:f>
      </x:c>
      <x:c r="Q542" s="68"/>
      <x:c r="R542" s="67" t="str">
        <x:f>IF('Detalle'!M266="","",'Detalle'!M266)</x:f>
      </x:c>
      <x:c r="S542" s="67" t="str">
        <x:f>IF('Detalle'!N266="","",'Detalle'!N266)</x:f>
      </x:c>
    </x:row>
    <x:row r="543" ht="16" customHeight="1">
      <x:c r="A543" s="56" t="str">
        <x:v>PRO02.023</x:v>
      </x:c>
      <x:c r="B543" s="57" t="str">
        <x:v>Reportar ficha profesional</x:v>
      </x:c>
      <x:c r="C543" s="63" t="str">
        <x:v>R</x:v>
      </x:c>
      <x:c r="D543" s="65" t="str">
        <x:f>IF('Detalle'!L266="","",'Detalle'!L266)</x:f>
      </x:c>
      <x:c r="E543" s="60" t="str"/>
      <x:c r="F543" s="32" t="str">
        <x:f>IF(OR('Detalle'!$J266="",'Detalle'!$K266="",'Detalle'!$L266=""),"",IF(AND(F$8&lt;='Detalle'!$K266,F$9&gt;='Detalle'!$J266),1,""))</x:f>
      </x:c>
      <x:c r="G543" s="32" t="str">
        <x:f>IF(OR('Detalle'!$J266="",'Detalle'!$K266="",'Detalle'!$L266=""),"",IF(AND(G$8&lt;='Detalle'!$K266,G$9&gt;='Detalle'!$J266),1,""))</x:f>
      </x:c>
      <x:c r="H543" s="32" t="str">
        <x:f>IF(OR('Detalle'!$J266="",'Detalle'!$K266="",'Detalle'!$L266=""),"",IF(AND(H$8&lt;='Detalle'!$K266,H$9&gt;='Detalle'!$J266),1,""))</x:f>
      </x:c>
      <x:c r="I543" s="32" t="str">
        <x:f>IF(OR('Detalle'!$J266="",'Detalle'!$K266="",'Detalle'!$L266=""),"",IF(AND(I$8&lt;='Detalle'!$K266,I$9&gt;='Detalle'!$J266),1,""))</x:f>
      </x:c>
      <x:c r="J543" s="32" t="str">
        <x:f>IF(OR('Detalle'!$J266="",'Detalle'!$K266="",'Detalle'!$L266=""),"",IF(AND(J$8&lt;='Detalle'!$K266,J$9&gt;='Detalle'!$J266),1,""))</x:f>
      </x:c>
      <x:c r="K543" s="32" t="str">
        <x:f>IF(OR('Detalle'!$J266="",'Detalle'!$K266="",'Detalle'!$L266=""),"",IF(AND(K$8&lt;='Detalle'!$K266,K$9&gt;='Detalle'!$J266),1,""))</x:f>
      </x:c>
      <x:c r="L543" s="32" t="str">
        <x:f>IF(OR('Detalle'!$J266="",'Detalle'!$K266="",'Detalle'!$L266=""),"",IF(AND(L$8&lt;='Detalle'!$K266,L$9&gt;='Detalle'!$J266),1,""))</x:f>
      </x:c>
      <x:c r="M543" s="32" t="str">
        <x:f>IF(OR('Detalle'!$J266="",'Detalle'!$K266="",'Detalle'!$L266=""),"",IF(AND(M$8&lt;='Detalle'!$K266,M$9&gt;='Detalle'!$J266),1,""))</x:f>
      </x:c>
      <x:c r="N543" s="32" t="str">
        <x:f>IF(OR('Detalle'!$J266="",'Detalle'!$K266="",'Detalle'!$L266=""),"",IF(AND(N$8&lt;='Detalle'!$K266,N$9&gt;='Detalle'!$J266),1,""))</x:f>
      </x:c>
      <x:c r="O543" s="32" t="str">
        <x:f>IF(OR('Detalle'!$J266="",'Detalle'!$K266="",'Detalle'!$L266=""),"",IF(AND(O$8&lt;='Detalle'!$K266,O$9&gt;='Detalle'!$J266),1,""))</x:f>
      </x:c>
      <x:c r="P543" s="32" t="str">
        <x:f>IF(OR('Detalle'!$J266="",'Detalle'!$K266="",'Detalle'!$L266=""),"",IF(AND(P$8&lt;='Detalle'!$K266,P$9&gt;='Detalle'!$J266),1,""))</x:f>
      </x:c>
      <x:c r="Q543" s="68"/>
      <x:c r="R543" s="67" t="str"/>
      <x:c r="S543" s="67" t="str"/>
    </x:row>
    <x:row r="544" ht="16" customHeight="1">
      <x:c r="A544" s="56" t="str">
        <x:v>PRO02.024</x:v>
      </x:c>
      <x:c r="B544" s="57" t="str">
        <x:v>Conservar formulario ante fallo</x:v>
      </x:c>
      <x:c r="C544" s="62" t="str">
        <x:v>E</x:v>
      </x:c>
      <x:c r="D544" s="64" t="n">
        <x:f>'Detalle'!I267</x:f>
        <x:v>1</x:v>
      </x:c>
      <x:c r="E544" s="60" t="str">
        <x:f>'Detalle'!F267</x:f>
        <x:v>Completado</x:v>
      </x:c>
      <x:c r="F544" s="32" t="str">
        <x:f>IF(AND(F$8&lt;='Detalle'!$H267,F$9&gt;='Detalle'!$G267),1,"")</x:f>
      </x:c>
      <x:c r="G544" s="32" t="str">
        <x:f>IF(AND(G$8&lt;='Detalle'!$H267,G$9&gt;='Detalle'!$G267),1,"")</x:f>
      </x:c>
      <x:c r="H544" s="32" t="str">
        <x:f>IF(AND(H$8&lt;='Detalle'!$H267,H$9&gt;='Detalle'!$G267),1,"")</x:f>
      </x:c>
      <x:c r="I544" s="32" t="n">
        <x:f>IF(AND(I$8&lt;='Detalle'!$H267,I$9&gt;='Detalle'!$G267),1,"")</x:f>
        <x:v>1</x:v>
      </x:c>
      <x:c r="J544" s="32" t="str">
        <x:f>IF(AND(J$8&lt;='Detalle'!$H267,J$9&gt;='Detalle'!$G267),1,"")</x:f>
      </x:c>
      <x:c r="K544" s="32" t="str">
        <x:f>IF(AND(K$8&lt;='Detalle'!$H267,K$9&gt;='Detalle'!$G267),1,"")</x:f>
      </x:c>
      <x:c r="L544" s="32" t="str">
        <x:f>IF(AND(L$8&lt;='Detalle'!$H267,L$9&gt;='Detalle'!$G267),1,"")</x:f>
      </x:c>
      <x:c r="M544" s="32" t="str">
        <x:f>IF(AND(M$8&lt;='Detalle'!$H267,M$9&gt;='Detalle'!$G267),1,"")</x:f>
      </x:c>
      <x:c r="N544" s="32" t="str">
        <x:f>IF(AND(N$8&lt;='Detalle'!$H267,N$9&gt;='Detalle'!$G267),1,"")</x:f>
      </x:c>
      <x:c r="O544" s="32" t="str">
        <x:f>IF(AND(O$8&lt;='Detalle'!$H267,O$9&gt;='Detalle'!$G267),1,"")</x:f>
      </x:c>
      <x:c r="P544" s="32" t="str">
        <x:f>IF(AND(P$8&lt;='Detalle'!$H267,P$9&gt;='Detalle'!$G267),1,"")</x:f>
      </x:c>
      <x:c r="Q544" s="68"/>
      <x:c r="R544" s="67" t="str">
        <x:f>IF('Detalle'!M267="","",'Detalle'!M267)</x:f>
      </x:c>
      <x:c r="S544" s="67" t="str">
        <x:f>IF('Detalle'!N267="","",'Detalle'!N267)</x:f>
      </x:c>
    </x:row>
    <x:row r="545" ht="16" customHeight="1">
      <x:c r="A545" s="56" t="str">
        <x:v>PRO02.024</x:v>
      </x:c>
      <x:c r="B545" s="57" t="str">
        <x:v>Conservar formulario ante fallo</x:v>
      </x:c>
      <x:c r="C545" s="63" t="str">
        <x:v>R</x:v>
      </x:c>
      <x:c r="D545" s="65" t="str">
        <x:f>IF('Detalle'!L267="","",'Detalle'!L267)</x:f>
      </x:c>
      <x:c r="E545" s="60" t="str"/>
      <x:c r="F545" s="32" t="str">
        <x:f>IF(OR('Detalle'!$J267="",'Detalle'!$K267="",'Detalle'!$L267=""),"",IF(AND(F$8&lt;='Detalle'!$K267,F$9&gt;='Detalle'!$J267),1,""))</x:f>
      </x:c>
      <x:c r="G545" s="32" t="str">
        <x:f>IF(OR('Detalle'!$J267="",'Detalle'!$K267="",'Detalle'!$L267=""),"",IF(AND(G$8&lt;='Detalle'!$K267,G$9&gt;='Detalle'!$J267),1,""))</x:f>
      </x:c>
      <x:c r="H545" s="32" t="str">
        <x:f>IF(OR('Detalle'!$J267="",'Detalle'!$K267="",'Detalle'!$L267=""),"",IF(AND(H$8&lt;='Detalle'!$K267,H$9&gt;='Detalle'!$J267),1,""))</x:f>
      </x:c>
      <x:c r="I545" s="32" t="str">
        <x:f>IF(OR('Detalle'!$J267="",'Detalle'!$K267="",'Detalle'!$L267=""),"",IF(AND(I$8&lt;='Detalle'!$K267,I$9&gt;='Detalle'!$J267),1,""))</x:f>
      </x:c>
      <x:c r="J545" s="32" t="str">
        <x:f>IF(OR('Detalle'!$J267="",'Detalle'!$K267="",'Detalle'!$L267=""),"",IF(AND(J$8&lt;='Detalle'!$K267,J$9&gt;='Detalle'!$J267),1,""))</x:f>
      </x:c>
      <x:c r="K545" s="32" t="str">
        <x:f>IF(OR('Detalle'!$J267="",'Detalle'!$K267="",'Detalle'!$L267=""),"",IF(AND(K$8&lt;='Detalle'!$K267,K$9&gt;='Detalle'!$J267),1,""))</x:f>
      </x:c>
      <x:c r="L545" s="32" t="str">
        <x:f>IF(OR('Detalle'!$J267="",'Detalle'!$K267="",'Detalle'!$L267=""),"",IF(AND(L$8&lt;='Detalle'!$K267,L$9&gt;='Detalle'!$J267),1,""))</x:f>
      </x:c>
      <x:c r="M545" s="32" t="str">
        <x:f>IF(OR('Detalle'!$J267="",'Detalle'!$K267="",'Detalle'!$L267=""),"",IF(AND(M$8&lt;='Detalle'!$K267,M$9&gt;='Detalle'!$J267),1,""))</x:f>
      </x:c>
      <x:c r="N545" s="32" t="str">
        <x:f>IF(OR('Detalle'!$J267="",'Detalle'!$K267="",'Detalle'!$L267=""),"",IF(AND(N$8&lt;='Detalle'!$K267,N$9&gt;='Detalle'!$J267),1,""))</x:f>
      </x:c>
      <x:c r="O545" s="32" t="str">
        <x:f>IF(OR('Detalle'!$J267="",'Detalle'!$K267="",'Detalle'!$L267=""),"",IF(AND(O$8&lt;='Detalle'!$K267,O$9&gt;='Detalle'!$J267),1,""))</x:f>
      </x:c>
      <x:c r="P545" s="32" t="str">
        <x:f>IF(OR('Detalle'!$J267="",'Detalle'!$K267="",'Detalle'!$L267=""),"",IF(AND(P$8&lt;='Detalle'!$K267,P$9&gt;='Detalle'!$J267),1,""))</x:f>
      </x:c>
      <x:c r="Q545" s="68"/>
      <x:c r="R545" s="67" t="str"/>
      <x:c r="S545" s="67" t="str"/>
    </x:row>
    <x:row r="546" ht="16" customHeight="1">
      <x:c r="A546" s="56" t="str">
        <x:v>PRO02.025</x:v>
      </x:c>
      <x:c r="B546" s="57" t="str">
        <x:v>Limpiar fotos reemplazadas tras éxito</x:v>
      </x:c>
      <x:c r="C546" s="62" t="str">
        <x:v>E</x:v>
      </x:c>
      <x:c r="D546" s="64" t="n">
        <x:f>'Detalle'!I268</x:f>
        <x:v>1</x:v>
      </x:c>
      <x:c r="E546" s="60" t="str">
        <x:f>'Detalle'!F268</x:f>
        <x:v>Completado</x:v>
      </x:c>
      <x:c r="F546" s="32" t="str">
        <x:f>IF(AND(F$8&lt;='Detalle'!$H268,F$9&gt;='Detalle'!$G268),1,"")</x:f>
      </x:c>
      <x:c r="G546" s="32" t="str">
        <x:f>IF(AND(G$8&lt;='Detalle'!$H268,G$9&gt;='Detalle'!$G268),1,"")</x:f>
      </x:c>
      <x:c r="H546" s="32" t="str">
        <x:f>IF(AND(H$8&lt;='Detalle'!$H268,H$9&gt;='Detalle'!$G268),1,"")</x:f>
      </x:c>
      <x:c r="I546" s="32" t="n">
        <x:f>IF(AND(I$8&lt;='Detalle'!$H268,I$9&gt;='Detalle'!$G268),1,"")</x:f>
        <x:v>1</x:v>
      </x:c>
      <x:c r="J546" s="32" t="str">
        <x:f>IF(AND(J$8&lt;='Detalle'!$H268,J$9&gt;='Detalle'!$G268),1,"")</x:f>
      </x:c>
      <x:c r="K546" s="32" t="str">
        <x:f>IF(AND(K$8&lt;='Detalle'!$H268,K$9&gt;='Detalle'!$G268),1,"")</x:f>
      </x:c>
      <x:c r="L546" s="32" t="str">
        <x:f>IF(AND(L$8&lt;='Detalle'!$H268,L$9&gt;='Detalle'!$G268),1,"")</x:f>
      </x:c>
      <x:c r="M546" s="32" t="str">
        <x:f>IF(AND(M$8&lt;='Detalle'!$H268,M$9&gt;='Detalle'!$G268),1,"")</x:f>
      </x:c>
      <x:c r="N546" s="32" t="str">
        <x:f>IF(AND(N$8&lt;='Detalle'!$H268,N$9&gt;='Detalle'!$G268),1,"")</x:f>
      </x:c>
      <x:c r="O546" s="32" t="str">
        <x:f>IF(AND(O$8&lt;='Detalle'!$H268,O$9&gt;='Detalle'!$G268),1,"")</x:f>
      </x:c>
      <x:c r="P546" s="32" t="str">
        <x:f>IF(AND(P$8&lt;='Detalle'!$H268,P$9&gt;='Detalle'!$G268),1,"")</x:f>
      </x:c>
      <x:c r="Q546" s="68"/>
      <x:c r="R546" s="67" t="str">
        <x:f>IF('Detalle'!M268="","",'Detalle'!M268)</x:f>
      </x:c>
      <x:c r="S546" s="67" t="str">
        <x:f>IF('Detalle'!N268="","",'Detalle'!N268)</x:f>
      </x:c>
    </x:row>
    <x:row r="547" ht="16" customHeight="1">
      <x:c r="A547" s="56" t="str">
        <x:v>PRO02.025</x:v>
      </x:c>
      <x:c r="B547" s="57" t="str">
        <x:v>Limpiar fotos reemplazadas tras éxito</x:v>
      </x:c>
      <x:c r="C547" s="63" t="str">
        <x:v>R</x:v>
      </x:c>
      <x:c r="D547" s="65" t="str">
        <x:f>IF('Detalle'!L268="","",'Detalle'!L268)</x:f>
      </x:c>
      <x:c r="E547" s="60" t="str"/>
      <x:c r="F547" s="32" t="str">
        <x:f>IF(OR('Detalle'!$J268="",'Detalle'!$K268="",'Detalle'!$L268=""),"",IF(AND(F$8&lt;='Detalle'!$K268,F$9&gt;='Detalle'!$J268),1,""))</x:f>
      </x:c>
      <x:c r="G547" s="32" t="str">
        <x:f>IF(OR('Detalle'!$J268="",'Detalle'!$K268="",'Detalle'!$L268=""),"",IF(AND(G$8&lt;='Detalle'!$K268,G$9&gt;='Detalle'!$J268),1,""))</x:f>
      </x:c>
      <x:c r="H547" s="32" t="str">
        <x:f>IF(OR('Detalle'!$J268="",'Detalle'!$K268="",'Detalle'!$L268=""),"",IF(AND(H$8&lt;='Detalle'!$K268,H$9&gt;='Detalle'!$J268),1,""))</x:f>
      </x:c>
      <x:c r="I547" s="32" t="str">
        <x:f>IF(OR('Detalle'!$J268="",'Detalle'!$K268="",'Detalle'!$L268=""),"",IF(AND(I$8&lt;='Detalle'!$K268,I$9&gt;='Detalle'!$J268),1,""))</x:f>
      </x:c>
      <x:c r="J547" s="32" t="str">
        <x:f>IF(OR('Detalle'!$J268="",'Detalle'!$K268="",'Detalle'!$L268=""),"",IF(AND(J$8&lt;='Detalle'!$K268,J$9&gt;='Detalle'!$J268),1,""))</x:f>
      </x:c>
      <x:c r="K547" s="32" t="str">
        <x:f>IF(OR('Detalle'!$J268="",'Detalle'!$K268="",'Detalle'!$L268=""),"",IF(AND(K$8&lt;='Detalle'!$K268,K$9&gt;='Detalle'!$J268),1,""))</x:f>
      </x:c>
      <x:c r="L547" s="32" t="str">
        <x:f>IF(OR('Detalle'!$J268="",'Detalle'!$K268="",'Detalle'!$L268=""),"",IF(AND(L$8&lt;='Detalle'!$K268,L$9&gt;='Detalle'!$J268),1,""))</x:f>
      </x:c>
      <x:c r="M547" s="32" t="str">
        <x:f>IF(OR('Detalle'!$J268="",'Detalle'!$K268="",'Detalle'!$L268=""),"",IF(AND(M$8&lt;='Detalle'!$K268,M$9&gt;='Detalle'!$J268),1,""))</x:f>
      </x:c>
      <x:c r="N547" s="32" t="str">
        <x:f>IF(OR('Detalle'!$J268="",'Detalle'!$K268="",'Detalle'!$L268=""),"",IF(AND(N$8&lt;='Detalle'!$K268,N$9&gt;='Detalle'!$J268),1,""))</x:f>
      </x:c>
      <x:c r="O547" s="32" t="str">
        <x:f>IF(OR('Detalle'!$J268="",'Detalle'!$K268="",'Detalle'!$L268=""),"",IF(AND(O$8&lt;='Detalle'!$K268,O$9&gt;='Detalle'!$J268),1,""))</x:f>
      </x:c>
      <x:c r="P547" s="32" t="str">
        <x:f>IF(OR('Detalle'!$J268="",'Detalle'!$K268="",'Detalle'!$L268=""),"",IF(AND(P$8&lt;='Detalle'!$K268,P$9&gt;='Detalle'!$J268),1,""))</x:f>
      </x:c>
      <x:c r="Q547" s="68"/>
      <x:c r="R547" s="67" t="str"/>
      <x:c r="S547" s="67" t="str"/>
    </x:row>
    <x:row r="548" ht="20" customHeight="1">
      <x:c r="A548" s="52" t="str">
        <x:v>ACC03 · Rediseño de registro mínimo y guías opcionales</x:v>
      </x:c>
      <x:c r="B548" s="52" t="str">
        <x:v>ACC03 · Rediseño de registro mínimo y guías opcionales</x:v>
      </x:c>
      <x:c r="C548" s="52" t="str">
        <x:v>ACC03 · Rediseño de registro mínimo y guías opcionales</x:v>
      </x:c>
      <x:c r="D548" s="52" t="str">
        <x:v>ACC03 · Rediseño de registro mínimo y guías opcionales</x:v>
      </x:c>
      <x:c r="E548" s="52" t="str">
        <x:v>ACC03 · Rediseño de registro mínimo y guías opcionales</x:v>
      </x:c>
      <x:c r="F548" s="53" t="str">
        <x:v>ACC03 · Rediseño de registro mínimo y guías opcionales</x:v>
      </x:c>
      <x:c r="G548" s="53" t="str">
        <x:v>ACC03 · Rediseño de registro mínimo y guías opcionales</x:v>
      </x:c>
      <x:c r="H548" s="53" t="str">
        <x:v>ACC03 · Rediseño de registro mínimo y guías opcionales</x:v>
      </x:c>
      <x:c r="I548" s="53" t="str">
        <x:v>ACC03 · Rediseño de registro mínimo y guías opcionales</x:v>
      </x:c>
      <x:c r="J548" s="53" t="str">
        <x:v>ACC03 · Rediseño de registro mínimo y guías opcionales</x:v>
      </x:c>
      <x:c r="K548" s="53" t="str">
        <x:v>ACC03 · Rediseño de registro mínimo y guías opcionales</x:v>
      </x:c>
      <x:c r="L548" s="53" t="str">
        <x:v>ACC03 · Rediseño de registro mínimo y guías opcionales</x:v>
      </x:c>
      <x:c r="M548" s="53" t="str">
        <x:v>ACC03 · Rediseño de registro mínimo y guías opcionales</x:v>
      </x:c>
      <x:c r="N548" s="53" t="str">
        <x:v>ACC03 · Rediseño de registro mínimo y guías opcionales</x:v>
      </x:c>
      <x:c r="O548" s="53" t="str">
        <x:v>ACC03 · Rediseño de registro mínimo y guías opcionales</x:v>
      </x:c>
      <x:c r="P548" s="53" t="str">
        <x:v>ACC03 · Rediseño de registro mínimo y guías opcionales</x:v>
      </x:c>
      <x:c r="Q548" s="52" t="str">
        <x:v>ACC03 · Rediseño de registro mínimo y guías opcionales</x:v>
      </x:c>
      <x:c r="R548" s="52" t="str">
        <x:v>ACC03 · Rediseño de registro mínimo y guías opcionales</x:v>
      </x:c>
      <x:c r="S548" s="52" t="str">
        <x:v>ACC03 · Rediseño de registro mínimo y guías opcionales</x:v>
      </x:c>
    </x:row>
    <x:row r="549" ht="16" customHeight="1">
      <x:c r="A549" s="56" t="str">
        <x:v>ACC03.001</x:v>
      </x:c>
      <x:c r="B549" s="57" t="str">
        <x:v>Crear referencias visuales de acceso</x:v>
      </x:c>
      <x:c r="C549" s="62" t="str">
        <x:v>E</x:v>
      </x:c>
      <x:c r="D549" s="64" t="n">
        <x:f>'Detalle'!I269</x:f>
        <x:v>1</x:v>
      </x:c>
      <x:c r="E549" s="60" t="str">
        <x:f>'Detalle'!F269</x:f>
        <x:v>Completado</x:v>
      </x:c>
      <x:c r="F549" s="32" t="str">
        <x:f>IF(AND(F$8&lt;='Detalle'!$H269,F$9&gt;='Detalle'!$G269),1,"")</x:f>
      </x:c>
      <x:c r="G549" s="32" t="str">
        <x:f>IF(AND(G$8&lt;='Detalle'!$H269,G$9&gt;='Detalle'!$G269),1,"")</x:f>
      </x:c>
      <x:c r="H549" s="32" t="str">
        <x:f>IF(AND(H$8&lt;='Detalle'!$H269,H$9&gt;='Detalle'!$G269),1,"")</x:f>
      </x:c>
      <x:c r="I549" s="32" t="n">
        <x:f>IF(AND(I$8&lt;='Detalle'!$H269,I$9&gt;='Detalle'!$G269),1,"")</x:f>
        <x:v>1</x:v>
      </x:c>
      <x:c r="J549" s="32" t="str">
        <x:f>IF(AND(J$8&lt;='Detalle'!$H269,J$9&gt;='Detalle'!$G269),1,"")</x:f>
      </x:c>
      <x:c r="K549" s="32" t="str">
        <x:f>IF(AND(K$8&lt;='Detalle'!$H269,K$9&gt;='Detalle'!$G269),1,"")</x:f>
      </x:c>
      <x:c r="L549" s="32" t="str">
        <x:f>IF(AND(L$8&lt;='Detalle'!$H269,L$9&gt;='Detalle'!$G269),1,"")</x:f>
      </x:c>
      <x:c r="M549" s="32" t="str">
        <x:f>IF(AND(M$8&lt;='Detalle'!$H269,M$9&gt;='Detalle'!$G269),1,"")</x:f>
      </x:c>
      <x:c r="N549" s="32" t="str">
        <x:f>IF(AND(N$8&lt;='Detalle'!$H269,N$9&gt;='Detalle'!$G269),1,"")</x:f>
      </x:c>
      <x:c r="O549" s="32" t="str">
        <x:f>IF(AND(O$8&lt;='Detalle'!$H269,O$9&gt;='Detalle'!$G269),1,"")</x:f>
      </x:c>
      <x:c r="P549" s="32" t="str">
        <x:f>IF(AND(P$8&lt;='Detalle'!$H269,P$9&gt;='Detalle'!$G269),1,"")</x:f>
      </x:c>
      <x:c r="Q549" s="68"/>
      <x:c r="R549" s="67" t="str">
        <x:f>IF('Detalle'!M269="","",'Detalle'!M269)</x:f>
      </x:c>
      <x:c r="S549" s="67" t="str">
        <x:f>IF('Detalle'!N269="","",'Detalle'!N269)</x:f>
      </x:c>
    </x:row>
    <x:row r="550" ht="16" customHeight="1">
      <x:c r="A550" s="56" t="str">
        <x:v>ACC03.001</x:v>
      </x:c>
      <x:c r="B550" s="57" t="str">
        <x:v>Crear referencias visuales de acceso</x:v>
      </x:c>
      <x:c r="C550" s="63" t="str">
        <x:v>R</x:v>
      </x:c>
      <x:c r="D550" s="65" t="str">
        <x:f>IF('Detalle'!L269="","",'Detalle'!L269)</x:f>
      </x:c>
      <x:c r="E550" s="60" t="str"/>
      <x:c r="F550" s="32" t="str">
        <x:f>IF(OR('Detalle'!$J269="",'Detalle'!$K269="",'Detalle'!$L269=""),"",IF(AND(F$8&lt;='Detalle'!$K269,F$9&gt;='Detalle'!$J269),1,""))</x:f>
      </x:c>
      <x:c r="G550" s="32" t="str">
        <x:f>IF(OR('Detalle'!$J269="",'Detalle'!$K269="",'Detalle'!$L269=""),"",IF(AND(G$8&lt;='Detalle'!$K269,G$9&gt;='Detalle'!$J269),1,""))</x:f>
      </x:c>
      <x:c r="H550" s="32" t="str">
        <x:f>IF(OR('Detalle'!$J269="",'Detalle'!$K269="",'Detalle'!$L269=""),"",IF(AND(H$8&lt;='Detalle'!$K269,H$9&gt;='Detalle'!$J269),1,""))</x:f>
      </x:c>
      <x:c r="I550" s="32" t="str">
        <x:f>IF(OR('Detalle'!$J269="",'Detalle'!$K269="",'Detalle'!$L269=""),"",IF(AND(I$8&lt;='Detalle'!$K269,I$9&gt;='Detalle'!$J269),1,""))</x:f>
      </x:c>
      <x:c r="J550" s="32" t="str">
        <x:f>IF(OR('Detalle'!$J269="",'Detalle'!$K269="",'Detalle'!$L269=""),"",IF(AND(J$8&lt;='Detalle'!$K269,J$9&gt;='Detalle'!$J269),1,""))</x:f>
      </x:c>
      <x:c r="K550" s="32" t="str">
        <x:f>IF(OR('Detalle'!$J269="",'Detalle'!$K269="",'Detalle'!$L269=""),"",IF(AND(K$8&lt;='Detalle'!$K269,K$9&gt;='Detalle'!$J269),1,""))</x:f>
      </x:c>
      <x:c r="L550" s="32" t="str">
        <x:f>IF(OR('Detalle'!$J269="",'Detalle'!$K269="",'Detalle'!$L269=""),"",IF(AND(L$8&lt;='Detalle'!$K269,L$9&gt;='Detalle'!$J269),1,""))</x:f>
      </x:c>
      <x:c r="M550" s="32" t="str">
        <x:f>IF(OR('Detalle'!$J269="",'Detalle'!$K269="",'Detalle'!$L269=""),"",IF(AND(M$8&lt;='Detalle'!$K269,M$9&gt;='Detalle'!$J269),1,""))</x:f>
      </x:c>
      <x:c r="N550" s="32" t="str">
        <x:f>IF(OR('Detalle'!$J269="",'Detalle'!$K269="",'Detalle'!$L269=""),"",IF(AND(N$8&lt;='Detalle'!$K269,N$9&gt;='Detalle'!$J269),1,""))</x:f>
      </x:c>
      <x:c r="O550" s="32" t="str">
        <x:f>IF(OR('Detalle'!$J269="",'Detalle'!$K269="",'Detalle'!$L269=""),"",IF(AND(O$8&lt;='Detalle'!$K269,O$9&gt;='Detalle'!$J269),1,""))</x:f>
      </x:c>
      <x:c r="P550" s="32" t="str">
        <x:f>IF(OR('Detalle'!$J269="",'Detalle'!$K269="",'Detalle'!$L269=""),"",IF(AND(P$8&lt;='Detalle'!$K269,P$9&gt;='Detalle'!$J269),1,""))</x:f>
      </x:c>
      <x:c r="Q550" s="68"/>
      <x:c r="R550" s="67" t="str"/>
      <x:c r="S550" s="67" t="str"/>
    </x:row>
    <x:row r="551" ht="16" customHeight="1">
      <x:c r="A551" s="56" t="str">
        <x:v>ACC03.002</x:v>
      </x:c>
      <x:c r="B551" s="57" t="str">
        <x:v>Rediseñar bienvenida con marca MAREA</x:v>
      </x:c>
      <x:c r="C551" s="62" t="str">
        <x:v>E</x:v>
      </x:c>
      <x:c r="D551" s="64" t="n">
        <x:f>'Detalle'!I270</x:f>
        <x:v>1</x:v>
      </x:c>
      <x:c r="E551" s="60" t="str">
        <x:f>'Detalle'!F270</x:f>
        <x:v>Completado</x:v>
      </x:c>
      <x:c r="F551" s="32" t="str">
        <x:f>IF(AND(F$8&lt;='Detalle'!$H270,F$9&gt;='Detalle'!$G270),1,"")</x:f>
      </x:c>
      <x:c r="G551" s="32" t="str">
        <x:f>IF(AND(G$8&lt;='Detalle'!$H270,G$9&gt;='Detalle'!$G270),1,"")</x:f>
      </x:c>
      <x:c r="H551" s="32" t="str">
        <x:f>IF(AND(H$8&lt;='Detalle'!$H270,H$9&gt;='Detalle'!$G270),1,"")</x:f>
      </x:c>
      <x:c r="I551" s="32" t="n">
        <x:f>IF(AND(I$8&lt;='Detalle'!$H270,I$9&gt;='Detalle'!$G270),1,"")</x:f>
        <x:v>1</x:v>
      </x:c>
      <x:c r="J551" s="32" t="str">
        <x:f>IF(AND(J$8&lt;='Detalle'!$H270,J$9&gt;='Detalle'!$G270),1,"")</x:f>
      </x:c>
      <x:c r="K551" s="32" t="str">
        <x:f>IF(AND(K$8&lt;='Detalle'!$H270,K$9&gt;='Detalle'!$G270),1,"")</x:f>
      </x:c>
      <x:c r="L551" s="32" t="str">
        <x:f>IF(AND(L$8&lt;='Detalle'!$H270,L$9&gt;='Detalle'!$G270),1,"")</x:f>
      </x:c>
      <x:c r="M551" s="32" t="str">
        <x:f>IF(AND(M$8&lt;='Detalle'!$H270,M$9&gt;='Detalle'!$G270),1,"")</x:f>
      </x:c>
      <x:c r="N551" s="32" t="str">
        <x:f>IF(AND(N$8&lt;='Detalle'!$H270,N$9&gt;='Detalle'!$G270),1,"")</x:f>
      </x:c>
      <x:c r="O551" s="32" t="str">
        <x:f>IF(AND(O$8&lt;='Detalle'!$H270,O$9&gt;='Detalle'!$G270),1,"")</x:f>
      </x:c>
      <x:c r="P551" s="32" t="str">
        <x:f>IF(AND(P$8&lt;='Detalle'!$H270,P$9&gt;='Detalle'!$G270),1,"")</x:f>
      </x:c>
      <x:c r="Q551" s="68"/>
      <x:c r="R551" s="67" t="str">
        <x:f>IF('Detalle'!M270="","",'Detalle'!M270)</x:f>
      </x:c>
      <x:c r="S551" s="67" t="str">
        <x:f>IF('Detalle'!N270="","",'Detalle'!N270)</x:f>
      </x:c>
    </x:row>
    <x:row r="552" ht="16" customHeight="1">
      <x:c r="A552" s="56" t="str">
        <x:v>ACC03.002</x:v>
      </x:c>
      <x:c r="B552" s="57" t="str">
        <x:v>Rediseñar bienvenida con marca MAREA</x:v>
      </x:c>
      <x:c r="C552" s="63" t="str">
        <x:v>R</x:v>
      </x:c>
      <x:c r="D552" s="65" t="str">
        <x:f>IF('Detalle'!L270="","",'Detalle'!L270)</x:f>
      </x:c>
      <x:c r="E552" s="60" t="str"/>
      <x:c r="F552" s="32" t="str">
        <x:f>IF(OR('Detalle'!$J270="",'Detalle'!$K270="",'Detalle'!$L270=""),"",IF(AND(F$8&lt;='Detalle'!$K270,F$9&gt;='Detalle'!$J270),1,""))</x:f>
      </x:c>
      <x:c r="G552" s="32" t="str">
        <x:f>IF(OR('Detalle'!$J270="",'Detalle'!$K270="",'Detalle'!$L270=""),"",IF(AND(G$8&lt;='Detalle'!$K270,G$9&gt;='Detalle'!$J270),1,""))</x:f>
      </x:c>
      <x:c r="H552" s="32" t="str">
        <x:f>IF(OR('Detalle'!$J270="",'Detalle'!$K270="",'Detalle'!$L270=""),"",IF(AND(H$8&lt;='Detalle'!$K270,H$9&gt;='Detalle'!$J270),1,""))</x:f>
      </x:c>
      <x:c r="I552" s="32" t="str">
        <x:f>IF(OR('Detalle'!$J270="",'Detalle'!$K270="",'Detalle'!$L270=""),"",IF(AND(I$8&lt;='Detalle'!$K270,I$9&gt;='Detalle'!$J270),1,""))</x:f>
      </x:c>
      <x:c r="J552" s="32" t="str">
        <x:f>IF(OR('Detalle'!$J270="",'Detalle'!$K270="",'Detalle'!$L270=""),"",IF(AND(J$8&lt;='Detalle'!$K270,J$9&gt;='Detalle'!$J270),1,""))</x:f>
      </x:c>
      <x:c r="K552" s="32" t="str">
        <x:f>IF(OR('Detalle'!$J270="",'Detalle'!$K270="",'Detalle'!$L270=""),"",IF(AND(K$8&lt;='Detalle'!$K270,K$9&gt;='Detalle'!$J270),1,""))</x:f>
      </x:c>
      <x:c r="L552" s="32" t="str">
        <x:f>IF(OR('Detalle'!$J270="",'Detalle'!$K270="",'Detalle'!$L270=""),"",IF(AND(L$8&lt;='Detalle'!$K270,L$9&gt;='Detalle'!$J270),1,""))</x:f>
      </x:c>
      <x:c r="M552" s="32" t="str">
        <x:f>IF(OR('Detalle'!$J270="",'Detalle'!$K270="",'Detalle'!$L270=""),"",IF(AND(M$8&lt;='Detalle'!$K270,M$9&gt;='Detalle'!$J270),1,""))</x:f>
      </x:c>
      <x:c r="N552" s="32" t="str">
        <x:f>IF(OR('Detalle'!$J270="",'Detalle'!$K270="",'Detalle'!$L270=""),"",IF(AND(N$8&lt;='Detalle'!$K270,N$9&gt;='Detalle'!$J270),1,""))</x:f>
      </x:c>
      <x:c r="O552" s="32" t="str">
        <x:f>IF(OR('Detalle'!$J270="",'Detalle'!$K270="",'Detalle'!$L270=""),"",IF(AND(O$8&lt;='Detalle'!$K270,O$9&gt;='Detalle'!$J270),1,""))</x:f>
      </x:c>
      <x:c r="P552" s="32" t="str">
        <x:f>IF(OR('Detalle'!$J270="",'Detalle'!$K270="",'Detalle'!$L270=""),"",IF(AND(P$8&lt;='Detalle'!$K270,P$9&gt;='Detalle'!$J270),1,""))</x:f>
      </x:c>
      <x:c r="Q552" s="68"/>
      <x:c r="R552" s="67" t="str"/>
      <x:c r="S552" s="67" t="str"/>
    </x:row>
    <x:row r="553" ht="16" customHeight="1">
      <x:c r="A553" s="56" t="str">
        <x:v>ACC03.003</x:v>
      </x:c>
      <x:c r="B553" s="57" t="str">
        <x:v>Crear selector de cuatro tipos de perfil</x:v>
      </x:c>
      <x:c r="C553" s="62" t="str">
        <x:v>E</x:v>
      </x:c>
      <x:c r="D553" s="64" t="n">
        <x:f>'Detalle'!I271</x:f>
        <x:v>1</x:v>
      </x:c>
      <x:c r="E553" s="60" t="str">
        <x:f>'Detalle'!F271</x:f>
        <x:v>Completado</x:v>
      </x:c>
      <x:c r="F553" s="32" t="str">
        <x:f>IF(AND(F$8&lt;='Detalle'!$H271,F$9&gt;='Detalle'!$G271),1,"")</x:f>
      </x:c>
      <x:c r="G553" s="32" t="str">
        <x:f>IF(AND(G$8&lt;='Detalle'!$H271,G$9&gt;='Detalle'!$G271),1,"")</x:f>
      </x:c>
      <x:c r="H553" s="32" t="str">
        <x:f>IF(AND(H$8&lt;='Detalle'!$H271,H$9&gt;='Detalle'!$G271),1,"")</x:f>
      </x:c>
      <x:c r="I553" s="32" t="n">
        <x:f>IF(AND(I$8&lt;='Detalle'!$H271,I$9&gt;='Detalle'!$G271),1,"")</x:f>
        <x:v>1</x:v>
      </x:c>
      <x:c r="J553" s="32" t="str">
        <x:f>IF(AND(J$8&lt;='Detalle'!$H271,J$9&gt;='Detalle'!$G271),1,"")</x:f>
      </x:c>
      <x:c r="K553" s="32" t="str">
        <x:f>IF(AND(K$8&lt;='Detalle'!$H271,K$9&gt;='Detalle'!$G271),1,"")</x:f>
      </x:c>
      <x:c r="L553" s="32" t="str">
        <x:f>IF(AND(L$8&lt;='Detalle'!$H271,L$9&gt;='Detalle'!$G271),1,"")</x:f>
      </x:c>
      <x:c r="M553" s="32" t="str">
        <x:f>IF(AND(M$8&lt;='Detalle'!$H271,M$9&gt;='Detalle'!$G271),1,"")</x:f>
      </x:c>
      <x:c r="N553" s="32" t="str">
        <x:f>IF(AND(N$8&lt;='Detalle'!$H271,N$9&gt;='Detalle'!$G271),1,"")</x:f>
      </x:c>
      <x:c r="O553" s="32" t="str">
        <x:f>IF(AND(O$8&lt;='Detalle'!$H271,O$9&gt;='Detalle'!$G271),1,"")</x:f>
      </x:c>
      <x:c r="P553" s="32" t="str">
        <x:f>IF(AND(P$8&lt;='Detalle'!$H271,P$9&gt;='Detalle'!$G271),1,"")</x:f>
      </x:c>
      <x:c r="Q553" s="68"/>
      <x:c r="R553" s="67" t="str">
        <x:f>IF('Detalle'!M271="","",'Detalle'!M271)</x:f>
      </x:c>
      <x:c r="S553" s="67" t="str">
        <x:f>IF('Detalle'!N271="","",'Detalle'!N271)</x:f>
      </x:c>
    </x:row>
    <x:row r="554" ht="16" customHeight="1">
      <x:c r="A554" s="56" t="str">
        <x:v>ACC03.003</x:v>
      </x:c>
      <x:c r="B554" s="57" t="str">
        <x:v>Crear selector de cuatro tipos de perfil</x:v>
      </x:c>
      <x:c r="C554" s="63" t="str">
        <x:v>R</x:v>
      </x:c>
      <x:c r="D554" s="65" t="str">
        <x:f>IF('Detalle'!L271="","",'Detalle'!L271)</x:f>
      </x:c>
      <x:c r="E554" s="60" t="str"/>
      <x:c r="F554" s="32" t="str">
        <x:f>IF(OR('Detalle'!$J271="",'Detalle'!$K271="",'Detalle'!$L271=""),"",IF(AND(F$8&lt;='Detalle'!$K271,F$9&gt;='Detalle'!$J271),1,""))</x:f>
      </x:c>
      <x:c r="G554" s="32" t="str">
        <x:f>IF(OR('Detalle'!$J271="",'Detalle'!$K271="",'Detalle'!$L271=""),"",IF(AND(G$8&lt;='Detalle'!$K271,G$9&gt;='Detalle'!$J271),1,""))</x:f>
      </x:c>
      <x:c r="H554" s="32" t="str">
        <x:f>IF(OR('Detalle'!$J271="",'Detalle'!$K271="",'Detalle'!$L271=""),"",IF(AND(H$8&lt;='Detalle'!$K271,H$9&gt;='Detalle'!$J271),1,""))</x:f>
      </x:c>
      <x:c r="I554" s="32" t="str">
        <x:f>IF(OR('Detalle'!$J271="",'Detalle'!$K271="",'Detalle'!$L271=""),"",IF(AND(I$8&lt;='Detalle'!$K271,I$9&gt;='Detalle'!$J271),1,""))</x:f>
      </x:c>
      <x:c r="J554" s="32" t="str">
        <x:f>IF(OR('Detalle'!$J271="",'Detalle'!$K271="",'Detalle'!$L271=""),"",IF(AND(J$8&lt;='Detalle'!$K271,J$9&gt;='Detalle'!$J271),1,""))</x:f>
      </x:c>
      <x:c r="K554" s="32" t="str">
        <x:f>IF(OR('Detalle'!$J271="",'Detalle'!$K271="",'Detalle'!$L271=""),"",IF(AND(K$8&lt;='Detalle'!$K271,K$9&gt;='Detalle'!$J271),1,""))</x:f>
      </x:c>
      <x:c r="L554" s="32" t="str">
        <x:f>IF(OR('Detalle'!$J271="",'Detalle'!$K271="",'Detalle'!$L271=""),"",IF(AND(L$8&lt;='Detalle'!$K271,L$9&gt;='Detalle'!$J271),1,""))</x:f>
      </x:c>
      <x:c r="M554" s="32" t="str">
        <x:f>IF(OR('Detalle'!$J271="",'Detalle'!$K271="",'Detalle'!$L271=""),"",IF(AND(M$8&lt;='Detalle'!$K271,M$9&gt;='Detalle'!$J271),1,""))</x:f>
      </x:c>
      <x:c r="N554" s="32" t="str">
        <x:f>IF(OR('Detalle'!$J271="",'Detalle'!$K271="",'Detalle'!$L271=""),"",IF(AND(N$8&lt;='Detalle'!$K271,N$9&gt;='Detalle'!$J271),1,""))</x:f>
      </x:c>
      <x:c r="O554" s="32" t="str">
        <x:f>IF(OR('Detalle'!$J271="",'Detalle'!$K271="",'Detalle'!$L271=""),"",IF(AND(O$8&lt;='Detalle'!$K271,O$9&gt;='Detalle'!$J271),1,""))</x:f>
      </x:c>
      <x:c r="P554" s="32" t="str">
        <x:f>IF(OR('Detalle'!$J271="",'Detalle'!$K271="",'Detalle'!$L271=""),"",IF(AND(P$8&lt;='Detalle'!$K271,P$9&gt;='Detalle'!$J271),1,""))</x:f>
      </x:c>
      <x:c r="Q554" s="68"/>
      <x:c r="R554" s="67" t="str"/>
      <x:c r="S554" s="67" t="str"/>
    </x:row>
    <x:row r="555" ht="16" customHeight="1">
      <x:c r="A555" s="56" t="str">
        <x:v>ACC03.004</x:v>
      </x:c>
      <x:c r="B555" s="57" t="str">
        <x:v>Dividir registro mínimo en tres pasos</x:v>
      </x:c>
      <x:c r="C555" s="62" t="str">
        <x:v>E</x:v>
      </x:c>
      <x:c r="D555" s="64" t="n">
        <x:f>'Detalle'!I272</x:f>
        <x:v>1</x:v>
      </x:c>
      <x:c r="E555" s="60" t="str">
        <x:f>'Detalle'!F272</x:f>
        <x:v>Completado</x:v>
      </x:c>
      <x:c r="F555" s="32" t="str">
        <x:f>IF(AND(F$8&lt;='Detalle'!$H272,F$9&gt;='Detalle'!$G272),1,"")</x:f>
      </x:c>
      <x:c r="G555" s="32" t="str">
        <x:f>IF(AND(G$8&lt;='Detalle'!$H272,G$9&gt;='Detalle'!$G272),1,"")</x:f>
      </x:c>
      <x:c r="H555" s="32" t="str">
        <x:f>IF(AND(H$8&lt;='Detalle'!$H272,H$9&gt;='Detalle'!$G272),1,"")</x:f>
      </x:c>
      <x:c r="I555" s="32" t="n">
        <x:f>IF(AND(I$8&lt;='Detalle'!$H272,I$9&gt;='Detalle'!$G272),1,"")</x:f>
        <x:v>1</x:v>
      </x:c>
      <x:c r="J555" s="32" t="str">
        <x:f>IF(AND(J$8&lt;='Detalle'!$H272,J$9&gt;='Detalle'!$G272),1,"")</x:f>
      </x:c>
      <x:c r="K555" s="32" t="str">
        <x:f>IF(AND(K$8&lt;='Detalle'!$H272,K$9&gt;='Detalle'!$G272),1,"")</x:f>
      </x:c>
      <x:c r="L555" s="32" t="str">
        <x:f>IF(AND(L$8&lt;='Detalle'!$H272,L$9&gt;='Detalle'!$G272),1,"")</x:f>
      </x:c>
      <x:c r="M555" s="32" t="str">
        <x:f>IF(AND(M$8&lt;='Detalle'!$H272,M$9&gt;='Detalle'!$G272),1,"")</x:f>
      </x:c>
      <x:c r="N555" s="32" t="str">
        <x:f>IF(AND(N$8&lt;='Detalle'!$H272,N$9&gt;='Detalle'!$G272),1,"")</x:f>
      </x:c>
      <x:c r="O555" s="32" t="str">
        <x:f>IF(AND(O$8&lt;='Detalle'!$H272,O$9&gt;='Detalle'!$G272),1,"")</x:f>
      </x:c>
      <x:c r="P555" s="32" t="str">
        <x:f>IF(AND(P$8&lt;='Detalle'!$H272,P$9&gt;='Detalle'!$G272),1,"")</x:f>
      </x:c>
      <x:c r="Q555" s="68"/>
      <x:c r="R555" s="67" t="str">
        <x:f>IF('Detalle'!M272="","",'Detalle'!M272)</x:f>
      </x:c>
      <x:c r="S555" s="67" t="str">
        <x:f>IF('Detalle'!N272="","",'Detalle'!N272)</x:f>
      </x:c>
    </x:row>
    <x:row r="556" ht="16" customHeight="1">
      <x:c r="A556" s="56" t="str">
        <x:v>ACC03.004</x:v>
      </x:c>
      <x:c r="B556" s="57" t="str">
        <x:v>Dividir registro mínimo en tres pasos</x:v>
      </x:c>
      <x:c r="C556" s="63" t="str">
        <x:v>R</x:v>
      </x:c>
      <x:c r="D556" s="65" t="str">
        <x:f>IF('Detalle'!L272="","",'Detalle'!L272)</x:f>
      </x:c>
      <x:c r="E556" s="60" t="str"/>
      <x:c r="F556" s="32" t="str">
        <x:f>IF(OR('Detalle'!$J272="",'Detalle'!$K272="",'Detalle'!$L272=""),"",IF(AND(F$8&lt;='Detalle'!$K272,F$9&gt;='Detalle'!$J272),1,""))</x:f>
      </x:c>
      <x:c r="G556" s="32" t="str">
        <x:f>IF(OR('Detalle'!$J272="",'Detalle'!$K272="",'Detalle'!$L272=""),"",IF(AND(G$8&lt;='Detalle'!$K272,G$9&gt;='Detalle'!$J272),1,""))</x:f>
      </x:c>
      <x:c r="H556" s="32" t="str">
        <x:f>IF(OR('Detalle'!$J272="",'Detalle'!$K272="",'Detalle'!$L272=""),"",IF(AND(H$8&lt;='Detalle'!$K272,H$9&gt;='Detalle'!$J272),1,""))</x:f>
      </x:c>
      <x:c r="I556" s="32" t="str">
        <x:f>IF(OR('Detalle'!$J272="",'Detalle'!$K272="",'Detalle'!$L272=""),"",IF(AND(I$8&lt;='Detalle'!$K272,I$9&gt;='Detalle'!$J272),1,""))</x:f>
      </x:c>
      <x:c r="J556" s="32" t="str">
        <x:f>IF(OR('Detalle'!$J272="",'Detalle'!$K272="",'Detalle'!$L272=""),"",IF(AND(J$8&lt;='Detalle'!$K272,J$9&gt;='Detalle'!$J272),1,""))</x:f>
      </x:c>
      <x:c r="K556" s="32" t="str">
        <x:f>IF(OR('Detalle'!$J272="",'Detalle'!$K272="",'Detalle'!$L272=""),"",IF(AND(K$8&lt;='Detalle'!$K272,K$9&gt;='Detalle'!$J272),1,""))</x:f>
      </x:c>
      <x:c r="L556" s="32" t="str">
        <x:f>IF(OR('Detalle'!$J272="",'Detalle'!$K272="",'Detalle'!$L272=""),"",IF(AND(L$8&lt;='Detalle'!$K272,L$9&gt;='Detalle'!$J272),1,""))</x:f>
      </x:c>
      <x:c r="M556" s="32" t="str">
        <x:f>IF(OR('Detalle'!$J272="",'Detalle'!$K272="",'Detalle'!$L272=""),"",IF(AND(M$8&lt;='Detalle'!$K272,M$9&gt;='Detalle'!$J272),1,""))</x:f>
      </x:c>
      <x:c r="N556" s="32" t="str">
        <x:f>IF(OR('Detalle'!$J272="",'Detalle'!$K272="",'Detalle'!$L272=""),"",IF(AND(N$8&lt;='Detalle'!$K272,N$9&gt;='Detalle'!$J272),1,""))</x:f>
      </x:c>
      <x:c r="O556" s="32" t="str">
        <x:f>IF(OR('Detalle'!$J272="",'Detalle'!$K272="",'Detalle'!$L272=""),"",IF(AND(O$8&lt;='Detalle'!$K272,O$9&gt;='Detalle'!$J272),1,""))</x:f>
      </x:c>
      <x:c r="P556" s="32" t="str">
        <x:f>IF(OR('Detalle'!$J272="",'Detalle'!$K272="",'Detalle'!$L272=""),"",IF(AND(P$8&lt;='Detalle'!$K272,P$9&gt;='Detalle'!$J272),1,""))</x:f>
      </x:c>
      <x:c r="Q556" s="68"/>
      <x:c r="R556" s="67" t="str"/>
      <x:c r="S556" s="67" t="str"/>
    </x:row>
    <x:row r="557" ht="16" customHeight="1">
      <x:c r="A557" s="56" t="str">
        <x:v>ACC03.005</x:v>
      </x:c>
      <x:c r="B557" s="57" t="str">
        <x:v>Retirar preferencias obligatorias del registro</x:v>
      </x:c>
      <x:c r="C557" s="62" t="str">
        <x:v>E</x:v>
      </x:c>
      <x:c r="D557" s="64" t="n">
        <x:f>'Detalle'!I273</x:f>
        <x:v>1</x:v>
      </x:c>
      <x:c r="E557" s="60" t="str">
        <x:f>'Detalle'!F273</x:f>
        <x:v>Completado</x:v>
      </x:c>
      <x:c r="F557" s="32" t="str">
        <x:f>IF(AND(F$8&lt;='Detalle'!$H273,F$9&gt;='Detalle'!$G273),1,"")</x:f>
      </x:c>
      <x:c r="G557" s="32" t="str">
        <x:f>IF(AND(G$8&lt;='Detalle'!$H273,G$9&gt;='Detalle'!$G273),1,"")</x:f>
      </x:c>
      <x:c r="H557" s="32" t="str">
        <x:f>IF(AND(H$8&lt;='Detalle'!$H273,H$9&gt;='Detalle'!$G273),1,"")</x:f>
      </x:c>
      <x:c r="I557" s="32" t="n">
        <x:f>IF(AND(I$8&lt;='Detalle'!$H273,I$9&gt;='Detalle'!$G273),1,"")</x:f>
        <x:v>1</x:v>
      </x:c>
      <x:c r="J557" s="32" t="str">
        <x:f>IF(AND(J$8&lt;='Detalle'!$H273,J$9&gt;='Detalle'!$G273),1,"")</x:f>
      </x:c>
      <x:c r="K557" s="32" t="str">
        <x:f>IF(AND(K$8&lt;='Detalle'!$H273,K$9&gt;='Detalle'!$G273),1,"")</x:f>
      </x:c>
      <x:c r="L557" s="32" t="str">
        <x:f>IF(AND(L$8&lt;='Detalle'!$H273,L$9&gt;='Detalle'!$G273),1,"")</x:f>
      </x:c>
      <x:c r="M557" s="32" t="str">
        <x:f>IF(AND(M$8&lt;='Detalle'!$H273,M$9&gt;='Detalle'!$G273),1,"")</x:f>
      </x:c>
      <x:c r="N557" s="32" t="str">
        <x:f>IF(AND(N$8&lt;='Detalle'!$H273,N$9&gt;='Detalle'!$G273),1,"")</x:f>
      </x:c>
      <x:c r="O557" s="32" t="str">
        <x:f>IF(AND(O$8&lt;='Detalle'!$H273,O$9&gt;='Detalle'!$G273),1,"")</x:f>
      </x:c>
      <x:c r="P557" s="32" t="str">
        <x:f>IF(AND(P$8&lt;='Detalle'!$H273,P$9&gt;='Detalle'!$G273),1,"")</x:f>
      </x:c>
      <x:c r="Q557" s="68"/>
      <x:c r="R557" s="67" t="str">
        <x:f>IF('Detalle'!M273="","",'Detalle'!M273)</x:f>
      </x:c>
      <x:c r="S557" s="67" t="str">
        <x:f>IF('Detalle'!N273="","",'Detalle'!N273)</x:f>
      </x:c>
    </x:row>
    <x:row r="558" ht="16" customHeight="1">
      <x:c r="A558" s="56" t="str">
        <x:v>ACC03.005</x:v>
      </x:c>
      <x:c r="B558" s="57" t="str">
        <x:v>Retirar preferencias obligatorias del registro</x:v>
      </x:c>
      <x:c r="C558" s="63" t="str">
        <x:v>R</x:v>
      </x:c>
      <x:c r="D558" s="65" t="str">
        <x:f>IF('Detalle'!L273="","",'Detalle'!L273)</x:f>
      </x:c>
      <x:c r="E558" s="60" t="str"/>
      <x:c r="F558" s="32" t="str">
        <x:f>IF(OR('Detalle'!$J273="",'Detalle'!$K273="",'Detalle'!$L273=""),"",IF(AND(F$8&lt;='Detalle'!$K273,F$9&gt;='Detalle'!$J273),1,""))</x:f>
      </x:c>
      <x:c r="G558" s="32" t="str">
        <x:f>IF(OR('Detalle'!$J273="",'Detalle'!$K273="",'Detalle'!$L273=""),"",IF(AND(G$8&lt;='Detalle'!$K273,G$9&gt;='Detalle'!$J273),1,""))</x:f>
      </x:c>
      <x:c r="H558" s="32" t="str">
        <x:f>IF(OR('Detalle'!$J273="",'Detalle'!$K273="",'Detalle'!$L273=""),"",IF(AND(H$8&lt;='Detalle'!$K273,H$9&gt;='Detalle'!$J273),1,""))</x:f>
      </x:c>
      <x:c r="I558" s="32" t="str">
        <x:f>IF(OR('Detalle'!$J273="",'Detalle'!$K273="",'Detalle'!$L273=""),"",IF(AND(I$8&lt;='Detalle'!$K273,I$9&gt;='Detalle'!$J273),1,""))</x:f>
      </x:c>
      <x:c r="J558" s="32" t="str">
        <x:f>IF(OR('Detalle'!$J273="",'Detalle'!$K273="",'Detalle'!$L273=""),"",IF(AND(J$8&lt;='Detalle'!$K273,J$9&gt;='Detalle'!$J273),1,""))</x:f>
      </x:c>
      <x:c r="K558" s="32" t="str">
        <x:f>IF(OR('Detalle'!$J273="",'Detalle'!$K273="",'Detalle'!$L273=""),"",IF(AND(K$8&lt;='Detalle'!$K273,K$9&gt;='Detalle'!$J273),1,""))</x:f>
      </x:c>
      <x:c r="L558" s="32" t="str">
        <x:f>IF(OR('Detalle'!$J273="",'Detalle'!$K273="",'Detalle'!$L273=""),"",IF(AND(L$8&lt;='Detalle'!$K273,L$9&gt;='Detalle'!$J273),1,""))</x:f>
      </x:c>
      <x:c r="M558" s="32" t="str">
        <x:f>IF(OR('Detalle'!$J273="",'Detalle'!$K273="",'Detalle'!$L273=""),"",IF(AND(M$8&lt;='Detalle'!$K273,M$9&gt;='Detalle'!$J273),1,""))</x:f>
      </x:c>
      <x:c r="N558" s="32" t="str">
        <x:f>IF(OR('Detalle'!$J273="",'Detalle'!$K273="",'Detalle'!$L273=""),"",IF(AND(N$8&lt;='Detalle'!$K273,N$9&gt;='Detalle'!$J273),1,""))</x:f>
      </x:c>
      <x:c r="O558" s="32" t="str">
        <x:f>IF(OR('Detalle'!$J273="",'Detalle'!$K273="",'Detalle'!$L273=""),"",IF(AND(O$8&lt;='Detalle'!$K273,O$9&gt;='Detalle'!$J273),1,""))</x:f>
      </x:c>
      <x:c r="P558" s="32" t="str">
        <x:f>IF(OR('Detalle'!$J273="",'Detalle'!$K273="",'Detalle'!$L273=""),"",IF(AND(P$8&lt;='Detalle'!$K273,P$9&gt;='Detalle'!$J273),1,""))</x:f>
      </x:c>
      <x:c r="Q558" s="68"/>
      <x:c r="R558" s="67" t="str"/>
      <x:c r="S558" s="67" t="str"/>
    </x:row>
    <x:row r="559" ht="16" customHeight="1">
      <x:c r="A559" s="56" t="str">
        <x:v>ACC03.006</x:v>
      </x:c>
      <x:c r="B559" s="57" t="str">
        <x:v>Confirmar tipo en nuevo registro</x:v>
      </x:c>
      <x:c r="C559" s="62" t="str">
        <x:v>E</x:v>
      </x:c>
      <x:c r="D559" s="64" t="n">
        <x:f>'Detalle'!I274</x:f>
        <x:v>1</x:v>
      </x:c>
      <x:c r="E559" s="60" t="str">
        <x:f>'Detalle'!F274</x:f>
        <x:v>Completado</x:v>
      </x:c>
      <x:c r="F559" s="32" t="str">
        <x:f>IF(AND(F$8&lt;='Detalle'!$H274,F$9&gt;='Detalle'!$G274),1,"")</x:f>
      </x:c>
      <x:c r="G559" s="32" t="str">
        <x:f>IF(AND(G$8&lt;='Detalle'!$H274,G$9&gt;='Detalle'!$G274),1,"")</x:f>
      </x:c>
      <x:c r="H559" s="32" t="str">
        <x:f>IF(AND(H$8&lt;='Detalle'!$H274,H$9&gt;='Detalle'!$G274),1,"")</x:f>
      </x:c>
      <x:c r="I559" s="32" t="n">
        <x:f>IF(AND(I$8&lt;='Detalle'!$H274,I$9&gt;='Detalle'!$G274),1,"")</x:f>
        <x:v>1</x:v>
      </x:c>
      <x:c r="J559" s="32" t="str">
        <x:f>IF(AND(J$8&lt;='Detalle'!$H274,J$9&gt;='Detalle'!$G274),1,"")</x:f>
      </x:c>
      <x:c r="K559" s="32" t="str">
        <x:f>IF(AND(K$8&lt;='Detalle'!$H274,K$9&gt;='Detalle'!$G274),1,"")</x:f>
      </x:c>
      <x:c r="L559" s="32" t="str">
        <x:f>IF(AND(L$8&lt;='Detalle'!$H274,L$9&gt;='Detalle'!$G274),1,"")</x:f>
      </x:c>
      <x:c r="M559" s="32" t="str">
        <x:f>IF(AND(M$8&lt;='Detalle'!$H274,M$9&gt;='Detalle'!$G274),1,"")</x:f>
      </x:c>
      <x:c r="N559" s="32" t="str">
        <x:f>IF(AND(N$8&lt;='Detalle'!$H274,N$9&gt;='Detalle'!$G274),1,"")</x:f>
      </x:c>
      <x:c r="O559" s="32" t="str">
        <x:f>IF(AND(O$8&lt;='Detalle'!$H274,O$9&gt;='Detalle'!$G274),1,"")</x:f>
      </x:c>
      <x:c r="P559" s="32" t="str">
        <x:f>IF(AND(P$8&lt;='Detalle'!$H274,P$9&gt;='Detalle'!$G274),1,"")</x:f>
      </x:c>
      <x:c r="Q559" s="68"/>
      <x:c r="R559" s="67" t="str">
        <x:f>IF('Detalle'!M274="","",'Detalle'!M274)</x:f>
      </x:c>
      <x:c r="S559" s="67" t="str">
        <x:f>IF('Detalle'!N274="","",'Detalle'!N274)</x:f>
      </x:c>
    </x:row>
    <x:row r="560" ht="16" customHeight="1">
      <x:c r="A560" s="56" t="str">
        <x:v>ACC03.006</x:v>
      </x:c>
      <x:c r="B560" s="57" t="str">
        <x:v>Confirmar tipo en nuevo registro</x:v>
      </x:c>
      <x:c r="C560" s="63" t="str">
        <x:v>R</x:v>
      </x:c>
      <x:c r="D560" s="65" t="str">
        <x:f>IF('Detalle'!L274="","",'Detalle'!L274)</x:f>
      </x:c>
      <x:c r="E560" s="60" t="str"/>
      <x:c r="F560" s="32" t="str">
        <x:f>IF(OR('Detalle'!$J274="",'Detalle'!$K274="",'Detalle'!$L274=""),"",IF(AND(F$8&lt;='Detalle'!$K274,F$9&gt;='Detalle'!$J274),1,""))</x:f>
      </x:c>
      <x:c r="G560" s="32" t="str">
        <x:f>IF(OR('Detalle'!$J274="",'Detalle'!$K274="",'Detalle'!$L274=""),"",IF(AND(G$8&lt;='Detalle'!$K274,G$9&gt;='Detalle'!$J274),1,""))</x:f>
      </x:c>
      <x:c r="H560" s="32" t="str">
        <x:f>IF(OR('Detalle'!$J274="",'Detalle'!$K274="",'Detalle'!$L274=""),"",IF(AND(H$8&lt;='Detalle'!$K274,H$9&gt;='Detalle'!$J274),1,""))</x:f>
      </x:c>
      <x:c r="I560" s="32" t="str">
        <x:f>IF(OR('Detalle'!$J274="",'Detalle'!$K274="",'Detalle'!$L274=""),"",IF(AND(I$8&lt;='Detalle'!$K274,I$9&gt;='Detalle'!$J274),1,""))</x:f>
      </x:c>
      <x:c r="J560" s="32" t="str">
        <x:f>IF(OR('Detalle'!$J274="",'Detalle'!$K274="",'Detalle'!$L274=""),"",IF(AND(J$8&lt;='Detalle'!$K274,J$9&gt;='Detalle'!$J274),1,""))</x:f>
      </x:c>
      <x:c r="K560" s="32" t="str">
        <x:f>IF(OR('Detalle'!$J274="",'Detalle'!$K274="",'Detalle'!$L274=""),"",IF(AND(K$8&lt;='Detalle'!$K274,K$9&gt;='Detalle'!$J274),1,""))</x:f>
      </x:c>
      <x:c r="L560" s="32" t="str">
        <x:f>IF(OR('Detalle'!$J274="",'Detalle'!$K274="",'Detalle'!$L274=""),"",IF(AND(L$8&lt;='Detalle'!$K274,L$9&gt;='Detalle'!$J274),1,""))</x:f>
      </x:c>
      <x:c r="M560" s="32" t="str">
        <x:f>IF(OR('Detalle'!$J274="",'Detalle'!$K274="",'Detalle'!$L274=""),"",IF(AND(M$8&lt;='Detalle'!$K274,M$9&gt;='Detalle'!$J274),1,""))</x:f>
      </x:c>
      <x:c r="N560" s="32" t="str">
        <x:f>IF(OR('Detalle'!$J274="",'Detalle'!$K274="",'Detalle'!$L274=""),"",IF(AND(N$8&lt;='Detalle'!$K274,N$9&gt;='Detalle'!$J274),1,""))</x:f>
      </x:c>
      <x:c r="O560" s="32" t="str">
        <x:f>IF(OR('Detalle'!$J274="",'Detalle'!$K274="",'Detalle'!$L274=""),"",IF(AND(O$8&lt;='Detalle'!$K274,O$9&gt;='Detalle'!$J274),1,""))</x:f>
      </x:c>
      <x:c r="P560" s="32" t="str">
        <x:f>IF(OR('Detalle'!$J274="",'Detalle'!$K274="",'Detalle'!$L274=""),"",IF(AND(P$8&lt;='Detalle'!$K274,P$9&gt;='Detalle'!$J274),1,""))</x:f>
      </x:c>
      <x:c r="Q560" s="68"/>
      <x:c r="R560" s="67" t="str"/>
      <x:c r="S560" s="67" t="str"/>
    </x:row>
    <x:row r="561" ht="16" customHeight="1">
      <x:c r="A561" s="56" t="str">
        <x:v>ACC03.007</x:v>
      </x:c>
      <x:c r="B561" s="57" t="str">
        <x:v>Crear confirmación mínima heredada</x:v>
      </x:c>
      <x:c r="C561" s="62" t="str">
        <x:v>E</x:v>
      </x:c>
      <x:c r="D561" s="64" t="n">
        <x:f>'Detalle'!I275</x:f>
        <x:v>1</x:v>
      </x:c>
      <x:c r="E561" s="60" t="str">
        <x:f>'Detalle'!F275</x:f>
        <x:v>Completado</x:v>
      </x:c>
      <x:c r="F561" s="32" t="str">
        <x:f>IF(AND(F$8&lt;='Detalle'!$H275,F$9&gt;='Detalle'!$G275),1,"")</x:f>
      </x:c>
      <x:c r="G561" s="32" t="str">
        <x:f>IF(AND(G$8&lt;='Detalle'!$H275,G$9&gt;='Detalle'!$G275),1,"")</x:f>
      </x:c>
      <x:c r="H561" s="32" t="str">
        <x:f>IF(AND(H$8&lt;='Detalle'!$H275,H$9&gt;='Detalle'!$G275),1,"")</x:f>
      </x:c>
      <x:c r="I561" s="32" t="n">
        <x:f>IF(AND(I$8&lt;='Detalle'!$H275,I$9&gt;='Detalle'!$G275),1,"")</x:f>
        <x:v>1</x:v>
      </x:c>
      <x:c r="J561" s="32" t="str">
        <x:f>IF(AND(J$8&lt;='Detalle'!$H275,J$9&gt;='Detalle'!$G275),1,"")</x:f>
      </x:c>
      <x:c r="K561" s="32" t="str">
        <x:f>IF(AND(K$8&lt;='Detalle'!$H275,K$9&gt;='Detalle'!$G275),1,"")</x:f>
      </x:c>
      <x:c r="L561" s="32" t="str">
        <x:f>IF(AND(L$8&lt;='Detalle'!$H275,L$9&gt;='Detalle'!$G275),1,"")</x:f>
      </x:c>
      <x:c r="M561" s="32" t="str">
        <x:f>IF(AND(M$8&lt;='Detalle'!$H275,M$9&gt;='Detalle'!$G275),1,"")</x:f>
      </x:c>
      <x:c r="N561" s="32" t="str">
        <x:f>IF(AND(N$8&lt;='Detalle'!$H275,N$9&gt;='Detalle'!$G275),1,"")</x:f>
      </x:c>
      <x:c r="O561" s="32" t="str">
        <x:f>IF(AND(O$8&lt;='Detalle'!$H275,O$9&gt;='Detalle'!$G275),1,"")</x:f>
      </x:c>
      <x:c r="P561" s="32" t="str">
        <x:f>IF(AND(P$8&lt;='Detalle'!$H275,P$9&gt;='Detalle'!$G275),1,"")</x:f>
      </x:c>
      <x:c r="Q561" s="68"/>
      <x:c r="R561" s="67" t="str">
        <x:f>IF('Detalle'!M275="","",'Detalle'!M275)</x:f>
      </x:c>
      <x:c r="S561" s="67" t="str">
        <x:f>IF('Detalle'!N275="","",'Detalle'!N275)</x:f>
      </x:c>
    </x:row>
    <x:row r="562" ht="16" customHeight="1">
      <x:c r="A562" s="56" t="str">
        <x:v>ACC03.007</x:v>
      </x:c>
      <x:c r="B562" s="57" t="str">
        <x:v>Crear confirmación mínima heredada</x:v>
      </x:c>
      <x:c r="C562" s="63" t="str">
        <x:v>R</x:v>
      </x:c>
      <x:c r="D562" s="65" t="str">
        <x:f>IF('Detalle'!L275="","",'Detalle'!L275)</x:f>
      </x:c>
      <x:c r="E562" s="60" t="str"/>
      <x:c r="F562" s="32" t="str">
        <x:f>IF(OR('Detalle'!$J275="",'Detalle'!$K275="",'Detalle'!$L275=""),"",IF(AND(F$8&lt;='Detalle'!$K275,F$9&gt;='Detalle'!$J275),1,""))</x:f>
      </x:c>
      <x:c r="G562" s="32" t="str">
        <x:f>IF(OR('Detalle'!$J275="",'Detalle'!$K275="",'Detalle'!$L275=""),"",IF(AND(G$8&lt;='Detalle'!$K275,G$9&gt;='Detalle'!$J275),1,""))</x:f>
      </x:c>
      <x:c r="H562" s="32" t="str">
        <x:f>IF(OR('Detalle'!$J275="",'Detalle'!$K275="",'Detalle'!$L275=""),"",IF(AND(H$8&lt;='Detalle'!$K275,H$9&gt;='Detalle'!$J275),1,""))</x:f>
      </x:c>
      <x:c r="I562" s="32" t="str">
        <x:f>IF(OR('Detalle'!$J275="",'Detalle'!$K275="",'Detalle'!$L275=""),"",IF(AND(I$8&lt;='Detalle'!$K275,I$9&gt;='Detalle'!$J275),1,""))</x:f>
      </x:c>
      <x:c r="J562" s="32" t="str">
        <x:f>IF(OR('Detalle'!$J275="",'Detalle'!$K275="",'Detalle'!$L275=""),"",IF(AND(J$8&lt;='Detalle'!$K275,J$9&gt;='Detalle'!$J275),1,""))</x:f>
      </x:c>
      <x:c r="K562" s="32" t="str">
        <x:f>IF(OR('Detalle'!$J275="",'Detalle'!$K275="",'Detalle'!$L275=""),"",IF(AND(K$8&lt;='Detalle'!$K275,K$9&gt;='Detalle'!$J275),1,""))</x:f>
      </x:c>
      <x:c r="L562" s="32" t="str">
        <x:f>IF(OR('Detalle'!$J275="",'Detalle'!$K275="",'Detalle'!$L275=""),"",IF(AND(L$8&lt;='Detalle'!$K275,L$9&gt;='Detalle'!$J275),1,""))</x:f>
      </x:c>
      <x:c r="M562" s="32" t="str">
        <x:f>IF(OR('Detalle'!$J275="",'Detalle'!$K275="",'Detalle'!$L275=""),"",IF(AND(M$8&lt;='Detalle'!$K275,M$9&gt;='Detalle'!$J275),1,""))</x:f>
      </x:c>
      <x:c r="N562" s="32" t="str">
        <x:f>IF(OR('Detalle'!$J275="",'Detalle'!$K275="",'Detalle'!$L275=""),"",IF(AND(N$8&lt;='Detalle'!$K275,N$9&gt;='Detalle'!$J275),1,""))</x:f>
      </x:c>
      <x:c r="O562" s="32" t="str">
        <x:f>IF(OR('Detalle'!$J275="",'Detalle'!$K275="",'Detalle'!$L275=""),"",IF(AND(O$8&lt;='Detalle'!$K275,O$9&gt;='Detalle'!$J275),1,""))</x:f>
      </x:c>
      <x:c r="P562" s="32" t="str">
        <x:f>IF(OR('Detalle'!$J275="",'Detalle'!$K275="",'Detalle'!$L275=""),"",IF(AND(P$8&lt;='Detalle'!$K275,P$9&gt;='Detalle'!$J275),1,""))</x:f>
      </x:c>
      <x:c r="Q562" s="68"/>
      <x:c r="R562" s="67" t="str"/>
      <x:c r="S562" s="67" t="str"/>
    </x:row>
    <x:row r="563" ht="16" customHeight="1">
      <x:c r="A563" s="56" t="str">
        <x:v>ACC03.008</x:v>
      </x:c>
      <x:c r="B563" s="57" t="str">
        <x:v>Crear guía de usuario general</x:v>
      </x:c>
      <x:c r="C563" s="62" t="str">
        <x:v>E</x:v>
      </x:c>
      <x:c r="D563" s="64" t="n">
        <x:f>'Detalle'!I276</x:f>
        <x:v>1</x:v>
      </x:c>
      <x:c r="E563" s="60" t="str">
        <x:f>'Detalle'!F276</x:f>
        <x:v>Completado</x:v>
      </x:c>
      <x:c r="F563" s="32" t="str">
        <x:f>IF(AND(F$8&lt;='Detalle'!$H276,F$9&gt;='Detalle'!$G276),1,"")</x:f>
      </x:c>
      <x:c r="G563" s="32" t="str">
        <x:f>IF(AND(G$8&lt;='Detalle'!$H276,G$9&gt;='Detalle'!$G276),1,"")</x:f>
      </x:c>
      <x:c r="H563" s="32" t="str">
        <x:f>IF(AND(H$8&lt;='Detalle'!$H276,H$9&gt;='Detalle'!$G276),1,"")</x:f>
      </x:c>
      <x:c r="I563" s="32" t="n">
        <x:f>IF(AND(I$8&lt;='Detalle'!$H276,I$9&gt;='Detalle'!$G276),1,"")</x:f>
        <x:v>1</x:v>
      </x:c>
      <x:c r="J563" s="32" t="str">
        <x:f>IF(AND(J$8&lt;='Detalle'!$H276,J$9&gt;='Detalle'!$G276),1,"")</x:f>
      </x:c>
      <x:c r="K563" s="32" t="str">
        <x:f>IF(AND(K$8&lt;='Detalle'!$H276,K$9&gt;='Detalle'!$G276),1,"")</x:f>
      </x:c>
      <x:c r="L563" s="32" t="str">
        <x:f>IF(AND(L$8&lt;='Detalle'!$H276,L$9&gt;='Detalle'!$G276),1,"")</x:f>
      </x:c>
      <x:c r="M563" s="32" t="str">
        <x:f>IF(AND(M$8&lt;='Detalle'!$H276,M$9&gt;='Detalle'!$G276),1,"")</x:f>
      </x:c>
      <x:c r="N563" s="32" t="str">
        <x:f>IF(AND(N$8&lt;='Detalle'!$H276,N$9&gt;='Detalle'!$G276),1,"")</x:f>
      </x:c>
      <x:c r="O563" s="32" t="str">
        <x:f>IF(AND(O$8&lt;='Detalle'!$H276,O$9&gt;='Detalle'!$G276),1,"")</x:f>
      </x:c>
      <x:c r="P563" s="32" t="str">
        <x:f>IF(AND(P$8&lt;='Detalle'!$H276,P$9&gt;='Detalle'!$G276),1,"")</x:f>
      </x:c>
      <x:c r="Q563" s="68"/>
      <x:c r="R563" s="67" t="str">
        <x:f>IF('Detalle'!M276="","",'Detalle'!M276)</x:f>
      </x:c>
      <x:c r="S563" s="67" t="str">
        <x:f>IF('Detalle'!N276="","",'Detalle'!N276)</x:f>
      </x:c>
    </x:row>
    <x:row r="564" ht="16" customHeight="1">
      <x:c r="A564" s="56" t="str">
        <x:v>ACC03.008</x:v>
      </x:c>
      <x:c r="B564" s="57" t="str">
        <x:v>Crear guía de usuario general</x:v>
      </x:c>
      <x:c r="C564" s="63" t="str">
        <x:v>R</x:v>
      </x:c>
      <x:c r="D564" s="65" t="str">
        <x:f>IF('Detalle'!L276="","",'Detalle'!L276)</x:f>
      </x:c>
      <x:c r="E564" s="60" t="str"/>
      <x:c r="F564" s="32" t="str">
        <x:f>IF(OR('Detalle'!$J276="",'Detalle'!$K276="",'Detalle'!$L276=""),"",IF(AND(F$8&lt;='Detalle'!$K276,F$9&gt;='Detalle'!$J276),1,""))</x:f>
      </x:c>
      <x:c r="G564" s="32" t="str">
        <x:f>IF(OR('Detalle'!$J276="",'Detalle'!$K276="",'Detalle'!$L276=""),"",IF(AND(G$8&lt;='Detalle'!$K276,G$9&gt;='Detalle'!$J276),1,""))</x:f>
      </x:c>
      <x:c r="H564" s="32" t="str">
        <x:f>IF(OR('Detalle'!$J276="",'Detalle'!$K276="",'Detalle'!$L276=""),"",IF(AND(H$8&lt;='Detalle'!$K276,H$9&gt;='Detalle'!$J276),1,""))</x:f>
      </x:c>
      <x:c r="I564" s="32" t="str">
        <x:f>IF(OR('Detalle'!$J276="",'Detalle'!$K276="",'Detalle'!$L276=""),"",IF(AND(I$8&lt;='Detalle'!$K276,I$9&gt;='Detalle'!$J276),1,""))</x:f>
      </x:c>
      <x:c r="J564" s="32" t="str">
        <x:f>IF(OR('Detalle'!$J276="",'Detalle'!$K276="",'Detalle'!$L276=""),"",IF(AND(J$8&lt;='Detalle'!$K276,J$9&gt;='Detalle'!$J276),1,""))</x:f>
      </x:c>
      <x:c r="K564" s="32" t="str">
        <x:f>IF(OR('Detalle'!$J276="",'Detalle'!$K276="",'Detalle'!$L276=""),"",IF(AND(K$8&lt;='Detalle'!$K276,K$9&gt;='Detalle'!$J276),1,""))</x:f>
      </x:c>
      <x:c r="L564" s="32" t="str">
        <x:f>IF(OR('Detalle'!$J276="",'Detalle'!$K276="",'Detalle'!$L276=""),"",IF(AND(L$8&lt;='Detalle'!$K276,L$9&gt;='Detalle'!$J276),1,""))</x:f>
      </x:c>
      <x:c r="M564" s="32" t="str">
        <x:f>IF(OR('Detalle'!$J276="",'Detalle'!$K276="",'Detalle'!$L276=""),"",IF(AND(M$8&lt;='Detalle'!$K276,M$9&gt;='Detalle'!$J276),1,""))</x:f>
      </x:c>
      <x:c r="N564" s="32" t="str">
        <x:f>IF(OR('Detalle'!$J276="",'Detalle'!$K276="",'Detalle'!$L276=""),"",IF(AND(N$8&lt;='Detalle'!$K276,N$9&gt;='Detalle'!$J276),1,""))</x:f>
      </x:c>
      <x:c r="O564" s="32" t="str">
        <x:f>IF(OR('Detalle'!$J276="",'Detalle'!$K276="",'Detalle'!$L276=""),"",IF(AND(O$8&lt;='Detalle'!$K276,O$9&gt;='Detalle'!$J276),1,""))</x:f>
      </x:c>
      <x:c r="P564" s="32" t="str">
        <x:f>IF(OR('Detalle'!$J276="",'Detalle'!$K276="",'Detalle'!$L276=""),"",IF(AND(P$8&lt;='Detalle'!$K276,P$9&gt;='Detalle'!$J276),1,""))</x:f>
      </x:c>
      <x:c r="Q564" s="68"/>
      <x:c r="R564" s="67" t="str"/>
      <x:c r="S564" s="67" t="str"/>
    </x:row>
    <x:row r="565" ht="16" customHeight="1">
      <x:c r="A565" s="56" t="str">
        <x:v>ACC03.009</x:v>
      </x:c>
      <x:c r="B565" s="57" t="str">
        <x:v>Crear guía de artista o creador</x:v>
      </x:c>
      <x:c r="C565" s="62" t="str">
        <x:v>E</x:v>
      </x:c>
      <x:c r="D565" s="64" t="n">
        <x:f>'Detalle'!I277</x:f>
        <x:v>1</x:v>
      </x:c>
      <x:c r="E565" s="60" t="str">
        <x:f>'Detalle'!F277</x:f>
        <x:v>Completado</x:v>
      </x:c>
      <x:c r="F565" s="32" t="str">
        <x:f>IF(AND(F$8&lt;='Detalle'!$H277,F$9&gt;='Detalle'!$G277),1,"")</x:f>
      </x:c>
      <x:c r="G565" s="32" t="str">
        <x:f>IF(AND(G$8&lt;='Detalle'!$H277,G$9&gt;='Detalle'!$G277),1,"")</x:f>
      </x:c>
      <x:c r="H565" s="32" t="str">
        <x:f>IF(AND(H$8&lt;='Detalle'!$H277,H$9&gt;='Detalle'!$G277),1,"")</x:f>
      </x:c>
      <x:c r="I565" s="32" t="n">
        <x:f>IF(AND(I$8&lt;='Detalle'!$H277,I$9&gt;='Detalle'!$G277),1,"")</x:f>
        <x:v>1</x:v>
      </x:c>
      <x:c r="J565" s="32" t="str">
        <x:f>IF(AND(J$8&lt;='Detalle'!$H277,J$9&gt;='Detalle'!$G277),1,"")</x:f>
      </x:c>
      <x:c r="K565" s="32" t="str">
        <x:f>IF(AND(K$8&lt;='Detalle'!$H277,K$9&gt;='Detalle'!$G277),1,"")</x:f>
      </x:c>
      <x:c r="L565" s="32" t="str">
        <x:f>IF(AND(L$8&lt;='Detalle'!$H277,L$9&gt;='Detalle'!$G277),1,"")</x:f>
      </x:c>
      <x:c r="M565" s="32" t="str">
        <x:f>IF(AND(M$8&lt;='Detalle'!$H277,M$9&gt;='Detalle'!$G277),1,"")</x:f>
      </x:c>
      <x:c r="N565" s="32" t="str">
        <x:f>IF(AND(N$8&lt;='Detalle'!$H277,N$9&gt;='Detalle'!$G277),1,"")</x:f>
      </x:c>
      <x:c r="O565" s="32" t="str">
        <x:f>IF(AND(O$8&lt;='Detalle'!$H277,O$9&gt;='Detalle'!$G277),1,"")</x:f>
      </x:c>
      <x:c r="P565" s="32" t="str">
        <x:f>IF(AND(P$8&lt;='Detalle'!$H277,P$9&gt;='Detalle'!$G277),1,"")</x:f>
      </x:c>
      <x:c r="Q565" s="68"/>
      <x:c r="R565" s="67" t="str">
        <x:f>IF('Detalle'!M277="","",'Detalle'!M277)</x:f>
      </x:c>
      <x:c r="S565" s="67" t="str">
        <x:f>IF('Detalle'!N277="","",'Detalle'!N277)</x:f>
      </x:c>
    </x:row>
    <x:row r="566" ht="16" customHeight="1">
      <x:c r="A566" s="56" t="str">
        <x:v>ACC03.009</x:v>
      </x:c>
      <x:c r="B566" s="57" t="str">
        <x:v>Crear guía de artista o creador</x:v>
      </x:c>
      <x:c r="C566" s="63" t="str">
        <x:v>R</x:v>
      </x:c>
      <x:c r="D566" s="65" t="str">
        <x:f>IF('Detalle'!L277="","",'Detalle'!L277)</x:f>
      </x:c>
      <x:c r="E566" s="60" t="str"/>
      <x:c r="F566" s="32" t="str">
        <x:f>IF(OR('Detalle'!$J277="",'Detalle'!$K277="",'Detalle'!$L277=""),"",IF(AND(F$8&lt;='Detalle'!$K277,F$9&gt;='Detalle'!$J277),1,""))</x:f>
      </x:c>
      <x:c r="G566" s="32" t="str">
        <x:f>IF(OR('Detalle'!$J277="",'Detalle'!$K277="",'Detalle'!$L277=""),"",IF(AND(G$8&lt;='Detalle'!$K277,G$9&gt;='Detalle'!$J277),1,""))</x:f>
      </x:c>
      <x:c r="H566" s="32" t="str">
        <x:f>IF(OR('Detalle'!$J277="",'Detalle'!$K277="",'Detalle'!$L277=""),"",IF(AND(H$8&lt;='Detalle'!$K277,H$9&gt;='Detalle'!$J277),1,""))</x:f>
      </x:c>
      <x:c r="I566" s="32" t="str">
        <x:f>IF(OR('Detalle'!$J277="",'Detalle'!$K277="",'Detalle'!$L277=""),"",IF(AND(I$8&lt;='Detalle'!$K277,I$9&gt;='Detalle'!$J277),1,""))</x:f>
      </x:c>
      <x:c r="J566" s="32" t="str">
        <x:f>IF(OR('Detalle'!$J277="",'Detalle'!$K277="",'Detalle'!$L277=""),"",IF(AND(J$8&lt;='Detalle'!$K277,J$9&gt;='Detalle'!$J277),1,""))</x:f>
      </x:c>
      <x:c r="K566" s="32" t="str">
        <x:f>IF(OR('Detalle'!$J277="",'Detalle'!$K277="",'Detalle'!$L277=""),"",IF(AND(K$8&lt;='Detalle'!$K277,K$9&gt;='Detalle'!$J277),1,""))</x:f>
      </x:c>
      <x:c r="L566" s="32" t="str">
        <x:f>IF(OR('Detalle'!$J277="",'Detalle'!$K277="",'Detalle'!$L277=""),"",IF(AND(L$8&lt;='Detalle'!$K277,L$9&gt;='Detalle'!$J277),1,""))</x:f>
      </x:c>
      <x:c r="M566" s="32" t="str">
        <x:f>IF(OR('Detalle'!$J277="",'Detalle'!$K277="",'Detalle'!$L277=""),"",IF(AND(M$8&lt;='Detalle'!$K277,M$9&gt;='Detalle'!$J277),1,""))</x:f>
      </x:c>
      <x:c r="N566" s="32" t="str">
        <x:f>IF(OR('Detalle'!$J277="",'Detalle'!$K277="",'Detalle'!$L277=""),"",IF(AND(N$8&lt;='Detalle'!$K277,N$9&gt;='Detalle'!$J277),1,""))</x:f>
      </x:c>
      <x:c r="O566" s="32" t="str">
        <x:f>IF(OR('Detalle'!$J277="",'Detalle'!$K277="",'Detalle'!$L277=""),"",IF(AND(O$8&lt;='Detalle'!$K277,O$9&gt;='Detalle'!$J277),1,""))</x:f>
      </x:c>
      <x:c r="P566" s="32" t="str">
        <x:f>IF(OR('Detalle'!$J277="",'Detalle'!$K277="",'Detalle'!$L277=""),"",IF(AND(P$8&lt;='Detalle'!$K277,P$9&gt;='Detalle'!$J277),1,""))</x:f>
      </x:c>
      <x:c r="Q566" s="68"/>
      <x:c r="R566" s="67" t="str"/>
      <x:c r="S566" s="67" t="str"/>
    </x:row>
    <x:row r="567" ht="16" customHeight="1">
      <x:c r="A567" s="56" t="str">
        <x:v>ACC03.010</x:v>
      </x:c>
      <x:c r="B567" s="57" t="str">
        <x:v>Crear guía de emprendimiento</x:v>
      </x:c>
      <x:c r="C567" s="62" t="str">
        <x:v>E</x:v>
      </x:c>
      <x:c r="D567" s="64" t="n">
        <x:f>'Detalle'!I278</x:f>
        <x:v>1</x:v>
      </x:c>
      <x:c r="E567" s="60" t="str">
        <x:f>'Detalle'!F278</x:f>
        <x:v>Completado</x:v>
      </x:c>
      <x:c r="F567" s="32" t="str">
        <x:f>IF(AND(F$8&lt;='Detalle'!$H278,F$9&gt;='Detalle'!$G278),1,"")</x:f>
      </x:c>
      <x:c r="G567" s="32" t="str">
        <x:f>IF(AND(G$8&lt;='Detalle'!$H278,G$9&gt;='Detalle'!$G278),1,"")</x:f>
      </x:c>
      <x:c r="H567" s="32" t="str">
        <x:f>IF(AND(H$8&lt;='Detalle'!$H278,H$9&gt;='Detalle'!$G278),1,"")</x:f>
      </x:c>
      <x:c r="I567" s="32" t="n">
        <x:f>IF(AND(I$8&lt;='Detalle'!$H278,I$9&gt;='Detalle'!$G278),1,"")</x:f>
        <x:v>1</x:v>
      </x:c>
      <x:c r="J567" s="32" t="str">
        <x:f>IF(AND(J$8&lt;='Detalle'!$H278,J$9&gt;='Detalle'!$G278),1,"")</x:f>
      </x:c>
      <x:c r="K567" s="32" t="str">
        <x:f>IF(AND(K$8&lt;='Detalle'!$H278,K$9&gt;='Detalle'!$G278),1,"")</x:f>
      </x:c>
      <x:c r="L567" s="32" t="str">
        <x:f>IF(AND(L$8&lt;='Detalle'!$H278,L$9&gt;='Detalle'!$G278),1,"")</x:f>
      </x:c>
      <x:c r="M567" s="32" t="str">
        <x:f>IF(AND(M$8&lt;='Detalle'!$H278,M$9&gt;='Detalle'!$G278),1,"")</x:f>
      </x:c>
      <x:c r="N567" s="32" t="str">
        <x:f>IF(AND(N$8&lt;='Detalle'!$H278,N$9&gt;='Detalle'!$G278),1,"")</x:f>
      </x:c>
      <x:c r="O567" s="32" t="str">
        <x:f>IF(AND(O$8&lt;='Detalle'!$H278,O$9&gt;='Detalle'!$G278),1,"")</x:f>
      </x:c>
      <x:c r="P567" s="32" t="str">
        <x:f>IF(AND(P$8&lt;='Detalle'!$H278,P$9&gt;='Detalle'!$G278),1,"")</x:f>
      </x:c>
      <x:c r="Q567" s="68"/>
      <x:c r="R567" s="67" t="str">
        <x:f>IF('Detalle'!M278="","",'Detalle'!M278)</x:f>
      </x:c>
      <x:c r="S567" s="67" t="str">
        <x:f>IF('Detalle'!N278="","",'Detalle'!N278)</x:f>
      </x:c>
    </x:row>
    <x:row r="568" ht="16" customHeight="1">
      <x:c r="A568" s="56" t="str">
        <x:v>ACC03.010</x:v>
      </x:c>
      <x:c r="B568" s="57" t="str">
        <x:v>Crear guía de emprendimiento</x:v>
      </x:c>
      <x:c r="C568" s="63" t="str">
        <x:v>R</x:v>
      </x:c>
      <x:c r="D568" s="65" t="str">
        <x:f>IF('Detalle'!L278="","",'Detalle'!L278)</x:f>
      </x:c>
      <x:c r="E568" s="60" t="str"/>
      <x:c r="F568" s="32" t="str">
        <x:f>IF(OR('Detalle'!$J278="",'Detalle'!$K278="",'Detalle'!$L278=""),"",IF(AND(F$8&lt;='Detalle'!$K278,F$9&gt;='Detalle'!$J278),1,""))</x:f>
      </x:c>
      <x:c r="G568" s="32" t="str">
        <x:f>IF(OR('Detalle'!$J278="",'Detalle'!$K278="",'Detalle'!$L278=""),"",IF(AND(G$8&lt;='Detalle'!$K278,G$9&gt;='Detalle'!$J278),1,""))</x:f>
      </x:c>
      <x:c r="H568" s="32" t="str">
        <x:f>IF(OR('Detalle'!$J278="",'Detalle'!$K278="",'Detalle'!$L278=""),"",IF(AND(H$8&lt;='Detalle'!$K278,H$9&gt;='Detalle'!$J278),1,""))</x:f>
      </x:c>
      <x:c r="I568" s="32" t="str">
        <x:f>IF(OR('Detalle'!$J278="",'Detalle'!$K278="",'Detalle'!$L278=""),"",IF(AND(I$8&lt;='Detalle'!$K278,I$9&gt;='Detalle'!$J278),1,""))</x:f>
      </x:c>
      <x:c r="J568" s="32" t="str">
        <x:f>IF(OR('Detalle'!$J278="",'Detalle'!$K278="",'Detalle'!$L278=""),"",IF(AND(J$8&lt;='Detalle'!$K278,J$9&gt;='Detalle'!$J278),1,""))</x:f>
      </x:c>
      <x:c r="K568" s="32" t="str">
        <x:f>IF(OR('Detalle'!$J278="",'Detalle'!$K278="",'Detalle'!$L278=""),"",IF(AND(K$8&lt;='Detalle'!$K278,K$9&gt;='Detalle'!$J278),1,""))</x:f>
      </x:c>
      <x:c r="L568" s="32" t="str">
        <x:f>IF(OR('Detalle'!$J278="",'Detalle'!$K278="",'Detalle'!$L278=""),"",IF(AND(L$8&lt;='Detalle'!$K278,L$9&gt;='Detalle'!$J278),1,""))</x:f>
      </x:c>
      <x:c r="M568" s="32" t="str">
        <x:f>IF(OR('Detalle'!$J278="",'Detalle'!$K278="",'Detalle'!$L278=""),"",IF(AND(M$8&lt;='Detalle'!$K278,M$9&gt;='Detalle'!$J278),1,""))</x:f>
      </x:c>
      <x:c r="N568" s="32" t="str">
        <x:f>IF(OR('Detalle'!$J278="",'Detalle'!$K278="",'Detalle'!$L278=""),"",IF(AND(N$8&lt;='Detalle'!$K278,N$9&gt;='Detalle'!$J278),1,""))</x:f>
      </x:c>
      <x:c r="O568" s="32" t="str">
        <x:f>IF(OR('Detalle'!$J278="",'Detalle'!$K278="",'Detalle'!$L278=""),"",IF(AND(O$8&lt;='Detalle'!$K278,O$9&gt;='Detalle'!$J278),1,""))</x:f>
      </x:c>
      <x:c r="P568" s="32" t="str">
        <x:f>IF(OR('Detalle'!$J278="",'Detalle'!$K278="",'Detalle'!$L278=""),"",IF(AND(P$8&lt;='Detalle'!$K278,P$9&gt;='Detalle'!$J278),1,""))</x:f>
      </x:c>
      <x:c r="Q568" s="68"/>
      <x:c r="R568" s="67" t="str"/>
      <x:c r="S568" s="67" t="str"/>
    </x:row>
    <x:row r="569" ht="16" customHeight="1">
      <x:c r="A569" s="56" t="str">
        <x:v>ACC03.011</x:v>
      </x:c>
      <x:c r="B569" s="57" t="str">
        <x:v>Crear guía de negocio</x:v>
      </x:c>
      <x:c r="C569" s="62" t="str">
        <x:v>E</x:v>
      </x:c>
      <x:c r="D569" s="64" t="n">
        <x:f>'Detalle'!I279</x:f>
        <x:v>1</x:v>
      </x:c>
      <x:c r="E569" s="60" t="str">
        <x:f>'Detalle'!F279</x:f>
        <x:v>Completado</x:v>
      </x:c>
      <x:c r="F569" s="32" t="str">
        <x:f>IF(AND(F$8&lt;='Detalle'!$H279,F$9&gt;='Detalle'!$G279),1,"")</x:f>
      </x:c>
      <x:c r="G569" s="32" t="str">
        <x:f>IF(AND(G$8&lt;='Detalle'!$H279,G$9&gt;='Detalle'!$G279),1,"")</x:f>
      </x:c>
      <x:c r="H569" s="32" t="str">
        <x:f>IF(AND(H$8&lt;='Detalle'!$H279,H$9&gt;='Detalle'!$G279),1,"")</x:f>
      </x:c>
      <x:c r="I569" s="32" t="n">
        <x:f>IF(AND(I$8&lt;='Detalle'!$H279,I$9&gt;='Detalle'!$G279),1,"")</x:f>
        <x:v>1</x:v>
      </x:c>
      <x:c r="J569" s="32" t="str">
        <x:f>IF(AND(J$8&lt;='Detalle'!$H279,J$9&gt;='Detalle'!$G279),1,"")</x:f>
      </x:c>
      <x:c r="K569" s="32" t="str">
        <x:f>IF(AND(K$8&lt;='Detalle'!$H279,K$9&gt;='Detalle'!$G279),1,"")</x:f>
      </x:c>
      <x:c r="L569" s="32" t="str">
        <x:f>IF(AND(L$8&lt;='Detalle'!$H279,L$9&gt;='Detalle'!$G279),1,"")</x:f>
      </x:c>
      <x:c r="M569" s="32" t="str">
        <x:f>IF(AND(M$8&lt;='Detalle'!$H279,M$9&gt;='Detalle'!$G279),1,"")</x:f>
      </x:c>
      <x:c r="N569" s="32" t="str">
        <x:f>IF(AND(N$8&lt;='Detalle'!$H279,N$9&gt;='Detalle'!$G279),1,"")</x:f>
      </x:c>
      <x:c r="O569" s="32" t="str">
        <x:f>IF(AND(O$8&lt;='Detalle'!$H279,O$9&gt;='Detalle'!$G279),1,"")</x:f>
      </x:c>
      <x:c r="P569" s="32" t="str">
        <x:f>IF(AND(P$8&lt;='Detalle'!$H279,P$9&gt;='Detalle'!$G279),1,"")</x:f>
      </x:c>
      <x:c r="Q569" s="68"/>
      <x:c r="R569" s="67" t="str">
        <x:f>IF('Detalle'!M279="","",'Detalle'!M279)</x:f>
      </x:c>
      <x:c r="S569" s="67" t="str">
        <x:f>IF('Detalle'!N279="","",'Detalle'!N279)</x:f>
      </x:c>
    </x:row>
    <x:row r="570" ht="16" customHeight="1">
      <x:c r="A570" s="56" t="str">
        <x:v>ACC03.011</x:v>
      </x:c>
      <x:c r="B570" s="57" t="str">
        <x:v>Crear guía de negocio</x:v>
      </x:c>
      <x:c r="C570" s="63" t="str">
        <x:v>R</x:v>
      </x:c>
      <x:c r="D570" s="65" t="str">
        <x:f>IF('Detalle'!L279="","",'Detalle'!L279)</x:f>
      </x:c>
      <x:c r="E570" s="60" t="str"/>
      <x:c r="F570" s="32" t="str">
        <x:f>IF(OR('Detalle'!$J279="",'Detalle'!$K279="",'Detalle'!$L279=""),"",IF(AND(F$8&lt;='Detalle'!$K279,F$9&gt;='Detalle'!$J279),1,""))</x:f>
      </x:c>
      <x:c r="G570" s="32" t="str">
        <x:f>IF(OR('Detalle'!$J279="",'Detalle'!$K279="",'Detalle'!$L279=""),"",IF(AND(G$8&lt;='Detalle'!$K279,G$9&gt;='Detalle'!$J279),1,""))</x:f>
      </x:c>
      <x:c r="H570" s="32" t="str">
        <x:f>IF(OR('Detalle'!$J279="",'Detalle'!$K279="",'Detalle'!$L279=""),"",IF(AND(H$8&lt;='Detalle'!$K279,H$9&gt;='Detalle'!$J279),1,""))</x:f>
      </x:c>
      <x:c r="I570" s="32" t="str">
        <x:f>IF(OR('Detalle'!$J279="",'Detalle'!$K279="",'Detalle'!$L279=""),"",IF(AND(I$8&lt;='Detalle'!$K279,I$9&gt;='Detalle'!$J279),1,""))</x:f>
      </x:c>
      <x:c r="J570" s="32" t="str">
        <x:f>IF(OR('Detalle'!$J279="",'Detalle'!$K279="",'Detalle'!$L279=""),"",IF(AND(J$8&lt;='Detalle'!$K279,J$9&gt;='Detalle'!$J279),1,""))</x:f>
      </x:c>
      <x:c r="K570" s="32" t="str">
        <x:f>IF(OR('Detalle'!$J279="",'Detalle'!$K279="",'Detalle'!$L279=""),"",IF(AND(K$8&lt;='Detalle'!$K279,K$9&gt;='Detalle'!$J279),1,""))</x:f>
      </x:c>
      <x:c r="L570" s="32" t="str">
        <x:f>IF(OR('Detalle'!$J279="",'Detalle'!$K279="",'Detalle'!$L279=""),"",IF(AND(L$8&lt;='Detalle'!$K279,L$9&gt;='Detalle'!$J279),1,""))</x:f>
      </x:c>
      <x:c r="M570" s="32" t="str">
        <x:f>IF(OR('Detalle'!$J279="",'Detalle'!$K279="",'Detalle'!$L279=""),"",IF(AND(M$8&lt;='Detalle'!$K279,M$9&gt;='Detalle'!$J279),1,""))</x:f>
      </x:c>
      <x:c r="N570" s="32" t="str">
        <x:f>IF(OR('Detalle'!$J279="",'Detalle'!$K279="",'Detalle'!$L279=""),"",IF(AND(N$8&lt;='Detalle'!$K279,N$9&gt;='Detalle'!$J279),1,""))</x:f>
      </x:c>
      <x:c r="O570" s="32" t="str">
        <x:f>IF(OR('Detalle'!$J279="",'Detalle'!$K279="",'Detalle'!$L279=""),"",IF(AND(O$8&lt;='Detalle'!$K279,O$9&gt;='Detalle'!$J279),1,""))</x:f>
      </x:c>
      <x:c r="P570" s="32" t="str">
        <x:f>IF(OR('Detalle'!$J279="",'Detalle'!$K279="",'Detalle'!$L279=""),"",IF(AND(P$8&lt;='Detalle'!$K279,P$9&gt;='Detalle'!$J279),1,""))</x:f>
      </x:c>
      <x:c r="Q570" s="68"/>
      <x:c r="R570" s="67" t="str"/>
      <x:c r="S570" s="67" t="str"/>
    </x:row>
    <x:row r="571" ht="16" customHeight="1">
      <x:c r="A571" s="56" t="str">
        <x:v>ACC03.012</x:v>
      </x:c>
      <x:c r="B571" s="57" t="str">
        <x:v>Permitir omitir guía</x:v>
      </x:c>
      <x:c r="C571" s="62" t="str">
        <x:v>E</x:v>
      </x:c>
      <x:c r="D571" s="64" t="n">
        <x:f>'Detalle'!I280</x:f>
        <x:v>1</x:v>
      </x:c>
      <x:c r="E571" s="60" t="str">
        <x:f>'Detalle'!F280</x:f>
        <x:v>Completado</x:v>
      </x:c>
      <x:c r="F571" s="32" t="str">
        <x:f>IF(AND(F$8&lt;='Detalle'!$H280,F$9&gt;='Detalle'!$G280),1,"")</x:f>
      </x:c>
      <x:c r="G571" s="32" t="str">
        <x:f>IF(AND(G$8&lt;='Detalle'!$H280,G$9&gt;='Detalle'!$G280),1,"")</x:f>
      </x:c>
      <x:c r="H571" s="32" t="str">
        <x:f>IF(AND(H$8&lt;='Detalle'!$H280,H$9&gt;='Detalle'!$G280),1,"")</x:f>
      </x:c>
      <x:c r="I571" s="32" t="n">
        <x:f>IF(AND(I$8&lt;='Detalle'!$H280,I$9&gt;='Detalle'!$G280),1,"")</x:f>
        <x:v>1</x:v>
      </x:c>
      <x:c r="J571" s="32" t="str">
        <x:f>IF(AND(J$8&lt;='Detalle'!$H280,J$9&gt;='Detalle'!$G280),1,"")</x:f>
      </x:c>
      <x:c r="K571" s="32" t="str">
        <x:f>IF(AND(K$8&lt;='Detalle'!$H280,K$9&gt;='Detalle'!$G280),1,"")</x:f>
      </x:c>
      <x:c r="L571" s="32" t="str">
        <x:f>IF(AND(L$8&lt;='Detalle'!$H280,L$9&gt;='Detalle'!$G280),1,"")</x:f>
      </x:c>
      <x:c r="M571" s="32" t="str">
        <x:f>IF(AND(M$8&lt;='Detalle'!$H280,M$9&gt;='Detalle'!$G280),1,"")</x:f>
      </x:c>
      <x:c r="N571" s="32" t="str">
        <x:f>IF(AND(N$8&lt;='Detalle'!$H280,N$9&gt;='Detalle'!$G280),1,"")</x:f>
      </x:c>
      <x:c r="O571" s="32" t="str">
        <x:f>IF(AND(O$8&lt;='Detalle'!$H280,O$9&gt;='Detalle'!$G280),1,"")</x:f>
      </x:c>
      <x:c r="P571" s="32" t="str">
        <x:f>IF(AND(P$8&lt;='Detalle'!$H280,P$9&gt;='Detalle'!$G280),1,"")</x:f>
      </x:c>
      <x:c r="Q571" s="68"/>
      <x:c r="R571" s="67" t="str">
        <x:f>IF('Detalle'!M280="","",'Detalle'!M280)</x:f>
      </x:c>
      <x:c r="S571" s="67" t="str">
        <x:f>IF('Detalle'!N280="","",'Detalle'!N280)</x:f>
      </x:c>
    </x:row>
    <x:row r="572" ht="16" customHeight="1">
      <x:c r="A572" s="56" t="str">
        <x:v>ACC03.012</x:v>
      </x:c>
      <x:c r="B572" s="57" t="str">
        <x:v>Permitir omitir guía</x:v>
      </x:c>
      <x:c r="C572" s="63" t="str">
        <x:v>R</x:v>
      </x:c>
      <x:c r="D572" s="65" t="str">
        <x:f>IF('Detalle'!L280="","",'Detalle'!L280)</x:f>
      </x:c>
      <x:c r="E572" s="60" t="str"/>
      <x:c r="F572" s="32" t="str">
        <x:f>IF(OR('Detalle'!$J280="",'Detalle'!$K280="",'Detalle'!$L280=""),"",IF(AND(F$8&lt;='Detalle'!$K280,F$9&gt;='Detalle'!$J280),1,""))</x:f>
      </x:c>
      <x:c r="G572" s="32" t="str">
        <x:f>IF(OR('Detalle'!$J280="",'Detalle'!$K280="",'Detalle'!$L280=""),"",IF(AND(G$8&lt;='Detalle'!$K280,G$9&gt;='Detalle'!$J280),1,""))</x:f>
      </x:c>
      <x:c r="H572" s="32" t="str">
        <x:f>IF(OR('Detalle'!$J280="",'Detalle'!$K280="",'Detalle'!$L280=""),"",IF(AND(H$8&lt;='Detalle'!$K280,H$9&gt;='Detalle'!$J280),1,""))</x:f>
      </x:c>
      <x:c r="I572" s="32" t="str">
        <x:f>IF(OR('Detalle'!$J280="",'Detalle'!$K280="",'Detalle'!$L280=""),"",IF(AND(I$8&lt;='Detalle'!$K280,I$9&gt;='Detalle'!$J280),1,""))</x:f>
      </x:c>
      <x:c r="J572" s="32" t="str">
        <x:f>IF(OR('Detalle'!$J280="",'Detalle'!$K280="",'Detalle'!$L280=""),"",IF(AND(J$8&lt;='Detalle'!$K280,J$9&gt;='Detalle'!$J280),1,""))</x:f>
      </x:c>
      <x:c r="K572" s="32" t="str">
        <x:f>IF(OR('Detalle'!$J280="",'Detalle'!$K280="",'Detalle'!$L280=""),"",IF(AND(K$8&lt;='Detalle'!$K280,K$9&gt;='Detalle'!$J280),1,""))</x:f>
      </x:c>
      <x:c r="L572" s="32" t="str">
        <x:f>IF(OR('Detalle'!$J280="",'Detalle'!$K280="",'Detalle'!$L280=""),"",IF(AND(L$8&lt;='Detalle'!$K280,L$9&gt;='Detalle'!$J280),1,""))</x:f>
      </x:c>
      <x:c r="M572" s="32" t="str">
        <x:f>IF(OR('Detalle'!$J280="",'Detalle'!$K280="",'Detalle'!$L280=""),"",IF(AND(M$8&lt;='Detalle'!$K280,M$9&gt;='Detalle'!$J280),1,""))</x:f>
      </x:c>
      <x:c r="N572" s="32" t="str">
        <x:f>IF(OR('Detalle'!$J280="",'Detalle'!$K280="",'Detalle'!$L280=""),"",IF(AND(N$8&lt;='Detalle'!$K280,N$9&gt;='Detalle'!$J280),1,""))</x:f>
      </x:c>
      <x:c r="O572" s="32" t="str">
        <x:f>IF(OR('Detalle'!$J280="",'Detalle'!$K280="",'Detalle'!$L280=""),"",IF(AND(O$8&lt;='Detalle'!$K280,O$9&gt;='Detalle'!$J280),1,""))</x:f>
      </x:c>
      <x:c r="P572" s="32" t="str">
        <x:f>IF(OR('Detalle'!$J280="",'Detalle'!$K280="",'Detalle'!$L280=""),"",IF(AND(P$8&lt;='Detalle'!$K280,P$9&gt;='Detalle'!$J280),1,""))</x:f>
      </x:c>
      <x:c r="Q572" s="68"/>
      <x:c r="R572" s="67" t="str"/>
      <x:c r="S572" s="67" t="str"/>
    </x:row>
    <x:row r="573" ht="16" customHeight="1">
      <x:c r="A573" s="56" t="str">
        <x:v>ACC03.013</x:v>
      </x:c>
      <x:c r="B573" s="57" t="str">
        <x:v>Retomar guía desde perfil</x:v>
      </x:c>
      <x:c r="C573" s="62" t="str">
        <x:v>E</x:v>
      </x:c>
      <x:c r="D573" s="64" t="n">
        <x:f>'Detalle'!I281</x:f>
        <x:v>1</x:v>
      </x:c>
      <x:c r="E573" s="60" t="str">
        <x:f>'Detalle'!F281</x:f>
        <x:v>Completado</x:v>
      </x:c>
      <x:c r="F573" s="32" t="str">
        <x:f>IF(AND(F$8&lt;='Detalle'!$H281,F$9&gt;='Detalle'!$G281),1,"")</x:f>
      </x:c>
      <x:c r="G573" s="32" t="str">
        <x:f>IF(AND(G$8&lt;='Detalle'!$H281,G$9&gt;='Detalle'!$G281),1,"")</x:f>
      </x:c>
      <x:c r="H573" s="32" t="str">
        <x:f>IF(AND(H$8&lt;='Detalle'!$H281,H$9&gt;='Detalle'!$G281),1,"")</x:f>
      </x:c>
      <x:c r="I573" s="32" t="n">
        <x:f>IF(AND(I$8&lt;='Detalle'!$H281,I$9&gt;='Detalle'!$G281),1,"")</x:f>
        <x:v>1</x:v>
      </x:c>
      <x:c r="J573" s="32" t="str">
        <x:f>IF(AND(J$8&lt;='Detalle'!$H281,J$9&gt;='Detalle'!$G281),1,"")</x:f>
      </x:c>
      <x:c r="K573" s="32" t="str">
        <x:f>IF(AND(K$8&lt;='Detalle'!$H281,K$9&gt;='Detalle'!$G281),1,"")</x:f>
      </x:c>
      <x:c r="L573" s="32" t="str">
        <x:f>IF(AND(L$8&lt;='Detalle'!$H281,L$9&gt;='Detalle'!$G281),1,"")</x:f>
      </x:c>
      <x:c r="M573" s="32" t="str">
        <x:f>IF(AND(M$8&lt;='Detalle'!$H281,M$9&gt;='Detalle'!$G281),1,"")</x:f>
      </x:c>
      <x:c r="N573" s="32" t="str">
        <x:f>IF(AND(N$8&lt;='Detalle'!$H281,N$9&gt;='Detalle'!$G281),1,"")</x:f>
      </x:c>
      <x:c r="O573" s="32" t="str">
        <x:f>IF(AND(O$8&lt;='Detalle'!$H281,O$9&gt;='Detalle'!$G281),1,"")</x:f>
      </x:c>
      <x:c r="P573" s="32" t="str">
        <x:f>IF(AND(P$8&lt;='Detalle'!$H281,P$9&gt;='Detalle'!$G281),1,"")</x:f>
      </x:c>
      <x:c r="Q573" s="68"/>
      <x:c r="R573" s="67" t="str">
        <x:f>IF('Detalle'!M281="","",'Detalle'!M281)</x:f>
      </x:c>
      <x:c r="S573" s="67" t="str">
        <x:f>IF('Detalle'!N281="","",'Detalle'!N281)</x:f>
      </x:c>
    </x:row>
    <x:row r="574" ht="16" customHeight="1">
      <x:c r="A574" s="56" t="str">
        <x:v>ACC03.013</x:v>
      </x:c>
      <x:c r="B574" s="57" t="str">
        <x:v>Retomar guía desde perfil</x:v>
      </x:c>
      <x:c r="C574" s="63" t="str">
        <x:v>R</x:v>
      </x:c>
      <x:c r="D574" s="65" t="str">
        <x:f>IF('Detalle'!L281="","",'Detalle'!L281)</x:f>
      </x:c>
      <x:c r="E574" s="60" t="str"/>
      <x:c r="F574" s="32" t="str">
        <x:f>IF(OR('Detalle'!$J281="",'Detalle'!$K281="",'Detalle'!$L281=""),"",IF(AND(F$8&lt;='Detalle'!$K281,F$9&gt;='Detalle'!$J281),1,""))</x:f>
      </x:c>
      <x:c r="G574" s="32" t="str">
        <x:f>IF(OR('Detalle'!$J281="",'Detalle'!$K281="",'Detalle'!$L281=""),"",IF(AND(G$8&lt;='Detalle'!$K281,G$9&gt;='Detalle'!$J281),1,""))</x:f>
      </x:c>
      <x:c r="H574" s="32" t="str">
        <x:f>IF(OR('Detalle'!$J281="",'Detalle'!$K281="",'Detalle'!$L281=""),"",IF(AND(H$8&lt;='Detalle'!$K281,H$9&gt;='Detalle'!$J281),1,""))</x:f>
      </x:c>
      <x:c r="I574" s="32" t="str">
        <x:f>IF(OR('Detalle'!$J281="",'Detalle'!$K281="",'Detalle'!$L281=""),"",IF(AND(I$8&lt;='Detalle'!$K281,I$9&gt;='Detalle'!$J281),1,""))</x:f>
      </x:c>
      <x:c r="J574" s="32" t="str">
        <x:f>IF(OR('Detalle'!$J281="",'Detalle'!$K281="",'Detalle'!$L281=""),"",IF(AND(J$8&lt;='Detalle'!$K281,J$9&gt;='Detalle'!$J281),1,""))</x:f>
      </x:c>
      <x:c r="K574" s="32" t="str">
        <x:f>IF(OR('Detalle'!$J281="",'Detalle'!$K281="",'Detalle'!$L281=""),"",IF(AND(K$8&lt;='Detalle'!$K281,K$9&gt;='Detalle'!$J281),1,""))</x:f>
      </x:c>
      <x:c r="L574" s="32" t="str">
        <x:f>IF(OR('Detalle'!$J281="",'Detalle'!$K281="",'Detalle'!$L281=""),"",IF(AND(L$8&lt;='Detalle'!$K281,L$9&gt;='Detalle'!$J281),1,""))</x:f>
      </x:c>
      <x:c r="M574" s="32" t="str">
        <x:f>IF(OR('Detalle'!$J281="",'Detalle'!$K281="",'Detalle'!$L281=""),"",IF(AND(M$8&lt;='Detalle'!$K281,M$9&gt;='Detalle'!$J281),1,""))</x:f>
      </x:c>
      <x:c r="N574" s="32" t="str">
        <x:f>IF(OR('Detalle'!$J281="",'Detalle'!$K281="",'Detalle'!$L281=""),"",IF(AND(N$8&lt;='Detalle'!$K281,N$9&gt;='Detalle'!$J281),1,""))</x:f>
      </x:c>
      <x:c r="O574" s="32" t="str">
        <x:f>IF(OR('Detalle'!$J281="",'Detalle'!$K281="",'Detalle'!$L281=""),"",IF(AND(O$8&lt;='Detalle'!$K281,O$9&gt;='Detalle'!$J281),1,""))</x:f>
      </x:c>
      <x:c r="P574" s="32" t="str">
        <x:f>IF(OR('Detalle'!$J281="",'Detalle'!$K281="",'Detalle'!$L281=""),"",IF(AND(P$8&lt;='Detalle'!$K281,P$9&gt;='Detalle'!$J281),1,""))</x:f>
      </x:c>
      <x:c r="Q574" s="68"/>
      <x:c r="R574" s="67" t="str"/>
      <x:c r="S574" s="67" t="str"/>
    </x:row>
    <x:row r="575" ht="16" customHeight="1">
      <x:c r="A575" s="56" t="str">
        <x:v>ACC03.014</x:v>
      </x:c>
      <x:c r="B575" s="57" t="str">
        <x:v>Persistir avance privado de guía</x:v>
      </x:c>
      <x:c r="C575" s="62" t="str">
        <x:v>E</x:v>
      </x:c>
      <x:c r="D575" s="64" t="n">
        <x:f>'Detalle'!I282</x:f>
        <x:v>1</x:v>
      </x:c>
      <x:c r="E575" s="60" t="str">
        <x:f>'Detalle'!F282</x:f>
        <x:v>Completado</x:v>
      </x:c>
      <x:c r="F575" s="32" t="str">
        <x:f>IF(AND(F$8&lt;='Detalle'!$H282,F$9&gt;='Detalle'!$G282),1,"")</x:f>
      </x:c>
      <x:c r="G575" s="32" t="str">
        <x:f>IF(AND(G$8&lt;='Detalle'!$H282,G$9&gt;='Detalle'!$G282),1,"")</x:f>
      </x:c>
      <x:c r="H575" s="32" t="str">
        <x:f>IF(AND(H$8&lt;='Detalle'!$H282,H$9&gt;='Detalle'!$G282),1,"")</x:f>
      </x:c>
      <x:c r="I575" s="32" t="n">
        <x:f>IF(AND(I$8&lt;='Detalle'!$H282,I$9&gt;='Detalle'!$G282),1,"")</x:f>
        <x:v>1</x:v>
      </x:c>
      <x:c r="J575" s="32" t="str">
        <x:f>IF(AND(J$8&lt;='Detalle'!$H282,J$9&gt;='Detalle'!$G282),1,"")</x:f>
      </x:c>
      <x:c r="K575" s="32" t="str">
        <x:f>IF(AND(K$8&lt;='Detalle'!$H282,K$9&gt;='Detalle'!$G282),1,"")</x:f>
      </x:c>
      <x:c r="L575" s="32" t="str">
        <x:f>IF(AND(L$8&lt;='Detalle'!$H282,L$9&gt;='Detalle'!$G282),1,"")</x:f>
      </x:c>
      <x:c r="M575" s="32" t="str">
        <x:f>IF(AND(M$8&lt;='Detalle'!$H282,M$9&gt;='Detalle'!$G282),1,"")</x:f>
      </x:c>
      <x:c r="N575" s="32" t="str">
        <x:f>IF(AND(N$8&lt;='Detalle'!$H282,N$9&gt;='Detalle'!$G282),1,"")</x:f>
      </x:c>
      <x:c r="O575" s="32" t="str">
        <x:f>IF(AND(O$8&lt;='Detalle'!$H282,O$9&gt;='Detalle'!$G282),1,"")</x:f>
      </x:c>
      <x:c r="P575" s="32" t="str">
        <x:f>IF(AND(P$8&lt;='Detalle'!$H282,P$9&gt;='Detalle'!$G282),1,"")</x:f>
      </x:c>
      <x:c r="Q575" s="68"/>
      <x:c r="R575" s="67" t="str">
        <x:f>IF('Detalle'!M282="","",'Detalle'!M282)</x:f>
      </x:c>
      <x:c r="S575" s="67" t="str">
        <x:f>IF('Detalle'!N282="","",'Detalle'!N282)</x:f>
      </x:c>
    </x:row>
    <x:row r="576" ht="16" customHeight="1">
      <x:c r="A576" s="56" t="str">
        <x:v>ACC03.014</x:v>
      </x:c>
      <x:c r="B576" s="57" t="str">
        <x:v>Persistir avance privado de guía</x:v>
      </x:c>
      <x:c r="C576" s="63" t="str">
        <x:v>R</x:v>
      </x:c>
      <x:c r="D576" s="65" t="str">
        <x:f>IF('Detalle'!L282="","",'Detalle'!L282)</x:f>
      </x:c>
      <x:c r="E576" s="60" t="str"/>
      <x:c r="F576" s="32" t="str">
        <x:f>IF(OR('Detalle'!$J282="",'Detalle'!$K282="",'Detalle'!$L282=""),"",IF(AND(F$8&lt;='Detalle'!$K282,F$9&gt;='Detalle'!$J282),1,""))</x:f>
      </x:c>
      <x:c r="G576" s="32" t="str">
        <x:f>IF(OR('Detalle'!$J282="",'Detalle'!$K282="",'Detalle'!$L282=""),"",IF(AND(G$8&lt;='Detalle'!$K282,G$9&gt;='Detalle'!$J282),1,""))</x:f>
      </x:c>
      <x:c r="H576" s="32" t="str">
        <x:f>IF(OR('Detalle'!$J282="",'Detalle'!$K282="",'Detalle'!$L282=""),"",IF(AND(H$8&lt;='Detalle'!$K282,H$9&gt;='Detalle'!$J282),1,""))</x:f>
      </x:c>
      <x:c r="I576" s="32" t="str">
        <x:f>IF(OR('Detalle'!$J282="",'Detalle'!$K282="",'Detalle'!$L282=""),"",IF(AND(I$8&lt;='Detalle'!$K282,I$9&gt;='Detalle'!$J282),1,""))</x:f>
      </x:c>
      <x:c r="J576" s="32" t="str">
        <x:f>IF(OR('Detalle'!$J282="",'Detalle'!$K282="",'Detalle'!$L282=""),"",IF(AND(J$8&lt;='Detalle'!$K282,J$9&gt;='Detalle'!$J282),1,""))</x:f>
      </x:c>
      <x:c r="K576" s="32" t="str">
        <x:f>IF(OR('Detalle'!$J282="",'Detalle'!$K282="",'Detalle'!$L282=""),"",IF(AND(K$8&lt;='Detalle'!$K282,K$9&gt;='Detalle'!$J282),1,""))</x:f>
      </x:c>
      <x:c r="L576" s="32" t="str">
        <x:f>IF(OR('Detalle'!$J282="",'Detalle'!$K282="",'Detalle'!$L282=""),"",IF(AND(L$8&lt;='Detalle'!$K282,L$9&gt;='Detalle'!$J282),1,""))</x:f>
      </x:c>
      <x:c r="M576" s="32" t="str">
        <x:f>IF(OR('Detalle'!$J282="",'Detalle'!$K282="",'Detalle'!$L282=""),"",IF(AND(M$8&lt;='Detalle'!$K282,M$9&gt;='Detalle'!$J282),1,""))</x:f>
      </x:c>
      <x:c r="N576" s="32" t="str">
        <x:f>IF(OR('Detalle'!$J282="",'Detalle'!$K282="",'Detalle'!$L282=""),"",IF(AND(N$8&lt;='Detalle'!$K282,N$9&gt;='Detalle'!$J282),1,""))</x:f>
      </x:c>
      <x:c r="O576" s="32" t="str">
        <x:f>IF(OR('Detalle'!$J282="",'Detalle'!$K282="",'Detalle'!$L282=""),"",IF(AND(O$8&lt;='Detalle'!$K282,O$9&gt;='Detalle'!$J282),1,""))</x:f>
      </x:c>
      <x:c r="P576" s="32" t="str">
        <x:f>IF(OR('Detalle'!$J282="",'Detalle'!$K282="",'Detalle'!$L282=""),"",IF(AND(P$8&lt;='Detalle'!$K282,P$9&gt;='Detalle'!$J282),1,""))</x:f>
      </x:c>
      <x:c r="Q576" s="68"/>
      <x:c r="R576" s="67" t="str"/>
      <x:c r="S576" s="67" t="str"/>
    </x:row>
    <x:row r="577" ht="16" customHeight="1">
      <x:c r="A577" s="56" t="str">
        <x:v>ACC03.015</x:v>
      </x:c>
      <x:c r="B577" s="57" t="str">
        <x:v>Editar preferencias después del registro</x:v>
      </x:c>
      <x:c r="C577" s="62" t="str">
        <x:v>E</x:v>
      </x:c>
      <x:c r="D577" s="64" t="n">
        <x:f>'Detalle'!I283</x:f>
        <x:v>1</x:v>
      </x:c>
      <x:c r="E577" s="60" t="str">
        <x:f>'Detalle'!F283</x:f>
        <x:v>Completado</x:v>
      </x:c>
      <x:c r="F577" s="32" t="str">
        <x:f>IF(AND(F$8&lt;='Detalle'!$H283,F$9&gt;='Detalle'!$G283),1,"")</x:f>
      </x:c>
      <x:c r="G577" s="32" t="str">
        <x:f>IF(AND(G$8&lt;='Detalle'!$H283,G$9&gt;='Detalle'!$G283),1,"")</x:f>
      </x:c>
      <x:c r="H577" s="32" t="str">
        <x:f>IF(AND(H$8&lt;='Detalle'!$H283,H$9&gt;='Detalle'!$G283),1,"")</x:f>
      </x:c>
      <x:c r="I577" s="32" t="n">
        <x:f>IF(AND(I$8&lt;='Detalle'!$H283,I$9&gt;='Detalle'!$G283),1,"")</x:f>
        <x:v>1</x:v>
      </x:c>
      <x:c r="J577" s="32" t="str">
        <x:f>IF(AND(J$8&lt;='Detalle'!$H283,J$9&gt;='Detalle'!$G283),1,"")</x:f>
      </x:c>
      <x:c r="K577" s="32" t="str">
        <x:f>IF(AND(K$8&lt;='Detalle'!$H283,K$9&gt;='Detalle'!$G283),1,"")</x:f>
      </x:c>
      <x:c r="L577" s="32" t="str">
        <x:f>IF(AND(L$8&lt;='Detalle'!$H283,L$9&gt;='Detalle'!$G283),1,"")</x:f>
      </x:c>
      <x:c r="M577" s="32" t="str">
        <x:f>IF(AND(M$8&lt;='Detalle'!$H283,M$9&gt;='Detalle'!$G283),1,"")</x:f>
      </x:c>
      <x:c r="N577" s="32" t="str">
        <x:f>IF(AND(N$8&lt;='Detalle'!$H283,N$9&gt;='Detalle'!$G283),1,"")</x:f>
      </x:c>
      <x:c r="O577" s="32" t="str">
        <x:f>IF(AND(O$8&lt;='Detalle'!$H283,O$9&gt;='Detalle'!$G283),1,"")</x:f>
      </x:c>
      <x:c r="P577" s="32" t="str">
        <x:f>IF(AND(P$8&lt;='Detalle'!$H283,P$9&gt;='Detalle'!$G283),1,"")</x:f>
      </x:c>
      <x:c r="Q577" s="68"/>
      <x:c r="R577" s="67" t="str">
        <x:f>IF('Detalle'!M283="","",'Detalle'!M283)</x:f>
      </x:c>
      <x:c r="S577" s="67" t="str">
        <x:f>IF('Detalle'!N283="","",'Detalle'!N283)</x:f>
      </x:c>
    </x:row>
    <x:row r="578" ht="16" customHeight="1">
      <x:c r="A578" s="56" t="str">
        <x:v>ACC03.015</x:v>
      </x:c>
      <x:c r="B578" s="57" t="str">
        <x:v>Editar preferencias después del registro</x:v>
      </x:c>
      <x:c r="C578" s="63" t="str">
        <x:v>R</x:v>
      </x:c>
      <x:c r="D578" s="65" t="str">
        <x:f>IF('Detalle'!L283="","",'Detalle'!L283)</x:f>
      </x:c>
      <x:c r="E578" s="60" t="str"/>
      <x:c r="F578" s="32" t="str">
        <x:f>IF(OR('Detalle'!$J283="",'Detalle'!$K283="",'Detalle'!$L283=""),"",IF(AND(F$8&lt;='Detalle'!$K283,F$9&gt;='Detalle'!$J283),1,""))</x:f>
      </x:c>
      <x:c r="G578" s="32" t="str">
        <x:f>IF(OR('Detalle'!$J283="",'Detalle'!$K283="",'Detalle'!$L283=""),"",IF(AND(G$8&lt;='Detalle'!$K283,G$9&gt;='Detalle'!$J283),1,""))</x:f>
      </x:c>
      <x:c r="H578" s="32" t="str">
        <x:f>IF(OR('Detalle'!$J283="",'Detalle'!$K283="",'Detalle'!$L283=""),"",IF(AND(H$8&lt;='Detalle'!$K283,H$9&gt;='Detalle'!$J283),1,""))</x:f>
      </x:c>
      <x:c r="I578" s="32" t="str">
        <x:f>IF(OR('Detalle'!$J283="",'Detalle'!$K283="",'Detalle'!$L283=""),"",IF(AND(I$8&lt;='Detalle'!$K283,I$9&gt;='Detalle'!$J283),1,""))</x:f>
      </x:c>
      <x:c r="J578" s="32" t="str">
        <x:f>IF(OR('Detalle'!$J283="",'Detalle'!$K283="",'Detalle'!$L283=""),"",IF(AND(J$8&lt;='Detalle'!$K283,J$9&gt;='Detalle'!$J283),1,""))</x:f>
      </x:c>
      <x:c r="K578" s="32" t="str">
        <x:f>IF(OR('Detalle'!$J283="",'Detalle'!$K283="",'Detalle'!$L283=""),"",IF(AND(K$8&lt;='Detalle'!$K283,K$9&gt;='Detalle'!$J283),1,""))</x:f>
      </x:c>
      <x:c r="L578" s="32" t="str">
        <x:f>IF(OR('Detalle'!$J283="",'Detalle'!$K283="",'Detalle'!$L283=""),"",IF(AND(L$8&lt;='Detalle'!$K283,L$9&gt;='Detalle'!$J283),1,""))</x:f>
      </x:c>
      <x:c r="M578" s="32" t="str">
        <x:f>IF(OR('Detalle'!$J283="",'Detalle'!$K283="",'Detalle'!$L283=""),"",IF(AND(M$8&lt;='Detalle'!$K283,M$9&gt;='Detalle'!$J283),1,""))</x:f>
      </x:c>
      <x:c r="N578" s="32" t="str">
        <x:f>IF(OR('Detalle'!$J283="",'Detalle'!$K283="",'Detalle'!$L283=""),"",IF(AND(N$8&lt;='Detalle'!$K283,N$9&gt;='Detalle'!$J283),1,""))</x:f>
      </x:c>
      <x:c r="O578" s="32" t="str">
        <x:f>IF(OR('Detalle'!$J283="",'Detalle'!$K283="",'Detalle'!$L283=""),"",IF(AND(O$8&lt;='Detalle'!$K283,O$9&gt;='Detalle'!$J283),1,""))</x:f>
      </x:c>
      <x:c r="P578" s="32" t="str">
        <x:f>IF(OR('Detalle'!$J283="",'Detalle'!$K283="",'Detalle'!$L283=""),"",IF(AND(P$8&lt;='Detalle'!$K283,P$9&gt;='Detalle'!$J283),1,""))</x:f>
      </x:c>
      <x:c r="Q578" s="68"/>
      <x:c r="R578" s="67" t="str"/>
      <x:c r="S578" s="67" t="str"/>
    </x:row>
    <x:row r="579" ht="16" customHeight="1">
      <x:c r="A579" s="56" t="str">
        <x:v>ACC03.016</x:v>
      </x:c>
      <x:c r="B579" s="57" t="str">
        <x:v>Proteger borradores al cambiar cuenta</x:v>
      </x:c>
      <x:c r="C579" s="62" t="str">
        <x:v>E</x:v>
      </x:c>
      <x:c r="D579" s="64" t="n">
        <x:f>'Detalle'!I284</x:f>
        <x:v>1</x:v>
      </x:c>
      <x:c r="E579" s="60" t="str">
        <x:f>'Detalle'!F284</x:f>
        <x:v>Completado</x:v>
      </x:c>
      <x:c r="F579" s="32" t="str">
        <x:f>IF(AND(F$8&lt;='Detalle'!$H284,F$9&gt;='Detalle'!$G284),1,"")</x:f>
      </x:c>
      <x:c r="G579" s="32" t="str">
        <x:f>IF(AND(G$8&lt;='Detalle'!$H284,G$9&gt;='Detalle'!$G284),1,"")</x:f>
      </x:c>
      <x:c r="H579" s="32" t="str">
        <x:f>IF(AND(H$8&lt;='Detalle'!$H284,H$9&gt;='Detalle'!$G284),1,"")</x:f>
      </x:c>
      <x:c r="I579" s="32" t="n">
        <x:f>IF(AND(I$8&lt;='Detalle'!$H284,I$9&gt;='Detalle'!$G284),1,"")</x:f>
        <x:v>1</x:v>
      </x:c>
      <x:c r="J579" s="32" t="str">
        <x:f>IF(AND(J$8&lt;='Detalle'!$H284,J$9&gt;='Detalle'!$G284),1,"")</x:f>
      </x:c>
      <x:c r="K579" s="32" t="str">
        <x:f>IF(AND(K$8&lt;='Detalle'!$H284,K$9&gt;='Detalle'!$G284),1,"")</x:f>
      </x:c>
      <x:c r="L579" s="32" t="str">
        <x:f>IF(AND(L$8&lt;='Detalle'!$H284,L$9&gt;='Detalle'!$G284),1,"")</x:f>
      </x:c>
      <x:c r="M579" s="32" t="str">
        <x:f>IF(AND(M$8&lt;='Detalle'!$H284,M$9&gt;='Detalle'!$G284),1,"")</x:f>
      </x:c>
      <x:c r="N579" s="32" t="str">
        <x:f>IF(AND(N$8&lt;='Detalle'!$H284,N$9&gt;='Detalle'!$G284),1,"")</x:f>
      </x:c>
      <x:c r="O579" s="32" t="str">
        <x:f>IF(AND(O$8&lt;='Detalle'!$H284,O$9&gt;='Detalle'!$G284),1,"")</x:f>
      </x:c>
      <x:c r="P579" s="32" t="str">
        <x:f>IF(AND(P$8&lt;='Detalle'!$H284,P$9&gt;='Detalle'!$G284),1,"")</x:f>
      </x:c>
      <x:c r="Q579" s="68"/>
      <x:c r="R579" s="67" t="str">
        <x:f>IF('Detalle'!M284="","",'Detalle'!M284)</x:f>
      </x:c>
      <x:c r="S579" s="67" t="str">
        <x:f>IF('Detalle'!N284="","",'Detalle'!N284)</x:f>
      </x:c>
    </x:row>
    <x:row r="580" ht="16" customHeight="1">
      <x:c r="A580" s="56" t="str">
        <x:v>ACC03.016</x:v>
      </x:c>
      <x:c r="B580" s="57" t="str">
        <x:v>Proteger borradores al cambiar cuenta</x:v>
      </x:c>
      <x:c r="C580" s="63" t="str">
        <x:v>R</x:v>
      </x:c>
      <x:c r="D580" s="65" t="str">
        <x:f>IF('Detalle'!L284="","",'Detalle'!L284)</x:f>
      </x:c>
      <x:c r="E580" s="60" t="str"/>
      <x:c r="F580" s="32" t="str">
        <x:f>IF(OR('Detalle'!$J284="",'Detalle'!$K284="",'Detalle'!$L284=""),"",IF(AND(F$8&lt;='Detalle'!$K284,F$9&gt;='Detalle'!$J284),1,""))</x:f>
      </x:c>
      <x:c r="G580" s="32" t="str">
        <x:f>IF(OR('Detalle'!$J284="",'Detalle'!$K284="",'Detalle'!$L284=""),"",IF(AND(G$8&lt;='Detalle'!$K284,G$9&gt;='Detalle'!$J284),1,""))</x:f>
      </x:c>
      <x:c r="H580" s="32" t="str">
        <x:f>IF(OR('Detalle'!$J284="",'Detalle'!$K284="",'Detalle'!$L284=""),"",IF(AND(H$8&lt;='Detalle'!$K284,H$9&gt;='Detalle'!$J284),1,""))</x:f>
      </x:c>
      <x:c r="I580" s="32" t="str">
        <x:f>IF(OR('Detalle'!$J284="",'Detalle'!$K284="",'Detalle'!$L284=""),"",IF(AND(I$8&lt;='Detalle'!$K284,I$9&gt;='Detalle'!$J284),1,""))</x:f>
      </x:c>
      <x:c r="J580" s="32" t="str">
        <x:f>IF(OR('Detalle'!$J284="",'Detalle'!$K284="",'Detalle'!$L284=""),"",IF(AND(J$8&lt;='Detalle'!$K284,J$9&gt;='Detalle'!$J284),1,""))</x:f>
      </x:c>
      <x:c r="K580" s="32" t="str">
        <x:f>IF(OR('Detalle'!$J284="",'Detalle'!$K284="",'Detalle'!$L284=""),"",IF(AND(K$8&lt;='Detalle'!$K284,K$9&gt;='Detalle'!$J284),1,""))</x:f>
      </x:c>
      <x:c r="L580" s="32" t="str">
        <x:f>IF(OR('Detalle'!$J284="",'Detalle'!$K284="",'Detalle'!$L284=""),"",IF(AND(L$8&lt;='Detalle'!$K284,L$9&gt;='Detalle'!$J284),1,""))</x:f>
      </x:c>
      <x:c r="M580" s="32" t="str">
        <x:f>IF(OR('Detalle'!$J284="",'Detalle'!$K284="",'Detalle'!$L284=""),"",IF(AND(M$8&lt;='Detalle'!$K284,M$9&gt;='Detalle'!$J284),1,""))</x:f>
      </x:c>
      <x:c r="N580" s="32" t="str">
        <x:f>IF(OR('Detalle'!$J284="",'Detalle'!$K284="",'Detalle'!$L284=""),"",IF(AND(N$8&lt;='Detalle'!$K284,N$9&gt;='Detalle'!$J284),1,""))</x:f>
      </x:c>
      <x:c r="O580" s="32" t="str">
        <x:f>IF(OR('Detalle'!$J284="",'Detalle'!$K284="",'Detalle'!$L284=""),"",IF(AND(O$8&lt;='Detalle'!$K284,O$9&gt;='Detalle'!$J284),1,""))</x:f>
      </x:c>
      <x:c r="P580" s="32" t="str">
        <x:f>IF(OR('Detalle'!$J284="",'Detalle'!$K284="",'Detalle'!$L284=""),"",IF(AND(P$8&lt;='Detalle'!$K284,P$9&gt;='Detalle'!$J284),1,""))</x:f>
      </x:c>
      <x:c r="Q580" s="68"/>
      <x:c r="R580" s="67" t="str"/>
      <x:c r="S580" s="67" t="str"/>
    </x:row>
    <x:row r="581" ht="16" customHeight="1">
      <x:c r="A581" s="56" t="str">
        <x:v>ACC03.017</x:v>
      </x:c>
      <x:c r="B581" s="57" t="str">
        <x:v>Corregir disposición al cerrar sesión</x:v>
      </x:c>
      <x:c r="C581" s="62" t="str">
        <x:v>E</x:v>
      </x:c>
      <x:c r="D581" s="64" t="n">
        <x:f>'Detalle'!I285</x:f>
        <x:v>1</x:v>
      </x:c>
      <x:c r="E581" s="60" t="str">
        <x:f>'Detalle'!F285</x:f>
        <x:v>Completado</x:v>
      </x:c>
      <x:c r="F581" s="32" t="str">
        <x:f>IF(AND(F$8&lt;='Detalle'!$H285,F$9&gt;='Detalle'!$G285),1,"")</x:f>
      </x:c>
      <x:c r="G581" s="32" t="str">
        <x:f>IF(AND(G$8&lt;='Detalle'!$H285,G$9&gt;='Detalle'!$G285),1,"")</x:f>
      </x:c>
      <x:c r="H581" s="32" t="str">
        <x:f>IF(AND(H$8&lt;='Detalle'!$H285,H$9&gt;='Detalle'!$G285),1,"")</x:f>
      </x:c>
      <x:c r="I581" s="32" t="n">
        <x:f>IF(AND(I$8&lt;='Detalle'!$H285,I$9&gt;='Detalle'!$G285),1,"")</x:f>
        <x:v>1</x:v>
      </x:c>
      <x:c r="J581" s="32" t="str">
        <x:f>IF(AND(J$8&lt;='Detalle'!$H285,J$9&gt;='Detalle'!$G285),1,"")</x:f>
      </x:c>
      <x:c r="K581" s="32" t="str">
        <x:f>IF(AND(K$8&lt;='Detalle'!$H285,K$9&gt;='Detalle'!$G285),1,"")</x:f>
      </x:c>
      <x:c r="L581" s="32" t="str">
        <x:f>IF(AND(L$8&lt;='Detalle'!$H285,L$9&gt;='Detalle'!$G285),1,"")</x:f>
      </x:c>
      <x:c r="M581" s="32" t="str">
        <x:f>IF(AND(M$8&lt;='Detalle'!$H285,M$9&gt;='Detalle'!$G285),1,"")</x:f>
      </x:c>
      <x:c r="N581" s="32" t="str">
        <x:f>IF(AND(N$8&lt;='Detalle'!$H285,N$9&gt;='Detalle'!$G285),1,"")</x:f>
      </x:c>
      <x:c r="O581" s="32" t="str">
        <x:f>IF(AND(O$8&lt;='Detalle'!$H285,O$9&gt;='Detalle'!$G285),1,"")</x:f>
      </x:c>
      <x:c r="P581" s="32" t="str">
        <x:f>IF(AND(P$8&lt;='Detalle'!$H285,P$9&gt;='Detalle'!$G285),1,"")</x:f>
      </x:c>
      <x:c r="Q581" s="68"/>
      <x:c r="R581" s="67" t="str">
        <x:f>IF('Detalle'!M285="","",'Detalle'!M285)</x:f>
      </x:c>
      <x:c r="S581" s="67" t="str">
        <x:f>IF('Detalle'!N285="","",'Detalle'!N285)</x:f>
      </x:c>
    </x:row>
    <x:row r="582" ht="16" customHeight="1">
      <x:c r="A582" s="56" t="str">
        <x:v>ACC03.017</x:v>
      </x:c>
      <x:c r="B582" s="57" t="str">
        <x:v>Corregir disposición al cerrar sesión</x:v>
      </x:c>
      <x:c r="C582" s="63" t="str">
        <x:v>R</x:v>
      </x:c>
      <x:c r="D582" s="65" t="str">
        <x:f>IF('Detalle'!L285="","",'Detalle'!L285)</x:f>
      </x:c>
      <x:c r="E582" s="60" t="str"/>
      <x:c r="F582" s="32" t="str">
        <x:f>IF(OR('Detalle'!$J285="",'Detalle'!$K285="",'Detalle'!$L285=""),"",IF(AND(F$8&lt;='Detalle'!$K285,F$9&gt;='Detalle'!$J285),1,""))</x:f>
      </x:c>
      <x:c r="G582" s="32" t="str">
        <x:f>IF(OR('Detalle'!$J285="",'Detalle'!$K285="",'Detalle'!$L285=""),"",IF(AND(G$8&lt;='Detalle'!$K285,G$9&gt;='Detalle'!$J285),1,""))</x:f>
      </x:c>
      <x:c r="H582" s="32" t="str">
        <x:f>IF(OR('Detalle'!$J285="",'Detalle'!$K285="",'Detalle'!$L285=""),"",IF(AND(H$8&lt;='Detalle'!$K285,H$9&gt;='Detalle'!$J285),1,""))</x:f>
      </x:c>
      <x:c r="I582" s="32" t="str">
        <x:f>IF(OR('Detalle'!$J285="",'Detalle'!$K285="",'Detalle'!$L285=""),"",IF(AND(I$8&lt;='Detalle'!$K285,I$9&gt;='Detalle'!$J285),1,""))</x:f>
      </x:c>
      <x:c r="J582" s="32" t="str">
        <x:f>IF(OR('Detalle'!$J285="",'Detalle'!$K285="",'Detalle'!$L285=""),"",IF(AND(J$8&lt;='Detalle'!$K285,J$9&gt;='Detalle'!$J285),1,""))</x:f>
      </x:c>
      <x:c r="K582" s="32" t="str">
        <x:f>IF(OR('Detalle'!$J285="",'Detalle'!$K285="",'Detalle'!$L285=""),"",IF(AND(K$8&lt;='Detalle'!$K285,K$9&gt;='Detalle'!$J285),1,""))</x:f>
      </x:c>
      <x:c r="L582" s="32" t="str">
        <x:f>IF(OR('Detalle'!$J285="",'Detalle'!$K285="",'Detalle'!$L285=""),"",IF(AND(L$8&lt;='Detalle'!$K285,L$9&gt;='Detalle'!$J285),1,""))</x:f>
      </x:c>
      <x:c r="M582" s="32" t="str">
        <x:f>IF(OR('Detalle'!$J285="",'Detalle'!$K285="",'Detalle'!$L285=""),"",IF(AND(M$8&lt;='Detalle'!$K285,M$9&gt;='Detalle'!$J285),1,""))</x:f>
      </x:c>
      <x:c r="N582" s="32" t="str">
        <x:f>IF(OR('Detalle'!$J285="",'Detalle'!$K285="",'Detalle'!$L285=""),"",IF(AND(N$8&lt;='Detalle'!$K285,N$9&gt;='Detalle'!$J285),1,""))</x:f>
      </x:c>
      <x:c r="O582" s="32" t="str">
        <x:f>IF(OR('Detalle'!$J285="",'Detalle'!$K285="",'Detalle'!$L285=""),"",IF(AND(O$8&lt;='Detalle'!$K285,O$9&gt;='Detalle'!$J285),1,""))</x:f>
      </x:c>
      <x:c r="P582" s="32" t="str">
        <x:f>IF(OR('Detalle'!$J285="",'Detalle'!$K285="",'Detalle'!$L285=""),"",IF(AND(P$8&lt;='Detalle'!$K285,P$9&gt;='Detalle'!$J285),1,""))</x:f>
      </x:c>
      <x:c r="Q582" s="68"/>
      <x:c r="R582" s="67" t="str"/>
      <x:c r="S582" s="67" t="str"/>
    </x:row>
    <x:row r="583" ht="16" customHeight="1">
      <x:c r="A583" s="56" t="str">
        <x:v>ACC03.018</x:v>
      </x:c>
      <x:c r="B583" s="57" t="str">
        <x:v>Validar registro a 320 px y texto 200%</x:v>
      </x:c>
      <x:c r="C583" s="62" t="str">
        <x:v>E</x:v>
      </x:c>
      <x:c r="D583" s="64" t="n">
        <x:f>'Detalle'!I286</x:f>
        <x:v>1</x:v>
      </x:c>
      <x:c r="E583" s="60" t="str">
        <x:f>'Detalle'!F286</x:f>
        <x:v>Completado</x:v>
      </x:c>
      <x:c r="F583" s="32" t="str">
        <x:f>IF(AND(F$8&lt;='Detalle'!$H286,F$9&gt;='Detalle'!$G286),1,"")</x:f>
      </x:c>
      <x:c r="G583" s="32" t="str">
        <x:f>IF(AND(G$8&lt;='Detalle'!$H286,G$9&gt;='Detalle'!$G286),1,"")</x:f>
      </x:c>
      <x:c r="H583" s="32" t="str">
        <x:f>IF(AND(H$8&lt;='Detalle'!$H286,H$9&gt;='Detalle'!$G286),1,"")</x:f>
      </x:c>
      <x:c r="I583" s="32" t="n">
        <x:f>IF(AND(I$8&lt;='Detalle'!$H286,I$9&gt;='Detalle'!$G286),1,"")</x:f>
        <x:v>1</x:v>
      </x:c>
      <x:c r="J583" s="32" t="str">
        <x:f>IF(AND(J$8&lt;='Detalle'!$H286,J$9&gt;='Detalle'!$G286),1,"")</x:f>
      </x:c>
      <x:c r="K583" s="32" t="str">
        <x:f>IF(AND(K$8&lt;='Detalle'!$H286,K$9&gt;='Detalle'!$G286),1,"")</x:f>
      </x:c>
      <x:c r="L583" s="32" t="str">
        <x:f>IF(AND(L$8&lt;='Detalle'!$H286,L$9&gt;='Detalle'!$G286),1,"")</x:f>
      </x:c>
      <x:c r="M583" s="32" t="str">
        <x:f>IF(AND(M$8&lt;='Detalle'!$H286,M$9&gt;='Detalle'!$G286),1,"")</x:f>
      </x:c>
      <x:c r="N583" s="32" t="str">
        <x:f>IF(AND(N$8&lt;='Detalle'!$H286,N$9&gt;='Detalle'!$G286),1,"")</x:f>
      </x:c>
      <x:c r="O583" s="32" t="str">
        <x:f>IF(AND(O$8&lt;='Detalle'!$H286,O$9&gt;='Detalle'!$G286),1,"")</x:f>
      </x:c>
      <x:c r="P583" s="32" t="str">
        <x:f>IF(AND(P$8&lt;='Detalle'!$H286,P$9&gt;='Detalle'!$G286),1,"")</x:f>
      </x:c>
      <x:c r="Q583" s="68"/>
      <x:c r="R583" s="67" t="str">
        <x:f>IF('Detalle'!M286="","",'Detalle'!M286)</x:f>
      </x:c>
      <x:c r="S583" s="67" t="str">
        <x:f>IF('Detalle'!N286="","",'Detalle'!N286)</x:f>
      </x:c>
    </x:row>
    <x:row r="584" ht="16" customHeight="1">
      <x:c r="A584" s="56" t="str">
        <x:v>ACC03.018</x:v>
      </x:c>
      <x:c r="B584" s="57" t="str">
        <x:v>Validar registro a 320 px y texto 200%</x:v>
      </x:c>
      <x:c r="C584" s="63" t="str">
        <x:v>R</x:v>
      </x:c>
      <x:c r="D584" s="65" t="str">
        <x:f>IF('Detalle'!L286="","",'Detalle'!L286)</x:f>
      </x:c>
      <x:c r="E584" s="60" t="str"/>
      <x:c r="F584" s="32" t="str">
        <x:f>IF(OR('Detalle'!$J286="",'Detalle'!$K286="",'Detalle'!$L286=""),"",IF(AND(F$8&lt;='Detalle'!$K286,F$9&gt;='Detalle'!$J286),1,""))</x:f>
      </x:c>
      <x:c r="G584" s="32" t="str">
        <x:f>IF(OR('Detalle'!$J286="",'Detalle'!$K286="",'Detalle'!$L286=""),"",IF(AND(G$8&lt;='Detalle'!$K286,G$9&gt;='Detalle'!$J286),1,""))</x:f>
      </x:c>
      <x:c r="H584" s="32" t="str">
        <x:f>IF(OR('Detalle'!$J286="",'Detalle'!$K286="",'Detalle'!$L286=""),"",IF(AND(H$8&lt;='Detalle'!$K286,H$9&gt;='Detalle'!$J286),1,""))</x:f>
      </x:c>
      <x:c r="I584" s="32" t="str">
        <x:f>IF(OR('Detalle'!$J286="",'Detalle'!$K286="",'Detalle'!$L286=""),"",IF(AND(I$8&lt;='Detalle'!$K286,I$9&gt;='Detalle'!$J286),1,""))</x:f>
      </x:c>
      <x:c r="J584" s="32" t="str">
        <x:f>IF(OR('Detalle'!$J286="",'Detalle'!$K286="",'Detalle'!$L286=""),"",IF(AND(J$8&lt;='Detalle'!$K286,J$9&gt;='Detalle'!$J286),1,""))</x:f>
      </x:c>
      <x:c r="K584" s="32" t="str">
        <x:f>IF(OR('Detalle'!$J286="",'Detalle'!$K286="",'Detalle'!$L286=""),"",IF(AND(K$8&lt;='Detalle'!$K286,K$9&gt;='Detalle'!$J286),1,""))</x:f>
      </x:c>
      <x:c r="L584" s="32" t="str">
        <x:f>IF(OR('Detalle'!$J286="",'Detalle'!$K286="",'Detalle'!$L286=""),"",IF(AND(L$8&lt;='Detalle'!$K286,L$9&gt;='Detalle'!$J286),1,""))</x:f>
      </x:c>
      <x:c r="M584" s="32" t="str">
        <x:f>IF(OR('Detalle'!$J286="",'Detalle'!$K286="",'Detalle'!$L286=""),"",IF(AND(M$8&lt;='Detalle'!$K286,M$9&gt;='Detalle'!$J286),1,""))</x:f>
      </x:c>
      <x:c r="N584" s="32" t="str">
        <x:f>IF(OR('Detalle'!$J286="",'Detalle'!$K286="",'Detalle'!$L286=""),"",IF(AND(N$8&lt;='Detalle'!$K286,N$9&gt;='Detalle'!$J286),1,""))</x:f>
      </x:c>
      <x:c r="O584" s="32" t="str">
        <x:f>IF(OR('Detalle'!$J286="",'Detalle'!$K286="",'Detalle'!$L286=""),"",IF(AND(O$8&lt;='Detalle'!$K286,O$9&gt;='Detalle'!$J286),1,""))</x:f>
      </x:c>
      <x:c r="P584" s="32" t="str">
        <x:f>IF(OR('Detalle'!$J286="",'Detalle'!$K286="",'Detalle'!$L286=""),"",IF(AND(P$8&lt;='Detalle'!$K286,P$9&gt;='Detalle'!$J286),1,""))</x:f>
      </x:c>
      <x:c r="Q584" s="68"/>
      <x:c r="R584" s="67" t="str"/>
      <x:c r="S584" s="67" t="str"/>
    </x:row>
    <x:row r="585" ht="16" customHeight="1">
      <x:c r="A585" s="56" t="str">
        <x:v>ACC03.019</x:v>
      </x:c>
      <x:c r="B585" s="57" t="str">
        <x:v>Verificar acceso rediseñado</x:v>
      </x:c>
      <x:c r="C585" s="62" t="str">
        <x:v>E</x:v>
      </x:c>
      <x:c r="D585" s="64" t="n">
        <x:f>'Detalle'!I287</x:f>
        <x:v>1</x:v>
      </x:c>
      <x:c r="E585" s="60" t="str">
        <x:f>'Detalle'!F287</x:f>
        <x:v>Completado</x:v>
      </x:c>
      <x:c r="F585" s="32" t="str">
        <x:f>IF(AND(F$8&lt;='Detalle'!$H287,F$9&gt;='Detalle'!$G287),1,"")</x:f>
      </x:c>
      <x:c r="G585" s="32" t="str">
        <x:f>IF(AND(G$8&lt;='Detalle'!$H287,G$9&gt;='Detalle'!$G287),1,"")</x:f>
      </x:c>
      <x:c r="H585" s="32" t="str">
        <x:f>IF(AND(H$8&lt;='Detalle'!$H287,H$9&gt;='Detalle'!$G287),1,"")</x:f>
      </x:c>
      <x:c r="I585" s="32" t="n">
        <x:f>IF(AND(I$8&lt;='Detalle'!$H287,I$9&gt;='Detalle'!$G287),1,"")</x:f>
        <x:v>1</x:v>
      </x:c>
      <x:c r="J585" s="32" t="str">
        <x:f>IF(AND(J$8&lt;='Detalle'!$H287,J$9&gt;='Detalle'!$G287),1,"")</x:f>
      </x:c>
      <x:c r="K585" s="32" t="str">
        <x:f>IF(AND(K$8&lt;='Detalle'!$H287,K$9&gt;='Detalle'!$G287),1,"")</x:f>
      </x:c>
      <x:c r="L585" s="32" t="str">
        <x:f>IF(AND(L$8&lt;='Detalle'!$H287,L$9&gt;='Detalle'!$G287),1,"")</x:f>
      </x:c>
      <x:c r="M585" s="32" t="str">
        <x:f>IF(AND(M$8&lt;='Detalle'!$H287,M$9&gt;='Detalle'!$G287),1,"")</x:f>
      </x:c>
      <x:c r="N585" s="32" t="str">
        <x:f>IF(AND(N$8&lt;='Detalle'!$H287,N$9&gt;='Detalle'!$G287),1,"")</x:f>
      </x:c>
      <x:c r="O585" s="32" t="str">
        <x:f>IF(AND(O$8&lt;='Detalle'!$H287,O$9&gt;='Detalle'!$G287),1,"")</x:f>
      </x:c>
      <x:c r="P585" s="32" t="str">
        <x:f>IF(AND(P$8&lt;='Detalle'!$H287,P$9&gt;='Detalle'!$G287),1,"")</x:f>
      </x:c>
      <x:c r="Q585" s="68"/>
      <x:c r="R585" s="67" t="str">
        <x:f>IF('Detalle'!M287="","",'Detalle'!M287)</x:f>
      </x:c>
      <x:c r="S585" s="67" t="str">
        <x:f>IF('Detalle'!N287="","",'Detalle'!N287)</x:f>
      </x:c>
    </x:row>
    <x:row r="586" ht="16" customHeight="1">
      <x:c r="A586" s="56" t="str">
        <x:v>ACC03.019</x:v>
      </x:c>
      <x:c r="B586" s="57" t="str">
        <x:v>Verificar acceso rediseñado</x:v>
      </x:c>
      <x:c r="C586" s="63" t="str">
        <x:v>R</x:v>
      </x:c>
      <x:c r="D586" s="65" t="str">
        <x:f>IF('Detalle'!L287="","",'Detalle'!L287)</x:f>
      </x:c>
      <x:c r="E586" s="60" t="str"/>
      <x:c r="F586" s="32" t="str">
        <x:f>IF(OR('Detalle'!$J287="",'Detalle'!$K287="",'Detalle'!$L287=""),"",IF(AND(F$8&lt;='Detalle'!$K287,F$9&gt;='Detalle'!$J287),1,""))</x:f>
      </x:c>
      <x:c r="G586" s="32" t="str">
        <x:f>IF(OR('Detalle'!$J287="",'Detalle'!$K287="",'Detalle'!$L287=""),"",IF(AND(G$8&lt;='Detalle'!$K287,G$9&gt;='Detalle'!$J287),1,""))</x:f>
      </x:c>
      <x:c r="H586" s="32" t="str">
        <x:f>IF(OR('Detalle'!$J287="",'Detalle'!$K287="",'Detalle'!$L287=""),"",IF(AND(H$8&lt;='Detalle'!$K287,H$9&gt;='Detalle'!$J287),1,""))</x:f>
      </x:c>
      <x:c r="I586" s="32" t="str">
        <x:f>IF(OR('Detalle'!$J287="",'Detalle'!$K287="",'Detalle'!$L287=""),"",IF(AND(I$8&lt;='Detalle'!$K287,I$9&gt;='Detalle'!$J287),1,""))</x:f>
      </x:c>
      <x:c r="J586" s="32" t="str">
        <x:f>IF(OR('Detalle'!$J287="",'Detalle'!$K287="",'Detalle'!$L287=""),"",IF(AND(J$8&lt;='Detalle'!$K287,J$9&gt;='Detalle'!$J287),1,""))</x:f>
      </x:c>
      <x:c r="K586" s="32" t="str">
        <x:f>IF(OR('Detalle'!$J287="",'Detalle'!$K287="",'Detalle'!$L287=""),"",IF(AND(K$8&lt;='Detalle'!$K287,K$9&gt;='Detalle'!$J287),1,""))</x:f>
      </x:c>
      <x:c r="L586" s="32" t="str">
        <x:f>IF(OR('Detalle'!$J287="",'Detalle'!$K287="",'Detalle'!$L287=""),"",IF(AND(L$8&lt;='Detalle'!$K287,L$9&gt;='Detalle'!$J287),1,""))</x:f>
      </x:c>
      <x:c r="M586" s="32" t="str">
        <x:f>IF(OR('Detalle'!$J287="",'Detalle'!$K287="",'Detalle'!$L287=""),"",IF(AND(M$8&lt;='Detalle'!$K287,M$9&gt;='Detalle'!$J287),1,""))</x:f>
      </x:c>
      <x:c r="N586" s="32" t="str">
        <x:f>IF(OR('Detalle'!$J287="",'Detalle'!$K287="",'Detalle'!$L287=""),"",IF(AND(N$8&lt;='Detalle'!$K287,N$9&gt;='Detalle'!$J287),1,""))</x:f>
      </x:c>
      <x:c r="O586" s="32" t="str">
        <x:f>IF(OR('Detalle'!$J287="",'Detalle'!$K287="",'Detalle'!$L287=""),"",IF(AND(O$8&lt;='Detalle'!$K287,O$9&gt;='Detalle'!$J287),1,""))</x:f>
      </x:c>
      <x:c r="P586" s="32" t="str">
        <x:f>IF(OR('Detalle'!$J287="",'Detalle'!$K287="",'Detalle'!$L287=""),"",IF(AND(P$8&lt;='Detalle'!$K287,P$9&gt;='Detalle'!$J287),1,""))</x:f>
      </x:c>
      <x:c r="Q586" s="68"/>
      <x:c r="R586" s="67" t="str"/>
      <x:c r="S586" s="67" t="str"/>
    </x:row>
    <x:row r="587" ht="20" customHeight="1">
      <x:c r="A587" s="52" t="str">
        <x:v>ACC04 · Reparación de registro, cámara y contrato remoto</x:v>
      </x:c>
      <x:c r="B587" s="52" t="str">
        <x:v>ACC04 · Reparación de registro, cámara y contrato remoto</x:v>
      </x:c>
      <x:c r="C587" s="52" t="str">
        <x:v>ACC04 · Reparación de registro, cámara y contrato remoto</x:v>
      </x:c>
      <x:c r="D587" s="52" t="str">
        <x:v>ACC04 · Reparación de registro, cámara y contrato remoto</x:v>
      </x:c>
      <x:c r="E587" s="52" t="str">
        <x:v>ACC04 · Reparación de registro, cámara y contrato remoto</x:v>
      </x:c>
      <x:c r="F587" s="53" t="str">
        <x:v>ACC04 · Reparación de registro, cámara y contrato remoto</x:v>
      </x:c>
      <x:c r="G587" s="53" t="str">
        <x:v>ACC04 · Reparación de registro, cámara y contrato remoto</x:v>
      </x:c>
      <x:c r="H587" s="53" t="str">
        <x:v>ACC04 · Reparación de registro, cámara y contrato remoto</x:v>
      </x:c>
      <x:c r="I587" s="53" t="str">
        <x:v>ACC04 · Reparación de registro, cámara y contrato remoto</x:v>
      </x:c>
      <x:c r="J587" s="53" t="str">
        <x:v>ACC04 · Reparación de registro, cámara y contrato remoto</x:v>
      </x:c>
      <x:c r="K587" s="53" t="str">
        <x:v>ACC04 · Reparación de registro, cámara y contrato remoto</x:v>
      </x:c>
      <x:c r="L587" s="53" t="str">
        <x:v>ACC04 · Reparación de registro, cámara y contrato remoto</x:v>
      </x:c>
      <x:c r="M587" s="53" t="str">
        <x:v>ACC04 · Reparación de registro, cámara y contrato remoto</x:v>
      </x:c>
      <x:c r="N587" s="53" t="str">
        <x:v>ACC04 · Reparación de registro, cámara y contrato remoto</x:v>
      </x:c>
      <x:c r="O587" s="53" t="str">
        <x:v>ACC04 · Reparación de registro, cámara y contrato remoto</x:v>
      </x:c>
      <x:c r="P587" s="53" t="str">
        <x:v>ACC04 · Reparación de registro, cámara y contrato remoto</x:v>
      </x:c>
      <x:c r="Q587" s="52" t="str">
        <x:v>ACC04 · Reparación de registro, cámara y contrato remoto</x:v>
      </x:c>
      <x:c r="R587" s="52" t="str">
        <x:v>ACC04 · Reparación de registro, cámara y contrato remoto</x:v>
      </x:c>
      <x:c r="S587" s="52" t="str">
        <x:v>ACC04 · Reparación de registro, cámara y contrato remoto</x:v>
      </x:c>
    </x:row>
    <x:row r="588" ht="16" customHeight="1">
      <x:c r="A588" s="56" t="str">
        <x:v>ACC04.001</x:v>
      </x:c>
      <x:c r="B588" s="57" t="str">
        <x:v>Detectar desfase cliente-servidor de registro</x:v>
      </x:c>
      <x:c r="C588" s="62" t="str">
        <x:v>E</x:v>
      </x:c>
      <x:c r="D588" s="64" t="n">
        <x:f>'Detalle'!I288</x:f>
        <x:v>1</x:v>
      </x:c>
      <x:c r="E588" s="60" t="str">
        <x:f>'Detalle'!F288</x:f>
        <x:v>Completado</x:v>
      </x:c>
      <x:c r="F588" s="32" t="str">
        <x:f>IF(AND(F$8&lt;='Detalle'!$H288,F$9&gt;='Detalle'!$G288),1,"")</x:f>
      </x:c>
      <x:c r="G588" s="32" t="str">
        <x:f>IF(AND(G$8&lt;='Detalle'!$H288,G$9&gt;='Detalle'!$G288),1,"")</x:f>
      </x:c>
      <x:c r="H588" s="32" t="str">
        <x:f>IF(AND(H$8&lt;='Detalle'!$H288,H$9&gt;='Detalle'!$G288),1,"")</x:f>
      </x:c>
      <x:c r="I588" s="32" t="n">
        <x:f>IF(AND(I$8&lt;='Detalle'!$H288,I$9&gt;='Detalle'!$G288),1,"")</x:f>
        <x:v>1</x:v>
      </x:c>
      <x:c r="J588" s="32" t="str">
        <x:f>IF(AND(J$8&lt;='Detalle'!$H288,J$9&gt;='Detalle'!$G288),1,"")</x:f>
      </x:c>
      <x:c r="K588" s="32" t="str">
        <x:f>IF(AND(K$8&lt;='Detalle'!$H288,K$9&gt;='Detalle'!$G288),1,"")</x:f>
      </x:c>
      <x:c r="L588" s="32" t="str">
        <x:f>IF(AND(L$8&lt;='Detalle'!$H288,L$9&gt;='Detalle'!$G288),1,"")</x:f>
      </x:c>
      <x:c r="M588" s="32" t="str">
        <x:f>IF(AND(M$8&lt;='Detalle'!$H288,M$9&gt;='Detalle'!$G288),1,"")</x:f>
      </x:c>
      <x:c r="N588" s="32" t="str">
        <x:f>IF(AND(N$8&lt;='Detalle'!$H288,N$9&gt;='Detalle'!$G288),1,"")</x:f>
      </x:c>
      <x:c r="O588" s="32" t="str">
        <x:f>IF(AND(O$8&lt;='Detalle'!$H288,O$9&gt;='Detalle'!$G288),1,"")</x:f>
      </x:c>
      <x:c r="P588" s="32" t="str">
        <x:f>IF(AND(P$8&lt;='Detalle'!$H288,P$9&gt;='Detalle'!$G288),1,"")</x:f>
      </x:c>
      <x:c r="Q588" s="68"/>
      <x:c r="R588" s="67" t="str">
        <x:f>IF('Detalle'!M288="","",'Detalle'!M288)</x:f>
      </x:c>
      <x:c r="S588" s="67" t="str">
        <x:f>IF('Detalle'!N288="","",'Detalle'!N288)</x:f>
      </x:c>
    </x:row>
    <x:row r="589" ht="16" customHeight="1">
      <x:c r="A589" s="56" t="str">
        <x:v>ACC04.001</x:v>
      </x:c>
      <x:c r="B589" s="57" t="str">
        <x:v>Detectar desfase cliente-servidor de registro</x:v>
      </x:c>
      <x:c r="C589" s="63" t="str">
        <x:v>R</x:v>
      </x:c>
      <x:c r="D589" s="65" t="str">
        <x:f>IF('Detalle'!L288="","",'Detalle'!L288)</x:f>
      </x:c>
      <x:c r="E589" s="60" t="str"/>
      <x:c r="F589" s="32" t="str">
        <x:f>IF(OR('Detalle'!$J288="",'Detalle'!$K288="",'Detalle'!$L288=""),"",IF(AND(F$8&lt;='Detalle'!$K288,F$9&gt;='Detalle'!$J288),1,""))</x:f>
      </x:c>
      <x:c r="G589" s="32" t="str">
        <x:f>IF(OR('Detalle'!$J288="",'Detalle'!$K288="",'Detalle'!$L288=""),"",IF(AND(G$8&lt;='Detalle'!$K288,G$9&gt;='Detalle'!$J288),1,""))</x:f>
      </x:c>
      <x:c r="H589" s="32" t="str">
        <x:f>IF(OR('Detalle'!$J288="",'Detalle'!$K288="",'Detalle'!$L288=""),"",IF(AND(H$8&lt;='Detalle'!$K288,H$9&gt;='Detalle'!$J288),1,""))</x:f>
      </x:c>
      <x:c r="I589" s="32" t="str">
        <x:f>IF(OR('Detalle'!$J288="",'Detalle'!$K288="",'Detalle'!$L288=""),"",IF(AND(I$8&lt;='Detalle'!$K288,I$9&gt;='Detalle'!$J288),1,""))</x:f>
      </x:c>
      <x:c r="J589" s="32" t="str">
        <x:f>IF(OR('Detalle'!$J288="",'Detalle'!$K288="",'Detalle'!$L288=""),"",IF(AND(J$8&lt;='Detalle'!$K288,J$9&gt;='Detalle'!$J288),1,""))</x:f>
      </x:c>
      <x:c r="K589" s="32" t="str">
        <x:f>IF(OR('Detalle'!$J288="",'Detalle'!$K288="",'Detalle'!$L288=""),"",IF(AND(K$8&lt;='Detalle'!$K288,K$9&gt;='Detalle'!$J288),1,""))</x:f>
      </x:c>
      <x:c r="L589" s="32" t="str">
        <x:f>IF(OR('Detalle'!$J288="",'Detalle'!$K288="",'Detalle'!$L288=""),"",IF(AND(L$8&lt;='Detalle'!$K288,L$9&gt;='Detalle'!$J288),1,""))</x:f>
      </x:c>
      <x:c r="M589" s="32" t="str">
        <x:f>IF(OR('Detalle'!$J288="",'Detalle'!$K288="",'Detalle'!$L288=""),"",IF(AND(M$8&lt;='Detalle'!$K288,M$9&gt;='Detalle'!$J288),1,""))</x:f>
      </x:c>
      <x:c r="N589" s="32" t="str">
        <x:f>IF(OR('Detalle'!$J288="",'Detalle'!$K288="",'Detalle'!$L288=""),"",IF(AND(N$8&lt;='Detalle'!$K288,N$9&gt;='Detalle'!$J288),1,""))</x:f>
      </x:c>
      <x:c r="O589" s="32" t="str">
        <x:f>IF(OR('Detalle'!$J288="",'Detalle'!$K288="",'Detalle'!$L288=""),"",IF(AND(O$8&lt;='Detalle'!$K288,O$9&gt;='Detalle'!$J288),1,""))</x:f>
      </x:c>
      <x:c r="P589" s="32" t="str">
        <x:f>IF(OR('Detalle'!$J288="",'Detalle'!$K288="",'Detalle'!$L288=""),"",IF(AND(P$8&lt;='Detalle'!$K288,P$9&gt;='Detalle'!$J288),1,""))</x:f>
      </x:c>
      <x:c r="Q589" s="68"/>
      <x:c r="R589" s="67" t="str"/>
      <x:c r="S589" s="67" t="str"/>
    </x:row>
    <x:row r="590" ht="16" customHeight="1">
      <x:c r="A590" s="56" t="str">
        <x:v>ACC04.002</x:v>
      </x:c>
      <x:c r="B590" s="57" t="str">
        <x:v>Crear migración 008 de recuperación</x:v>
      </x:c>
      <x:c r="C590" s="62" t="str">
        <x:v>E</x:v>
      </x:c>
      <x:c r="D590" s="64" t="n">
        <x:f>'Detalle'!I289</x:f>
        <x:v>1</x:v>
      </x:c>
      <x:c r="E590" s="60" t="str">
        <x:f>'Detalle'!F289</x:f>
        <x:v>Completado</x:v>
      </x:c>
      <x:c r="F590" s="32" t="str">
        <x:f>IF(AND(F$8&lt;='Detalle'!$H289,F$9&gt;='Detalle'!$G289),1,"")</x:f>
      </x:c>
      <x:c r="G590" s="32" t="str">
        <x:f>IF(AND(G$8&lt;='Detalle'!$H289,G$9&gt;='Detalle'!$G289),1,"")</x:f>
      </x:c>
      <x:c r="H590" s="32" t="str">
        <x:f>IF(AND(H$8&lt;='Detalle'!$H289,H$9&gt;='Detalle'!$G289),1,"")</x:f>
      </x:c>
      <x:c r="I590" s="32" t="n">
        <x:f>IF(AND(I$8&lt;='Detalle'!$H289,I$9&gt;='Detalle'!$G289),1,"")</x:f>
        <x:v>1</x:v>
      </x:c>
      <x:c r="J590" s="32" t="str">
        <x:f>IF(AND(J$8&lt;='Detalle'!$H289,J$9&gt;='Detalle'!$G289),1,"")</x:f>
      </x:c>
      <x:c r="K590" s="32" t="str">
        <x:f>IF(AND(K$8&lt;='Detalle'!$H289,K$9&gt;='Detalle'!$G289),1,"")</x:f>
      </x:c>
      <x:c r="L590" s="32" t="str">
        <x:f>IF(AND(L$8&lt;='Detalle'!$H289,L$9&gt;='Detalle'!$G289),1,"")</x:f>
      </x:c>
      <x:c r="M590" s="32" t="str">
        <x:f>IF(AND(M$8&lt;='Detalle'!$H289,M$9&gt;='Detalle'!$G289),1,"")</x:f>
      </x:c>
      <x:c r="N590" s="32" t="str">
        <x:f>IF(AND(N$8&lt;='Detalle'!$H289,N$9&gt;='Detalle'!$G289),1,"")</x:f>
      </x:c>
      <x:c r="O590" s="32" t="str">
        <x:f>IF(AND(O$8&lt;='Detalle'!$H289,O$9&gt;='Detalle'!$G289),1,"")</x:f>
      </x:c>
      <x:c r="P590" s="32" t="str">
        <x:f>IF(AND(P$8&lt;='Detalle'!$H289,P$9&gt;='Detalle'!$G289),1,"")</x:f>
      </x:c>
      <x:c r="Q590" s="68"/>
      <x:c r="R590" s="67" t="str">
        <x:f>IF('Detalle'!M289="","",'Detalle'!M289)</x:f>
      </x:c>
      <x:c r="S590" s="67" t="str">
        <x:f>IF('Detalle'!N289="","",'Detalle'!N289)</x:f>
      </x:c>
    </x:row>
    <x:row r="591" ht="16" customHeight="1">
      <x:c r="A591" s="56" t="str">
        <x:v>ACC04.002</x:v>
      </x:c>
      <x:c r="B591" s="57" t="str">
        <x:v>Crear migración 008 de recuperación</x:v>
      </x:c>
      <x:c r="C591" s="63" t="str">
        <x:v>R</x:v>
      </x:c>
      <x:c r="D591" s="65" t="str">
        <x:f>IF('Detalle'!L289="","",'Detalle'!L289)</x:f>
      </x:c>
      <x:c r="E591" s="60" t="str"/>
      <x:c r="F591" s="32" t="str">
        <x:f>IF(OR('Detalle'!$J289="",'Detalle'!$K289="",'Detalle'!$L289=""),"",IF(AND(F$8&lt;='Detalle'!$K289,F$9&gt;='Detalle'!$J289),1,""))</x:f>
      </x:c>
      <x:c r="G591" s="32" t="str">
        <x:f>IF(OR('Detalle'!$J289="",'Detalle'!$K289="",'Detalle'!$L289=""),"",IF(AND(G$8&lt;='Detalle'!$K289,G$9&gt;='Detalle'!$J289),1,""))</x:f>
      </x:c>
      <x:c r="H591" s="32" t="str">
        <x:f>IF(OR('Detalle'!$J289="",'Detalle'!$K289="",'Detalle'!$L289=""),"",IF(AND(H$8&lt;='Detalle'!$K289,H$9&gt;='Detalle'!$J289),1,""))</x:f>
      </x:c>
      <x:c r="I591" s="32" t="str">
        <x:f>IF(OR('Detalle'!$J289="",'Detalle'!$K289="",'Detalle'!$L289=""),"",IF(AND(I$8&lt;='Detalle'!$K289,I$9&gt;='Detalle'!$J289),1,""))</x:f>
      </x:c>
      <x:c r="J591" s="32" t="str">
        <x:f>IF(OR('Detalle'!$J289="",'Detalle'!$K289="",'Detalle'!$L289=""),"",IF(AND(J$8&lt;='Detalle'!$K289,J$9&gt;='Detalle'!$J289),1,""))</x:f>
      </x:c>
      <x:c r="K591" s="32" t="str">
        <x:f>IF(OR('Detalle'!$J289="",'Detalle'!$K289="",'Detalle'!$L289=""),"",IF(AND(K$8&lt;='Detalle'!$K289,K$9&gt;='Detalle'!$J289),1,""))</x:f>
      </x:c>
      <x:c r="L591" s="32" t="str">
        <x:f>IF(OR('Detalle'!$J289="",'Detalle'!$K289="",'Detalle'!$L289=""),"",IF(AND(L$8&lt;='Detalle'!$K289,L$9&gt;='Detalle'!$J289),1,""))</x:f>
      </x:c>
      <x:c r="M591" s="32" t="str">
        <x:f>IF(OR('Detalle'!$J289="",'Detalle'!$K289="",'Detalle'!$L289=""),"",IF(AND(M$8&lt;='Detalle'!$K289,M$9&gt;='Detalle'!$J289),1,""))</x:f>
      </x:c>
      <x:c r="N591" s="32" t="str">
        <x:f>IF(OR('Detalle'!$J289="",'Detalle'!$K289="",'Detalle'!$L289=""),"",IF(AND(N$8&lt;='Detalle'!$K289,N$9&gt;='Detalle'!$J289),1,""))</x:f>
      </x:c>
      <x:c r="O591" s="32" t="str">
        <x:f>IF(OR('Detalle'!$J289="",'Detalle'!$K289="",'Detalle'!$L289=""),"",IF(AND(O$8&lt;='Detalle'!$K289,O$9&gt;='Detalle'!$J289),1,""))</x:f>
      </x:c>
      <x:c r="P591" s="32" t="str">
        <x:f>IF(OR('Detalle'!$J289="",'Detalle'!$K289="",'Detalle'!$L289=""),"",IF(AND(P$8&lt;='Detalle'!$K289,P$9&gt;='Detalle'!$J289),1,""))</x:f>
      </x:c>
      <x:c r="Q591" s="68"/>
      <x:c r="R591" s="67" t="str"/>
      <x:c r="S591" s="67" t="str"/>
    </x:row>
    <x:row r="592" ht="16" customHeight="1">
      <x:c r="A592" s="56" t="str">
        <x:v>ACC04.003</x:v>
      </x:c>
      <x:c r="B592" s="57" t="str">
        <x:v>Conservar cuentas con datos incompatibles</x:v>
      </x:c>
      <x:c r="C592" s="62" t="str">
        <x:v>E</x:v>
      </x:c>
      <x:c r="D592" s="64" t="n">
        <x:f>'Detalle'!I290</x:f>
        <x:v>1</x:v>
      </x:c>
      <x:c r="E592" s="60" t="str">
        <x:f>'Detalle'!F290</x:f>
        <x:v>Completado</x:v>
      </x:c>
      <x:c r="F592" s="32" t="str">
        <x:f>IF(AND(F$8&lt;='Detalle'!$H290,F$9&gt;='Detalle'!$G290),1,"")</x:f>
      </x:c>
      <x:c r="G592" s="32" t="str">
        <x:f>IF(AND(G$8&lt;='Detalle'!$H290,G$9&gt;='Detalle'!$G290),1,"")</x:f>
      </x:c>
      <x:c r="H592" s="32" t="str">
        <x:f>IF(AND(H$8&lt;='Detalle'!$H290,H$9&gt;='Detalle'!$G290),1,"")</x:f>
      </x:c>
      <x:c r="I592" s="32" t="n">
        <x:f>IF(AND(I$8&lt;='Detalle'!$H290,I$9&gt;='Detalle'!$G290),1,"")</x:f>
        <x:v>1</x:v>
      </x:c>
      <x:c r="J592" s="32" t="str">
        <x:f>IF(AND(J$8&lt;='Detalle'!$H290,J$9&gt;='Detalle'!$G290),1,"")</x:f>
      </x:c>
      <x:c r="K592" s="32" t="str">
        <x:f>IF(AND(K$8&lt;='Detalle'!$H290,K$9&gt;='Detalle'!$G290),1,"")</x:f>
      </x:c>
      <x:c r="L592" s="32" t="str">
        <x:f>IF(AND(L$8&lt;='Detalle'!$H290,L$9&gt;='Detalle'!$G290),1,"")</x:f>
      </x:c>
      <x:c r="M592" s="32" t="str">
        <x:f>IF(AND(M$8&lt;='Detalle'!$H290,M$9&gt;='Detalle'!$G290),1,"")</x:f>
      </x:c>
      <x:c r="N592" s="32" t="str">
        <x:f>IF(AND(N$8&lt;='Detalle'!$H290,N$9&gt;='Detalle'!$G290),1,"")</x:f>
      </x:c>
      <x:c r="O592" s="32" t="str">
        <x:f>IF(AND(O$8&lt;='Detalle'!$H290,O$9&gt;='Detalle'!$G290),1,"")</x:f>
      </x:c>
      <x:c r="P592" s="32" t="str">
        <x:f>IF(AND(P$8&lt;='Detalle'!$H290,P$9&gt;='Detalle'!$G290),1,"")</x:f>
      </x:c>
      <x:c r="Q592" s="68"/>
      <x:c r="R592" s="67" t="str">
        <x:f>IF('Detalle'!M290="","",'Detalle'!M290)</x:f>
      </x:c>
      <x:c r="S592" s="67" t="str">
        <x:f>IF('Detalle'!N290="","",'Detalle'!N290)</x:f>
      </x:c>
    </x:row>
    <x:row r="593" ht="16" customHeight="1">
      <x:c r="A593" s="56" t="str">
        <x:v>ACC04.003</x:v>
      </x:c>
      <x:c r="B593" s="57" t="str">
        <x:v>Conservar cuentas con datos incompatibles</x:v>
      </x:c>
      <x:c r="C593" s="63" t="str">
        <x:v>R</x:v>
      </x:c>
      <x:c r="D593" s="65" t="str">
        <x:f>IF('Detalle'!L290="","",'Detalle'!L290)</x:f>
      </x:c>
      <x:c r="E593" s="60" t="str"/>
      <x:c r="F593" s="32" t="str">
        <x:f>IF(OR('Detalle'!$J290="",'Detalle'!$K290="",'Detalle'!$L290=""),"",IF(AND(F$8&lt;='Detalle'!$K290,F$9&gt;='Detalle'!$J290),1,""))</x:f>
      </x:c>
      <x:c r="G593" s="32" t="str">
        <x:f>IF(OR('Detalle'!$J290="",'Detalle'!$K290="",'Detalle'!$L290=""),"",IF(AND(G$8&lt;='Detalle'!$K290,G$9&gt;='Detalle'!$J290),1,""))</x:f>
      </x:c>
      <x:c r="H593" s="32" t="str">
        <x:f>IF(OR('Detalle'!$J290="",'Detalle'!$K290="",'Detalle'!$L290=""),"",IF(AND(H$8&lt;='Detalle'!$K290,H$9&gt;='Detalle'!$J290),1,""))</x:f>
      </x:c>
      <x:c r="I593" s="32" t="str">
        <x:f>IF(OR('Detalle'!$J290="",'Detalle'!$K290="",'Detalle'!$L290=""),"",IF(AND(I$8&lt;='Detalle'!$K290,I$9&gt;='Detalle'!$J290),1,""))</x:f>
      </x:c>
      <x:c r="J593" s="32" t="str">
        <x:f>IF(OR('Detalle'!$J290="",'Detalle'!$K290="",'Detalle'!$L290=""),"",IF(AND(J$8&lt;='Detalle'!$K290,J$9&gt;='Detalle'!$J290),1,""))</x:f>
      </x:c>
      <x:c r="K593" s="32" t="str">
        <x:f>IF(OR('Detalle'!$J290="",'Detalle'!$K290="",'Detalle'!$L290=""),"",IF(AND(K$8&lt;='Detalle'!$K290,K$9&gt;='Detalle'!$J290),1,""))</x:f>
      </x:c>
      <x:c r="L593" s="32" t="str">
        <x:f>IF(OR('Detalle'!$J290="",'Detalle'!$K290="",'Detalle'!$L290=""),"",IF(AND(L$8&lt;='Detalle'!$K290,L$9&gt;='Detalle'!$J290),1,""))</x:f>
      </x:c>
      <x:c r="M593" s="32" t="str">
        <x:f>IF(OR('Detalle'!$J290="",'Detalle'!$K290="",'Detalle'!$L290=""),"",IF(AND(M$8&lt;='Detalle'!$K290,M$9&gt;='Detalle'!$J290),1,""))</x:f>
      </x:c>
      <x:c r="N593" s="32" t="str">
        <x:f>IF(OR('Detalle'!$J290="",'Detalle'!$K290="",'Detalle'!$L290=""),"",IF(AND(N$8&lt;='Detalle'!$K290,N$9&gt;='Detalle'!$J290),1,""))</x:f>
      </x:c>
      <x:c r="O593" s="32" t="str">
        <x:f>IF(OR('Detalle'!$J290="",'Detalle'!$K290="",'Detalle'!$L290=""),"",IF(AND(O$8&lt;='Detalle'!$K290,O$9&gt;='Detalle'!$J290),1,""))</x:f>
      </x:c>
      <x:c r="P593" s="32" t="str">
        <x:f>IF(OR('Detalle'!$J290="",'Detalle'!$K290="",'Detalle'!$L290=""),"",IF(AND(P$8&lt;='Detalle'!$K290,P$9&gt;='Detalle'!$J290),1,""))</x:f>
      </x:c>
      <x:c r="Q593" s="68"/>
      <x:c r="R593" s="67" t="str"/>
      <x:c r="S593" s="67" t="str"/>
    </x:row>
    <x:row r="594" ht="16" customHeight="1">
      <x:c r="A594" s="56" t="str">
        <x:v>ACC04.004</x:v>
      </x:c>
      <x:c r="B594" s="57" t="str">
        <x:v>Aplicar migraciones 007 y 008</x:v>
      </x:c>
      <x:c r="C594" s="62" t="str">
        <x:v>E</x:v>
      </x:c>
      <x:c r="D594" s="64" t="n">
        <x:f>'Detalle'!I291</x:f>
        <x:v>1</x:v>
      </x:c>
      <x:c r="E594" s="60" t="str">
        <x:f>'Detalle'!F291</x:f>
        <x:v>Completado</x:v>
      </x:c>
      <x:c r="F594" s="32" t="str">
        <x:f>IF(AND(F$8&lt;='Detalle'!$H291,F$9&gt;='Detalle'!$G291),1,"")</x:f>
      </x:c>
      <x:c r="G594" s="32" t="str">
        <x:f>IF(AND(G$8&lt;='Detalle'!$H291,G$9&gt;='Detalle'!$G291),1,"")</x:f>
      </x:c>
      <x:c r="H594" s="32" t="str">
        <x:f>IF(AND(H$8&lt;='Detalle'!$H291,H$9&gt;='Detalle'!$G291),1,"")</x:f>
      </x:c>
      <x:c r="I594" s="32" t="n">
        <x:f>IF(AND(I$8&lt;='Detalle'!$H291,I$9&gt;='Detalle'!$G291),1,"")</x:f>
        <x:v>1</x:v>
      </x:c>
      <x:c r="J594" s="32" t="str">
        <x:f>IF(AND(J$8&lt;='Detalle'!$H291,J$9&gt;='Detalle'!$G291),1,"")</x:f>
      </x:c>
      <x:c r="K594" s="32" t="str">
        <x:f>IF(AND(K$8&lt;='Detalle'!$H291,K$9&gt;='Detalle'!$G291),1,"")</x:f>
      </x:c>
      <x:c r="L594" s="32" t="str">
        <x:f>IF(AND(L$8&lt;='Detalle'!$H291,L$9&gt;='Detalle'!$G291),1,"")</x:f>
      </x:c>
      <x:c r="M594" s="32" t="str">
        <x:f>IF(AND(M$8&lt;='Detalle'!$H291,M$9&gt;='Detalle'!$G291),1,"")</x:f>
      </x:c>
      <x:c r="N594" s="32" t="str">
        <x:f>IF(AND(N$8&lt;='Detalle'!$H291,N$9&gt;='Detalle'!$G291),1,"")</x:f>
      </x:c>
      <x:c r="O594" s="32" t="str">
        <x:f>IF(AND(O$8&lt;='Detalle'!$H291,O$9&gt;='Detalle'!$G291),1,"")</x:f>
      </x:c>
      <x:c r="P594" s="32" t="str">
        <x:f>IF(AND(P$8&lt;='Detalle'!$H291,P$9&gt;='Detalle'!$G291),1,"")</x:f>
      </x:c>
      <x:c r="Q594" s="68"/>
      <x:c r="R594" s="67" t="str">
        <x:f>IF('Detalle'!M291="","",'Detalle'!M291)</x:f>
      </x:c>
      <x:c r="S594" s="67" t="str">
        <x:f>IF('Detalle'!N291="","",'Detalle'!N291)</x:f>
      </x:c>
    </x:row>
    <x:row r="595" ht="16" customHeight="1">
      <x:c r="A595" s="56" t="str">
        <x:v>ACC04.004</x:v>
      </x:c>
      <x:c r="B595" s="57" t="str">
        <x:v>Aplicar migraciones 007 y 008</x:v>
      </x:c>
      <x:c r="C595" s="63" t="str">
        <x:v>R</x:v>
      </x:c>
      <x:c r="D595" s="65" t="str">
        <x:f>IF('Detalle'!L291="","",'Detalle'!L291)</x:f>
      </x:c>
      <x:c r="E595" s="60" t="str"/>
      <x:c r="F595" s="32" t="str">
        <x:f>IF(OR('Detalle'!$J291="",'Detalle'!$K291="",'Detalle'!$L291=""),"",IF(AND(F$8&lt;='Detalle'!$K291,F$9&gt;='Detalle'!$J291),1,""))</x:f>
      </x:c>
      <x:c r="G595" s="32" t="str">
        <x:f>IF(OR('Detalle'!$J291="",'Detalle'!$K291="",'Detalle'!$L291=""),"",IF(AND(G$8&lt;='Detalle'!$K291,G$9&gt;='Detalle'!$J291),1,""))</x:f>
      </x:c>
      <x:c r="H595" s="32" t="str">
        <x:f>IF(OR('Detalle'!$J291="",'Detalle'!$K291="",'Detalle'!$L291=""),"",IF(AND(H$8&lt;='Detalle'!$K291,H$9&gt;='Detalle'!$J291),1,""))</x:f>
      </x:c>
      <x:c r="I595" s="32" t="str">
        <x:f>IF(OR('Detalle'!$J291="",'Detalle'!$K291="",'Detalle'!$L291=""),"",IF(AND(I$8&lt;='Detalle'!$K291,I$9&gt;='Detalle'!$J291),1,""))</x:f>
      </x:c>
      <x:c r="J595" s="32" t="str">
        <x:f>IF(OR('Detalle'!$J291="",'Detalle'!$K291="",'Detalle'!$L291=""),"",IF(AND(J$8&lt;='Detalle'!$K291,J$9&gt;='Detalle'!$J291),1,""))</x:f>
      </x:c>
      <x:c r="K595" s="32" t="str">
        <x:f>IF(OR('Detalle'!$J291="",'Detalle'!$K291="",'Detalle'!$L291=""),"",IF(AND(K$8&lt;='Detalle'!$K291,K$9&gt;='Detalle'!$J291),1,""))</x:f>
      </x:c>
      <x:c r="L595" s="32" t="str">
        <x:f>IF(OR('Detalle'!$J291="",'Detalle'!$K291="",'Detalle'!$L291=""),"",IF(AND(L$8&lt;='Detalle'!$K291,L$9&gt;='Detalle'!$J291),1,""))</x:f>
      </x:c>
      <x:c r="M595" s="32" t="str">
        <x:f>IF(OR('Detalle'!$J291="",'Detalle'!$K291="",'Detalle'!$L291=""),"",IF(AND(M$8&lt;='Detalle'!$K291,M$9&gt;='Detalle'!$J291),1,""))</x:f>
      </x:c>
      <x:c r="N595" s="32" t="str">
        <x:f>IF(OR('Detalle'!$J291="",'Detalle'!$K291="",'Detalle'!$L291=""),"",IF(AND(N$8&lt;='Detalle'!$K291,N$9&gt;='Detalle'!$J291),1,""))</x:f>
      </x:c>
      <x:c r="O595" s="32" t="str">
        <x:f>IF(OR('Detalle'!$J291="",'Detalle'!$K291="",'Detalle'!$L291=""),"",IF(AND(O$8&lt;='Detalle'!$K291,O$9&gt;='Detalle'!$J291),1,""))</x:f>
      </x:c>
      <x:c r="P595" s="32" t="str">
        <x:f>IF(OR('Detalle'!$J291="",'Detalle'!$K291="",'Detalle'!$L291=""),"",IF(AND(P$8&lt;='Detalle'!$K291,P$9&gt;='Detalle'!$J291),1,""))</x:f>
      </x:c>
      <x:c r="Q595" s="68"/>
      <x:c r="R595" s="67" t="str"/>
      <x:c r="S595" s="67" t="str"/>
    </x:row>
    <x:row r="596" ht="16" customHeight="1">
      <x:c r="A596" s="56" t="str">
        <x:v>ACC04.005</x:v>
      </x:c>
      <x:c r="B596" s="57" t="str">
        <x:v>Crear mensaje de esquema desactualizado</x:v>
      </x:c>
      <x:c r="C596" s="62" t="str">
        <x:v>E</x:v>
      </x:c>
      <x:c r="D596" s="64" t="n">
        <x:f>'Detalle'!I292</x:f>
        <x:v>1</x:v>
      </x:c>
      <x:c r="E596" s="60" t="str">
        <x:f>'Detalle'!F292</x:f>
        <x:v>Completado</x:v>
      </x:c>
      <x:c r="F596" s="32" t="str">
        <x:f>IF(AND(F$8&lt;='Detalle'!$H292,F$9&gt;='Detalle'!$G292),1,"")</x:f>
      </x:c>
      <x:c r="G596" s="32" t="str">
        <x:f>IF(AND(G$8&lt;='Detalle'!$H292,G$9&gt;='Detalle'!$G292),1,"")</x:f>
      </x:c>
      <x:c r="H596" s="32" t="str">
        <x:f>IF(AND(H$8&lt;='Detalle'!$H292,H$9&gt;='Detalle'!$G292),1,"")</x:f>
      </x:c>
      <x:c r="I596" s="32" t="n">
        <x:f>IF(AND(I$8&lt;='Detalle'!$H292,I$9&gt;='Detalle'!$G292),1,"")</x:f>
        <x:v>1</x:v>
      </x:c>
      <x:c r="J596" s="32" t="str">
        <x:f>IF(AND(J$8&lt;='Detalle'!$H292,J$9&gt;='Detalle'!$G292),1,"")</x:f>
      </x:c>
      <x:c r="K596" s="32" t="str">
        <x:f>IF(AND(K$8&lt;='Detalle'!$H292,K$9&gt;='Detalle'!$G292),1,"")</x:f>
      </x:c>
      <x:c r="L596" s="32" t="str">
        <x:f>IF(AND(L$8&lt;='Detalle'!$H292,L$9&gt;='Detalle'!$G292),1,"")</x:f>
      </x:c>
      <x:c r="M596" s="32" t="str">
        <x:f>IF(AND(M$8&lt;='Detalle'!$H292,M$9&gt;='Detalle'!$G292),1,"")</x:f>
      </x:c>
      <x:c r="N596" s="32" t="str">
        <x:f>IF(AND(N$8&lt;='Detalle'!$H292,N$9&gt;='Detalle'!$G292),1,"")</x:f>
      </x:c>
      <x:c r="O596" s="32" t="str">
        <x:f>IF(AND(O$8&lt;='Detalle'!$H292,O$9&gt;='Detalle'!$G292),1,"")</x:f>
      </x:c>
      <x:c r="P596" s="32" t="str">
        <x:f>IF(AND(P$8&lt;='Detalle'!$H292,P$9&gt;='Detalle'!$G292),1,"")</x:f>
      </x:c>
      <x:c r="Q596" s="68"/>
      <x:c r="R596" s="67" t="str">
        <x:f>IF('Detalle'!M292="","",'Detalle'!M292)</x:f>
      </x:c>
      <x:c r="S596" s="67" t="str">
        <x:f>IF('Detalle'!N292="","",'Detalle'!N292)</x:f>
      </x:c>
    </x:row>
    <x:row r="597" ht="16" customHeight="1">
      <x:c r="A597" s="56" t="str">
        <x:v>ACC04.005</x:v>
      </x:c>
      <x:c r="B597" s="57" t="str">
        <x:v>Crear mensaje de esquema desactualizado</x:v>
      </x:c>
      <x:c r="C597" s="63" t="str">
        <x:v>R</x:v>
      </x:c>
      <x:c r="D597" s="65" t="str">
        <x:f>IF('Detalle'!L292="","",'Detalle'!L292)</x:f>
      </x:c>
      <x:c r="E597" s="60" t="str"/>
      <x:c r="F597" s="32" t="str">
        <x:f>IF(OR('Detalle'!$J292="",'Detalle'!$K292="",'Detalle'!$L292=""),"",IF(AND(F$8&lt;='Detalle'!$K292,F$9&gt;='Detalle'!$J292),1,""))</x:f>
      </x:c>
      <x:c r="G597" s="32" t="str">
        <x:f>IF(OR('Detalle'!$J292="",'Detalle'!$K292="",'Detalle'!$L292=""),"",IF(AND(G$8&lt;='Detalle'!$K292,G$9&gt;='Detalle'!$J292),1,""))</x:f>
      </x:c>
      <x:c r="H597" s="32" t="str">
        <x:f>IF(OR('Detalle'!$J292="",'Detalle'!$K292="",'Detalle'!$L292=""),"",IF(AND(H$8&lt;='Detalle'!$K292,H$9&gt;='Detalle'!$J292),1,""))</x:f>
      </x:c>
      <x:c r="I597" s="32" t="str">
        <x:f>IF(OR('Detalle'!$J292="",'Detalle'!$K292="",'Detalle'!$L292=""),"",IF(AND(I$8&lt;='Detalle'!$K292,I$9&gt;='Detalle'!$J292),1,""))</x:f>
      </x:c>
      <x:c r="J597" s="32" t="str">
        <x:f>IF(OR('Detalle'!$J292="",'Detalle'!$K292="",'Detalle'!$L292=""),"",IF(AND(J$8&lt;='Detalle'!$K292,J$9&gt;='Detalle'!$J292),1,""))</x:f>
      </x:c>
      <x:c r="K597" s="32" t="str">
        <x:f>IF(OR('Detalle'!$J292="",'Detalle'!$K292="",'Detalle'!$L292=""),"",IF(AND(K$8&lt;='Detalle'!$K292,K$9&gt;='Detalle'!$J292),1,""))</x:f>
      </x:c>
      <x:c r="L597" s="32" t="str">
        <x:f>IF(OR('Detalle'!$J292="",'Detalle'!$K292="",'Detalle'!$L292=""),"",IF(AND(L$8&lt;='Detalle'!$K292,L$9&gt;='Detalle'!$J292),1,""))</x:f>
      </x:c>
      <x:c r="M597" s="32" t="str">
        <x:f>IF(OR('Detalle'!$J292="",'Detalle'!$K292="",'Detalle'!$L292=""),"",IF(AND(M$8&lt;='Detalle'!$K292,M$9&gt;='Detalle'!$J292),1,""))</x:f>
      </x:c>
      <x:c r="N597" s="32" t="str">
        <x:f>IF(OR('Detalle'!$J292="",'Detalle'!$K292="",'Detalle'!$L292=""),"",IF(AND(N$8&lt;='Detalle'!$K292,N$9&gt;='Detalle'!$J292),1,""))</x:f>
      </x:c>
      <x:c r="O597" s="32" t="str">
        <x:f>IF(OR('Detalle'!$J292="",'Detalle'!$K292="",'Detalle'!$L292=""),"",IF(AND(O$8&lt;='Detalle'!$K292,O$9&gt;='Detalle'!$J292),1,""))</x:f>
      </x:c>
      <x:c r="P597" s="32" t="str">
        <x:f>IF(OR('Detalle'!$J292="",'Detalle'!$K292="",'Detalle'!$L292=""),"",IF(AND(P$8&lt;='Detalle'!$K292,P$9&gt;='Detalle'!$J292),1,""))</x:f>
      </x:c>
      <x:c r="Q597" s="68"/>
      <x:c r="R597" s="67" t="str"/>
      <x:c r="S597" s="67" t="str"/>
    </x:row>
    <x:row r="598" ht="16" customHeight="1">
      <x:c r="A598" s="56" t="str">
        <x:v>ACC04.006</x:v>
      </x:c>
      <x:c r="B598" s="57" t="str">
        <x:v>Corregir área real del botón de cámara</x:v>
      </x:c>
      <x:c r="C598" s="62" t="str">
        <x:v>E</x:v>
      </x:c>
      <x:c r="D598" s="64" t="n">
        <x:f>'Detalle'!I293</x:f>
        <x:v>1</x:v>
      </x:c>
      <x:c r="E598" s="60" t="str">
        <x:f>'Detalle'!F293</x:f>
        <x:v>Completado</x:v>
      </x:c>
      <x:c r="F598" s="32" t="str">
        <x:f>IF(AND(F$8&lt;='Detalle'!$H293,F$9&gt;='Detalle'!$G293),1,"")</x:f>
      </x:c>
      <x:c r="G598" s="32" t="str">
        <x:f>IF(AND(G$8&lt;='Detalle'!$H293,G$9&gt;='Detalle'!$G293),1,"")</x:f>
      </x:c>
      <x:c r="H598" s="32" t="str">
        <x:f>IF(AND(H$8&lt;='Detalle'!$H293,H$9&gt;='Detalle'!$G293),1,"")</x:f>
      </x:c>
      <x:c r="I598" s="32" t="n">
        <x:f>IF(AND(I$8&lt;='Detalle'!$H293,I$9&gt;='Detalle'!$G293),1,"")</x:f>
        <x:v>1</x:v>
      </x:c>
      <x:c r="J598" s="32" t="str">
        <x:f>IF(AND(J$8&lt;='Detalle'!$H293,J$9&gt;='Detalle'!$G293),1,"")</x:f>
      </x:c>
      <x:c r="K598" s="32" t="str">
        <x:f>IF(AND(K$8&lt;='Detalle'!$H293,K$9&gt;='Detalle'!$G293),1,"")</x:f>
      </x:c>
      <x:c r="L598" s="32" t="str">
        <x:f>IF(AND(L$8&lt;='Detalle'!$H293,L$9&gt;='Detalle'!$G293),1,"")</x:f>
      </x:c>
      <x:c r="M598" s="32" t="str">
        <x:f>IF(AND(M$8&lt;='Detalle'!$H293,M$9&gt;='Detalle'!$G293),1,"")</x:f>
      </x:c>
      <x:c r="N598" s="32" t="str">
        <x:f>IF(AND(N$8&lt;='Detalle'!$H293,N$9&gt;='Detalle'!$G293),1,"")</x:f>
      </x:c>
      <x:c r="O598" s="32" t="str">
        <x:f>IF(AND(O$8&lt;='Detalle'!$H293,O$9&gt;='Detalle'!$G293),1,"")</x:f>
      </x:c>
      <x:c r="P598" s="32" t="str">
        <x:f>IF(AND(P$8&lt;='Detalle'!$H293,P$9&gt;='Detalle'!$G293),1,"")</x:f>
      </x:c>
      <x:c r="Q598" s="68"/>
      <x:c r="R598" s="67" t="str">
        <x:f>IF('Detalle'!M293="","",'Detalle'!M293)</x:f>
      </x:c>
      <x:c r="S598" s="67" t="str">
        <x:f>IF('Detalle'!N293="","",'Detalle'!N293)</x:f>
      </x:c>
    </x:row>
    <x:row r="599" ht="16" customHeight="1">
      <x:c r="A599" s="56" t="str">
        <x:v>ACC04.006</x:v>
      </x:c>
      <x:c r="B599" s="57" t="str">
        <x:v>Corregir área real del botón de cámara</x:v>
      </x:c>
      <x:c r="C599" s="63" t="str">
        <x:v>R</x:v>
      </x:c>
      <x:c r="D599" s="65" t="str">
        <x:f>IF('Detalle'!L293="","",'Detalle'!L293)</x:f>
      </x:c>
      <x:c r="E599" s="60" t="str"/>
      <x:c r="F599" s="32" t="str">
        <x:f>IF(OR('Detalle'!$J293="",'Detalle'!$K293="",'Detalle'!$L293=""),"",IF(AND(F$8&lt;='Detalle'!$K293,F$9&gt;='Detalle'!$J293),1,""))</x:f>
      </x:c>
      <x:c r="G599" s="32" t="str">
        <x:f>IF(OR('Detalle'!$J293="",'Detalle'!$K293="",'Detalle'!$L293=""),"",IF(AND(G$8&lt;='Detalle'!$K293,G$9&gt;='Detalle'!$J293),1,""))</x:f>
      </x:c>
      <x:c r="H599" s="32" t="str">
        <x:f>IF(OR('Detalle'!$J293="",'Detalle'!$K293="",'Detalle'!$L293=""),"",IF(AND(H$8&lt;='Detalle'!$K293,H$9&gt;='Detalle'!$J293),1,""))</x:f>
      </x:c>
      <x:c r="I599" s="32" t="str">
        <x:f>IF(OR('Detalle'!$J293="",'Detalle'!$K293="",'Detalle'!$L293=""),"",IF(AND(I$8&lt;='Detalle'!$K293,I$9&gt;='Detalle'!$J293),1,""))</x:f>
      </x:c>
      <x:c r="J599" s="32" t="str">
        <x:f>IF(OR('Detalle'!$J293="",'Detalle'!$K293="",'Detalle'!$L293=""),"",IF(AND(J$8&lt;='Detalle'!$K293,J$9&gt;='Detalle'!$J293),1,""))</x:f>
      </x:c>
      <x:c r="K599" s="32" t="str">
        <x:f>IF(OR('Detalle'!$J293="",'Detalle'!$K293="",'Detalle'!$L293=""),"",IF(AND(K$8&lt;='Detalle'!$K293,K$9&gt;='Detalle'!$J293),1,""))</x:f>
      </x:c>
      <x:c r="L599" s="32" t="str">
        <x:f>IF(OR('Detalle'!$J293="",'Detalle'!$K293="",'Detalle'!$L293=""),"",IF(AND(L$8&lt;='Detalle'!$K293,L$9&gt;='Detalle'!$J293),1,""))</x:f>
      </x:c>
      <x:c r="M599" s="32" t="str">
        <x:f>IF(OR('Detalle'!$J293="",'Detalle'!$K293="",'Detalle'!$L293=""),"",IF(AND(M$8&lt;='Detalle'!$K293,M$9&gt;='Detalle'!$J293),1,""))</x:f>
      </x:c>
      <x:c r="N599" s="32" t="str">
        <x:f>IF(OR('Detalle'!$J293="",'Detalle'!$K293="",'Detalle'!$L293=""),"",IF(AND(N$8&lt;='Detalle'!$K293,N$9&gt;='Detalle'!$J293),1,""))</x:f>
      </x:c>
      <x:c r="O599" s="32" t="str">
        <x:f>IF(OR('Detalle'!$J293="",'Detalle'!$K293="",'Detalle'!$L293=""),"",IF(AND(O$8&lt;='Detalle'!$K293,O$9&gt;='Detalle'!$J293),1,""))</x:f>
      </x:c>
      <x:c r="P599" s="32" t="str">
        <x:f>IF(OR('Detalle'!$J293="",'Detalle'!$K293="",'Detalle'!$L293=""),"",IF(AND(P$8&lt;='Detalle'!$K293,P$9&gt;='Detalle'!$J293),1,""))</x:f>
      </x:c>
      <x:c r="Q599" s="68"/>
      <x:c r="R599" s="67" t="str"/>
      <x:c r="S599" s="67" t="str"/>
    </x:row>
    <x:row r="600" ht="16" customHeight="1">
      <x:c r="A600" s="56" t="str">
        <x:v>ACC04.007</x:v>
      </x:c>
      <x:c r="B600" s="57" t="str">
        <x:v>Ampliar gate de backend</x:v>
      </x:c>
      <x:c r="C600" s="62" t="str">
        <x:v>E</x:v>
      </x:c>
      <x:c r="D600" s="64" t="n">
        <x:f>'Detalle'!I294</x:f>
        <x:v>1</x:v>
      </x:c>
      <x:c r="E600" s="60" t="str">
        <x:f>'Detalle'!F294</x:f>
        <x:v>Completado</x:v>
      </x:c>
      <x:c r="F600" s="32" t="str">
        <x:f>IF(AND(F$8&lt;='Detalle'!$H294,F$9&gt;='Detalle'!$G294),1,"")</x:f>
      </x:c>
      <x:c r="G600" s="32" t="str">
        <x:f>IF(AND(G$8&lt;='Detalle'!$H294,G$9&gt;='Detalle'!$G294),1,"")</x:f>
      </x:c>
      <x:c r="H600" s="32" t="str">
        <x:f>IF(AND(H$8&lt;='Detalle'!$H294,H$9&gt;='Detalle'!$G294),1,"")</x:f>
      </x:c>
      <x:c r="I600" s="32" t="n">
        <x:f>IF(AND(I$8&lt;='Detalle'!$H294,I$9&gt;='Detalle'!$G294),1,"")</x:f>
        <x:v>1</x:v>
      </x:c>
      <x:c r="J600" s="32" t="str">
        <x:f>IF(AND(J$8&lt;='Detalle'!$H294,J$9&gt;='Detalle'!$G294),1,"")</x:f>
      </x:c>
      <x:c r="K600" s="32" t="str">
        <x:f>IF(AND(K$8&lt;='Detalle'!$H294,K$9&gt;='Detalle'!$G294),1,"")</x:f>
      </x:c>
      <x:c r="L600" s="32" t="str">
        <x:f>IF(AND(L$8&lt;='Detalle'!$H294,L$9&gt;='Detalle'!$G294),1,"")</x:f>
      </x:c>
      <x:c r="M600" s="32" t="str">
        <x:f>IF(AND(M$8&lt;='Detalle'!$H294,M$9&gt;='Detalle'!$G294),1,"")</x:f>
      </x:c>
      <x:c r="N600" s="32" t="str">
        <x:f>IF(AND(N$8&lt;='Detalle'!$H294,N$9&gt;='Detalle'!$G294),1,"")</x:f>
      </x:c>
      <x:c r="O600" s="32" t="str">
        <x:f>IF(AND(O$8&lt;='Detalle'!$H294,O$9&gt;='Detalle'!$G294),1,"")</x:f>
      </x:c>
      <x:c r="P600" s="32" t="str">
        <x:f>IF(AND(P$8&lt;='Detalle'!$H294,P$9&gt;='Detalle'!$G294),1,"")</x:f>
      </x:c>
      <x:c r="Q600" s="68"/>
      <x:c r="R600" s="67" t="str">
        <x:f>IF('Detalle'!M294="","",'Detalle'!M294)</x:f>
      </x:c>
      <x:c r="S600" s="67" t="str">
        <x:f>IF('Detalle'!N294="","",'Detalle'!N294)</x:f>
      </x:c>
    </x:row>
    <x:row r="601" ht="16" customHeight="1">
      <x:c r="A601" s="56" t="str">
        <x:v>ACC04.007</x:v>
      </x:c>
      <x:c r="B601" s="57" t="str">
        <x:v>Ampliar gate de backend</x:v>
      </x:c>
      <x:c r="C601" s="63" t="str">
        <x:v>R</x:v>
      </x:c>
      <x:c r="D601" s="65" t="str">
        <x:f>IF('Detalle'!L294="","",'Detalle'!L294)</x:f>
      </x:c>
      <x:c r="E601" s="60" t="str"/>
      <x:c r="F601" s="32" t="str">
        <x:f>IF(OR('Detalle'!$J294="",'Detalle'!$K294="",'Detalle'!$L294=""),"",IF(AND(F$8&lt;='Detalle'!$K294,F$9&gt;='Detalle'!$J294),1,""))</x:f>
      </x:c>
      <x:c r="G601" s="32" t="str">
        <x:f>IF(OR('Detalle'!$J294="",'Detalle'!$K294="",'Detalle'!$L294=""),"",IF(AND(G$8&lt;='Detalle'!$K294,G$9&gt;='Detalle'!$J294),1,""))</x:f>
      </x:c>
      <x:c r="H601" s="32" t="str">
        <x:f>IF(OR('Detalle'!$J294="",'Detalle'!$K294="",'Detalle'!$L294=""),"",IF(AND(H$8&lt;='Detalle'!$K294,H$9&gt;='Detalle'!$J294),1,""))</x:f>
      </x:c>
      <x:c r="I601" s="32" t="str">
        <x:f>IF(OR('Detalle'!$J294="",'Detalle'!$K294="",'Detalle'!$L294=""),"",IF(AND(I$8&lt;='Detalle'!$K294,I$9&gt;='Detalle'!$J294),1,""))</x:f>
      </x:c>
      <x:c r="J601" s="32" t="str">
        <x:f>IF(OR('Detalle'!$J294="",'Detalle'!$K294="",'Detalle'!$L294=""),"",IF(AND(J$8&lt;='Detalle'!$K294,J$9&gt;='Detalle'!$J294),1,""))</x:f>
      </x:c>
      <x:c r="K601" s="32" t="str">
        <x:f>IF(OR('Detalle'!$J294="",'Detalle'!$K294="",'Detalle'!$L294=""),"",IF(AND(K$8&lt;='Detalle'!$K294,K$9&gt;='Detalle'!$J294),1,""))</x:f>
      </x:c>
      <x:c r="L601" s="32" t="str">
        <x:f>IF(OR('Detalle'!$J294="",'Detalle'!$K294="",'Detalle'!$L294=""),"",IF(AND(L$8&lt;='Detalle'!$K294,L$9&gt;='Detalle'!$J294),1,""))</x:f>
      </x:c>
      <x:c r="M601" s="32" t="str">
        <x:f>IF(OR('Detalle'!$J294="",'Detalle'!$K294="",'Detalle'!$L294=""),"",IF(AND(M$8&lt;='Detalle'!$K294,M$9&gt;='Detalle'!$J294),1,""))</x:f>
      </x:c>
      <x:c r="N601" s="32" t="str">
        <x:f>IF(OR('Detalle'!$J294="",'Detalle'!$K294="",'Detalle'!$L294=""),"",IF(AND(N$8&lt;='Detalle'!$K294,N$9&gt;='Detalle'!$J294),1,""))</x:f>
      </x:c>
      <x:c r="O601" s="32" t="str">
        <x:f>IF(OR('Detalle'!$J294="",'Detalle'!$K294="",'Detalle'!$L294=""),"",IF(AND(O$8&lt;='Detalle'!$K294,O$9&gt;='Detalle'!$J294),1,""))</x:f>
      </x:c>
      <x:c r="P601" s="32" t="str">
        <x:f>IF(OR('Detalle'!$J294="",'Detalle'!$K294="",'Detalle'!$L294=""),"",IF(AND(P$8&lt;='Detalle'!$K294,P$9&gt;='Detalle'!$J294),1,""))</x:f>
      </x:c>
      <x:c r="Q601" s="68"/>
      <x:c r="R601" s="67" t="str"/>
      <x:c r="S601" s="67" t="str"/>
    </x:row>
    <x:row r="602" ht="16" customHeight="1">
      <x:c r="A602" s="56" t="str">
        <x:v>ACC04.008</x:v>
      </x:c>
      <x:c r="B602" s="57" t="str">
        <x:v>Verificar registro entre sesiones reales</x:v>
      </x:c>
      <x:c r="C602" s="62" t="str">
        <x:v>E</x:v>
      </x:c>
      <x:c r="D602" s="64" t="n">
        <x:f>'Detalle'!I295</x:f>
        <x:v>1</x:v>
      </x:c>
      <x:c r="E602" s="60" t="str">
        <x:f>'Detalle'!F295</x:f>
        <x:v>Completado</x:v>
      </x:c>
      <x:c r="F602" s="32" t="str">
        <x:f>IF(AND(F$8&lt;='Detalle'!$H295,F$9&gt;='Detalle'!$G295),1,"")</x:f>
      </x:c>
      <x:c r="G602" s="32" t="str">
        <x:f>IF(AND(G$8&lt;='Detalle'!$H295,G$9&gt;='Detalle'!$G295),1,"")</x:f>
      </x:c>
      <x:c r="H602" s="32" t="str">
        <x:f>IF(AND(H$8&lt;='Detalle'!$H295,H$9&gt;='Detalle'!$G295),1,"")</x:f>
      </x:c>
      <x:c r="I602" s="32" t="n">
        <x:f>IF(AND(I$8&lt;='Detalle'!$H295,I$9&gt;='Detalle'!$G295),1,"")</x:f>
        <x:v>1</x:v>
      </x:c>
      <x:c r="J602" s="32" t="str">
        <x:f>IF(AND(J$8&lt;='Detalle'!$H295,J$9&gt;='Detalle'!$G295),1,"")</x:f>
      </x:c>
      <x:c r="K602" s="32" t="str">
        <x:f>IF(AND(K$8&lt;='Detalle'!$H295,K$9&gt;='Detalle'!$G295),1,"")</x:f>
      </x:c>
      <x:c r="L602" s="32" t="str">
        <x:f>IF(AND(L$8&lt;='Detalle'!$H295,L$9&gt;='Detalle'!$G295),1,"")</x:f>
      </x:c>
      <x:c r="M602" s="32" t="str">
        <x:f>IF(AND(M$8&lt;='Detalle'!$H295,M$9&gt;='Detalle'!$G295),1,"")</x:f>
      </x:c>
      <x:c r="N602" s="32" t="str">
        <x:f>IF(AND(N$8&lt;='Detalle'!$H295,N$9&gt;='Detalle'!$G295),1,"")</x:f>
      </x:c>
      <x:c r="O602" s="32" t="str">
        <x:f>IF(AND(O$8&lt;='Detalle'!$H295,O$9&gt;='Detalle'!$G295),1,"")</x:f>
      </x:c>
      <x:c r="P602" s="32" t="str">
        <x:f>IF(AND(P$8&lt;='Detalle'!$H295,P$9&gt;='Detalle'!$G295),1,"")</x:f>
      </x:c>
      <x:c r="Q602" s="68"/>
      <x:c r="R602" s="67" t="str">
        <x:f>IF('Detalle'!M295="","",'Detalle'!M295)</x:f>
      </x:c>
      <x:c r="S602" s="67" t="str">
        <x:f>IF('Detalle'!N295="","",'Detalle'!N295)</x:f>
      </x:c>
    </x:row>
    <x:row r="603" ht="16" customHeight="1">
      <x:c r="A603" s="56" t="str">
        <x:v>ACC04.008</x:v>
      </x:c>
      <x:c r="B603" s="57" t="str">
        <x:v>Verificar registro entre sesiones reales</x:v>
      </x:c>
      <x:c r="C603" s="63" t="str">
        <x:v>R</x:v>
      </x:c>
      <x:c r="D603" s="65" t="str">
        <x:f>IF('Detalle'!L295="","",'Detalle'!L295)</x:f>
      </x:c>
      <x:c r="E603" s="60" t="str"/>
      <x:c r="F603" s="32" t="str">
        <x:f>IF(OR('Detalle'!$J295="",'Detalle'!$K295="",'Detalle'!$L295=""),"",IF(AND(F$8&lt;='Detalle'!$K295,F$9&gt;='Detalle'!$J295),1,""))</x:f>
      </x:c>
      <x:c r="G603" s="32" t="str">
        <x:f>IF(OR('Detalle'!$J295="",'Detalle'!$K295="",'Detalle'!$L295=""),"",IF(AND(G$8&lt;='Detalle'!$K295,G$9&gt;='Detalle'!$J295),1,""))</x:f>
      </x:c>
      <x:c r="H603" s="32" t="str">
        <x:f>IF(OR('Detalle'!$J295="",'Detalle'!$K295="",'Detalle'!$L295=""),"",IF(AND(H$8&lt;='Detalle'!$K295,H$9&gt;='Detalle'!$J295),1,""))</x:f>
      </x:c>
      <x:c r="I603" s="32" t="str">
        <x:f>IF(OR('Detalle'!$J295="",'Detalle'!$K295="",'Detalle'!$L295=""),"",IF(AND(I$8&lt;='Detalle'!$K295,I$9&gt;='Detalle'!$J295),1,""))</x:f>
      </x:c>
      <x:c r="J603" s="32" t="str">
        <x:f>IF(OR('Detalle'!$J295="",'Detalle'!$K295="",'Detalle'!$L295=""),"",IF(AND(J$8&lt;='Detalle'!$K295,J$9&gt;='Detalle'!$J295),1,""))</x:f>
      </x:c>
      <x:c r="K603" s="32" t="str">
        <x:f>IF(OR('Detalle'!$J295="",'Detalle'!$K295="",'Detalle'!$L295=""),"",IF(AND(K$8&lt;='Detalle'!$K295,K$9&gt;='Detalle'!$J295),1,""))</x:f>
      </x:c>
      <x:c r="L603" s="32" t="str">
        <x:f>IF(OR('Detalle'!$J295="",'Detalle'!$K295="",'Detalle'!$L295=""),"",IF(AND(L$8&lt;='Detalle'!$K295,L$9&gt;='Detalle'!$J295),1,""))</x:f>
      </x:c>
      <x:c r="M603" s="32" t="str">
        <x:f>IF(OR('Detalle'!$J295="",'Detalle'!$K295="",'Detalle'!$L295=""),"",IF(AND(M$8&lt;='Detalle'!$K295,M$9&gt;='Detalle'!$J295),1,""))</x:f>
      </x:c>
      <x:c r="N603" s="32" t="str">
        <x:f>IF(OR('Detalle'!$J295="",'Detalle'!$K295="",'Detalle'!$L295=""),"",IF(AND(N$8&lt;='Detalle'!$K295,N$9&gt;='Detalle'!$J295),1,""))</x:f>
      </x:c>
      <x:c r="O603" s="32" t="str">
        <x:f>IF(OR('Detalle'!$J295="",'Detalle'!$K295="",'Detalle'!$L295=""),"",IF(AND(O$8&lt;='Detalle'!$K295,O$9&gt;='Detalle'!$J295),1,""))</x:f>
      </x:c>
      <x:c r="P603" s="32" t="str">
        <x:f>IF(OR('Detalle'!$J295="",'Detalle'!$K295="",'Detalle'!$L295=""),"",IF(AND(P$8&lt;='Detalle'!$K295,P$9&gt;='Detalle'!$J295),1,""))</x:f>
      </x:c>
      <x:c r="Q603" s="68"/>
      <x:c r="R603" s="67" t="str"/>
      <x:c r="S603" s="67" t="str"/>
    </x:row>
    <x:row r="604" ht="16" customHeight="1">
      <x:c r="A604" s="56" t="str">
        <x:v>ACC04.009</x:v>
      </x:c>
      <x:c r="B604" s="57" t="str">
        <x:v>Verificar aislamiento de fotos entre usuarios</x:v>
      </x:c>
      <x:c r="C604" s="62" t="str">
        <x:v>E</x:v>
      </x:c>
      <x:c r="D604" s="64" t="n">
        <x:f>'Detalle'!I296</x:f>
        <x:v>1</x:v>
      </x:c>
      <x:c r="E604" s="60" t="str">
        <x:f>'Detalle'!F296</x:f>
        <x:v>Completado</x:v>
      </x:c>
      <x:c r="F604" s="32" t="str">
        <x:f>IF(AND(F$8&lt;='Detalle'!$H296,F$9&gt;='Detalle'!$G296),1,"")</x:f>
      </x:c>
      <x:c r="G604" s="32" t="str">
        <x:f>IF(AND(G$8&lt;='Detalle'!$H296,G$9&gt;='Detalle'!$G296),1,"")</x:f>
      </x:c>
      <x:c r="H604" s="32" t="str">
        <x:f>IF(AND(H$8&lt;='Detalle'!$H296,H$9&gt;='Detalle'!$G296),1,"")</x:f>
      </x:c>
      <x:c r="I604" s="32" t="n">
        <x:f>IF(AND(I$8&lt;='Detalle'!$H296,I$9&gt;='Detalle'!$G296),1,"")</x:f>
        <x:v>1</x:v>
      </x:c>
      <x:c r="J604" s="32" t="str">
        <x:f>IF(AND(J$8&lt;='Detalle'!$H296,J$9&gt;='Detalle'!$G296),1,"")</x:f>
      </x:c>
      <x:c r="K604" s="32" t="str">
        <x:f>IF(AND(K$8&lt;='Detalle'!$H296,K$9&gt;='Detalle'!$G296),1,"")</x:f>
      </x:c>
      <x:c r="L604" s="32" t="str">
        <x:f>IF(AND(L$8&lt;='Detalle'!$H296,L$9&gt;='Detalle'!$G296),1,"")</x:f>
      </x:c>
      <x:c r="M604" s="32" t="str">
        <x:f>IF(AND(M$8&lt;='Detalle'!$H296,M$9&gt;='Detalle'!$G296),1,"")</x:f>
      </x:c>
      <x:c r="N604" s="32" t="str">
        <x:f>IF(AND(N$8&lt;='Detalle'!$H296,N$9&gt;='Detalle'!$G296),1,"")</x:f>
      </x:c>
      <x:c r="O604" s="32" t="str">
        <x:f>IF(AND(O$8&lt;='Detalle'!$H296,O$9&gt;='Detalle'!$G296),1,"")</x:f>
      </x:c>
      <x:c r="P604" s="32" t="str">
        <x:f>IF(AND(P$8&lt;='Detalle'!$H296,P$9&gt;='Detalle'!$G296),1,"")</x:f>
      </x:c>
      <x:c r="Q604" s="68"/>
      <x:c r="R604" s="67" t="str">
        <x:f>IF('Detalle'!M296="","",'Detalle'!M296)</x:f>
      </x:c>
      <x:c r="S604" s="67" t="str">
        <x:f>IF('Detalle'!N296="","",'Detalle'!N296)</x:f>
      </x:c>
    </x:row>
    <x:row r="605" ht="16" customHeight="1">
      <x:c r="A605" s="56" t="str">
        <x:v>ACC04.009</x:v>
      </x:c>
      <x:c r="B605" s="57" t="str">
        <x:v>Verificar aislamiento de fotos entre usuarios</x:v>
      </x:c>
      <x:c r="C605" s="63" t="str">
        <x:v>R</x:v>
      </x:c>
      <x:c r="D605" s="65" t="str">
        <x:f>IF('Detalle'!L296="","",'Detalle'!L296)</x:f>
      </x:c>
      <x:c r="E605" s="60" t="str"/>
      <x:c r="F605" s="32" t="str">
        <x:f>IF(OR('Detalle'!$J296="",'Detalle'!$K296="",'Detalle'!$L296=""),"",IF(AND(F$8&lt;='Detalle'!$K296,F$9&gt;='Detalle'!$J296),1,""))</x:f>
      </x:c>
      <x:c r="G605" s="32" t="str">
        <x:f>IF(OR('Detalle'!$J296="",'Detalle'!$K296="",'Detalle'!$L296=""),"",IF(AND(G$8&lt;='Detalle'!$K296,G$9&gt;='Detalle'!$J296),1,""))</x:f>
      </x:c>
      <x:c r="H605" s="32" t="str">
        <x:f>IF(OR('Detalle'!$J296="",'Detalle'!$K296="",'Detalle'!$L296=""),"",IF(AND(H$8&lt;='Detalle'!$K296,H$9&gt;='Detalle'!$J296),1,""))</x:f>
      </x:c>
      <x:c r="I605" s="32" t="str">
        <x:f>IF(OR('Detalle'!$J296="",'Detalle'!$K296="",'Detalle'!$L296=""),"",IF(AND(I$8&lt;='Detalle'!$K296,I$9&gt;='Detalle'!$J296),1,""))</x:f>
      </x:c>
      <x:c r="J605" s="32" t="str">
        <x:f>IF(OR('Detalle'!$J296="",'Detalle'!$K296="",'Detalle'!$L296=""),"",IF(AND(J$8&lt;='Detalle'!$K296,J$9&gt;='Detalle'!$J296),1,""))</x:f>
      </x:c>
      <x:c r="K605" s="32" t="str">
        <x:f>IF(OR('Detalle'!$J296="",'Detalle'!$K296="",'Detalle'!$L296=""),"",IF(AND(K$8&lt;='Detalle'!$K296,K$9&gt;='Detalle'!$J296),1,""))</x:f>
      </x:c>
      <x:c r="L605" s="32" t="str">
        <x:f>IF(OR('Detalle'!$J296="",'Detalle'!$K296="",'Detalle'!$L296=""),"",IF(AND(L$8&lt;='Detalle'!$K296,L$9&gt;='Detalle'!$J296),1,""))</x:f>
      </x:c>
      <x:c r="M605" s="32" t="str">
        <x:f>IF(OR('Detalle'!$J296="",'Detalle'!$K296="",'Detalle'!$L296=""),"",IF(AND(M$8&lt;='Detalle'!$K296,M$9&gt;='Detalle'!$J296),1,""))</x:f>
      </x:c>
      <x:c r="N605" s="32" t="str">
        <x:f>IF(OR('Detalle'!$J296="",'Detalle'!$K296="",'Detalle'!$L296=""),"",IF(AND(N$8&lt;='Detalle'!$K296,N$9&gt;='Detalle'!$J296),1,""))</x:f>
      </x:c>
      <x:c r="O605" s="32" t="str">
        <x:f>IF(OR('Detalle'!$J296="",'Detalle'!$K296="",'Detalle'!$L296=""),"",IF(AND(O$8&lt;='Detalle'!$K296,O$9&gt;='Detalle'!$J296),1,""))</x:f>
      </x:c>
      <x:c r="P605" s="32" t="str">
        <x:f>IF(OR('Detalle'!$J296="",'Detalle'!$K296="",'Detalle'!$L296=""),"",IF(AND(P$8&lt;='Detalle'!$K296,P$9&gt;='Detalle'!$J296),1,""))</x:f>
      </x:c>
      <x:c r="Q605" s="68"/>
      <x:c r="R605" s="67" t="str"/>
      <x:c r="S605" s="67" t="str"/>
    </x:row>
    <x:row r="606" ht="16" customHeight="1">
      <x:c r="A606" s="56" t="str">
        <x:v>ACC04.010</x:v>
      </x:c>
      <x:c r="B606" s="57" t="str">
        <x:v>Limpiar cuentas y archivos de comprobación</x:v>
      </x:c>
      <x:c r="C606" s="62" t="str">
        <x:v>E</x:v>
      </x:c>
      <x:c r="D606" s="64" t="n">
        <x:f>'Detalle'!I297</x:f>
        <x:v>1</x:v>
      </x:c>
      <x:c r="E606" s="60" t="str">
        <x:f>'Detalle'!F297</x:f>
        <x:v>Completado</x:v>
      </x:c>
      <x:c r="F606" s="32" t="str">
        <x:f>IF(AND(F$8&lt;='Detalle'!$H297,F$9&gt;='Detalle'!$G297),1,"")</x:f>
      </x:c>
      <x:c r="G606" s="32" t="str">
        <x:f>IF(AND(G$8&lt;='Detalle'!$H297,G$9&gt;='Detalle'!$G297),1,"")</x:f>
      </x:c>
      <x:c r="H606" s="32" t="str">
        <x:f>IF(AND(H$8&lt;='Detalle'!$H297,H$9&gt;='Detalle'!$G297),1,"")</x:f>
      </x:c>
      <x:c r="I606" s="32" t="n">
        <x:f>IF(AND(I$8&lt;='Detalle'!$H297,I$9&gt;='Detalle'!$G297),1,"")</x:f>
        <x:v>1</x:v>
      </x:c>
      <x:c r="J606" s="32" t="str">
        <x:f>IF(AND(J$8&lt;='Detalle'!$H297,J$9&gt;='Detalle'!$G297),1,"")</x:f>
      </x:c>
      <x:c r="K606" s="32" t="str">
        <x:f>IF(AND(K$8&lt;='Detalle'!$H297,K$9&gt;='Detalle'!$G297),1,"")</x:f>
      </x:c>
      <x:c r="L606" s="32" t="str">
        <x:f>IF(AND(L$8&lt;='Detalle'!$H297,L$9&gt;='Detalle'!$G297),1,"")</x:f>
      </x:c>
      <x:c r="M606" s="32" t="str">
        <x:f>IF(AND(M$8&lt;='Detalle'!$H297,M$9&gt;='Detalle'!$G297),1,"")</x:f>
      </x:c>
      <x:c r="N606" s="32" t="str">
        <x:f>IF(AND(N$8&lt;='Detalle'!$H297,N$9&gt;='Detalle'!$G297),1,"")</x:f>
      </x:c>
      <x:c r="O606" s="32" t="str">
        <x:f>IF(AND(O$8&lt;='Detalle'!$H297,O$9&gt;='Detalle'!$G297),1,"")</x:f>
      </x:c>
      <x:c r="P606" s="32" t="str">
        <x:f>IF(AND(P$8&lt;='Detalle'!$H297,P$9&gt;='Detalle'!$G297),1,"")</x:f>
      </x:c>
      <x:c r="Q606" s="68"/>
      <x:c r="R606" s="67" t="str">
        <x:f>IF('Detalle'!M297="","",'Detalle'!M297)</x:f>
      </x:c>
      <x:c r="S606" s="67" t="str">
        <x:f>IF('Detalle'!N297="","",'Detalle'!N297)</x:f>
      </x:c>
    </x:row>
    <x:row r="607" ht="16" customHeight="1">
      <x:c r="A607" s="56" t="str">
        <x:v>ACC04.010</x:v>
      </x:c>
      <x:c r="B607" s="57" t="str">
        <x:v>Limpiar cuentas y archivos de comprobación</x:v>
      </x:c>
      <x:c r="C607" s="63" t="str">
        <x:v>R</x:v>
      </x:c>
      <x:c r="D607" s="65" t="str">
        <x:f>IF('Detalle'!L297="","",'Detalle'!L297)</x:f>
      </x:c>
      <x:c r="E607" s="60" t="str"/>
      <x:c r="F607" s="32" t="str">
        <x:f>IF(OR('Detalle'!$J297="",'Detalle'!$K297="",'Detalle'!$L297=""),"",IF(AND(F$8&lt;='Detalle'!$K297,F$9&gt;='Detalle'!$J297),1,""))</x:f>
      </x:c>
      <x:c r="G607" s="32" t="str">
        <x:f>IF(OR('Detalle'!$J297="",'Detalle'!$K297="",'Detalle'!$L297=""),"",IF(AND(G$8&lt;='Detalle'!$K297,G$9&gt;='Detalle'!$J297),1,""))</x:f>
      </x:c>
      <x:c r="H607" s="32" t="str">
        <x:f>IF(OR('Detalle'!$J297="",'Detalle'!$K297="",'Detalle'!$L297=""),"",IF(AND(H$8&lt;='Detalle'!$K297,H$9&gt;='Detalle'!$J297),1,""))</x:f>
      </x:c>
      <x:c r="I607" s="32" t="str">
        <x:f>IF(OR('Detalle'!$J297="",'Detalle'!$K297="",'Detalle'!$L297=""),"",IF(AND(I$8&lt;='Detalle'!$K297,I$9&gt;='Detalle'!$J297),1,""))</x:f>
      </x:c>
      <x:c r="J607" s="32" t="str">
        <x:f>IF(OR('Detalle'!$J297="",'Detalle'!$K297="",'Detalle'!$L297=""),"",IF(AND(J$8&lt;='Detalle'!$K297,J$9&gt;='Detalle'!$J297),1,""))</x:f>
      </x:c>
      <x:c r="K607" s="32" t="str">
        <x:f>IF(OR('Detalle'!$J297="",'Detalle'!$K297="",'Detalle'!$L297=""),"",IF(AND(K$8&lt;='Detalle'!$K297,K$9&gt;='Detalle'!$J297),1,""))</x:f>
      </x:c>
      <x:c r="L607" s="32" t="str">
        <x:f>IF(OR('Detalle'!$J297="",'Detalle'!$K297="",'Detalle'!$L297=""),"",IF(AND(L$8&lt;='Detalle'!$K297,L$9&gt;='Detalle'!$J297),1,""))</x:f>
      </x:c>
      <x:c r="M607" s="32" t="str">
        <x:f>IF(OR('Detalle'!$J297="",'Detalle'!$K297="",'Detalle'!$L297=""),"",IF(AND(M$8&lt;='Detalle'!$K297,M$9&gt;='Detalle'!$J297),1,""))</x:f>
      </x:c>
      <x:c r="N607" s="32" t="str">
        <x:f>IF(OR('Detalle'!$J297="",'Detalle'!$K297="",'Detalle'!$L297=""),"",IF(AND(N$8&lt;='Detalle'!$K297,N$9&gt;='Detalle'!$J297),1,""))</x:f>
      </x:c>
      <x:c r="O607" s="32" t="str">
        <x:f>IF(OR('Detalle'!$J297="",'Detalle'!$K297="",'Detalle'!$L297=""),"",IF(AND(O$8&lt;='Detalle'!$K297,O$9&gt;='Detalle'!$J297),1,""))</x:f>
      </x:c>
      <x:c r="P607" s="32" t="str">
        <x:f>IF(OR('Detalle'!$J297="",'Detalle'!$K297="",'Detalle'!$L297=""),"",IF(AND(P$8&lt;='Detalle'!$K297,P$9&gt;='Detalle'!$J297),1,""))</x:f>
      </x:c>
      <x:c r="Q607" s="68"/>
      <x:c r="R607" s="67" t="str"/>
      <x:c r="S607" s="67" t="str"/>
    </x:row>
    <x:row r="608" ht="16" customHeight="1">
      <x:c r="A608" s="56" t="str">
        <x:v>ACC04.011</x:v>
      </x:c>
      <x:c r="B608" s="57" t="str">
        <x:v>Actualizar APK en emulador conservando datos</x:v>
      </x:c>
      <x:c r="C608" s="62" t="str">
        <x:v>E</x:v>
      </x:c>
      <x:c r="D608" s="64" t="n">
        <x:f>'Detalle'!I298</x:f>
        <x:v>1</x:v>
      </x:c>
      <x:c r="E608" s="60" t="str">
        <x:f>'Detalle'!F298</x:f>
        <x:v>Completado</x:v>
      </x:c>
      <x:c r="F608" s="32" t="str">
        <x:f>IF(AND(F$8&lt;='Detalle'!$H298,F$9&gt;='Detalle'!$G298),1,"")</x:f>
      </x:c>
      <x:c r="G608" s="32" t="str">
        <x:f>IF(AND(G$8&lt;='Detalle'!$H298,G$9&gt;='Detalle'!$G298),1,"")</x:f>
      </x:c>
      <x:c r="H608" s="32" t="str">
        <x:f>IF(AND(H$8&lt;='Detalle'!$H298,H$9&gt;='Detalle'!$G298),1,"")</x:f>
      </x:c>
      <x:c r="I608" s="32" t="n">
        <x:f>IF(AND(I$8&lt;='Detalle'!$H298,I$9&gt;='Detalle'!$G298),1,"")</x:f>
        <x:v>1</x:v>
      </x:c>
      <x:c r="J608" s="32" t="str">
        <x:f>IF(AND(J$8&lt;='Detalle'!$H298,J$9&gt;='Detalle'!$G298),1,"")</x:f>
      </x:c>
      <x:c r="K608" s="32" t="str">
        <x:f>IF(AND(K$8&lt;='Detalle'!$H298,K$9&gt;='Detalle'!$G298),1,"")</x:f>
      </x:c>
      <x:c r="L608" s="32" t="str">
        <x:f>IF(AND(L$8&lt;='Detalle'!$H298,L$9&gt;='Detalle'!$G298),1,"")</x:f>
      </x:c>
      <x:c r="M608" s="32" t="str">
        <x:f>IF(AND(M$8&lt;='Detalle'!$H298,M$9&gt;='Detalle'!$G298),1,"")</x:f>
      </x:c>
      <x:c r="N608" s="32" t="str">
        <x:f>IF(AND(N$8&lt;='Detalle'!$H298,N$9&gt;='Detalle'!$G298),1,"")</x:f>
      </x:c>
      <x:c r="O608" s="32" t="str">
        <x:f>IF(AND(O$8&lt;='Detalle'!$H298,O$9&gt;='Detalle'!$G298),1,"")</x:f>
      </x:c>
      <x:c r="P608" s="32" t="str">
        <x:f>IF(AND(P$8&lt;='Detalle'!$H298,P$9&gt;='Detalle'!$G298),1,"")</x:f>
      </x:c>
      <x:c r="Q608" s="68"/>
      <x:c r="R608" s="67" t="str">
        <x:f>IF('Detalle'!M298="","",'Detalle'!M298)</x:f>
      </x:c>
      <x:c r="S608" s="67" t="str">
        <x:f>IF('Detalle'!N298="","",'Detalle'!N298)</x:f>
      </x:c>
    </x:row>
    <x:row r="609" ht="16" customHeight="1">
      <x:c r="A609" s="56" t="str">
        <x:v>ACC04.011</x:v>
      </x:c>
      <x:c r="B609" s="57" t="str">
        <x:v>Actualizar APK en emulador conservando datos</x:v>
      </x:c>
      <x:c r="C609" s="63" t="str">
        <x:v>R</x:v>
      </x:c>
      <x:c r="D609" s="65" t="str">
        <x:f>IF('Detalle'!L298="","",'Detalle'!L298)</x:f>
      </x:c>
      <x:c r="E609" s="60" t="str"/>
      <x:c r="F609" s="32" t="str">
        <x:f>IF(OR('Detalle'!$J298="",'Detalle'!$K298="",'Detalle'!$L298=""),"",IF(AND(F$8&lt;='Detalle'!$K298,F$9&gt;='Detalle'!$J298),1,""))</x:f>
      </x:c>
      <x:c r="G609" s="32" t="str">
        <x:f>IF(OR('Detalle'!$J298="",'Detalle'!$K298="",'Detalle'!$L298=""),"",IF(AND(G$8&lt;='Detalle'!$K298,G$9&gt;='Detalle'!$J298),1,""))</x:f>
      </x:c>
      <x:c r="H609" s="32" t="str">
        <x:f>IF(OR('Detalle'!$J298="",'Detalle'!$K298="",'Detalle'!$L298=""),"",IF(AND(H$8&lt;='Detalle'!$K298,H$9&gt;='Detalle'!$J298),1,""))</x:f>
      </x:c>
      <x:c r="I609" s="32" t="str">
        <x:f>IF(OR('Detalle'!$J298="",'Detalle'!$K298="",'Detalle'!$L298=""),"",IF(AND(I$8&lt;='Detalle'!$K298,I$9&gt;='Detalle'!$J298),1,""))</x:f>
      </x:c>
      <x:c r="J609" s="32" t="str">
        <x:f>IF(OR('Detalle'!$J298="",'Detalle'!$K298="",'Detalle'!$L298=""),"",IF(AND(J$8&lt;='Detalle'!$K298,J$9&gt;='Detalle'!$J298),1,""))</x:f>
      </x:c>
      <x:c r="K609" s="32" t="str">
        <x:f>IF(OR('Detalle'!$J298="",'Detalle'!$K298="",'Detalle'!$L298=""),"",IF(AND(K$8&lt;='Detalle'!$K298,K$9&gt;='Detalle'!$J298),1,""))</x:f>
      </x:c>
      <x:c r="L609" s="32" t="str">
        <x:f>IF(OR('Detalle'!$J298="",'Detalle'!$K298="",'Detalle'!$L298=""),"",IF(AND(L$8&lt;='Detalle'!$K298,L$9&gt;='Detalle'!$J298),1,""))</x:f>
      </x:c>
      <x:c r="M609" s="32" t="str">
        <x:f>IF(OR('Detalle'!$J298="",'Detalle'!$K298="",'Detalle'!$L298=""),"",IF(AND(M$8&lt;='Detalle'!$K298,M$9&gt;='Detalle'!$J298),1,""))</x:f>
      </x:c>
      <x:c r="N609" s="32" t="str">
        <x:f>IF(OR('Detalle'!$J298="",'Detalle'!$K298="",'Detalle'!$L298=""),"",IF(AND(N$8&lt;='Detalle'!$K298,N$9&gt;='Detalle'!$J298),1,""))</x:f>
      </x:c>
      <x:c r="O609" s="32" t="str">
        <x:f>IF(OR('Detalle'!$J298="",'Detalle'!$K298="",'Detalle'!$L298=""),"",IF(AND(O$8&lt;='Detalle'!$K298,O$9&gt;='Detalle'!$J298),1,""))</x:f>
      </x:c>
      <x:c r="P609" s="32" t="str">
        <x:f>IF(OR('Detalle'!$J298="",'Detalle'!$K298="",'Detalle'!$L298=""),"",IF(AND(P$8&lt;='Detalle'!$K298,P$9&gt;='Detalle'!$J298),1,""))</x:f>
      </x:c>
      <x:c r="Q609" s="68"/>
      <x:c r="R609" s="67" t="str"/>
      <x:c r="S609" s="67" t="str"/>
    </x:row>
    <x:row r="610" ht="16" customHeight="1">
      <x:c r="A610" s="56" t="str">
        <x:v>ACC04.012</x:v>
      </x:c>
      <x:c r="B610" s="57" t="str">
        <x:v>Detectar respuesta de registro repetido</x:v>
      </x:c>
      <x:c r="C610" s="62" t="str">
        <x:v>E</x:v>
      </x:c>
      <x:c r="D610" s="64" t="n">
        <x:f>'Detalle'!I299</x:f>
        <x:v>1</x:v>
      </x:c>
      <x:c r="E610" s="60" t="str">
        <x:f>'Detalle'!F299</x:f>
        <x:v>Completado</x:v>
      </x:c>
      <x:c r="F610" s="32" t="str">
        <x:f>IF(AND(F$8&lt;='Detalle'!$H299,F$9&gt;='Detalle'!$G299),1,"")</x:f>
      </x:c>
      <x:c r="G610" s="32" t="str">
        <x:f>IF(AND(G$8&lt;='Detalle'!$H299,G$9&gt;='Detalle'!$G299),1,"")</x:f>
      </x:c>
      <x:c r="H610" s="32" t="str">
        <x:f>IF(AND(H$8&lt;='Detalle'!$H299,H$9&gt;='Detalle'!$G299),1,"")</x:f>
      </x:c>
      <x:c r="I610" s="32" t="n">
        <x:f>IF(AND(I$8&lt;='Detalle'!$H299,I$9&gt;='Detalle'!$G299),1,"")</x:f>
        <x:v>1</x:v>
      </x:c>
      <x:c r="J610" s="32" t="str">
        <x:f>IF(AND(J$8&lt;='Detalle'!$H299,J$9&gt;='Detalle'!$G299),1,"")</x:f>
      </x:c>
      <x:c r="K610" s="32" t="str">
        <x:f>IF(AND(K$8&lt;='Detalle'!$H299,K$9&gt;='Detalle'!$G299),1,"")</x:f>
      </x:c>
      <x:c r="L610" s="32" t="str">
        <x:f>IF(AND(L$8&lt;='Detalle'!$H299,L$9&gt;='Detalle'!$G299),1,"")</x:f>
      </x:c>
      <x:c r="M610" s="32" t="str">
        <x:f>IF(AND(M$8&lt;='Detalle'!$H299,M$9&gt;='Detalle'!$G299),1,"")</x:f>
      </x:c>
      <x:c r="N610" s="32" t="str">
        <x:f>IF(AND(N$8&lt;='Detalle'!$H299,N$9&gt;='Detalle'!$G299),1,"")</x:f>
      </x:c>
      <x:c r="O610" s="32" t="str">
        <x:f>IF(AND(O$8&lt;='Detalle'!$H299,O$9&gt;='Detalle'!$G299),1,"")</x:f>
      </x:c>
      <x:c r="P610" s="32" t="str">
        <x:f>IF(AND(P$8&lt;='Detalle'!$H299,P$9&gt;='Detalle'!$G299),1,"")</x:f>
      </x:c>
      <x:c r="Q610" s="68"/>
      <x:c r="R610" s="67" t="str">
        <x:f>IF('Detalle'!M299="","",'Detalle'!M299)</x:f>
      </x:c>
      <x:c r="S610" s="67" t="str">
        <x:f>IF('Detalle'!N299="","",'Detalle'!N299)</x:f>
      </x:c>
    </x:row>
    <x:row r="611" ht="16" customHeight="1">
      <x:c r="A611" s="56" t="str">
        <x:v>ACC04.012</x:v>
      </x:c>
      <x:c r="B611" s="57" t="str">
        <x:v>Detectar respuesta de registro repetido</x:v>
      </x:c>
      <x:c r="C611" s="63" t="str">
        <x:v>R</x:v>
      </x:c>
      <x:c r="D611" s="65" t="str">
        <x:f>IF('Detalle'!L299="","",'Detalle'!L299)</x:f>
      </x:c>
      <x:c r="E611" s="60" t="str"/>
      <x:c r="F611" s="32" t="str">
        <x:f>IF(OR('Detalle'!$J299="",'Detalle'!$K299="",'Detalle'!$L299=""),"",IF(AND(F$8&lt;='Detalle'!$K299,F$9&gt;='Detalle'!$J299),1,""))</x:f>
      </x:c>
      <x:c r="G611" s="32" t="str">
        <x:f>IF(OR('Detalle'!$J299="",'Detalle'!$K299="",'Detalle'!$L299=""),"",IF(AND(G$8&lt;='Detalle'!$K299,G$9&gt;='Detalle'!$J299),1,""))</x:f>
      </x:c>
      <x:c r="H611" s="32" t="str">
        <x:f>IF(OR('Detalle'!$J299="",'Detalle'!$K299="",'Detalle'!$L299=""),"",IF(AND(H$8&lt;='Detalle'!$K299,H$9&gt;='Detalle'!$J299),1,""))</x:f>
      </x:c>
      <x:c r="I611" s="32" t="str">
        <x:f>IF(OR('Detalle'!$J299="",'Detalle'!$K299="",'Detalle'!$L299=""),"",IF(AND(I$8&lt;='Detalle'!$K299,I$9&gt;='Detalle'!$J299),1,""))</x:f>
      </x:c>
      <x:c r="J611" s="32" t="str">
        <x:f>IF(OR('Detalle'!$J299="",'Detalle'!$K299="",'Detalle'!$L299=""),"",IF(AND(J$8&lt;='Detalle'!$K299,J$9&gt;='Detalle'!$J299),1,""))</x:f>
      </x:c>
      <x:c r="K611" s="32" t="str">
        <x:f>IF(OR('Detalle'!$J299="",'Detalle'!$K299="",'Detalle'!$L299=""),"",IF(AND(K$8&lt;='Detalle'!$K299,K$9&gt;='Detalle'!$J299),1,""))</x:f>
      </x:c>
      <x:c r="L611" s="32" t="str">
        <x:f>IF(OR('Detalle'!$J299="",'Detalle'!$K299="",'Detalle'!$L299=""),"",IF(AND(L$8&lt;='Detalle'!$K299,L$9&gt;='Detalle'!$J299),1,""))</x:f>
      </x:c>
      <x:c r="M611" s="32" t="str">
        <x:f>IF(OR('Detalle'!$J299="",'Detalle'!$K299="",'Detalle'!$L299=""),"",IF(AND(M$8&lt;='Detalle'!$K299,M$9&gt;='Detalle'!$J299),1,""))</x:f>
      </x:c>
      <x:c r="N611" s="32" t="str">
        <x:f>IF(OR('Detalle'!$J299="",'Detalle'!$K299="",'Detalle'!$L299=""),"",IF(AND(N$8&lt;='Detalle'!$K299,N$9&gt;='Detalle'!$J299),1,""))</x:f>
      </x:c>
      <x:c r="O611" s="32" t="str">
        <x:f>IF(OR('Detalle'!$J299="",'Detalle'!$K299="",'Detalle'!$L299=""),"",IF(AND(O$8&lt;='Detalle'!$K299,O$9&gt;='Detalle'!$J299),1,""))</x:f>
      </x:c>
      <x:c r="P611" s="32" t="str">
        <x:f>IF(OR('Detalle'!$J299="",'Detalle'!$K299="",'Detalle'!$L299=""),"",IF(AND(P$8&lt;='Detalle'!$K299,P$9&gt;='Detalle'!$J299),1,""))</x:f>
      </x:c>
      <x:c r="Q611" s="68"/>
      <x:c r="R611" s="67" t="str"/>
      <x:c r="S611" s="67" t="str"/>
    </x:row>
    <x:row r="612" ht="16" customHeight="1">
      <x:c r="A612" s="56" t="str">
        <x:v>ACC04.013</x:v>
      </x:c>
      <x:c r="B612" s="57" t="str">
        <x:v>Ofrecer login o recuperación en correo repetido</x:v>
      </x:c>
      <x:c r="C612" s="62" t="str">
        <x:v>E</x:v>
      </x:c>
      <x:c r="D612" s="64" t="n">
        <x:f>'Detalle'!I300</x:f>
        <x:v>1</x:v>
      </x:c>
      <x:c r="E612" s="60" t="str">
        <x:f>'Detalle'!F300</x:f>
        <x:v>Completado</x:v>
      </x:c>
      <x:c r="F612" s="32" t="str">
        <x:f>IF(AND(F$8&lt;='Detalle'!$H300,F$9&gt;='Detalle'!$G300),1,"")</x:f>
      </x:c>
      <x:c r="G612" s="32" t="str">
        <x:f>IF(AND(G$8&lt;='Detalle'!$H300,G$9&gt;='Detalle'!$G300),1,"")</x:f>
      </x:c>
      <x:c r="H612" s="32" t="str">
        <x:f>IF(AND(H$8&lt;='Detalle'!$H300,H$9&gt;='Detalle'!$G300),1,"")</x:f>
      </x:c>
      <x:c r="I612" s="32" t="n">
        <x:f>IF(AND(I$8&lt;='Detalle'!$H300,I$9&gt;='Detalle'!$G300),1,"")</x:f>
        <x:v>1</x:v>
      </x:c>
      <x:c r="J612" s="32" t="str">
        <x:f>IF(AND(J$8&lt;='Detalle'!$H300,J$9&gt;='Detalle'!$G300),1,"")</x:f>
      </x:c>
      <x:c r="K612" s="32" t="str">
        <x:f>IF(AND(K$8&lt;='Detalle'!$H300,K$9&gt;='Detalle'!$G300),1,"")</x:f>
      </x:c>
      <x:c r="L612" s="32" t="str">
        <x:f>IF(AND(L$8&lt;='Detalle'!$H300,L$9&gt;='Detalle'!$G300),1,"")</x:f>
      </x:c>
      <x:c r="M612" s="32" t="str">
        <x:f>IF(AND(M$8&lt;='Detalle'!$H300,M$9&gt;='Detalle'!$G300),1,"")</x:f>
      </x:c>
      <x:c r="N612" s="32" t="str">
        <x:f>IF(AND(N$8&lt;='Detalle'!$H300,N$9&gt;='Detalle'!$G300),1,"")</x:f>
      </x:c>
      <x:c r="O612" s="32" t="str">
        <x:f>IF(AND(O$8&lt;='Detalle'!$H300,O$9&gt;='Detalle'!$G300),1,"")</x:f>
      </x:c>
      <x:c r="P612" s="32" t="str">
        <x:f>IF(AND(P$8&lt;='Detalle'!$H300,P$9&gt;='Detalle'!$G300),1,"")</x:f>
      </x:c>
      <x:c r="Q612" s="68"/>
      <x:c r="R612" s="67" t="str">
        <x:f>IF('Detalle'!M300="","",'Detalle'!M300)</x:f>
      </x:c>
      <x:c r="S612" s="67" t="str">
        <x:f>IF('Detalle'!N300="","",'Detalle'!N300)</x:f>
      </x:c>
    </x:row>
    <x:row r="613" ht="16" customHeight="1">
      <x:c r="A613" s="56" t="str">
        <x:v>ACC04.013</x:v>
      </x:c>
      <x:c r="B613" s="57" t="str">
        <x:v>Ofrecer login o recuperación en correo repetido</x:v>
      </x:c>
      <x:c r="C613" s="63" t="str">
        <x:v>R</x:v>
      </x:c>
      <x:c r="D613" s="65" t="str">
        <x:f>IF('Detalle'!L300="","",'Detalle'!L300)</x:f>
      </x:c>
      <x:c r="E613" s="60" t="str"/>
      <x:c r="F613" s="32" t="str">
        <x:f>IF(OR('Detalle'!$J300="",'Detalle'!$K300="",'Detalle'!$L300=""),"",IF(AND(F$8&lt;='Detalle'!$K300,F$9&gt;='Detalle'!$J300),1,""))</x:f>
      </x:c>
      <x:c r="G613" s="32" t="str">
        <x:f>IF(OR('Detalle'!$J300="",'Detalle'!$K300="",'Detalle'!$L300=""),"",IF(AND(G$8&lt;='Detalle'!$K300,G$9&gt;='Detalle'!$J300),1,""))</x:f>
      </x:c>
      <x:c r="H613" s="32" t="str">
        <x:f>IF(OR('Detalle'!$J300="",'Detalle'!$K300="",'Detalle'!$L300=""),"",IF(AND(H$8&lt;='Detalle'!$K300,H$9&gt;='Detalle'!$J300),1,""))</x:f>
      </x:c>
      <x:c r="I613" s="32" t="str">
        <x:f>IF(OR('Detalle'!$J300="",'Detalle'!$K300="",'Detalle'!$L300=""),"",IF(AND(I$8&lt;='Detalle'!$K300,I$9&gt;='Detalle'!$J300),1,""))</x:f>
      </x:c>
      <x:c r="J613" s="32" t="str">
        <x:f>IF(OR('Detalle'!$J300="",'Detalle'!$K300="",'Detalle'!$L300=""),"",IF(AND(J$8&lt;='Detalle'!$K300,J$9&gt;='Detalle'!$J300),1,""))</x:f>
      </x:c>
      <x:c r="K613" s="32" t="str">
        <x:f>IF(OR('Detalle'!$J300="",'Detalle'!$K300="",'Detalle'!$L300=""),"",IF(AND(K$8&lt;='Detalle'!$K300,K$9&gt;='Detalle'!$J300),1,""))</x:f>
      </x:c>
      <x:c r="L613" s="32" t="str">
        <x:f>IF(OR('Detalle'!$J300="",'Detalle'!$K300="",'Detalle'!$L300=""),"",IF(AND(L$8&lt;='Detalle'!$K300,L$9&gt;='Detalle'!$J300),1,""))</x:f>
      </x:c>
      <x:c r="M613" s="32" t="str">
        <x:f>IF(OR('Detalle'!$J300="",'Detalle'!$K300="",'Detalle'!$L300=""),"",IF(AND(M$8&lt;='Detalle'!$K300,M$9&gt;='Detalle'!$J300),1,""))</x:f>
      </x:c>
      <x:c r="N613" s="32" t="str">
        <x:f>IF(OR('Detalle'!$J300="",'Detalle'!$K300="",'Detalle'!$L300=""),"",IF(AND(N$8&lt;='Detalle'!$K300,N$9&gt;='Detalle'!$J300),1,""))</x:f>
      </x:c>
      <x:c r="O613" s="32" t="str">
        <x:f>IF(OR('Detalle'!$J300="",'Detalle'!$K300="",'Detalle'!$L300=""),"",IF(AND(O$8&lt;='Detalle'!$K300,O$9&gt;='Detalle'!$J300),1,""))</x:f>
      </x:c>
      <x:c r="P613" s="32" t="str">
        <x:f>IF(OR('Detalle'!$J300="",'Detalle'!$K300="",'Detalle'!$L300=""),"",IF(AND(P$8&lt;='Detalle'!$K300,P$9&gt;='Detalle'!$J300),1,""))</x:f>
      </x:c>
      <x:c r="Q613" s="68"/>
      <x:c r="R613" s="67" t="str"/>
      <x:c r="S613" s="67" t="str"/>
    </x:row>
    <x:row r="614" ht="16" customHeight="1">
      <x:c r="A614" s="56" t="str">
        <x:v>ACC04.014</x:v>
      </x:c>
      <x:c r="B614" s="57" t="str">
        <x:v>Verificar SMTP Gmail y plantilla de confirmación</x:v>
      </x:c>
      <x:c r="C614" s="62" t="str">
        <x:v>E</x:v>
      </x:c>
      <x:c r="D614" s="64" t="n">
        <x:f>'Detalle'!I301</x:f>
        <x:v>1</x:v>
      </x:c>
      <x:c r="E614" s="60" t="str">
        <x:f>'Detalle'!F301</x:f>
        <x:v>Completado</x:v>
      </x:c>
      <x:c r="F614" s="32" t="str">
        <x:f>IF(AND(F$8&lt;='Detalle'!$H301,F$9&gt;='Detalle'!$G301),1,"")</x:f>
      </x:c>
      <x:c r="G614" s="32" t="str">
        <x:f>IF(AND(G$8&lt;='Detalle'!$H301,G$9&gt;='Detalle'!$G301),1,"")</x:f>
      </x:c>
      <x:c r="H614" s="32" t="str">
        <x:f>IF(AND(H$8&lt;='Detalle'!$H301,H$9&gt;='Detalle'!$G301),1,"")</x:f>
      </x:c>
      <x:c r="I614" s="32" t="n">
        <x:f>IF(AND(I$8&lt;='Detalle'!$H301,I$9&gt;='Detalle'!$G301),1,"")</x:f>
        <x:v>1</x:v>
      </x:c>
      <x:c r="J614" s="32" t="str">
        <x:f>IF(AND(J$8&lt;='Detalle'!$H301,J$9&gt;='Detalle'!$G301),1,"")</x:f>
      </x:c>
      <x:c r="K614" s="32" t="str">
        <x:f>IF(AND(K$8&lt;='Detalle'!$H301,K$9&gt;='Detalle'!$G301),1,"")</x:f>
      </x:c>
      <x:c r="L614" s="32" t="str">
        <x:f>IF(AND(L$8&lt;='Detalle'!$H301,L$9&gt;='Detalle'!$G301),1,"")</x:f>
      </x:c>
      <x:c r="M614" s="32" t="str">
        <x:f>IF(AND(M$8&lt;='Detalle'!$H301,M$9&gt;='Detalle'!$G301),1,"")</x:f>
      </x:c>
      <x:c r="N614" s="32" t="str">
        <x:f>IF(AND(N$8&lt;='Detalle'!$H301,N$9&gt;='Detalle'!$G301),1,"")</x:f>
      </x:c>
      <x:c r="O614" s="32" t="str">
        <x:f>IF(AND(O$8&lt;='Detalle'!$H301,O$9&gt;='Detalle'!$G301),1,"")</x:f>
      </x:c>
      <x:c r="P614" s="32" t="str">
        <x:f>IF(AND(P$8&lt;='Detalle'!$H301,P$9&gt;='Detalle'!$G301),1,"")</x:f>
      </x:c>
      <x:c r="Q614" s="68"/>
      <x:c r="R614" s="67" t="str">
        <x:f>IF('Detalle'!M301="","",'Detalle'!M301)</x:f>
      </x:c>
      <x:c r="S614" s="67" t="str">
        <x:f>IF('Detalle'!N301="","",'Detalle'!N301)</x:f>
      </x:c>
    </x:row>
    <x:row r="615" ht="16" customHeight="1">
      <x:c r="A615" s="56" t="str">
        <x:v>ACC04.014</x:v>
      </x:c>
      <x:c r="B615" s="57" t="str">
        <x:v>Verificar SMTP Gmail y plantilla de confirmación</x:v>
      </x:c>
      <x:c r="C615" s="63" t="str">
        <x:v>R</x:v>
      </x:c>
      <x:c r="D615" s="65" t="str">
        <x:f>IF('Detalle'!L301="","",'Detalle'!L301)</x:f>
      </x:c>
      <x:c r="E615" s="60" t="str"/>
      <x:c r="F615" s="32" t="str">
        <x:f>IF(OR('Detalle'!$J301="",'Detalle'!$K301="",'Detalle'!$L301=""),"",IF(AND(F$8&lt;='Detalle'!$K301,F$9&gt;='Detalle'!$J301),1,""))</x:f>
      </x:c>
      <x:c r="G615" s="32" t="str">
        <x:f>IF(OR('Detalle'!$J301="",'Detalle'!$K301="",'Detalle'!$L301=""),"",IF(AND(G$8&lt;='Detalle'!$K301,G$9&gt;='Detalle'!$J301),1,""))</x:f>
      </x:c>
      <x:c r="H615" s="32" t="str">
        <x:f>IF(OR('Detalle'!$J301="",'Detalle'!$K301="",'Detalle'!$L301=""),"",IF(AND(H$8&lt;='Detalle'!$K301,H$9&gt;='Detalle'!$J301),1,""))</x:f>
      </x:c>
      <x:c r="I615" s="32" t="str">
        <x:f>IF(OR('Detalle'!$J301="",'Detalle'!$K301="",'Detalle'!$L301=""),"",IF(AND(I$8&lt;='Detalle'!$K301,I$9&gt;='Detalle'!$J301),1,""))</x:f>
      </x:c>
      <x:c r="J615" s="32" t="str">
        <x:f>IF(OR('Detalle'!$J301="",'Detalle'!$K301="",'Detalle'!$L301=""),"",IF(AND(J$8&lt;='Detalle'!$K301,J$9&gt;='Detalle'!$J301),1,""))</x:f>
      </x:c>
      <x:c r="K615" s="32" t="str">
        <x:f>IF(OR('Detalle'!$J301="",'Detalle'!$K301="",'Detalle'!$L301=""),"",IF(AND(K$8&lt;='Detalle'!$K301,K$9&gt;='Detalle'!$J301),1,""))</x:f>
      </x:c>
      <x:c r="L615" s="32" t="str">
        <x:f>IF(OR('Detalle'!$J301="",'Detalle'!$K301="",'Detalle'!$L301=""),"",IF(AND(L$8&lt;='Detalle'!$K301,L$9&gt;='Detalle'!$J301),1,""))</x:f>
      </x:c>
      <x:c r="M615" s="32" t="str">
        <x:f>IF(OR('Detalle'!$J301="",'Detalle'!$K301="",'Detalle'!$L301=""),"",IF(AND(M$8&lt;='Detalle'!$K301,M$9&gt;='Detalle'!$J301),1,""))</x:f>
      </x:c>
      <x:c r="N615" s="32" t="str">
        <x:f>IF(OR('Detalle'!$J301="",'Detalle'!$K301="",'Detalle'!$L301=""),"",IF(AND(N$8&lt;='Detalle'!$K301,N$9&gt;='Detalle'!$J301),1,""))</x:f>
      </x:c>
      <x:c r="O615" s="32" t="str">
        <x:f>IF(OR('Detalle'!$J301="",'Detalle'!$K301="",'Detalle'!$L301=""),"",IF(AND(O$8&lt;='Detalle'!$K301,O$9&gt;='Detalle'!$J301),1,""))</x:f>
      </x:c>
      <x:c r="P615" s="32" t="str">
        <x:f>IF(OR('Detalle'!$J301="",'Detalle'!$K301="",'Detalle'!$L301=""),"",IF(AND(P$8&lt;='Detalle'!$K301,P$9&gt;='Detalle'!$J301),1,""))</x:f>
      </x:c>
      <x:c r="Q615" s="68"/>
      <x:c r="R615" s="67" t="str"/>
      <x:c r="S615" s="67" t="str"/>
    </x:row>
    <x:row r="616" ht="16" customHeight="1">
      <x:c r="A616" s="56" t="str">
        <x:v>ACC04.015</x:v>
      </x:c>
      <x:c r="B616" s="57" t="str">
        <x:v>Registrar recepción de confirmación existente</x:v>
      </x:c>
      <x:c r="C616" s="62" t="str">
        <x:v>E</x:v>
      </x:c>
      <x:c r="D616" s="64" t="n">
        <x:f>'Detalle'!I302</x:f>
        <x:v>1</x:v>
      </x:c>
      <x:c r="E616" s="60" t="str">
        <x:f>'Detalle'!F302</x:f>
        <x:v>Completado</x:v>
      </x:c>
      <x:c r="F616" s="32" t="str">
        <x:f>IF(AND(F$8&lt;='Detalle'!$H302,F$9&gt;='Detalle'!$G302),1,"")</x:f>
      </x:c>
      <x:c r="G616" s="32" t="str">
        <x:f>IF(AND(G$8&lt;='Detalle'!$H302,G$9&gt;='Detalle'!$G302),1,"")</x:f>
      </x:c>
      <x:c r="H616" s="32" t="str">
        <x:f>IF(AND(H$8&lt;='Detalle'!$H302,H$9&gt;='Detalle'!$G302),1,"")</x:f>
      </x:c>
      <x:c r="I616" s="32" t="n">
        <x:f>IF(AND(I$8&lt;='Detalle'!$H302,I$9&gt;='Detalle'!$G302),1,"")</x:f>
        <x:v>1</x:v>
      </x:c>
      <x:c r="J616" s="32" t="str">
        <x:f>IF(AND(J$8&lt;='Detalle'!$H302,J$9&gt;='Detalle'!$G302),1,"")</x:f>
      </x:c>
      <x:c r="K616" s="32" t="str">
        <x:f>IF(AND(K$8&lt;='Detalle'!$H302,K$9&gt;='Detalle'!$G302),1,"")</x:f>
      </x:c>
      <x:c r="L616" s="32" t="str">
        <x:f>IF(AND(L$8&lt;='Detalle'!$H302,L$9&gt;='Detalle'!$G302),1,"")</x:f>
      </x:c>
      <x:c r="M616" s="32" t="str">
        <x:f>IF(AND(M$8&lt;='Detalle'!$H302,M$9&gt;='Detalle'!$G302),1,"")</x:f>
      </x:c>
      <x:c r="N616" s="32" t="str">
        <x:f>IF(AND(N$8&lt;='Detalle'!$H302,N$9&gt;='Detalle'!$G302),1,"")</x:f>
      </x:c>
      <x:c r="O616" s="32" t="str">
        <x:f>IF(AND(O$8&lt;='Detalle'!$H302,O$9&gt;='Detalle'!$G302),1,"")</x:f>
      </x:c>
      <x:c r="P616" s="32" t="str">
        <x:f>IF(AND(P$8&lt;='Detalle'!$H302,P$9&gt;='Detalle'!$G302),1,"")</x:f>
      </x:c>
      <x:c r="Q616" s="68"/>
      <x:c r="R616" s="67" t="str">
        <x:f>IF('Detalle'!M302="","",'Detalle'!M302)</x:f>
      </x:c>
      <x:c r="S616" s="67" t="str">
        <x:f>IF('Detalle'!N302="","",'Detalle'!N302)</x:f>
      </x:c>
    </x:row>
    <x:row r="617" ht="16" customHeight="1">
      <x:c r="A617" s="56" t="str">
        <x:v>ACC04.015</x:v>
      </x:c>
      <x:c r="B617" s="57" t="str">
        <x:v>Registrar recepción de confirmación existente</x:v>
      </x:c>
      <x:c r="C617" s="63" t="str">
        <x:v>R</x:v>
      </x:c>
      <x:c r="D617" s="65" t="str">
        <x:f>IF('Detalle'!L302="","",'Detalle'!L302)</x:f>
      </x:c>
      <x:c r="E617" s="60" t="str"/>
      <x:c r="F617" s="32" t="str">
        <x:f>IF(OR('Detalle'!$J302="",'Detalle'!$K302="",'Detalle'!$L302=""),"",IF(AND(F$8&lt;='Detalle'!$K302,F$9&gt;='Detalle'!$J302),1,""))</x:f>
      </x:c>
      <x:c r="G617" s="32" t="str">
        <x:f>IF(OR('Detalle'!$J302="",'Detalle'!$K302="",'Detalle'!$L302=""),"",IF(AND(G$8&lt;='Detalle'!$K302,G$9&gt;='Detalle'!$J302),1,""))</x:f>
      </x:c>
      <x:c r="H617" s="32" t="str">
        <x:f>IF(OR('Detalle'!$J302="",'Detalle'!$K302="",'Detalle'!$L302=""),"",IF(AND(H$8&lt;='Detalle'!$K302,H$9&gt;='Detalle'!$J302),1,""))</x:f>
      </x:c>
      <x:c r="I617" s="32" t="str">
        <x:f>IF(OR('Detalle'!$J302="",'Detalle'!$K302="",'Detalle'!$L302=""),"",IF(AND(I$8&lt;='Detalle'!$K302,I$9&gt;='Detalle'!$J302),1,""))</x:f>
      </x:c>
      <x:c r="J617" s="32" t="str">
        <x:f>IF(OR('Detalle'!$J302="",'Detalle'!$K302="",'Detalle'!$L302=""),"",IF(AND(J$8&lt;='Detalle'!$K302,J$9&gt;='Detalle'!$J302),1,""))</x:f>
      </x:c>
      <x:c r="K617" s="32" t="str">
        <x:f>IF(OR('Detalle'!$J302="",'Detalle'!$K302="",'Detalle'!$L302=""),"",IF(AND(K$8&lt;='Detalle'!$K302,K$9&gt;='Detalle'!$J302),1,""))</x:f>
      </x:c>
      <x:c r="L617" s="32" t="str">
        <x:f>IF(OR('Detalle'!$J302="",'Detalle'!$K302="",'Detalle'!$L302=""),"",IF(AND(L$8&lt;='Detalle'!$K302,L$9&gt;='Detalle'!$J302),1,""))</x:f>
      </x:c>
      <x:c r="M617" s="32" t="str">
        <x:f>IF(OR('Detalle'!$J302="",'Detalle'!$K302="",'Detalle'!$L302=""),"",IF(AND(M$8&lt;='Detalle'!$K302,M$9&gt;='Detalle'!$J302),1,""))</x:f>
      </x:c>
      <x:c r="N617" s="32" t="str">
        <x:f>IF(OR('Detalle'!$J302="",'Detalle'!$K302="",'Detalle'!$L302=""),"",IF(AND(N$8&lt;='Detalle'!$K302,N$9&gt;='Detalle'!$J302),1,""))</x:f>
      </x:c>
      <x:c r="O617" s="32" t="str">
        <x:f>IF(OR('Detalle'!$J302="",'Detalle'!$K302="",'Detalle'!$L302=""),"",IF(AND(O$8&lt;='Detalle'!$K302,O$9&gt;='Detalle'!$J302),1,""))</x:f>
      </x:c>
      <x:c r="P617" s="32" t="str">
        <x:f>IF(OR('Detalle'!$J302="",'Detalle'!$K302="",'Detalle'!$L302=""),"",IF(AND(P$8&lt;='Detalle'!$K302,P$9&gt;='Detalle'!$J302),1,""))</x:f>
      </x:c>
      <x:c r="Q617" s="68"/>
      <x:c r="R617" s="67" t="str"/>
      <x:c r="S617" s="67" t="str"/>
    </x:row>
    <x:row r="618" ht="20" customHeight="1">
      <x:c r="A618" s="52" t="str">
        <x:v>PRO04 · Herramientas y permisos de los cuatro perfiles</x:v>
      </x:c>
      <x:c r="B618" s="52" t="str">
        <x:v>PRO04 · Herramientas y permisos de los cuatro perfiles</x:v>
      </x:c>
      <x:c r="C618" s="52" t="str">
        <x:v>PRO04 · Herramientas y permisos de los cuatro perfiles</x:v>
      </x:c>
      <x:c r="D618" s="52" t="str">
        <x:v>PRO04 · Herramientas y permisos de los cuatro perfiles</x:v>
      </x:c>
      <x:c r="E618" s="52" t="str">
        <x:v>PRO04 · Herramientas y permisos de los cuatro perfiles</x:v>
      </x:c>
      <x:c r="F618" s="53" t="str">
        <x:v>PRO04 · Herramientas y permisos de los cuatro perfiles</x:v>
      </x:c>
      <x:c r="G618" s="53" t="str">
        <x:v>PRO04 · Herramientas y permisos de los cuatro perfiles</x:v>
      </x:c>
      <x:c r="H618" s="53" t="str">
        <x:v>PRO04 · Herramientas y permisos de los cuatro perfiles</x:v>
      </x:c>
      <x:c r="I618" s="53" t="str">
        <x:v>PRO04 · Herramientas y permisos de los cuatro perfiles</x:v>
      </x:c>
      <x:c r="J618" s="53" t="str">
        <x:v>PRO04 · Herramientas y permisos de los cuatro perfiles</x:v>
      </x:c>
      <x:c r="K618" s="53" t="str">
        <x:v>PRO04 · Herramientas y permisos de los cuatro perfiles</x:v>
      </x:c>
      <x:c r="L618" s="53" t="str">
        <x:v>PRO04 · Herramientas y permisos de los cuatro perfiles</x:v>
      </x:c>
      <x:c r="M618" s="53" t="str">
        <x:v>PRO04 · Herramientas y permisos de los cuatro perfiles</x:v>
      </x:c>
      <x:c r="N618" s="53" t="str">
        <x:v>PRO04 · Herramientas y permisos de los cuatro perfiles</x:v>
      </x:c>
      <x:c r="O618" s="53" t="str">
        <x:v>PRO04 · Herramientas y permisos de los cuatro perfiles</x:v>
      </x:c>
      <x:c r="P618" s="53" t="str">
        <x:v>PRO04 · Herramientas y permisos de los cuatro perfiles</x:v>
      </x:c>
      <x:c r="Q618" s="52" t="str">
        <x:v>PRO04 · Herramientas y permisos de los cuatro perfiles</x:v>
      </x:c>
      <x:c r="R618" s="52" t="str">
        <x:v>PRO04 · Herramientas y permisos de los cuatro perfiles</x:v>
      </x:c>
      <x:c r="S618" s="52" t="str">
        <x:v>PRO04 · Herramientas y permisos de los cuatro perfiles</x:v>
      </x:c>
    </x:row>
    <x:row r="619" ht="16" customHeight="1">
      <x:c r="A619" s="56" t="str">
        <x:v>PRO04.001</x:v>
      </x:c>
      <x:c r="B619" s="57" t="str">
        <x:v>Crear panel privado de herramientas</x:v>
      </x:c>
      <x:c r="C619" s="62" t="str">
        <x:v>E</x:v>
      </x:c>
      <x:c r="D619" s="64" t="n">
        <x:f>'Detalle'!I303</x:f>
        <x:v>1</x:v>
      </x:c>
      <x:c r="E619" s="60" t="str">
        <x:f>'Detalle'!F303</x:f>
        <x:v>Completado</x:v>
      </x:c>
      <x:c r="F619" s="32" t="str">
        <x:f>IF(AND(F$8&lt;='Detalle'!$H303,F$9&gt;='Detalle'!$G303),1,"")</x:f>
      </x:c>
      <x:c r="G619" s="32" t="str">
        <x:f>IF(AND(G$8&lt;='Detalle'!$H303,G$9&gt;='Detalle'!$G303),1,"")</x:f>
      </x:c>
      <x:c r="H619" s="32" t="str">
        <x:f>IF(AND(H$8&lt;='Detalle'!$H303,H$9&gt;='Detalle'!$G303),1,"")</x:f>
      </x:c>
      <x:c r="I619" s="32" t="n">
        <x:f>IF(AND(I$8&lt;='Detalle'!$H303,I$9&gt;='Detalle'!$G303),1,"")</x:f>
        <x:v>1</x:v>
      </x:c>
      <x:c r="J619" s="32" t="str">
        <x:f>IF(AND(J$8&lt;='Detalle'!$H303,J$9&gt;='Detalle'!$G303),1,"")</x:f>
      </x:c>
      <x:c r="K619" s="32" t="str">
        <x:f>IF(AND(K$8&lt;='Detalle'!$H303,K$9&gt;='Detalle'!$G303),1,"")</x:f>
      </x:c>
      <x:c r="L619" s="32" t="str">
        <x:f>IF(AND(L$8&lt;='Detalle'!$H303,L$9&gt;='Detalle'!$G303),1,"")</x:f>
      </x:c>
      <x:c r="M619" s="32" t="str">
        <x:f>IF(AND(M$8&lt;='Detalle'!$H303,M$9&gt;='Detalle'!$G303),1,"")</x:f>
      </x:c>
      <x:c r="N619" s="32" t="str">
        <x:f>IF(AND(N$8&lt;='Detalle'!$H303,N$9&gt;='Detalle'!$G303),1,"")</x:f>
      </x:c>
      <x:c r="O619" s="32" t="str">
        <x:f>IF(AND(O$8&lt;='Detalle'!$H303,O$9&gt;='Detalle'!$G303),1,"")</x:f>
      </x:c>
      <x:c r="P619" s="32" t="str">
        <x:f>IF(AND(P$8&lt;='Detalle'!$H303,P$9&gt;='Detalle'!$G303),1,"")</x:f>
      </x:c>
      <x:c r="Q619" s="68"/>
      <x:c r="R619" s="67" t="str">
        <x:f>IF('Detalle'!M303="","",'Detalle'!M303)</x:f>
      </x:c>
      <x:c r="S619" s="67" t="str">
        <x:f>IF('Detalle'!N303="","",'Detalle'!N303)</x:f>
      </x:c>
    </x:row>
    <x:row r="620" ht="16" customHeight="1">
      <x:c r="A620" s="56" t="str">
        <x:v>PRO04.001</x:v>
      </x:c>
      <x:c r="B620" s="57" t="str">
        <x:v>Crear panel privado de herramientas</x:v>
      </x:c>
      <x:c r="C620" s="63" t="str">
        <x:v>R</x:v>
      </x:c>
      <x:c r="D620" s="65" t="str">
        <x:f>IF('Detalle'!L303="","",'Detalle'!L303)</x:f>
      </x:c>
      <x:c r="E620" s="60" t="str"/>
      <x:c r="F620" s="32" t="str">
        <x:f>IF(OR('Detalle'!$J303="",'Detalle'!$K303="",'Detalle'!$L303=""),"",IF(AND(F$8&lt;='Detalle'!$K303,F$9&gt;='Detalle'!$J303),1,""))</x:f>
      </x:c>
      <x:c r="G620" s="32" t="str">
        <x:f>IF(OR('Detalle'!$J303="",'Detalle'!$K303="",'Detalle'!$L303=""),"",IF(AND(G$8&lt;='Detalle'!$K303,G$9&gt;='Detalle'!$J303),1,""))</x:f>
      </x:c>
      <x:c r="H620" s="32" t="str">
        <x:f>IF(OR('Detalle'!$J303="",'Detalle'!$K303="",'Detalle'!$L303=""),"",IF(AND(H$8&lt;='Detalle'!$K303,H$9&gt;='Detalle'!$J303),1,""))</x:f>
      </x:c>
      <x:c r="I620" s="32" t="str">
        <x:f>IF(OR('Detalle'!$J303="",'Detalle'!$K303="",'Detalle'!$L303=""),"",IF(AND(I$8&lt;='Detalle'!$K303,I$9&gt;='Detalle'!$J303),1,""))</x:f>
      </x:c>
      <x:c r="J620" s="32" t="str">
        <x:f>IF(OR('Detalle'!$J303="",'Detalle'!$K303="",'Detalle'!$L303=""),"",IF(AND(J$8&lt;='Detalle'!$K303,J$9&gt;='Detalle'!$J303),1,""))</x:f>
      </x:c>
      <x:c r="K620" s="32" t="str">
        <x:f>IF(OR('Detalle'!$J303="",'Detalle'!$K303="",'Detalle'!$L303=""),"",IF(AND(K$8&lt;='Detalle'!$K303,K$9&gt;='Detalle'!$J303),1,""))</x:f>
      </x:c>
      <x:c r="L620" s="32" t="str">
        <x:f>IF(OR('Detalle'!$J303="",'Detalle'!$K303="",'Detalle'!$L303=""),"",IF(AND(L$8&lt;='Detalle'!$K303,L$9&gt;='Detalle'!$J303),1,""))</x:f>
      </x:c>
      <x:c r="M620" s="32" t="str">
        <x:f>IF(OR('Detalle'!$J303="",'Detalle'!$K303="",'Detalle'!$L303=""),"",IF(AND(M$8&lt;='Detalle'!$K303,M$9&gt;='Detalle'!$J303),1,""))</x:f>
      </x:c>
      <x:c r="N620" s="32" t="str">
        <x:f>IF(OR('Detalle'!$J303="",'Detalle'!$K303="",'Detalle'!$L303=""),"",IF(AND(N$8&lt;='Detalle'!$K303,N$9&gt;='Detalle'!$J303),1,""))</x:f>
      </x:c>
      <x:c r="O620" s="32" t="str">
        <x:f>IF(OR('Detalle'!$J303="",'Detalle'!$K303="",'Detalle'!$L303=""),"",IF(AND(O$8&lt;='Detalle'!$K303,O$9&gt;='Detalle'!$J303),1,""))</x:f>
      </x:c>
      <x:c r="P620" s="32" t="str">
        <x:f>IF(OR('Detalle'!$J303="",'Detalle'!$K303="",'Detalle'!$L303=""),"",IF(AND(P$8&lt;='Detalle'!$K303,P$9&gt;='Detalle'!$J303),1,""))</x:f>
      </x:c>
      <x:c r="Q620" s="68"/>
      <x:c r="R620" s="67" t="str"/>
      <x:c r="S620" s="67" t="str"/>
    </x:row>
    <x:row r="621" ht="16" customHeight="1">
      <x:c r="A621" s="56" t="str">
        <x:v>PRO04.002</x:v>
      </x:c>
      <x:c r="B621" s="57" t="str">
        <x:v>Abrir creación de publicación desde perfil</x:v>
      </x:c>
      <x:c r="C621" s="62" t="str">
        <x:v>E</x:v>
      </x:c>
      <x:c r="D621" s="64" t="n">
        <x:f>'Detalle'!I304</x:f>
        <x:v>1</x:v>
      </x:c>
      <x:c r="E621" s="60" t="str">
        <x:f>'Detalle'!F304</x:f>
        <x:v>Completado</x:v>
      </x:c>
      <x:c r="F621" s="32" t="str">
        <x:f>IF(AND(F$8&lt;='Detalle'!$H304,F$9&gt;='Detalle'!$G304),1,"")</x:f>
      </x:c>
      <x:c r="G621" s="32" t="str">
        <x:f>IF(AND(G$8&lt;='Detalle'!$H304,G$9&gt;='Detalle'!$G304),1,"")</x:f>
      </x:c>
      <x:c r="H621" s="32" t="str">
        <x:f>IF(AND(H$8&lt;='Detalle'!$H304,H$9&gt;='Detalle'!$G304),1,"")</x:f>
      </x:c>
      <x:c r="I621" s="32" t="n">
        <x:f>IF(AND(I$8&lt;='Detalle'!$H304,I$9&gt;='Detalle'!$G304),1,"")</x:f>
        <x:v>1</x:v>
      </x:c>
      <x:c r="J621" s="32" t="str">
        <x:f>IF(AND(J$8&lt;='Detalle'!$H304,J$9&gt;='Detalle'!$G304),1,"")</x:f>
      </x:c>
      <x:c r="K621" s="32" t="str">
        <x:f>IF(AND(K$8&lt;='Detalle'!$H304,K$9&gt;='Detalle'!$G304),1,"")</x:f>
      </x:c>
      <x:c r="L621" s="32" t="str">
        <x:f>IF(AND(L$8&lt;='Detalle'!$H304,L$9&gt;='Detalle'!$G304),1,"")</x:f>
      </x:c>
      <x:c r="M621" s="32" t="str">
        <x:f>IF(AND(M$8&lt;='Detalle'!$H304,M$9&gt;='Detalle'!$G304),1,"")</x:f>
      </x:c>
      <x:c r="N621" s="32" t="str">
        <x:f>IF(AND(N$8&lt;='Detalle'!$H304,N$9&gt;='Detalle'!$G304),1,"")</x:f>
      </x:c>
      <x:c r="O621" s="32" t="str">
        <x:f>IF(AND(O$8&lt;='Detalle'!$H304,O$9&gt;='Detalle'!$G304),1,"")</x:f>
      </x:c>
      <x:c r="P621" s="32" t="str">
        <x:f>IF(AND(P$8&lt;='Detalle'!$H304,P$9&gt;='Detalle'!$G304),1,"")</x:f>
      </x:c>
      <x:c r="Q621" s="68"/>
      <x:c r="R621" s="67" t="str">
        <x:f>IF('Detalle'!M304="","",'Detalle'!M304)</x:f>
      </x:c>
      <x:c r="S621" s="67" t="str">
        <x:f>IF('Detalle'!N304="","",'Detalle'!N304)</x:f>
      </x:c>
    </x:row>
    <x:row r="622" ht="16" customHeight="1">
      <x:c r="A622" s="56" t="str">
        <x:v>PRO04.002</x:v>
      </x:c>
      <x:c r="B622" s="57" t="str">
        <x:v>Abrir creación de publicación desde perfil</x:v>
      </x:c>
      <x:c r="C622" s="63" t="str">
        <x:v>R</x:v>
      </x:c>
      <x:c r="D622" s="65" t="str">
        <x:f>IF('Detalle'!L304="","",'Detalle'!L304)</x:f>
      </x:c>
      <x:c r="E622" s="60" t="str"/>
      <x:c r="F622" s="32" t="str">
        <x:f>IF(OR('Detalle'!$J304="",'Detalle'!$K304="",'Detalle'!$L304=""),"",IF(AND(F$8&lt;='Detalle'!$K304,F$9&gt;='Detalle'!$J304),1,""))</x:f>
      </x:c>
      <x:c r="G622" s="32" t="str">
        <x:f>IF(OR('Detalle'!$J304="",'Detalle'!$K304="",'Detalle'!$L304=""),"",IF(AND(G$8&lt;='Detalle'!$K304,G$9&gt;='Detalle'!$J304),1,""))</x:f>
      </x:c>
      <x:c r="H622" s="32" t="str">
        <x:f>IF(OR('Detalle'!$J304="",'Detalle'!$K304="",'Detalle'!$L304=""),"",IF(AND(H$8&lt;='Detalle'!$K304,H$9&gt;='Detalle'!$J304),1,""))</x:f>
      </x:c>
      <x:c r="I622" s="32" t="str">
        <x:f>IF(OR('Detalle'!$J304="",'Detalle'!$K304="",'Detalle'!$L304=""),"",IF(AND(I$8&lt;='Detalle'!$K304,I$9&gt;='Detalle'!$J304),1,""))</x:f>
      </x:c>
      <x:c r="J622" s="32" t="str">
        <x:f>IF(OR('Detalle'!$J304="",'Detalle'!$K304="",'Detalle'!$L304=""),"",IF(AND(J$8&lt;='Detalle'!$K304,J$9&gt;='Detalle'!$J304),1,""))</x:f>
      </x:c>
      <x:c r="K622" s="32" t="str">
        <x:f>IF(OR('Detalle'!$J304="",'Detalle'!$K304="",'Detalle'!$L304=""),"",IF(AND(K$8&lt;='Detalle'!$K304,K$9&gt;='Detalle'!$J304),1,""))</x:f>
      </x:c>
      <x:c r="L622" s="32" t="str">
        <x:f>IF(OR('Detalle'!$J304="",'Detalle'!$K304="",'Detalle'!$L304=""),"",IF(AND(L$8&lt;='Detalle'!$K304,L$9&gt;='Detalle'!$J304),1,""))</x:f>
      </x:c>
      <x:c r="M622" s="32" t="str">
        <x:f>IF(OR('Detalle'!$J304="",'Detalle'!$K304="",'Detalle'!$L304=""),"",IF(AND(M$8&lt;='Detalle'!$K304,M$9&gt;='Detalle'!$J304),1,""))</x:f>
      </x:c>
      <x:c r="N622" s="32" t="str">
        <x:f>IF(OR('Detalle'!$J304="",'Detalle'!$K304="",'Detalle'!$L304=""),"",IF(AND(N$8&lt;='Detalle'!$K304,N$9&gt;='Detalle'!$J304),1,""))</x:f>
      </x:c>
      <x:c r="O622" s="32" t="str">
        <x:f>IF(OR('Detalle'!$J304="",'Detalle'!$K304="",'Detalle'!$L304=""),"",IF(AND(O$8&lt;='Detalle'!$K304,O$9&gt;='Detalle'!$J304),1,""))</x:f>
      </x:c>
      <x:c r="P622" s="32" t="str">
        <x:f>IF(OR('Detalle'!$J304="",'Detalle'!$K304="",'Detalle'!$L304=""),"",IF(AND(P$8&lt;='Detalle'!$K304,P$9&gt;='Detalle'!$J304),1,""))</x:f>
      </x:c>
      <x:c r="Q622" s="68"/>
      <x:c r="R622" s="67" t="str"/>
      <x:c r="S622" s="67" t="str"/>
    </x:row>
    <x:row r="623" ht="16" customHeight="1">
      <x:c r="A623" s="56" t="str">
        <x:v>PRO04.003</x:v>
      </x:c>
      <x:c r="B623" s="57" t="str">
        <x:v>Abrir creación de misión desde perfil</x:v>
      </x:c>
      <x:c r="C623" s="62" t="str">
        <x:v>E</x:v>
      </x:c>
      <x:c r="D623" s="64" t="n">
        <x:f>'Detalle'!I305</x:f>
        <x:v>1</x:v>
      </x:c>
      <x:c r="E623" s="60" t="str">
        <x:f>'Detalle'!F305</x:f>
        <x:v>Completado</x:v>
      </x:c>
      <x:c r="F623" s="32" t="str">
        <x:f>IF(AND(F$8&lt;='Detalle'!$H305,F$9&gt;='Detalle'!$G305),1,"")</x:f>
      </x:c>
      <x:c r="G623" s="32" t="str">
        <x:f>IF(AND(G$8&lt;='Detalle'!$H305,G$9&gt;='Detalle'!$G305),1,"")</x:f>
      </x:c>
      <x:c r="H623" s="32" t="str">
        <x:f>IF(AND(H$8&lt;='Detalle'!$H305,H$9&gt;='Detalle'!$G305),1,"")</x:f>
      </x:c>
      <x:c r="I623" s="32" t="n">
        <x:f>IF(AND(I$8&lt;='Detalle'!$H305,I$9&gt;='Detalle'!$G305),1,"")</x:f>
        <x:v>1</x:v>
      </x:c>
      <x:c r="J623" s="32" t="str">
        <x:f>IF(AND(J$8&lt;='Detalle'!$H305,J$9&gt;='Detalle'!$G305),1,"")</x:f>
      </x:c>
      <x:c r="K623" s="32" t="str">
        <x:f>IF(AND(K$8&lt;='Detalle'!$H305,K$9&gt;='Detalle'!$G305),1,"")</x:f>
      </x:c>
      <x:c r="L623" s="32" t="str">
        <x:f>IF(AND(L$8&lt;='Detalle'!$H305,L$9&gt;='Detalle'!$G305),1,"")</x:f>
      </x:c>
      <x:c r="M623" s="32" t="str">
        <x:f>IF(AND(M$8&lt;='Detalle'!$H305,M$9&gt;='Detalle'!$G305),1,"")</x:f>
      </x:c>
      <x:c r="N623" s="32" t="str">
        <x:f>IF(AND(N$8&lt;='Detalle'!$H305,N$9&gt;='Detalle'!$G305),1,"")</x:f>
      </x:c>
      <x:c r="O623" s="32" t="str">
        <x:f>IF(AND(O$8&lt;='Detalle'!$H305,O$9&gt;='Detalle'!$G305),1,"")</x:f>
      </x:c>
      <x:c r="P623" s="32" t="str">
        <x:f>IF(AND(P$8&lt;='Detalle'!$H305,P$9&gt;='Detalle'!$G305),1,"")</x:f>
      </x:c>
      <x:c r="Q623" s="68"/>
      <x:c r="R623" s="67" t="str">
        <x:f>IF('Detalle'!M305="","",'Detalle'!M305)</x:f>
      </x:c>
      <x:c r="S623" s="67" t="str">
        <x:f>IF('Detalle'!N305="","",'Detalle'!N305)</x:f>
      </x:c>
    </x:row>
    <x:row r="624" ht="16" customHeight="1">
      <x:c r="A624" s="56" t="str">
        <x:v>PRO04.003</x:v>
      </x:c>
      <x:c r="B624" s="57" t="str">
        <x:v>Abrir creación de misión desde perfil</x:v>
      </x:c>
      <x:c r="C624" s="63" t="str">
        <x:v>R</x:v>
      </x:c>
      <x:c r="D624" s="65" t="str">
        <x:f>IF('Detalle'!L305="","",'Detalle'!L305)</x:f>
      </x:c>
      <x:c r="E624" s="60" t="str"/>
      <x:c r="F624" s="32" t="str">
        <x:f>IF(OR('Detalle'!$J305="",'Detalle'!$K305="",'Detalle'!$L305=""),"",IF(AND(F$8&lt;='Detalle'!$K305,F$9&gt;='Detalle'!$J305),1,""))</x:f>
      </x:c>
      <x:c r="G624" s="32" t="str">
        <x:f>IF(OR('Detalle'!$J305="",'Detalle'!$K305="",'Detalle'!$L305=""),"",IF(AND(G$8&lt;='Detalle'!$K305,G$9&gt;='Detalle'!$J305),1,""))</x:f>
      </x:c>
      <x:c r="H624" s="32" t="str">
        <x:f>IF(OR('Detalle'!$J305="",'Detalle'!$K305="",'Detalle'!$L305=""),"",IF(AND(H$8&lt;='Detalle'!$K305,H$9&gt;='Detalle'!$J305),1,""))</x:f>
      </x:c>
      <x:c r="I624" s="32" t="str">
        <x:f>IF(OR('Detalle'!$J305="",'Detalle'!$K305="",'Detalle'!$L305=""),"",IF(AND(I$8&lt;='Detalle'!$K305,I$9&gt;='Detalle'!$J305),1,""))</x:f>
      </x:c>
      <x:c r="J624" s="32" t="str">
        <x:f>IF(OR('Detalle'!$J305="",'Detalle'!$K305="",'Detalle'!$L305=""),"",IF(AND(J$8&lt;='Detalle'!$K305,J$9&gt;='Detalle'!$J305),1,""))</x:f>
      </x:c>
      <x:c r="K624" s="32" t="str">
        <x:f>IF(OR('Detalle'!$J305="",'Detalle'!$K305="",'Detalle'!$L305=""),"",IF(AND(K$8&lt;='Detalle'!$K305,K$9&gt;='Detalle'!$J305),1,""))</x:f>
      </x:c>
      <x:c r="L624" s="32" t="str">
        <x:f>IF(OR('Detalle'!$J305="",'Detalle'!$K305="",'Detalle'!$L305=""),"",IF(AND(L$8&lt;='Detalle'!$K305,L$9&gt;='Detalle'!$J305),1,""))</x:f>
      </x:c>
      <x:c r="M624" s="32" t="str">
        <x:f>IF(OR('Detalle'!$J305="",'Detalle'!$K305="",'Detalle'!$L305=""),"",IF(AND(M$8&lt;='Detalle'!$K305,M$9&gt;='Detalle'!$J305),1,""))</x:f>
      </x:c>
      <x:c r="N624" s="32" t="str">
        <x:f>IF(OR('Detalle'!$J305="",'Detalle'!$K305="",'Detalle'!$L305=""),"",IF(AND(N$8&lt;='Detalle'!$K305,N$9&gt;='Detalle'!$J305),1,""))</x:f>
      </x:c>
      <x:c r="O624" s="32" t="str">
        <x:f>IF(OR('Detalle'!$J305="",'Detalle'!$K305="",'Detalle'!$L305=""),"",IF(AND(O$8&lt;='Detalle'!$K305,O$9&gt;='Detalle'!$J305),1,""))</x:f>
      </x:c>
      <x:c r="P624" s="32" t="str">
        <x:f>IF(OR('Detalle'!$J305="",'Detalle'!$K305="",'Detalle'!$L305=""),"",IF(AND(P$8&lt;='Detalle'!$K305,P$9&gt;='Detalle'!$J305),1,""))</x:f>
      </x:c>
      <x:c r="Q624" s="68"/>
      <x:c r="R624" s="67" t="str"/>
      <x:c r="S624" s="67" t="str"/>
    </x:row>
    <x:row r="625" ht="16" customHeight="1">
      <x:c r="A625" s="56" t="str">
        <x:v>PRO04.004</x:v>
      </x:c>
      <x:c r="B625" s="57" t="str">
        <x:v>Ofrecer obra al creador</x:v>
      </x:c>
      <x:c r="C625" s="62" t="str">
        <x:v>E</x:v>
      </x:c>
      <x:c r="D625" s="64" t="n">
        <x:f>'Detalle'!I306</x:f>
        <x:v>1</x:v>
      </x:c>
      <x:c r="E625" s="60" t="str">
        <x:f>'Detalle'!F306</x:f>
        <x:v>Completado</x:v>
      </x:c>
      <x:c r="F625" s="32" t="str">
        <x:f>IF(AND(F$8&lt;='Detalle'!$H306,F$9&gt;='Detalle'!$G306),1,"")</x:f>
      </x:c>
      <x:c r="G625" s="32" t="str">
        <x:f>IF(AND(G$8&lt;='Detalle'!$H306,G$9&gt;='Detalle'!$G306),1,"")</x:f>
      </x:c>
      <x:c r="H625" s="32" t="str">
        <x:f>IF(AND(H$8&lt;='Detalle'!$H306,H$9&gt;='Detalle'!$G306),1,"")</x:f>
      </x:c>
      <x:c r="I625" s="32" t="n">
        <x:f>IF(AND(I$8&lt;='Detalle'!$H306,I$9&gt;='Detalle'!$G306),1,"")</x:f>
        <x:v>1</x:v>
      </x:c>
      <x:c r="J625" s="32" t="str">
        <x:f>IF(AND(J$8&lt;='Detalle'!$H306,J$9&gt;='Detalle'!$G306),1,"")</x:f>
      </x:c>
      <x:c r="K625" s="32" t="str">
        <x:f>IF(AND(K$8&lt;='Detalle'!$H306,K$9&gt;='Detalle'!$G306),1,"")</x:f>
      </x:c>
      <x:c r="L625" s="32" t="str">
        <x:f>IF(AND(L$8&lt;='Detalle'!$H306,L$9&gt;='Detalle'!$G306),1,"")</x:f>
      </x:c>
      <x:c r="M625" s="32" t="str">
        <x:f>IF(AND(M$8&lt;='Detalle'!$H306,M$9&gt;='Detalle'!$G306),1,"")</x:f>
      </x:c>
      <x:c r="N625" s="32" t="str">
        <x:f>IF(AND(N$8&lt;='Detalle'!$H306,N$9&gt;='Detalle'!$G306),1,"")</x:f>
      </x:c>
      <x:c r="O625" s="32" t="str">
        <x:f>IF(AND(O$8&lt;='Detalle'!$H306,O$9&gt;='Detalle'!$G306),1,"")</x:f>
      </x:c>
      <x:c r="P625" s="32" t="str">
        <x:f>IF(AND(P$8&lt;='Detalle'!$H306,P$9&gt;='Detalle'!$G306),1,"")</x:f>
      </x:c>
      <x:c r="Q625" s="68"/>
      <x:c r="R625" s="67" t="str">
        <x:f>IF('Detalle'!M306="","",'Detalle'!M306)</x:f>
      </x:c>
      <x:c r="S625" s="67" t="str">
        <x:f>IF('Detalle'!N306="","",'Detalle'!N306)</x:f>
      </x:c>
    </x:row>
    <x:row r="626" ht="16" customHeight="1">
      <x:c r="A626" s="56" t="str">
        <x:v>PRO04.004</x:v>
      </x:c>
      <x:c r="B626" s="57" t="str">
        <x:v>Ofrecer obra al creador</x:v>
      </x:c>
      <x:c r="C626" s="63" t="str">
        <x:v>R</x:v>
      </x:c>
      <x:c r="D626" s="65" t="str">
        <x:f>IF('Detalle'!L306="","",'Detalle'!L306)</x:f>
      </x:c>
      <x:c r="E626" s="60" t="str"/>
      <x:c r="F626" s="32" t="str">
        <x:f>IF(OR('Detalle'!$J306="",'Detalle'!$K306="",'Detalle'!$L306=""),"",IF(AND(F$8&lt;='Detalle'!$K306,F$9&gt;='Detalle'!$J306),1,""))</x:f>
      </x:c>
      <x:c r="G626" s="32" t="str">
        <x:f>IF(OR('Detalle'!$J306="",'Detalle'!$K306="",'Detalle'!$L306=""),"",IF(AND(G$8&lt;='Detalle'!$K306,G$9&gt;='Detalle'!$J306),1,""))</x:f>
      </x:c>
      <x:c r="H626" s="32" t="str">
        <x:f>IF(OR('Detalle'!$J306="",'Detalle'!$K306="",'Detalle'!$L306=""),"",IF(AND(H$8&lt;='Detalle'!$K306,H$9&gt;='Detalle'!$J306),1,""))</x:f>
      </x:c>
      <x:c r="I626" s="32" t="str">
        <x:f>IF(OR('Detalle'!$J306="",'Detalle'!$K306="",'Detalle'!$L306=""),"",IF(AND(I$8&lt;='Detalle'!$K306,I$9&gt;='Detalle'!$J306),1,""))</x:f>
      </x:c>
      <x:c r="J626" s="32" t="str">
        <x:f>IF(OR('Detalle'!$J306="",'Detalle'!$K306="",'Detalle'!$L306=""),"",IF(AND(J$8&lt;='Detalle'!$K306,J$9&gt;='Detalle'!$J306),1,""))</x:f>
      </x:c>
      <x:c r="K626" s="32" t="str">
        <x:f>IF(OR('Detalle'!$J306="",'Detalle'!$K306="",'Detalle'!$L306=""),"",IF(AND(K$8&lt;='Detalle'!$K306,K$9&gt;='Detalle'!$J306),1,""))</x:f>
      </x:c>
      <x:c r="L626" s="32" t="str">
        <x:f>IF(OR('Detalle'!$J306="",'Detalle'!$K306="",'Detalle'!$L306=""),"",IF(AND(L$8&lt;='Detalle'!$K306,L$9&gt;='Detalle'!$J306),1,""))</x:f>
      </x:c>
      <x:c r="M626" s="32" t="str">
        <x:f>IF(OR('Detalle'!$J306="",'Detalle'!$K306="",'Detalle'!$L306=""),"",IF(AND(M$8&lt;='Detalle'!$K306,M$9&gt;='Detalle'!$J306),1,""))</x:f>
      </x:c>
      <x:c r="N626" s="32" t="str">
        <x:f>IF(OR('Detalle'!$J306="",'Detalle'!$K306="",'Detalle'!$L306=""),"",IF(AND(N$8&lt;='Detalle'!$K306,N$9&gt;='Detalle'!$J306),1,""))</x:f>
      </x:c>
      <x:c r="O626" s="32" t="str">
        <x:f>IF(OR('Detalle'!$J306="",'Detalle'!$K306="",'Detalle'!$L306=""),"",IF(AND(O$8&lt;='Detalle'!$K306,O$9&gt;='Detalle'!$J306),1,""))</x:f>
      </x:c>
      <x:c r="P626" s="32" t="str">
        <x:f>IF(OR('Detalle'!$J306="",'Detalle'!$K306="",'Detalle'!$L306=""),"",IF(AND(P$8&lt;='Detalle'!$K306,P$9&gt;='Detalle'!$J306),1,""))</x:f>
      </x:c>
      <x:c r="Q626" s="68"/>
      <x:c r="R626" s="67" t="str"/>
      <x:c r="S626" s="67" t="str"/>
    </x:row>
    <x:row r="627" ht="16" customHeight="1">
      <x:c r="A627" s="56" t="str">
        <x:v>PRO04.005</x:v>
      </x:c>
      <x:c r="B627" s="57" t="str">
        <x:v>Ofrecer producto y servicio al emprendimiento</x:v>
      </x:c>
      <x:c r="C627" s="62" t="str">
        <x:v>E</x:v>
      </x:c>
      <x:c r="D627" s="64" t="n">
        <x:f>'Detalle'!I307</x:f>
        <x:v>1</x:v>
      </x:c>
      <x:c r="E627" s="60" t="str">
        <x:f>'Detalle'!F307</x:f>
        <x:v>Completado</x:v>
      </x:c>
      <x:c r="F627" s="32" t="str">
        <x:f>IF(AND(F$8&lt;='Detalle'!$H307,F$9&gt;='Detalle'!$G307),1,"")</x:f>
      </x:c>
      <x:c r="G627" s="32" t="str">
        <x:f>IF(AND(G$8&lt;='Detalle'!$H307,G$9&gt;='Detalle'!$G307),1,"")</x:f>
      </x:c>
      <x:c r="H627" s="32" t="str">
        <x:f>IF(AND(H$8&lt;='Detalle'!$H307,H$9&gt;='Detalle'!$G307),1,"")</x:f>
      </x:c>
      <x:c r="I627" s="32" t="n">
        <x:f>IF(AND(I$8&lt;='Detalle'!$H307,I$9&gt;='Detalle'!$G307),1,"")</x:f>
        <x:v>1</x:v>
      </x:c>
      <x:c r="J627" s="32" t="str">
        <x:f>IF(AND(J$8&lt;='Detalle'!$H307,J$9&gt;='Detalle'!$G307),1,"")</x:f>
      </x:c>
      <x:c r="K627" s="32" t="str">
        <x:f>IF(AND(K$8&lt;='Detalle'!$H307,K$9&gt;='Detalle'!$G307),1,"")</x:f>
      </x:c>
      <x:c r="L627" s="32" t="str">
        <x:f>IF(AND(L$8&lt;='Detalle'!$H307,L$9&gt;='Detalle'!$G307),1,"")</x:f>
      </x:c>
      <x:c r="M627" s="32" t="str">
        <x:f>IF(AND(M$8&lt;='Detalle'!$H307,M$9&gt;='Detalle'!$G307),1,"")</x:f>
      </x:c>
      <x:c r="N627" s="32" t="str">
        <x:f>IF(AND(N$8&lt;='Detalle'!$H307,N$9&gt;='Detalle'!$G307),1,"")</x:f>
      </x:c>
      <x:c r="O627" s="32" t="str">
        <x:f>IF(AND(O$8&lt;='Detalle'!$H307,O$9&gt;='Detalle'!$G307),1,"")</x:f>
      </x:c>
      <x:c r="P627" s="32" t="str">
        <x:f>IF(AND(P$8&lt;='Detalle'!$H307,P$9&gt;='Detalle'!$G307),1,"")</x:f>
      </x:c>
      <x:c r="Q627" s="68"/>
      <x:c r="R627" s="67" t="str">
        <x:f>IF('Detalle'!M307="","",'Detalle'!M307)</x:f>
      </x:c>
      <x:c r="S627" s="67" t="str">
        <x:f>IF('Detalle'!N307="","",'Detalle'!N307)</x:f>
      </x:c>
    </x:row>
    <x:row r="628" ht="16" customHeight="1">
      <x:c r="A628" s="56" t="str">
        <x:v>PRO04.005</x:v>
      </x:c>
      <x:c r="B628" s="57" t="str">
        <x:v>Ofrecer producto y servicio al emprendimiento</x:v>
      </x:c>
      <x:c r="C628" s="63" t="str">
        <x:v>R</x:v>
      </x:c>
      <x:c r="D628" s="65" t="str">
        <x:f>IF('Detalle'!L307="","",'Detalle'!L307)</x:f>
      </x:c>
      <x:c r="E628" s="60" t="str"/>
      <x:c r="F628" s="32" t="str">
        <x:f>IF(OR('Detalle'!$J307="",'Detalle'!$K307="",'Detalle'!$L307=""),"",IF(AND(F$8&lt;='Detalle'!$K307,F$9&gt;='Detalle'!$J307),1,""))</x:f>
      </x:c>
      <x:c r="G628" s="32" t="str">
        <x:f>IF(OR('Detalle'!$J307="",'Detalle'!$K307="",'Detalle'!$L307=""),"",IF(AND(G$8&lt;='Detalle'!$K307,G$9&gt;='Detalle'!$J307),1,""))</x:f>
      </x:c>
      <x:c r="H628" s="32" t="str">
        <x:f>IF(OR('Detalle'!$J307="",'Detalle'!$K307="",'Detalle'!$L307=""),"",IF(AND(H$8&lt;='Detalle'!$K307,H$9&gt;='Detalle'!$J307),1,""))</x:f>
      </x:c>
      <x:c r="I628" s="32" t="str">
        <x:f>IF(OR('Detalle'!$J307="",'Detalle'!$K307="",'Detalle'!$L307=""),"",IF(AND(I$8&lt;='Detalle'!$K307,I$9&gt;='Detalle'!$J307),1,""))</x:f>
      </x:c>
      <x:c r="J628" s="32" t="str">
        <x:f>IF(OR('Detalle'!$J307="",'Detalle'!$K307="",'Detalle'!$L307=""),"",IF(AND(J$8&lt;='Detalle'!$K307,J$9&gt;='Detalle'!$J307),1,""))</x:f>
      </x:c>
      <x:c r="K628" s="32" t="str">
        <x:f>IF(OR('Detalle'!$J307="",'Detalle'!$K307="",'Detalle'!$L307=""),"",IF(AND(K$8&lt;='Detalle'!$K307,K$9&gt;='Detalle'!$J307),1,""))</x:f>
      </x:c>
      <x:c r="L628" s="32" t="str">
        <x:f>IF(OR('Detalle'!$J307="",'Detalle'!$K307="",'Detalle'!$L307=""),"",IF(AND(L$8&lt;='Detalle'!$K307,L$9&gt;='Detalle'!$J307),1,""))</x:f>
      </x:c>
      <x:c r="M628" s="32" t="str">
        <x:f>IF(OR('Detalle'!$J307="",'Detalle'!$K307="",'Detalle'!$L307=""),"",IF(AND(M$8&lt;='Detalle'!$K307,M$9&gt;='Detalle'!$J307),1,""))</x:f>
      </x:c>
      <x:c r="N628" s="32" t="str">
        <x:f>IF(OR('Detalle'!$J307="",'Detalle'!$K307="",'Detalle'!$L307=""),"",IF(AND(N$8&lt;='Detalle'!$K307,N$9&gt;='Detalle'!$J307),1,""))</x:f>
      </x:c>
      <x:c r="O628" s="32" t="str">
        <x:f>IF(OR('Detalle'!$J307="",'Detalle'!$K307="",'Detalle'!$L307=""),"",IF(AND(O$8&lt;='Detalle'!$K307,O$9&gt;='Detalle'!$J307),1,""))</x:f>
      </x:c>
      <x:c r="P628" s="32" t="str">
        <x:f>IF(OR('Detalle'!$J307="",'Detalle'!$K307="",'Detalle'!$L307=""),"",IF(AND(P$8&lt;='Detalle'!$K307,P$9&gt;='Detalle'!$J307),1,""))</x:f>
      </x:c>
      <x:c r="Q628" s="68"/>
      <x:c r="R628" s="67" t="str"/>
      <x:c r="S628" s="67" t="str"/>
    </x:row>
    <x:row r="629" ht="16" customHeight="1">
      <x:c r="A629" s="56" t="str">
        <x:v>PRO04.006</x:v>
      </x:c>
      <x:c r="B629" s="57" t="str">
        <x:v>Ofrecer servicio al negocio</x:v>
      </x:c>
      <x:c r="C629" s="62" t="str">
        <x:v>E</x:v>
      </x:c>
      <x:c r="D629" s="64" t="n">
        <x:f>'Detalle'!I308</x:f>
        <x:v>1</x:v>
      </x:c>
      <x:c r="E629" s="60" t="str">
        <x:f>'Detalle'!F308</x:f>
        <x:v>Completado</x:v>
      </x:c>
      <x:c r="F629" s="32" t="str">
        <x:f>IF(AND(F$8&lt;='Detalle'!$H308,F$9&gt;='Detalle'!$G308),1,"")</x:f>
      </x:c>
      <x:c r="G629" s="32" t="str">
        <x:f>IF(AND(G$8&lt;='Detalle'!$H308,G$9&gt;='Detalle'!$G308),1,"")</x:f>
      </x:c>
      <x:c r="H629" s="32" t="str">
        <x:f>IF(AND(H$8&lt;='Detalle'!$H308,H$9&gt;='Detalle'!$G308),1,"")</x:f>
      </x:c>
      <x:c r="I629" s="32" t="n">
        <x:f>IF(AND(I$8&lt;='Detalle'!$H308,I$9&gt;='Detalle'!$G308),1,"")</x:f>
        <x:v>1</x:v>
      </x:c>
      <x:c r="J629" s="32" t="str">
        <x:f>IF(AND(J$8&lt;='Detalle'!$H308,J$9&gt;='Detalle'!$G308),1,"")</x:f>
      </x:c>
      <x:c r="K629" s="32" t="str">
        <x:f>IF(AND(K$8&lt;='Detalle'!$H308,K$9&gt;='Detalle'!$G308),1,"")</x:f>
      </x:c>
      <x:c r="L629" s="32" t="str">
        <x:f>IF(AND(L$8&lt;='Detalle'!$H308,L$9&gt;='Detalle'!$G308),1,"")</x:f>
      </x:c>
      <x:c r="M629" s="32" t="str">
        <x:f>IF(AND(M$8&lt;='Detalle'!$H308,M$9&gt;='Detalle'!$G308),1,"")</x:f>
      </x:c>
      <x:c r="N629" s="32" t="str">
        <x:f>IF(AND(N$8&lt;='Detalle'!$H308,N$9&gt;='Detalle'!$G308),1,"")</x:f>
      </x:c>
      <x:c r="O629" s="32" t="str">
        <x:f>IF(AND(O$8&lt;='Detalle'!$H308,O$9&gt;='Detalle'!$G308),1,"")</x:f>
      </x:c>
      <x:c r="P629" s="32" t="str">
        <x:f>IF(AND(P$8&lt;='Detalle'!$H308,P$9&gt;='Detalle'!$G308),1,"")</x:f>
      </x:c>
      <x:c r="Q629" s="68"/>
      <x:c r="R629" s="67" t="str">
        <x:f>IF('Detalle'!M308="","",'Detalle'!M308)</x:f>
      </x:c>
      <x:c r="S629" s="67" t="str">
        <x:f>IF('Detalle'!N308="","",'Detalle'!N308)</x:f>
      </x:c>
    </x:row>
    <x:row r="630" ht="16" customHeight="1">
      <x:c r="A630" s="56" t="str">
        <x:v>PRO04.006</x:v>
      </x:c>
      <x:c r="B630" s="57" t="str">
        <x:v>Ofrecer servicio al negocio</x:v>
      </x:c>
      <x:c r="C630" s="63" t="str">
        <x:v>R</x:v>
      </x:c>
      <x:c r="D630" s="65" t="str">
        <x:f>IF('Detalle'!L308="","",'Detalle'!L308)</x:f>
      </x:c>
      <x:c r="E630" s="60" t="str"/>
      <x:c r="F630" s="32" t="str">
        <x:f>IF(OR('Detalle'!$J308="",'Detalle'!$K308="",'Detalle'!$L308=""),"",IF(AND(F$8&lt;='Detalle'!$K308,F$9&gt;='Detalle'!$J308),1,""))</x:f>
      </x:c>
      <x:c r="G630" s="32" t="str">
        <x:f>IF(OR('Detalle'!$J308="",'Detalle'!$K308="",'Detalle'!$L308=""),"",IF(AND(G$8&lt;='Detalle'!$K308,G$9&gt;='Detalle'!$J308),1,""))</x:f>
      </x:c>
      <x:c r="H630" s="32" t="str">
        <x:f>IF(OR('Detalle'!$J308="",'Detalle'!$K308="",'Detalle'!$L308=""),"",IF(AND(H$8&lt;='Detalle'!$K308,H$9&gt;='Detalle'!$J308),1,""))</x:f>
      </x:c>
      <x:c r="I630" s="32" t="str">
        <x:f>IF(OR('Detalle'!$J308="",'Detalle'!$K308="",'Detalle'!$L308=""),"",IF(AND(I$8&lt;='Detalle'!$K308,I$9&gt;='Detalle'!$J308),1,""))</x:f>
      </x:c>
      <x:c r="J630" s="32" t="str">
        <x:f>IF(OR('Detalle'!$J308="",'Detalle'!$K308="",'Detalle'!$L308=""),"",IF(AND(J$8&lt;='Detalle'!$K308,J$9&gt;='Detalle'!$J308),1,""))</x:f>
      </x:c>
      <x:c r="K630" s="32" t="str">
        <x:f>IF(OR('Detalle'!$J308="",'Detalle'!$K308="",'Detalle'!$L308=""),"",IF(AND(K$8&lt;='Detalle'!$K308,K$9&gt;='Detalle'!$J308),1,""))</x:f>
      </x:c>
      <x:c r="L630" s="32" t="str">
        <x:f>IF(OR('Detalle'!$J308="",'Detalle'!$K308="",'Detalle'!$L308=""),"",IF(AND(L$8&lt;='Detalle'!$K308,L$9&gt;='Detalle'!$J308),1,""))</x:f>
      </x:c>
      <x:c r="M630" s="32" t="str">
        <x:f>IF(OR('Detalle'!$J308="",'Detalle'!$K308="",'Detalle'!$L308=""),"",IF(AND(M$8&lt;='Detalle'!$K308,M$9&gt;='Detalle'!$J308),1,""))</x:f>
      </x:c>
      <x:c r="N630" s="32" t="str">
        <x:f>IF(OR('Detalle'!$J308="",'Detalle'!$K308="",'Detalle'!$L308=""),"",IF(AND(N$8&lt;='Detalle'!$K308,N$9&gt;='Detalle'!$J308),1,""))</x:f>
      </x:c>
      <x:c r="O630" s="32" t="str">
        <x:f>IF(OR('Detalle'!$J308="",'Detalle'!$K308="",'Detalle'!$L308=""),"",IF(AND(O$8&lt;='Detalle'!$K308,O$9&gt;='Detalle'!$J308),1,""))</x:f>
      </x:c>
      <x:c r="P630" s="32" t="str">
        <x:f>IF(OR('Detalle'!$J308="",'Detalle'!$K308="",'Detalle'!$L308=""),"",IF(AND(P$8&lt;='Detalle'!$K308,P$9&gt;='Detalle'!$J308),1,""))</x:f>
      </x:c>
      <x:c r="Q630" s="68"/>
      <x:c r="R630" s="67" t="str"/>
      <x:c r="S630" s="67" t="str"/>
    </x:row>
    <x:row r="631" ht="16" customHeight="1">
      <x:c r="A631" s="56" t="str">
        <x:v>PRO04.007</x:v>
      </x:c>
      <x:c r="B631" s="57" t="str">
        <x:v>Abrir datos profesionales desde herramientas</x:v>
      </x:c>
      <x:c r="C631" s="62" t="str">
        <x:v>E</x:v>
      </x:c>
      <x:c r="D631" s="64" t="n">
        <x:f>'Detalle'!I309</x:f>
        <x:v>1</x:v>
      </x:c>
      <x:c r="E631" s="60" t="str">
        <x:f>'Detalle'!F309</x:f>
        <x:v>Completado</x:v>
      </x:c>
      <x:c r="F631" s="32" t="str">
        <x:f>IF(AND(F$8&lt;='Detalle'!$H309,F$9&gt;='Detalle'!$G309),1,"")</x:f>
      </x:c>
      <x:c r="G631" s="32" t="str">
        <x:f>IF(AND(G$8&lt;='Detalle'!$H309,G$9&gt;='Detalle'!$G309),1,"")</x:f>
      </x:c>
      <x:c r="H631" s="32" t="str">
        <x:f>IF(AND(H$8&lt;='Detalle'!$H309,H$9&gt;='Detalle'!$G309),1,"")</x:f>
      </x:c>
      <x:c r="I631" s="32" t="n">
        <x:f>IF(AND(I$8&lt;='Detalle'!$H309,I$9&gt;='Detalle'!$G309),1,"")</x:f>
        <x:v>1</x:v>
      </x:c>
      <x:c r="J631" s="32" t="str">
        <x:f>IF(AND(J$8&lt;='Detalle'!$H309,J$9&gt;='Detalle'!$G309),1,"")</x:f>
      </x:c>
      <x:c r="K631" s="32" t="str">
        <x:f>IF(AND(K$8&lt;='Detalle'!$H309,K$9&gt;='Detalle'!$G309),1,"")</x:f>
      </x:c>
      <x:c r="L631" s="32" t="str">
        <x:f>IF(AND(L$8&lt;='Detalle'!$H309,L$9&gt;='Detalle'!$G309),1,"")</x:f>
      </x:c>
      <x:c r="M631" s="32" t="str">
        <x:f>IF(AND(M$8&lt;='Detalle'!$H309,M$9&gt;='Detalle'!$G309),1,"")</x:f>
      </x:c>
      <x:c r="N631" s="32" t="str">
        <x:f>IF(AND(N$8&lt;='Detalle'!$H309,N$9&gt;='Detalle'!$G309),1,"")</x:f>
      </x:c>
      <x:c r="O631" s="32" t="str">
        <x:f>IF(AND(O$8&lt;='Detalle'!$H309,O$9&gt;='Detalle'!$G309),1,"")</x:f>
      </x:c>
      <x:c r="P631" s="32" t="str">
        <x:f>IF(AND(P$8&lt;='Detalle'!$H309,P$9&gt;='Detalle'!$G309),1,"")</x:f>
      </x:c>
      <x:c r="Q631" s="68"/>
      <x:c r="R631" s="67" t="str">
        <x:f>IF('Detalle'!M309="","",'Detalle'!M309)</x:f>
      </x:c>
      <x:c r="S631" s="67" t="str">
        <x:f>IF('Detalle'!N309="","",'Detalle'!N309)</x:f>
      </x:c>
    </x:row>
    <x:row r="632" ht="16" customHeight="1">
      <x:c r="A632" s="56" t="str">
        <x:v>PRO04.007</x:v>
      </x:c>
      <x:c r="B632" s="57" t="str">
        <x:v>Abrir datos profesionales desde herramientas</x:v>
      </x:c>
      <x:c r="C632" s="63" t="str">
        <x:v>R</x:v>
      </x:c>
      <x:c r="D632" s="65" t="str">
        <x:f>IF('Detalle'!L309="","",'Detalle'!L309)</x:f>
      </x:c>
      <x:c r="E632" s="60" t="str"/>
      <x:c r="F632" s="32" t="str">
        <x:f>IF(OR('Detalle'!$J309="",'Detalle'!$K309="",'Detalle'!$L309=""),"",IF(AND(F$8&lt;='Detalle'!$K309,F$9&gt;='Detalle'!$J309),1,""))</x:f>
      </x:c>
      <x:c r="G632" s="32" t="str">
        <x:f>IF(OR('Detalle'!$J309="",'Detalle'!$K309="",'Detalle'!$L309=""),"",IF(AND(G$8&lt;='Detalle'!$K309,G$9&gt;='Detalle'!$J309),1,""))</x:f>
      </x:c>
      <x:c r="H632" s="32" t="str">
        <x:f>IF(OR('Detalle'!$J309="",'Detalle'!$K309="",'Detalle'!$L309=""),"",IF(AND(H$8&lt;='Detalle'!$K309,H$9&gt;='Detalle'!$J309),1,""))</x:f>
      </x:c>
      <x:c r="I632" s="32" t="str">
        <x:f>IF(OR('Detalle'!$J309="",'Detalle'!$K309="",'Detalle'!$L309=""),"",IF(AND(I$8&lt;='Detalle'!$K309,I$9&gt;='Detalle'!$J309),1,""))</x:f>
      </x:c>
      <x:c r="J632" s="32" t="str">
        <x:f>IF(OR('Detalle'!$J309="",'Detalle'!$K309="",'Detalle'!$L309=""),"",IF(AND(J$8&lt;='Detalle'!$K309,J$9&gt;='Detalle'!$J309),1,""))</x:f>
      </x:c>
      <x:c r="K632" s="32" t="str">
        <x:f>IF(OR('Detalle'!$J309="",'Detalle'!$K309="",'Detalle'!$L309=""),"",IF(AND(K$8&lt;='Detalle'!$K309,K$9&gt;='Detalle'!$J309),1,""))</x:f>
      </x:c>
      <x:c r="L632" s="32" t="str">
        <x:f>IF(OR('Detalle'!$J309="",'Detalle'!$K309="",'Detalle'!$L309=""),"",IF(AND(L$8&lt;='Detalle'!$K309,L$9&gt;='Detalle'!$J309),1,""))</x:f>
      </x:c>
      <x:c r="M632" s="32" t="str">
        <x:f>IF(OR('Detalle'!$J309="",'Detalle'!$K309="",'Detalle'!$L309=""),"",IF(AND(M$8&lt;='Detalle'!$K309,M$9&gt;='Detalle'!$J309),1,""))</x:f>
      </x:c>
      <x:c r="N632" s="32" t="str">
        <x:f>IF(OR('Detalle'!$J309="",'Detalle'!$K309="",'Detalle'!$L309=""),"",IF(AND(N$8&lt;='Detalle'!$K309,N$9&gt;='Detalle'!$J309),1,""))</x:f>
      </x:c>
      <x:c r="O632" s="32" t="str">
        <x:f>IF(OR('Detalle'!$J309="",'Detalle'!$K309="",'Detalle'!$L309=""),"",IF(AND(O$8&lt;='Detalle'!$K309,O$9&gt;='Detalle'!$J309),1,""))</x:f>
      </x:c>
      <x:c r="P632" s="32" t="str">
        <x:f>IF(OR('Detalle'!$J309="",'Detalle'!$K309="",'Detalle'!$L309=""),"",IF(AND(P$8&lt;='Detalle'!$K309,P$9&gt;='Detalle'!$J309),1,""))</x:f>
      </x:c>
      <x:c r="Q632" s="68"/>
      <x:c r="R632" s="67" t="str"/>
      <x:c r="S632" s="67" t="str"/>
    </x:row>
    <x:row r="633" ht="16" customHeight="1">
      <x:c r="A633" s="56" t="str">
        <x:v>PRO04.008</x:v>
      </x:c>
      <x:c r="B633" s="57" t="str">
        <x:v>Abrir colaboraciones compatibles</x:v>
      </x:c>
      <x:c r="C633" s="62" t="str">
        <x:v>E</x:v>
      </x:c>
      <x:c r="D633" s="64" t="n">
        <x:f>'Detalle'!I310</x:f>
        <x:v>1</x:v>
      </x:c>
      <x:c r="E633" s="60" t="str">
        <x:f>'Detalle'!F310</x:f>
        <x:v>Completado</x:v>
      </x:c>
      <x:c r="F633" s="32" t="str">
        <x:f>IF(AND(F$8&lt;='Detalle'!$H310,F$9&gt;='Detalle'!$G310),1,"")</x:f>
      </x:c>
      <x:c r="G633" s="32" t="str">
        <x:f>IF(AND(G$8&lt;='Detalle'!$H310,G$9&gt;='Detalle'!$G310),1,"")</x:f>
      </x:c>
      <x:c r="H633" s="32" t="str">
        <x:f>IF(AND(H$8&lt;='Detalle'!$H310,H$9&gt;='Detalle'!$G310),1,"")</x:f>
      </x:c>
      <x:c r="I633" s="32" t="n">
        <x:f>IF(AND(I$8&lt;='Detalle'!$H310,I$9&gt;='Detalle'!$G310),1,"")</x:f>
        <x:v>1</x:v>
      </x:c>
      <x:c r="J633" s="32" t="str">
        <x:f>IF(AND(J$8&lt;='Detalle'!$H310,J$9&gt;='Detalle'!$G310),1,"")</x:f>
      </x:c>
      <x:c r="K633" s="32" t="str">
        <x:f>IF(AND(K$8&lt;='Detalle'!$H310,K$9&gt;='Detalle'!$G310),1,"")</x:f>
      </x:c>
      <x:c r="L633" s="32" t="str">
        <x:f>IF(AND(L$8&lt;='Detalle'!$H310,L$9&gt;='Detalle'!$G310),1,"")</x:f>
      </x:c>
      <x:c r="M633" s="32" t="str">
        <x:f>IF(AND(M$8&lt;='Detalle'!$H310,M$9&gt;='Detalle'!$G310),1,"")</x:f>
      </x:c>
      <x:c r="N633" s="32" t="str">
        <x:f>IF(AND(N$8&lt;='Detalle'!$H310,N$9&gt;='Detalle'!$G310),1,"")</x:f>
      </x:c>
      <x:c r="O633" s="32" t="str">
        <x:f>IF(AND(O$8&lt;='Detalle'!$H310,O$9&gt;='Detalle'!$G310),1,"")</x:f>
      </x:c>
      <x:c r="P633" s="32" t="str">
        <x:f>IF(AND(P$8&lt;='Detalle'!$H310,P$9&gt;='Detalle'!$G310),1,"")</x:f>
      </x:c>
      <x:c r="Q633" s="68"/>
      <x:c r="R633" s="67" t="str">
        <x:f>IF('Detalle'!M310="","",'Detalle'!M310)</x:f>
      </x:c>
      <x:c r="S633" s="67" t="str">
        <x:f>IF('Detalle'!N310="","",'Detalle'!N310)</x:f>
      </x:c>
    </x:row>
    <x:row r="634" ht="16" customHeight="1">
      <x:c r="A634" s="56" t="str">
        <x:v>PRO04.008</x:v>
      </x:c>
      <x:c r="B634" s="57" t="str">
        <x:v>Abrir colaboraciones compatibles</x:v>
      </x:c>
      <x:c r="C634" s="63" t="str">
        <x:v>R</x:v>
      </x:c>
      <x:c r="D634" s="65" t="str">
        <x:f>IF('Detalle'!L310="","",'Detalle'!L310)</x:f>
      </x:c>
      <x:c r="E634" s="60" t="str"/>
      <x:c r="F634" s="32" t="str">
        <x:f>IF(OR('Detalle'!$J310="",'Detalle'!$K310="",'Detalle'!$L310=""),"",IF(AND(F$8&lt;='Detalle'!$K310,F$9&gt;='Detalle'!$J310),1,""))</x:f>
      </x:c>
      <x:c r="G634" s="32" t="str">
        <x:f>IF(OR('Detalle'!$J310="",'Detalle'!$K310="",'Detalle'!$L310=""),"",IF(AND(G$8&lt;='Detalle'!$K310,G$9&gt;='Detalle'!$J310),1,""))</x:f>
      </x:c>
      <x:c r="H634" s="32" t="str">
        <x:f>IF(OR('Detalle'!$J310="",'Detalle'!$K310="",'Detalle'!$L310=""),"",IF(AND(H$8&lt;='Detalle'!$K310,H$9&gt;='Detalle'!$J310),1,""))</x:f>
      </x:c>
      <x:c r="I634" s="32" t="str">
        <x:f>IF(OR('Detalle'!$J310="",'Detalle'!$K310="",'Detalle'!$L310=""),"",IF(AND(I$8&lt;='Detalle'!$K310,I$9&gt;='Detalle'!$J310),1,""))</x:f>
      </x:c>
      <x:c r="J634" s="32" t="str">
        <x:f>IF(OR('Detalle'!$J310="",'Detalle'!$K310="",'Detalle'!$L310=""),"",IF(AND(J$8&lt;='Detalle'!$K310,J$9&gt;='Detalle'!$J310),1,""))</x:f>
      </x:c>
      <x:c r="K634" s="32" t="str">
        <x:f>IF(OR('Detalle'!$J310="",'Detalle'!$K310="",'Detalle'!$L310=""),"",IF(AND(K$8&lt;='Detalle'!$K310,K$9&gt;='Detalle'!$J310),1,""))</x:f>
      </x:c>
      <x:c r="L634" s="32" t="str">
        <x:f>IF(OR('Detalle'!$J310="",'Detalle'!$K310="",'Detalle'!$L310=""),"",IF(AND(L$8&lt;='Detalle'!$K310,L$9&gt;='Detalle'!$J310),1,""))</x:f>
      </x:c>
      <x:c r="M634" s="32" t="str">
        <x:f>IF(OR('Detalle'!$J310="",'Detalle'!$K310="",'Detalle'!$L310=""),"",IF(AND(M$8&lt;='Detalle'!$K310,M$9&gt;='Detalle'!$J310),1,""))</x:f>
      </x:c>
      <x:c r="N634" s="32" t="str">
        <x:f>IF(OR('Detalle'!$J310="",'Detalle'!$K310="",'Detalle'!$L310=""),"",IF(AND(N$8&lt;='Detalle'!$K310,N$9&gt;='Detalle'!$J310),1,""))</x:f>
      </x:c>
      <x:c r="O634" s="32" t="str">
        <x:f>IF(OR('Detalle'!$J310="",'Detalle'!$K310="",'Detalle'!$L310=""),"",IF(AND(O$8&lt;='Detalle'!$K310,O$9&gt;='Detalle'!$J310),1,""))</x:f>
      </x:c>
      <x:c r="P634" s="32" t="str">
        <x:f>IF(OR('Detalle'!$J310="",'Detalle'!$K310="",'Detalle'!$L310=""),"",IF(AND(P$8&lt;='Detalle'!$K310,P$9&gt;='Detalle'!$J310),1,""))</x:f>
      </x:c>
      <x:c r="Q634" s="68"/>
      <x:c r="R634" s="67" t="str"/>
      <x:c r="S634" s="67" t="str"/>
    </x:row>
    <x:row r="635" ht="16" customHeight="1">
      <x:c r="A635" s="56" t="str">
        <x:v>PRO04.009</x:v>
      </x:c>
      <x:c r="B635" s="57" t="str">
        <x:v>Agregar filtros de respuestas en postulaciones</x:v>
      </x:c>
      <x:c r="C635" s="62" t="str">
        <x:v>E</x:v>
      </x:c>
      <x:c r="D635" s="64" t="n">
        <x:f>'Detalle'!I311</x:f>
        <x:v>1</x:v>
      </x:c>
      <x:c r="E635" s="60" t="str">
        <x:f>'Detalle'!F311</x:f>
        <x:v>Completado</x:v>
      </x:c>
      <x:c r="F635" s="32" t="str">
        <x:f>IF(AND(F$8&lt;='Detalle'!$H311,F$9&gt;='Detalle'!$G311),1,"")</x:f>
      </x:c>
      <x:c r="G635" s="32" t="str">
        <x:f>IF(AND(G$8&lt;='Detalle'!$H311,G$9&gt;='Detalle'!$G311),1,"")</x:f>
      </x:c>
      <x:c r="H635" s="32" t="str">
        <x:f>IF(AND(H$8&lt;='Detalle'!$H311,H$9&gt;='Detalle'!$G311),1,"")</x:f>
      </x:c>
      <x:c r="I635" s="32" t="n">
        <x:f>IF(AND(I$8&lt;='Detalle'!$H311,I$9&gt;='Detalle'!$G311),1,"")</x:f>
        <x:v>1</x:v>
      </x:c>
      <x:c r="J635" s="32" t="str">
        <x:f>IF(AND(J$8&lt;='Detalle'!$H311,J$9&gt;='Detalle'!$G311),1,"")</x:f>
      </x:c>
      <x:c r="K635" s="32" t="str">
        <x:f>IF(AND(K$8&lt;='Detalle'!$H311,K$9&gt;='Detalle'!$G311),1,"")</x:f>
      </x:c>
      <x:c r="L635" s="32" t="str">
        <x:f>IF(AND(L$8&lt;='Detalle'!$H311,L$9&gt;='Detalle'!$G311),1,"")</x:f>
      </x:c>
      <x:c r="M635" s="32" t="str">
        <x:f>IF(AND(M$8&lt;='Detalle'!$H311,M$9&gt;='Detalle'!$G311),1,"")</x:f>
      </x:c>
      <x:c r="N635" s="32" t="str">
        <x:f>IF(AND(N$8&lt;='Detalle'!$H311,N$9&gt;='Detalle'!$G311),1,"")</x:f>
      </x:c>
      <x:c r="O635" s="32" t="str">
        <x:f>IF(AND(O$8&lt;='Detalle'!$H311,O$9&gt;='Detalle'!$G311),1,"")</x:f>
      </x:c>
      <x:c r="P635" s="32" t="str">
        <x:f>IF(AND(P$8&lt;='Detalle'!$H311,P$9&gt;='Detalle'!$G311),1,"")</x:f>
      </x:c>
      <x:c r="Q635" s="68"/>
      <x:c r="R635" s="67" t="str">
        <x:f>IF('Detalle'!M311="","",'Detalle'!M311)</x:f>
      </x:c>
      <x:c r="S635" s="67" t="str">
        <x:f>IF('Detalle'!N311="","",'Detalle'!N311)</x:f>
      </x:c>
    </x:row>
    <x:row r="636" ht="16" customHeight="1">
      <x:c r="A636" s="56" t="str">
        <x:v>PRO04.009</x:v>
      </x:c>
      <x:c r="B636" s="57" t="str">
        <x:v>Agregar filtros de respuestas en postulaciones</x:v>
      </x:c>
      <x:c r="C636" s="63" t="str">
        <x:v>R</x:v>
      </x:c>
      <x:c r="D636" s="65" t="str">
        <x:f>IF('Detalle'!L311="","",'Detalle'!L311)</x:f>
      </x:c>
      <x:c r="E636" s="60" t="str"/>
      <x:c r="F636" s="32" t="str">
        <x:f>IF(OR('Detalle'!$J311="",'Detalle'!$K311="",'Detalle'!$L311=""),"",IF(AND(F$8&lt;='Detalle'!$K311,F$9&gt;='Detalle'!$J311),1,""))</x:f>
      </x:c>
      <x:c r="G636" s="32" t="str">
        <x:f>IF(OR('Detalle'!$J311="",'Detalle'!$K311="",'Detalle'!$L311=""),"",IF(AND(G$8&lt;='Detalle'!$K311,G$9&gt;='Detalle'!$J311),1,""))</x:f>
      </x:c>
      <x:c r="H636" s="32" t="str">
        <x:f>IF(OR('Detalle'!$J311="",'Detalle'!$K311="",'Detalle'!$L311=""),"",IF(AND(H$8&lt;='Detalle'!$K311,H$9&gt;='Detalle'!$J311),1,""))</x:f>
      </x:c>
      <x:c r="I636" s="32" t="str">
        <x:f>IF(OR('Detalle'!$J311="",'Detalle'!$K311="",'Detalle'!$L311=""),"",IF(AND(I$8&lt;='Detalle'!$K311,I$9&gt;='Detalle'!$J311),1,""))</x:f>
      </x:c>
      <x:c r="J636" s="32" t="str">
        <x:f>IF(OR('Detalle'!$J311="",'Detalle'!$K311="",'Detalle'!$L311=""),"",IF(AND(J$8&lt;='Detalle'!$K311,J$9&gt;='Detalle'!$J311),1,""))</x:f>
      </x:c>
      <x:c r="K636" s="32" t="str">
        <x:f>IF(OR('Detalle'!$J311="",'Detalle'!$K311="",'Detalle'!$L311=""),"",IF(AND(K$8&lt;='Detalle'!$K311,K$9&gt;='Detalle'!$J311),1,""))</x:f>
      </x:c>
      <x:c r="L636" s="32" t="str">
        <x:f>IF(OR('Detalle'!$J311="",'Detalle'!$K311="",'Detalle'!$L311=""),"",IF(AND(L$8&lt;='Detalle'!$K311,L$9&gt;='Detalle'!$J311),1,""))</x:f>
      </x:c>
      <x:c r="M636" s="32" t="str">
        <x:f>IF(OR('Detalle'!$J311="",'Detalle'!$K311="",'Detalle'!$L311=""),"",IF(AND(M$8&lt;='Detalle'!$K311,M$9&gt;='Detalle'!$J311),1,""))</x:f>
      </x:c>
      <x:c r="N636" s="32" t="str">
        <x:f>IF(OR('Detalle'!$J311="",'Detalle'!$K311="",'Detalle'!$L311=""),"",IF(AND(N$8&lt;='Detalle'!$K311,N$9&gt;='Detalle'!$J311),1,""))</x:f>
      </x:c>
      <x:c r="O636" s="32" t="str">
        <x:f>IF(OR('Detalle'!$J311="",'Detalle'!$K311="",'Detalle'!$L311=""),"",IF(AND(O$8&lt;='Detalle'!$K311,O$9&gt;='Detalle'!$J311),1,""))</x:f>
      </x:c>
      <x:c r="P636" s="32" t="str">
        <x:f>IF(OR('Detalle'!$J311="",'Detalle'!$K311="",'Detalle'!$L311=""),"",IF(AND(P$8&lt;='Detalle'!$K311,P$9&gt;='Detalle'!$J311),1,""))</x:f>
      </x:c>
      <x:c r="Q636" s="68"/>
      <x:c r="R636" s="67" t="str"/>
      <x:c r="S636" s="67" t="str"/>
    </x:row>
    <x:row r="637" ht="16" customHeight="1">
      <x:c r="A637" s="56" t="str">
        <x:v>PRO04.010</x:v>
      </x:c>
      <x:c r="B637" s="57" t="str">
        <x:v>Mostrar causas específicas de inelegibilidad</x:v>
      </x:c>
      <x:c r="C637" s="62" t="str">
        <x:v>E</x:v>
      </x:c>
      <x:c r="D637" s="64" t="n">
        <x:f>'Detalle'!I312</x:f>
        <x:v>1</x:v>
      </x:c>
      <x:c r="E637" s="60" t="str">
        <x:f>'Detalle'!F312</x:f>
        <x:v>Completado</x:v>
      </x:c>
      <x:c r="F637" s="32" t="str">
        <x:f>IF(AND(F$8&lt;='Detalle'!$H312,F$9&gt;='Detalle'!$G312),1,"")</x:f>
      </x:c>
      <x:c r="G637" s="32" t="str">
        <x:f>IF(AND(G$8&lt;='Detalle'!$H312,G$9&gt;='Detalle'!$G312),1,"")</x:f>
      </x:c>
      <x:c r="H637" s="32" t="str">
        <x:f>IF(AND(H$8&lt;='Detalle'!$H312,H$9&gt;='Detalle'!$G312),1,"")</x:f>
      </x:c>
      <x:c r="I637" s="32" t="n">
        <x:f>IF(AND(I$8&lt;='Detalle'!$H312,I$9&gt;='Detalle'!$G312),1,"")</x:f>
        <x:v>1</x:v>
      </x:c>
      <x:c r="J637" s="32" t="str">
        <x:f>IF(AND(J$8&lt;='Detalle'!$H312,J$9&gt;='Detalle'!$G312),1,"")</x:f>
      </x:c>
      <x:c r="K637" s="32" t="str">
        <x:f>IF(AND(K$8&lt;='Detalle'!$H312,K$9&gt;='Detalle'!$G312),1,"")</x:f>
      </x:c>
      <x:c r="L637" s="32" t="str">
        <x:f>IF(AND(L$8&lt;='Detalle'!$H312,L$9&gt;='Detalle'!$G312),1,"")</x:f>
      </x:c>
      <x:c r="M637" s="32" t="str">
        <x:f>IF(AND(M$8&lt;='Detalle'!$H312,M$9&gt;='Detalle'!$G312),1,"")</x:f>
      </x:c>
      <x:c r="N637" s="32" t="str">
        <x:f>IF(AND(N$8&lt;='Detalle'!$H312,N$9&gt;='Detalle'!$G312),1,"")</x:f>
      </x:c>
      <x:c r="O637" s="32" t="str">
        <x:f>IF(AND(O$8&lt;='Detalle'!$H312,O$9&gt;='Detalle'!$G312),1,"")</x:f>
      </x:c>
      <x:c r="P637" s="32" t="str">
        <x:f>IF(AND(P$8&lt;='Detalle'!$H312,P$9&gt;='Detalle'!$G312),1,"")</x:f>
      </x:c>
      <x:c r="Q637" s="68"/>
      <x:c r="R637" s="67" t="str">
        <x:f>IF('Detalle'!M312="","",'Detalle'!M312)</x:f>
      </x:c>
      <x:c r="S637" s="67" t="str">
        <x:f>IF('Detalle'!N312="","",'Detalle'!N312)</x:f>
      </x:c>
    </x:row>
    <x:row r="638" ht="16" customHeight="1">
      <x:c r="A638" s="56" t="str">
        <x:v>PRO04.010</x:v>
      </x:c>
      <x:c r="B638" s="57" t="str">
        <x:v>Mostrar causas específicas de inelegibilidad</x:v>
      </x:c>
      <x:c r="C638" s="63" t="str">
        <x:v>R</x:v>
      </x:c>
      <x:c r="D638" s="65" t="str">
        <x:f>IF('Detalle'!L312="","",'Detalle'!L312)</x:f>
      </x:c>
      <x:c r="E638" s="60" t="str"/>
      <x:c r="F638" s="32" t="str">
        <x:f>IF(OR('Detalle'!$J312="",'Detalle'!$K312="",'Detalle'!$L312=""),"",IF(AND(F$8&lt;='Detalle'!$K312,F$9&gt;='Detalle'!$J312),1,""))</x:f>
      </x:c>
      <x:c r="G638" s="32" t="str">
        <x:f>IF(OR('Detalle'!$J312="",'Detalle'!$K312="",'Detalle'!$L312=""),"",IF(AND(G$8&lt;='Detalle'!$K312,G$9&gt;='Detalle'!$J312),1,""))</x:f>
      </x:c>
      <x:c r="H638" s="32" t="str">
        <x:f>IF(OR('Detalle'!$J312="",'Detalle'!$K312="",'Detalle'!$L312=""),"",IF(AND(H$8&lt;='Detalle'!$K312,H$9&gt;='Detalle'!$J312),1,""))</x:f>
      </x:c>
      <x:c r="I638" s="32" t="str">
        <x:f>IF(OR('Detalle'!$J312="",'Detalle'!$K312="",'Detalle'!$L312=""),"",IF(AND(I$8&lt;='Detalle'!$K312,I$9&gt;='Detalle'!$J312),1,""))</x:f>
      </x:c>
      <x:c r="J638" s="32" t="str">
        <x:f>IF(OR('Detalle'!$J312="",'Detalle'!$K312="",'Detalle'!$L312=""),"",IF(AND(J$8&lt;='Detalle'!$K312,J$9&gt;='Detalle'!$J312),1,""))</x:f>
      </x:c>
      <x:c r="K638" s="32" t="str">
        <x:f>IF(OR('Detalle'!$J312="",'Detalle'!$K312="",'Detalle'!$L312=""),"",IF(AND(K$8&lt;='Detalle'!$K312,K$9&gt;='Detalle'!$J312),1,""))</x:f>
      </x:c>
      <x:c r="L638" s="32" t="str">
        <x:f>IF(OR('Detalle'!$J312="",'Detalle'!$K312="",'Detalle'!$L312=""),"",IF(AND(L$8&lt;='Detalle'!$K312,L$9&gt;='Detalle'!$J312),1,""))</x:f>
      </x:c>
      <x:c r="M638" s="32" t="str">
        <x:f>IF(OR('Detalle'!$J312="",'Detalle'!$K312="",'Detalle'!$L312=""),"",IF(AND(M$8&lt;='Detalle'!$K312,M$9&gt;='Detalle'!$J312),1,""))</x:f>
      </x:c>
      <x:c r="N638" s="32" t="str">
        <x:f>IF(OR('Detalle'!$J312="",'Detalle'!$K312="",'Detalle'!$L312=""),"",IF(AND(N$8&lt;='Detalle'!$K312,N$9&gt;='Detalle'!$J312),1,""))</x:f>
      </x:c>
      <x:c r="O638" s="32" t="str">
        <x:f>IF(OR('Detalle'!$J312="",'Detalle'!$K312="",'Detalle'!$L312=""),"",IF(AND(O$8&lt;='Detalle'!$K312,O$9&gt;='Detalle'!$J312),1,""))</x:f>
      </x:c>
      <x:c r="P638" s="32" t="str">
        <x:f>IF(OR('Detalle'!$J312="",'Detalle'!$K312="",'Detalle'!$L312=""),"",IF(AND(P$8&lt;='Detalle'!$K312,P$9&gt;='Detalle'!$J312),1,""))</x:f>
      </x:c>
      <x:c r="Q638" s="68"/>
      <x:c r="R638" s="67" t="str"/>
      <x:c r="S638" s="67" t="str"/>
    </x:row>
    <x:row r="639" ht="16" customHeight="1">
      <x:c r="A639" s="56" t="str">
        <x:v>PRO04.011</x:v>
      </x:c>
      <x:c r="B639" s="57" t="str">
        <x:v>Verificar matriz de permisos de misiones</x:v>
      </x:c>
      <x:c r="C639" s="62" t="str">
        <x:v>E</x:v>
      </x:c>
      <x:c r="D639" s="64" t="n">
        <x:f>'Detalle'!I313</x:f>
        <x:v>1</x:v>
      </x:c>
      <x:c r="E639" s="60" t="str">
        <x:f>'Detalle'!F313</x:f>
        <x:v>Completado</x:v>
      </x:c>
      <x:c r="F639" s="32" t="str">
        <x:f>IF(AND(F$8&lt;='Detalle'!$H313,F$9&gt;='Detalle'!$G313),1,"")</x:f>
      </x:c>
      <x:c r="G639" s="32" t="str">
        <x:f>IF(AND(G$8&lt;='Detalle'!$H313,G$9&gt;='Detalle'!$G313),1,"")</x:f>
      </x:c>
      <x:c r="H639" s="32" t="str">
        <x:f>IF(AND(H$8&lt;='Detalle'!$H313,H$9&gt;='Detalle'!$G313),1,"")</x:f>
      </x:c>
      <x:c r="I639" s="32" t="n">
        <x:f>IF(AND(I$8&lt;='Detalle'!$H313,I$9&gt;='Detalle'!$G313),1,"")</x:f>
        <x:v>1</x:v>
      </x:c>
      <x:c r="J639" s="32" t="str">
        <x:f>IF(AND(J$8&lt;='Detalle'!$H313,J$9&gt;='Detalle'!$G313),1,"")</x:f>
      </x:c>
      <x:c r="K639" s="32" t="str">
        <x:f>IF(AND(K$8&lt;='Detalle'!$H313,K$9&gt;='Detalle'!$G313),1,"")</x:f>
      </x:c>
      <x:c r="L639" s="32" t="str">
        <x:f>IF(AND(L$8&lt;='Detalle'!$H313,L$9&gt;='Detalle'!$G313),1,"")</x:f>
      </x:c>
      <x:c r="M639" s="32" t="str">
        <x:f>IF(AND(M$8&lt;='Detalle'!$H313,M$9&gt;='Detalle'!$G313),1,"")</x:f>
      </x:c>
      <x:c r="N639" s="32" t="str">
        <x:f>IF(AND(N$8&lt;='Detalle'!$H313,N$9&gt;='Detalle'!$G313),1,"")</x:f>
      </x:c>
      <x:c r="O639" s="32" t="str">
        <x:f>IF(AND(O$8&lt;='Detalle'!$H313,O$9&gt;='Detalle'!$G313),1,"")</x:f>
      </x:c>
      <x:c r="P639" s="32" t="str">
        <x:f>IF(AND(P$8&lt;='Detalle'!$H313,P$9&gt;='Detalle'!$G313),1,"")</x:f>
      </x:c>
      <x:c r="Q639" s="68"/>
      <x:c r="R639" s="67" t="str">
        <x:f>IF('Detalle'!M313="","",'Detalle'!M313)</x:f>
      </x:c>
      <x:c r="S639" s="67" t="str">
        <x:f>IF('Detalle'!N313="","",'Detalle'!N313)</x:f>
      </x:c>
    </x:row>
    <x:row r="640" ht="16" customHeight="1">
      <x:c r="A640" s="56" t="str">
        <x:v>PRO04.011</x:v>
      </x:c>
      <x:c r="B640" s="57" t="str">
        <x:v>Verificar matriz de permisos de misiones</x:v>
      </x:c>
      <x:c r="C640" s="63" t="str">
        <x:v>R</x:v>
      </x:c>
      <x:c r="D640" s="65" t="str">
        <x:f>IF('Detalle'!L313="","",'Detalle'!L313)</x:f>
      </x:c>
      <x:c r="E640" s="60" t="str"/>
      <x:c r="F640" s="32" t="str">
        <x:f>IF(OR('Detalle'!$J313="",'Detalle'!$K313="",'Detalle'!$L313=""),"",IF(AND(F$8&lt;='Detalle'!$K313,F$9&gt;='Detalle'!$J313),1,""))</x:f>
      </x:c>
      <x:c r="G640" s="32" t="str">
        <x:f>IF(OR('Detalle'!$J313="",'Detalle'!$K313="",'Detalle'!$L313=""),"",IF(AND(G$8&lt;='Detalle'!$K313,G$9&gt;='Detalle'!$J313),1,""))</x:f>
      </x:c>
      <x:c r="H640" s="32" t="str">
        <x:f>IF(OR('Detalle'!$J313="",'Detalle'!$K313="",'Detalle'!$L313=""),"",IF(AND(H$8&lt;='Detalle'!$K313,H$9&gt;='Detalle'!$J313),1,""))</x:f>
      </x:c>
      <x:c r="I640" s="32" t="str">
        <x:f>IF(OR('Detalle'!$J313="",'Detalle'!$K313="",'Detalle'!$L313=""),"",IF(AND(I$8&lt;='Detalle'!$K313,I$9&gt;='Detalle'!$J313),1,""))</x:f>
      </x:c>
      <x:c r="J640" s="32" t="str">
        <x:f>IF(OR('Detalle'!$J313="",'Detalle'!$K313="",'Detalle'!$L313=""),"",IF(AND(J$8&lt;='Detalle'!$K313,J$9&gt;='Detalle'!$J313),1,""))</x:f>
      </x:c>
      <x:c r="K640" s="32" t="str">
        <x:f>IF(OR('Detalle'!$J313="",'Detalle'!$K313="",'Detalle'!$L313=""),"",IF(AND(K$8&lt;='Detalle'!$K313,K$9&gt;='Detalle'!$J313),1,""))</x:f>
      </x:c>
      <x:c r="L640" s="32" t="str">
        <x:f>IF(OR('Detalle'!$J313="",'Detalle'!$K313="",'Detalle'!$L313=""),"",IF(AND(L$8&lt;='Detalle'!$K313,L$9&gt;='Detalle'!$J313),1,""))</x:f>
      </x:c>
      <x:c r="M640" s="32" t="str">
        <x:f>IF(OR('Detalle'!$J313="",'Detalle'!$K313="",'Detalle'!$L313=""),"",IF(AND(M$8&lt;='Detalle'!$K313,M$9&gt;='Detalle'!$J313),1,""))</x:f>
      </x:c>
      <x:c r="N640" s="32" t="str">
        <x:f>IF(OR('Detalle'!$J313="",'Detalle'!$K313="",'Detalle'!$L313=""),"",IF(AND(N$8&lt;='Detalle'!$K313,N$9&gt;='Detalle'!$J313),1,""))</x:f>
      </x:c>
      <x:c r="O640" s="32" t="str">
        <x:f>IF(OR('Detalle'!$J313="",'Detalle'!$K313="",'Detalle'!$L313=""),"",IF(AND(O$8&lt;='Detalle'!$K313,O$9&gt;='Detalle'!$J313),1,""))</x:f>
      </x:c>
      <x:c r="P640" s="32" t="str">
        <x:f>IF(OR('Detalle'!$J313="",'Detalle'!$K313="",'Detalle'!$L313=""),"",IF(AND(P$8&lt;='Detalle'!$K313,P$9&gt;='Detalle'!$J313),1,""))</x:f>
      </x:c>
      <x:c r="Q640" s="68"/>
      <x:c r="R640" s="67" t="str"/>
      <x:c r="S640" s="67" t="str"/>
    </x:row>
    <x:row r="641" ht="16" customHeight="1">
      <x:c r="A641" s="56" t="str">
        <x:v>PRO04.012</x:v>
      </x:c>
      <x:c r="B641" s="57" t="str">
        <x:v>Verificar herramientas en interfaz</x:v>
      </x:c>
      <x:c r="C641" s="62" t="str">
        <x:v>E</x:v>
      </x:c>
      <x:c r="D641" s="64" t="n">
        <x:f>'Detalle'!I314</x:f>
        <x:v>1</x:v>
      </x:c>
      <x:c r="E641" s="60" t="str">
        <x:f>'Detalle'!F314</x:f>
        <x:v>Completado</x:v>
      </x:c>
      <x:c r="F641" s="32" t="str">
        <x:f>IF(AND(F$8&lt;='Detalle'!$H314,F$9&gt;='Detalle'!$G314),1,"")</x:f>
      </x:c>
      <x:c r="G641" s="32" t="str">
        <x:f>IF(AND(G$8&lt;='Detalle'!$H314,G$9&gt;='Detalle'!$G314),1,"")</x:f>
      </x:c>
      <x:c r="H641" s="32" t="str">
        <x:f>IF(AND(H$8&lt;='Detalle'!$H314,H$9&gt;='Detalle'!$G314),1,"")</x:f>
      </x:c>
      <x:c r="I641" s="32" t="n">
        <x:f>IF(AND(I$8&lt;='Detalle'!$H314,I$9&gt;='Detalle'!$G314),1,"")</x:f>
        <x:v>1</x:v>
      </x:c>
      <x:c r="J641" s="32" t="str">
        <x:f>IF(AND(J$8&lt;='Detalle'!$H314,J$9&gt;='Detalle'!$G314),1,"")</x:f>
      </x:c>
      <x:c r="K641" s="32" t="str">
        <x:f>IF(AND(K$8&lt;='Detalle'!$H314,K$9&gt;='Detalle'!$G314),1,"")</x:f>
      </x:c>
      <x:c r="L641" s="32" t="str">
        <x:f>IF(AND(L$8&lt;='Detalle'!$H314,L$9&gt;='Detalle'!$G314),1,"")</x:f>
      </x:c>
      <x:c r="M641" s="32" t="str">
        <x:f>IF(AND(M$8&lt;='Detalle'!$H314,M$9&gt;='Detalle'!$G314),1,"")</x:f>
      </x:c>
      <x:c r="N641" s="32" t="str">
        <x:f>IF(AND(N$8&lt;='Detalle'!$H314,N$9&gt;='Detalle'!$G314),1,"")</x:f>
      </x:c>
      <x:c r="O641" s="32" t="str">
        <x:f>IF(AND(O$8&lt;='Detalle'!$H314,O$9&gt;='Detalle'!$G314),1,"")</x:f>
      </x:c>
      <x:c r="P641" s="32" t="str">
        <x:f>IF(AND(P$8&lt;='Detalle'!$H314,P$9&gt;='Detalle'!$G314),1,"")</x:f>
      </x:c>
      <x:c r="Q641" s="68"/>
      <x:c r="R641" s="67" t="str">
        <x:f>IF('Detalle'!M314="","",'Detalle'!M314)</x:f>
      </x:c>
      <x:c r="S641" s="67" t="str">
        <x:f>IF('Detalle'!N314="","",'Detalle'!N314)</x:f>
      </x:c>
    </x:row>
    <x:row r="642" ht="16" customHeight="1">
      <x:c r="A642" s="56" t="str">
        <x:v>PRO04.012</x:v>
      </x:c>
      <x:c r="B642" s="57" t="str">
        <x:v>Verificar herramientas en interfaz</x:v>
      </x:c>
      <x:c r="C642" s="63" t="str">
        <x:v>R</x:v>
      </x:c>
      <x:c r="D642" s="65" t="str">
        <x:f>IF('Detalle'!L314="","",'Detalle'!L314)</x:f>
      </x:c>
      <x:c r="E642" s="60" t="str"/>
      <x:c r="F642" s="32" t="str">
        <x:f>IF(OR('Detalle'!$J314="",'Detalle'!$K314="",'Detalle'!$L314=""),"",IF(AND(F$8&lt;='Detalle'!$K314,F$9&gt;='Detalle'!$J314),1,""))</x:f>
      </x:c>
      <x:c r="G642" s="32" t="str">
        <x:f>IF(OR('Detalle'!$J314="",'Detalle'!$K314="",'Detalle'!$L314=""),"",IF(AND(G$8&lt;='Detalle'!$K314,G$9&gt;='Detalle'!$J314),1,""))</x:f>
      </x:c>
      <x:c r="H642" s="32" t="str">
        <x:f>IF(OR('Detalle'!$J314="",'Detalle'!$K314="",'Detalle'!$L314=""),"",IF(AND(H$8&lt;='Detalle'!$K314,H$9&gt;='Detalle'!$J314),1,""))</x:f>
      </x:c>
      <x:c r="I642" s="32" t="str">
        <x:f>IF(OR('Detalle'!$J314="",'Detalle'!$K314="",'Detalle'!$L314=""),"",IF(AND(I$8&lt;='Detalle'!$K314,I$9&gt;='Detalle'!$J314),1,""))</x:f>
      </x:c>
      <x:c r="J642" s="32" t="str">
        <x:f>IF(OR('Detalle'!$J314="",'Detalle'!$K314="",'Detalle'!$L314=""),"",IF(AND(J$8&lt;='Detalle'!$K314,J$9&gt;='Detalle'!$J314),1,""))</x:f>
      </x:c>
      <x:c r="K642" s="32" t="str">
        <x:f>IF(OR('Detalle'!$J314="",'Detalle'!$K314="",'Detalle'!$L314=""),"",IF(AND(K$8&lt;='Detalle'!$K314,K$9&gt;='Detalle'!$J314),1,""))</x:f>
      </x:c>
      <x:c r="L642" s="32" t="str">
        <x:f>IF(OR('Detalle'!$J314="",'Detalle'!$K314="",'Detalle'!$L314=""),"",IF(AND(L$8&lt;='Detalle'!$K314,L$9&gt;='Detalle'!$J314),1,""))</x:f>
      </x:c>
      <x:c r="M642" s="32" t="str">
        <x:f>IF(OR('Detalle'!$J314="",'Detalle'!$K314="",'Detalle'!$L314=""),"",IF(AND(M$8&lt;='Detalle'!$K314,M$9&gt;='Detalle'!$J314),1,""))</x:f>
      </x:c>
      <x:c r="N642" s="32" t="str">
        <x:f>IF(OR('Detalle'!$J314="",'Detalle'!$K314="",'Detalle'!$L314=""),"",IF(AND(N$8&lt;='Detalle'!$K314,N$9&gt;='Detalle'!$J314),1,""))</x:f>
      </x:c>
      <x:c r="O642" s="32" t="str">
        <x:f>IF(OR('Detalle'!$J314="",'Detalle'!$K314="",'Detalle'!$L314=""),"",IF(AND(O$8&lt;='Detalle'!$K314,O$9&gt;='Detalle'!$J314),1,""))</x:f>
      </x:c>
      <x:c r="P642" s="32" t="str">
        <x:f>IF(OR('Detalle'!$J314="",'Detalle'!$K314="",'Detalle'!$L314=""),"",IF(AND(P$8&lt;='Detalle'!$K314,P$9&gt;='Detalle'!$J314),1,""))</x:f>
      </x:c>
      <x:c r="Q642" s="68"/>
      <x:c r="R642" s="67" t="str"/>
      <x:c r="S642" s="67" t="str"/>
    </x:row>
    <x:row r="643" ht="20" customHeight="1">
      <x:c r="A643" s="52" t="str">
        <x:v>PRO03 · Rediseño de perfil, edición y configuración</x:v>
      </x:c>
      <x:c r="B643" s="52" t="str">
        <x:v>PRO03 · Rediseño de perfil, edición y configuración</x:v>
      </x:c>
      <x:c r="C643" s="52" t="str">
        <x:v>PRO03 · Rediseño de perfil, edición y configuración</x:v>
      </x:c>
      <x:c r="D643" s="52" t="str">
        <x:v>PRO03 · Rediseño de perfil, edición y configuración</x:v>
      </x:c>
      <x:c r="E643" s="52" t="str">
        <x:v>PRO03 · Rediseño de perfil, edición y configuración</x:v>
      </x:c>
      <x:c r="F643" s="53" t="str">
        <x:v>PRO03 · Rediseño de perfil, edición y configuración</x:v>
      </x:c>
      <x:c r="G643" s="53" t="str">
        <x:v>PRO03 · Rediseño de perfil, edición y configuración</x:v>
      </x:c>
      <x:c r="H643" s="53" t="str">
        <x:v>PRO03 · Rediseño de perfil, edición y configuración</x:v>
      </x:c>
      <x:c r="I643" s="53" t="str">
        <x:v>PRO03 · Rediseño de perfil, edición y configuración</x:v>
      </x:c>
      <x:c r="J643" s="53" t="str">
        <x:v>PRO03 · Rediseño de perfil, edición y configuración</x:v>
      </x:c>
      <x:c r="K643" s="53" t="str">
        <x:v>PRO03 · Rediseño de perfil, edición y configuración</x:v>
      </x:c>
      <x:c r="L643" s="53" t="str">
        <x:v>PRO03 · Rediseño de perfil, edición y configuración</x:v>
      </x:c>
      <x:c r="M643" s="53" t="str">
        <x:v>PRO03 · Rediseño de perfil, edición y configuración</x:v>
      </x:c>
      <x:c r="N643" s="53" t="str">
        <x:v>PRO03 · Rediseño de perfil, edición y configuración</x:v>
      </x:c>
      <x:c r="O643" s="53" t="str">
        <x:v>PRO03 · Rediseño de perfil, edición y configuración</x:v>
      </x:c>
      <x:c r="P643" s="53" t="str">
        <x:v>PRO03 · Rediseño de perfil, edición y configuración</x:v>
      </x:c>
      <x:c r="Q643" s="52" t="str">
        <x:v>PRO03 · Rediseño de perfil, edición y configuración</x:v>
      </x:c>
      <x:c r="R643" s="52" t="str">
        <x:v>PRO03 · Rediseño de perfil, edición y configuración</x:v>
      </x:c>
      <x:c r="S643" s="52" t="str">
        <x:v>PRO03 · Rediseño de perfil, edición y configuración</x:v>
      </x:c>
    </x:row>
    <x:row r="644" ht="16" customHeight="1">
      <x:c r="A644" s="56" t="str">
        <x:v>PRO03.001</x:v>
      </x:c>
      <x:c r="B644" s="57" t="str">
        <x:v>Crear cabecera compacta de perfil</x:v>
      </x:c>
      <x:c r="C644" s="62" t="str">
        <x:v>E</x:v>
      </x:c>
      <x:c r="D644" s="64" t="n">
        <x:f>'Detalle'!I315</x:f>
        <x:v>1</x:v>
      </x:c>
      <x:c r="E644" s="60" t="str">
        <x:f>'Detalle'!F315</x:f>
        <x:v>Completado</x:v>
      </x:c>
      <x:c r="F644" s="32" t="str">
        <x:f>IF(AND(F$8&lt;='Detalle'!$H315,F$9&gt;='Detalle'!$G315),1,"")</x:f>
      </x:c>
      <x:c r="G644" s="32" t="str">
        <x:f>IF(AND(G$8&lt;='Detalle'!$H315,G$9&gt;='Detalle'!$G315),1,"")</x:f>
      </x:c>
      <x:c r="H644" s="32" t="str">
        <x:f>IF(AND(H$8&lt;='Detalle'!$H315,H$9&gt;='Detalle'!$G315),1,"")</x:f>
      </x:c>
      <x:c r="I644" s="32" t="n">
        <x:f>IF(AND(I$8&lt;='Detalle'!$H315,I$9&gt;='Detalle'!$G315),1,"")</x:f>
        <x:v>1</x:v>
      </x:c>
      <x:c r="J644" s="32" t="str">
        <x:f>IF(AND(J$8&lt;='Detalle'!$H315,J$9&gt;='Detalle'!$G315),1,"")</x:f>
      </x:c>
      <x:c r="K644" s="32" t="str">
        <x:f>IF(AND(K$8&lt;='Detalle'!$H315,K$9&gt;='Detalle'!$G315),1,"")</x:f>
      </x:c>
      <x:c r="L644" s="32" t="str">
        <x:f>IF(AND(L$8&lt;='Detalle'!$H315,L$9&gt;='Detalle'!$G315),1,"")</x:f>
      </x:c>
      <x:c r="M644" s="32" t="str">
        <x:f>IF(AND(M$8&lt;='Detalle'!$H315,M$9&gt;='Detalle'!$G315),1,"")</x:f>
      </x:c>
      <x:c r="N644" s="32" t="str">
        <x:f>IF(AND(N$8&lt;='Detalle'!$H315,N$9&gt;='Detalle'!$G315),1,"")</x:f>
      </x:c>
      <x:c r="O644" s="32" t="str">
        <x:f>IF(AND(O$8&lt;='Detalle'!$H315,O$9&gt;='Detalle'!$G315),1,"")</x:f>
      </x:c>
      <x:c r="P644" s="32" t="str">
        <x:f>IF(AND(P$8&lt;='Detalle'!$H315,P$9&gt;='Detalle'!$G315),1,"")</x:f>
      </x:c>
      <x:c r="Q644" s="68"/>
      <x:c r="R644" s="67" t="str">
        <x:f>IF('Detalle'!M315="","",'Detalle'!M315)</x:f>
      </x:c>
      <x:c r="S644" s="67" t="str">
        <x:f>IF('Detalle'!N315="","",'Detalle'!N315)</x:f>
      </x:c>
    </x:row>
    <x:row r="645" ht="16" customHeight="1">
      <x:c r="A645" s="56" t="str">
        <x:v>PRO03.001</x:v>
      </x:c>
      <x:c r="B645" s="57" t="str">
        <x:v>Crear cabecera compacta de perfil</x:v>
      </x:c>
      <x:c r="C645" s="63" t="str">
        <x:v>R</x:v>
      </x:c>
      <x:c r="D645" s="65" t="str">
        <x:f>IF('Detalle'!L315="","",'Detalle'!L315)</x:f>
      </x:c>
      <x:c r="E645" s="60" t="str"/>
      <x:c r="F645" s="32" t="str">
        <x:f>IF(OR('Detalle'!$J315="",'Detalle'!$K315="",'Detalle'!$L315=""),"",IF(AND(F$8&lt;='Detalle'!$K315,F$9&gt;='Detalle'!$J315),1,""))</x:f>
      </x:c>
      <x:c r="G645" s="32" t="str">
        <x:f>IF(OR('Detalle'!$J315="",'Detalle'!$K315="",'Detalle'!$L315=""),"",IF(AND(G$8&lt;='Detalle'!$K315,G$9&gt;='Detalle'!$J315),1,""))</x:f>
      </x:c>
      <x:c r="H645" s="32" t="str">
        <x:f>IF(OR('Detalle'!$J315="",'Detalle'!$K315="",'Detalle'!$L315=""),"",IF(AND(H$8&lt;='Detalle'!$K315,H$9&gt;='Detalle'!$J315),1,""))</x:f>
      </x:c>
      <x:c r="I645" s="32" t="str">
        <x:f>IF(OR('Detalle'!$J315="",'Detalle'!$K315="",'Detalle'!$L315=""),"",IF(AND(I$8&lt;='Detalle'!$K315,I$9&gt;='Detalle'!$J315),1,""))</x:f>
      </x:c>
      <x:c r="J645" s="32" t="str">
        <x:f>IF(OR('Detalle'!$J315="",'Detalle'!$K315="",'Detalle'!$L315=""),"",IF(AND(J$8&lt;='Detalle'!$K315,J$9&gt;='Detalle'!$J315),1,""))</x:f>
      </x:c>
      <x:c r="K645" s="32" t="str">
        <x:f>IF(OR('Detalle'!$J315="",'Detalle'!$K315="",'Detalle'!$L315=""),"",IF(AND(K$8&lt;='Detalle'!$K315,K$9&gt;='Detalle'!$J315),1,""))</x:f>
      </x:c>
      <x:c r="L645" s="32" t="str">
        <x:f>IF(OR('Detalle'!$J315="",'Detalle'!$K315="",'Detalle'!$L315=""),"",IF(AND(L$8&lt;='Detalle'!$K315,L$9&gt;='Detalle'!$J315),1,""))</x:f>
      </x:c>
      <x:c r="M645" s="32" t="str">
        <x:f>IF(OR('Detalle'!$J315="",'Detalle'!$K315="",'Detalle'!$L315=""),"",IF(AND(M$8&lt;='Detalle'!$K315,M$9&gt;='Detalle'!$J315),1,""))</x:f>
      </x:c>
      <x:c r="N645" s="32" t="str">
        <x:f>IF(OR('Detalle'!$J315="",'Detalle'!$K315="",'Detalle'!$L315=""),"",IF(AND(N$8&lt;='Detalle'!$K315,N$9&gt;='Detalle'!$J315),1,""))</x:f>
      </x:c>
      <x:c r="O645" s="32" t="str">
        <x:f>IF(OR('Detalle'!$J315="",'Detalle'!$K315="",'Detalle'!$L315=""),"",IF(AND(O$8&lt;='Detalle'!$K315,O$9&gt;='Detalle'!$J315),1,""))</x:f>
      </x:c>
      <x:c r="P645" s="32" t="str">
        <x:f>IF(OR('Detalle'!$J315="",'Detalle'!$K315="",'Detalle'!$L315=""),"",IF(AND(P$8&lt;='Detalle'!$K315,P$9&gt;='Detalle'!$J315),1,""))</x:f>
      </x:c>
      <x:c r="Q645" s="68"/>
      <x:c r="R645" s="67" t="str"/>
      <x:c r="S645" s="67" t="str"/>
    </x:row>
    <x:row r="646" ht="16" customHeight="1">
      <x:c r="A646" s="56" t="str">
        <x:v>PRO03.002</x:v>
      </x:c>
      <x:c r="B646" s="57" t="str">
        <x:v>Adaptar perfil a dos columnas</x:v>
      </x:c>
      <x:c r="C646" s="62" t="str">
        <x:v>E</x:v>
      </x:c>
      <x:c r="D646" s="64" t="n">
        <x:f>'Detalle'!I316</x:f>
        <x:v>1</x:v>
      </x:c>
      <x:c r="E646" s="60" t="str">
        <x:f>'Detalle'!F316</x:f>
        <x:v>Completado</x:v>
      </x:c>
      <x:c r="F646" s="32" t="str">
        <x:f>IF(AND(F$8&lt;='Detalle'!$H316,F$9&gt;='Detalle'!$G316),1,"")</x:f>
      </x:c>
      <x:c r="G646" s="32" t="str">
        <x:f>IF(AND(G$8&lt;='Detalle'!$H316,G$9&gt;='Detalle'!$G316),1,"")</x:f>
      </x:c>
      <x:c r="H646" s="32" t="str">
        <x:f>IF(AND(H$8&lt;='Detalle'!$H316,H$9&gt;='Detalle'!$G316),1,"")</x:f>
      </x:c>
      <x:c r="I646" s="32" t="n">
        <x:f>IF(AND(I$8&lt;='Detalle'!$H316,I$9&gt;='Detalle'!$G316),1,"")</x:f>
        <x:v>1</x:v>
      </x:c>
      <x:c r="J646" s="32" t="str">
        <x:f>IF(AND(J$8&lt;='Detalle'!$H316,J$9&gt;='Detalle'!$G316),1,"")</x:f>
      </x:c>
      <x:c r="K646" s="32" t="str">
        <x:f>IF(AND(K$8&lt;='Detalle'!$H316,K$9&gt;='Detalle'!$G316),1,"")</x:f>
      </x:c>
      <x:c r="L646" s="32" t="str">
        <x:f>IF(AND(L$8&lt;='Detalle'!$H316,L$9&gt;='Detalle'!$G316),1,"")</x:f>
      </x:c>
      <x:c r="M646" s="32" t="str">
        <x:f>IF(AND(M$8&lt;='Detalle'!$H316,M$9&gt;='Detalle'!$G316),1,"")</x:f>
      </x:c>
      <x:c r="N646" s="32" t="str">
        <x:f>IF(AND(N$8&lt;='Detalle'!$H316,N$9&gt;='Detalle'!$G316),1,"")</x:f>
      </x:c>
      <x:c r="O646" s="32" t="str">
        <x:f>IF(AND(O$8&lt;='Detalle'!$H316,O$9&gt;='Detalle'!$G316),1,"")</x:f>
      </x:c>
      <x:c r="P646" s="32" t="str">
        <x:f>IF(AND(P$8&lt;='Detalle'!$H316,P$9&gt;='Detalle'!$G316),1,"")</x:f>
      </x:c>
      <x:c r="Q646" s="68"/>
      <x:c r="R646" s="67" t="str">
        <x:f>IF('Detalle'!M316="","",'Detalle'!M316)</x:f>
      </x:c>
      <x:c r="S646" s="67" t="str">
        <x:f>IF('Detalle'!N316="","",'Detalle'!N316)</x:f>
      </x:c>
    </x:row>
    <x:row r="647" ht="16" customHeight="1">
      <x:c r="A647" s="56" t="str">
        <x:v>PRO03.002</x:v>
      </x:c>
      <x:c r="B647" s="57" t="str">
        <x:v>Adaptar perfil a dos columnas</x:v>
      </x:c>
      <x:c r="C647" s="63" t="str">
        <x:v>R</x:v>
      </x:c>
      <x:c r="D647" s="65" t="str">
        <x:f>IF('Detalle'!L316="","",'Detalle'!L316)</x:f>
      </x:c>
      <x:c r="E647" s="60" t="str"/>
      <x:c r="F647" s="32" t="str">
        <x:f>IF(OR('Detalle'!$J316="",'Detalle'!$K316="",'Detalle'!$L316=""),"",IF(AND(F$8&lt;='Detalle'!$K316,F$9&gt;='Detalle'!$J316),1,""))</x:f>
      </x:c>
      <x:c r="G647" s="32" t="str">
        <x:f>IF(OR('Detalle'!$J316="",'Detalle'!$K316="",'Detalle'!$L316=""),"",IF(AND(G$8&lt;='Detalle'!$K316,G$9&gt;='Detalle'!$J316),1,""))</x:f>
      </x:c>
      <x:c r="H647" s="32" t="str">
        <x:f>IF(OR('Detalle'!$J316="",'Detalle'!$K316="",'Detalle'!$L316=""),"",IF(AND(H$8&lt;='Detalle'!$K316,H$9&gt;='Detalle'!$J316),1,""))</x:f>
      </x:c>
      <x:c r="I647" s="32" t="str">
        <x:f>IF(OR('Detalle'!$J316="",'Detalle'!$K316="",'Detalle'!$L316=""),"",IF(AND(I$8&lt;='Detalle'!$K316,I$9&gt;='Detalle'!$J316),1,""))</x:f>
      </x:c>
      <x:c r="J647" s="32" t="str">
        <x:f>IF(OR('Detalle'!$J316="",'Detalle'!$K316="",'Detalle'!$L316=""),"",IF(AND(J$8&lt;='Detalle'!$K316,J$9&gt;='Detalle'!$J316),1,""))</x:f>
      </x:c>
      <x:c r="K647" s="32" t="str">
        <x:f>IF(OR('Detalle'!$J316="",'Detalle'!$K316="",'Detalle'!$L316=""),"",IF(AND(K$8&lt;='Detalle'!$K316,K$9&gt;='Detalle'!$J316),1,""))</x:f>
      </x:c>
      <x:c r="L647" s="32" t="str">
        <x:f>IF(OR('Detalle'!$J316="",'Detalle'!$K316="",'Detalle'!$L316=""),"",IF(AND(L$8&lt;='Detalle'!$K316,L$9&gt;='Detalle'!$J316),1,""))</x:f>
      </x:c>
      <x:c r="M647" s="32" t="str">
        <x:f>IF(OR('Detalle'!$J316="",'Detalle'!$K316="",'Detalle'!$L316=""),"",IF(AND(M$8&lt;='Detalle'!$K316,M$9&gt;='Detalle'!$J316),1,""))</x:f>
      </x:c>
      <x:c r="N647" s="32" t="str">
        <x:f>IF(OR('Detalle'!$J316="",'Detalle'!$K316="",'Detalle'!$L316=""),"",IF(AND(N$8&lt;='Detalle'!$K316,N$9&gt;='Detalle'!$J316),1,""))</x:f>
      </x:c>
      <x:c r="O647" s="32" t="str">
        <x:f>IF(OR('Detalle'!$J316="",'Detalle'!$K316="",'Detalle'!$L316=""),"",IF(AND(O$8&lt;='Detalle'!$K316,O$9&gt;='Detalle'!$J316),1,""))</x:f>
      </x:c>
      <x:c r="P647" s="32" t="str">
        <x:f>IF(OR('Detalle'!$J316="",'Detalle'!$K316="",'Detalle'!$L316=""),"",IF(AND(P$8&lt;='Detalle'!$K316,P$9&gt;='Detalle'!$J316),1,""))</x:f>
      </x:c>
      <x:c r="Q647" s="68"/>
      <x:c r="R647" s="67" t="str"/>
      <x:c r="S647" s="67" t="str"/>
    </x:row>
    <x:row r="648" ht="16" customHeight="1">
      <x:c r="A648" s="56" t="str">
        <x:v>PRO03.003</x:v>
      </x:c>
      <x:c r="B648" s="57" t="str">
        <x:v>Conservar estado de pestañas</x:v>
      </x:c>
      <x:c r="C648" s="62" t="str">
        <x:v>E</x:v>
      </x:c>
      <x:c r="D648" s="64" t="n">
        <x:f>'Detalle'!I317</x:f>
        <x:v>1</x:v>
      </x:c>
      <x:c r="E648" s="60" t="str">
        <x:f>'Detalle'!F317</x:f>
        <x:v>Completado</x:v>
      </x:c>
      <x:c r="F648" s="32" t="str">
        <x:f>IF(AND(F$8&lt;='Detalle'!$H317,F$9&gt;='Detalle'!$G317),1,"")</x:f>
      </x:c>
      <x:c r="G648" s="32" t="str">
        <x:f>IF(AND(G$8&lt;='Detalle'!$H317,G$9&gt;='Detalle'!$G317),1,"")</x:f>
      </x:c>
      <x:c r="H648" s="32" t="str">
        <x:f>IF(AND(H$8&lt;='Detalle'!$H317,H$9&gt;='Detalle'!$G317),1,"")</x:f>
      </x:c>
      <x:c r="I648" s="32" t="n">
        <x:f>IF(AND(I$8&lt;='Detalle'!$H317,I$9&gt;='Detalle'!$G317),1,"")</x:f>
        <x:v>1</x:v>
      </x:c>
      <x:c r="J648" s="32" t="str">
        <x:f>IF(AND(J$8&lt;='Detalle'!$H317,J$9&gt;='Detalle'!$G317),1,"")</x:f>
      </x:c>
      <x:c r="K648" s="32" t="str">
        <x:f>IF(AND(K$8&lt;='Detalle'!$H317,K$9&gt;='Detalle'!$G317),1,"")</x:f>
      </x:c>
      <x:c r="L648" s="32" t="str">
        <x:f>IF(AND(L$8&lt;='Detalle'!$H317,L$9&gt;='Detalle'!$G317),1,"")</x:f>
      </x:c>
      <x:c r="M648" s="32" t="str">
        <x:f>IF(AND(M$8&lt;='Detalle'!$H317,M$9&gt;='Detalle'!$G317),1,"")</x:f>
      </x:c>
      <x:c r="N648" s="32" t="str">
        <x:f>IF(AND(N$8&lt;='Detalle'!$H317,N$9&gt;='Detalle'!$G317),1,"")</x:f>
      </x:c>
      <x:c r="O648" s="32" t="str">
        <x:f>IF(AND(O$8&lt;='Detalle'!$H317,O$9&gt;='Detalle'!$G317),1,"")</x:f>
      </x:c>
      <x:c r="P648" s="32" t="str">
        <x:f>IF(AND(P$8&lt;='Detalle'!$H317,P$9&gt;='Detalle'!$G317),1,"")</x:f>
      </x:c>
      <x:c r="Q648" s="68"/>
      <x:c r="R648" s="67" t="str">
        <x:f>IF('Detalle'!M317="","",'Detalle'!M317)</x:f>
      </x:c>
      <x:c r="S648" s="67" t="str">
        <x:f>IF('Detalle'!N317="","",'Detalle'!N317)</x:f>
      </x:c>
    </x:row>
    <x:row r="649" ht="16" customHeight="1">
      <x:c r="A649" s="56" t="str">
        <x:v>PRO03.003</x:v>
      </x:c>
      <x:c r="B649" s="57" t="str">
        <x:v>Conservar estado de pestañas</x:v>
      </x:c>
      <x:c r="C649" s="63" t="str">
        <x:v>R</x:v>
      </x:c>
      <x:c r="D649" s="65" t="str">
        <x:f>IF('Detalle'!L317="","",'Detalle'!L317)</x:f>
      </x:c>
      <x:c r="E649" s="60" t="str"/>
      <x:c r="F649" s="32" t="str">
        <x:f>IF(OR('Detalle'!$J317="",'Detalle'!$K317="",'Detalle'!$L317=""),"",IF(AND(F$8&lt;='Detalle'!$K317,F$9&gt;='Detalle'!$J317),1,""))</x:f>
      </x:c>
      <x:c r="G649" s="32" t="str">
        <x:f>IF(OR('Detalle'!$J317="",'Detalle'!$K317="",'Detalle'!$L317=""),"",IF(AND(G$8&lt;='Detalle'!$K317,G$9&gt;='Detalle'!$J317),1,""))</x:f>
      </x:c>
      <x:c r="H649" s="32" t="str">
        <x:f>IF(OR('Detalle'!$J317="",'Detalle'!$K317="",'Detalle'!$L317=""),"",IF(AND(H$8&lt;='Detalle'!$K317,H$9&gt;='Detalle'!$J317),1,""))</x:f>
      </x:c>
      <x:c r="I649" s="32" t="str">
        <x:f>IF(OR('Detalle'!$J317="",'Detalle'!$K317="",'Detalle'!$L317=""),"",IF(AND(I$8&lt;='Detalle'!$K317,I$9&gt;='Detalle'!$J317),1,""))</x:f>
      </x:c>
      <x:c r="J649" s="32" t="str">
        <x:f>IF(OR('Detalle'!$J317="",'Detalle'!$K317="",'Detalle'!$L317=""),"",IF(AND(J$8&lt;='Detalle'!$K317,J$9&gt;='Detalle'!$J317),1,""))</x:f>
      </x:c>
      <x:c r="K649" s="32" t="str">
        <x:f>IF(OR('Detalle'!$J317="",'Detalle'!$K317="",'Detalle'!$L317=""),"",IF(AND(K$8&lt;='Detalle'!$K317,K$9&gt;='Detalle'!$J317),1,""))</x:f>
      </x:c>
      <x:c r="L649" s="32" t="str">
        <x:f>IF(OR('Detalle'!$J317="",'Detalle'!$K317="",'Detalle'!$L317=""),"",IF(AND(L$8&lt;='Detalle'!$K317,L$9&gt;='Detalle'!$J317),1,""))</x:f>
      </x:c>
      <x:c r="M649" s="32" t="str">
        <x:f>IF(OR('Detalle'!$J317="",'Detalle'!$K317="",'Detalle'!$L317=""),"",IF(AND(M$8&lt;='Detalle'!$K317,M$9&gt;='Detalle'!$J317),1,""))</x:f>
      </x:c>
      <x:c r="N649" s="32" t="str">
        <x:f>IF(OR('Detalle'!$J317="",'Detalle'!$K317="",'Detalle'!$L317=""),"",IF(AND(N$8&lt;='Detalle'!$K317,N$9&gt;='Detalle'!$J317),1,""))</x:f>
      </x:c>
      <x:c r="O649" s="32" t="str">
        <x:f>IF(OR('Detalle'!$J317="",'Detalle'!$K317="",'Detalle'!$L317=""),"",IF(AND(O$8&lt;='Detalle'!$K317,O$9&gt;='Detalle'!$J317),1,""))</x:f>
      </x:c>
      <x:c r="P649" s="32" t="str">
        <x:f>IF(OR('Detalle'!$J317="",'Detalle'!$K317="",'Detalle'!$L317=""),"",IF(AND(P$8&lt;='Detalle'!$K317,P$9&gt;='Detalle'!$J317),1,""))</x:f>
      </x:c>
      <x:c r="Q649" s="68"/>
      <x:c r="R649" s="67" t="str"/>
      <x:c r="S649" s="67" t="str"/>
    </x:row>
    <x:row r="650" ht="16" customHeight="1">
      <x:c r="A650" s="56" t="str">
        <x:v>PRO03.004</x:v>
      </x:c>
      <x:c r="B650" s="57" t="str">
        <x:v>Redirigir enlace público al perfil propio</x:v>
      </x:c>
      <x:c r="C650" s="62" t="str">
        <x:v>E</x:v>
      </x:c>
      <x:c r="D650" s="64" t="n">
        <x:f>'Detalle'!I318</x:f>
        <x:v>1</x:v>
      </x:c>
      <x:c r="E650" s="60" t="str">
        <x:f>'Detalle'!F318</x:f>
        <x:v>Completado</x:v>
      </x:c>
      <x:c r="F650" s="32" t="str">
        <x:f>IF(AND(F$8&lt;='Detalle'!$H318,F$9&gt;='Detalle'!$G318),1,"")</x:f>
      </x:c>
      <x:c r="G650" s="32" t="str">
        <x:f>IF(AND(G$8&lt;='Detalle'!$H318,G$9&gt;='Detalle'!$G318),1,"")</x:f>
      </x:c>
      <x:c r="H650" s="32" t="str">
        <x:f>IF(AND(H$8&lt;='Detalle'!$H318,H$9&gt;='Detalle'!$G318),1,"")</x:f>
      </x:c>
      <x:c r="I650" s="32" t="n">
        <x:f>IF(AND(I$8&lt;='Detalle'!$H318,I$9&gt;='Detalle'!$G318),1,"")</x:f>
        <x:v>1</x:v>
      </x:c>
      <x:c r="J650" s="32" t="str">
        <x:f>IF(AND(J$8&lt;='Detalle'!$H318,J$9&gt;='Detalle'!$G318),1,"")</x:f>
      </x:c>
      <x:c r="K650" s="32" t="str">
        <x:f>IF(AND(K$8&lt;='Detalle'!$H318,K$9&gt;='Detalle'!$G318),1,"")</x:f>
      </x:c>
      <x:c r="L650" s="32" t="str">
        <x:f>IF(AND(L$8&lt;='Detalle'!$H318,L$9&gt;='Detalle'!$G318),1,"")</x:f>
      </x:c>
      <x:c r="M650" s="32" t="str">
        <x:f>IF(AND(M$8&lt;='Detalle'!$H318,M$9&gt;='Detalle'!$G318),1,"")</x:f>
      </x:c>
      <x:c r="N650" s="32" t="str">
        <x:f>IF(AND(N$8&lt;='Detalle'!$H318,N$9&gt;='Detalle'!$G318),1,"")</x:f>
      </x:c>
      <x:c r="O650" s="32" t="str">
        <x:f>IF(AND(O$8&lt;='Detalle'!$H318,O$9&gt;='Detalle'!$G318),1,"")</x:f>
      </x:c>
      <x:c r="P650" s="32" t="str">
        <x:f>IF(AND(P$8&lt;='Detalle'!$H318,P$9&gt;='Detalle'!$G318),1,"")</x:f>
      </x:c>
      <x:c r="Q650" s="68"/>
      <x:c r="R650" s="67" t="str">
        <x:f>IF('Detalle'!M318="","",'Detalle'!M318)</x:f>
      </x:c>
      <x:c r="S650" s="67" t="str">
        <x:f>IF('Detalle'!N318="","",'Detalle'!N318)</x:f>
      </x:c>
    </x:row>
    <x:row r="651" ht="16" customHeight="1">
      <x:c r="A651" s="56" t="str">
        <x:v>PRO03.004</x:v>
      </x:c>
      <x:c r="B651" s="57" t="str">
        <x:v>Redirigir enlace público al perfil propio</x:v>
      </x:c>
      <x:c r="C651" s="63" t="str">
        <x:v>R</x:v>
      </x:c>
      <x:c r="D651" s="65" t="str">
        <x:f>IF('Detalle'!L318="","",'Detalle'!L318)</x:f>
      </x:c>
      <x:c r="E651" s="60" t="str"/>
      <x:c r="F651" s="32" t="str">
        <x:f>IF(OR('Detalle'!$J318="",'Detalle'!$K318="",'Detalle'!$L318=""),"",IF(AND(F$8&lt;='Detalle'!$K318,F$9&gt;='Detalle'!$J318),1,""))</x:f>
      </x:c>
      <x:c r="G651" s="32" t="str">
        <x:f>IF(OR('Detalle'!$J318="",'Detalle'!$K318="",'Detalle'!$L318=""),"",IF(AND(G$8&lt;='Detalle'!$K318,G$9&gt;='Detalle'!$J318),1,""))</x:f>
      </x:c>
      <x:c r="H651" s="32" t="str">
        <x:f>IF(OR('Detalle'!$J318="",'Detalle'!$K318="",'Detalle'!$L318=""),"",IF(AND(H$8&lt;='Detalle'!$K318,H$9&gt;='Detalle'!$J318),1,""))</x:f>
      </x:c>
      <x:c r="I651" s="32" t="str">
        <x:f>IF(OR('Detalle'!$J318="",'Detalle'!$K318="",'Detalle'!$L318=""),"",IF(AND(I$8&lt;='Detalle'!$K318,I$9&gt;='Detalle'!$J318),1,""))</x:f>
      </x:c>
      <x:c r="J651" s="32" t="str">
        <x:f>IF(OR('Detalle'!$J318="",'Detalle'!$K318="",'Detalle'!$L318=""),"",IF(AND(J$8&lt;='Detalle'!$K318,J$9&gt;='Detalle'!$J318),1,""))</x:f>
      </x:c>
      <x:c r="K651" s="32" t="str">
        <x:f>IF(OR('Detalle'!$J318="",'Detalle'!$K318="",'Detalle'!$L318=""),"",IF(AND(K$8&lt;='Detalle'!$K318,K$9&gt;='Detalle'!$J318),1,""))</x:f>
      </x:c>
      <x:c r="L651" s="32" t="str">
        <x:f>IF(OR('Detalle'!$J318="",'Detalle'!$K318="",'Detalle'!$L318=""),"",IF(AND(L$8&lt;='Detalle'!$K318,L$9&gt;='Detalle'!$J318),1,""))</x:f>
      </x:c>
      <x:c r="M651" s="32" t="str">
        <x:f>IF(OR('Detalle'!$J318="",'Detalle'!$K318="",'Detalle'!$L318=""),"",IF(AND(M$8&lt;='Detalle'!$K318,M$9&gt;='Detalle'!$J318),1,""))</x:f>
      </x:c>
      <x:c r="N651" s="32" t="str">
        <x:f>IF(OR('Detalle'!$J318="",'Detalle'!$K318="",'Detalle'!$L318=""),"",IF(AND(N$8&lt;='Detalle'!$K318,N$9&gt;='Detalle'!$J318),1,""))</x:f>
      </x:c>
      <x:c r="O651" s="32" t="str">
        <x:f>IF(OR('Detalle'!$J318="",'Detalle'!$K318="",'Detalle'!$L318=""),"",IF(AND(O$8&lt;='Detalle'!$K318,O$9&gt;='Detalle'!$J318),1,""))</x:f>
      </x:c>
      <x:c r="P651" s="32" t="str">
        <x:f>IF(OR('Detalle'!$J318="",'Detalle'!$K318="",'Detalle'!$L318=""),"",IF(AND(P$8&lt;='Detalle'!$K318,P$9&gt;='Detalle'!$J318),1,""))</x:f>
      </x:c>
      <x:c r="Q651" s="68"/>
      <x:c r="R651" s="67" t="str"/>
      <x:c r="S651" s="67" t="str"/>
    </x:row>
    <x:row r="652" ht="16" customHeight="1">
      <x:c r="A652" s="56" t="str">
        <x:v>PRO03.005</x:v>
      </x:c>
      <x:c r="B652" s="57" t="str">
        <x:v>Separar editor de identidad y profesional</x:v>
      </x:c>
      <x:c r="C652" s="62" t="str">
        <x:v>E</x:v>
      </x:c>
      <x:c r="D652" s="64" t="n">
        <x:f>'Detalle'!I319</x:f>
        <x:v>1</x:v>
      </x:c>
      <x:c r="E652" s="60" t="str">
        <x:f>'Detalle'!F319</x:f>
        <x:v>Completado</x:v>
      </x:c>
      <x:c r="F652" s="32" t="str">
        <x:f>IF(AND(F$8&lt;='Detalle'!$H319,F$9&gt;='Detalle'!$G319),1,"")</x:f>
      </x:c>
      <x:c r="G652" s="32" t="str">
        <x:f>IF(AND(G$8&lt;='Detalle'!$H319,G$9&gt;='Detalle'!$G319),1,"")</x:f>
      </x:c>
      <x:c r="H652" s="32" t="str">
        <x:f>IF(AND(H$8&lt;='Detalle'!$H319,H$9&gt;='Detalle'!$G319),1,"")</x:f>
      </x:c>
      <x:c r="I652" s="32" t="n">
        <x:f>IF(AND(I$8&lt;='Detalle'!$H319,I$9&gt;='Detalle'!$G319),1,"")</x:f>
        <x:v>1</x:v>
      </x:c>
      <x:c r="J652" s="32" t="str">
        <x:f>IF(AND(J$8&lt;='Detalle'!$H319,J$9&gt;='Detalle'!$G319),1,"")</x:f>
      </x:c>
      <x:c r="K652" s="32" t="str">
        <x:f>IF(AND(K$8&lt;='Detalle'!$H319,K$9&gt;='Detalle'!$G319),1,"")</x:f>
      </x:c>
      <x:c r="L652" s="32" t="str">
        <x:f>IF(AND(L$8&lt;='Detalle'!$H319,L$9&gt;='Detalle'!$G319),1,"")</x:f>
      </x:c>
      <x:c r="M652" s="32" t="str">
        <x:f>IF(AND(M$8&lt;='Detalle'!$H319,M$9&gt;='Detalle'!$G319),1,"")</x:f>
      </x:c>
      <x:c r="N652" s="32" t="str">
        <x:f>IF(AND(N$8&lt;='Detalle'!$H319,N$9&gt;='Detalle'!$G319),1,"")</x:f>
      </x:c>
      <x:c r="O652" s="32" t="str">
        <x:f>IF(AND(O$8&lt;='Detalle'!$H319,O$9&gt;='Detalle'!$G319),1,"")</x:f>
      </x:c>
      <x:c r="P652" s="32" t="str">
        <x:f>IF(AND(P$8&lt;='Detalle'!$H319,P$9&gt;='Detalle'!$G319),1,"")</x:f>
      </x:c>
      <x:c r="Q652" s="68"/>
      <x:c r="R652" s="67" t="str">
        <x:f>IF('Detalle'!M319="","",'Detalle'!M319)</x:f>
      </x:c>
      <x:c r="S652" s="67" t="str">
        <x:f>IF('Detalle'!N319="","",'Detalle'!N319)</x:f>
      </x:c>
    </x:row>
    <x:row r="653" ht="16" customHeight="1">
      <x:c r="A653" s="56" t="str">
        <x:v>PRO03.005</x:v>
      </x:c>
      <x:c r="B653" s="57" t="str">
        <x:v>Separar editor de identidad y profesional</x:v>
      </x:c>
      <x:c r="C653" s="63" t="str">
        <x:v>R</x:v>
      </x:c>
      <x:c r="D653" s="65" t="str">
        <x:f>IF('Detalle'!L319="","",'Detalle'!L319)</x:f>
      </x:c>
      <x:c r="E653" s="60" t="str"/>
      <x:c r="F653" s="32" t="str">
        <x:f>IF(OR('Detalle'!$J319="",'Detalle'!$K319="",'Detalle'!$L319=""),"",IF(AND(F$8&lt;='Detalle'!$K319,F$9&gt;='Detalle'!$J319),1,""))</x:f>
      </x:c>
      <x:c r="G653" s="32" t="str">
        <x:f>IF(OR('Detalle'!$J319="",'Detalle'!$K319="",'Detalle'!$L319=""),"",IF(AND(G$8&lt;='Detalle'!$K319,G$9&gt;='Detalle'!$J319),1,""))</x:f>
      </x:c>
      <x:c r="H653" s="32" t="str">
        <x:f>IF(OR('Detalle'!$J319="",'Detalle'!$K319="",'Detalle'!$L319=""),"",IF(AND(H$8&lt;='Detalle'!$K319,H$9&gt;='Detalle'!$J319),1,""))</x:f>
      </x:c>
      <x:c r="I653" s="32" t="str">
        <x:f>IF(OR('Detalle'!$J319="",'Detalle'!$K319="",'Detalle'!$L319=""),"",IF(AND(I$8&lt;='Detalle'!$K319,I$9&gt;='Detalle'!$J319),1,""))</x:f>
      </x:c>
      <x:c r="J653" s="32" t="str">
        <x:f>IF(OR('Detalle'!$J319="",'Detalle'!$K319="",'Detalle'!$L319=""),"",IF(AND(J$8&lt;='Detalle'!$K319,J$9&gt;='Detalle'!$J319),1,""))</x:f>
      </x:c>
      <x:c r="K653" s="32" t="str">
        <x:f>IF(OR('Detalle'!$J319="",'Detalle'!$K319="",'Detalle'!$L319=""),"",IF(AND(K$8&lt;='Detalle'!$K319,K$9&gt;='Detalle'!$J319),1,""))</x:f>
      </x:c>
      <x:c r="L653" s="32" t="str">
        <x:f>IF(OR('Detalle'!$J319="",'Detalle'!$K319="",'Detalle'!$L319=""),"",IF(AND(L$8&lt;='Detalle'!$K319,L$9&gt;='Detalle'!$J319),1,""))</x:f>
      </x:c>
      <x:c r="M653" s="32" t="str">
        <x:f>IF(OR('Detalle'!$J319="",'Detalle'!$K319="",'Detalle'!$L319=""),"",IF(AND(M$8&lt;='Detalle'!$K319,M$9&gt;='Detalle'!$J319),1,""))</x:f>
      </x:c>
      <x:c r="N653" s="32" t="str">
        <x:f>IF(OR('Detalle'!$J319="",'Detalle'!$K319="",'Detalle'!$L319=""),"",IF(AND(N$8&lt;='Detalle'!$K319,N$9&gt;='Detalle'!$J319),1,""))</x:f>
      </x:c>
      <x:c r="O653" s="32" t="str">
        <x:f>IF(OR('Detalle'!$J319="",'Detalle'!$K319="",'Detalle'!$L319=""),"",IF(AND(O$8&lt;='Detalle'!$K319,O$9&gt;='Detalle'!$J319),1,""))</x:f>
      </x:c>
      <x:c r="P653" s="32" t="str">
        <x:f>IF(OR('Detalle'!$J319="",'Detalle'!$K319="",'Detalle'!$L319=""),"",IF(AND(P$8&lt;='Detalle'!$K319,P$9&gt;='Detalle'!$J319),1,""))</x:f>
      </x:c>
      <x:c r="Q653" s="68"/>
      <x:c r="R653" s="67" t="str"/>
      <x:c r="S653" s="67" t="str"/>
    </x:row>
    <x:row r="654" ht="16" customHeight="1">
      <x:c r="A654" s="56" t="str">
        <x:v>PRO03.006</x:v>
      </x:c>
      <x:c r="B654" s="57" t="str">
        <x:v>Validar campos entre secciones</x:v>
      </x:c>
      <x:c r="C654" s="62" t="str">
        <x:v>E</x:v>
      </x:c>
      <x:c r="D654" s="64" t="n">
        <x:f>'Detalle'!I320</x:f>
        <x:v>1</x:v>
      </x:c>
      <x:c r="E654" s="60" t="str">
        <x:f>'Detalle'!F320</x:f>
        <x:v>Completado</x:v>
      </x:c>
      <x:c r="F654" s="32" t="str">
        <x:f>IF(AND(F$8&lt;='Detalle'!$H320,F$9&gt;='Detalle'!$G320),1,"")</x:f>
      </x:c>
      <x:c r="G654" s="32" t="str">
        <x:f>IF(AND(G$8&lt;='Detalle'!$H320,G$9&gt;='Detalle'!$G320),1,"")</x:f>
      </x:c>
      <x:c r="H654" s="32" t="str">
        <x:f>IF(AND(H$8&lt;='Detalle'!$H320,H$9&gt;='Detalle'!$G320),1,"")</x:f>
      </x:c>
      <x:c r="I654" s="32" t="n">
        <x:f>IF(AND(I$8&lt;='Detalle'!$H320,I$9&gt;='Detalle'!$G320),1,"")</x:f>
        <x:v>1</x:v>
      </x:c>
      <x:c r="J654" s="32" t="str">
        <x:f>IF(AND(J$8&lt;='Detalle'!$H320,J$9&gt;='Detalle'!$G320),1,"")</x:f>
      </x:c>
      <x:c r="K654" s="32" t="str">
        <x:f>IF(AND(K$8&lt;='Detalle'!$H320,K$9&gt;='Detalle'!$G320),1,"")</x:f>
      </x:c>
      <x:c r="L654" s="32" t="str">
        <x:f>IF(AND(L$8&lt;='Detalle'!$H320,L$9&gt;='Detalle'!$G320),1,"")</x:f>
      </x:c>
      <x:c r="M654" s="32" t="str">
        <x:f>IF(AND(M$8&lt;='Detalle'!$H320,M$9&gt;='Detalle'!$G320),1,"")</x:f>
      </x:c>
      <x:c r="N654" s="32" t="str">
        <x:f>IF(AND(N$8&lt;='Detalle'!$H320,N$9&gt;='Detalle'!$G320),1,"")</x:f>
      </x:c>
      <x:c r="O654" s="32" t="str">
        <x:f>IF(AND(O$8&lt;='Detalle'!$H320,O$9&gt;='Detalle'!$G320),1,"")</x:f>
      </x:c>
      <x:c r="P654" s="32" t="str">
        <x:f>IF(AND(P$8&lt;='Detalle'!$H320,P$9&gt;='Detalle'!$G320),1,"")</x:f>
      </x:c>
      <x:c r="Q654" s="68"/>
      <x:c r="R654" s="67" t="str">
        <x:f>IF('Detalle'!M320="","",'Detalle'!M320)</x:f>
      </x:c>
      <x:c r="S654" s="67" t="str">
        <x:f>IF('Detalle'!N320="","",'Detalle'!N320)</x:f>
      </x:c>
    </x:row>
    <x:row r="655" ht="16" customHeight="1">
      <x:c r="A655" s="56" t="str">
        <x:v>PRO03.006</x:v>
      </x:c>
      <x:c r="B655" s="57" t="str">
        <x:v>Validar campos entre secciones</x:v>
      </x:c>
      <x:c r="C655" s="63" t="str">
        <x:v>R</x:v>
      </x:c>
      <x:c r="D655" s="65" t="str">
        <x:f>IF('Detalle'!L320="","",'Detalle'!L320)</x:f>
      </x:c>
      <x:c r="E655" s="60" t="str"/>
      <x:c r="F655" s="32" t="str">
        <x:f>IF(OR('Detalle'!$J320="",'Detalle'!$K320="",'Detalle'!$L320=""),"",IF(AND(F$8&lt;='Detalle'!$K320,F$9&gt;='Detalle'!$J320),1,""))</x:f>
      </x:c>
      <x:c r="G655" s="32" t="str">
        <x:f>IF(OR('Detalle'!$J320="",'Detalle'!$K320="",'Detalle'!$L320=""),"",IF(AND(G$8&lt;='Detalle'!$K320,G$9&gt;='Detalle'!$J320),1,""))</x:f>
      </x:c>
      <x:c r="H655" s="32" t="str">
        <x:f>IF(OR('Detalle'!$J320="",'Detalle'!$K320="",'Detalle'!$L320=""),"",IF(AND(H$8&lt;='Detalle'!$K320,H$9&gt;='Detalle'!$J320),1,""))</x:f>
      </x:c>
      <x:c r="I655" s="32" t="str">
        <x:f>IF(OR('Detalle'!$J320="",'Detalle'!$K320="",'Detalle'!$L320=""),"",IF(AND(I$8&lt;='Detalle'!$K320,I$9&gt;='Detalle'!$J320),1,""))</x:f>
      </x:c>
      <x:c r="J655" s="32" t="str">
        <x:f>IF(OR('Detalle'!$J320="",'Detalle'!$K320="",'Detalle'!$L320=""),"",IF(AND(J$8&lt;='Detalle'!$K320,J$9&gt;='Detalle'!$J320),1,""))</x:f>
      </x:c>
      <x:c r="K655" s="32" t="str">
        <x:f>IF(OR('Detalle'!$J320="",'Detalle'!$K320="",'Detalle'!$L320=""),"",IF(AND(K$8&lt;='Detalle'!$K320,K$9&gt;='Detalle'!$J320),1,""))</x:f>
      </x:c>
      <x:c r="L655" s="32" t="str">
        <x:f>IF(OR('Detalle'!$J320="",'Detalle'!$K320="",'Detalle'!$L320=""),"",IF(AND(L$8&lt;='Detalle'!$K320,L$9&gt;='Detalle'!$J320),1,""))</x:f>
      </x:c>
      <x:c r="M655" s="32" t="str">
        <x:f>IF(OR('Detalle'!$J320="",'Detalle'!$K320="",'Detalle'!$L320=""),"",IF(AND(M$8&lt;='Detalle'!$K320,M$9&gt;='Detalle'!$J320),1,""))</x:f>
      </x:c>
      <x:c r="N655" s="32" t="str">
        <x:f>IF(OR('Detalle'!$J320="",'Detalle'!$K320="",'Detalle'!$L320=""),"",IF(AND(N$8&lt;='Detalle'!$K320,N$9&gt;='Detalle'!$J320),1,""))</x:f>
      </x:c>
      <x:c r="O655" s="32" t="str">
        <x:f>IF(OR('Detalle'!$J320="",'Detalle'!$K320="",'Detalle'!$L320=""),"",IF(AND(O$8&lt;='Detalle'!$K320,O$9&gt;='Detalle'!$J320),1,""))</x:f>
      </x:c>
      <x:c r="P655" s="32" t="str">
        <x:f>IF(OR('Detalle'!$J320="",'Detalle'!$K320="",'Detalle'!$L320=""),"",IF(AND(P$8&lt;='Detalle'!$K320,P$9&gt;='Detalle'!$J320),1,""))</x:f>
      </x:c>
      <x:c r="Q655" s="68"/>
      <x:c r="R655" s="67" t="str"/>
      <x:c r="S655" s="67" t="str"/>
    </x:row>
    <x:row r="656" ht="16" customHeight="1">
      <x:c r="A656" s="56" t="str">
        <x:v>PRO03.007</x:v>
      </x:c>
      <x:c r="B656" s="57" t="str">
        <x:v>Corregir foco de campos ocultos</x:v>
      </x:c>
      <x:c r="C656" s="62" t="str">
        <x:v>E</x:v>
      </x:c>
      <x:c r="D656" s="64" t="n">
        <x:f>'Detalle'!I321</x:f>
        <x:v>1</x:v>
      </x:c>
      <x:c r="E656" s="60" t="str">
        <x:f>'Detalle'!F321</x:f>
        <x:v>Completado</x:v>
      </x:c>
      <x:c r="F656" s="32" t="str">
        <x:f>IF(AND(F$8&lt;='Detalle'!$H321,F$9&gt;='Detalle'!$G321),1,"")</x:f>
      </x:c>
      <x:c r="G656" s="32" t="str">
        <x:f>IF(AND(G$8&lt;='Detalle'!$H321,G$9&gt;='Detalle'!$G321),1,"")</x:f>
      </x:c>
      <x:c r="H656" s="32" t="str">
        <x:f>IF(AND(H$8&lt;='Detalle'!$H321,H$9&gt;='Detalle'!$G321),1,"")</x:f>
      </x:c>
      <x:c r="I656" s="32" t="n">
        <x:f>IF(AND(I$8&lt;='Detalle'!$H321,I$9&gt;='Detalle'!$G321),1,"")</x:f>
        <x:v>1</x:v>
      </x:c>
      <x:c r="J656" s="32" t="str">
        <x:f>IF(AND(J$8&lt;='Detalle'!$H321,J$9&gt;='Detalle'!$G321),1,"")</x:f>
      </x:c>
      <x:c r="K656" s="32" t="str">
        <x:f>IF(AND(K$8&lt;='Detalle'!$H321,K$9&gt;='Detalle'!$G321),1,"")</x:f>
      </x:c>
      <x:c r="L656" s="32" t="str">
        <x:f>IF(AND(L$8&lt;='Detalle'!$H321,L$9&gt;='Detalle'!$G321),1,"")</x:f>
      </x:c>
      <x:c r="M656" s="32" t="str">
        <x:f>IF(AND(M$8&lt;='Detalle'!$H321,M$9&gt;='Detalle'!$G321),1,"")</x:f>
      </x:c>
      <x:c r="N656" s="32" t="str">
        <x:f>IF(AND(N$8&lt;='Detalle'!$H321,N$9&gt;='Detalle'!$G321),1,"")</x:f>
      </x:c>
      <x:c r="O656" s="32" t="str">
        <x:f>IF(AND(O$8&lt;='Detalle'!$H321,O$9&gt;='Detalle'!$G321),1,"")</x:f>
      </x:c>
      <x:c r="P656" s="32" t="str">
        <x:f>IF(AND(P$8&lt;='Detalle'!$H321,P$9&gt;='Detalle'!$G321),1,"")</x:f>
      </x:c>
      <x:c r="Q656" s="68"/>
      <x:c r="R656" s="67" t="str">
        <x:f>IF('Detalle'!M321="","",'Detalle'!M321)</x:f>
      </x:c>
      <x:c r="S656" s="67" t="str">
        <x:f>IF('Detalle'!N321="","",'Detalle'!N321)</x:f>
      </x:c>
    </x:row>
    <x:row r="657" ht="16" customHeight="1">
      <x:c r="A657" s="56" t="str">
        <x:v>PRO03.007</x:v>
      </x:c>
      <x:c r="B657" s="57" t="str">
        <x:v>Corregir foco de campos ocultos</x:v>
      </x:c>
      <x:c r="C657" s="63" t="str">
        <x:v>R</x:v>
      </x:c>
      <x:c r="D657" s="65" t="str">
        <x:f>IF('Detalle'!L321="","",'Detalle'!L321)</x:f>
      </x:c>
      <x:c r="E657" s="60" t="str"/>
      <x:c r="F657" s="32" t="str">
        <x:f>IF(OR('Detalle'!$J321="",'Detalle'!$K321="",'Detalle'!$L321=""),"",IF(AND(F$8&lt;='Detalle'!$K321,F$9&gt;='Detalle'!$J321),1,""))</x:f>
      </x:c>
      <x:c r="G657" s="32" t="str">
        <x:f>IF(OR('Detalle'!$J321="",'Detalle'!$K321="",'Detalle'!$L321=""),"",IF(AND(G$8&lt;='Detalle'!$K321,G$9&gt;='Detalle'!$J321),1,""))</x:f>
      </x:c>
      <x:c r="H657" s="32" t="str">
        <x:f>IF(OR('Detalle'!$J321="",'Detalle'!$K321="",'Detalle'!$L321=""),"",IF(AND(H$8&lt;='Detalle'!$K321,H$9&gt;='Detalle'!$J321),1,""))</x:f>
      </x:c>
      <x:c r="I657" s="32" t="str">
        <x:f>IF(OR('Detalle'!$J321="",'Detalle'!$K321="",'Detalle'!$L321=""),"",IF(AND(I$8&lt;='Detalle'!$K321,I$9&gt;='Detalle'!$J321),1,""))</x:f>
      </x:c>
      <x:c r="J657" s="32" t="str">
        <x:f>IF(OR('Detalle'!$J321="",'Detalle'!$K321="",'Detalle'!$L321=""),"",IF(AND(J$8&lt;='Detalle'!$K321,J$9&gt;='Detalle'!$J321),1,""))</x:f>
      </x:c>
      <x:c r="K657" s="32" t="str">
        <x:f>IF(OR('Detalle'!$J321="",'Detalle'!$K321="",'Detalle'!$L321=""),"",IF(AND(K$8&lt;='Detalle'!$K321,K$9&gt;='Detalle'!$J321),1,""))</x:f>
      </x:c>
      <x:c r="L657" s="32" t="str">
        <x:f>IF(OR('Detalle'!$J321="",'Detalle'!$K321="",'Detalle'!$L321=""),"",IF(AND(L$8&lt;='Detalle'!$K321,L$9&gt;='Detalle'!$J321),1,""))</x:f>
      </x:c>
      <x:c r="M657" s="32" t="str">
        <x:f>IF(OR('Detalle'!$J321="",'Detalle'!$K321="",'Detalle'!$L321=""),"",IF(AND(M$8&lt;='Detalle'!$K321,M$9&gt;='Detalle'!$J321),1,""))</x:f>
      </x:c>
      <x:c r="N657" s="32" t="str">
        <x:f>IF(OR('Detalle'!$J321="",'Detalle'!$K321="",'Detalle'!$L321=""),"",IF(AND(N$8&lt;='Detalle'!$K321,N$9&gt;='Detalle'!$J321),1,""))</x:f>
      </x:c>
      <x:c r="O657" s="32" t="str">
        <x:f>IF(OR('Detalle'!$J321="",'Detalle'!$K321="",'Detalle'!$L321=""),"",IF(AND(O$8&lt;='Detalle'!$K321,O$9&gt;='Detalle'!$J321),1,""))</x:f>
      </x:c>
      <x:c r="P657" s="32" t="str">
        <x:f>IF(OR('Detalle'!$J321="",'Detalle'!$K321="",'Detalle'!$L321=""),"",IF(AND(P$8&lt;='Detalle'!$K321,P$9&gt;='Detalle'!$J321),1,""))</x:f>
      </x:c>
      <x:c r="Q657" s="68"/>
      <x:c r="R657" s="67" t="str"/>
      <x:c r="S657" s="67" t="str"/>
    </x:row>
    <x:row r="658" ht="16" customHeight="1">
      <x:c r="A658" s="56" t="str">
        <x:v>PRO03.008</x:v>
      </x:c>
      <x:c r="B658" s="57" t="str">
        <x:v>Actualizar identidad tras cambiar enlaces</x:v>
      </x:c>
      <x:c r="C658" s="62" t="str">
        <x:v>E</x:v>
      </x:c>
      <x:c r="D658" s="64" t="n">
        <x:f>'Detalle'!I322</x:f>
        <x:v>1</x:v>
      </x:c>
      <x:c r="E658" s="60" t="str">
        <x:f>'Detalle'!F322</x:f>
        <x:v>Completado</x:v>
      </x:c>
      <x:c r="F658" s="32" t="str">
        <x:f>IF(AND(F$8&lt;='Detalle'!$H322,F$9&gt;='Detalle'!$G322),1,"")</x:f>
      </x:c>
      <x:c r="G658" s="32" t="str">
        <x:f>IF(AND(G$8&lt;='Detalle'!$H322,G$9&gt;='Detalle'!$G322),1,"")</x:f>
      </x:c>
      <x:c r="H658" s="32" t="str">
        <x:f>IF(AND(H$8&lt;='Detalle'!$H322,H$9&gt;='Detalle'!$G322),1,"")</x:f>
      </x:c>
      <x:c r="I658" s="32" t="n">
        <x:f>IF(AND(I$8&lt;='Detalle'!$H322,I$9&gt;='Detalle'!$G322),1,"")</x:f>
        <x:v>1</x:v>
      </x:c>
      <x:c r="J658" s="32" t="str">
        <x:f>IF(AND(J$8&lt;='Detalle'!$H322,J$9&gt;='Detalle'!$G322),1,"")</x:f>
      </x:c>
      <x:c r="K658" s="32" t="str">
        <x:f>IF(AND(K$8&lt;='Detalle'!$H322,K$9&gt;='Detalle'!$G322),1,"")</x:f>
      </x:c>
      <x:c r="L658" s="32" t="str">
        <x:f>IF(AND(L$8&lt;='Detalle'!$H322,L$9&gt;='Detalle'!$G322),1,"")</x:f>
      </x:c>
      <x:c r="M658" s="32" t="str">
        <x:f>IF(AND(M$8&lt;='Detalle'!$H322,M$9&gt;='Detalle'!$G322),1,"")</x:f>
      </x:c>
      <x:c r="N658" s="32" t="str">
        <x:f>IF(AND(N$8&lt;='Detalle'!$H322,N$9&gt;='Detalle'!$G322),1,"")</x:f>
      </x:c>
      <x:c r="O658" s="32" t="str">
        <x:f>IF(AND(O$8&lt;='Detalle'!$H322,O$9&gt;='Detalle'!$G322),1,"")</x:f>
      </x:c>
      <x:c r="P658" s="32" t="str">
        <x:f>IF(AND(P$8&lt;='Detalle'!$H322,P$9&gt;='Detalle'!$G322),1,"")</x:f>
      </x:c>
      <x:c r="Q658" s="68"/>
      <x:c r="R658" s="67" t="str">
        <x:f>IF('Detalle'!M322="","",'Detalle'!M322)</x:f>
      </x:c>
      <x:c r="S658" s="67" t="str">
        <x:f>IF('Detalle'!N322="","",'Detalle'!N322)</x:f>
      </x:c>
    </x:row>
    <x:row r="659" ht="16" customHeight="1">
      <x:c r="A659" s="56" t="str">
        <x:v>PRO03.008</x:v>
      </x:c>
      <x:c r="B659" s="57" t="str">
        <x:v>Actualizar identidad tras cambiar enlaces</x:v>
      </x:c>
      <x:c r="C659" s="63" t="str">
        <x:v>R</x:v>
      </x:c>
      <x:c r="D659" s="65" t="str">
        <x:f>IF('Detalle'!L322="","",'Detalle'!L322)</x:f>
      </x:c>
      <x:c r="E659" s="60" t="str"/>
      <x:c r="F659" s="32" t="str">
        <x:f>IF(OR('Detalle'!$J322="",'Detalle'!$K322="",'Detalle'!$L322=""),"",IF(AND(F$8&lt;='Detalle'!$K322,F$9&gt;='Detalle'!$J322),1,""))</x:f>
      </x:c>
      <x:c r="G659" s="32" t="str">
        <x:f>IF(OR('Detalle'!$J322="",'Detalle'!$K322="",'Detalle'!$L322=""),"",IF(AND(G$8&lt;='Detalle'!$K322,G$9&gt;='Detalle'!$J322),1,""))</x:f>
      </x:c>
      <x:c r="H659" s="32" t="str">
        <x:f>IF(OR('Detalle'!$J322="",'Detalle'!$K322="",'Detalle'!$L322=""),"",IF(AND(H$8&lt;='Detalle'!$K322,H$9&gt;='Detalle'!$J322),1,""))</x:f>
      </x:c>
      <x:c r="I659" s="32" t="str">
        <x:f>IF(OR('Detalle'!$J322="",'Detalle'!$K322="",'Detalle'!$L322=""),"",IF(AND(I$8&lt;='Detalle'!$K322,I$9&gt;='Detalle'!$J322),1,""))</x:f>
      </x:c>
      <x:c r="J659" s="32" t="str">
        <x:f>IF(OR('Detalle'!$J322="",'Detalle'!$K322="",'Detalle'!$L322=""),"",IF(AND(J$8&lt;='Detalle'!$K322,J$9&gt;='Detalle'!$J322),1,""))</x:f>
      </x:c>
      <x:c r="K659" s="32" t="str">
        <x:f>IF(OR('Detalle'!$J322="",'Detalle'!$K322="",'Detalle'!$L322=""),"",IF(AND(K$8&lt;='Detalle'!$K322,K$9&gt;='Detalle'!$J322),1,""))</x:f>
      </x:c>
      <x:c r="L659" s="32" t="str">
        <x:f>IF(OR('Detalle'!$J322="",'Detalle'!$K322="",'Detalle'!$L322=""),"",IF(AND(L$8&lt;='Detalle'!$K322,L$9&gt;='Detalle'!$J322),1,""))</x:f>
      </x:c>
      <x:c r="M659" s="32" t="str">
        <x:f>IF(OR('Detalle'!$J322="",'Detalle'!$K322="",'Detalle'!$L322=""),"",IF(AND(M$8&lt;='Detalle'!$K322,M$9&gt;='Detalle'!$J322),1,""))</x:f>
      </x:c>
      <x:c r="N659" s="32" t="str">
        <x:f>IF(OR('Detalle'!$J322="",'Detalle'!$K322="",'Detalle'!$L322=""),"",IF(AND(N$8&lt;='Detalle'!$K322,N$9&gt;='Detalle'!$J322),1,""))</x:f>
      </x:c>
      <x:c r="O659" s="32" t="str">
        <x:f>IF(OR('Detalle'!$J322="",'Detalle'!$K322="",'Detalle'!$L322=""),"",IF(AND(O$8&lt;='Detalle'!$K322,O$9&gt;='Detalle'!$J322),1,""))</x:f>
      </x:c>
      <x:c r="P659" s="32" t="str">
        <x:f>IF(OR('Detalle'!$J322="",'Detalle'!$K322="",'Detalle'!$L322=""),"",IF(AND(P$8&lt;='Detalle'!$K322,P$9&gt;='Detalle'!$J322),1,""))</x:f>
      </x:c>
      <x:c r="Q659" s="68"/>
      <x:c r="R659" s="67" t="str"/>
      <x:c r="S659" s="67" t="str"/>
    </x:row>
    <x:row r="660" ht="16" customHeight="1">
      <x:c r="A660" s="56" t="str">
        <x:v>PRO03.009</x:v>
      </x:c>
      <x:c r="B660" s="57" t="str">
        <x:v>Crear configuración compacta</x:v>
      </x:c>
      <x:c r="C660" s="62" t="str">
        <x:v>E</x:v>
      </x:c>
      <x:c r="D660" s="64" t="n">
        <x:f>'Detalle'!I323</x:f>
        <x:v>1</x:v>
      </x:c>
      <x:c r="E660" s="60" t="str">
        <x:f>'Detalle'!F323</x:f>
        <x:v>Completado</x:v>
      </x:c>
      <x:c r="F660" s="32" t="str">
        <x:f>IF(AND(F$8&lt;='Detalle'!$H323,F$9&gt;='Detalle'!$G323),1,"")</x:f>
      </x:c>
      <x:c r="G660" s="32" t="str">
        <x:f>IF(AND(G$8&lt;='Detalle'!$H323,G$9&gt;='Detalle'!$G323),1,"")</x:f>
      </x:c>
      <x:c r="H660" s="32" t="str">
        <x:f>IF(AND(H$8&lt;='Detalle'!$H323,H$9&gt;='Detalle'!$G323),1,"")</x:f>
      </x:c>
      <x:c r="I660" s="32" t="n">
        <x:f>IF(AND(I$8&lt;='Detalle'!$H323,I$9&gt;='Detalle'!$G323),1,"")</x:f>
        <x:v>1</x:v>
      </x:c>
      <x:c r="J660" s="32" t="str">
        <x:f>IF(AND(J$8&lt;='Detalle'!$H323,J$9&gt;='Detalle'!$G323),1,"")</x:f>
      </x:c>
      <x:c r="K660" s="32" t="str">
        <x:f>IF(AND(K$8&lt;='Detalle'!$H323,K$9&gt;='Detalle'!$G323),1,"")</x:f>
      </x:c>
      <x:c r="L660" s="32" t="str">
        <x:f>IF(AND(L$8&lt;='Detalle'!$H323,L$9&gt;='Detalle'!$G323),1,"")</x:f>
      </x:c>
      <x:c r="M660" s="32" t="str">
        <x:f>IF(AND(M$8&lt;='Detalle'!$H323,M$9&gt;='Detalle'!$G323),1,"")</x:f>
      </x:c>
      <x:c r="N660" s="32" t="str">
        <x:f>IF(AND(N$8&lt;='Detalle'!$H323,N$9&gt;='Detalle'!$G323),1,"")</x:f>
      </x:c>
      <x:c r="O660" s="32" t="str">
        <x:f>IF(AND(O$8&lt;='Detalle'!$H323,O$9&gt;='Detalle'!$G323),1,"")</x:f>
      </x:c>
      <x:c r="P660" s="32" t="str">
        <x:f>IF(AND(P$8&lt;='Detalle'!$H323,P$9&gt;='Detalle'!$G323),1,"")</x:f>
      </x:c>
      <x:c r="Q660" s="68"/>
      <x:c r="R660" s="67" t="str">
        <x:f>IF('Detalle'!M323="","",'Detalle'!M323)</x:f>
      </x:c>
      <x:c r="S660" s="67" t="str">
        <x:f>IF('Detalle'!N323="","",'Detalle'!N323)</x:f>
      </x:c>
    </x:row>
    <x:row r="661" ht="16" customHeight="1">
      <x:c r="A661" s="56" t="str">
        <x:v>PRO03.009</x:v>
      </x:c>
      <x:c r="B661" s="57" t="str">
        <x:v>Crear configuración compacta</x:v>
      </x:c>
      <x:c r="C661" s="63" t="str">
        <x:v>R</x:v>
      </x:c>
      <x:c r="D661" s="65" t="str">
        <x:f>IF('Detalle'!L323="","",'Detalle'!L323)</x:f>
      </x:c>
      <x:c r="E661" s="60" t="str"/>
      <x:c r="F661" s="32" t="str">
        <x:f>IF(OR('Detalle'!$J323="",'Detalle'!$K323="",'Detalle'!$L323=""),"",IF(AND(F$8&lt;='Detalle'!$K323,F$9&gt;='Detalle'!$J323),1,""))</x:f>
      </x:c>
      <x:c r="G661" s="32" t="str">
        <x:f>IF(OR('Detalle'!$J323="",'Detalle'!$K323="",'Detalle'!$L323=""),"",IF(AND(G$8&lt;='Detalle'!$K323,G$9&gt;='Detalle'!$J323),1,""))</x:f>
      </x:c>
      <x:c r="H661" s="32" t="str">
        <x:f>IF(OR('Detalle'!$J323="",'Detalle'!$K323="",'Detalle'!$L323=""),"",IF(AND(H$8&lt;='Detalle'!$K323,H$9&gt;='Detalle'!$J323),1,""))</x:f>
      </x:c>
      <x:c r="I661" s="32" t="str">
        <x:f>IF(OR('Detalle'!$J323="",'Detalle'!$K323="",'Detalle'!$L323=""),"",IF(AND(I$8&lt;='Detalle'!$K323,I$9&gt;='Detalle'!$J323),1,""))</x:f>
      </x:c>
      <x:c r="J661" s="32" t="str">
        <x:f>IF(OR('Detalle'!$J323="",'Detalle'!$K323="",'Detalle'!$L323=""),"",IF(AND(J$8&lt;='Detalle'!$K323,J$9&gt;='Detalle'!$J323),1,""))</x:f>
      </x:c>
      <x:c r="K661" s="32" t="str">
        <x:f>IF(OR('Detalle'!$J323="",'Detalle'!$K323="",'Detalle'!$L323=""),"",IF(AND(K$8&lt;='Detalle'!$K323,K$9&gt;='Detalle'!$J323),1,""))</x:f>
      </x:c>
      <x:c r="L661" s="32" t="str">
        <x:f>IF(OR('Detalle'!$J323="",'Detalle'!$K323="",'Detalle'!$L323=""),"",IF(AND(L$8&lt;='Detalle'!$K323,L$9&gt;='Detalle'!$J323),1,""))</x:f>
      </x:c>
      <x:c r="M661" s="32" t="str">
        <x:f>IF(OR('Detalle'!$J323="",'Detalle'!$K323="",'Detalle'!$L323=""),"",IF(AND(M$8&lt;='Detalle'!$K323,M$9&gt;='Detalle'!$J323),1,""))</x:f>
      </x:c>
      <x:c r="N661" s="32" t="str">
        <x:f>IF(OR('Detalle'!$J323="",'Detalle'!$K323="",'Detalle'!$L323=""),"",IF(AND(N$8&lt;='Detalle'!$K323,N$9&gt;='Detalle'!$J323),1,""))</x:f>
      </x:c>
      <x:c r="O661" s="32" t="str">
        <x:f>IF(OR('Detalle'!$J323="",'Detalle'!$K323="",'Detalle'!$L323=""),"",IF(AND(O$8&lt;='Detalle'!$K323,O$9&gt;='Detalle'!$J323),1,""))</x:f>
      </x:c>
      <x:c r="P661" s="32" t="str">
        <x:f>IF(OR('Detalle'!$J323="",'Detalle'!$K323="",'Detalle'!$L323=""),"",IF(AND(P$8&lt;='Detalle'!$K323,P$9&gt;='Detalle'!$J323),1,""))</x:f>
      </x:c>
      <x:c r="Q661" s="68"/>
      <x:c r="R661" s="67" t="str"/>
      <x:c r="S661" s="67" t="str"/>
    </x:row>
    <x:row r="662" ht="16" customHeight="1">
      <x:c r="A662" s="56" t="str">
        <x:v>PRO03.010</x:v>
      </x:c>
      <x:c r="B662" s="57" t="str">
        <x:v>Rediseñar formularios de seguridad</x:v>
      </x:c>
      <x:c r="C662" s="62" t="str">
        <x:v>E</x:v>
      </x:c>
      <x:c r="D662" s="64" t="n">
        <x:f>'Detalle'!I324</x:f>
        <x:v>1</x:v>
      </x:c>
      <x:c r="E662" s="60" t="str">
        <x:f>'Detalle'!F324</x:f>
        <x:v>Completado</x:v>
      </x:c>
      <x:c r="F662" s="32" t="str">
        <x:f>IF(AND(F$8&lt;='Detalle'!$H324,F$9&gt;='Detalle'!$G324),1,"")</x:f>
      </x:c>
      <x:c r="G662" s="32" t="str">
        <x:f>IF(AND(G$8&lt;='Detalle'!$H324,G$9&gt;='Detalle'!$G324),1,"")</x:f>
      </x:c>
      <x:c r="H662" s="32" t="str">
        <x:f>IF(AND(H$8&lt;='Detalle'!$H324,H$9&gt;='Detalle'!$G324),1,"")</x:f>
      </x:c>
      <x:c r="I662" s="32" t="n">
        <x:f>IF(AND(I$8&lt;='Detalle'!$H324,I$9&gt;='Detalle'!$G324),1,"")</x:f>
        <x:v>1</x:v>
      </x:c>
      <x:c r="J662" s="32" t="str">
        <x:f>IF(AND(J$8&lt;='Detalle'!$H324,J$9&gt;='Detalle'!$G324),1,"")</x:f>
      </x:c>
      <x:c r="K662" s="32" t="str">
        <x:f>IF(AND(K$8&lt;='Detalle'!$H324,K$9&gt;='Detalle'!$G324),1,"")</x:f>
      </x:c>
      <x:c r="L662" s="32" t="str">
        <x:f>IF(AND(L$8&lt;='Detalle'!$H324,L$9&gt;='Detalle'!$G324),1,"")</x:f>
      </x:c>
      <x:c r="M662" s="32" t="str">
        <x:f>IF(AND(M$8&lt;='Detalle'!$H324,M$9&gt;='Detalle'!$G324),1,"")</x:f>
      </x:c>
      <x:c r="N662" s="32" t="str">
        <x:f>IF(AND(N$8&lt;='Detalle'!$H324,N$9&gt;='Detalle'!$G324),1,"")</x:f>
      </x:c>
      <x:c r="O662" s="32" t="str">
        <x:f>IF(AND(O$8&lt;='Detalle'!$H324,O$9&gt;='Detalle'!$G324),1,"")</x:f>
      </x:c>
      <x:c r="P662" s="32" t="str">
        <x:f>IF(AND(P$8&lt;='Detalle'!$H324,P$9&gt;='Detalle'!$G324),1,"")</x:f>
      </x:c>
      <x:c r="Q662" s="68"/>
      <x:c r="R662" s="67" t="str">
        <x:f>IF('Detalle'!M324="","",'Detalle'!M324)</x:f>
      </x:c>
      <x:c r="S662" s="67" t="str">
        <x:f>IF('Detalle'!N324="","",'Detalle'!N324)</x:f>
      </x:c>
    </x:row>
    <x:row r="663" ht="16" customHeight="1">
      <x:c r="A663" s="56" t="str">
        <x:v>PRO03.010</x:v>
      </x:c>
      <x:c r="B663" s="57" t="str">
        <x:v>Rediseñar formularios de seguridad</x:v>
      </x:c>
      <x:c r="C663" s="63" t="str">
        <x:v>R</x:v>
      </x:c>
      <x:c r="D663" s="65" t="str">
        <x:f>IF('Detalle'!L324="","",'Detalle'!L324)</x:f>
      </x:c>
      <x:c r="E663" s="60" t="str"/>
      <x:c r="F663" s="32" t="str">
        <x:f>IF(OR('Detalle'!$J324="",'Detalle'!$K324="",'Detalle'!$L324=""),"",IF(AND(F$8&lt;='Detalle'!$K324,F$9&gt;='Detalle'!$J324),1,""))</x:f>
      </x:c>
      <x:c r="G663" s="32" t="str">
        <x:f>IF(OR('Detalle'!$J324="",'Detalle'!$K324="",'Detalle'!$L324=""),"",IF(AND(G$8&lt;='Detalle'!$K324,G$9&gt;='Detalle'!$J324),1,""))</x:f>
      </x:c>
      <x:c r="H663" s="32" t="str">
        <x:f>IF(OR('Detalle'!$J324="",'Detalle'!$K324="",'Detalle'!$L324=""),"",IF(AND(H$8&lt;='Detalle'!$K324,H$9&gt;='Detalle'!$J324),1,""))</x:f>
      </x:c>
      <x:c r="I663" s="32" t="str">
        <x:f>IF(OR('Detalle'!$J324="",'Detalle'!$K324="",'Detalle'!$L324=""),"",IF(AND(I$8&lt;='Detalle'!$K324,I$9&gt;='Detalle'!$J324),1,""))</x:f>
      </x:c>
      <x:c r="J663" s="32" t="str">
        <x:f>IF(OR('Detalle'!$J324="",'Detalle'!$K324="",'Detalle'!$L324=""),"",IF(AND(J$8&lt;='Detalle'!$K324,J$9&gt;='Detalle'!$J324),1,""))</x:f>
      </x:c>
      <x:c r="K663" s="32" t="str">
        <x:f>IF(OR('Detalle'!$J324="",'Detalle'!$K324="",'Detalle'!$L324=""),"",IF(AND(K$8&lt;='Detalle'!$K324,K$9&gt;='Detalle'!$J324),1,""))</x:f>
      </x:c>
      <x:c r="L663" s="32" t="str">
        <x:f>IF(OR('Detalle'!$J324="",'Detalle'!$K324="",'Detalle'!$L324=""),"",IF(AND(L$8&lt;='Detalle'!$K324,L$9&gt;='Detalle'!$J324),1,""))</x:f>
      </x:c>
      <x:c r="M663" s="32" t="str">
        <x:f>IF(OR('Detalle'!$J324="",'Detalle'!$K324="",'Detalle'!$L324=""),"",IF(AND(M$8&lt;='Detalle'!$K324,M$9&gt;='Detalle'!$J324),1,""))</x:f>
      </x:c>
      <x:c r="N663" s="32" t="str">
        <x:f>IF(OR('Detalle'!$J324="",'Detalle'!$K324="",'Detalle'!$L324=""),"",IF(AND(N$8&lt;='Detalle'!$K324,N$9&gt;='Detalle'!$J324),1,""))</x:f>
      </x:c>
      <x:c r="O663" s="32" t="str">
        <x:f>IF(OR('Detalle'!$J324="",'Detalle'!$K324="",'Detalle'!$L324=""),"",IF(AND(O$8&lt;='Detalle'!$K324,O$9&gt;='Detalle'!$J324),1,""))</x:f>
      </x:c>
      <x:c r="P663" s="32" t="str">
        <x:f>IF(OR('Detalle'!$J324="",'Detalle'!$K324="",'Detalle'!$L324=""),"",IF(AND(P$8&lt;='Detalle'!$K324,P$9&gt;='Detalle'!$J324),1,""))</x:f>
      </x:c>
      <x:c r="Q663" s="68"/>
      <x:c r="R663" s="67" t="str"/>
      <x:c r="S663" s="67" t="str"/>
    </x:row>
    <x:row r="664" ht="16" customHeight="1">
      <x:c r="A664" s="56" t="str">
        <x:v>PRO03.011</x:v>
      </x:c>
      <x:c r="B664" s="57" t="str">
        <x:v>Mantener guardar visible sobre teclado</x:v>
      </x:c>
      <x:c r="C664" s="62" t="str">
        <x:v>E</x:v>
      </x:c>
      <x:c r="D664" s="64" t="n">
        <x:f>'Detalle'!I325</x:f>
        <x:v>1</x:v>
      </x:c>
      <x:c r="E664" s="60" t="str">
        <x:f>'Detalle'!F325</x:f>
        <x:v>Completado</x:v>
      </x:c>
      <x:c r="F664" s="32" t="str">
        <x:f>IF(AND(F$8&lt;='Detalle'!$H325,F$9&gt;='Detalle'!$G325),1,"")</x:f>
      </x:c>
      <x:c r="G664" s="32" t="str">
        <x:f>IF(AND(G$8&lt;='Detalle'!$H325,G$9&gt;='Detalle'!$G325),1,"")</x:f>
      </x:c>
      <x:c r="H664" s="32" t="str">
        <x:f>IF(AND(H$8&lt;='Detalle'!$H325,H$9&gt;='Detalle'!$G325),1,"")</x:f>
      </x:c>
      <x:c r="I664" s="32" t="n">
        <x:f>IF(AND(I$8&lt;='Detalle'!$H325,I$9&gt;='Detalle'!$G325),1,"")</x:f>
        <x:v>1</x:v>
      </x:c>
      <x:c r="J664" s="32" t="str">
        <x:f>IF(AND(J$8&lt;='Detalle'!$H325,J$9&gt;='Detalle'!$G325),1,"")</x:f>
      </x:c>
      <x:c r="K664" s="32" t="str">
        <x:f>IF(AND(K$8&lt;='Detalle'!$H325,K$9&gt;='Detalle'!$G325),1,"")</x:f>
      </x:c>
      <x:c r="L664" s="32" t="str">
        <x:f>IF(AND(L$8&lt;='Detalle'!$H325,L$9&gt;='Detalle'!$G325),1,"")</x:f>
      </x:c>
      <x:c r="M664" s="32" t="str">
        <x:f>IF(AND(M$8&lt;='Detalle'!$H325,M$9&gt;='Detalle'!$G325),1,"")</x:f>
      </x:c>
      <x:c r="N664" s="32" t="str">
        <x:f>IF(AND(N$8&lt;='Detalle'!$H325,N$9&gt;='Detalle'!$G325),1,"")</x:f>
      </x:c>
      <x:c r="O664" s="32" t="str">
        <x:f>IF(AND(O$8&lt;='Detalle'!$H325,O$9&gt;='Detalle'!$G325),1,"")</x:f>
      </x:c>
      <x:c r="P664" s="32" t="str">
        <x:f>IF(AND(P$8&lt;='Detalle'!$H325,P$9&gt;='Detalle'!$G325),1,"")</x:f>
      </x:c>
      <x:c r="Q664" s="68"/>
      <x:c r="R664" s="67" t="str">
        <x:f>IF('Detalle'!M325="","",'Detalle'!M325)</x:f>
      </x:c>
      <x:c r="S664" s="67" t="str">
        <x:f>IF('Detalle'!N325="","",'Detalle'!N325)</x:f>
      </x:c>
    </x:row>
    <x:row r="665" ht="16" customHeight="1">
      <x:c r="A665" s="56" t="str">
        <x:v>PRO03.011</x:v>
      </x:c>
      <x:c r="B665" s="57" t="str">
        <x:v>Mantener guardar visible sobre teclado</x:v>
      </x:c>
      <x:c r="C665" s="63" t="str">
        <x:v>R</x:v>
      </x:c>
      <x:c r="D665" s="65" t="str">
        <x:f>IF('Detalle'!L325="","",'Detalle'!L325)</x:f>
      </x:c>
      <x:c r="E665" s="60" t="str"/>
      <x:c r="F665" s="32" t="str">
        <x:f>IF(OR('Detalle'!$J325="",'Detalle'!$K325="",'Detalle'!$L325=""),"",IF(AND(F$8&lt;='Detalle'!$K325,F$9&gt;='Detalle'!$J325),1,""))</x:f>
      </x:c>
      <x:c r="G665" s="32" t="str">
        <x:f>IF(OR('Detalle'!$J325="",'Detalle'!$K325="",'Detalle'!$L325=""),"",IF(AND(G$8&lt;='Detalle'!$K325,G$9&gt;='Detalle'!$J325),1,""))</x:f>
      </x:c>
      <x:c r="H665" s="32" t="str">
        <x:f>IF(OR('Detalle'!$J325="",'Detalle'!$K325="",'Detalle'!$L325=""),"",IF(AND(H$8&lt;='Detalle'!$K325,H$9&gt;='Detalle'!$J325),1,""))</x:f>
      </x:c>
      <x:c r="I665" s="32" t="str">
        <x:f>IF(OR('Detalle'!$J325="",'Detalle'!$K325="",'Detalle'!$L325=""),"",IF(AND(I$8&lt;='Detalle'!$K325,I$9&gt;='Detalle'!$J325),1,""))</x:f>
      </x:c>
      <x:c r="J665" s="32" t="str">
        <x:f>IF(OR('Detalle'!$J325="",'Detalle'!$K325="",'Detalle'!$L325=""),"",IF(AND(J$8&lt;='Detalle'!$K325,J$9&gt;='Detalle'!$J325),1,""))</x:f>
      </x:c>
      <x:c r="K665" s="32" t="str">
        <x:f>IF(OR('Detalle'!$J325="",'Detalle'!$K325="",'Detalle'!$L325=""),"",IF(AND(K$8&lt;='Detalle'!$K325,K$9&gt;='Detalle'!$J325),1,""))</x:f>
      </x:c>
      <x:c r="L665" s="32" t="str">
        <x:f>IF(OR('Detalle'!$J325="",'Detalle'!$K325="",'Detalle'!$L325=""),"",IF(AND(L$8&lt;='Detalle'!$K325,L$9&gt;='Detalle'!$J325),1,""))</x:f>
      </x:c>
      <x:c r="M665" s="32" t="str">
        <x:f>IF(OR('Detalle'!$J325="",'Detalle'!$K325="",'Detalle'!$L325=""),"",IF(AND(M$8&lt;='Detalle'!$K325,M$9&gt;='Detalle'!$J325),1,""))</x:f>
      </x:c>
      <x:c r="N665" s="32" t="str">
        <x:f>IF(OR('Detalle'!$J325="",'Detalle'!$K325="",'Detalle'!$L325=""),"",IF(AND(N$8&lt;='Detalle'!$K325,N$9&gt;='Detalle'!$J325),1,""))</x:f>
      </x:c>
      <x:c r="O665" s="32" t="str">
        <x:f>IF(OR('Detalle'!$J325="",'Detalle'!$K325="",'Detalle'!$L325=""),"",IF(AND(O$8&lt;='Detalle'!$K325,O$9&gt;='Detalle'!$J325),1,""))</x:f>
      </x:c>
      <x:c r="P665" s="32" t="str">
        <x:f>IF(OR('Detalle'!$J325="",'Detalle'!$K325="",'Detalle'!$L325=""),"",IF(AND(P$8&lt;='Detalle'!$K325,P$9&gt;='Detalle'!$J325),1,""))</x:f>
      </x:c>
      <x:c r="Q665" s="68"/>
      <x:c r="R665" s="67" t="str"/>
      <x:c r="S665" s="67" t="str"/>
    </x:row>
    <x:row r="666" ht="16" customHeight="1">
      <x:c r="A666" s="56" t="str">
        <x:v>PRO03.012</x:v>
      </x:c>
      <x:c r="B666" s="57" t="str">
        <x:v>Crear controles de galería accesibles</x:v>
      </x:c>
      <x:c r="C666" s="62" t="str">
        <x:v>E</x:v>
      </x:c>
      <x:c r="D666" s="64" t="n">
        <x:f>'Detalle'!I326</x:f>
        <x:v>1</x:v>
      </x:c>
      <x:c r="E666" s="60" t="str">
        <x:f>'Detalle'!F326</x:f>
        <x:v>Completado</x:v>
      </x:c>
      <x:c r="F666" s="32" t="str">
        <x:f>IF(AND(F$8&lt;='Detalle'!$H326,F$9&gt;='Detalle'!$G326),1,"")</x:f>
      </x:c>
      <x:c r="G666" s="32" t="str">
        <x:f>IF(AND(G$8&lt;='Detalle'!$H326,G$9&gt;='Detalle'!$G326),1,"")</x:f>
      </x:c>
      <x:c r="H666" s="32" t="str">
        <x:f>IF(AND(H$8&lt;='Detalle'!$H326,H$9&gt;='Detalle'!$G326),1,"")</x:f>
      </x:c>
      <x:c r="I666" s="32" t="n">
        <x:f>IF(AND(I$8&lt;='Detalle'!$H326,I$9&gt;='Detalle'!$G326),1,"")</x:f>
        <x:v>1</x:v>
      </x:c>
      <x:c r="J666" s="32" t="str">
        <x:f>IF(AND(J$8&lt;='Detalle'!$H326,J$9&gt;='Detalle'!$G326),1,"")</x:f>
      </x:c>
      <x:c r="K666" s="32" t="str">
        <x:f>IF(AND(K$8&lt;='Detalle'!$H326,K$9&gt;='Detalle'!$G326),1,"")</x:f>
      </x:c>
      <x:c r="L666" s="32" t="str">
        <x:f>IF(AND(L$8&lt;='Detalle'!$H326,L$9&gt;='Detalle'!$G326),1,"")</x:f>
      </x:c>
      <x:c r="M666" s="32" t="str">
        <x:f>IF(AND(M$8&lt;='Detalle'!$H326,M$9&gt;='Detalle'!$G326),1,"")</x:f>
      </x:c>
      <x:c r="N666" s="32" t="str">
        <x:f>IF(AND(N$8&lt;='Detalle'!$H326,N$9&gt;='Detalle'!$G326),1,"")</x:f>
      </x:c>
      <x:c r="O666" s="32" t="str">
        <x:f>IF(AND(O$8&lt;='Detalle'!$H326,O$9&gt;='Detalle'!$G326),1,"")</x:f>
      </x:c>
      <x:c r="P666" s="32" t="str">
        <x:f>IF(AND(P$8&lt;='Detalle'!$H326,P$9&gt;='Detalle'!$G326),1,"")</x:f>
      </x:c>
      <x:c r="Q666" s="68"/>
      <x:c r="R666" s="67" t="str">
        <x:f>IF('Detalle'!M326="","",'Detalle'!M326)</x:f>
      </x:c>
      <x:c r="S666" s="67" t="str">
        <x:f>IF('Detalle'!N326="","",'Detalle'!N326)</x:f>
      </x:c>
    </x:row>
    <x:row r="667" ht="16" customHeight="1">
      <x:c r="A667" s="56" t="str">
        <x:v>PRO03.012</x:v>
      </x:c>
      <x:c r="B667" s="57" t="str">
        <x:v>Crear controles de galería accesibles</x:v>
      </x:c>
      <x:c r="C667" s="63" t="str">
        <x:v>R</x:v>
      </x:c>
      <x:c r="D667" s="65" t="str">
        <x:f>IF('Detalle'!L326="","",'Detalle'!L326)</x:f>
      </x:c>
      <x:c r="E667" s="60" t="str"/>
      <x:c r="F667" s="32" t="str">
        <x:f>IF(OR('Detalle'!$J326="",'Detalle'!$K326="",'Detalle'!$L326=""),"",IF(AND(F$8&lt;='Detalle'!$K326,F$9&gt;='Detalle'!$J326),1,""))</x:f>
      </x:c>
      <x:c r="G667" s="32" t="str">
        <x:f>IF(OR('Detalle'!$J326="",'Detalle'!$K326="",'Detalle'!$L326=""),"",IF(AND(G$8&lt;='Detalle'!$K326,G$9&gt;='Detalle'!$J326),1,""))</x:f>
      </x:c>
      <x:c r="H667" s="32" t="str">
        <x:f>IF(OR('Detalle'!$J326="",'Detalle'!$K326="",'Detalle'!$L326=""),"",IF(AND(H$8&lt;='Detalle'!$K326,H$9&gt;='Detalle'!$J326),1,""))</x:f>
      </x:c>
      <x:c r="I667" s="32" t="str">
        <x:f>IF(OR('Detalle'!$J326="",'Detalle'!$K326="",'Detalle'!$L326=""),"",IF(AND(I$8&lt;='Detalle'!$K326,I$9&gt;='Detalle'!$J326),1,""))</x:f>
      </x:c>
      <x:c r="J667" s="32" t="str">
        <x:f>IF(OR('Detalle'!$J326="",'Detalle'!$K326="",'Detalle'!$L326=""),"",IF(AND(J$8&lt;='Detalle'!$K326,J$9&gt;='Detalle'!$J326),1,""))</x:f>
      </x:c>
      <x:c r="K667" s="32" t="str">
        <x:f>IF(OR('Detalle'!$J326="",'Detalle'!$K326="",'Detalle'!$L326=""),"",IF(AND(K$8&lt;='Detalle'!$K326,K$9&gt;='Detalle'!$J326),1,""))</x:f>
      </x:c>
      <x:c r="L667" s="32" t="str">
        <x:f>IF(OR('Detalle'!$J326="",'Detalle'!$K326="",'Detalle'!$L326=""),"",IF(AND(L$8&lt;='Detalle'!$K326,L$9&gt;='Detalle'!$J326),1,""))</x:f>
      </x:c>
      <x:c r="M667" s="32" t="str">
        <x:f>IF(OR('Detalle'!$J326="",'Detalle'!$K326="",'Detalle'!$L326=""),"",IF(AND(M$8&lt;='Detalle'!$K326,M$9&gt;='Detalle'!$J326),1,""))</x:f>
      </x:c>
      <x:c r="N667" s="32" t="str">
        <x:f>IF(OR('Detalle'!$J326="",'Detalle'!$K326="",'Detalle'!$L326=""),"",IF(AND(N$8&lt;='Detalle'!$K326,N$9&gt;='Detalle'!$J326),1,""))</x:f>
      </x:c>
      <x:c r="O667" s="32" t="str">
        <x:f>IF(OR('Detalle'!$J326="",'Detalle'!$K326="",'Detalle'!$L326=""),"",IF(AND(O$8&lt;='Detalle'!$K326,O$9&gt;='Detalle'!$J326),1,""))</x:f>
      </x:c>
      <x:c r="P667" s="32" t="str">
        <x:f>IF(OR('Detalle'!$J326="",'Detalle'!$K326="",'Detalle'!$L326=""),"",IF(AND(P$8&lt;='Detalle'!$K326,P$9&gt;='Detalle'!$J326),1,""))</x:f>
      </x:c>
      <x:c r="Q667" s="68"/>
      <x:c r="R667" s="67" t="str"/>
      <x:c r="S667" s="67" t="str"/>
    </x:row>
    <x:row r="668" ht="16" customHeight="1">
      <x:c r="A668" s="56" t="str">
        <x:v>PRO03.013</x:v>
      </x:c>
      <x:c r="B668" s="57" t="str">
        <x:v>Corregir selectores con texto ampliado</x:v>
      </x:c>
      <x:c r="C668" s="62" t="str">
        <x:v>E</x:v>
      </x:c>
      <x:c r="D668" s="64" t="n">
        <x:f>'Detalle'!I327</x:f>
        <x:v>1</x:v>
      </x:c>
      <x:c r="E668" s="60" t="str">
        <x:f>'Detalle'!F327</x:f>
        <x:v>Completado</x:v>
      </x:c>
      <x:c r="F668" s="32" t="str">
        <x:f>IF(AND(F$8&lt;='Detalle'!$H327,F$9&gt;='Detalle'!$G327),1,"")</x:f>
      </x:c>
      <x:c r="G668" s="32" t="str">
        <x:f>IF(AND(G$8&lt;='Detalle'!$H327,G$9&gt;='Detalle'!$G327),1,"")</x:f>
      </x:c>
      <x:c r="H668" s="32" t="str">
        <x:f>IF(AND(H$8&lt;='Detalle'!$H327,H$9&gt;='Detalle'!$G327),1,"")</x:f>
      </x:c>
      <x:c r="I668" s="32" t="n">
        <x:f>IF(AND(I$8&lt;='Detalle'!$H327,I$9&gt;='Detalle'!$G327),1,"")</x:f>
        <x:v>1</x:v>
      </x:c>
      <x:c r="J668" s="32" t="str">
        <x:f>IF(AND(J$8&lt;='Detalle'!$H327,J$9&gt;='Detalle'!$G327),1,"")</x:f>
      </x:c>
      <x:c r="K668" s="32" t="str">
        <x:f>IF(AND(K$8&lt;='Detalle'!$H327,K$9&gt;='Detalle'!$G327),1,"")</x:f>
      </x:c>
      <x:c r="L668" s="32" t="str">
        <x:f>IF(AND(L$8&lt;='Detalle'!$H327,L$9&gt;='Detalle'!$G327),1,"")</x:f>
      </x:c>
      <x:c r="M668" s="32" t="str">
        <x:f>IF(AND(M$8&lt;='Detalle'!$H327,M$9&gt;='Detalle'!$G327),1,"")</x:f>
      </x:c>
      <x:c r="N668" s="32" t="str">
        <x:f>IF(AND(N$8&lt;='Detalle'!$H327,N$9&gt;='Detalle'!$G327),1,"")</x:f>
      </x:c>
      <x:c r="O668" s="32" t="str">
        <x:f>IF(AND(O$8&lt;='Detalle'!$H327,O$9&gt;='Detalle'!$G327),1,"")</x:f>
      </x:c>
      <x:c r="P668" s="32" t="str">
        <x:f>IF(AND(P$8&lt;='Detalle'!$H327,P$9&gt;='Detalle'!$G327),1,"")</x:f>
      </x:c>
      <x:c r="Q668" s="68"/>
      <x:c r="R668" s="67" t="str">
        <x:f>IF('Detalle'!M327="","",'Detalle'!M327)</x:f>
      </x:c>
      <x:c r="S668" s="67" t="str">
        <x:f>IF('Detalle'!N327="","",'Detalle'!N327)</x:f>
      </x:c>
    </x:row>
    <x:row r="669" ht="16" customHeight="1">
      <x:c r="A669" s="56" t="str">
        <x:v>PRO03.013</x:v>
      </x:c>
      <x:c r="B669" s="57" t="str">
        <x:v>Corregir selectores con texto ampliado</x:v>
      </x:c>
      <x:c r="C669" s="63" t="str">
        <x:v>R</x:v>
      </x:c>
      <x:c r="D669" s="65" t="str">
        <x:f>IF('Detalle'!L327="","",'Detalle'!L327)</x:f>
      </x:c>
      <x:c r="E669" s="60" t="str"/>
      <x:c r="F669" s="32" t="str">
        <x:f>IF(OR('Detalle'!$J327="",'Detalle'!$K327="",'Detalle'!$L327=""),"",IF(AND(F$8&lt;='Detalle'!$K327,F$9&gt;='Detalle'!$J327),1,""))</x:f>
      </x:c>
      <x:c r="G669" s="32" t="str">
        <x:f>IF(OR('Detalle'!$J327="",'Detalle'!$K327="",'Detalle'!$L327=""),"",IF(AND(G$8&lt;='Detalle'!$K327,G$9&gt;='Detalle'!$J327),1,""))</x:f>
      </x:c>
      <x:c r="H669" s="32" t="str">
        <x:f>IF(OR('Detalle'!$J327="",'Detalle'!$K327="",'Detalle'!$L327=""),"",IF(AND(H$8&lt;='Detalle'!$K327,H$9&gt;='Detalle'!$J327),1,""))</x:f>
      </x:c>
      <x:c r="I669" s="32" t="str">
        <x:f>IF(OR('Detalle'!$J327="",'Detalle'!$K327="",'Detalle'!$L327=""),"",IF(AND(I$8&lt;='Detalle'!$K327,I$9&gt;='Detalle'!$J327),1,""))</x:f>
      </x:c>
      <x:c r="J669" s="32" t="str">
        <x:f>IF(OR('Detalle'!$J327="",'Detalle'!$K327="",'Detalle'!$L327=""),"",IF(AND(J$8&lt;='Detalle'!$K327,J$9&gt;='Detalle'!$J327),1,""))</x:f>
      </x:c>
      <x:c r="K669" s="32" t="str">
        <x:f>IF(OR('Detalle'!$J327="",'Detalle'!$K327="",'Detalle'!$L327=""),"",IF(AND(K$8&lt;='Detalle'!$K327,K$9&gt;='Detalle'!$J327),1,""))</x:f>
      </x:c>
      <x:c r="L669" s="32" t="str">
        <x:f>IF(OR('Detalle'!$J327="",'Detalle'!$K327="",'Detalle'!$L327=""),"",IF(AND(L$8&lt;='Detalle'!$K327,L$9&gt;='Detalle'!$J327),1,""))</x:f>
      </x:c>
      <x:c r="M669" s="32" t="str">
        <x:f>IF(OR('Detalle'!$J327="",'Detalle'!$K327="",'Detalle'!$L327=""),"",IF(AND(M$8&lt;='Detalle'!$K327,M$9&gt;='Detalle'!$J327),1,""))</x:f>
      </x:c>
      <x:c r="N669" s="32" t="str">
        <x:f>IF(OR('Detalle'!$J327="",'Detalle'!$K327="",'Detalle'!$L327=""),"",IF(AND(N$8&lt;='Detalle'!$K327,N$9&gt;='Detalle'!$J327),1,""))</x:f>
      </x:c>
      <x:c r="O669" s="32" t="str">
        <x:f>IF(OR('Detalle'!$J327="",'Detalle'!$K327="",'Detalle'!$L327=""),"",IF(AND(O$8&lt;='Detalle'!$K327,O$9&gt;='Detalle'!$J327),1,""))</x:f>
      </x:c>
      <x:c r="P669" s="32" t="str">
        <x:f>IF(OR('Detalle'!$J327="",'Detalle'!$K327="",'Detalle'!$L327=""),"",IF(AND(P$8&lt;='Detalle'!$K327,P$9&gt;='Detalle'!$J327),1,""))</x:f>
      </x:c>
      <x:c r="Q669" s="68"/>
      <x:c r="R669" s="67" t="str"/>
      <x:c r="S669" s="67" t="str"/>
    </x:row>
    <x:row r="670" ht="16" customHeight="1">
      <x:c r="A670" s="56" t="str">
        <x:v>PRO03.014</x:v>
      </x:c>
      <x:c r="B670" s="57" t="str">
        <x:v>Agregar regreso en enlaces directos</x:v>
      </x:c>
      <x:c r="C670" s="62" t="str">
        <x:v>E</x:v>
      </x:c>
      <x:c r="D670" s="64" t="n">
        <x:f>'Detalle'!I328</x:f>
        <x:v>1</x:v>
      </x:c>
      <x:c r="E670" s="60" t="str">
        <x:f>'Detalle'!F328</x:f>
        <x:v>Completado</x:v>
      </x:c>
      <x:c r="F670" s="32" t="str">
        <x:f>IF(AND(F$8&lt;='Detalle'!$H328,F$9&gt;='Detalle'!$G328),1,"")</x:f>
      </x:c>
      <x:c r="G670" s="32" t="str">
        <x:f>IF(AND(G$8&lt;='Detalle'!$H328,G$9&gt;='Detalle'!$G328),1,"")</x:f>
      </x:c>
      <x:c r="H670" s="32" t="str">
        <x:f>IF(AND(H$8&lt;='Detalle'!$H328,H$9&gt;='Detalle'!$G328),1,"")</x:f>
      </x:c>
      <x:c r="I670" s="32" t="n">
        <x:f>IF(AND(I$8&lt;='Detalle'!$H328,I$9&gt;='Detalle'!$G328),1,"")</x:f>
        <x:v>1</x:v>
      </x:c>
      <x:c r="J670" s="32" t="str">
        <x:f>IF(AND(J$8&lt;='Detalle'!$H328,J$9&gt;='Detalle'!$G328),1,"")</x:f>
      </x:c>
      <x:c r="K670" s="32" t="str">
        <x:f>IF(AND(K$8&lt;='Detalle'!$H328,K$9&gt;='Detalle'!$G328),1,"")</x:f>
      </x:c>
      <x:c r="L670" s="32" t="str">
        <x:f>IF(AND(L$8&lt;='Detalle'!$H328,L$9&gt;='Detalle'!$G328),1,"")</x:f>
      </x:c>
      <x:c r="M670" s="32" t="str">
        <x:f>IF(AND(M$8&lt;='Detalle'!$H328,M$9&gt;='Detalle'!$G328),1,"")</x:f>
      </x:c>
      <x:c r="N670" s="32" t="str">
        <x:f>IF(AND(N$8&lt;='Detalle'!$H328,N$9&gt;='Detalle'!$G328),1,"")</x:f>
      </x:c>
      <x:c r="O670" s="32" t="str">
        <x:f>IF(AND(O$8&lt;='Detalle'!$H328,O$9&gt;='Detalle'!$G328),1,"")</x:f>
      </x:c>
      <x:c r="P670" s="32" t="str">
        <x:f>IF(AND(P$8&lt;='Detalle'!$H328,P$9&gt;='Detalle'!$G328),1,"")</x:f>
      </x:c>
      <x:c r="Q670" s="68"/>
      <x:c r="R670" s="67" t="str">
        <x:f>IF('Detalle'!M328="","",'Detalle'!M328)</x:f>
      </x:c>
      <x:c r="S670" s="67" t="str">
        <x:f>IF('Detalle'!N328="","",'Detalle'!N328)</x:f>
      </x:c>
    </x:row>
    <x:row r="671" ht="16" customHeight="1">
      <x:c r="A671" s="56" t="str">
        <x:v>PRO03.014</x:v>
      </x:c>
      <x:c r="B671" s="57" t="str">
        <x:v>Agregar regreso en enlaces directos</x:v>
      </x:c>
      <x:c r="C671" s="63" t="str">
        <x:v>R</x:v>
      </x:c>
      <x:c r="D671" s="65" t="str">
        <x:f>IF('Detalle'!L328="","",'Detalle'!L328)</x:f>
      </x:c>
      <x:c r="E671" s="60" t="str"/>
      <x:c r="F671" s="32" t="str">
        <x:f>IF(OR('Detalle'!$J328="",'Detalle'!$K328="",'Detalle'!$L328=""),"",IF(AND(F$8&lt;='Detalle'!$K328,F$9&gt;='Detalle'!$J328),1,""))</x:f>
      </x:c>
      <x:c r="G671" s="32" t="str">
        <x:f>IF(OR('Detalle'!$J328="",'Detalle'!$K328="",'Detalle'!$L328=""),"",IF(AND(G$8&lt;='Detalle'!$K328,G$9&gt;='Detalle'!$J328),1,""))</x:f>
      </x:c>
      <x:c r="H671" s="32" t="str">
        <x:f>IF(OR('Detalle'!$J328="",'Detalle'!$K328="",'Detalle'!$L328=""),"",IF(AND(H$8&lt;='Detalle'!$K328,H$9&gt;='Detalle'!$J328),1,""))</x:f>
      </x:c>
      <x:c r="I671" s="32" t="str">
        <x:f>IF(OR('Detalle'!$J328="",'Detalle'!$K328="",'Detalle'!$L328=""),"",IF(AND(I$8&lt;='Detalle'!$K328,I$9&gt;='Detalle'!$J328),1,""))</x:f>
      </x:c>
      <x:c r="J671" s="32" t="str">
        <x:f>IF(OR('Detalle'!$J328="",'Detalle'!$K328="",'Detalle'!$L328=""),"",IF(AND(J$8&lt;='Detalle'!$K328,J$9&gt;='Detalle'!$J328),1,""))</x:f>
      </x:c>
      <x:c r="K671" s="32" t="str">
        <x:f>IF(OR('Detalle'!$J328="",'Detalle'!$K328="",'Detalle'!$L328=""),"",IF(AND(K$8&lt;='Detalle'!$K328,K$9&gt;='Detalle'!$J328),1,""))</x:f>
      </x:c>
      <x:c r="L671" s="32" t="str">
        <x:f>IF(OR('Detalle'!$J328="",'Detalle'!$K328="",'Detalle'!$L328=""),"",IF(AND(L$8&lt;='Detalle'!$K328,L$9&gt;='Detalle'!$J328),1,""))</x:f>
      </x:c>
      <x:c r="M671" s="32" t="str">
        <x:f>IF(OR('Detalle'!$J328="",'Detalle'!$K328="",'Detalle'!$L328=""),"",IF(AND(M$8&lt;='Detalle'!$K328,M$9&gt;='Detalle'!$J328),1,""))</x:f>
      </x:c>
      <x:c r="N671" s="32" t="str">
        <x:f>IF(OR('Detalle'!$J328="",'Detalle'!$K328="",'Detalle'!$L328=""),"",IF(AND(N$8&lt;='Detalle'!$K328,N$9&gt;='Detalle'!$J328),1,""))</x:f>
      </x:c>
      <x:c r="O671" s="32" t="str">
        <x:f>IF(OR('Detalle'!$J328="",'Detalle'!$K328="",'Detalle'!$L328=""),"",IF(AND(O$8&lt;='Detalle'!$K328,O$9&gt;='Detalle'!$J328),1,""))</x:f>
      </x:c>
      <x:c r="P671" s="32" t="str">
        <x:f>IF(OR('Detalle'!$J328="",'Detalle'!$K328="",'Detalle'!$L328=""),"",IF(AND(P$8&lt;='Detalle'!$K328,P$9&gt;='Detalle'!$J328),1,""))</x:f>
      </x:c>
      <x:c r="Q671" s="68"/>
      <x:c r="R671" s="67" t="str"/>
      <x:c r="S671" s="67" t="str"/>
    </x:row>
    <x:row r="672" ht="16" customHeight="1">
      <x:c r="A672" s="56" t="str">
        <x:v>PRO03.015</x:v>
      </x:c>
      <x:c r="B672" s="57" t="str">
        <x:v>Verificar rediseño de perfil</x:v>
      </x:c>
      <x:c r="C672" s="62" t="str">
        <x:v>E</x:v>
      </x:c>
      <x:c r="D672" s="64" t="n">
        <x:f>'Detalle'!I329</x:f>
        <x:v>1</x:v>
      </x:c>
      <x:c r="E672" s="60" t="str">
        <x:f>'Detalle'!F329</x:f>
        <x:v>Completado</x:v>
      </x:c>
      <x:c r="F672" s="32" t="str">
        <x:f>IF(AND(F$8&lt;='Detalle'!$H329,F$9&gt;='Detalle'!$G329),1,"")</x:f>
      </x:c>
      <x:c r="G672" s="32" t="str">
        <x:f>IF(AND(G$8&lt;='Detalle'!$H329,G$9&gt;='Detalle'!$G329),1,"")</x:f>
      </x:c>
      <x:c r="H672" s="32" t="str">
        <x:f>IF(AND(H$8&lt;='Detalle'!$H329,H$9&gt;='Detalle'!$G329),1,"")</x:f>
      </x:c>
      <x:c r="I672" s="32" t="n">
        <x:f>IF(AND(I$8&lt;='Detalle'!$H329,I$9&gt;='Detalle'!$G329),1,"")</x:f>
        <x:v>1</x:v>
      </x:c>
      <x:c r="J672" s="32" t="str">
        <x:f>IF(AND(J$8&lt;='Detalle'!$H329,J$9&gt;='Detalle'!$G329),1,"")</x:f>
      </x:c>
      <x:c r="K672" s="32" t="str">
        <x:f>IF(AND(K$8&lt;='Detalle'!$H329,K$9&gt;='Detalle'!$G329),1,"")</x:f>
      </x:c>
      <x:c r="L672" s="32" t="str">
        <x:f>IF(AND(L$8&lt;='Detalle'!$H329,L$9&gt;='Detalle'!$G329),1,"")</x:f>
      </x:c>
      <x:c r="M672" s="32" t="str">
        <x:f>IF(AND(M$8&lt;='Detalle'!$H329,M$9&gt;='Detalle'!$G329),1,"")</x:f>
      </x:c>
      <x:c r="N672" s="32" t="str">
        <x:f>IF(AND(N$8&lt;='Detalle'!$H329,N$9&gt;='Detalle'!$G329),1,"")</x:f>
      </x:c>
      <x:c r="O672" s="32" t="str">
        <x:f>IF(AND(O$8&lt;='Detalle'!$H329,O$9&gt;='Detalle'!$G329),1,"")</x:f>
      </x:c>
      <x:c r="P672" s="32" t="str">
        <x:f>IF(AND(P$8&lt;='Detalle'!$H329,P$9&gt;='Detalle'!$G329),1,"")</x:f>
      </x:c>
      <x:c r="Q672" s="68"/>
      <x:c r="R672" s="67" t="str">
        <x:f>IF('Detalle'!M329="","",'Detalle'!M329)</x:f>
      </x:c>
      <x:c r="S672" s="67" t="str">
        <x:f>IF('Detalle'!N329="","",'Detalle'!N329)</x:f>
      </x:c>
    </x:row>
    <x:row r="673" ht="16" customHeight="1">
      <x:c r="A673" s="56" t="str">
        <x:v>PRO03.015</x:v>
      </x:c>
      <x:c r="B673" s="57" t="str">
        <x:v>Verificar rediseño de perfil</x:v>
      </x:c>
      <x:c r="C673" s="63" t="str">
        <x:v>R</x:v>
      </x:c>
      <x:c r="D673" s="65" t="str">
        <x:f>IF('Detalle'!L329="","",'Detalle'!L329)</x:f>
      </x:c>
      <x:c r="E673" s="60" t="str"/>
      <x:c r="F673" s="32" t="str">
        <x:f>IF(OR('Detalle'!$J329="",'Detalle'!$K329="",'Detalle'!$L329=""),"",IF(AND(F$8&lt;='Detalle'!$K329,F$9&gt;='Detalle'!$J329),1,""))</x:f>
      </x:c>
      <x:c r="G673" s="32" t="str">
        <x:f>IF(OR('Detalle'!$J329="",'Detalle'!$K329="",'Detalle'!$L329=""),"",IF(AND(G$8&lt;='Detalle'!$K329,G$9&gt;='Detalle'!$J329),1,""))</x:f>
      </x:c>
      <x:c r="H673" s="32" t="str">
        <x:f>IF(OR('Detalle'!$J329="",'Detalle'!$K329="",'Detalle'!$L329=""),"",IF(AND(H$8&lt;='Detalle'!$K329,H$9&gt;='Detalle'!$J329),1,""))</x:f>
      </x:c>
      <x:c r="I673" s="32" t="str">
        <x:f>IF(OR('Detalle'!$J329="",'Detalle'!$K329="",'Detalle'!$L329=""),"",IF(AND(I$8&lt;='Detalle'!$K329,I$9&gt;='Detalle'!$J329),1,""))</x:f>
      </x:c>
      <x:c r="J673" s="32" t="str">
        <x:f>IF(OR('Detalle'!$J329="",'Detalle'!$K329="",'Detalle'!$L329=""),"",IF(AND(J$8&lt;='Detalle'!$K329,J$9&gt;='Detalle'!$J329),1,""))</x:f>
      </x:c>
      <x:c r="K673" s="32" t="str">
        <x:f>IF(OR('Detalle'!$J329="",'Detalle'!$K329="",'Detalle'!$L329=""),"",IF(AND(K$8&lt;='Detalle'!$K329,K$9&gt;='Detalle'!$J329),1,""))</x:f>
      </x:c>
      <x:c r="L673" s="32" t="str">
        <x:f>IF(OR('Detalle'!$J329="",'Detalle'!$K329="",'Detalle'!$L329=""),"",IF(AND(L$8&lt;='Detalle'!$K329,L$9&gt;='Detalle'!$J329),1,""))</x:f>
      </x:c>
      <x:c r="M673" s="32" t="str">
        <x:f>IF(OR('Detalle'!$J329="",'Detalle'!$K329="",'Detalle'!$L329=""),"",IF(AND(M$8&lt;='Detalle'!$K329,M$9&gt;='Detalle'!$J329),1,""))</x:f>
      </x:c>
      <x:c r="N673" s="32" t="str">
        <x:f>IF(OR('Detalle'!$J329="",'Detalle'!$K329="",'Detalle'!$L329=""),"",IF(AND(N$8&lt;='Detalle'!$K329,N$9&gt;='Detalle'!$J329),1,""))</x:f>
      </x:c>
      <x:c r="O673" s="32" t="str">
        <x:f>IF(OR('Detalle'!$J329="",'Detalle'!$K329="",'Detalle'!$L329=""),"",IF(AND(O$8&lt;='Detalle'!$K329,O$9&gt;='Detalle'!$J329),1,""))</x:f>
      </x:c>
      <x:c r="P673" s="32" t="str">
        <x:f>IF(OR('Detalle'!$J329="",'Detalle'!$K329="",'Detalle'!$L329=""),"",IF(AND(P$8&lt;='Detalle'!$K329,P$9&gt;='Detalle'!$J329),1,""))</x:f>
      </x:c>
      <x:c r="Q673" s="68"/>
      <x:c r="R673" s="67" t="str"/>
      <x:c r="S673" s="67" t="str"/>
    </x:row>
    <x:row r="674" ht="16" customHeight="1">
      <x:c r="A674" s="56" t="str">
        <x:v>PRO03.016</x:v>
      </x:c>
      <x:c r="B674" s="57" t="str">
        <x:v>Inspeccionar diez vistas de perfil en navegador</x:v>
      </x:c>
      <x:c r="C674" s="62" t="str">
        <x:v>E</x:v>
      </x:c>
      <x:c r="D674" s="64" t="n">
        <x:f>'Detalle'!I330</x:f>
        <x:v>1</x:v>
      </x:c>
      <x:c r="E674" s="60" t="str">
        <x:f>'Detalle'!F330</x:f>
        <x:v>Completado</x:v>
      </x:c>
      <x:c r="F674" s="32" t="str">
        <x:f>IF(AND(F$8&lt;='Detalle'!$H330,F$9&gt;='Detalle'!$G330),1,"")</x:f>
      </x:c>
      <x:c r="G674" s="32" t="str">
        <x:f>IF(AND(G$8&lt;='Detalle'!$H330,G$9&gt;='Detalle'!$G330),1,"")</x:f>
      </x:c>
      <x:c r="H674" s="32" t="str">
        <x:f>IF(AND(H$8&lt;='Detalle'!$H330,H$9&gt;='Detalle'!$G330),1,"")</x:f>
      </x:c>
      <x:c r="I674" s="32" t="n">
        <x:f>IF(AND(I$8&lt;='Detalle'!$H330,I$9&gt;='Detalle'!$G330),1,"")</x:f>
        <x:v>1</x:v>
      </x:c>
      <x:c r="J674" s="32" t="str">
        <x:f>IF(AND(J$8&lt;='Detalle'!$H330,J$9&gt;='Detalle'!$G330),1,"")</x:f>
      </x:c>
      <x:c r="K674" s="32" t="str">
        <x:f>IF(AND(K$8&lt;='Detalle'!$H330,K$9&gt;='Detalle'!$G330),1,"")</x:f>
      </x:c>
      <x:c r="L674" s="32" t="str">
        <x:f>IF(AND(L$8&lt;='Detalle'!$H330,L$9&gt;='Detalle'!$G330),1,"")</x:f>
      </x:c>
      <x:c r="M674" s="32" t="str">
        <x:f>IF(AND(M$8&lt;='Detalle'!$H330,M$9&gt;='Detalle'!$G330),1,"")</x:f>
      </x:c>
      <x:c r="N674" s="32" t="str">
        <x:f>IF(AND(N$8&lt;='Detalle'!$H330,N$9&gt;='Detalle'!$G330),1,"")</x:f>
      </x:c>
      <x:c r="O674" s="32" t="str">
        <x:f>IF(AND(O$8&lt;='Detalle'!$H330,O$9&gt;='Detalle'!$G330),1,"")</x:f>
      </x:c>
      <x:c r="P674" s="32" t="str">
        <x:f>IF(AND(P$8&lt;='Detalle'!$H330,P$9&gt;='Detalle'!$G330),1,"")</x:f>
      </x:c>
      <x:c r="Q674" s="68"/>
      <x:c r="R674" s="67" t="str">
        <x:f>IF('Detalle'!M330="","",'Detalle'!M330)</x:f>
      </x:c>
      <x:c r="S674" s="67" t="str">
        <x:f>IF('Detalle'!N330="","",'Detalle'!N330)</x:f>
      </x:c>
    </x:row>
    <x:row r="675" ht="16" customHeight="1">
      <x:c r="A675" s="56" t="str">
        <x:v>PRO03.016</x:v>
      </x:c>
      <x:c r="B675" s="57" t="str">
        <x:v>Inspeccionar diez vistas de perfil en navegador</x:v>
      </x:c>
      <x:c r="C675" s="63" t="str">
        <x:v>R</x:v>
      </x:c>
      <x:c r="D675" s="65" t="str">
        <x:f>IF('Detalle'!L330="","",'Detalle'!L330)</x:f>
      </x:c>
      <x:c r="E675" s="60" t="str"/>
      <x:c r="F675" s="32" t="str">
        <x:f>IF(OR('Detalle'!$J330="",'Detalle'!$K330="",'Detalle'!$L330=""),"",IF(AND(F$8&lt;='Detalle'!$K330,F$9&gt;='Detalle'!$J330),1,""))</x:f>
      </x:c>
      <x:c r="G675" s="32" t="str">
        <x:f>IF(OR('Detalle'!$J330="",'Detalle'!$K330="",'Detalle'!$L330=""),"",IF(AND(G$8&lt;='Detalle'!$K330,G$9&gt;='Detalle'!$J330),1,""))</x:f>
      </x:c>
      <x:c r="H675" s="32" t="str">
        <x:f>IF(OR('Detalle'!$J330="",'Detalle'!$K330="",'Detalle'!$L330=""),"",IF(AND(H$8&lt;='Detalle'!$K330,H$9&gt;='Detalle'!$J330),1,""))</x:f>
      </x:c>
      <x:c r="I675" s="32" t="str">
        <x:f>IF(OR('Detalle'!$J330="",'Detalle'!$K330="",'Detalle'!$L330=""),"",IF(AND(I$8&lt;='Detalle'!$K330,I$9&gt;='Detalle'!$J330),1,""))</x:f>
      </x:c>
      <x:c r="J675" s="32" t="str">
        <x:f>IF(OR('Detalle'!$J330="",'Detalle'!$K330="",'Detalle'!$L330=""),"",IF(AND(J$8&lt;='Detalle'!$K330,J$9&gt;='Detalle'!$J330),1,""))</x:f>
      </x:c>
      <x:c r="K675" s="32" t="str">
        <x:f>IF(OR('Detalle'!$J330="",'Detalle'!$K330="",'Detalle'!$L330=""),"",IF(AND(K$8&lt;='Detalle'!$K330,K$9&gt;='Detalle'!$J330),1,""))</x:f>
      </x:c>
      <x:c r="L675" s="32" t="str">
        <x:f>IF(OR('Detalle'!$J330="",'Detalle'!$K330="",'Detalle'!$L330=""),"",IF(AND(L$8&lt;='Detalle'!$K330,L$9&gt;='Detalle'!$J330),1,""))</x:f>
      </x:c>
      <x:c r="M675" s="32" t="str">
        <x:f>IF(OR('Detalle'!$J330="",'Detalle'!$K330="",'Detalle'!$L330=""),"",IF(AND(M$8&lt;='Detalle'!$K330,M$9&gt;='Detalle'!$J330),1,""))</x:f>
      </x:c>
      <x:c r="N675" s="32" t="str">
        <x:f>IF(OR('Detalle'!$J330="",'Detalle'!$K330="",'Detalle'!$L330=""),"",IF(AND(N$8&lt;='Detalle'!$K330,N$9&gt;='Detalle'!$J330),1,""))</x:f>
      </x:c>
      <x:c r="O675" s="32" t="str">
        <x:f>IF(OR('Detalle'!$J330="",'Detalle'!$K330="",'Detalle'!$L330=""),"",IF(AND(O$8&lt;='Detalle'!$K330,O$9&gt;='Detalle'!$J330),1,""))</x:f>
      </x:c>
      <x:c r="P675" s="32" t="str">
        <x:f>IF(OR('Detalle'!$J330="",'Detalle'!$K330="",'Detalle'!$L330=""),"",IF(AND(P$8&lt;='Detalle'!$K330,P$9&gt;='Detalle'!$J330),1,""))</x:f>
      </x:c>
      <x:c r="Q675" s="68"/>
      <x:c r="R675" s="67" t="str"/>
      <x:c r="S675" s="67" t="str"/>
    </x:row>
    <x:row r="676" ht="20" customHeight="1">
      <x:c r="A676" s="52" t="str">
        <x:v>DIS01 · Evolución visual y propuestas sustituidas</x:v>
      </x:c>
      <x:c r="B676" s="52" t="str">
        <x:v>DIS01 · Evolución visual y propuestas sustituidas</x:v>
      </x:c>
      <x:c r="C676" s="52" t="str">
        <x:v>DIS01 · Evolución visual y propuestas sustituidas</x:v>
      </x:c>
      <x:c r="D676" s="52" t="str">
        <x:v>DIS01 · Evolución visual y propuestas sustituidas</x:v>
      </x:c>
      <x:c r="E676" s="52" t="str">
        <x:v>DIS01 · Evolución visual y propuestas sustituidas</x:v>
      </x:c>
      <x:c r="F676" s="53" t="str">
        <x:v>DIS01 · Evolución visual y propuestas sustituidas</x:v>
      </x:c>
      <x:c r="G676" s="53" t="str">
        <x:v>DIS01 · Evolución visual y propuestas sustituidas</x:v>
      </x:c>
      <x:c r="H676" s="53" t="str">
        <x:v>DIS01 · Evolución visual y propuestas sustituidas</x:v>
      </x:c>
      <x:c r="I676" s="53" t="str">
        <x:v>DIS01 · Evolución visual y propuestas sustituidas</x:v>
      </x:c>
      <x:c r="J676" s="53" t="str">
        <x:v>DIS01 · Evolución visual y propuestas sustituidas</x:v>
      </x:c>
      <x:c r="K676" s="53" t="str">
        <x:v>DIS01 · Evolución visual y propuestas sustituidas</x:v>
      </x:c>
      <x:c r="L676" s="53" t="str">
        <x:v>DIS01 · Evolución visual y propuestas sustituidas</x:v>
      </x:c>
      <x:c r="M676" s="53" t="str">
        <x:v>DIS01 · Evolución visual y propuestas sustituidas</x:v>
      </x:c>
      <x:c r="N676" s="53" t="str">
        <x:v>DIS01 · Evolución visual y propuestas sustituidas</x:v>
      </x:c>
      <x:c r="O676" s="53" t="str">
        <x:v>DIS01 · Evolución visual y propuestas sustituidas</x:v>
      </x:c>
      <x:c r="P676" s="53" t="str">
        <x:v>DIS01 · Evolución visual y propuestas sustituidas</x:v>
      </x:c>
      <x:c r="Q676" s="52" t="str">
        <x:v>DIS01 · Evolución visual y propuestas sustituidas</x:v>
      </x:c>
      <x:c r="R676" s="52" t="str">
        <x:v>DIS01 · Evolución visual y propuestas sustituidas</x:v>
      </x:c>
      <x:c r="S676" s="52" t="str">
        <x:v>DIS01 · Evolución visual y propuestas sustituidas</x:v>
      </x:c>
    </x:row>
    <x:row r="677" ht="16" customHeight="1">
      <x:c r="A677" s="56" t="str">
        <x:v>DIS01.001</x:v>
      </x:c>
      <x:c r="B677" s="57" t="str">
        <x:v>Explorar composición híbrida de Inicio</x:v>
      </x:c>
      <x:c r="C677" s="62" t="str">
        <x:v>E</x:v>
      </x:c>
      <x:c r="D677" s="64" t="n">
        <x:f>'Detalle'!I331</x:f>
        <x:v>1</x:v>
      </x:c>
      <x:c r="E677" s="60" t="str">
        <x:f>'Detalle'!F331</x:f>
        <x:v>Sustituido</x:v>
      </x:c>
      <x:c r="F677" s="32" t="str">
        <x:f>IF(AND(F$8&lt;='Detalle'!$H331,F$9&gt;='Detalle'!$G331),1,"")</x:f>
      </x:c>
      <x:c r="G677" s="32" t="str">
        <x:f>IF(AND(G$8&lt;='Detalle'!$H331,G$9&gt;='Detalle'!$G331),1,"")</x:f>
      </x:c>
      <x:c r="H677" s="32" t="str">
        <x:f>IF(AND(H$8&lt;='Detalle'!$H331,H$9&gt;='Detalle'!$G331),1,"")</x:f>
      </x:c>
      <x:c r="I677" s="32" t="n">
        <x:f>IF(AND(I$8&lt;='Detalle'!$H331,I$9&gt;='Detalle'!$G331),1,"")</x:f>
        <x:v>1</x:v>
      </x:c>
      <x:c r="J677" s="32" t="str">
        <x:f>IF(AND(J$8&lt;='Detalle'!$H331,J$9&gt;='Detalle'!$G331),1,"")</x:f>
      </x:c>
      <x:c r="K677" s="32" t="str">
        <x:f>IF(AND(K$8&lt;='Detalle'!$H331,K$9&gt;='Detalle'!$G331),1,"")</x:f>
      </x:c>
      <x:c r="L677" s="32" t="str">
        <x:f>IF(AND(L$8&lt;='Detalle'!$H331,L$9&gt;='Detalle'!$G331),1,"")</x:f>
      </x:c>
      <x:c r="M677" s="32" t="str">
        <x:f>IF(AND(M$8&lt;='Detalle'!$H331,M$9&gt;='Detalle'!$G331),1,"")</x:f>
      </x:c>
      <x:c r="N677" s="32" t="str">
        <x:f>IF(AND(N$8&lt;='Detalle'!$H331,N$9&gt;='Detalle'!$G331),1,"")</x:f>
      </x:c>
      <x:c r="O677" s="32" t="str">
        <x:f>IF(AND(O$8&lt;='Detalle'!$H331,O$9&gt;='Detalle'!$G331),1,"")</x:f>
      </x:c>
      <x:c r="P677" s="32" t="str">
        <x:f>IF(AND(P$8&lt;='Detalle'!$H331,P$9&gt;='Detalle'!$G331),1,"")</x:f>
      </x:c>
      <x:c r="Q677" s="68"/>
      <x:c r="R677" s="67" t="str">
        <x:f>IF('Detalle'!M331="","",'Detalle'!M331)</x:f>
      </x:c>
      <x:c r="S677" s="67" t="str">
        <x:f>IF('Detalle'!N331="","",'Detalle'!N331)</x:f>
      </x:c>
    </x:row>
    <x:row r="678" ht="16" customHeight="1">
      <x:c r="A678" s="56" t="str">
        <x:v>DIS01.001</x:v>
      </x:c>
      <x:c r="B678" s="57" t="str">
        <x:v>Explorar composición híbrida de Inicio</x:v>
      </x:c>
      <x:c r="C678" s="63" t="str">
        <x:v>R</x:v>
      </x:c>
      <x:c r="D678" s="65" t="str">
        <x:f>IF('Detalle'!L331="","",'Detalle'!L331)</x:f>
      </x:c>
      <x:c r="E678" s="60" t="str"/>
      <x:c r="F678" s="32" t="str">
        <x:f>IF(OR('Detalle'!$J331="",'Detalle'!$K331="",'Detalle'!$L331=""),"",IF(AND(F$8&lt;='Detalle'!$K331,F$9&gt;='Detalle'!$J331),1,""))</x:f>
      </x:c>
      <x:c r="G678" s="32" t="str">
        <x:f>IF(OR('Detalle'!$J331="",'Detalle'!$K331="",'Detalle'!$L331=""),"",IF(AND(G$8&lt;='Detalle'!$K331,G$9&gt;='Detalle'!$J331),1,""))</x:f>
      </x:c>
      <x:c r="H678" s="32" t="str">
        <x:f>IF(OR('Detalle'!$J331="",'Detalle'!$K331="",'Detalle'!$L331=""),"",IF(AND(H$8&lt;='Detalle'!$K331,H$9&gt;='Detalle'!$J331),1,""))</x:f>
      </x:c>
      <x:c r="I678" s="32" t="str">
        <x:f>IF(OR('Detalle'!$J331="",'Detalle'!$K331="",'Detalle'!$L331=""),"",IF(AND(I$8&lt;='Detalle'!$K331,I$9&gt;='Detalle'!$J331),1,""))</x:f>
      </x:c>
      <x:c r="J678" s="32" t="str">
        <x:f>IF(OR('Detalle'!$J331="",'Detalle'!$K331="",'Detalle'!$L331=""),"",IF(AND(J$8&lt;='Detalle'!$K331,J$9&gt;='Detalle'!$J331),1,""))</x:f>
      </x:c>
      <x:c r="K678" s="32" t="str">
        <x:f>IF(OR('Detalle'!$J331="",'Detalle'!$K331="",'Detalle'!$L331=""),"",IF(AND(K$8&lt;='Detalle'!$K331,K$9&gt;='Detalle'!$J331),1,""))</x:f>
      </x:c>
      <x:c r="L678" s="32" t="str">
        <x:f>IF(OR('Detalle'!$J331="",'Detalle'!$K331="",'Detalle'!$L331=""),"",IF(AND(L$8&lt;='Detalle'!$K331,L$9&gt;='Detalle'!$J331),1,""))</x:f>
      </x:c>
      <x:c r="M678" s="32" t="str">
        <x:f>IF(OR('Detalle'!$J331="",'Detalle'!$K331="",'Detalle'!$L331=""),"",IF(AND(M$8&lt;='Detalle'!$K331,M$9&gt;='Detalle'!$J331),1,""))</x:f>
      </x:c>
      <x:c r="N678" s="32" t="str">
        <x:f>IF(OR('Detalle'!$J331="",'Detalle'!$K331="",'Detalle'!$L331=""),"",IF(AND(N$8&lt;='Detalle'!$K331,N$9&gt;='Detalle'!$J331),1,""))</x:f>
      </x:c>
      <x:c r="O678" s="32" t="str">
        <x:f>IF(OR('Detalle'!$J331="",'Detalle'!$K331="",'Detalle'!$L331=""),"",IF(AND(O$8&lt;='Detalle'!$K331,O$9&gt;='Detalle'!$J331),1,""))</x:f>
      </x:c>
      <x:c r="P678" s="32" t="str">
        <x:f>IF(OR('Detalle'!$J331="",'Detalle'!$K331="",'Detalle'!$L331=""),"",IF(AND(P$8&lt;='Detalle'!$K331,P$9&gt;='Detalle'!$J331),1,""))</x:f>
      </x:c>
      <x:c r="Q678" s="68"/>
      <x:c r="R678" s="67" t="str"/>
      <x:c r="S678" s="67" t="str"/>
    </x:row>
    <x:row r="679" ht="16" customHeight="1">
      <x:c r="A679" s="56" t="str">
        <x:v>DIS01.002</x:v>
      </x:c>
      <x:c r="B679" s="57" t="str">
        <x:v>Explorar composición editorial v2</x:v>
      </x:c>
      <x:c r="C679" s="62" t="str">
        <x:v>E</x:v>
      </x:c>
      <x:c r="D679" s="64" t="n">
        <x:f>'Detalle'!I332</x:f>
        <x:v>1</x:v>
      </x:c>
      <x:c r="E679" s="60" t="str">
        <x:f>'Detalle'!F332</x:f>
        <x:v>Sustituido</x:v>
      </x:c>
      <x:c r="F679" s="32" t="str">
        <x:f>IF(AND(F$8&lt;='Detalle'!$H332,F$9&gt;='Detalle'!$G332),1,"")</x:f>
      </x:c>
      <x:c r="G679" s="32" t="str">
        <x:f>IF(AND(G$8&lt;='Detalle'!$H332,G$9&gt;='Detalle'!$G332),1,"")</x:f>
      </x:c>
      <x:c r="H679" s="32" t="str">
        <x:f>IF(AND(H$8&lt;='Detalle'!$H332,H$9&gt;='Detalle'!$G332),1,"")</x:f>
      </x:c>
      <x:c r="I679" s="32" t="n">
        <x:f>IF(AND(I$8&lt;='Detalle'!$H332,I$9&gt;='Detalle'!$G332),1,"")</x:f>
        <x:v>1</x:v>
      </x:c>
      <x:c r="J679" s="32" t="str">
        <x:f>IF(AND(J$8&lt;='Detalle'!$H332,J$9&gt;='Detalle'!$G332),1,"")</x:f>
      </x:c>
      <x:c r="K679" s="32" t="str">
        <x:f>IF(AND(K$8&lt;='Detalle'!$H332,K$9&gt;='Detalle'!$G332),1,"")</x:f>
      </x:c>
      <x:c r="L679" s="32" t="str">
        <x:f>IF(AND(L$8&lt;='Detalle'!$H332,L$9&gt;='Detalle'!$G332),1,"")</x:f>
      </x:c>
      <x:c r="M679" s="32" t="str">
        <x:f>IF(AND(M$8&lt;='Detalle'!$H332,M$9&gt;='Detalle'!$G332),1,"")</x:f>
      </x:c>
      <x:c r="N679" s="32" t="str">
        <x:f>IF(AND(N$8&lt;='Detalle'!$H332,N$9&gt;='Detalle'!$G332),1,"")</x:f>
      </x:c>
      <x:c r="O679" s="32" t="str">
        <x:f>IF(AND(O$8&lt;='Detalle'!$H332,O$9&gt;='Detalle'!$G332),1,"")</x:f>
      </x:c>
      <x:c r="P679" s="32" t="str">
        <x:f>IF(AND(P$8&lt;='Detalle'!$H332,P$9&gt;='Detalle'!$G332),1,"")</x:f>
      </x:c>
      <x:c r="Q679" s="68"/>
      <x:c r="R679" s="67" t="str">
        <x:f>IF('Detalle'!M332="","",'Detalle'!M332)</x:f>
      </x:c>
      <x:c r="S679" s="67" t="str">
        <x:f>IF('Detalle'!N332="","",'Detalle'!N332)</x:f>
      </x:c>
    </x:row>
    <x:row r="680" ht="16" customHeight="1">
      <x:c r="A680" s="56" t="str">
        <x:v>DIS01.002</x:v>
      </x:c>
      <x:c r="B680" s="57" t="str">
        <x:v>Explorar composición editorial v2</x:v>
      </x:c>
      <x:c r="C680" s="63" t="str">
        <x:v>R</x:v>
      </x:c>
      <x:c r="D680" s="65" t="str">
        <x:f>IF('Detalle'!L332="","",'Detalle'!L332)</x:f>
      </x:c>
      <x:c r="E680" s="60" t="str"/>
      <x:c r="F680" s="32" t="str">
        <x:f>IF(OR('Detalle'!$J332="",'Detalle'!$K332="",'Detalle'!$L332=""),"",IF(AND(F$8&lt;='Detalle'!$K332,F$9&gt;='Detalle'!$J332),1,""))</x:f>
      </x:c>
      <x:c r="G680" s="32" t="str">
        <x:f>IF(OR('Detalle'!$J332="",'Detalle'!$K332="",'Detalle'!$L332=""),"",IF(AND(G$8&lt;='Detalle'!$K332,G$9&gt;='Detalle'!$J332),1,""))</x:f>
      </x:c>
      <x:c r="H680" s="32" t="str">
        <x:f>IF(OR('Detalle'!$J332="",'Detalle'!$K332="",'Detalle'!$L332=""),"",IF(AND(H$8&lt;='Detalle'!$K332,H$9&gt;='Detalle'!$J332),1,""))</x:f>
      </x:c>
      <x:c r="I680" s="32" t="str">
        <x:f>IF(OR('Detalle'!$J332="",'Detalle'!$K332="",'Detalle'!$L332=""),"",IF(AND(I$8&lt;='Detalle'!$K332,I$9&gt;='Detalle'!$J332),1,""))</x:f>
      </x:c>
      <x:c r="J680" s="32" t="str">
        <x:f>IF(OR('Detalle'!$J332="",'Detalle'!$K332="",'Detalle'!$L332=""),"",IF(AND(J$8&lt;='Detalle'!$K332,J$9&gt;='Detalle'!$J332),1,""))</x:f>
      </x:c>
      <x:c r="K680" s="32" t="str">
        <x:f>IF(OR('Detalle'!$J332="",'Detalle'!$K332="",'Detalle'!$L332=""),"",IF(AND(K$8&lt;='Detalle'!$K332,K$9&gt;='Detalle'!$J332),1,""))</x:f>
      </x:c>
      <x:c r="L680" s="32" t="str">
        <x:f>IF(OR('Detalle'!$J332="",'Detalle'!$K332="",'Detalle'!$L332=""),"",IF(AND(L$8&lt;='Detalle'!$K332,L$9&gt;='Detalle'!$J332),1,""))</x:f>
      </x:c>
      <x:c r="M680" s="32" t="str">
        <x:f>IF(OR('Detalle'!$J332="",'Detalle'!$K332="",'Detalle'!$L332=""),"",IF(AND(M$8&lt;='Detalle'!$K332,M$9&gt;='Detalle'!$J332),1,""))</x:f>
      </x:c>
      <x:c r="N680" s="32" t="str">
        <x:f>IF(OR('Detalle'!$J332="",'Detalle'!$K332="",'Detalle'!$L332=""),"",IF(AND(N$8&lt;='Detalle'!$K332,N$9&gt;='Detalle'!$J332),1,""))</x:f>
      </x:c>
      <x:c r="O680" s="32" t="str">
        <x:f>IF(OR('Detalle'!$J332="",'Detalle'!$K332="",'Detalle'!$L332=""),"",IF(AND(O$8&lt;='Detalle'!$K332,O$9&gt;='Detalle'!$J332),1,""))</x:f>
      </x:c>
      <x:c r="P680" s="32" t="str">
        <x:f>IF(OR('Detalle'!$J332="",'Detalle'!$K332="",'Detalle'!$L332=""),"",IF(AND(P$8&lt;='Detalle'!$K332,P$9&gt;='Detalle'!$J332),1,""))</x:f>
      </x:c>
      <x:c r="Q680" s="68"/>
      <x:c r="R680" s="67" t="str"/>
      <x:c r="S680" s="67" t="str"/>
    </x:row>
    <x:row r="681" ht="16" customHeight="1">
      <x:c r="A681" s="56" t="str">
        <x:v>DIS01.003</x:v>
      </x:c>
      <x:c r="B681" s="57" t="str">
        <x:v>Diseñar unidad social v3</x:v>
      </x:c>
      <x:c r="C681" s="62" t="str">
        <x:v>E</x:v>
      </x:c>
      <x:c r="D681" s="64" t="n">
        <x:f>'Detalle'!I333</x:f>
        <x:v>1</x:v>
      </x:c>
      <x:c r="E681" s="60" t="str">
        <x:f>'Detalle'!F333</x:f>
        <x:v>Sustituido</x:v>
      </x:c>
      <x:c r="F681" s="32" t="str">
        <x:f>IF(AND(F$8&lt;='Detalle'!$H333,F$9&gt;='Detalle'!$G333),1,"")</x:f>
      </x:c>
      <x:c r="G681" s="32" t="str">
        <x:f>IF(AND(G$8&lt;='Detalle'!$H333,G$9&gt;='Detalle'!$G333),1,"")</x:f>
      </x:c>
      <x:c r="H681" s="32" t="str">
        <x:f>IF(AND(H$8&lt;='Detalle'!$H333,H$9&gt;='Detalle'!$G333),1,"")</x:f>
      </x:c>
      <x:c r="I681" s="32" t="n">
        <x:f>IF(AND(I$8&lt;='Detalle'!$H333,I$9&gt;='Detalle'!$G333),1,"")</x:f>
        <x:v>1</x:v>
      </x:c>
      <x:c r="J681" s="32" t="str">
        <x:f>IF(AND(J$8&lt;='Detalle'!$H333,J$9&gt;='Detalle'!$G333),1,"")</x:f>
      </x:c>
      <x:c r="K681" s="32" t="str">
        <x:f>IF(AND(K$8&lt;='Detalle'!$H333,K$9&gt;='Detalle'!$G333),1,"")</x:f>
      </x:c>
      <x:c r="L681" s="32" t="str">
        <x:f>IF(AND(L$8&lt;='Detalle'!$H333,L$9&gt;='Detalle'!$G333),1,"")</x:f>
      </x:c>
      <x:c r="M681" s="32" t="str">
        <x:f>IF(AND(M$8&lt;='Detalle'!$H333,M$9&gt;='Detalle'!$G333),1,"")</x:f>
      </x:c>
      <x:c r="N681" s="32" t="str">
        <x:f>IF(AND(N$8&lt;='Detalle'!$H333,N$9&gt;='Detalle'!$G333),1,"")</x:f>
      </x:c>
      <x:c r="O681" s="32" t="str">
        <x:f>IF(AND(O$8&lt;='Detalle'!$H333,O$9&gt;='Detalle'!$G333),1,"")</x:f>
      </x:c>
      <x:c r="P681" s="32" t="str">
        <x:f>IF(AND(P$8&lt;='Detalle'!$H333,P$9&gt;='Detalle'!$G333),1,"")</x:f>
      </x:c>
      <x:c r="Q681" s="68"/>
      <x:c r="R681" s="67" t="str">
        <x:f>IF('Detalle'!M333="","",'Detalle'!M333)</x:f>
      </x:c>
      <x:c r="S681" s="67" t="str">
        <x:f>IF('Detalle'!N333="","",'Detalle'!N333)</x:f>
      </x:c>
    </x:row>
    <x:row r="682" ht="16" customHeight="1">
      <x:c r="A682" s="56" t="str">
        <x:v>DIS01.003</x:v>
      </x:c>
      <x:c r="B682" s="57" t="str">
        <x:v>Diseñar unidad social v3</x:v>
      </x:c>
      <x:c r="C682" s="63" t="str">
        <x:v>R</x:v>
      </x:c>
      <x:c r="D682" s="65" t="str">
        <x:f>IF('Detalle'!L333="","",'Detalle'!L333)</x:f>
      </x:c>
      <x:c r="E682" s="60" t="str"/>
      <x:c r="F682" s="32" t="str">
        <x:f>IF(OR('Detalle'!$J333="",'Detalle'!$K333="",'Detalle'!$L333=""),"",IF(AND(F$8&lt;='Detalle'!$K333,F$9&gt;='Detalle'!$J333),1,""))</x:f>
      </x:c>
      <x:c r="G682" s="32" t="str">
        <x:f>IF(OR('Detalle'!$J333="",'Detalle'!$K333="",'Detalle'!$L333=""),"",IF(AND(G$8&lt;='Detalle'!$K333,G$9&gt;='Detalle'!$J333),1,""))</x:f>
      </x:c>
      <x:c r="H682" s="32" t="str">
        <x:f>IF(OR('Detalle'!$J333="",'Detalle'!$K333="",'Detalle'!$L333=""),"",IF(AND(H$8&lt;='Detalle'!$K333,H$9&gt;='Detalle'!$J333),1,""))</x:f>
      </x:c>
      <x:c r="I682" s="32" t="str">
        <x:f>IF(OR('Detalle'!$J333="",'Detalle'!$K333="",'Detalle'!$L333=""),"",IF(AND(I$8&lt;='Detalle'!$K333,I$9&gt;='Detalle'!$J333),1,""))</x:f>
      </x:c>
      <x:c r="J682" s="32" t="str">
        <x:f>IF(OR('Detalle'!$J333="",'Detalle'!$K333="",'Detalle'!$L333=""),"",IF(AND(J$8&lt;='Detalle'!$K333,J$9&gt;='Detalle'!$J333),1,""))</x:f>
      </x:c>
      <x:c r="K682" s="32" t="str">
        <x:f>IF(OR('Detalle'!$J333="",'Detalle'!$K333="",'Detalle'!$L333=""),"",IF(AND(K$8&lt;='Detalle'!$K333,K$9&gt;='Detalle'!$J333),1,""))</x:f>
      </x:c>
      <x:c r="L682" s="32" t="str">
        <x:f>IF(OR('Detalle'!$J333="",'Detalle'!$K333="",'Detalle'!$L333=""),"",IF(AND(L$8&lt;='Detalle'!$K333,L$9&gt;='Detalle'!$J333),1,""))</x:f>
      </x:c>
      <x:c r="M682" s="32" t="str">
        <x:f>IF(OR('Detalle'!$J333="",'Detalle'!$K333="",'Detalle'!$L333=""),"",IF(AND(M$8&lt;='Detalle'!$K333,M$9&gt;='Detalle'!$J333),1,""))</x:f>
      </x:c>
      <x:c r="N682" s="32" t="str">
        <x:f>IF(OR('Detalle'!$J333="",'Detalle'!$K333="",'Detalle'!$L333=""),"",IF(AND(N$8&lt;='Detalle'!$K333,N$9&gt;='Detalle'!$J333),1,""))</x:f>
      </x:c>
      <x:c r="O682" s="32" t="str">
        <x:f>IF(OR('Detalle'!$J333="",'Detalle'!$K333="",'Detalle'!$L333=""),"",IF(AND(O$8&lt;='Detalle'!$K333,O$9&gt;='Detalle'!$J333),1,""))</x:f>
      </x:c>
      <x:c r="P682" s="32" t="str">
        <x:f>IF(OR('Detalle'!$J333="",'Detalle'!$K333="",'Detalle'!$L333=""),"",IF(AND(P$8&lt;='Detalle'!$K333,P$9&gt;='Detalle'!$J333),1,""))</x:f>
      </x:c>
      <x:c r="Q682" s="68"/>
      <x:c r="R682" s="67" t="str"/>
      <x:c r="S682" s="67" t="str"/>
    </x:row>
    <x:row r="683" ht="16" customHeight="1">
      <x:c r="A683" s="56" t="str">
        <x:v>DIS01.004</x:v>
      </x:c>
      <x:c r="B683" s="57" t="str">
        <x:v>Diseñar acciones y estados sociales v3</x:v>
      </x:c>
      <x:c r="C683" s="62" t="str">
        <x:v>E</x:v>
      </x:c>
      <x:c r="D683" s="64" t="n">
        <x:f>'Detalle'!I334</x:f>
        <x:v>1</x:v>
      </x:c>
      <x:c r="E683" s="60" t="str">
        <x:f>'Detalle'!F334</x:f>
        <x:v>Sustituido</x:v>
      </x:c>
      <x:c r="F683" s="32" t="str">
        <x:f>IF(AND(F$8&lt;='Detalle'!$H334,F$9&gt;='Detalle'!$G334),1,"")</x:f>
      </x:c>
      <x:c r="G683" s="32" t="str">
        <x:f>IF(AND(G$8&lt;='Detalle'!$H334,G$9&gt;='Detalle'!$G334),1,"")</x:f>
      </x:c>
      <x:c r="H683" s="32" t="str">
        <x:f>IF(AND(H$8&lt;='Detalle'!$H334,H$9&gt;='Detalle'!$G334),1,"")</x:f>
      </x:c>
      <x:c r="I683" s="32" t="n">
        <x:f>IF(AND(I$8&lt;='Detalle'!$H334,I$9&gt;='Detalle'!$G334),1,"")</x:f>
        <x:v>1</x:v>
      </x:c>
      <x:c r="J683" s="32" t="str">
        <x:f>IF(AND(J$8&lt;='Detalle'!$H334,J$9&gt;='Detalle'!$G334),1,"")</x:f>
      </x:c>
      <x:c r="K683" s="32" t="str">
        <x:f>IF(AND(K$8&lt;='Detalle'!$H334,K$9&gt;='Detalle'!$G334),1,"")</x:f>
      </x:c>
      <x:c r="L683" s="32" t="str">
        <x:f>IF(AND(L$8&lt;='Detalle'!$H334,L$9&gt;='Detalle'!$G334),1,"")</x:f>
      </x:c>
      <x:c r="M683" s="32" t="str">
        <x:f>IF(AND(M$8&lt;='Detalle'!$H334,M$9&gt;='Detalle'!$G334),1,"")</x:f>
      </x:c>
      <x:c r="N683" s="32" t="str">
        <x:f>IF(AND(N$8&lt;='Detalle'!$H334,N$9&gt;='Detalle'!$G334),1,"")</x:f>
      </x:c>
      <x:c r="O683" s="32" t="str">
        <x:f>IF(AND(O$8&lt;='Detalle'!$H334,O$9&gt;='Detalle'!$G334),1,"")</x:f>
      </x:c>
      <x:c r="P683" s="32" t="str">
        <x:f>IF(AND(P$8&lt;='Detalle'!$H334,P$9&gt;='Detalle'!$G334),1,"")</x:f>
      </x:c>
      <x:c r="Q683" s="68"/>
      <x:c r="R683" s="67" t="str">
        <x:f>IF('Detalle'!M334="","",'Detalle'!M334)</x:f>
      </x:c>
      <x:c r="S683" s="67" t="str">
        <x:f>IF('Detalle'!N334="","",'Detalle'!N334)</x:f>
      </x:c>
    </x:row>
    <x:row r="684" ht="16" customHeight="1">
      <x:c r="A684" s="56" t="str">
        <x:v>DIS01.004</x:v>
      </x:c>
      <x:c r="B684" s="57" t="str">
        <x:v>Diseñar acciones y estados sociales v3</x:v>
      </x:c>
      <x:c r="C684" s="63" t="str">
        <x:v>R</x:v>
      </x:c>
      <x:c r="D684" s="65" t="str">
        <x:f>IF('Detalle'!L334="","",'Detalle'!L334)</x:f>
      </x:c>
      <x:c r="E684" s="60" t="str"/>
      <x:c r="F684" s="32" t="str">
        <x:f>IF(OR('Detalle'!$J334="",'Detalle'!$K334="",'Detalle'!$L334=""),"",IF(AND(F$8&lt;='Detalle'!$K334,F$9&gt;='Detalle'!$J334),1,""))</x:f>
      </x:c>
      <x:c r="G684" s="32" t="str">
        <x:f>IF(OR('Detalle'!$J334="",'Detalle'!$K334="",'Detalle'!$L334=""),"",IF(AND(G$8&lt;='Detalle'!$K334,G$9&gt;='Detalle'!$J334),1,""))</x:f>
      </x:c>
      <x:c r="H684" s="32" t="str">
        <x:f>IF(OR('Detalle'!$J334="",'Detalle'!$K334="",'Detalle'!$L334=""),"",IF(AND(H$8&lt;='Detalle'!$K334,H$9&gt;='Detalle'!$J334),1,""))</x:f>
      </x:c>
      <x:c r="I684" s="32" t="str">
        <x:f>IF(OR('Detalle'!$J334="",'Detalle'!$K334="",'Detalle'!$L334=""),"",IF(AND(I$8&lt;='Detalle'!$K334,I$9&gt;='Detalle'!$J334),1,""))</x:f>
      </x:c>
      <x:c r="J684" s="32" t="str">
        <x:f>IF(OR('Detalle'!$J334="",'Detalle'!$K334="",'Detalle'!$L334=""),"",IF(AND(J$8&lt;='Detalle'!$K334,J$9&gt;='Detalle'!$J334),1,""))</x:f>
      </x:c>
      <x:c r="K684" s="32" t="str">
        <x:f>IF(OR('Detalle'!$J334="",'Detalle'!$K334="",'Detalle'!$L334=""),"",IF(AND(K$8&lt;='Detalle'!$K334,K$9&gt;='Detalle'!$J334),1,""))</x:f>
      </x:c>
      <x:c r="L684" s="32" t="str">
        <x:f>IF(OR('Detalle'!$J334="",'Detalle'!$K334="",'Detalle'!$L334=""),"",IF(AND(L$8&lt;='Detalle'!$K334,L$9&gt;='Detalle'!$J334),1,""))</x:f>
      </x:c>
      <x:c r="M684" s="32" t="str">
        <x:f>IF(OR('Detalle'!$J334="",'Detalle'!$K334="",'Detalle'!$L334=""),"",IF(AND(M$8&lt;='Detalle'!$K334,M$9&gt;='Detalle'!$J334),1,""))</x:f>
      </x:c>
      <x:c r="N684" s="32" t="str">
        <x:f>IF(OR('Detalle'!$J334="",'Detalle'!$K334="",'Detalle'!$L334=""),"",IF(AND(N$8&lt;='Detalle'!$K334,N$9&gt;='Detalle'!$J334),1,""))</x:f>
      </x:c>
      <x:c r="O684" s="32" t="str">
        <x:f>IF(OR('Detalle'!$J334="",'Detalle'!$K334="",'Detalle'!$L334=""),"",IF(AND(O$8&lt;='Detalle'!$K334,O$9&gt;='Detalle'!$J334),1,""))</x:f>
      </x:c>
      <x:c r="P684" s="32" t="str">
        <x:f>IF(OR('Detalle'!$J334="",'Detalle'!$K334="",'Detalle'!$L334=""),"",IF(AND(P$8&lt;='Detalle'!$K334,P$9&gt;='Detalle'!$J334),1,""))</x:f>
      </x:c>
      <x:c r="Q684" s="68"/>
      <x:c r="R684" s="67" t="str"/>
      <x:c r="S684" s="67" t="str"/>
    </x:row>
    <x:row r="685" ht="16" customHeight="1">
      <x:c r="A685" s="56" t="str">
        <x:v>DIS01.005</x:v>
      </x:c>
      <x:c r="B685" s="57" t="str">
        <x:v>Diseñar post vertical v4</x:v>
      </x:c>
      <x:c r="C685" s="62" t="str">
        <x:v>E</x:v>
      </x:c>
      <x:c r="D685" s="64" t="n">
        <x:f>'Detalle'!I335</x:f>
        <x:v>1</x:v>
      </x:c>
      <x:c r="E685" s="60" t="str">
        <x:f>'Detalle'!F335</x:f>
        <x:v>Sustituido</x:v>
      </x:c>
      <x:c r="F685" s="32" t="str">
        <x:f>IF(AND(F$8&lt;='Detalle'!$H335,F$9&gt;='Detalle'!$G335),1,"")</x:f>
      </x:c>
      <x:c r="G685" s="32" t="str">
        <x:f>IF(AND(G$8&lt;='Detalle'!$H335,G$9&gt;='Detalle'!$G335),1,"")</x:f>
      </x:c>
      <x:c r="H685" s="32" t="str">
        <x:f>IF(AND(H$8&lt;='Detalle'!$H335,H$9&gt;='Detalle'!$G335),1,"")</x:f>
      </x:c>
      <x:c r="I685" s="32" t="n">
        <x:f>IF(AND(I$8&lt;='Detalle'!$H335,I$9&gt;='Detalle'!$G335),1,"")</x:f>
        <x:v>1</x:v>
      </x:c>
      <x:c r="J685" s="32" t="str">
        <x:f>IF(AND(J$8&lt;='Detalle'!$H335,J$9&gt;='Detalle'!$G335),1,"")</x:f>
      </x:c>
      <x:c r="K685" s="32" t="str">
        <x:f>IF(AND(K$8&lt;='Detalle'!$H335,K$9&gt;='Detalle'!$G335),1,"")</x:f>
      </x:c>
      <x:c r="L685" s="32" t="str">
        <x:f>IF(AND(L$8&lt;='Detalle'!$H335,L$9&gt;='Detalle'!$G335),1,"")</x:f>
      </x:c>
      <x:c r="M685" s="32" t="str">
        <x:f>IF(AND(M$8&lt;='Detalle'!$H335,M$9&gt;='Detalle'!$G335),1,"")</x:f>
      </x:c>
      <x:c r="N685" s="32" t="str">
        <x:f>IF(AND(N$8&lt;='Detalle'!$H335,N$9&gt;='Detalle'!$G335),1,"")</x:f>
      </x:c>
      <x:c r="O685" s="32" t="str">
        <x:f>IF(AND(O$8&lt;='Detalle'!$H335,O$9&gt;='Detalle'!$G335),1,"")</x:f>
      </x:c>
      <x:c r="P685" s="32" t="str">
        <x:f>IF(AND(P$8&lt;='Detalle'!$H335,P$9&gt;='Detalle'!$G335),1,"")</x:f>
      </x:c>
      <x:c r="Q685" s="68"/>
      <x:c r="R685" s="67" t="str">
        <x:f>IF('Detalle'!M335="","",'Detalle'!M335)</x:f>
      </x:c>
      <x:c r="S685" s="67" t="str">
        <x:f>IF('Detalle'!N335="","",'Detalle'!N335)</x:f>
      </x:c>
    </x:row>
    <x:row r="686" ht="16" customHeight="1">
      <x:c r="A686" s="56" t="str">
        <x:v>DIS01.005</x:v>
      </x:c>
      <x:c r="B686" s="57" t="str">
        <x:v>Diseñar post vertical v4</x:v>
      </x:c>
      <x:c r="C686" s="63" t="str">
        <x:v>R</x:v>
      </x:c>
      <x:c r="D686" s="65" t="str">
        <x:f>IF('Detalle'!L335="","",'Detalle'!L335)</x:f>
      </x:c>
      <x:c r="E686" s="60" t="str"/>
      <x:c r="F686" s="32" t="str">
        <x:f>IF(OR('Detalle'!$J335="",'Detalle'!$K335="",'Detalle'!$L335=""),"",IF(AND(F$8&lt;='Detalle'!$K335,F$9&gt;='Detalle'!$J335),1,""))</x:f>
      </x:c>
      <x:c r="G686" s="32" t="str">
        <x:f>IF(OR('Detalle'!$J335="",'Detalle'!$K335="",'Detalle'!$L335=""),"",IF(AND(G$8&lt;='Detalle'!$K335,G$9&gt;='Detalle'!$J335),1,""))</x:f>
      </x:c>
      <x:c r="H686" s="32" t="str">
        <x:f>IF(OR('Detalle'!$J335="",'Detalle'!$K335="",'Detalle'!$L335=""),"",IF(AND(H$8&lt;='Detalle'!$K335,H$9&gt;='Detalle'!$J335),1,""))</x:f>
      </x:c>
      <x:c r="I686" s="32" t="str">
        <x:f>IF(OR('Detalle'!$J335="",'Detalle'!$K335="",'Detalle'!$L335=""),"",IF(AND(I$8&lt;='Detalle'!$K335,I$9&gt;='Detalle'!$J335),1,""))</x:f>
      </x:c>
      <x:c r="J686" s="32" t="str">
        <x:f>IF(OR('Detalle'!$J335="",'Detalle'!$K335="",'Detalle'!$L335=""),"",IF(AND(J$8&lt;='Detalle'!$K335,J$9&gt;='Detalle'!$J335),1,""))</x:f>
      </x:c>
      <x:c r="K686" s="32" t="str">
        <x:f>IF(OR('Detalle'!$J335="",'Detalle'!$K335="",'Detalle'!$L335=""),"",IF(AND(K$8&lt;='Detalle'!$K335,K$9&gt;='Detalle'!$J335),1,""))</x:f>
      </x:c>
      <x:c r="L686" s="32" t="str">
        <x:f>IF(OR('Detalle'!$J335="",'Detalle'!$K335="",'Detalle'!$L335=""),"",IF(AND(L$8&lt;='Detalle'!$K335,L$9&gt;='Detalle'!$J335),1,""))</x:f>
      </x:c>
      <x:c r="M686" s="32" t="str">
        <x:f>IF(OR('Detalle'!$J335="",'Detalle'!$K335="",'Detalle'!$L335=""),"",IF(AND(M$8&lt;='Detalle'!$K335,M$9&gt;='Detalle'!$J335),1,""))</x:f>
      </x:c>
      <x:c r="N686" s="32" t="str">
        <x:f>IF(OR('Detalle'!$J335="",'Detalle'!$K335="",'Detalle'!$L335=""),"",IF(AND(N$8&lt;='Detalle'!$K335,N$9&gt;='Detalle'!$J335),1,""))</x:f>
      </x:c>
      <x:c r="O686" s="32" t="str">
        <x:f>IF(OR('Detalle'!$J335="",'Detalle'!$K335="",'Detalle'!$L335=""),"",IF(AND(O$8&lt;='Detalle'!$K335,O$9&gt;='Detalle'!$J335),1,""))</x:f>
      </x:c>
      <x:c r="P686" s="32" t="str">
        <x:f>IF(OR('Detalle'!$J335="",'Detalle'!$K335="",'Detalle'!$L335=""),"",IF(AND(P$8&lt;='Detalle'!$K335,P$9&gt;='Detalle'!$J335),1,""))</x:f>
      </x:c>
      <x:c r="Q686" s="68"/>
      <x:c r="R686" s="67" t="str"/>
      <x:c r="S686" s="67" t="str"/>
    </x:row>
    <x:row r="687" ht="16" customHeight="1">
      <x:c r="A687" s="56" t="str">
        <x:v>DIS01.006</x:v>
      </x:c>
      <x:c r="B687" s="57" t="str">
        <x:v>Diseñar adaptación móvil y web v4</x:v>
      </x:c>
      <x:c r="C687" s="62" t="str">
        <x:v>E</x:v>
      </x:c>
      <x:c r="D687" s="64" t="n">
        <x:f>'Detalle'!I336</x:f>
        <x:v>1</x:v>
      </x:c>
      <x:c r="E687" s="60" t="str">
        <x:f>'Detalle'!F336</x:f>
        <x:v>Sustituido</x:v>
      </x:c>
      <x:c r="F687" s="32" t="str">
        <x:f>IF(AND(F$8&lt;='Detalle'!$H336,F$9&gt;='Detalle'!$G336),1,"")</x:f>
      </x:c>
      <x:c r="G687" s="32" t="str">
        <x:f>IF(AND(G$8&lt;='Detalle'!$H336,G$9&gt;='Detalle'!$G336),1,"")</x:f>
      </x:c>
      <x:c r="H687" s="32" t="str">
        <x:f>IF(AND(H$8&lt;='Detalle'!$H336,H$9&gt;='Detalle'!$G336),1,"")</x:f>
      </x:c>
      <x:c r="I687" s="32" t="n">
        <x:f>IF(AND(I$8&lt;='Detalle'!$H336,I$9&gt;='Detalle'!$G336),1,"")</x:f>
        <x:v>1</x:v>
      </x:c>
      <x:c r="J687" s="32" t="str">
        <x:f>IF(AND(J$8&lt;='Detalle'!$H336,J$9&gt;='Detalle'!$G336),1,"")</x:f>
      </x:c>
      <x:c r="K687" s="32" t="str">
        <x:f>IF(AND(K$8&lt;='Detalle'!$H336,K$9&gt;='Detalle'!$G336),1,"")</x:f>
      </x:c>
      <x:c r="L687" s="32" t="str">
        <x:f>IF(AND(L$8&lt;='Detalle'!$H336,L$9&gt;='Detalle'!$G336),1,"")</x:f>
      </x:c>
      <x:c r="M687" s="32" t="str">
        <x:f>IF(AND(M$8&lt;='Detalle'!$H336,M$9&gt;='Detalle'!$G336),1,"")</x:f>
      </x:c>
      <x:c r="N687" s="32" t="str">
        <x:f>IF(AND(N$8&lt;='Detalle'!$H336,N$9&gt;='Detalle'!$G336),1,"")</x:f>
      </x:c>
      <x:c r="O687" s="32" t="str">
        <x:f>IF(AND(O$8&lt;='Detalle'!$H336,O$9&gt;='Detalle'!$G336),1,"")</x:f>
      </x:c>
      <x:c r="P687" s="32" t="str">
        <x:f>IF(AND(P$8&lt;='Detalle'!$H336,P$9&gt;='Detalle'!$G336),1,"")</x:f>
      </x:c>
      <x:c r="Q687" s="68"/>
      <x:c r="R687" s="67" t="str">
        <x:f>IF('Detalle'!M336="","",'Detalle'!M336)</x:f>
      </x:c>
      <x:c r="S687" s="67" t="str">
        <x:f>IF('Detalle'!N336="","",'Detalle'!N336)</x:f>
      </x:c>
    </x:row>
    <x:row r="688" ht="16" customHeight="1">
      <x:c r="A688" s="56" t="str">
        <x:v>DIS01.006</x:v>
      </x:c>
      <x:c r="B688" s="57" t="str">
        <x:v>Diseñar adaptación móvil y web v4</x:v>
      </x:c>
      <x:c r="C688" s="63" t="str">
        <x:v>R</x:v>
      </x:c>
      <x:c r="D688" s="65" t="str">
        <x:f>IF('Detalle'!L336="","",'Detalle'!L336)</x:f>
      </x:c>
      <x:c r="E688" s="60" t="str"/>
      <x:c r="F688" s="32" t="str">
        <x:f>IF(OR('Detalle'!$J336="",'Detalle'!$K336="",'Detalle'!$L336=""),"",IF(AND(F$8&lt;='Detalle'!$K336,F$9&gt;='Detalle'!$J336),1,""))</x:f>
      </x:c>
      <x:c r="G688" s="32" t="str">
        <x:f>IF(OR('Detalle'!$J336="",'Detalle'!$K336="",'Detalle'!$L336=""),"",IF(AND(G$8&lt;='Detalle'!$K336,G$9&gt;='Detalle'!$J336),1,""))</x:f>
      </x:c>
      <x:c r="H688" s="32" t="str">
        <x:f>IF(OR('Detalle'!$J336="",'Detalle'!$K336="",'Detalle'!$L336=""),"",IF(AND(H$8&lt;='Detalle'!$K336,H$9&gt;='Detalle'!$J336),1,""))</x:f>
      </x:c>
      <x:c r="I688" s="32" t="str">
        <x:f>IF(OR('Detalle'!$J336="",'Detalle'!$K336="",'Detalle'!$L336=""),"",IF(AND(I$8&lt;='Detalle'!$K336,I$9&gt;='Detalle'!$J336),1,""))</x:f>
      </x:c>
      <x:c r="J688" s="32" t="str">
        <x:f>IF(OR('Detalle'!$J336="",'Detalle'!$K336="",'Detalle'!$L336=""),"",IF(AND(J$8&lt;='Detalle'!$K336,J$9&gt;='Detalle'!$J336),1,""))</x:f>
      </x:c>
      <x:c r="K688" s="32" t="str">
        <x:f>IF(OR('Detalle'!$J336="",'Detalle'!$K336="",'Detalle'!$L336=""),"",IF(AND(K$8&lt;='Detalle'!$K336,K$9&gt;='Detalle'!$J336),1,""))</x:f>
      </x:c>
      <x:c r="L688" s="32" t="str">
        <x:f>IF(OR('Detalle'!$J336="",'Detalle'!$K336="",'Detalle'!$L336=""),"",IF(AND(L$8&lt;='Detalle'!$K336,L$9&gt;='Detalle'!$J336),1,""))</x:f>
      </x:c>
      <x:c r="M688" s="32" t="str">
        <x:f>IF(OR('Detalle'!$J336="",'Detalle'!$K336="",'Detalle'!$L336=""),"",IF(AND(M$8&lt;='Detalle'!$K336,M$9&gt;='Detalle'!$J336),1,""))</x:f>
      </x:c>
      <x:c r="N688" s="32" t="str">
        <x:f>IF(OR('Detalle'!$J336="",'Detalle'!$K336="",'Detalle'!$L336=""),"",IF(AND(N$8&lt;='Detalle'!$K336,N$9&gt;='Detalle'!$J336),1,""))</x:f>
      </x:c>
      <x:c r="O688" s="32" t="str">
        <x:f>IF(OR('Detalle'!$J336="",'Detalle'!$K336="",'Detalle'!$L336=""),"",IF(AND(O$8&lt;='Detalle'!$K336,O$9&gt;='Detalle'!$J336),1,""))</x:f>
      </x:c>
      <x:c r="P688" s="32" t="str">
        <x:f>IF(OR('Detalle'!$J336="",'Detalle'!$K336="",'Detalle'!$L336=""),"",IF(AND(P$8&lt;='Detalle'!$K336,P$9&gt;='Detalle'!$J336),1,""))</x:f>
      </x:c>
      <x:c r="Q688" s="68"/>
      <x:c r="R688" s="67" t="str"/>
      <x:c r="S688" s="67" t="str"/>
    </x:row>
    <x:row r="689" ht="16" customHeight="1">
      <x:c r="A689" s="56" t="str">
        <x:v>DIS01.007</x:v>
      </x:c>
      <x:c r="B689" s="57" t="str">
        <x:v>Diseñar cabecera con marca v5</x:v>
      </x:c>
      <x:c r="C689" s="62" t="str">
        <x:v>E</x:v>
      </x:c>
      <x:c r="D689" s="64" t="n">
        <x:f>'Detalle'!I337</x:f>
        <x:v>1</x:v>
      </x:c>
      <x:c r="E689" s="60" t="str">
        <x:f>'Detalle'!F337</x:f>
        <x:v>Sustituido</x:v>
      </x:c>
      <x:c r="F689" s="32" t="str">
        <x:f>IF(AND(F$8&lt;='Detalle'!$H337,F$9&gt;='Detalle'!$G337),1,"")</x:f>
      </x:c>
      <x:c r="G689" s="32" t="str">
        <x:f>IF(AND(G$8&lt;='Detalle'!$H337,G$9&gt;='Detalle'!$G337),1,"")</x:f>
      </x:c>
      <x:c r="H689" s="32" t="str">
        <x:f>IF(AND(H$8&lt;='Detalle'!$H337,H$9&gt;='Detalle'!$G337),1,"")</x:f>
      </x:c>
      <x:c r="I689" s="32" t="n">
        <x:f>IF(AND(I$8&lt;='Detalle'!$H337,I$9&gt;='Detalle'!$G337),1,"")</x:f>
        <x:v>1</x:v>
      </x:c>
      <x:c r="J689" s="32" t="str">
        <x:f>IF(AND(J$8&lt;='Detalle'!$H337,J$9&gt;='Detalle'!$G337),1,"")</x:f>
      </x:c>
      <x:c r="K689" s="32" t="str">
        <x:f>IF(AND(K$8&lt;='Detalle'!$H337,K$9&gt;='Detalle'!$G337),1,"")</x:f>
      </x:c>
      <x:c r="L689" s="32" t="str">
        <x:f>IF(AND(L$8&lt;='Detalle'!$H337,L$9&gt;='Detalle'!$G337),1,"")</x:f>
      </x:c>
      <x:c r="M689" s="32" t="str">
        <x:f>IF(AND(M$8&lt;='Detalle'!$H337,M$9&gt;='Detalle'!$G337),1,"")</x:f>
      </x:c>
      <x:c r="N689" s="32" t="str">
        <x:f>IF(AND(N$8&lt;='Detalle'!$H337,N$9&gt;='Detalle'!$G337),1,"")</x:f>
      </x:c>
      <x:c r="O689" s="32" t="str">
        <x:f>IF(AND(O$8&lt;='Detalle'!$H337,O$9&gt;='Detalle'!$G337),1,"")</x:f>
      </x:c>
      <x:c r="P689" s="32" t="str">
        <x:f>IF(AND(P$8&lt;='Detalle'!$H337,P$9&gt;='Detalle'!$G337),1,"")</x:f>
      </x:c>
      <x:c r="Q689" s="68"/>
      <x:c r="R689" s="67" t="str">
        <x:f>IF('Detalle'!M337="","",'Detalle'!M337)</x:f>
      </x:c>
      <x:c r="S689" s="67" t="str">
        <x:f>IF('Detalle'!N337="","",'Detalle'!N337)</x:f>
      </x:c>
    </x:row>
    <x:row r="690" ht="16" customHeight="1">
      <x:c r="A690" s="56" t="str">
        <x:v>DIS01.007</x:v>
      </x:c>
      <x:c r="B690" s="57" t="str">
        <x:v>Diseñar cabecera con marca v5</x:v>
      </x:c>
      <x:c r="C690" s="63" t="str">
        <x:v>R</x:v>
      </x:c>
      <x:c r="D690" s="65" t="str">
        <x:f>IF('Detalle'!L337="","",'Detalle'!L337)</x:f>
      </x:c>
      <x:c r="E690" s="60" t="str"/>
      <x:c r="F690" s="32" t="str">
        <x:f>IF(OR('Detalle'!$J337="",'Detalle'!$K337="",'Detalle'!$L337=""),"",IF(AND(F$8&lt;='Detalle'!$K337,F$9&gt;='Detalle'!$J337),1,""))</x:f>
      </x:c>
      <x:c r="G690" s="32" t="str">
        <x:f>IF(OR('Detalle'!$J337="",'Detalle'!$K337="",'Detalle'!$L337=""),"",IF(AND(G$8&lt;='Detalle'!$K337,G$9&gt;='Detalle'!$J337),1,""))</x:f>
      </x:c>
      <x:c r="H690" s="32" t="str">
        <x:f>IF(OR('Detalle'!$J337="",'Detalle'!$K337="",'Detalle'!$L337=""),"",IF(AND(H$8&lt;='Detalle'!$K337,H$9&gt;='Detalle'!$J337),1,""))</x:f>
      </x:c>
      <x:c r="I690" s="32" t="str">
        <x:f>IF(OR('Detalle'!$J337="",'Detalle'!$K337="",'Detalle'!$L337=""),"",IF(AND(I$8&lt;='Detalle'!$K337,I$9&gt;='Detalle'!$J337),1,""))</x:f>
      </x:c>
      <x:c r="J690" s="32" t="str">
        <x:f>IF(OR('Detalle'!$J337="",'Detalle'!$K337="",'Detalle'!$L337=""),"",IF(AND(J$8&lt;='Detalle'!$K337,J$9&gt;='Detalle'!$J337),1,""))</x:f>
      </x:c>
      <x:c r="K690" s="32" t="str">
        <x:f>IF(OR('Detalle'!$J337="",'Detalle'!$K337="",'Detalle'!$L337=""),"",IF(AND(K$8&lt;='Detalle'!$K337,K$9&gt;='Detalle'!$J337),1,""))</x:f>
      </x:c>
      <x:c r="L690" s="32" t="str">
        <x:f>IF(OR('Detalle'!$J337="",'Detalle'!$K337="",'Detalle'!$L337=""),"",IF(AND(L$8&lt;='Detalle'!$K337,L$9&gt;='Detalle'!$J337),1,""))</x:f>
      </x:c>
      <x:c r="M690" s="32" t="str">
        <x:f>IF(OR('Detalle'!$J337="",'Detalle'!$K337="",'Detalle'!$L337=""),"",IF(AND(M$8&lt;='Detalle'!$K337,M$9&gt;='Detalle'!$J337),1,""))</x:f>
      </x:c>
      <x:c r="N690" s="32" t="str">
        <x:f>IF(OR('Detalle'!$J337="",'Detalle'!$K337="",'Detalle'!$L337=""),"",IF(AND(N$8&lt;='Detalle'!$K337,N$9&gt;='Detalle'!$J337),1,""))</x:f>
      </x:c>
      <x:c r="O690" s="32" t="str">
        <x:f>IF(OR('Detalle'!$J337="",'Detalle'!$K337="",'Detalle'!$L337=""),"",IF(AND(O$8&lt;='Detalle'!$K337,O$9&gt;='Detalle'!$J337),1,""))</x:f>
      </x:c>
      <x:c r="P690" s="32" t="str">
        <x:f>IF(OR('Detalle'!$J337="",'Detalle'!$K337="",'Detalle'!$L337=""),"",IF(AND(P$8&lt;='Detalle'!$K337,P$9&gt;='Detalle'!$J337),1,""))</x:f>
      </x:c>
      <x:c r="Q690" s="68"/>
      <x:c r="R690" s="67" t="str"/>
      <x:c r="S690" s="67" t="str"/>
    </x:row>
    <x:row r="691" ht="16" customHeight="1">
      <x:c r="A691" s="56" t="str">
        <x:v>DIS01.008</x:v>
      </x:c>
      <x:c r="B691" s="57" t="str">
        <x:v>Diseñar distribución de escritorio v5</x:v>
      </x:c>
      <x:c r="C691" s="62" t="str">
        <x:v>E</x:v>
      </x:c>
      <x:c r="D691" s="64" t="n">
        <x:f>'Detalle'!I338</x:f>
        <x:v>1</x:v>
      </x:c>
      <x:c r="E691" s="60" t="str">
        <x:f>'Detalle'!F338</x:f>
        <x:v>Sustituido</x:v>
      </x:c>
      <x:c r="F691" s="32" t="str">
        <x:f>IF(AND(F$8&lt;='Detalle'!$H338,F$9&gt;='Detalle'!$G338),1,"")</x:f>
      </x:c>
      <x:c r="G691" s="32" t="str">
        <x:f>IF(AND(G$8&lt;='Detalle'!$H338,G$9&gt;='Detalle'!$G338),1,"")</x:f>
      </x:c>
      <x:c r="H691" s="32" t="str">
        <x:f>IF(AND(H$8&lt;='Detalle'!$H338,H$9&gt;='Detalle'!$G338),1,"")</x:f>
      </x:c>
      <x:c r="I691" s="32" t="n">
        <x:f>IF(AND(I$8&lt;='Detalle'!$H338,I$9&gt;='Detalle'!$G338),1,"")</x:f>
        <x:v>1</x:v>
      </x:c>
      <x:c r="J691" s="32" t="str">
        <x:f>IF(AND(J$8&lt;='Detalle'!$H338,J$9&gt;='Detalle'!$G338),1,"")</x:f>
      </x:c>
      <x:c r="K691" s="32" t="str">
        <x:f>IF(AND(K$8&lt;='Detalle'!$H338,K$9&gt;='Detalle'!$G338),1,"")</x:f>
      </x:c>
      <x:c r="L691" s="32" t="str">
        <x:f>IF(AND(L$8&lt;='Detalle'!$H338,L$9&gt;='Detalle'!$G338),1,"")</x:f>
      </x:c>
      <x:c r="M691" s="32" t="str">
        <x:f>IF(AND(M$8&lt;='Detalle'!$H338,M$9&gt;='Detalle'!$G338),1,"")</x:f>
      </x:c>
      <x:c r="N691" s="32" t="str">
        <x:f>IF(AND(N$8&lt;='Detalle'!$H338,N$9&gt;='Detalle'!$G338),1,"")</x:f>
      </x:c>
      <x:c r="O691" s="32" t="str">
        <x:f>IF(AND(O$8&lt;='Detalle'!$H338,O$9&gt;='Detalle'!$G338),1,"")</x:f>
      </x:c>
      <x:c r="P691" s="32" t="str">
        <x:f>IF(AND(P$8&lt;='Detalle'!$H338,P$9&gt;='Detalle'!$G338),1,"")</x:f>
      </x:c>
      <x:c r="Q691" s="68"/>
      <x:c r="R691" s="67" t="str">
        <x:f>IF('Detalle'!M338="","",'Detalle'!M338)</x:f>
      </x:c>
      <x:c r="S691" s="67" t="str">
        <x:f>IF('Detalle'!N338="","",'Detalle'!N338)</x:f>
      </x:c>
    </x:row>
    <x:row r="692" ht="16" customHeight="1">
      <x:c r="A692" s="56" t="str">
        <x:v>DIS01.008</x:v>
      </x:c>
      <x:c r="B692" s="57" t="str">
        <x:v>Diseñar distribución de escritorio v5</x:v>
      </x:c>
      <x:c r="C692" s="63" t="str">
        <x:v>R</x:v>
      </x:c>
      <x:c r="D692" s="65" t="str">
        <x:f>IF('Detalle'!L338="","",'Detalle'!L338)</x:f>
      </x:c>
      <x:c r="E692" s="60" t="str"/>
      <x:c r="F692" s="32" t="str">
        <x:f>IF(OR('Detalle'!$J338="",'Detalle'!$K338="",'Detalle'!$L338=""),"",IF(AND(F$8&lt;='Detalle'!$K338,F$9&gt;='Detalle'!$J338),1,""))</x:f>
      </x:c>
      <x:c r="G692" s="32" t="str">
        <x:f>IF(OR('Detalle'!$J338="",'Detalle'!$K338="",'Detalle'!$L338=""),"",IF(AND(G$8&lt;='Detalle'!$K338,G$9&gt;='Detalle'!$J338),1,""))</x:f>
      </x:c>
      <x:c r="H692" s="32" t="str">
        <x:f>IF(OR('Detalle'!$J338="",'Detalle'!$K338="",'Detalle'!$L338=""),"",IF(AND(H$8&lt;='Detalle'!$K338,H$9&gt;='Detalle'!$J338),1,""))</x:f>
      </x:c>
      <x:c r="I692" s="32" t="str">
        <x:f>IF(OR('Detalle'!$J338="",'Detalle'!$K338="",'Detalle'!$L338=""),"",IF(AND(I$8&lt;='Detalle'!$K338,I$9&gt;='Detalle'!$J338),1,""))</x:f>
      </x:c>
      <x:c r="J692" s="32" t="str">
        <x:f>IF(OR('Detalle'!$J338="",'Detalle'!$K338="",'Detalle'!$L338=""),"",IF(AND(J$8&lt;='Detalle'!$K338,J$9&gt;='Detalle'!$J338),1,""))</x:f>
      </x:c>
      <x:c r="K692" s="32" t="str">
        <x:f>IF(OR('Detalle'!$J338="",'Detalle'!$K338="",'Detalle'!$L338=""),"",IF(AND(K$8&lt;='Detalle'!$K338,K$9&gt;='Detalle'!$J338),1,""))</x:f>
      </x:c>
      <x:c r="L692" s="32" t="str">
        <x:f>IF(OR('Detalle'!$J338="",'Detalle'!$K338="",'Detalle'!$L338=""),"",IF(AND(L$8&lt;='Detalle'!$K338,L$9&gt;='Detalle'!$J338),1,""))</x:f>
      </x:c>
      <x:c r="M692" s="32" t="str">
        <x:f>IF(OR('Detalle'!$J338="",'Detalle'!$K338="",'Detalle'!$L338=""),"",IF(AND(M$8&lt;='Detalle'!$K338,M$9&gt;='Detalle'!$J338),1,""))</x:f>
      </x:c>
      <x:c r="N692" s="32" t="str">
        <x:f>IF(OR('Detalle'!$J338="",'Detalle'!$K338="",'Detalle'!$L338=""),"",IF(AND(N$8&lt;='Detalle'!$K338,N$9&gt;='Detalle'!$J338),1,""))</x:f>
      </x:c>
      <x:c r="O692" s="32" t="str">
        <x:f>IF(OR('Detalle'!$J338="",'Detalle'!$K338="",'Detalle'!$L338=""),"",IF(AND(O$8&lt;='Detalle'!$K338,O$9&gt;='Detalle'!$J338),1,""))</x:f>
      </x:c>
      <x:c r="P692" s="32" t="str">
        <x:f>IF(OR('Detalle'!$J338="",'Detalle'!$K338="",'Detalle'!$L338=""),"",IF(AND(P$8&lt;='Detalle'!$K338,P$9&gt;='Detalle'!$J338),1,""))</x:f>
      </x:c>
      <x:c r="Q692" s="68"/>
      <x:c r="R692" s="67" t="str"/>
      <x:c r="S692" s="67" t="str"/>
    </x:row>
    <x:row r="693" ht="16" customHeight="1">
      <x:c r="A693" s="56" t="str">
        <x:v>DIS01.009</x:v>
      </x:c>
      <x:c r="B693" s="57" t="str">
        <x:v>Diseñar Buscar y Actividad v5</x:v>
      </x:c>
      <x:c r="C693" s="62" t="str">
        <x:v>E</x:v>
      </x:c>
      <x:c r="D693" s="64" t="n">
        <x:f>'Detalle'!I339</x:f>
        <x:v>1</x:v>
      </x:c>
      <x:c r="E693" s="60" t="str">
        <x:f>'Detalle'!F339</x:f>
        <x:v>Sustituido</x:v>
      </x:c>
      <x:c r="F693" s="32" t="str">
        <x:f>IF(AND(F$8&lt;='Detalle'!$H339,F$9&gt;='Detalle'!$G339),1,"")</x:f>
      </x:c>
      <x:c r="G693" s="32" t="str">
        <x:f>IF(AND(G$8&lt;='Detalle'!$H339,G$9&gt;='Detalle'!$G339),1,"")</x:f>
      </x:c>
      <x:c r="H693" s="32" t="str">
        <x:f>IF(AND(H$8&lt;='Detalle'!$H339,H$9&gt;='Detalle'!$G339),1,"")</x:f>
      </x:c>
      <x:c r="I693" s="32" t="n">
        <x:f>IF(AND(I$8&lt;='Detalle'!$H339,I$9&gt;='Detalle'!$G339),1,"")</x:f>
        <x:v>1</x:v>
      </x:c>
      <x:c r="J693" s="32" t="str">
        <x:f>IF(AND(J$8&lt;='Detalle'!$H339,J$9&gt;='Detalle'!$G339),1,"")</x:f>
      </x:c>
      <x:c r="K693" s="32" t="str">
        <x:f>IF(AND(K$8&lt;='Detalle'!$H339,K$9&gt;='Detalle'!$G339),1,"")</x:f>
      </x:c>
      <x:c r="L693" s="32" t="str">
        <x:f>IF(AND(L$8&lt;='Detalle'!$H339,L$9&gt;='Detalle'!$G339),1,"")</x:f>
      </x:c>
      <x:c r="M693" s="32" t="str">
        <x:f>IF(AND(M$8&lt;='Detalle'!$H339,M$9&gt;='Detalle'!$G339),1,"")</x:f>
      </x:c>
      <x:c r="N693" s="32" t="str">
        <x:f>IF(AND(N$8&lt;='Detalle'!$H339,N$9&gt;='Detalle'!$G339),1,"")</x:f>
      </x:c>
      <x:c r="O693" s="32" t="str">
        <x:f>IF(AND(O$8&lt;='Detalle'!$H339,O$9&gt;='Detalle'!$G339),1,"")</x:f>
      </x:c>
      <x:c r="P693" s="32" t="str">
        <x:f>IF(AND(P$8&lt;='Detalle'!$H339,P$9&gt;='Detalle'!$G339),1,"")</x:f>
      </x:c>
      <x:c r="Q693" s="68"/>
      <x:c r="R693" s="67" t="str">
        <x:f>IF('Detalle'!M339="","",'Detalle'!M339)</x:f>
      </x:c>
      <x:c r="S693" s="67" t="str">
        <x:f>IF('Detalle'!N339="","",'Detalle'!N339)</x:f>
      </x:c>
    </x:row>
    <x:row r="694" ht="16" customHeight="1">
      <x:c r="A694" s="56" t="str">
        <x:v>DIS01.009</x:v>
      </x:c>
      <x:c r="B694" s="57" t="str">
        <x:v>Diseñar Buscar y Actividad v5</x:v>
      </x:c>
      <x:c r="C694" s="63" t="str">
        <x:v>R</x:v>
      </x:c>
      <x:c r="D694" s="65" t="str">
        <x:f>IF('Detalle'!L339="","",'Detalle'!L339)</x:f>
      </x:c>
      <x:c r="E694" s="60" t="str"/>
      <x:c r="F694" s="32" t="str">
        <x:f>IF(OR('Detalle'!$J339="",'Detalle'!$K339="",'Detalle'!$L339=""),"",IF(AND(F$8&lt;='Detalle'!$K339,F$9&gt;='Detalle'!$J339),1,""))</x:f>
      </x:c>
      <x:c r="G694" s="32" t="str">
        <x:f>IF(OR('Detalle'!$J339="",'Detalle'!$K339="",'Detalle'!$L339=""),"",IF(AND(G$8&lt;='Detalle'!$K339,G$9&gt;='Detalle'!$J339),1,""))</x:f>
      </x:c>
      <x:c r="H694" s="32" t="str">
        <x:f>IF(OR('Detalle'!$J339="",'Detalle'!$K339="",'Detalle'!$L339=""),"",IF(AND(H$8&lt;='Detalle'!$K339,H$9&gt;='Detalle'!$J339),1,""))</x:f>
      </x:c>
      <x:c r="I694" s="32" t="str">
        <x:f>IF(OR('Detalle'!$J339="",'Detalle'!$K339="",'Detalle'!$L339=""),"",IF(AND(I$8&lt;='Detalle'!$K339,I$9&gt;='Detalle'!$J339),1,""))</x:f>
      </x:c>
      <x:c r="J694" s="32" t="str">
        <x:f>IF(OR('Detalle'!$J339="",'Detalle'!$K339="",'Detalle'!$L339=""),"",IF(AND(J$8&lt;='Detalle'!$K339,J$9&gt;='Detalle'!$J339),1,""))</x:f>
      </x:c>
      <x:c r="K694" s="32" t="str">
        <x:f>IF(OR('Detalle'!$J339="",'Detalle'!$K339="",'Detalle'!$L339=""),"",IF(AND(K$8&lt;='Detalle'!$K339,K$9&gt;='Detalle'!$J339),1,""))</x:f>
      </x:c>
      <x:c r="L694" s="32" t="str">
        <x:f>IF(OR('Detalle'!$J339="",'Detalle'!$K339="",'Detalle'!$L339=""),"",IF(AND(L$8&lt;='Detalle'!$K339,L$9&gt;='Detalle'!$J339),1,""))</x:f>
      </x:c>
      <x:c r="M694" s="32" t="str">
        <x:f>IF(OR('Detalle'!$J339="",'Detalle'!$K339="",'Detalle'!$L339=""),"",IF(AND(M$8&lt;='Detalle'!$K339,M$9&gt;='Detalle'!$J339),1,""))</x:f>
      </x:c>
      <x:c r="N694" s="32" t="str">
        <x:f>IF(OR('Detalle'!$J339="",'Detalle'!$K339="",'Detalle'!$L339=""),"",IF(AND(N$8&lt;='Detalle'!$K339,N$9&gt;='Detalle'!$J339),1,""))</x:f>
      </x:c>
      <x:c r="O694" s="32" t="str">
        <x:f>IF(OR('Detalle'!$J339="",'Detalle'!$K339="",'Detalle'!$L339=""),"",IF(AND(O$8&lt;='Detalle'!$K339,O$9&gt;='Detalle'!$J339),1,""))</x:f>
      </x:c>
      <x:c r="P694" s="32" t="str">
        <x:f>IF(OR('Detalle'!$J339="",'Detalle'!$K339="",'Detalle'!$L339=""),"",IF(AND(P$8&lt;='Detalle'!$K339,P$9&gt;='Detalle'!$J339),1,""))</x:f>
      </x:c>
      <x:c r="Q694" s="68"/>
      <x:c r="R694" s="67" t="str"/>
      <x:c r="S694" s="67" t="str"/>
    </x:row>
    <x:row r="695" ht="16" customHeight="1">
      <x:c r="A695" s="56" t="str">
        <x:v>DIS01.010</x:v>
      </x:c>
      <x:c r="B695" s="57" t="str">
        <x:v>Diseñar cabeceras definitivas v6</x:v>
      </x:c>
      <x:c r="C695" s="62" t="str">
        <x:v>E</x:v>
      </x:c>
      <x:c r="D695" s="64" t="n">
        <x:f>'Detalle'!I340</x:f>
        <x:v>1</x:v>
      </x:c>
      <x:c r="E695" s="60" t="str">
        <x:f>'Detalle'!F340</x:f>
        <x:v>Sustituido</x:v>
      </x:c>
      <x:c r="F695" s="32" t="str">
        <x:f>IF(AND(F$8&lt;='Detalle'!$H340,F$9&gt;='Detalle'!$G340),1,"")</x:f>
      </x:c>
      <x:c r="G695" s="32" t="str">
        <x:f>IF(AND(G$8&lt;='Detalle'!$H340,G$9&gt;='Detalle'!$G340),1,"")</x:f>
      </x:c>
      <x:c r="H695" s="32" t="str">
        <x:f>IF(AND(H$8&lt;='Detalle'!$H340,H$9&gt;='Detalle'!$G340),1,"")</x:f>
      </x:c>
      <x:c r="I695" s="32" t="n">
        <x:f>IF(AND(I$8&lt;='Detalle'!$H340,I$9&gt;='Detalle'!$G340),1,"")</x:f>
        <x:v>1</x:v>
      </x:c>
      <x:c r="J695" s="32" t="str">
        <x:f>IF(AND(J$8&lt;='Detalle'!$H340,J$9&gt;='Detalle'!$G340),1,"")</x:f>
      </x:c>
      <x:c r="K695" s="32" t="str">
        <x:f>IF(AND(K$8&lt;='Detalle'!$H340,K$9&gt;='Detalle'!$G340),1,"")</x:f>
      </x:c>
      <x:c r="L695" s="32" t="str">
        <x:f>IF(AND(L$8&lt;='Detalle'!$H340,L$9&gt;='Detalle'!$G340),1,"")</x:f>
      </x:c>
      <x:c r="M695" s="32" t="str">
        <x:f>IF(AND(M$8&lt;='Detalle'!$H340,M$9&gt;='Detalle'!$G340),1,"")</x:f>
      </x:c>
      <x:c r="N695" s="32" t="str">
        <x:f>IF(AND(N$8&lt;='Detalle'!$H340,N$9&gt;='Detalle'!$G340),1,"")</x:f>
      </x:c>
      <x:c r="O695" s="32" t="str">
        <x:f>IF(AND(O$8&lt;='Detalle'!$H340,O$9&gt;='Detalle'!$G340),1,"")</x:f>
      </x:c>
      <x:c r="P695" s="32" t="str">
        <x:f>IF(AND(P$8&lt;='Detalle'!$H340,P$9&gt;='Detalle'!$G340),1,"")</x:f>
      </x:c>
      <x:c r="Q695" s="68"/>
      <x:c r="R695" s="67" t="str">
        <x:f>IF('Detalle'!M340="","",'Detalle'!M340)</x:f>
      </x:c>
      <x:c r="S695" s="67" t="str">
        <x:f>IF('Detalle'!N340="","",'Detalle'!N340)</x:f>
      </x:c>
    </x:row>
    <x:row r="696" ht="16" customHeight="1">
      <x:c r="A696" s="56" t="str">
        <x:v>DIS01.010</x:v>
      </x:c>
      <x:c r="B696" s="57" t="str">
        <x:v>Diseñar cabeceras definitivas v6</x:v>
      </x:c>
      <x:c r="C696" s="63" t="str">
        <x:v>R</x:v>
      </x:c>
      <x:c r="D696" s="65" t="str">
        <x:f>IF('Detalle'!L340="","",'Detalle'!L340)</x:f>
      </x:c>
      <x:c r="E696" s="60" t="str"/>
      <x:c r="F696" s="32" t="str">
        <x:f>IF(OR('Detalle'!$J340="",'Detalle'!$K340="",'Detalle'!$L340=""),"",IF(AND(F$8&lt;='Detalle'!$K340,F$9&gt;='Detalle'!$J340),1,""))</x:f>
      </x:c>
      <x:c r="G696" s="32" t="str">
        <x:f>IF(OR('Detalle'!$J340="",'Detalle'!$K340="",'Detalle'!$L340=""),"",IF(AND(G$8&lt;='Detalle'!$K340,G$9&gt;='Detalle'!$J340),1,""))</x:f>
      </x:c>
      <x:c r="H696" s="32" t="str">
        <x:f>IF(OR('Detalle'!$J340="",'Detalle'!$K340="",'Detalle'!$L340=""),"",IF(AND(H$8&lt;='Detalle'!$K340,H$9&gt;='Detalle'!$J340),1,""))</x:f>
      </x:c>
      <x:c r="I696" s="32" t="str">
        <x:f>IF(OR('Detalle'!$J340="",'Detalle'!$K340="",'Detalle'!$L340=""),"",IF(AND(I$8&lt;='Detalle'!$K340,I$9&gt;='Detalle'!$J340),1,""))</x:f>
      </x:c>
      <x:c r="J696" s="32" t="str">
        <x:f>IF(OR('Detalle'!$J340="",'Detalle'!$K340="",'Detalle'!$L340=""),"",IF(AND(J$8&lt;='Detalle'!$K340,J$9&gt;='Detalle'!$J340),1,""))</x:f>
      </x:c>
      <x:c r="K696" s="32" t="str">
        <x:f>IF(OR('Detalle'!$J340="",'Detalle'!$K340="",'Detalle'!$L340=""),"",IF(AND(K$8&lt;='Detalle'!$K340,K$9&gt;='Detalle'!$J340),1,""))</x:f>
      </x:c>
      <x:c r="L696" s="32" t="str">
        <x:f>IF(OR('Detalle'!$J340="",'Detalle'!$K340="",'Detalle'!$L340=""),"",IF(AND(L$8&lt;='Detalle'!$K340,L$9&gt;='Detalle'!$J340),1,""))</x:f>
      </x:c>
      <x:c r="M696" s="32" t="str">
        <x:f>IF(OR('Detalle'!$J340="",'Detalle'!$K340="",'Detalle'!$L340=""),"",IF(AND(M$8&lt;='Detalle'!$K340,M$9&gt;='Detalle'!$J340),1,""))</x:f>
      </x:c>
      <x:c r="N696" s="32" t="str">
        <x:f>IF(OR('Detalle'!$J340="",'Detalle'!$K340="",'Detalle'!$L340=""),"",IF(AND(N$8&lt;='Detalle'!$K340,N$9&gt;='Detalle'!$J340),1,""))</x:f>
      </x:c>
      <x:c r="O696" s="32" t="str">
        <x:f>IF(OR('Detalle'!$J340="",'Detalle'!$K340="",'Detalle'!$L340=""),"",IF(AND(O$8&lt;='Detalle'!$K340,O$9&gt;='Detalle'!$J340),1,""))</x:f>
      </x:c>
      <x:c r="P696" s="32" t="str">
        <x:f>IF(OR('Detalle'!$J340="",'Detalle'!$K340="",'Detalle'!$L340=""),"",IF(AND(P$8&lt;='Detalle'!$K340,P$9&gt;='Detalle'!$J340),1,""))</x:f>
      </x:c>
      <x:c r="Q696" s="68"/>
      <x:c r="R696" s="67" t="str"/>
      <x:c r="S696" s="67" t="str"/>
    </x:row>
    <x:row r="697" ht="16" customHeight="1">
      <x:c r="A697" s="56" t="str">
        <x:v>DIS01.011</x:v>
      </x:c>
      <x:c r="B697" s="57" t="str">
        <x:v>Diseñar colección de Guardados v6</x:v>
      </x:c>
      <x:c r="C697" s="62" t="str">
        <x:v>E</x:v>
      </x:c>
      <x:c r="D697" s="64" t="n">
        <x:f>'Detalle'!I341</x:f>
        <x:v>1</x:v>
      </x:c>
      <x:c r="E697" s="60" t="str">
        <x:f>'Detalle'!F341</x:f>
        <x:v>Sustituido</x:v>
      </x:c>
      <x:c r="F697" s="32" t="str">
        <x:f>IF(AND(F$8&lt;='Detalle'!$H341,F$9&gt;='Detalle'!$G341),1,"")</x:f>
      </x:c>
      <x:c r="G697" s="32" t="str">
        <x:f>IF(AND(G$8&lt;='Detalle'!$H341,G$9&gt;='Detalle'!$G341),1,"")</x:f>
      </x:c>
      <x:c r="H697" s="32" t="str">
        <x:f>IF(AND(H$8&lt;='Detalle'!$H341,H$9&gt;='Detalle'!$G341),1,"")</x:f>
      </x:c>
      <x:c r="I697" s="32" t="n">
        <x:f>IF(AND(I$8&lt;='Detalle'!$H341,I$9&gt;='Detalle'!$G341),1,"")</x:f>
        <x:v>1</x:v>
      </x:c>
      <x:c r="J697" s="32" t="str">
        <x:f>IF(AND(J$8&lt;='Detalle'!$H341,J$9&gt;='Detalle'!$G341),1,"")</x:f>
      </x:c>
      <x:c r="K697" s="32" t="str">
        <x:f>IF(AND(K$8&lt;='Detalle'!$H341,K$9&gt;='Detalle'!$G341),1,"")</x:f>
      </x:c>
      <x:c r="L697" s="32" t="str">
        <x:f>IF(AND(L$8&lt;='Detalle'!$H341,L$9&gt;='Detalle'!$G341),1,"")</x:f>
      </x:c>
      <x:c r="M697" s="32" t="str">
        <x:f>IF(AND(M$8&lt;='Detalle'!$H341,M$9&gt;='Detalle'!$G341),1,"")</x:f>
      </x:c>
      <x:c r="N697" s="32" t="str">
        <x:f>IF(AND(N$8&lt;='Detalle'!$H341,N$9&gt;='Detalle'!$G341),1,"")</x:f>
      </x:c>
      <x:c r="O697" s="32" t="str">
        <x:f>IF(AND(O$8&lt;='Detalle'!$H341,O$9&gt;='Detalle'!$G341),1,"")</x:f>
      </x:c>
      <x:c r="P697" s="32" t="str">
        <x:f>IF(AND(P$8&lt;='Detalle'!$H341,P$9&gt;='Detalle'!$G341),1,"")</x:f>
      </x:c>
      <x:c r="Q697" s="68"/>
      <x:c r="R697" s="67" t="str">
        <x:f>IF('Detalle'!M341="","",'Detalle'!M341)</x:f>
      </x:c>
      <x:c r="S697" s="67" t="str">
        <x:f>IF('Detalle'!N341="","",'Detalle'!N341)</x:f>
      </x:c>
    </x:row>
    <x:row r="698" ht="16" customHeight="1">
      <x:c r="A698" s="56" t="str">
        <x:v>DIS01.011</x:v>
      </x:c>
      <x:c r="B698" s="57" t="str">
        <x:v>Diseñar colección de Guardados v6</x:v>
      </x:c>
      <x:c r="C698" s="63" t="str">
        <x:v>R</x:v>
      </x:c>
      <x:c r="D698" s="65" t="str">
        <x:f>IF('Detalle'!L341="","",'Detalle'!L341)</x:f>
      </x:c>
      <x:c r="E698" s="60" t="str"/>
      <x:c r="F698" s="32" t="str">
        <x:f>IF(OR('Detalle'!$J341="",'Detalle'!$K341="",'Detalle'!$L341=""),"",IF(AND(F$8&lt;='Detalle'!$K341,F$9&gt;='Detalle'!$J341),1,""))</x:f>
      </x:c>
      <x:c r="G698" s="32" t="str">
        <x:f>IF(OR('Detalle'!$J341="",'Detalle'!$K341="",'Detalle'!$L341=""),"",IF(AND(G$8&lt;='Detalle'!$K341,G$9&gt;='Detalle'!$J341),1,""))</x:f>
      </x:c>
      <x:c r="H698" s="32" t="str">
        <x:f>IF(OR('Detalle'!$J341="",'Detalle'!$K341="",'Detalle'!$L341=""),"",IF(AND(H$8&lt;='Detalle'!$K341,H$9&gt;='Detalle'!$J341),1,""))</x:f>
      </x:c>
      <x:c r="I698" s="32" t="str">
        <x:f>IF(OR('Detalle'!$J341="",'Detalle'!$K341="",'Detalle'!$L341=""),"",IF(AND(I$8&lt;='Detalle'!$K341,I$9&gt;='Detalle'!$J341),1,""))</x:f>
      </x:c>
      <x:c r="J698" s="32" t="str">
        <x:f>IF(OR('Detalle'!$J341="",'Detalle'!$K341="",'Detalle'!$L341=""),"",IF(AND(J$8&lt;='Detalle'!$K341,J$9&gt;='Detalle'!$J341),1,""))</x:f>
      </x:c>
      <x:c r="K698" s="32" t="str">
        <x:f>IF(OR('Detalle'!$J341="",'Detalle'!$K341="",'Detalle'!$L341=""),"",IF(AND(K$8&lt;='Detalle'!$K341,K$9&gt;='Detalle'!$J341),1,""))</x:f>
      </x:c>
      <x:c r="L698" s="32" t="str">
        <x:f>IF(OR('Detalle'!$J341="",'Detalle'!$K341="",'Detalle'!$L341=""),"",IF(AND(L$8&lt;='Detalle'!$K341,L$9&gt;='Detalle'!$J341),1,""))</x:f>
      </x:c>
      <x:c r="M698" s="32" t="str">
        <x:f>IF(OR('Detalle'!$J341="",'Detalle'!$K341="",'Detalle'!$L341=""),"",IF(AND(M$8&lt;='Detalle'!$K341,M$9&gt;='Detalle'!$J341),1,""))</x:f>
      </x:c>
      <x:c r="N698" s="32" t="str">
        <x:f>IF(OR('Detalle'!$J341="",'Detalle'!$K341="",'Detalle'!$L341=""),"",IF(AND(N$8&lt;='Detalle'!$K341,N$9&gt;='Detalle'!$J341),1,""))</x:f>
      </x:c>
      <x:c r="O698" s="32" t="str">
        <x:f>IF(OR('Detalle'!$J341="",'Detalle'!$K341="",'Detalle'!$L341=""),"",IF(AND(O$8&lt;='Detalle'!$K341,O$9&gt;='Detalle'!$J341),1,""))</x:f>
      </x:c>
      <x:c r="P698" s="32" t="str">
        <x:f>IF(OR('Detalle'!$J341="",'Detalle'!$K341="",'Detalle'!$L341=""),"",IF(AND(P$8&lt;='Detalle'!$K341,P$9&gt;='Detalle'!$J341),1,""))</x:f>
      </x:c>
      <x:c r="Q698" s="68"/>
      <x:c r="R698" s="67" t="str"/>
      <x:c r="S698" s="67" t="str"/>
    </x:row>
    <x:row r="699" ht="16" customHeight="1">
      <x:c r="A699" s="56" t="str">
        <x:v>DIS01.012</x:v>
      </x:c>
      <x:c r="B699" s="57" t="str">
        <x:v>Diseñar Notificaciones v6</x:v>
      </x:c>
      <x:c r="C699" s="62" t="str">
        <x:v>E</x:v>
      </x:c>
      <x:c r="D699" s="64" t="n">
        <x:f>'Detalle'!I342</x:f>
        <x:v>1</x:v>
      </x:c>
      <x:c r="E699" s="60" t="str">
        <x:f>'Detalle'!F342</x:f>
        <x:v>Sustituido</x:v>
      </x:c>
      <x:c r="F699" s="32" t="str">
        <x:f>IF(AND(F$8&lt;='Detalle'!$H342,F$9&gt;='Detalle'!$G342),1,"")</x:f>
      </x:c>
      <x:c r="G699" s="32" t="str">
        <x:f>IF(AND(G$8&lt;='Detalle'!$H342,G$9&gt;='Detalle'!$G342),1,"")</x:f>
      </x:c>
      <x:c r="H699" s="32" t="str">
        <x:f>IF(AND(H$8&lt;='Detalle'!$H342,H$9&gt;='Detalle'!$G342),1,"")</x:f>
      </x:c>
      <x:c r="I699" s="32" t="n">
        <x:f>IF(AND(I$8&lt;='Detalle'!$H342,I$9&gt;='Detalle'!$G342),1,"")</x:f>
        <x:v>1</x:v>
      </x:c>
      <x:c r="J699" s="32" t="str">
        <x:f>IF(AND(J$8&lt;='Detalle'!$H342,J$9&gt;='Detalle'!$G342),1,"")</x:f>
      </x:c>
      <x:c r="K699" s="32" t="str">
        <x:f>IF(AND(K$8&lt;='Detalle'!$H342,K$9&gt;='Detalle'!$G342),1,"")</x:f>
      </x:c>
      <x:c r="L699" s="32" t="str">
        <x:f>IF(AND(L$8&lt;='Detalle'!$H342,L$9&gt;='Detalle'!$G342),1,"")</x:f>
      </x:c>
      <x:c r="M699" s="32" t="str">
        <x:f>IF(AND(M$8&lt;='Detalle'!$H342,M$9&gt;='Detalle'!$G342),1,"")</x:f>
      </x:c>
      <x:c r="N699" s="32" t="str">
        <x:f>IF(AND(N$8&lt;='Detalle'!$H342,N$9&gt;='Detalle'!$G342),1,"")</x:f>
      </x:c>
      <x:c r="O699" s="32" t="str">
        <x:f>IF(AND(O$8&lt;='Detalle'!$H342,O$9&gt;='Detalle'!$G342),1,"")</x:f>
      </x:c>
      <x:c r="P699" s="32" t="str">
        <x:f>IF(AND(P$8&lt;='Detalle'!$H342,P$9&gt;='Detalle'!$G342),1,"")</x:f>
      </x:c>
      <x:c r="Q699" s="68"/>
      <x:c r="R699" s="67" t="str">
        <x:f>IF('Detalle'!M342="","",'Detalle'!M342)</x:f>
      </x:c>
      <x:c r="S699" s="67" t="str">
        <x:f>IF('Detalle'!N342="","",'Detalle'!N342)</x:f>
      </x:c>
    </x:row>
    <x:row r="700" ht="16" customHeight="1">
      <x:c r="A700" s="56" t="str">
        <x:v>DIS01.012</x:v>
      </x:c>
      <x:c r="B700" s="57" t="str">
        <x:v>Diseñar Notificaciones v6</x:v>
      </x:c>
      <x:c r="C700" s="63" t="str">
        <x:v>R</x:v>
      </x:c>
      <x:c r="D700" s="65" t="str">
        <x:f>IF('Detalle'!L342="","",'Detalle'!L342)</x:f>
      </x:c>
      <x:c r="E700" s="60" t="str"/>
      <x:c r="F700" s="32" t="str">
        <x:f>IF(OR('Detalle'!$J342="",'Detalle'!$K342="",'Detalle'!$L342=""),"",IF(AND(F$8&lt;='Detalle'!$K342,F$9&gt;='Detalle'!$J342),1,""))</x:f>
      </x:c>
      <x:c r="G700" s="32" t="str">
        <x:f>IF(OR('Detalle'!$J342="",'Detalle'!$K342="",'Detalle'!$L342=""),"",IF(AND(G$8&lt;='Detalle'!$K342,G$9&gt;='Detalle'!$J342),1,""))</x:f>
      </x:c>
      <x:c r="H700" s="32" t="str">
        <x:f>IF(OR('Detalle'!$J342="",'Detalle'!$K342="",'Detalle'!$L342=""),"",IF(AND(H$8&lt;='Detalle'!$K342,H$9&gt;='Detalle'!$J342),1,""))</x:f>
      </x:c>
      <x:c r="I700" s="32" t="str">
        <x:f>IF(OR('Detalle'!$J342="",'Detalle'!$K342="",'Detalle'!$L342=""),"",IF(AND(I$8&lt;='Detalle'!$K342,I$9&gt;='Detalle'!$J342),1,""))</x:f>
      </x:c>
      <x:c r="J700" s="32" t="str">
        <x:f>IF(OR('Detalle'!$J342="",'Detalle'!$K342="",'Detalle'!$L342=""),"",IF(AND(J$8&lt;='Detalle'!$K342,J$9&gt;='Detalle'!$J342),1,""))</x:f>
      </x:c>
      <x:c r="K700" s="32" t="str">
        <x:f>IF(OR('Detalle'!$J342="",'Detalle'!$K342="",'Detalle'!$L342=""),"",IF(AND(K$8&lt;='Detalle'!$K342,K$9&gt;='Detalle'!$J342),1,""))</x:f>
      </x:c>
      <x:c r="L700" s="32" t="str">
        <x:f>IF(OR('Detalle'!$J342="",'Detalle'!$K342="",'Detalle'!$L342=""),"",IF(AND(L$8&lt;='Detalle'!$K342,L$9&gt;='Detalle'!$J342),1,""))</x:f>
      </x:c>
      <x:c r="M700" s="32" t="str">
        <x:f>IF(OR('Detalle'!$J342="",'Detalle'!$K342="",'Detalle'!$L342=""),"",IF(AND(M$8&lt;='Detalle'!$K342,M$9&gt;='Detalle'!$J342),1,""))</x:f>
      </x:c>
      <x:c r="N700" s="32" t="str">
        <x:f>IF(OR('Detalle'!$J342="",'Detalle'!$K342="",'Detalle'!$L342=""),"",IF(AND(N$8&lt;='Detalle'!$K342,N$9&gt;='Detalle'!$J342),1,""))</x:f>
      </x:c>
      <x:c r="O700" s="32" t="str">
        <x:f>IF(OR('Detalle'!$J342="",'Detalle'!$K342="",'Detalle'!$L342=""),"",IF(AND(O$8&lt;='Detalle'!$K342,O$9&gt;='Detalle'!$J342),1,""))</x:f>
      </x:c>
      <x:c r="P700" s="32" t="str">
        <x:f>IF(OR('Detalle'!$J342="",'Detalle'!$K342="",'Detalle'!$L342=""),"",IF(AND(P$8&lt;='Detalle'!$K342,P$9&gt;='Detalle'!$J342),1,""))</x:f>
      </x:c>
      <x:c r="Q700" s="68"/>
      <x:c r="R700" s="67" t="str"/>
      <x:c r="S700" s="67" t="str"/>
    </x:row>
    <x:row r="701" ht="16" customHeight="1">
      <x:c r="A701" s="56" t="str">
        <x:v>DIS01.013</x:v>
      </x:c>
      <x:c r="B701" s="57" t="str">
        <x:v>Retirar visor independiente de foto en v6</x:v>
      </x:c>
      <x:c r="C701" s="62" t="str">
        <x:v>E</x:v>
      </x:c>
      <x:c r="D701" s="64" t="n">
        <x:f>'Detalle'!I343</x:f>
        <x:v>1</x:v>
      </x:c>
      <x:c r="E701" s="60" t="str">
        <x:f>'Detalle'!F343</x:f>
        <x:v>Sustituido</x:v>
      </x:c>
      <x:c r="F701" s="32" t="str">
        <x:f>IF(AND(F$8&lt;='Detalle'!$H343,F$9&gt;='Detalle'!$G343),1,"")</x:f>
      </x:c>
      <x:c r="G701" s="32" t="str">
        <x:f>IF(AND(G$8&lt;='Detalle'!$H343,G$9&gt;='Detalle'!$G343),1,"")</x:f>
      </x:c>
      <x:c r="H701" s="32" t="str">
        <x:f>IF(AND(H$8&lt;='Detalle'!$H343,H$9&gt;='Detalle'!$G343),1,"")</x:f>
      </x:c>
      <x:c r="I701" s="32" t="n">
        <x:f>IF(AND(I$8&lt;='Detalle'!$H343,I$9&gt;='Detalle'!$G343),1,"")</x:f>
        <x:v>1</x:v>
      </x:c>
      <x:c r="J701" s="32" t="str">
        <x:f>IF(AND(J$8&lt;='Detalle'!$H343,J$9&gt;='Detalle'!$G343),1,"")</x:f>
      </x:c>
      <x:c r="K701" s="32" t="str">
        <x:f>IF(AND(K$8&lt;='Detalle'!$H343,K$9&gt;='Detalle'!$G343),1,"")</x:f>
      </x:c>
      <x:c r="L701" s="32" t="str">
        <x:f>IF(AND(L$8&lt;='Detalle'!$H343,L$9&gt;='Detalle'!$G343),1,"")</x:f>
      </x:c>
      <x:c r="M701" s="32" t="str">
        <x:f>IF(AND(M$8&lt;='Detalle'!$H343,M$9&gt;='Detalle'!$G343),1,"")</x:f>
      </x:c>
      <x:c r="N701" s="32" t="str">
        <x:f>IF(AND(N$8&lt;='Detalle'!$H343,N$9&gt;='Detalle'!$G343),1,"")</x:f>
      </x:c>
      <x:c r="O701" s="32" t="str">
        <x:f>IF(AND(O$8&lt;='Detalle'!$H343,O$9&gt;='Detalle'!$G343),1,"")</x:f>
      </x:c>
      <x:c r="P701" s="32" t="str">
        <x:f>IF(AND(P$8&lt;='Detalle'!$H343,P$9&gt;='Detalle'!$G343),1,"")</x:f>
      </x:c>
      <x:c r="Q701" s="68"/>
      <x:c r="R701" s="67" t="str">
        <x:f>IF('Detalle'!M343="","",'Detalle'!M343)</x:f>
      </x:c>
      <x:c r="S701" s="67" t="str">
        <x:f>IF('Detalle'!N343="","",'Detalle'!N343)</x:f>
      </x:c>
    </x:row>
    <x:row r="702" ht="16" customHeight="1">
      <x:c r="A702" s="56" t="str">
        <x:v>DIS01.013</x:v>
      </x:c>
      <x:c r="B702" s="57" t="str">
        <x:v>Retirar visor independiente de foto en v6</x:v>
      </x:c>
      <x:c r="C702" s="63" t="str">
        <x:v>R</x:v>
      </x:c>
      <x:c r="D702" s="65" t="str">
        <x:f>IF('Detalle'!L343="","",'Detalle'!L343)</x:f>
      </x:c>
      <x:c r="E702" s="60" t="str"/>
      <x:c r="F702" s="32" t="str">
        <x:f>IF(OR('Detalle'!$J343="",'Detalle'!$K343="",'Detalle'!$L343=""),"",IF(AND(F$8&lt;='Detalle'!$K343,F$9&gt;='Detalle'!$J343),1,""))</x:f>
      </x:c>
      <x:c r="G702" s="32" t="str">
        <x:f>IF(OR('Detalle'!$J343="",'Detalle'!$K343="",'Detalle'!$L343=""),"",IF(AND(G$8&lt;='Detalle'!$K343,G$9&gt;='Detalle'!$J343),1,""))</x:f>
      </x:c>
      <x:c r="H702" s="32" t="str">
        <x:f>IF(OR('Detalle'!$J343="",'Detalle'!$K343="",'Detalle'!$L343=""),"",IF(AND(H$8&lt;='Detalle'!$K343,H$9&gt;='Detalle'!$J343),1,""))</x:f>
      </x:c>
      <x:c r="I702" s="32" t="str">
        <x:f>IF(OR('Detalle'!$J343="",'Detalle'!$K343="",'Detalle'!$L343=""),"",IF(AND(I$8&lt;='Detalle'!$K343,I$9&gt;='Detalle'!$J343),1,""))</x:f>
      </x:c>
      <x:c r="J702" s="32" t="str">
        <x:f>IF(OR('Detalle'!$J343="",'Detalle'!$K343="",'Detalle'!$L343=""),"",IF(AND(J$8&lt;='Detalle'!$K343,J$9&gt;='Detalle'!$J343),1,""))</x:f>
      </x:c>
      <x:c r="K702" s="32" t="str">
        <x:f>IF(OR('Detalle'!$J343="",'Detalle'!$K343="",'Detalle'!$L343=""),"",IF(AND(K$8&lt;='Detalle'!$K343,K$9&gt;='Detalle'!$J343),1,""))</x:f>
      </x:c>
      <x:c r="L702" s="32" t="str">
        <x:f>IF(OR('Detalle'!$J343="",'Detalle'!$K343="",'Detalle'!$L343=""),"",IF(AND(L$8&lt;='Detalle'!$K343,L$9&gt;='Detalle'!$J343),1,""))</x:f>
      </x:c>
      <x:c r="M702" s="32" t="str">
        <x:f>IF(OR('Detalle'!$J343="",'Detalle'!$K343="",'Detalle'!$L343=""),"",IF(AND(M$8&lt;='Detalle'!$K343,M$9&gt;='Detalle'!$J343),1,""))</x:f>
      </x:c>
      <x:c r="N702" s="32" t="str">
        <x:f>IF(OR('Detalle'!$J343="",'Detalle'!$K343="",'Detalle'!$L343=""),"",IF(AND(N$8&lt;='Detalle'!$K343,N$9&gt;='Detalle'!$J343),1,""))</x:f>
      </x:c>
      <x:c r="O702" s="32" t="str">
        <x:f>IF(OR('Detalle'!$J343="",'Detalle'!$K343="",'Detalle'!$L343=""),"",IF(AND(O$8&lt;='Detalle'!$K343,O$9&gt;='Detalle'!$J343),1,""))</x:f>
      </x:c>
      <x:c r="P702" s="32" t="str">
        <x:f>IF(OR('Detalle'!$J343="",'Detalle'!$K343="",'Detalle'!$L343=""),"",IF(AND(P$8&lt;='Detalle'!$K343,P$9&gt;='Detalle'!$J343),1,""))</x:f>
      </x:c>
      <x:c r="Q702" s="68"/>
      <x:c r="R702" s="67" t="str"/>
      <x:c r="S702" s="67" t="str"/>
    </x:row>
    <x:row r="703" ht="16" customHeight="1">
      <x:c r="A703" s="56" t="str">
        <x:v>DIS01.014</x:v>
      </x:c>
      <x:c r="B703" s="57" t="str">
        <x:v>Corregir láminas v6</x:v>
      </x:c>
      <x:c r="C703" s="62" t="str">
        <x:v>E</x:v>
      </x:c>
      <x:c r="D703" s="64" t="n">
        <x:f>'Detalle'!I344</x:f>
        <x:v>1</x:v>
      </x:c>
      <x:c r="E703" s="60" t="str">
        <x:f>'Detalle'!F344</x:f>
        <x:v>Sustituido</x:v>
      </x:c>
      <x:c r="F703" s="32" t="str">
        <x:f>IF(AND(F$8&lt;='Detalle'!$H344,F$9&gt;='Detalle'!$G344),1,"")</x:f>
      </x:c>
      <x:c r="G703" s="32" t="str">
        <x:f>IF(AND(G$8&lt;='Detalle'!$H344,G$9&gt;='Detalle'!$G344),1,"")</x:f>
      </x:c>
      <x:c r="H703" s="32" t="str">
        <x:f>IF(AND(H$8&lt;='Detalle'!$H344,H$9&gt;='Detalle'!$G344),1,"")</x:f>
      </x:c>
      <x:c r="I703" s="32" t="n">
        <x:f>IF(AND(I$8&lt;='Detalle'!$H344,I$9&gt;='Detalle'!$G344),1,"")</x:f>
        <x:v>1</x:v>
      </x:c>
      <x:c r="J703" s="32" t="str">
        <x:f>IF(AND(J$8&lt;='Detalle'!$H344,J$9&gt;='Detalle'!$G344),1,"")</x:f>
      </x:c>
      <x:c r="K703" s="32" t="str">
        <x:f>IF(AND(K$8&lt;='Detalle'!$H344,K$9&gt;='Detalle'!$G344),1,"")</x:f>
      </x:c>
      <x:c r="L703" s="32" t="str">
        <x:f>IF(AND(L$8&lt;='Detalle'!$H344,L$9&gt;='Detalle'!$G344),1,"")</x:f>
      </x:c>
      <x:c r="M703" s="32" t="str">
        <x:f>IF(AND(M$8&lt;='Detalle'!$H344,M$9&gt;='Detalle'!$G344),1,"")</x:f>
      </x:c>
      <x:c r="N703" s="32" t="str">
        <x:f>IF(AND(N$8&lt;='Detalle'!$H344,N$9&gt;='Detalle'!$G344),1,"")</x:f>
      </x:c>
      <x:c r="O703" s="32" t="str">
        <x:f>IF(AND(O$8&lt;='Detalle'!$H344,O$9&gt;='Detalle'!$G344),1,"")</x:f>
      </x:c>
      <x:c r="P703" s="32" t="str">
        <x:f>IF(AND(P$8&lt;='Detalle'!$H344,P$9&gt;='Detalle'!$G344),1,"")</x:f>
      </x:c>
      <x:c r="Q703" s="68"/>
      <x:c r="R703" s="67" t="str">
        <x:f>IF('Detalle'!M344="","",'Detalle'!M344)</x:f>
      </x:c>
      <x:c r="S703" s="67" t="str">
        <x:f>IF('Detalle'!N344="","",'Detalle'!N344)</x:f>
      </x:c>
    </x:row>
    <x:row r="704" ht="16" customHeight="1">
      <x:c r="A704" s="56" t="str">
        <x:v>DIS01.014</x:v>
      </x:c>
      <x:c r="B704" s="57" t="str">
        <x:v>Corregir láminas v6</x:v>
      </x:c>
      <x:c r="C704" s="63" t="str">
        <x:v>R</x:v>
      </x:c>
      <x:c r="D704" s="65" t="str">
        <x:f>IF('Detalle'!L344="","",'Detalle'!L344)</x:f>
      </x:c>
      <x:c r="E704" s="60" t="str"/>
      <x:c r="F704" s="32" t="str">
        <x:f>IF(OR('Detalle'!$J344="",'Detalle'!$K344="",'Detalle'!$L344=""),"",IF(AND(F$8&lt;='Detalle'!$K344,F$9&gt;='Detalle'!$J344),1,""))</x:f>
      </x:c>
      <x:c r="G704" s="32" t="str">
        <x:f>IF(OR('Detalle'!$J344="",'Detalle'!$K344="",'Detalle'!$L344=""),"",IF(AND(G$8&lt;='Detalle'!$K344,G$9&gt;='Detalle'!$J344),1,""))</x:f>
      </x:c>
      <x:c r="H704" s="32" t="str">
        <x:f>IF(OR('Detalle'!$J344="",'Detalle'!$K344="",'Detalle'!$L344=""),"",IF(AND(H$8&lt;='Detalle'!$K344,H$9&gt;='Detalle'!$J344),1,""))</x:f>
      </x:c>
      <x:c r="I704" s="32" t="str">
        <x:f>IF(OR('Detalle'!$J344="",'Detalle'!$K344="",'Detalle'!$L344=""),"",IF(AND(I$8&lt;='Detalle'!$K344,I$9&gt;='Detalle'!$J344),1,""))</x:f>
      </x:c>
      <x:c r="J704" s="32" t="str">
        <x:f>IF(OR('Detalle'!$J344="",'Detalle'!$K344="",'Detalle'!$L344=""),"",IF(AND(J$8&lt;='Detalle'!$K344,J$9&gt;='Detalle'!$J344),1,""))</x:f>
      </x:c>
      <x:c r="K704" s="32" t="str">
        <x:f>IF(OR('Detalle'!$J344="",'Detalle'!$K344="",'Detalle'!$L344=""),"",IF(AND(K$8&lt;='Detalle'!$K344,K$9&gt;='Detalle'!$J344),1,""))</x:f>
      </x:c>
      <x:c r="L704" s="32" t="str">
        <x:f>IF(OR('Detalle'!$J344="",'Detalle'!$K344="",'Detalle'!$L344=""),"",IF(AND(L$8&lt;='Detalle'!$K344,L$9&gt;='Detalle'!$J344),1,""))</x:f>
      </x:c>
      <x:c r="M704" s="32" t="str">
        <x:f>IF(OR('Detalle'!$J344="",'Detalle'!$K344="",'Detalle'!$L344=""),"",IF(AND(M$8&lt;='Detalle'!$K344,M$9&gt;='Detalle'!$J344),1,""))</x:f>
      </x:c>
      <x:c r="N704" s="32" t="str">
        <x:f>IF(OR('Detalle'!$J344="",'Detalle'!$K344="",'Detalle'!$L344=""),"",IF(AND(N$8&lt;='Detalle'!$K344,N$9&gt;='Detalle'!$J344),1,""))</x:f>
      </x:c>
      <x:c r="O704" s="32" t="str">
        <x:f>IF(OR('Detalle'!$J344="",'Detalle'!$K344="",'Detalle'!$L344=""),"",IF(AND(O$8&lt;='Detalle'!$K344,O$9&gt;='Detalle'!$J344),1,""))</x:f>
      </x:c>
      <x:c r="P704" s="32" t="str">
        <x:f>IF(OR('Detalle'!$J344="",'Detalle'!$K344="",'Detalle'!$L344=""),"",IF(AND(P$8&lt;='Detalle'!$K344,P$9&gt;='Detalle'!$J344),1,""))</x:f>
      </x:c>
      <x:c r="Q704" s="68"/>
      <x:c r="R704" s="67" t="str"/>
      <x:c r="S704" s="67" t="str"/>
    </x:row>
    <x:row r="705" ht="16" customHeight="1">
      <x:c r="A705" s="56" t="str">
        <x:v>DIS01.015</x:v>
      </x:c>
      <x:c r="B705" s="57" t="str">
        <x:v>Archivar concepto social mobile redesign</x:v>
      </x:c>
      <x:c r="C705" s="62" t="str">
        <x:v>E</x:v>
      </x:c>
      <x:c r="D705" s="64" t="n">
        <x:f>'Detalle'!I345</x:f>
        <x:v>1</x:v>
      </x:c>
      <x:c r="E705" s="60" t="str">
        <x:f>'Detalle'!F345</x:f>
        <x:v>Sustituido</x:v>
      </x:c>
      <x:c r="F705" s="32" t="str">
        <x:f>IF(AND(F$8&lt;='Detalle'!$H345,F$9&gt;='Detalle'!$G345),1,"")</x:f>
      </x:c>
      <x:c r="G705" s="32" t="str">
        <x:f>IF(AND(G$8&lt;='Detalle'!$H345,G$9&gt;='Detalle'!$G345),1,"")</x:f>
      </x:c>
      <x:c r="H705" s="32" t="str">
        <x:f>IF(AND(H$8&lt;='Detalle'!$H345,H$9&gt;='Detalle'!$G345),1,"")</x:f>
      </x:c>
      <x:c r="I705" s="32" t="n">
        <x:f>IF(AND(I$8&lt;='Detalle'!$H345,I$9&gt;='Detalle'!$G345),1,"")</x:f>
        <x:v>1</x:v>
      </x:c>
      <x:c r="J705" s="32" t="str">
        <x:f>IF(AND(J$8&lt;='Detalle'!$H345,J$9&gt;='Detalle'!$G345),1,"")</x:f>
      </x:c>
      <x:c r="K705" s="32" t="str">
        <x:f>IF(AND(K$8&lt;='Detalle'!$H345,K$9&gt;='Detalle'!$G345),1,"")</x:f>
      </x:c>
      <x:c r="L705" s="32" t="str">
        <x:f>IF(AND(L$8&lt;='Detalle'!$H345,L$9&gt;='Detalle'!$G345),1,"")</x:f>
      </x:c>
      <x:c r="M705" s="32" t="str">
        <x:f>IF(AND(M$8&lt;='Detalle'!$H345,M$9&gt;='Detalle'!$G345),1,"")</x:f>
      </x:c>
      <x:c r="N705" s="32" t="str">
        <x:f>IF(AND(N$8&lt;='Detalle'!$H345,N$9&gt;='Detalle'!$G345),1,"")</x:f>
      </x:c>
      <x:c r="O705" s="32" t="str">
        <x:f>IF(AND(O$8&lt;='Detalle'!$H345,O$9&gt;='Detalle'!$G345),1,"")</x:f>
      </x:c>
      <x:c r="P705" s="32" t="str">
        <x:f>IF(AND(P$8&lt;='Detalle'!$H345,P$9&gt;='Detalle'!$G345),1,"")</x:f>
      </x:c>
      <x:c r="Q705" s="68"/>
      <x:c r="R705" s="67" t="str">
        <x:f>IF('Detalle'!M345="","",'Detalle'!M345)</x:f>
      </x:c>
      <x:c r="S705" s="67" t="str">
        <x:f>IF('Detalle'!N345="","",'Detalle'!N345)</x:f>
      </x:c>
    </x:row>
    <x:row r="706" ht="16" customHeight="1">
      <x:c r="A706" s="56" t="str">
        <x:v>DIS01.015</x:v>
      </x:c>
      <x:c r="B706" s="57" t="str">
        <x:v>Archivar concepto social mobile redesign</x:v>
      </x:c>
      <x:c r="C706" s="63" t="str">
        <x:v>R</x:v>
      </x:c>
      <x:c r="D706" s="65" t="str">
        <x:f>IF('Detalle'!L345="","",'Detalle'!L345)</x:f>
      </x:c>
      <x:c r="E706" s="60" t="str"/>
      <x:c r="F706" s="32" t="str">
        <x:f>IF(OR('Detalle'!$J345="",'Detalle'!$K345="",'Detalle'!$L345=""),"",IF(AND(F$8&lt;='Detalle'!$K345,F$9&gt;='Detalle'!$J345),1,""))</x:f>
      </x:c>
      <x:c r="G706" s="32" t="str">
        <x:f>IF(OR('Detalle'!$J345="",'Detalle'!$K345="",'Detalle'!$L345=""),"",IF(AND(G$8&lt;='Detalle'!$K345,G$9&gt;='Detalle'!$J345),1,""))</x:f>
      </x:c>
      <x:c r="H706" s="32" t="str">
        <x:f>IF(OR('Detalle'!$J345="",'Detalle'!$K345="",'Detalle'!$L345=""),"",IF(AND(H$8&lt;='Detalle'!$K345,H$9&gt;='Detalle'!$J345),1,""))</x:f>
      </x:c>
      <x:c r="I706" s="32" t="str">
        <x:f>IF(OR('Detalle'!$J345="",'Detalle'!$K345="",'Detalle'!$L345=""),"",IF(AND(I$8&lt;='Detalle'!$K345,I$9&gt;='Detalle'!$J345),1,""))</x:f>
      </x:c>
      <x:c r="J706" s="32" t="str">
        <x:f>IF(OR('Detalle'!$J345="",'Detalle'!$K345="",'Detalle'!$L345=""),"",IF(AND(J$8&lt;='Detalle'!$K345,J$9&gt;='Detalle'!$J345),1,""))</x:f>
      </x:c>
      <x:c r="K706" s="32" t="str">
        <x:f>IF(OR('Detalle'!$J345="",'Detalle'!$K345="",'Detalle'!$L345=""),"",IF(AND(K$8&lt;='Detalle'!$K345,K$9&gt;='Detalle'!$J345),1,""))</x:f>
      </x:c>
      <x:c r="L706" s="32" t="str">
        <x:f>IF(OR('Detalle'!$J345="",'Detalle'!$K345="",'Detalle'!$L345=""),"",IF(AND(L$8&lt;='Detalle'!$K345,L$9&gt;='Detalle'!$J345),1,""))</x:f>
      </x:c>
      <x:c r="M706" s="32" t="str">
        <x:f>IF(OR('Detalle'!$J345="",'Detalle'!$K345="",'Detalle'!$L345=""),"",IF(AND(M$8&lt;='Detalle'!$K345,M$9&gt;='Detalle'!$J345),1,""))</x:f>
      </x:c>
      <x:c r="N706" s="32" t="str">
        <x:f>IF(OR('Detalle'!$J345="",'Detalle'!$K345="",'Detalle'!$L345=""),"",IF(AND(N$8&lt;='Detalle'!$K345,N$9&gt;='Detalle'!$J345),1,""))</x:f>
      </x:c>
      <x:c r="O706" s="32" t="str">
        <x:f>IF(OR('Detalle'!$J345="",'Detalle'!$K345="",'Detalle'!$L345=""),"",IF(AND(O$8&lt;='Detalle'!$K345,O$9&gt;='Detalle'!$J345),1,""))</x:f>
      </x:c>
      <x:c r="P706" s="32" t="str">
        <x:f>IF(OR('Detalle'!$J345="",'Detalle'!$K345="",'Detalle'!$L345=""),"",IF(AND(P$8&lt;='Detalle'!$K345,P$9&gt;='Detalle'!$J345),1,""))</x:f>
      </x:c>
      <x:c r="Q706" s="68"/>
      <x:c r="R706" s="67" t="str"/>
      <x:c r="S706" s="67" t="str"/>
    </x:row>
    <x:row r="707" ht="16" customHeight="1">
      <x:c r="A707" s="56" t="str">
        <x:v>DIS01.016</x:v>
      </x:c>
      <x:c r="B707" s="57" t="str">
        <x:v>Archivar concepto mobile social UI</x:v>
      </x:c>
      <x:c r="C707" s="62" t="str">
        <x:v>E</x:v>
      </x:c>
      <x:c r="D707" s="64" t="n">
        <x:f>'Detalle'!I346</x:f>
        <x:v>1</x:v>
      </x:c>
      <x:c r="E707" s="60" t="str">
        <x:f>'Detalle'!F346</x:f>
        <x:v>Sustituido</x:v>
      </x:c>
      <x:c r="F707" s="32" t="str">
        <x:f>IF(AND(F$8&lt;='Detalle'!$H346,F$9&gt;='Detalle'!$G346),1,"")</x:f>
      </x:c>
      <x:c r="G707" s="32" t="str">
        <x:f>IF(AND(G$8&lt;='Detalle'!$H346,G$9&gt;='Detalle'!$G346),1,"")</x:f>
      </x:c>
      <x:c r="H707" s="32" t="str">
        <x:f>IF(AND(H$8&lt;='Detalle'!$H346,H$9&gt;='Detalle'!$G346),1,"")</x:f>
      </x:c>
      <x:c r="I707" s="32" t="n">
        <x:f>IF(AND(I$8&lt;='Detalle'!$H346,I$9&gt;='Detalle'!$G346),1,"")</x:f>
        <x:v>1</x:v>
      </x:c>
      <x:c r="J707" s="32" t="str">
        <x:f>IF(AND(J$8&lt;='Detalle'!$H346,J$9&gt;='Detalle'!$G346),1,"")</x:f>
      </x:c>
      <x:c r="K707" s="32" t="str">
        <x:f>IF(AND(K$8&lt;='Detalle'!$H346,K$9&gt;='Detalle'!$G346),1,"")</x:f>
      </x:c>
      <x:c r="L707" s="32" t="str">
        <x:f>IF(AND(L$8&lt;='Detalle'!$H346,L$9&gt;='Detalle'!$G346),1,"")</x:f>
      </x:c>
      <x:c r="M707" s="32" t="str">
        <x:f>IF(AND(M$8&lt;='Detalle'!$H346,M$9&gt;='Detalle'!$G346),1,"")</x:f>
      </x:c>
      <x:c r="N707" s="32" t="str">
        <x:f>IF(AND(N$8&lt;='Detalle'!$H346,N$9&gt;='Detalle'!$G346),1,"")</x:f>
      </x:c>
      <x:c r="O707" s="32" t="str">
        <x:f>IF(AND(O$8&lt;='Detalle'!$H346,O$9&gt;='Detalle'!$G346),1,"")</x:f>
      </x:c>
      <x:c r="P707" s="32" t="str">
        <x:f>IF(AND(P$8&lt;='Detalle'!$H346,P$9&gt;='Detalle'!$G346),1,"")</x:f>
      </x:c>
      <x:c r="Q707" s="68"/>
      <x:c r="R707" s="67" t="str">
        <x:f>IF('Detalle'!M346="","",'Detalle'!M346)</x:f>
      </x:c>
      <x:c r="S707" s="67" t="str">
        <x:f>IF('Detalle'!N346="","",'Detalle'!N346)</x:f>
      </x:c>
    </x:row>
    <x:row r="708" ht="16" customHeight="1">
      <x:c r="A708" s="56" t="str">
        <x:v>DIS01.016</x:v>
      </x:c>
      <x:c r="B708" s="57" t="str">
        <x:v>Archivar concepto mobile social UI</x:v>
      </x:c>
      <x:c r="C708" s="63" t="str">
        <x:v>R</x:v>
      </x:c>
      <x:c r="D708" s="65" t="str">
        <x:f>IF('Detalle'!L346="","",'Detalle'!L346)</x:f>
      </x:c>
      <x:c r="E708" s="60" t="str"/>
      <x:c r="F708" s="32" t="str">
        <x:f>IF(OR('Detalle'!$J346="",'Detalle'!$K346="",'Detalle'!$L346=""),"",IF(AND(F$8&lt;='Detalle'!$K346,F$9&gt;='Detalle'!$J346),1,""))</x:f>
      </x:c>
      <x:c r="G708" s="32" t="str">
        <x:f>IF(OR('Detalle'!$J346="",'Detalle'!$K346="",'Detalle'!$L346=""),"",IF(AND(G$8&lt;='Detalle'!$K346,G$9&gt;='Detalle'!$J346),1,""))</x:f>
      </x:c>
      <x:c r="H708" s="32" t="str">
        <x:f>IF(OR('Detalle'!$J346="",'Detalle'!$K346="",'Detalle'!$L346=""),"",IF(AND(H$8&lt;='Detalle'!$K346,H$9&gt;='Detalle'!$J346),1,""))</x:f>
      </x:c>
      <x:c r="I708" s="32" t="str">
        <x:f>IF(OR('Detalle'!$J346="",'Detalle'!$K346="",'Detalle'!$L346=""),"",IF(AND(I$8&lt;='Detalle'!$K346,I$9&gt;='Detalle'!$J346),1,""))</x:f>
      </x:c>
      <x:c r="J708" s="32" t="str">
        <x:f>IF(OR('Detalle'!$J346="",'Detalle'!$K346="",'Detalle'!$L346=""),"",IF(AND(J$8&lt;='Detalle'!$K346,J$9&gt;='Detalle'!$J346),1,""))</x:f>
      </x:c>
      <x:c r="K708" s="32" t="str">
        <x:f>IF(OR('Detalle'!$J346="",'Detalle'!$K346="",'Detalle'!$L346=""),"",IF(AND(K$8&lt;='Detalle'!$K346,K$9&gt;='Detalle'!$J346),1,""))</x:f>
      </x:c>
      <x:c r="L708" s="32" t="str">
        <x:f>IF(OR('Detalle'!$J346="",'Detalle'!$K346="",'Detalle'!$L346=""),"",IF(AND(L$8&lt;='Detalle'!$K346,L$9&gt;='Detalle'!$J346),1,""))</x:f>
      </x:c>
      <x:c r="M708" s="32" t="str">
        <x:f>IF(OR('Detalle'!$J346="",'Detalle'!$K346="",'Detalle'!$L346=""),"",IF(AND(M$8&lt;='Detalle'!$K346,M$9&gt;='Detalle'!$J346),1,""))</x:f>
      </x:c>
      <x:c r="N708" s="32" t="str">
        <x:f>IF(OR('Detalle'!$J346="",'Detalle'!$K346="",'Detalle'!$L346=""),"",IF(AND(N$8&lt;='Detalle'!$K346,N$9&gt;='Detalle'!$J346),1,""))</x:f>
      </x:c>
      <x:c r="O708" s="32" t="str">
        <x:f>IF(OR('Detalle'!$J346="",'Detalle'!$K346="",'Detalle'!$L346=""),"",IF(AND(O$8&lt;='Detalle'!$K346,O$9&gt;='Detalle'!$J346),1,""))</x:f>
      </x:c>
      <x:c r="P708" s="32" t="str">
        <x:f>IF(OR('Detalle'!$J346="",'Detalle'!$K346="",'Detalle'!$L346=""),"",IF(AND(P$8&lt;='Detalle'!$K346,P$9&gt;='Detalle'!$J346),1,""))</x:f>
      </x:c>
      <x:c r="Q708" s="68"/>
      <x:c r="R708" s="67" t="str"/>
      <x:c r="S708" s="67" t="str"/>
    </x:row>
    <x:row r="709" ht="20" customHeight="1">
      <x:c r="A709" s="52" t="str">
        <x:v>DIS02 · Acabado v7 e identidad oficial</x:v>
      </x:c>
      <x:c r="B709" s="52" t="str">
        <x:v>DIS02 · Acabado v7 e identidad oficial</x:v>
      </x:c>
      <x:c r="C709" s="52" t="str">
        <x:v>DIS02 · Acabado v7 e identidad oficial</x:v>
      </x:c>
      <x:c r="D709" s="52" t="str">
        <x:v>DIS02 · Acabado v7 e identidad oficial</x:v>
      </x:c>
      <x:c r="E709" s="52" t="str">
        <x:v>DIS02 · Acabado v7 e identidad oficial</x:v>
      </x:c>
      <x:c r="F709" s="53" t="str">
        <x:v>DIS02 · Acabado v7 e identidad oficial</x:v>
      </x:c>
      <x:c r="G709" s="53" t="str">
        <x:v>DIS02 · Acabado v7 e identidad oficial</x:v>
      </x:c>
      <x:c r="H709" s="53" t="str">
        <x:v>DIS02 · Acabado v7 e identidad oficial</x:v>
      </x:c>
      <x:c r="I709" s="53" t="str">
        <x:v>DIS02 · Acabado v7 e identidad oficial</x:v>
      </x:c>
      <x:c r="J709" s="53" t="str">
        <x:v>DIS02 · Acabado v7 e identidad oficial</x:v>
      </x:c>
      <x:c r="K709" s="53" t="str">
        <x:v>DIS02 · Acabado v7 e identidad oficial</x:v>
      </x:c>
      <x:c r="L709" s="53" t="str">
        <x:v>DIS02 · Acabado v7 e identidad oficial</x:v>
      </x:c>
      <x:c r="M709" s="53" t="str">
        <x:v>DIS02 · Acabado v7 e identidad oficial</x:v>
      </x:c>
      <x:c r="N709" s="53" t="str">
        <x:v>DIS02 · Acabado v7 e identidad oficial</x:v>
      </x:c>
      <x:c r="O709" s="53" t="str">
        <x:v>DIS02 · Acabado v7 e identidad oficial</x:v>
      </x:c>
      <x:c r="P709" s="53" t="str">
        <x:v>DIS02 · Acabado v7 e identidad oficial</x:v>
      </x:c>
      <x:c r="Q709" s="52" t="str">
        <x:v>DIS02 · Acabado v7 e identidad oficial</x:v>
      </x:c>
      <x:c r="R709" s="52" t="str">
        <x:v>DIS02 · Acabado v7 e identidad oficial</x:v>
      </x:c>
      <x:c r="S709" s="52" t="str">
        <x:v>DIS02 · Acabado v7 e identidad oficial</x:v>
      </x:c>
    </x:row>
    <x:row r="710" ht="16" customHeight="1">
      <x:c r="A710" s="56" t="str">
        <x:v>DIS02.001</x:v>
      </x:c>
      <x:c r="B710" s="57" t="str">
        <x:v>Definir paleta neutral del acabado v7</x:v>
      </x:c>
      <x:c r="C710" s="62" t="str">
        <x:v>E</x:v>
      </x:c>
      <x:c r="D710" s="64" t="n">
        <x:f>'Detalle'!I347</x:f>
        <x:v>1</x:v>
      </x:c>
      <x:c r="E710" s="60" t="str">
        <x:f>'Detalle'!F347</x:f>
        <x:v>Completado</x:v>
      </x:c>
      <x:c r="F710" s="32" t="str">
        <x:f>IF(AND(F$8&lt;='Detalle'!$H347,F$9&gt;='Detalle'!$G347),1,"")</x:f>
      </x:c>
      <x:c r="G710" s="32" t="str">
        <x:f>IF(AND(G$8&lt;='Detalle'!$H347,G$9&gt;='Detalle'!$G347),1,"")</x:f>
      </x:c>
      <x:c r="H710" s="32" t="str">
        <x:f>IF(AND(H$8&lt;='Detalle'!$H347,H$9&gt;='Detalle'!$G347),1,"")</x:f>
      </x:c>
      <x:c r="I710" s="32" t="n">
        <x:f>IF(AND(I$8&lt;='Detalle'!$H347,I$9&gt;='Detalle'!$G347),1,"")</x:f>
        <x:v>1</x:v>
      </x:c>
      <x:c r="J710" s="32" t="str">
        <x:f>IF(AND(J$8&lt;='Detalle'!$H347,J$9&gt;='Detalle'!$G347),1,"")</x:f>
      </x:c>
      <x:c r="K710" s="32" t="str">
        <x:f>IF(AND(K$8&lt;='Detalle'!$H347,K$9&gt;='Detalle'!$G347),1,"")</x:f>
      </x:c>
      <x:c r="L710" s="32" t="str">
        <x:f>IF(AND(L$8&lt;='Detalle'!$H347,L$9&gt;='Detalle'!$G347),1,"")</x:f>
      </x:c>
      <x:c r="M710" s="32" t="str">
        <x:f>IF(AND(M$8&lt;='Detalle'!$H347,M$9&gt;='Detalle'!$G347),1,"")</x:f>
      </x:c>
      <x:c r="N710" s="32" t="str">
        <x:f>IF(AND(N$8&lt;='Detalle'!$H347,N$9&gt;='Detalle'!$G347),1,"")</x:f>
      </x:c>
      <x:c r="O710" s="32" t="str">
        <x:f>IF(AND(O$8&lt;='Detalle'!$H347,O$9&gt;='Detalle'!$G347),1,"")</x:f>
      </x:c>
      <x:c r="P710" s="32" t="str">
        <x:f>IF(AND(P$8&lt;='Detalle'!$H347,P$9&gt;='Detalle'!$G347),1,"")</x:f>
      </x:c>
      <x:c r="Q710" s="68"/>
      <x:c r="R710" s="67" t="str">
        <x:f>IF('Detalle'!M347="","",'Detalle'!M347)</x:f>
      </x:c>
      <x:c r="S710" s="67" t="str">
        <x:f>IF('Detalle'!N347="","",'Detalle'!N347)</x:f>
      </x:c>
    </x:row>
    <x:row r="711" ht="16" customHeight="1">
      <x:c r="A711" s="56" t="str">
        <x:v>DIS02.001</x:v>
      </x:c>
      <x:c r="B711" s="57" t="str">
        <x:v>Definir paleta neutral del acabado v7</x:v>
      </x:c>
      <x:c r="C711" s="63" t="str">
        <x:v>R</x:v>
      </x:c>
      <x:c r="D711" s="65" t="str">
        <x:f>IF('Detalle'!L347="","",'Detalle'!L347)</x:f>
      </x:c>
      <x:c r="E711" s="60" t="str"/>
      <x:c r="F711" s="32" t="str">
        <x:f>IF(OR('Detalle'!$J347="",'Detalle'!$K347="",'Detalle'!$L347=""),"",IF(AND(F$8&lt;='Detalle'!$K347,F$9&gt;='Detalle'!$J347),1,""))</x:f>
      </x:c>
      <x:c r="G711" s="32" t="str">
        <x:f>IF(OR('Detalle'!$J347="",'Detalle'!$K347="",'Detalle'!$L347=""),"",IF(AND(G$8&lt;='Detalle'!$K347,G$9&gt;='Detalle'!$J347),1,""))</x:f>
      </x:c>
      <x:c r="H711" s="32" t="str">
        <x:f>IF(OR('Detalle'!$J347="",'Detalle'!$K347="",'Detalle'!$L347=""),"",IF(AND(H$8&lt;='Detalle'!$K347,H$9&gt;='Detalle'!$J347),1,""))</x:f>
      </x:c>
      <x:c r="I711" s="32" t="str">
        <x:f>IF(OR('Detalle'!$J347="",'Detalle'!$K347="",'Detalle'!$L347=""),"",IF(AND(I$8&lt;='Detalle'!$K347,I$9&gt;='Detalle'!$J347),1,""))</x:f>
      </x:c>
      <x:c r="J711" s="32" t="str">
        <x:f>IF(OR('Detalle'!$J347="",'Detalle'!$K347="",'Detalle'!$L347=""),"",IF(AND(J$8&lt;='Detalle'!$K347,J$9&gt;='Detalle'!$J347),1,""))</x:f>
      </x:c>
      <x:c r="K711" s="32" t="str">
        <x:f>IF(OR('Detalle'!$J347="",'Detalle'!$K347="",'Detalle'!$L347=""),"",IF(AND(K$8&lt;='Detalle'!$K347,K$9&gt;='Detalle'!$J347),1,""))</x:f>
      </x:c>
      <x:c r="L711" s="32" t="str">
        <x:f>IF(OR('Detalle'!$J347="",'Detalle'!$K347="",'Detalle'!$L347=""),"",IF(AND(L$8&lt;='Detalle'!$K347,L$9&gt;='Detalle'!$J347),1,""))</x:f>
      </x:c>
      <x:c r="M711" s="32" t="str">
        <x:f>IF(OR('Detalle'!$J347="",'Detalle'!$K347="",'Detalle'!$L347=""),"",IF(AND(M$8&lt;='Detalle'!$K347,M$9&gt;='Detalle'!$J347),1,""))</x:f>
      </x:c>
      <x:c r="N711" s="32" t="str">
        <x:f>IF(OR('Detalle'!$J347="",'Detalle'!$K347="",'Detalle'!$L347=""),"",IF(AND(N$8&lt;='Detalle'!$K347,N$9&gt;='Detalle'!$J347),1,""))</x:f>
      </x:c>
      <x:c r="O711" s="32" t="str">
        <x:f>IF(OR('Detalle'!$J347="",'Detalle'!$K347="",'Detalle'!$L347=""),"",IF(AND(O$8&lt;='Detalle'!$K347,O$9&gt;='Detalle'!$J347),1,""))</x:f>
      </x:c>
      <x:c r="P711" s="32" t="str">
        <x:f>IF(OR('Detalle'!$J347="",'Detalle'!$K347="",'Detalle'!$L347=""),"",IF(AND(P$8&lt;='Detalle'!$K347,P$9&gt;='Detalle'!$J347),1,""))</x:f>
      </x:c>
      <x:c r="Q711" s="68"/>
      <x:c r="R711" s="67" t="str"/>
      <x:c r="S711" s="67" t="str"/>
    </x:row>
    <x:row r="712" ht="16" customHeight="1">
      <x:c r="A712" s="56" t="str">
        <x:v>DIS02.002</x:v>
      </x:c>
      <x:c r="B712" s="57" t="str">
        <x:v>Definir profundidad de superficies</x:v>
      </x:c>
      <x:c r="C712" s="62" t="str">
        <x:v>E</x:v>
      </x:c>
      <x:c r="D712" s="64" t="n">
        <x:f>'Detalle'!I348</x:f>
        <x:v>1</x:v>
      </x:c>
      <x:c r="E712" s="60" t="str">
        <x:f>'Detalle'!F348</x:f>
        <x:v>Completado</x:v>
      </x:c>
      <x:c r="F712" s="32" t="str">
        <x:f>IF(AND(F$8&lt;='Detalle'!$H348,F$9&gt;='Detalle'!$G348),1,"")</x:f>
      </x:c>
      <x:c r="G712" s="32" t="str">
        <x:f>IF(AND(G$8&lt;='Detalle'!$H348,G$9&gt;='Detalle'!$G348),1,"")</x:f>
      </x:c>
      <x:c r="H712" s="32" t="str">
        <x:f>IF(AND(H$8&lt;='Detalle'!$H348,H$9&gt;='Detalle'!$G348),1,"")</x:f>
      </x:c>
      <x:c r="I712" s="32" t="n">
        <x:f>IF(AND(I$8&lt;='Detalle'!$H348,I$9&gt;='Detalle'!$G348),1,"")</x:f>
        <x:v>1</x:v>
      </x:c>
      <x:c r="J712" s="32" t="str">
        <x:f>IF(AND(J$8&lt;='Detalle'!$H348,J$9&gt;='Detalle'!$G348),1,"")</x:f>
      </x:c>
      <x:c r="K712" s="32" t="str">
        <x:f>IF(AND(K$8&lt;='Detalle'!$H348,K$9&gt;='Detalle'!$G348),1,"")</x:f>
      </x:c>
      <x:c r="L712" s="32" t="str">
        <x:f>IF(AND(L$8&lt;='Detalle'!$H348,L$9&gt;='Detalle'!$G348),1,"")</x:f>
      </x:c>
      <x:c r="M712" s="32" t="str">
        <x:f>IF(AND(M$8&lt;='Detalle'!$H348,M$9&gt;='Detalle'!$G348),1,"")</x:f>
      </x:c>
      <x:c r="N712" s="32" t="str">
        <x:f>IF(AND(N$8&lt;='Detalle'!$H348,N$9&gt;='Detalle'!$G348),1,"")</x:f>
      </x:c>
      <x:c r="O712" s="32" t="str">
        <x:f>IF(AND(O$8&lt;='Detalle'!$H348,O$9&gt;='Detalle'!$G348),1,"")</x:f>
      </x:c>
      <x:c r="P712" s="32" t="str">
        <x:f>IF(AND(P$8&lt;='Detalle'!$H348,P$9&gt;='Detalle'!$G348),1,"")</x:f>
      </x:c>
      <x:c r="Q712" s="68"/>
      <x:c r="R712" s="67" t="str">
        <x:f>IF('Detalle'!M348="","",'Detalle'!M348)</x:f>
      </x:c>
      <x:c r="S712" s="67" t="str">
        <x:f>IF('Detalle'!N348="","",'Detalle'!N348)</x:f>
      </x:c>
    </x:row>
    <x:row r="713" ht="16" customHeight="1">
      <x:c r="A713" s="56" t="str">
        <x:v>DIS02.002</x:v>
      </x:c>
      <x:c r="B713" s="57" t="str">
        <x:v>Definir profundidad de superficies</x:v>
      </x:c>
      <x:c r="C713" s="63" t="str">
        <x:v>R</x:v>
      </x:c>
      <x:c r="D713" s="65" t="str">
        <x:f>IF('Detalle'!L348="","",'Detalle'!L348)</x:f>
      </x:c>
      <x:c r="E713" s="60" t="str"/>
      <x:c r="F713" s="32" t="str">
        <x:f>IF(OR('Detalle'!$J348="",'Detalle'!$K348="",'Detalle'!$L348=""),"",IF(AND(F$8&lt;='Detalle'!$K348,F$9&gt;='Detalle'!$J348),1,""))</x:f>
      </x:c>
      <x:c r="G713" s="32" t="str">
        <x:f>IF(OR('Detalle'!$J348="",'Detalle'!$K348="",'Detalle'!$L348=""),"",IF(AND(G$8&lt;='Detalle'!$K348,G$9&gt;='Detalle'!$J348),1,""))</x:f>
      </x:c>
      <x:c r="H713" s="32" t="str">
        <x:f>IF(OR('Detalle'!$J348="",'Detalle'!$K348="",'Detalle'!$L348=""),"",IF(AND(H$8&lt;='Detalle'!$K348,H$9&gt;='Detalle'!$J348),1,""))</x:f>
      </x:c>
      <x:c r="I713" s="32" t="str">
        <x:f>IF(OR('Detalle'!$J348="",'Detalle'!$K348="",'Detalle'!$L348=""),"",IF(AND(I$8&lt;='Detalle'!$K348,I$9&gt;='Detalle'!$J348),1,""))</x:f>
      </x:c>
      <x:c r="J713" s="32" t="str">
        <x:f>IF(OR('Detalle'!$J348="",'Detalle'!$K348="",'Detalle'!$L348=""),"",IF(AND(J$8&lt;='Detalle'!$K348,J$9&gt;='Detalle'!$J348),1,""))</x:f>
      </x:c>
      <x:c r="K713" s="32" t="str">
        <x:f>IF(OR('Detalle'!$J348="",'Detalle'!$K348="",'Detalle'!$L348=""),"",IF(AND(K$8&lt;='Detalle'!$K348,K$9&gt;='Detalle'!$J348),1,""))</x:f>
      </x:c>
      <x:c r="L713" s="32" t="str">
        <x:f>IF(OR('Detalle'!$J348="",'Detalle'!$K348="",'Detalle'!$L348=""),"",IF(AND(L$8&lt;='Detalle'!$K348,L$9&gt;='Detalle'!$J348),1,""))</x:f>
      </x:c>
      <x:c r="M713" s="32" t="str">
        <x:f>IF(OR('Detalle'!$J348="",'Detalle'!$K348="",'Detalle'!$L348=""),"",IF(AND(M$8&lt;='Detalle'!$K348,M$9&gt;='Detalle'!$J348),1,""))</x:f>
      </x:c>
      <x:c r="N713" s="32" t="str">
        <x:f>IF(OR('Detalle'!$J348="",'Detalle'!$K348="",'Detalle'!$L348=""),"",IF(AND(N$8&lt;='Detalle'!$K348,N$9&gt;='Detalle'!$J348),1,""))</x:f>
      </x:c>
      <x:c r="O713" s="32" t="str">
        <x:f>IF(OR('Detalle'!$J348="",'Detalle'!$K348="",'Detalle'!$L348=""),"",IF(AND(O$8&lt;='Detalle'!$K348,O$9&gt;='Detalle'!$J348),1,""))</x:f>
      </x:c>
      <x:c r="P713" s="32" t="str">
        <x:f>IF(OR('Detalle'!$J348="",'Detalle'!$K348="",'Detalle'!$L348=""),"",IF(AND(P$8&lt;='Detalle'!$K348,P$9&gt;='Detalle'!$J348),1,""))</x:f>
      </x:c>
      <x:c r="Q713" s="68"/>
      <x:c r="R713" s="67" t="str"/>
      <x:c r="S713" s="67" t="str"/>
    </x:row>
    <x:row r="714" ht="16" customHeight="1">
      <x:c r="A714" s="56" t="str">
        <x:v>DIS02.003</x:v>
      </x:c>
      <x:c r="B714" s="57" t="str">
        <x:v>Diseñar cápsula de navegación web</x:v>
      </x:c>
      <x:c r="C714" s="62" t="str">
        <x:v>E</x:v>
      </x:c>
      <x:c r="D714" s="64" t="n">
        <x:f>'Detalle'!I349</x:f>
        <x:v>1</x:v>
      </x:c>
      <x:c r="E714" s="60" t="str">
        <x:f>'Detalle'!F349</x:f>
        <x:v>Completado</x:v>
      </x:c>
      <x:c r="F714" s="32" t="str">
        <x:f>IF(AND(F$8&lt;='Detalle'!$H349,F$9&gt;='Detalle'!$G349),1,"")</x:f>
      </x:c>
      <x:c r="G714" s="32" t="str">
        <x:f>IF(AND(G$8&lt;='Detalle'!$H349,G$9&gt;='Detalle'!$G349),1,"")</x:f>
      </x:c>
      <x:c r="H714" s="32" t="str">
        <x:f>IF(AND(H$8&lt;='Detalle'!$H349,H$9&gt;='Detalle'!$G349),1,"")</x:f>
      </x:c>
      <x:c r="I714" s="32" t="n">
        <x:f>IF(AND(I$8&lt;='Detalle'!$H349,I$9&gt;='Detalle'!$G349),1,"")</x:f>
        <x:v>1</x:v>
      </x:c>
      <x:c r="J714" s="32" t="str">
        <x:f>IF(AND(J$8&lt;='Detalle'!$H349,J$9&gt;='Detalle'!$G349),1,"")</x:f>
      </x:c>
      <x:c r="K714" s="32" t="str">
        <x:f>IF(AND(K$8&lt;='Detalle'!$H349,K$9&gt;='Detalle'!$G349),1,"")</x:f>
      </x:c>
      <x:c r="L714" s="32" t="str">
        <x:f>IF(AND(L$8&lt;='Detalle'!$H349,L$9&gt;='Detalle'!$G349),1,"")</x:f>
      </x:c>
      <x:c r="M714" s="32" t="str">
        <x:f>IF(AND(M$8&lt;='Detalle'!$H349,M$9&gt;='Detalle'!$G349),1,"")</x:f>
      </x:c>
      <x:c r="N714" s="32" t="str">
        <x:f>IF(AND(N$8&lt;='Detalle'!$H349,N$9&gt;='Detalle'!$G349),1,"")</x:f>
      </x:c>
      <x:c r="O714" s="32" t="str">
        <x:f>IF(AND(O$8&lt;='Detalle'!$H349,O$9&gt;='Detalle'!$G349),1,"")</x:f>
      </x:c>
      <x:c r="P714" s="32" t="str">
        <x:f>IF(AND(P$8&lt;='Detalle'!$H349,P$9&gt;='Detalle'!$G349),1,"")</x:f>
      </x:c>
      <x:c r="Q714" s="68"/>
      <x:c r="R714" s="67" t="str">
        <x:f>IF('Detalle'!M349="","",'Detalle'!M349)</x:f>
      </x:c>
      <x:c r="S714" s="67" t="str">
        <x:f>IF('Detalle'!N349="","",'Detalle'!N349)</x:f>
      </x:c>
    </x:row>
    <x:row r="715" ht="16" customHeight="1">
      <x:c r="A715" s="56" t="str">
        <x:v>DIS02.003</x:v>
      </x:c>
      <x:c r="B715" s="57" t="str">
        <x:v>Diseñar cápsula de navegación web</x:v>
      </x:c>
      <x:c r="C715" s="63" t="str">
        <x:v>R</x:v>
      </x:c>
      <x:c r="D715" s="65" t="str">
        <x:f>IF('Detalle'!L349="","",'Detalle'!L349)</x:f>
      </x:c>
      <x:c r="E715" s="60" t="str"/>
      <x:c r="F715" s="32" t="str">
        <x:f>IF(OR('Detalle'!$J349="",'Detalle'!$K349="",'Detalle'!$L349=""),"",IF(AND(F$8&lt;='Detalle'!$K349,F$9&gt;='Detalle'!$J349),1,""))</x:f>
      </x:c>
      <x:c r="G715" s="32" t="str">
        <x:f>IF(OR('Detalle'!$J349="",'Detalle'!$K349="",'Detalle'!$L349=""),"",IF(AND(G$8&lt;='Detalle'!$K349,G$9&gt;='Detalle'!$J349),1,""))</x:f>
      </x:c>
      <x:c r="H715" s="32" t="str">
        <x:f>IF(OR('Detalle'!$J349="",'Detalle'!$K349="",'Detalle'!$L349=""),"",IF(AND(H$8&lt;='Detalle'!$K349,H$9&gt;='Detalle'!$J349),1,""))</x:f>
      </x:c>
      <x:c r="I715" s="32" t="str">
        <x:f>IF(OR('Detalle'!$J349="",'Detalle'!$K349="",'Detalle'!$L349=""),"",IF(AND(I$8&lt;='Detalle'!$K349,I$9&gt;='Detalle'!$J349),1,""))</x:f>
      </x:c>
      <x:c r="J715" s="32" t="str">
        <x:f>IF(OR('Detalle'!$J349="",'Detalle'!$K349="",'Detalle'!$L349=""),"",IF(AND(J$8&lt;='Detalle'!$K349,J$9&gt;='Detalle'!$J349),1,""))</x:f>
      </x:c>
      <x:c r="K715" s="32" t="str">
        <x:f>IF(OR('Detalle'!$J349="",'Detalle'!$K349="",'Detalle'!$L349=""),"",IF(AND(K$8&lt;='Detalle'!$K349,K$9&gt;='Detalle'!$J349),1,""))</x:f>
      </x:c>
      <x:c r="L715" s="32" t="str">
        <x:f>IF(OR('Detalle'!$J349="",'Detalle'!$K349="",'Detalle'!$L349=""),"",IF(AND(L$8&lt;='Detalle'!$K349,L$9&gt;='Detalle'!$J349),1,""))</x:f>
      </x:c>
      <x:c r="M715" s="32" t="str">
        <x:f>IF(OR('Detalle'!$J349="",'Detalle'!$K349="",'Detalle'!$L349=""),"",IF(AND(M$8&lt;='Detalle'!$K349,M$9&gt;='Detalle'!$J349),1,""))</x:f>
      </x:c>
      <x:c r="N715" s="32" t="str">
        <x:f>IF(OR('Detalle'!$J349="",'Detalle'!$K349="",'Detalle'!$L349=""),"",IF(AND(N$8&lt;='Detalle'!$K349,N$9&gt;='Detalle'!$J349),1,""))</x:f>
      </x:c>
      <x:c r="O715" s="32" t="str">
        <x:f>IF(OR('Detalle'!$J349="",'Detalle'!$K349="",'Detalle'!$L349=""),"",IF(AND(O$8&lt;='Detalle'!$K349,O$9&gt;='Detalle'!$J349),1,""))</x:f>
      </x:c>
      <x:c r="P715" s="32" t="str">
        <x:f>IF(OR('Detalle'!$J349="",'Detalle'!$K349="",'Detalle'!$L349=""),"",IF(AND(P$8&lt;='Detalle'!$K349,P$9&gt;='Detalle'!$J349),1,""))</x:f>
      </x:c>
      <x:c r="Q715" s="68"/>
      <x:c r="R715" s="67" t="str"/>
      <x:c r="S715" s="67" t="str"/>
    </x:row>
    <x:row r="716" ht="16" customHeight="1">
      <x:c r="A716" s="56" t="str">
        <x:v>DIS02.004</x:v>
      </x:c>
      <x:c r="B716" s="57" t="str">
        <x:v>Diseñar cápsula móvil y Crear separado</x:v>
      </x:c>
      <x:c r="C716" s="62" t="str">
        <x:v>E</x:v>
      </x:c>
      <x:c r="D716" s="64" t="n">
        <x:f>'Detalle'!I350</x:f>
        <x:v>1</x:v>
      </x:c>
      <x:c r="E716" s="60" t="str">
        <x:f>'Detalle'!F350</x:f>
        <x:v>Completado</x:v>
      </x:c>
      <x:c r="F716" s="32" t="str">
        <x:f>IF(AND(F$8&lt;='Detalle'!$H350,F$9&gt;='Detalle'!$G350),1,"")</x:f>
      </x:c>
      <x:c r="G716" s="32" t="str">
        <x:f>IF(AND(G$8&lt;='Detalle'!$H350,G$9&gt;='Detalle'!$G350),1,"")</x:f>
      </x:c>
      <x:c r="H716" s="32" t="str">
        <x:f>IF(AND(H$8&lt;='Detalle'!$H350,H$9&gt;='Detalle'!$G350),1,"")</x:f>
      </x:c>
      <x:c r="I716" s="32" t="n">
        <x:f>IF(AND(I$8&lt;='Detalle'!$H350,I$9&gt;='Detalle'!$G350),1,"")</x:f>
        <x:v>1</x:v>
      </x:c>
      <x:c r="J716" s="32" t="str">
        <x:f>IF(AND(J$8&lt;='Detalle'!$H350,J$9&gt;='Detalle'!$G350),1,"")</x:f>
      </x:c>
      <x:c r="K716" s="32" t="str">
        <x:f>IF(AND(K$8&lt;='Detalle'!$H350,K$9&gt;='Detalle'!$G350),1,"")</x:f>
      </x:c>
      <x:c r="L716" s="32" t="str">
        <x:f>IF(AND(L$8&lt;='Detalle'!$H350,L$9&gt;='Detalle'!$G350),1,"")</x:f>
      </x:c>
      <x:c r="M716" s="32" t="str">
        <x:f>IF(AND(M$8&lt;='Detalle'!$H350,M$9&gt;='Detalle'!$G350),1,"")</x:f>
      </x:c>
      <x:c r="N716" s="32" t="str">
        <x:f>IF(AND(N$8&lt;='Detalle'!$H350,N$9&gt;='Detalle'!$G350),1,"")</x:f>
      </x:c>
      <x:c r="O716" s="32" t="str">
        <x:f>IF(AND(O$8&lt;='Detalle'!$H350,O$9&gt;='Detalle'!$G350),1,"")</x:f>
      </x:c>
      <x:c r="P716" s="32" t="str">
        <x:f>IF(AND(P$8&lt;='Detalle'!$H350,P$9&gt;='Detalle'!$G350),1,"")</x:f>
      </x:c>
      <x:c r="Q716" s="68"/>
      <x:c r="R716" s="67" t="str">
        <x:f>IF('Detalle'!M350="","",'Detalle'!M350)</x:f>
      </x:c>
      <x:c r="S716" s="67" t="str">
        <x:f>IF('Detalle'!N350="","",'Detalle'!N350)</x:f>
      </x:c>
    </x:row>
    <x:row r="717" ht="16" customHeight="1">
      <x:c r="A717" s="56" t="str">
        <x:v>DIS02.004</x:v>
      </x:c>
      <x:c r="B717" s="57" t="str">
        <x:v>Diseñar cápsula móvil y Crear separado</x:v>
      </x:c>
      <x:c r="C717" s="63" t="str">
        <x:v>R</x:v>
      </x:c>
      <x:c r="D717" s="65" t="str">
        <x:f>IF('Detalle'!L350="","",'Detalle'!L350)</x:f>
      </x:c>
      <x:c r="E717" s="60" t="str"/>
      <x:c r="F717" s="32" t="str">
        <x:f>IF(OR('Detalle'!$J350="",'Detalle'!$K350="",'Detalle'!$L350=""),"",IF(AND(F$8&lt;='Detalle'!$K350,F$9&gt;='Detalle'!$J350),1,""))</x:f>
      </x:c>
      <x:c r="G717" s="32" t="str">
        <x:f>IF(OR('Detalle'!$J350="",'Detalle'!$K350="",'Detalle'!$L350=""),"",IF(AND(G$8&lt;='Detalle'!$K350,G$9&gt;='Detalle'!$J350),1,""))</x:f>
      </x:c>
      <x:c r="H717" s="32" t="str">
        <x:f>IF(OR('Detalle'!$J350="",'Detalle'!$K350="",'Detalle'!$L350=""),"",IF(AND(H$8&lt;='Detalle'!$K350,H$9&gt;='Detalle'!$J350),1,""))</x:f>
      </x:c>
      <x:c r="I717" s="32" t="str">
        <x:f>IF(OR('Detalle'!$J350="",'Detalle'!$K350="",'Detalle'!$L350=""),"",IF(AND(I$8&lt;='Detalle'!$K350,I$9&gt;='Detalle'!$J350),1,""))</x:f>
      </x:c>
      <x:c r="J717" s="32" t="str">
        <x:f>IF(OR('Detalle'!$J350="",'Detalle'!$K350="",'Detalle'!$L350=""),"",IF(AND(J$8&lt;='Detalle'!$K350,J$9&gt;='Detalle'!$J350),1,""))</x:f>
      </x:c>
      <x:c r="K717" s="32" t="str">
        <x:f>IF(OR('Detalle'!$J350="",'Detalle'!$K350="",'Detalle'!$L350=""),"",IF(AND(K$8&lt;='Detalle'!$K350,K$9&gt;='Detalle'!$J350),1,""))</x:f>
      </x:c>
      <x:c r="L717" s="32" t="str">
        <x:f>IF(OR('Detalle'!$J350="",'Detalle'!$K350="",'Detalle'!$L350=""),"",IF(AND(L$8&lt;='Detalle'!$K350,L$9&gt;='Detalle'!$J350),1,""))</x:f>
      </x:c>
      <x:c r="M717" s="32" t="str">
        <x:f>IF(OR('Detalle'!$J350="",'Detalle'!$K350="",'Detalle'!$L350=""),"",IF(AND(M$8&lt;='Detalle'!$K350,M$9&gt;='Detalle'!$J350),1,""))</x:f>
      </x:c>
      <x:c r="N717" s="32" t="str">
        <x:f>IF(OR('Detalle'!$J350="",'Detalle'!$K350="",'Detalle'!$L350=""),"",IF(AND(N$8&lt;='Detalle'!$K350,N$9&gt;='Detalle'!$J350),1,""))</x:f>
      </x:c>
      <x:c r="O717" s="32" t="str">
        <x:f>IF(OR('Detalle'!$J350="",'Detalle'!$K350="",'Detalle'!$L350=""),"",IF(AND(O$8&lt;='Detalle'!$K350,O$9&gt;='Detalle'!$J350),1,""))</x:f>
      </x:c>
      <x:c r="P717" s="32" t="str">
        <x:f>IF(OR('Detalle'!$J350="",'Detalle'!$K350="",'Detalle'!$L350=""),"",IF(AND(P$8&lt;='Detalle'!$K350,P$9&gt;='Detalle'!$J350),1,""))</x:f>
      </x:c>
      <x:c r="Q717" s="68"/>
      <x:c r="R717" s="67" t="str"/>
      <x:c r="S717" s="67" t="str"/>
    </x:row>
    <x:row r="718" ht="16" customHeight="1">
      <x:c r="A718" s="56" t="str">
        <x:v>DIS02.005</x:v>
      </x:c>
      <x:c r="B718" s="57" t="str">
        <x:v>Equilibrar columnas del post v7</x:v>
      </x:c>
      <x:c r="C718" s="62" t="str">
        <x:v>E</x:v>
      </x:c>
      <x:c r="D718" s="64" t="n">
        <x:f>'Detalle'!I351</x:f>
        <x:v>1</x:v>
      </x:c>
      <x:c r="E718" s="60" t="str">
        <x:f>'Detalle'!F351</x:f>
        <x:v>Completado</x:v>
      </x:c>
      <x:c r="F718" s="32" t="str">
        <x:f>IF(AND(F$8&lt;='Detalle'!$H351,F$9&gt;='Detalle'!$G351),1,"")</x:f>
      </x:c>
      <x:c r="G718" s="32" t="str">
        <x:f>IF(AND(G$8&lt;='Detalle'!$H351,G$9&gt;='Detalle'!$G351),1,"")</x:f>
      </x:c>
      <x:c r="H718" s="32" t="str">
        <x:f>IF(AND(H$8&lt;='Detalle'!$H351,H$9&gt;='Detalle'!$G351),1,"")</x:f>
      </x:c>
      <x:c r="I718" s="32" t="n">
        <x:f>IF(AND(I$8&lt;='Detalle'!$H351,I$9&gt;='Detalle'!$G351),1,"")</x:f>
        <x:v>1</x:v>
      </x:c>
      <x:c r="J718" s="32" t="str">
        <x:f>IF(AND(J$8&lt;='Detalle'!$H351,J$9&gt;='Detalle'!$G351),1,"")</x:f>
      </x:c>
      <x:c r="K718" s="32" t="str">
        <x:f>IF(AND(K$8&lt;='Detalle'!$H351,K$9&gt;='Detalle'!$G351),1,"")</x:f>
      </x:c>
      <x:c r="L718" s="32" t="str">
        <x:f>IF(AND(L$8&lt;='Detalle'!$H351,L$9&gt;='Detalle'!$G351),1,"")</x:f>
      </x:c>
      <x:c r="M718" s="32" t="str">
        <x:f>IF(AND(M$8&lt;='Detalle'!$H351,M$9&gt;='Detalle'!$G351),1,"")</x:f>
      </x:c>
      <x:c r="N718" s="32" t="str">
        <x:f>IF(AND(N$8&lt;='Detalle'!$H351,N$9&gt;='Detalle'!$G351),1,"")</x:f>
      </x:c>
      <x:c r="O718" s="32" t="str">
        <x:f>IF(AND(O$8&lt;='Detalle'!$H351,O$9&gt;='Detalle'!$G351),1,"")</x:f>
      </x:c>
      <x:c r="P718" s="32" t="str">
        <x:f>IF(AND(P$8&lt;='Detalle'!$H351,P$9&gt;='Detalle'!$G351),1,"")</x:f>
      </x:c>
      <x:c r="Q718" s="68"/>
      <x:c r="R718" s="67" t="str">
        <x:f>IF('Detalle'!M351="","",'Detalle'!M351)</x:f>
      </x:c>
      <x:c r="S718" s="67" t="str">
        <x:f>IF('Detalle'!N351="","",'Detalle'!N351)</x:f>
      </x:c>
    </x:row>
    <x:row r="719" ht="16" customHeight="1">
      <x:c r="A719" s="56" t="str">
        <x:v>DIS02.005</x:v>
      </x:c>
      <x:c r="B719" s="57" t="str">
        <x:v>Equilibrar columnas del post v7</x:v>
      </x:c>
      <x:c r="C719" s="63" t="str">
        <x:v>R</x:v>
      </x:c>
      <x:c r="D719" s="65" t="str">
        <x:f>IF('Detalle'!L351="","",'Detalle'!L351)</x:f>
      </x:c>
      <x:c r="E719" s="60" t="str"/>
      <x:c r="F719" s="32" t="str">
        <x:f>IF(OR('Detalle'!$J351="",'Detalle'!$K351="",'Detalle'!$L351=""),"",IF(AND(F$8&lt;='Detalle'!$K351,F$9&gt;='Detalle'!$J351),1,""))</x:f>
      </x:c>
      <x:c r="G719" s="32" t="str">
        <x:f>IF(OR('Detalle'!$J351="",'Detalle'!$K351="",'Detalle'!$L351=""),"",IF(AND(G$8&lt;='Detalle'!$K351,G$9&gt;='Detalle'!$J351),1,""))</x:f>
      </x:c>
      <x:c r="H719" s="32" t="str">
        <x:f>IF(OR('Detalle'!$J351="",'Detalle'!$K351="",'Detalle'!$L351=""),"",IF(AND(H$8&lt;='Detalle'!$K351,H$9&gt;='Detalle'!$J351),1,""))</x:f>
      </x:c>
      <x:c r="I719" s="32" t="str">
        <x:f>IF(OR('Detalle'!$J351="",'Detalle'!$K351="",'Detalle'!$L351=""),"",IF(AND(I$8&lt;='Detalle'!$K351,I$9&gt;='Detalle'!$J351),1,""))</x:f>
      </x:c>
      <x:c r="J719" s="32" t="str">
        <x:f>IF(OR('Detalle'!$J351="",'Detalle'!$K351="",'Detalle'!$L351=""),"",IF(AND(J$8&lt;='Detalle'!$K351,J$9&gt;='Detalle'!$J351),1,""))</x:f>
      </x:c>
      <x:c r="K719" s="32" t="str">
        <x:f>IF(OR('Detalle'!$J351="",'Detalle'!$K351="",'Detalle'!$L351=""),"",IF(AND(K$8&lt;='Detalle'!$K351,K$9&gt;='Detalle'!$J351),1,""))</x:f>
      </x:c>
      <x:c r="L719" s="32" t="str">
        <x:f>IF(OR('Detalle'!$J351="",'Detalle'!$K351="",'Detalle'!$L351=""),"",IF(AND(L$8&lt;='Detalle'!$K351,L$9&gt;='Detalle'!$J351),1,""))</x:f>
      </x:c>
      <x:c r="M719" s="32" t="str">
        <x:f>IF(OR('Detalle'!$J351="",'Detalle'!$K351="",'Detalle'!$L351=""),"",IF(AND(M$8&lt;='Detalle'!$K351,M$9&gt;='Detalle'!$J351),1,""))</x:f>
      </x:c>
      <x:c r="N719" s="32" t="str">
        <x:f>IF(OR('Detalle'!$J351="",'Detalle'!$K351="",'Detalle'!$L351=""),"",IF(AND(N$8&lt;='Detalle'!$K351,N$9&gt;='Detalle'!$J351),1,""))</x:f>
      </x:c>
      <x:c r="O719" s="32" t="str">
        <x:f>IF(OR('Detalle'!$J351="",'Detalle'!$K351="",'Detalle'!$L351=""),"",IF(AND(O$8&lt;='Detalle'!$K351,O$9&gt;='Detalle'!$J351),1,""))</x:f>
      </x:c>
      <x:c r="P719" s="32" t="str">
        <x:f>IF(OR('Detalle'!$J351="",'Detalle'!$K351="",'Detalle'!$L351=""),"",IF(AND(P$8&lt;='Detalle'!$K351,P$9&gt;='Detalle'!$J351),1,""))</x:f>
      </x:c>
      <x:c r="Q719" s="68"/>
      <x:c r="R719" s="67" t="str"/>
      <x:c r="S719" s="67" t="str"/>
    </x:row>
    <x:row r="720" ht="16" customHeight="1">
      <x:c r="A720" s="56" t="str">
        <x:v>DIS02.006</x:v>
      </x:c>
      <x:c r="B720" s="57" t="str">
        <x:v>Integrar logotipo oficial móvil</x:v>
      </x:c>
      <x:c r="C720" s="62" t="str">
        <x:v>E</x:v>
      </x:c>
      <x:c r="D720" s="64" t="n">
        <x:f>'Detalle'!I352</x:f>
        <x:v>1</x:v>
      </x:c>
      <x:c r="E720" s="60" t="str">
        <x:f>'Detalle'!F352</x:f>
        <x:v>Completado</x:v>
      </x:c>
      <x:c r="F720" s="32" t="str">
        <x:f>IF(AND(F$8&lt;='Detalle'!$H352,F$9&gt;='Detalle'!$G352),1,"")</x:f>
      </x:c>
      <x:c r="G720" s="32" t="str">
        <x:f>IF(AND(G$8&lt;='Detalle'!$H352,G$9&gt;='Detalle'!$G352),1,"")</x:f>
      </x:c>
      <x:c r="H720" s="32" t="str">
        <x:f>IF(AND(H$8&lt;='Detalle'!$H352,H$9&gt;='Detalle'!$G352),1,"")</x:f>
      </x:c>
      <x:c r="I720" s="32" t="n">
        <x:f>IF(AND(I$8&lt;='Detalle'!$H352,I$9&gt;='Detalle'!$G352),1,"")</x:f>
        <x:v>1</x:v>
      </x:c>
      <x:c r="J720" s="32" t="str">
        <x:f>IF(AND(J$8&lt;='Detalle'!$H352,J$9&gt;='Detalle'!$G352),1,"")</x:f>
      </x:c>
      <x:c r="K720" s="32" t="str">
        <x:f>IF(AND(K$8&lt;='Detalle'!$H352,K$9&gt;='Detalle'!$G352),1,"")</x:f>
      </x:c>
      <x:c r="L720" s="32" t="str">
        <x:f>IF(AND(L$8&lt;='Detalle'!$H352,L$9&gt;='Detalle'!$G352),1,"")</x:f>
      </x:c>
      <x:c r="M720" s="32" t="str">
        <x:f>IF(AND(M$8&lt;='Detalle'!$H352,M$9&gt;='Detalle'!$G352),1,"")</x:f>
      </x:c>
      <x:c r="N720" s="32" t="str">
        <x:f>IF(AND(N$8&lt;='Detalle'!$H352,N$9&gt;='Detalle'!$G352),1,"")</x:f>
      </x:c>
      <x:c r="O720" s="32" t="str">
        <x:f>IF(AND(O$8&lt;='Detalle'!$H352,O$9&gt;='Detalle'!$G352),1,"")</x:f>
      </x:c>
      <x:c r="P720" s="32" t="str">
        <x:f>IF(AND(P$8&lt;='Detalle'!$H352,P$9&gt;='Detalle'!$G352),1,"")</x:f>
      </x:c>
      <x:c r="Q720" s="68"/>
      <x:c r="R720" s="67" t="str">
        <x:f>IF('Detalle'!M352="","",'Detalle'!M352)</x:f>
      </x:c>
      <x:c r="S720" s="67" t="str">
        <x:f>IF('Detalle'!N352="","",'Detalle'!N352)</x:f>
      </x:c>
    </x:row>
    <x:row r="721" ht="16" customHeight="1">
      <x:c r="A721" s="56" t="str">
        <x:v>DIS02.006</x:v>
      </x:c>
      <x:c r="B721" s="57" t="str">
        <x:v>Integrar logotipo oficial móvil</x:v>
      </x:c>
      <x:c r="C721" s="63" t="str">
        <x:v>R</x:v>
      </x:c>
      <x:c r="D721" s="65" t="str">
        <x:f>IF('Detalle'!L352="","",'Detalle'!L352)</x:f>
      </x:c>
      <x:c r="E721" s="60" t="str"/>
      <x:c r="F721" s="32" t="str">
        <x:f>IF(OR('Detalle'!$J352="",'Detalle'!$K352="",'Detalle'!$L352=""),"",IF(AND(F$8&lt;='Detalle'!$K352,F$9&gt;='Detalle'!$J352),1,""))</x:f>
      </x:c>
      <x:c r="G721" s="32" t="str">
        <x:f>IF(OR('Detalle'!$J352="",'Detalle'!$K352="",'Detalle'!$L352=""),"",IF(AND(G$8&lt;='Detalle'!$K352,G$9&gt;='Detalle'!$J352),1,""))</x:f>
      </x:c>
      <x:c r="H721" s="32" t="str">
        <x:f>IF(OR('Detalle'!$J352="",'Detalle'!$K352="",'Detalle'!$L352=""),"",IF(AND(H$8&lt;='Detalle'!$K352,H$9&gt;='Detalle'!$J352),1,""))</x:f>
      </x:c>
      <x:c r="I721" s="32" t="str">
        <x:f>IF(OR('Detalle'!$J352="",'Detalle'!$K352="",'Detalle'!$L352=""),"",IF(AND(I$8&lt;='Detalle'!$K352,I$9&gt;='Detalle'!$J352),1,""))</x:f>
      </x:c>
      <x:c r="J721" s="32" t="str">
        <x:f>IF(OR('Detalle'!$J352="",'Detalle'!$K352="",'Detalle'!$L352=""),"",IF(AND(J$8&lt;='Detalle'!$K352,J$9&gt;='Detalle'!$J352),1,""))</x:f>
      </x:c>
      <x:c r="K721" s="32" t="str">
        <x:f>IF(OR('Detalle'!$J352="",'Detalle'!$K352="",'Detalle'!$L352=""),"",IF(AND(K$8&lt;='Detalle'!$K352,K$9&gt;='Detalle'!$J352),1,""))</x:f>
      </x:c>
      <x:c r="L721" s="32" t="str">
        <x:f>IF(OR('Detalle'!$J352="",'Detalle'!$K352="",'Detalle'!$L352=""),"",IF(AND(L$8&lt;='Detalle'!$K352,L$9&gt;='Detalle'!$J352),1,""))</x:f>
      </x:c>
      <x:c r="M721" s="32" t="str">
        <x:f>IF(OR('Detalle'!$J352="",'Detalle'!$K352="",'Detalle'!$L352=""),"",IF(AND(M$8&lt;='Detalle'!$K352,M$9&gt;='Detalle'!$J352),1,""))</x:f>
      </x:c>
      <x:c r="N721" s="32" t="str">
        <x:f>IF(OR('Detalle'!$J352="",'Detalle'!$K352="",'Detalle'!$L352=""),"",IF(AND(N$8&lt;='Detalle'!$K352,N$9&gt;='Detalle'!$J352),1,""))</x:f>
      </x:c>
      <x:c r="O721" s="32" t="str">
        <x:f>IF(OR('Detalle'!$J352="",'Detalle'!$K352="",'Detalle'!$L352=""),"",IF(AND(O$8&lt;='Detalle'!$K352,O$9&gt;='Detalle'!$J352),1,""))</x:f>
      </x:c>
      <x:c r="P721" s="32" t="str">
        <x:f>IF(OR('Detalle'!$J352="",'Detalle'!$K352="",'Detalle'!$L352=""),"",IF(AND(P$8&lt;='Detalle'!$K352,P$9&gt;='Detalle'!$J352),1,""))</x:f>
      </x:c>
      <x:c r="Q721" s="68"/>
      <x:c r="R721" s="67" t="str"/>
      <x:c r="S721" s="67" t="str"/>
    </x:row>
    <x:row r="722" ht="16" customHeight="1">
      <x:c r="A722" s="56" t="str">
        <x:v>DIS02.007</x:v>
      </x:c>
      <x:c r="B722" s="57" t="str">
        <x:v>Integrar isotipo oficial escritorio</x:v>
      </x:c>
      <x:c r="C722" s="62" t="str">
        <x:v>E</x:v>
      </x:c>
      <x:c r="D722" s="64" t="n">
        <x:f>'Detalle'!I353</x:f>
        <x:v>1</x:v>
      </x:c>
      <x:c r="E722" s="60" t="str">
        <x:f>'Detalle'!F353</x:f>
        <x:v>Completado</x:v>
      </x:c>
      <x:c r="F722" s="32" t="str">
        <x:f>IF(AND(F$8&lt;='Detalle'!$H353,F$9&gt;='Detalle'!$G353),1,"")</x:f>
      </x:c>
      <x:c r="G722" s="32" t="str">
        <x:f>IF(AND(G$8&lt;='Detalle'!$H353,G$9&gt;='Detalle'!$G353),1,"")</x:f>
      </x:c>
      <x:c r="H722" s="32" t="str">
        <x:f>IF(AND(H$8&lt;='Detalle'!$H353,H$9&gt;='Detalle'!$G353),1,"")</x:f>
      </x:c>
      <x:c r="I722" s="32" t="n">
        <x:f>IF(AND(I$8&lt;='Detalle'!$H353,I$9&gt;='Detalle'!$G353),1,"")</x:f>
        <x:v>1</x:v>
      </x:c>
      <x:c r="J722" s="32" t="str">
        <x:f>IF(AND(J$8&lt;='Detalle'!$H353,J$9&gt;='Detalle'!$G353),1,"")</x:f>
      </x:c>
      <x:c r="K722" s="32" t="str">
        <x:f>IF(AND(K$8&lt;='Detalle'!$H353,K$9&gt;='Detalle'!$G353),1,"")</x:f>
      </x:c>
      <x:c r="L722" s="32" t="str">
        <x:f>IF(AND(L$8&lt;='Detalle'!$H353,L$9&gt;='Detalle'!$G353),1,"")</x:f>
      </x:c>
      <x:c r="M722" s="32" t="str">
        <x:f>IF(AND(M$8&lt;='Detalle'!$H353,M$9&gt;='Detalle'!$G353),1,"")</x:f>
      </x:c>
      <x:c r="N722" s="32" t="str">
        <x:f>IF(AND(N$8&lt;='Detalle'!$H353,N$9&gt;='Detalle'!$G353),1,"")</x:f>
      </x:c>
      <x:c r="O722" s="32" t="str">
        <x:f>IF(AND(O$8&lt;='Detalle'!$H353,O$9&gt;='Detalle'!$G353),1,"")</x:f>
      </x:c>
      <x:c r="P722" s="32" t="str">
        <x:f>IF(AND(P$8&lt;='Detalle'!$H353,P$9&gt;='Detalle'!$G353),1,"")</x:f>
      </x:c>
      <x:c r="Q722" s="68"/>
      <x:c r="R722" s="67" t="str">
        <x:f>IF('Detalle'!M353="","",'Detalle'!M353)</x:f>
      </x:c>
      <x:c r="S722" s="67" t="str">
        <x:f>IF('Detalle'!N353="","",'Detalle'!N353)</x:f>
      </x:c>
    </x:row>
    <x:row r="723" ht="16" customHeight="1">
      <x:c r="A723" s="56" t="str">
        <x:v>DIS02.007</x:v>
      </x:c>
      <x:c r="B723" s="57" t="str">
        <x:v>Integrar isotipo oficial escritorio</x:v>
      </x:c>
      <x:c r="C723" s="63" t="str">
        <x:v>R</x:v>
      </x:c>
      <x:c r="D723" s="65" t="str">
        <x:f>IF('Detalle'!L353="","",'Detalle'!L353)</x:f>
      </x:c>
      <x:c r="E723" s="60" t="str"/>
      <x:c r="F723" s="32" t="str">
        <x:f>IF(OR('Detalle'!$J353="",'Detalle'!$K353="",'Detalle'!$L353=""),"",IF(AND(F$8&lt;='Detalle'!$K353,F$9&gt;='Detalle'!$J353),1,""))</x:f>
      </x:c>
      <x:c r="G723" s="32" t="str">
        <x:f>IF(OR('Detalle'!$J353="",'Detalle'!$K353="",'Detalle'!$L353=""),"",IF(AND(G$8&lt;='Detalle'!$K353,G$9&gt;='Detalle'!$J353),1,""))</x:f>
      </x:c>
      <x:c r="H723" s="32" t="str">
        <x:f>IF(OR('Detalle'!$J353="",'Detalle'!$K353="",'Detalle'!$L353=""),"",IF(AND(H$8&lt;='Detalle'!$K353,H$9&gt;='Detalle'!$J353),1,""))</x:f>
      </x:c>
      <x:c r="I723" s="32" t="str">
        <x:f>IF(OR('Detalle'!$J353="",'Detalle'!$K353="",'Detalle'!$L353=""),"",IF(AND(I$8&lt;='Detalle'!$K353,I$9&gt;='Detalle'!$J353),1,""))</x:f>
      </x:c>
      <x:c r="J723" s="32" t="str">
        <x:f>IF(OR('Detalle'!$J353="",'Detalle'!$K353="",'Detalle'!$L353=""),"",IF(AND(J$8&lt;='Detalle'!$K353,J$9&gt;='Detalle'!$J353),1,""))</x:f>
      </x:c>
      <x:c r="K723" s="32" t="str">
        <x:f>IF(OR('Detalle'!$J353="",'Detalle'!$K353="",'Detalle'!$L353=""),"",IF(AND(K$8&lt;='Detalle'!$K353,K$9&gt;='Detalle'!$J353),1,""))</x:f>
      </x:c>
      <x:c r="L723" s="32" t="str">
        <x:f>IF(OR('Detalle'!$J353="",'Detalle'!$K353="",'Detalle'!$L353=""),"",IF(AND(L$8&lt;='Detalle'!$K353,L$9&gt;='Detalle'!$J353),1,""))</x:f>
      </x:c>
      <x:c r="M723" s="32" t="str">
        <x:f>IF(OR('Detalle'!$J353="",'Detalle'!$K353="",'Detalle'!$L353=""),"",IF(AND(M$8&lt;='Detalle'!$K353,M$9&gt;='Detalle'!$J353),1,""))</x:f>
      </x:c>
      <x:c r="N723" s="32" t="str">
        <x:f>IF(OR('Detalle'!$J353="",'Detalle'!$K353="",'Detalle'!$L353=""),"",IF(AND(N$8&lt;='Detalle'!$K353,N$9&gt;='Detalle'!$J353),1,""))</x:f>
      </x:c>
      <x:c r="O723" s="32" t="str">
        <x:f>IF(OR('Detalle'!$J353="",'Detalle'!$K353="",'Detalle'!$L353=""),"",IF(AND(O$8&lt;='Detalle'!$K353,O$9&gt;='Detalle'!$J353),1,""))</x:f>
      </x:c>
      <x:c r="P723" s="32" t="str">
        <x:f>IF(OR('Detalle'!$J353="",'Detalle'!$K353="",'Detalle'!$L353=""),"",IF(AND(P$8&lt;='Detalle'!$K353,P$9&gt;='Detalle'!$J353),1,""))</x:f>
      </x:c>
      <x:c r="Q723" s="68"/>
      <x:c r="R723" s="67" t="str"/>
      <x:c r="S723" s="67" t="str"/>
    </x:row>
    <x:row r="724" ht="16" customHeight="1">
      <x:c r="A724" s="56" t="str">
        <x:v>DIS02.008</x:v>
      </x:c>
      <x:c r="B724" s="57" t="str">
        <x:v>Actualizar assets oficiales de marca</x:v>
      </x:c>
      <x:c r="C724" s="62" t="str">
        <x:v>E</x:v>
      </x:c>
      <x:c r="D724" s="64" t="n">
        <x:f>'Detalle'!I354</x:f>
        <x:v>1</x:v>
      </x:c>
      <x:c r="E724" s="60" t="str">
        <x:f>'Detalle'!F354</x:f>
        <x:v>Completado</x:v>
      </x:c>
      <x:c r="F724" s="32" t="str">
        <x:f>IF(AND(F$8&lt;='Detalle'!$H354,F$9&gt;='Detalle'!$G354),1,"")</x:f>
      </x:c>
      <x:c r="G724" s="32" t="str">
        <x:f>IF(AND(G$8&lt;='Detalle'!$H354,G$9&gt;='Detalle'!$G354),1,"")</x:f>
      </x:c>
      <x:c r="H724" s="32" t="str">
        <x:f>IF(AND(H$8&lt;='Detalle'!$H354,H$9&gt;='Detalle'!$G354),1,"")</x:f>
      </x:c>
      <x:c r="I724" s="32" t="n">
        <x:f>IF(AND(I$8&lt;='Detalle'!$H354,I$9&gt;='Detalle'!$G354),1,"")</x:f>
        <x:v>1</x:v>
      </x:c>
      <x:c r="J724" s="32" t="str">
        <x:f>IF(AND(J$8&lt;='Detalle'!$H354,J$9&gt;='Detalle'!$G354),1,"")</x:f>
      </x:c>
      <x:c r="K724" s="32" t="str">
        <x:f>IF(AND(K$8&lt;='Detalle'!$H354,K$9&gt;='Detalle'!$G354),1,"")</x:f>
      </x:c>
      <x:c r="L724" s="32" t="str">
        <x:f>IF(AND(L$8&lt;='Detalle'!$H354,L$9&gt;='Detalle'!$G354),1,"")</x:f>
      </x:c>
      <x:c r="M724" s="32" t="str">
        <x:f>IF(AND(M$8&lt;='Detalle'!$H354,M$9&gt;='Detalle'!$G354),1,"")</x:f>
      </x:c>
      <x:c r="N724" s="32" t="str">
        <x:f>IF(AND(N$8&lt;='Detalle'!$H354,N$9&gt;='Detalle'!$G354),1,"")</x:f>
      </x:c>
      <x:c r="O724" s="32" t="str">
        <x:f>IF(AND(O$8&lt;='Detalle'!$H354,O$9&gt;='Detalle'!$G354),1,"")</x:f>
      </x:c>
      <x:c r="P724" s="32" t="str">
        <x:f>IF(AND(P$8&lt;='Detalle'!$H354,P$9&gt;='Detalle'!$G354),1,"")</x:f>
      </x:c>
      <x:c r="Q724" s="68"/>
      <x:c r="R724" s="67" t="str">
        <x:f>IF('Detalle'!M354="","",'Detalle'!M354)</x:f>
      </x:c>
      <x:c r="S724" s="67" t="str">
        <x:f>IF('Detalle'!N354="","",'Detalle'!N354)</x:f>
      </x:c>
    </x:row>
    <x:row r="725" ht="16" customHeight="1">
      <x:c r="A725" s="56" t="str">
        <x:v>DIS02.008</x:v>
      </x:c>
      <x:c r="B725" s="57" t="str">
        <x:v>Actualizar assets oficiales de marca</x:v>
      </x:c>
      <x:c r="C725" s="63" t="str">
        <x:v>R</x:v>
      </x:c>
      <x:c r="D725" s="65" t="str">
        <x:f>IF('Detalle'!L354="","",'Detalle'!L354)</x:f>
      </x:c>
      <x:c r="E725" s="60" t="str"/>
      <x:c r="F725" s="32" t="str">
        <x:f>IF(OR('Detalle'!$J354="",'Detalle'!$K354="",'Detalle'!$L354=""),"",IF(AND(F$8&lt;='Detalle'!$K354,F$9&gt;='Detalle'!$J354),1,""))</x:f>
      </x:c>
      <x:c r="G725" s="32" t="str">
        <x:f>IF(OR('Detalle'!$J354="",'Detalle'!$K354="",'Detalle'!$L354=""),"",IF(AND(G$8&lt;='Detalle'!$K354,G$9&gt;='Detalle'!$J354),1,""))</x:f>
      </x:c>
      <x:c r="H725" s="32" t="str">
        <x:f>IF(OR('Detalle'!$J354="",'Detalle'!$K354="",'Detalle'!$L354=""),"",IF(AND(H$8&lt;='Detalle'!$K354,H$9&gt;='Detalle'!$J354),1,""))</x:f>
      </x:c>
      <x:c r="I725" s="32" t="str">
        <x:f>IF(OR('Detalle'!$J354="",'Detalle'!$K354="",'Detalle'!$L354=""),"",IF(AND(I$8&lt;='Detalle'!$K354,I$9&gt;='Detalle'!$J354),1,""))</x:f>
      </x:c>
      <x:c r="J725" s="32" t="str">
        <x:f>IF(OR('Detalle'!$J354="",'Detalle'!$K354="",'Detalle'!$L354=""),"",IF(AND(J$8&lt;='Detalle'!$K354,J$9&gt;='Detalle'!$J354),1,""))</x:f>
      </x:c>
      <x:c r="K725" s="32" t="str">
        <x:f>IF(OR('Detalle'!$J354="",'Detalle'!$K354="",'Detalle'!$L354=""),"",IF(AND(K$8&lt;='Detalle'!$K354,K$9&gt;='Detalle'!$J354),1,""))</x:f>
      </x:c>
      <x:c r="L725" s="32" t="str">
        <x:f>IF(OR('Detalle'!$J354="",'Detalle'!$K354="",'Detalle'!$L354=""),"",IF(AND(L$8&lt;='Detalle'!$K354,L$9&gt;='Detalle'!$J354),1,""))</x:f>
      </x:c>
      <x:c r="M725" s="32" t="str">
        <x:f>IF(OR('Detalle'!$J354="",'Detalle'!$K354="",'Detalle'!$L354=""),"",IF(AND(M$8&lt;='Detalle'!$K354,M$9&gt;='Detalle'!$J354),1,""))</x:f>
      </x:c>
      <x:c r="N725" s="32" t="str">
        <x:f>IF(OR('Detalle'!$J354="",'Detalle'!$K354="",'Detalle'!$L354=""),"",IF(AND(N$8&lt;='Detalle'!$K354,N$9&gt;='Detalle'!$J354),1,""))</x:f>
      </x:c>
      <x:c r="O725" s="32" t="str">
        <x:f>IF(OR('Detalle'!$J354="",'Detalle'!$K354="",'Detalle'!$L354=""),"",IF(AND(O$8&lt;='Detalle'!$K354,O$9&gt;='Detalle'!$J354),1,""))</x:f>
      </x:c>
      <x:c r="P725" s="32" t="str">
        <x:f>IF(OR('Detalle'!$J354="",'Detalle'!$K354="",'Detalle'!$L354=""),"",IF(AND(P$8&lt;='Detalle'!$K354,P$9&gt;='Detalle'!$J354),1,""))</x:f>
      </x:c>
      <x:c r="Q725" s="68"/>
      <x:c r="R725" s="67" t="str"/>
      <x:c r="S725" s="67" t="str"/>
    </x:row>
    <x:row r="726" ht="20" customHeight="1">
      <x:c r="A726" s="52" t="str">
        <x:v>SOC01 · Implementación de Inicio y post social v7</x:v>
      </x:c>
      <x:c r="B726" s="52" t="str">
        <x:v>SOC01 · Implementación de Inicio y post social v7</x:v>
      </x:c>
      <x:c r="C726" s="52" t="str">
        <x:v>SOC01 · Implementación de Inicio y post social v7</x:v>
      </x:c>
      <x:c r="D726" s="52" t="str">
        <x:v>SOC01 · Implementación de Inicio y post social v7</x:v>
      </x:c>
      <x:c r="E726" s="52" t="str">
        <x:v>SOC01 · Implementación de Inicio y post social v7</x:v>
      </x:c>
      <x:c r="F726" s="53" t="str">
        <x:v>SOC01 · Implementación de Inicio y post social v7</x:v>
      </x:c>
      <x:c r="G726" s="53" t="str">
        <x:v>SOC01 · Implementación de Inicio y post social v7</x:v>
      </x:c>
      <x:c r="H726" s="53" t="str">
        <x:v>SOC01 · Implementación de Inicio y post social v7</x:v>
      </x:c>
      <x:c r="I726" s="53" t="str">
        <x:v>SOC01 · Implementación de Inicio y post social v7</x:v>
      </x:c>
      <x:c r="J726" s="53" t="str">
        <x:v>SOC01 · Implementación de Inicio y post social v7</x:v>
      </x:c>
      <x:c r="K726" s="53" t="str">
        <x:v>SOC01 · Implementación de Inicio y post social v7</x:v>
      </x:c>
      <x:c r="L726" s="53" t="str">
        <x:v>SOC01 · Implementación de Inicio y post social v7</x:v>
      </x:c>
      <x:c r="M726" s="53" t="str">
        <x:v>SOC01 · Implementación de Inicio y post social v7</x:v>
      </x:c>
      <x:c r="N726" s="53" t="str">
        <x:v>SOC01 · Implementación de Inicio y post social v7</x:v>
      </x:c>
      <x:c r="O726" s="53" t="str">
        <x:v>SOC01 · Implementación de Inicio y post social v7</x:v>
      </x:c>
      <x:c r="P726" s="53" t="str">
        <x:v>SOC01 · Implementación de Inicio y post social v7</x:v>
      </x:c>
      <x:c r="Q726" s="52" t="str">
        <x:v>SOC01 · Implementación de Inicio y post social v7</x:v>
      </x:c>
      <x:c r="R726" s="52" t="str">
        <x:v>SOC01 · Implementación de Inicio y post social v7</x:v>
      </x:c>
      <x:c r="S726" s="52" t="str">
        <x:v>SOC01 · Implementación de Inicio y post social v7</x:v>
      </x:c>
    </x:row>
    <x:row r="727" ht="16" customHeight="1">
      <x:c r="A727" s="56" t="str">
        <x:v>SOC01.001</x:v>
      </x:c>
      <x:c r="B727" s="57" t="str">
        <x:v>Integrar cabecera compacta móvil</x:v>
      </x:c>
      <x:c r="C727" s="62" t="str">
        <x:v>E</x:v>
      </x:c>
      <x:c r="D727" s="64" t="n">
        <x:f>'Detalle'!I355</x:f>
        <x:v>1</x:v>
      </x:c>
      <x:c r="E727" s="60" t="str">
        <x:f>'Detalle'!F355</x:f>
        <x:v>Completado</x:v>
      </x:c>
      <x:c r="F727" s="32" t="str">
        <x:f>IF(AND(F$8&lt;='Detalle'!$H355,F$9&gt;='Detalle'!$G355),1,"")</x:f>
      </x:c>
      <x:c r="G727" s="32" t="str">
        <x:f>IF(AND(G$8&lt;='Detalle'!$H355,G$9&gt;='Detalle'!$G355),1,"")</x:f>
      </x:c>
      <x:c r="H727" s="32" t="str">
        <x:f>IF(AND(H$8&lt;='Detalle'!$H355,H$9&gt;='Detalle'!$G355),1,"")</x:f>
      </x:c>
      <x:c r="I727" s="32" t="n">
        <x:f>IF(AND(I$8&lt;='Detalle'!$H355,I$9&gt;='Detalle'!$G355),1,"")</x:f>
        <x:v>1</x:v>
      </x:c>
      <x:c r="J727" s="32" t="str">
        <x:f>IF(AND(J$8&lt;='Detalle'!$H355,J$9&gt;='Detalle'!$G355),1,"")</x:f>
      </x:c>
      <x:c r="K727" s="32" t="str">
        <x:f>IF(AND(K$8&lt;='Detalle'!$H355,K$9&gt;='Detalle'!$G355),1,"")</x:f>
      </x:c>
      <x:c r="L727" s="32" t="str">
        <x:f>IF(AND(L$8&lt;='Detalle'!$H355,L$9&gt;='Detalle'!$G355),1,"")</x:f>
      </x:c>
      <x:c r="M727" s="32" t="str">
        <x:f>IF(AND(M$8&lt;='Detalle'!$H355,M$9&gt;='Detalle'!$G355),1,"")</x:f>
      </x:c>
      <x:c r="N727" s="32" t="str">
        <x:f>IF(AND(N$8&lt;='Detalle'!$H355,N$9&gt;='Detalle'!$G355),1,"")</x:f>
      </x:c>
      <x:c r="O727" s="32" t="str">
        <x:f>IF(AND(O$8&lt;='Detalle'!$H355,O$9&gt;='Detalle'!$G355),1,"")</x:f>
      </x:c>
      <x:c r="P727" s="32" t="str">
        <x:f>IF(AND(P$8&lt;='Detalle'!$H355,P$9&gt;='Detalle'!$G355),1,"")</x:f>
      </x:c>
      <x:c r="Q727" s="68"/>
      <x:c r="R727" s="67" t="str">
        <x:f>IF('Detalle'!M355="","",'Detalle'!M355)</x:f>
      </x:c>
      <x:c r="S727" s="67" t="str">
        <x:f>IF('Detalle'!N355="","",'Detalle'!N355)</x:f>
      </x:c>
    </x:row>
    <x:row r="728" ht="16" customHeight="1">
      <x:c r="A728" s="56" t="str">
        <x:v>SOC01.001</x:v>
      </x:c>
      <x:c r="B728" s="57" t="str">
        <x:v>Integrar cabecera compacta móvil</x:v>
      </x:c>
      <x:c r="C728" s="63" t="str">
        <x:v>R</x:v>
      </x:c>
      <x:c r="D728" s="65" t="str">
        <x:f>IF('Detalle'!L355="","",'Detalle'!L355)</x:f>
      </x:c>
      <x:c r="E728" s="60" t="str"/>
      <x:c r="F728" s="32" t="str">
        <x:f>IF(OR('Detalle'!$J355="",'Detalle'!$K355="",'Detalle'!$L355=""),"",IF(AND(F$8&lt;='Detalle'!$K355,F$9&gt;='Detalle'!$J355),1,""))</x:f>
      </x:c>
      <x:c r="G728" s="32" t="str">
        <x:f>IF(OR('Detalle'!$J355="",'Detalle'!$K355="",'Detalle'!$L355=""),"",IF(AND(G$8&lt;='Detalle'!$K355,G$9&gt;='Detalle'!$J355),1,""))</x:f>
      </x:c>
      <x:c r="H728" s="32" t="str">
        <x:f>IF(OR('Detalle'!$J355="",'Detalle'!$K355="",'Detalle'!$L355=""),"",IF(AND(H$8&lt;='Detalle'!$K355,H$9&gt;='Detalle'!$J355),1,""))</x:f>
      </x:c>
      <x:c r="I728" s="32" t="str">
        <x:f>IF(OR('Detalle'!$J355="",'Detalle'!$K355="",'Detalle'!$L355=""),"",IF(AND(I$8&lt;='Detalle'!$K355,I$9&gt;='Detalle'!$J355),1,""))</x:f>
      </x:c>
      <x:c r="J728" s="32" t="str">
        <x:f>IF(OR('Detalle'!$J355="",'Detalle'!$K355="",'Detalle'!$L355=""),"",IF(AND(J$8&lt;='Detalle'!$K355,J$9&gt;='Detalle'!$J355),1,""))</x:f>
      </x:c>
      <x:c r="K728" s="32" t="str">
        <x:f>IF(OR('Detalle'!$J355="",'Detalle'!$K355="",'Detalle'!$L355=""),"",IF(AND(K$8&lt;='Detalle'!$K355,K$9&gt;='Detalle'!$J355),1,""))</x:f>
      </x:c>
      <x:c r="L728" s="32" t="str">
        <x:f>IF(OR('Detalle'!$J355="",'Detalle'!$K355="",'Detalle'!$L355=""),"",IF(AND(L$8&lt;='Detalle'!$K355,L$9&gt;='Detalle'!$J355),1,""))</x:f>
      </x:c>
      <x:c r="M728" s="32" t="str">
        <x:f>IF(OR('Detalle'!$J355="",'Detalle'!$K355="",'Detalle'!$L355=""),"",IF(AND(M$8&lt;='Detalle'!$K355,M$9&gt;='Detalle'!$J355),1,""))</x:f>
      </x:c>
      <x:c r="N728" s="32" t="str">
        <x:f>IF(OR('Detalle'!$J355="",'Detalle'!$K355="",'Detalle'!$L355=""),"",IF(AND(N$8&lt;='Detalle'!$K355,N$9&gt;='Detalle'!$J355),1,""))</x:f>
      </x:c>
      <x:c r="O728" s="32" t="str">
        <x:f>IF(OR('Detalle'!$J355="",'Detalle'!$K355="",'Detalle'!$L355=""),"",IF(AND(O$8&lt;='Detalle'!$K355,O$9&gt;='Detalle'!$J355),1,""))</x:f>
      </x:c>
      <x:c r="P728" s="32" t="str">
        <x:f>IF(OR('Detalle'!$J355="",'Detalle'!$K355="",'Detalle'!$L355=""),"",IF(AND(P$8&lt;='Detalle'!$K355,P$9&gt;='Detalle'!$J355),1,""))</x:f>
      </x:c>
      <x:c r="Q728" s="68"/>
      <x:c r="R728" s="67" t="str"/>
      <x:c r="S728" s="67" t="str"/>
    </x:row>
    <x:row r="729" ht="16" customHeight="1">
      <x:c r="A729" s="56" t="str">
        <x:v>SOC01.002</x:v>
      </x:c>
      <x:c r="B729" s="57" t="str">
        <x:v>Integrar navegación neumórfica escritorio</x:v>
      </x:c>
      <x:c r="C729" s="62" t="str">
        <x:v>E</x:v>
      </x:c>
      <x:c r="D729" s="64" t="n">
        <x:f>'Detalle'!I356</x:f>
        <x:v>1</x:v>
      </x:c>
      <x:c r="E729" s="60" t="str">
        <x:f>'Detalle'!F356</x:f>
        <x:v>Completado</x:v>
      </x:c>
      <x:c r="F729" s="32" t="str">
        <x:f>IF(AND(F$8&lt;='Detalle'!$H356,F$9&gt;='Detalle'!$G356),1,"")</x:f>
      </x:c>
      <x:c r="G729" s="32" t="str">
        <x:f>IF(AND(G$8&lt;='Detalle'!$H356,G$9&gt;='Detalle'!$G356),1,"")</x:f>
      </x:c>
      <x:c r="H729" s="32" t="str">
        <x:f>IF(AND(H$8&lt;='Detalle'!$H356,H$9&gt;='Detalle'!$G356),1,"")</x:f>
      </x:c>
      <x:c r="I729" s="32" t="n">
        <x:f>IF(AND(I$8&lt;='Detalle'!$H356,I$9&gt;='Detalle'!$G356),1,"")</x:f>
        <x:v>1</x:v>
      </x:c>
      <x:c r="J729" s="32" t="str">
        <x:f>IF(AND(J$8&lt;='Detalle'!$H356,J$9&gt;='Detalle'!$G356),1,"")</x:f>
      </x:c>
      <x:c r="K729" s="32" t="str">
        <x:f>IF(AND(K$8&lt;='Detalle'!$H356,K$9&gt;='Detalle'!$G356),1,"")</x:f>
      </x:c>
      <x:c r="L729" s="32" t="str">
        <x:f>IF(AND(L$8&lt;='Detalle'!$H356,L$9&gt;='Detalle'!$G356),1,"")</x:f>
      </x:c>
      <x:c r="M729" s="32" t="str">
        <x:f>IF(AND(M$8&lt;='Detalle'!$H356,M$9&gt;='Detalle'!$G356),1,"")</x:f>
      </x:c>
      <x:c r="N729" s="32" t="str">
        <x:f>IF(AND(N$8&lt;='Detalle'!$H356,N$9&gt;='Detalle'!$G356),1,"")</x:f>
      </x:c>
      <x:c r="O729" s="32" t="str">
        <x:f>IF(AND(O$8&lt;='Detalle'!$H356,O$9&gt;='Detalle'!$G356),1,"")</x:f>
      </x:c>
      <x:c r="P729" s="32" t="str">
        <x:f>IF(AND(P$8&lt;='Detalle'!$H356,P$9&gt;='Detalle'!$G356),1,"")</x:f>
      </x:c>
      <x:c r="Q729" s="68"/>
      <x:c r="R729" s="67" t="str">
        <x:f>IF('Detalle'!M356="","",'Detalle'!M356)</x:f>
      </x:c>
      <x:c r="S729" s="67" t="str">
        <x:f>IF('Detalle'!N356="","",'Detalle'!N356)</x:f>
      </x:c>
    </x:row>
    <x:row r="730" ht="16" customHeight="1">
      <x:c r="A730" s="56" t="str">
        <x:v>SOC01.002</x:v>
      </x:c>
      <x:c r="B730" s="57" t="str">
        <x:v>Integrar navegación neumórfica escritorio</x:v>
      </x:c>
      <x:c r="C730" s="63" t="str">
        <x:v>R</x:v>
      </x:c>
      <x:c r="D730" s="65" t="str">
        <x:f>IF('Detalle'!L356="","",'Detalle'!L356)</x:f>
      </x:c>
      <x:c r="E730" s="60" t="str"/>
      <x:c r="F730" s="32" t="str">
        <x:f>IF(OR('Detalle'!$J356="",'Detalle'!$K356="",'Detalle'!$L356=""),"",IF(AND(F$8&lt;='Detalle'!$K356,F$9&gt;='Detalle'!$J356),1,""))</x:f>
      </x:c>
      <x:c r="G730" s="32" t="str">
        <x:f>IF(OR('Detalle'!$J356="",'Detalle'!$K356="",'Detalle'!$L356=""),"",IF(AND(G$8&lt;='Detalle'!$K356,G$9&gt;='Detalle'!$J356),1,""))</x:f>
      </x:c>
      <x:c r="H730" s="32" t="str">
        <x:f>IF(OR('Detalle'!$J356="",'Detalle'!$K356="",'Detalle'!$L356=""),"",IF(AND(H$8&lt;='Detalle'!$K356,H$9&gt;='Detalle'!$J356),1,""))</x:f>
      </x:c>
      <x:c r="I730" s="32" t="str">
        <x:f>IF(OR('Detalle'!$J356="",'Detalle'!$K356="",'Detalle'!$L356=""),"",IF(AND(I$8&lt;='Detalle'!$K356,I$9&gt;='Detalle'!$J356),1,""))</x:f>
      </x:c>
      <x:c r="J730" s="32" t="str">
        <x:f>IF(OR('Detalle'!$J356="",'Detalle'!$K356="",'Detalle'!$L356=""),"",IF(AND(J$8&lt;='Detalle'!$K356,J$9&gt;='Detalle'!$J356),1,""))</x:f>
      </x:c>
      <x:c r="K730" s="32" t="str">
        <x:f>IF(OR('Detalle'!$J356="",'Detalle'!$K356="",'Detalle'!$L356=""),"",IF(AND(K$8&lt;='Detalle'!$K356,K$9&gt;='Detalle'!$J356),1,""))</x:f>
      </x:c>
      <x:c r="L730" s="32" t="str">
        <x:f>IF(OR('Detalle'!$J356="",'Detalle'!$K356="",'Detalle'!$L356=""),"",IF(AND(L$8&lt;='Detalle'!$K356,L$9&gt;='Detalle'!$J356),1,""))</x:f>
      </x:c>
      <x:c r="M730" s="32" t="str">
        <x:f>IF(OR('Detalle'!$J356="",'Detalle'!$K356="",'Detalle'!$L356=""),"",IF(AND(M$8&lt;='Detalle'!$K356,M$9&gt;='Detalle'!$J356),1,""))</x:f>
      </x:c>
      <x:c r="N730" s="32" t="str">
        <x:f>IF(OR('Detalle'!$J356="",'Detalle'!$K356="",'Detalle'!$L356=""),"",IF(AND(N$8&lt;='Detalle'!$K356,N$9&gt;='Detalle'!$J356),1,""))</x:f>
      </x:c>
      <x:c r="O730" s="32" t="str">
        <x:f>IF(OR('Detalle'!$J356="",'Detalle'!$K356="",'Detalle'!$L356=""),"",IF(AND(O$8&lt;='Detalle'!$K356,O$9&gt;='Detalle'!$J356),1,""))</x:f>
      </x:c>
      <x:c r="P730" s="32" t="str">
        <x:f>IF(OR('Detalle'!$J356="",'Detalle'!$K356="",'Detalle'!$L356=""),"",IF(AND(P$8&lt;='Detalle'!$K356,P$9&gt;='Detalle'!$J356),1,""))</x:f>
      </x:c>
      <x:c r="Q730" s="68"/>
      <x:c r="R730" s="67" t="str"/>
      <x:c r="S730" s="67" t="str"/>
    </x:row>
    <x:row r="731" ht="16" customHeight="1">
      <x:c r="A731" s="56" t="str">
        <x:v>SOC01.003</x:v>
      </x:c>
      <x:c r="B731" s="57" t="str">
        <x:v>Mover búsqueda a Explorar</x:v>
      </x:c>
      <x:c r="C731" s="62" t="str">
        <x:v>E</x:v>
      </x:c>
      <x:c r="D731" s="64" t="n">
        <x:f>'Detalle'!I357</x:f>
        <x:v>1</x:v>
      </x:c>
      <x:c r="E731" s="60" t="str">
        <x:f>'Detalle'!F357</x:f>
        <x:v>Completado</x:v>
      </x:c>
      <x:c r="F731" s="32" t="str">
        <x:f>IF(AND(F$8&lt;='Detalle'!$H357,F$9&gt;='Detalle'!$G357),1,"")</x:f>
      </x:c>
      <x:c r="G731" s="32" t="str">
        <x:f>IF(AND(G$8&lt;='Detalle'!$H357,G$9&gt;='Detalle'!$G357),1,"")</x:f>
      </x:c>
      <x:c r="H731" s="32" t="str">
        <x:f>IF(AND(H$8&lt;='Detalle'!$H357,H$9&gt;='Detalle'!$G357),1,"")</x:f>
      </x:c>
      <x:c r="I731" s="32" t="n">
        <x:f>IF(AND(I$8&lt;='Detalle'!$H357,I$9&gt;='Detalle'!$G357),1,"")</x:f>
        <x:v>1</x:v>
      </x:c>
      <x:c r="J731" s="32" t="str">
        <x:f>IF(AND(J$8&lt;='Detalle'!$H357,J$9&gt;='Detalle'!$G357),1,"")</x:f>
      </x:c>
      <x:c r="K731" s="32" t="str">
        <x:f>IF(AND(K$8&lt;='Detalle'!$H357,K$9&gt;='Detalle'!$G357),1,"")</x:f>
      </x:c>
      <x:c r="L731" s="32" t="str">
        <x:f>IF(AND(L$8&lt;='Detalle'!$H357,L$9&gt;='Detalle'!$G357),1,"")</x:f>
      </x:c>
      <x:c r="M731" s="32" t="str">
        <x:f>IF(AND(M$8&lt;='Detalle'!$H357,M$9&gt;='Detalle'!$G357),1,"")</x:f>
      </x:c>
      <x:c r="N731" s="32" t="str">
        <x:f>IF(AND(N$8&lt;='Detalle'!$H357,N$9&gt;='Detalle'!$G357),1,"")</x:f>
      </x:c>
      <x:c r="O731" s="32" t="str">
        <x:f>IF(AND(O$8&lt;='Detalle'!$H357,O$9&gt;='Detalle'!$G357),1,"")</x:f>
      </x:c>
      <x:c r="P731" s="32" t="str">
        <x:f>IF(AND(P$8&lt;='Detalle'!$H357,P$9&gt;='Detalle'!$G357),1,"")</x:f>
      </x:c>
      <x:c r="Q731" s="68"/>
      <x:c r="R731" s="67" t="str">
        <x:f>IF('Detalle'!M357="","",'Detalle'!M357)</x:f>
      </x:c>
      <x:c r="S731" s="67" t="str">
        <x:f>IF('Detalle'!N357="","",'Detalle'!N357)</x:f>
      </x:c>
    </x:row>
    <x:row r="732" ht="16" customHeight="1">
      <x:c r="A732" s="56" t="str">
        <x:v>SOC01.003</x:v>
      </x:c>
      <x:c r="B732" s="57" t="str">
        <x:v>Mover búsqueda a Explorar</x:v>
      </x:c>
      <x:c r="C732" s="63" t="str">
        <x:v>R</x:v>
      </x:c>
      <x:c r="D732" s="65" t="str">
        <x:f>IF('Detalle'!L357="","",'Detalle'!L357)</x:f>
      </x:c>
      <x:c r="E732" s="60" t="str"/>
      <x:c r="F732" s="32" t="str">
        <x:f>IF(OR('Detalle'!$J357="",'Detalle'!$K357="",'Detalle'!$L357=""),"",IF(AND(F$8&lt;='Detalle'!$K357,F$9&gt;='Detalle'!$J357),1,""))</x:f>
      </x:c>
      <x:c r="G732" s="32" t="str">
        <x:f>IF(OR('Detalle'!$J357="",'Detalle'!$K357="",'Detalle'!$L357=""),"",IF(AND(G$8&lt;='Detalle'!$K357,G$9&gt;='Detalle'!$J357),1,""))</x:f>
      </x:c>
      <x:c r="H732" s="32" t="str">
        <x:f>IF(OR('Detalle'!$J357="",'Detalle'!$K357="",'Detalle'!$L357=""),"",IF(AND(H$8&lt;='Detalle'!$K357,H$9&gt;='Detalle'!$J357),1,""))</x:f>
      </x:c>
      <x:c r="I732" s="32" t="str">
        <x:f>IF(OR('Detalle'!$J357="",'Detalle'!$K357="",'Detalle'!$L357=""),"",IF(AND(I$8&lt;='Detalle'!$K357,I$9&gt;='Detalle'!$J357),1,""))</x:f>
      </x:c>
      <x:c r="J732" s="32" t="str">
        <x:f>IF(OR('Detalle'!$J357="",'Detalle'!$K357="",'Detalle'!$L357=""),"",IF(AND(J$8&lt;='Detalle'!$K357,J$9&gt;='Detalle'!$J357),1,""))</x:f>
      </x:c>
      <x:c r="K732" s="32" t="str">
        <x:f>IF(OR('Detalle'!$J357="",'Detalle'!$K357="",'Detalle'!$L357=""),"",IF(AND(K$8&lt;='Detalle'!$K357,K$9&gt;='Detalle'!$J357),1,""))</x:f>
      </x:c>
      <x:c r="L732" s="32" t="str">
        <x:f>IF(OR('Detalle'!$J357="",'Detalle'!$K357="",'Detalle'!$L357=""),"",IF(AND(L$8&lt;='Detalle'!$K357,L$9&gt;='Detalle'!$J357),1,""))</x:f>
      </x:c>
      <x:c r="M732" s="32" t="str">
        <x:f>IF(OR('Detalle'!$J357="",'Detalle'!$K357="",'Detalle'!$L357=""),"",IF(AND(M$8&lt;='Detalle'!$K357,M$9&gt;='Detalle'!$J357),1,""))</x:f>
      </x:c>
      <x:c r="N732" s="32" t="str">
        <x:f>IF(OR('Detalle'!$J357="",'Detalle'!$K357="",'Detalle'!$L357=""),"",IF(AND(N$8&lt;='Detalle'!$K357,N$9&gt;='Detalle'!$J357),1,""))</x:f>
      </x:c>
      <x:c r="O732" s="32" t="str">
        <x:f>IF(OR('Detalle'!$J357="",'Detalle'!$K357="",'Detalle'!$L357=""),"",IF(AND(O$8&lt;='Detalle'!$K357,O$9&gt;='Detalle'!$J357),1,""))</x:f>
      </x:c>
      <x:c r="P732" s="32" t="str">
        <x:f>IF(OR('Detalle'!$J357="",'Detalle'!$K357="",'Detalle'!$L357=""),"",IF(AND(P$8&lt;='Detalle'!$K357,P$9&gt;='Detalle'!$J357),1,""))</x:f>
      </x:c>
      <x:c r="Q732" s="68"/>
      <x:c r="R732" s="67" t="str"/>
      <x:c r="S732" s="67" t="str"/>
    </x:row>
    <x:row r="733" ht="16" customHeight="1">
      <x:c r="A733" s="56" t="str">
        <x:v>SOC01.004</x:v>
      </x:c>
      <x:c r="B733" s="57" t="str">
        <x:v>Crear componente de post reutilizable</x:v>
      </x:c>
      <x:c r="C733" s="62" t="str">
        <x:v>E</x:v>
      </x:c>
      <x:c r="D733" s="64" t="n">
        <x:f>'Detalle'!I358</x:f>
        <x:v>1</x:v>
      </x:c>
      <x:c r="E733" s="60" t="str">
        <x:f>'Detalle'!F358</x:f>
        <x:v>Completado</x:v>
      </x:c>
      <x:c r="F733" s="32" t="str">
        <x:f>IF(AND(F$8&lt;='Detalle'!$H358,F$9&gt;='Detalle'!$G358),1,"")</x:f>
      </x:c>
      <x:c r="G733" s="32" t="str">
        <x:f>IF(AND(G$8&lt;='Detalle'!$H358,G$9&gt;='Detalle'!$G358),1,"")</x:f>
      </x:c>
      <x:c r="H733" s="32" t="str">
        <x:f>IF(AND(H$8&lt;='Detalle'!$H358,H$9&gt;='Detalle'!$G358),1,"")</x:f>
      </x:c>
      <x:c r="I733" s="32" t="n">
        <x:f>IF(AND(I$8&lt;='Detalle'!$H358,I$9&gt;='Detalle'!$G358),1,"")</x:f>
        <x:v>1</x:v>
      </x:c>
      <x:c r="J733" s="32" t="str">
        <x:f>IF(AND(J$8&lt;='Detalle'!$H358,J$9&gt;='Detalle'!$G358),1,"")</x:f>
      </x:c>
      <x:c r="K733" s="32" t="str">
        <x:f>IF(AND(K$8&lt;='Detalle'!$H358,K$9&gt;='Detalle'!$G358),1,"")</x:f>
      </x:c>
      <x:c r="L733" s="32" t="str">
        <x:f>IF(AND(L$8&lt;='Detalle'!$H358,L$9&gt;='Detalle'!$G358),1,"")</x:f>
      </x:c>
      <x:c r="M733" s="32" t="str">
        <x:f>IF(AND(M$8&lt;='Detalle'!$H358,M$9&gt;='Detalle'!$G358),1,"")</x:f>
      </x:c>
      <x:c r="N733" s="32" t="str">
        <x:f>IF(AND(N$8&lt;='Detalle'!$H358,N$9&gt;='Detalle'!$G358),1,"")</x:f>
      </x:c>
      <x:c r="O733" s="32" t="str">
        <x:f>IF(AND(O$8&lt;='Detalle'!$H358,O$9&gt;='Detalle'!$G358),1,"")</x:f>
      </x:c>
      <x:c r="P733" s="32" t="str">
        <x:f>IF(AND(P$8&lt;='Detalle'!$H358,P$9&gt;='Detalle'!$G358),1,"")</x:f>
      </x:c>
      <x:c r="Q733" s="68"/>
      <x:c r="R733" s="67" t="str">
        <x:f>IF('Detalle'!M358="","",'Detalle'!M358)</x:f>
      </x:c>
      <x:c r="S733" s="67" t="str">
        <x:f>IF('Detalle'!N358="","",'Detalle'!N358)</x:f>
      </x:c>
    </x:row>
    <x:row r="734" ht="16" customHeight="1">
      <x:c r="A734" s="56" t="str">
        <x:v>SOC01.004</x:v>
      </x:c>
      <x:c r="B734" s="57" t="str">
        <x:v>Crear componente de post reutilizable</x:v>
      </x:c>
      <x:c r="C734" s="63" t="str">
        <x:v>R</x:v>
      </x:c>
      <x:c r="D734" s="65" t="str">
        <x:f>IF('Detalle'!L358="","",'Detalle'!L358)</x:f>
      </x:c>
      <x:c r="E734" s="60" t="str"/>
      <x:c r="F734" s="32" t="str">
        <x:f>IF(OR('Detalle'!$J358="",'Detalle'!$K358="",'Detalle'!$L358=""),"",IF(AND(F$8&lt;='Detalle'!$K358,F$9&gt;='Detalle'!$J358),1,""))</x:f>
      </x:c>
      <x:c r="G734" s="32" t="str">
        <x:f>IF(OR('Detalle'!$J358="",'Detalle'!$K358="",'Detalle'!$L358=""),"",IF(AND(G$8&lt;='Detalle'!$K358,G$9&gt;='Detalle'!$J358),1,""))</x:f>
      </x:c>
      <x:c r="H734" s="32" t="str">
        <x:f>IF(OR('Detalle'!$J358="",'Detalle'!$K358="",'Detalle'!$L358=""),"",IF(AND(H$8&lt;='Detalle'!$K358,H$9&gt;='Detalle'!$J358),1,""))</x:f>
      </x:c>
      <x:c r="I734" s="32" t="str">
        <x:f>IF(OR('Detalle'!$J358="",'Detalle'!$K358="",'Detalle'!$L358=""),"",IF(AND(I$8&lt;='Detalle'!$K358,I$9&gt;='Detalle'!$J358),1,""))</x:f>
      </x:c>
      <x:c r="J734" s="32" t="str">
        <x:f>IF(OR('Detalle'!$J358="",'Detalle'!$K358="",'Detalle'!$L358=""),"",IF(AND(J$8&lt;='Detalle'!$K358,J$9&gt;='Detalle'!$J358),1,""))</x:f>
      </x:c>
      <x:c r="K734" s="32" t="str">
        <x:f>IF(OR('Detalle'!$J358="",'Detalle'!$K358="",'Detalle'!$L358=""),"",IF(AND(K$8&lt;='Detalle'!$K358,K$9&gt;='Detalle'!$J358),1,""))</x:f>
      </x:c>
      <x:c r="L734" s="32" t="str">
        <x:f>IF(OR('Detalle'!$J358="",'Detalle'!$K358="",'Detalle'!$L358=""),"",IF(AND(L$8&lt;='Detalle'!$K358,L$9&gt;='Detalle'!$J358),1,""))</x:f>
      </x:c>
      <x:c r="M734" s="32" t="str">
        <x:f>IF(OR('Detalle'!$J358="",'Detalle'!$K358="",'Detalle'!$L358=""),"",IF(AND(M$8&lt;='Detalle'!$K358,M$9&gt;='Detalle'!$J358),1,""))</x:f>
      </x:c>
      <x:c r="N734" s="32" t="str">
        <x:f>IF(OR('Detalle'!$J358="",'Detalle'!$K358="",'Detalle'!$L358=""),"",IF(AND(N$8&lt;='Detalle'!$K358,N$9&gt;='Detalle'!$J358),1,""))</x:f>
      </x:c>
      <x:c r="O734" s="32" t="str">
        <x:f>IF(OR('Detalle'!$J358="",'Detalle'!$K358="",'Detalle'!$L358=""),"",IF(AND(O$8&lt;='Detalle'!$K358,O$9&gt;='Detalle'!$J358),1,""))</x:f>
      </x:c>
      <x:c r="P734" s="32" t="str">
        <x:f>IF(OR('Detalle'!$J358="",'Detalle'!$K358="",'Detalle'!$L358=""),"",IF(AND(P$8&lt;='Detalle'!$K358,P$9&gt;='Detalle'!$J358),1,""))</x:f>
      </x:c>
      <x:c r="Q734" s="68"/>
      <x:c r="R734" s="67" t="str"/>
      <x:c r="S734" s="67" t="str"/>
    </x:row>
    <x:row r="735" ht="16" customHeight="1">
      <x:c r="A735" s="56" t="str">
        <x:v>SOC01.005</x:v>
      </x:c>
      <x:c r="B735" s="57" t="str">
        <x:v>Aplicar ancho máximo de post</x:v>
      </x:c>
      <x:c r="C735" s="62" t="str">
        <x:v>E</x:v>
      </x:c>
      <x:c r="D735" s="64" t="n">
        <x:f>'Detalle'!I359</x:f>
        <x:v>1</x:v>
      </x:c>
      <x:c r="E735" s="60" t="str">
        <x:f>'Detalle'!F359</x:f>
        <x:v>Completado</x:v>
      </x:c>
      <x:c r="F735" s="32" t="str">
        <x:f>IF(AND(F$8&lt;='Detalle'!$H359,F$9&gt;='Detalle'!$G359),1,"")</x:f>
      </x:c>
      <x:c r="G735" s="32" t="str">
        <x:f>IF(AND(G$8&lt;='Detalle'!$H359,G$9&gt;='Detalle'!$G359),1,"")</x:f>
      </x:c>
      <x:c r="H735" s="32" t="str">
        <x:f>IF(AND(H$8&lt;='Detalle'!$H359,H$9&gt;='Detalle'!$G359),1,"")</x:f>
      </x:c>
      <x:c r="I735" s="32" t="n">
        <x:f>IF(AND(I$8&lt;='Detalle'!$H359,I$9&gt;='Detalle'!$G359),1,"")</x:f>
        <x:v>1</x:v>
      </x:c>
      <x:c r="J735" s="32" t="str">
        <x:f>IF(AND(J$8&lt;='Detalle'!$H359,J$9&gt;='Detalle'!$G359),1,"")</x:f>
      </x:c>
      <x:c r="K735" s="32" t="str">
        <x:f>IF(AND(K$8&lt;='Detalle'!$H359,K$9&gt;='Detalle'!$G359),1,"")</x:f>
      </x:c>
      <x:c r="L735" s="32" t="str">
        <x:f>IF(AND(L$8&lt;='Detalle'!$H359,L$9&gt;='Detalle'!$G359),1,"")</x:f>
      </x:c>
      <x:c r="M735" s="32" t="str">
        <x:f>IF(AND(M$8&lt;='Detalle'!$H359,M$9&gt;='Detalle'!$G359),1,"")</x:f>
      </x:c>
      <x:c r="N735" s="32" t="str">
        <x:f>IF(AND(N$8&lt;='Detalle'!$H359,N$9&gt;='Detalle'!$G359),1,"")</x:f>
      </x:c>
      <x:c r="O735" s="32" t="str">
        <x:f>IF(AND(O$8&lt;='Detalle'!$H359,O$9&gt;='Detalle'!$G359),1,"")</x:f>
      </x:c>
      <x:c r="P735" s="32" t="str">
        <x:f>IF(AND(P$8&lt;='Detalle'!$H359,P$9&gt;='Detalle'!$G359),1,"")</x:f>
      </x:c>
      <x:c r="Q735" s="68"/>
      <x:c r="R735" s="67" t="str">
        <x:f>IF('Detalle'!M359="","",'Detalle'!M359)</x:f>
      </x:c>
      <x:c r="S735" s="67" t="str">
        <x:f>IF('Detalle'!N359="","",'Detalle'!N359)</x:f>
      </x:c>
    </x:row>
    <x:row r="736" ht="16" customHeight="1">
      <x:c r="A736" s="56" t="str">
        <x:v>SOC01.005</x:v>
      </x:c>
      <x:c r="B736" s="57" t="str">
        <x:v>Aplicar ancho máximo de post</x:v>
      </x:c>
      <x:c r="C736" s="63" t="str">
        <x:v>R</x:v>
      </x:c>
      <x:c r="D736" s="65" t="str">
        <x:f>IF('Detalle'!L359="","",'Detalle'!L359)</x:f>
      </x:c>
      <x:c r="E736" s="60" t="str"/>
      <x:c r="F736" s="32" t="str">
        <x:f>IF(OR('Detalle'!$J359="",'Detalle'!$K359="",'Detalle'!$L359=""),"",IF(AND(F$8&lt;='Detalle'!$K359,F$9&gt;='Detalle'!$J359),1,""))</x:f>
      </x:c>
      <x:c r="G736" s="32" t="str">
        <x:f>IF(OR('Detalle'!$J359="",'Detalle'!$K359="",'Detalle'!$L359=""),"",IF(AND(G$8&lt;='Detalle'!$K359,G$9&gt;='Detalle'!$J359),1,""))</x:f>
      </x:c>
      <x:c r="H736" s="32" t="str">
        <x:f>IF(OR('Detalle'!$J359="",'Detalle'!$K359="",'Detalle'!$L359=""),"",IF(AND(H$8&lt;='Detalle'!$K359,H$9&gt;='Detalle'!$J359),1,""))</x:f>
      </x:c>
      <x:c r="I736" s="32" t="str">
        <x:f>IF(OR('Detalle'!$J359="",'Detalle'!$K359="",'Detalle'!$L359=""),"",IF(AND(I$8&lt;='Detalle'!$K359,I$9&gt;='Detalle'!$J359),1,""))</x:f>
      </x:c>
      <x:c r="J736" s="32" t="str">
        <x:f>IF(OR('Detalle'!$J359="",'Detalle'!$K359="",'Detalle'!$L359=""),"",IF(AND(J$8&lt;='Detalle'!$K359,J$9&gt;='Detalle'!$J359),1,""))</x:f>
      </x:c>
      <x:c r="K736" s="32" t="str">
        <x:f>IF(OR('Detalle'!$J359="",'Detalle'!$K359="",'Detalle'!$L359=""),"",IF(AND(K$8&lt;='Detalle'!$K359,K$9&gt;='Detalle'!$J359),1,""))</x:f>
      </x:c>
      <x:c r="L736" s="32" t="str">
        <x:f>IF(OR('Detalle'!$J359="",'Detalle'!$K359="",'Detalle'!$L359=""),"",IF(AND(L$8&lt;='Detalle'!$K359,L$9&gt;='Detalle'!$J359),1,""))</x:f>
      </x:c>
      <x:c r="M736" s="32" t="str">
        <x:f>IF(OR('Detalle'!$J359="",'Detalle'!$K359="",'Detalle'!$L359=""),"",IF(AND(M$8&lt;='Detalle'!$K359,M$9&gt;='Detalle'!$J359),1,""))</x:f>
      </x:c>
      <x:c r="N736" s="32" t="str">
        <x:f>IF(OR('Detalle'!$J359="",'Detalle'!$K359="",'Detalle'!$L359=""),"",IF(AND(N$8&lt;='Detalle'!$K359,N$9&gt;='Detalle'!$J359),1,""))</x:f>
      </x:c>
      <x:c r="O736" s="32" t="str">
        <x:f>IF(OR('Detalle'!$J359="",'Detalle'!$K359="",'Detalle'!$L359=""),"",IF(AND(O$8&lt;='Detalle'!$K359,O$9&gt;='Detalle'!$J359),1,""))</x:f>
      </x:c>
      <x:c r="P736" s="32" t="str">
        <x:f>IF(OR('Detalle'!$J359="",'Detalle'!$K359="",'Detalle'!$L359=""),"",IF(AND(P$8&lt;='Detalle'!$K359,P$9&gt;='Detalle'!$J359),1,""))</x:f>
      </x:c>
      <x:c r="Q736" s="68"/>
      <x:c r="R736" s="67" t="str"/>
      <x:c r="S736" s="67" t="str"/>
    </x:row>
    <x:row r="737" ht="16" customHeight="1">
      <x:c r="A737" s="56" t="str">
        <x:v>SOC01.006</x:v>
      </x:c>
      <x:c r="B737" s="57" t="str">
        <x:v>Mostrar imagen completa sin deformación</x:v>
      </x:c>
      <x:c r="C737" s="62" t="str">
        <x:v>E</x:v>
      </x:c>
      <x:c r="D737" s="64" t="n">
        <x:f>'Detalle'!I360</x:f>
        <x:v>1</x:v>
      </x:c>
      <x:c r="E737" s="60" t="str">
        <x:f>'Detalle'!F360</x:f>
        <x:v>Completado</x:v>
      </x:c>
      <x:c r="F737" s="32" t="str">
        <x:f>IF(AND(F$8&lt;='Detalle'!$H360,F$9&gt;='Detalle'!$G360),1,"")</x:f>
      </x:c>
      <x:c r="G737" s="32" t="str">
        <x:f>IF(AND(G$8&lt;='Detalle'!$H360,G$9&gt;='Detalle'!$G360),1,"")</x:f>
      </x:c>
      <x:c r="H737" s="32" t="str">
        <x:f>IF(AND(H$8&lt;='Detalle'!$H360,H$9&gt;='Detalle'!$G360),1,"")</x:f>
      </x:c>
      <x:c r="I737" s="32" t="n">
        <x:f>IF(AND(I$8&lt;='Detalle'!$H360,I$9&gt;='Detalle'!$G360),1,"")</x:f>
        <x:v>1</x:v>
      </x:c>
      <x:c r="J737" s="32" t="str">
        <x:f>IF(AND(J$8&lt;='Detalle'!$H360,J$9&gt;='Detalle'!$G360),1,"")</x:f>
      </x:c>
      <x:c r="K737" s="32" t="str">
        <x:f>IF(AND(K$8&lt;='Detalle'!$H360,K$9&gt;='Detalle'!$G360),1,"")</x:f>
      </x:c>
      <x:c r="L737" s="32" t="str">
        <x:f>IF(AND(L$8&lt;='Detalle'!$H360,L$9&gt;='Detalle'!$G360),1,"")</x:f>
      </x:c>
      <x:c r="M737" s="32" t="str">
        <x:f>IF(AND(M$8&lt;='Detalle'!$H360,M$9&gt;='Detalle'!$G360),1,"")</x:f>
      </x:c>
      <x:c r="N737" s="32" t="str">
        <x:f>IF(AND(N$8&lt;='Detalle'!$H360,N$9&gt;='Detalle'!$G360),1,"")</x:f>
      </x:c>
      <x:c r="O737" s="32" t="str">
        <x:f>IF(AND(O$8&lt;='Detalle'!$H360,O$9&gt;='Detalle'!$G360),1,"")</x:f>
      </x:c>
      <x:c r="P737" s="32" t="str">
        <x:f>IF(AND(P$8&lt;='Detalle'!$H360,P$9&gt;='Detalle'!$G360),1,"")</x:f>
      </x:c>
      <x:c r="Q737" s="68"/>
      <x:c r="R737" s="67" t="str">
        <x:f>IF('Detalle'!M360="","",'Detalle'!M360)</x:f>
      </x:c>
      <x:c r="S737" s="67" t="str">
        <x:f>IF('Detalle'!N360="","",'Detalle'!N360)</x:f>
      </x:c>
    </x:row>
    <x:row r="738" ht="16" customHeight="1">
      <x:c r="A738" s="56" t="str">
        <x:v>SOC01.006</x:v>
      </x:c>
      <x:c r="B738" s="57" t="str">
        <x:v>Mostrar imagen completa sin deformación</x:v>
      </x:c>
      <x:c r="C738" s="63" t="str">
        <x:v>R</x:v>
      </x:c>
      <x:c r="D738" s="65" t="str">
        <x:f>IF('Detalle'!L360="","",'Detalle'!L360)</x:f>
      </x:c>
      <x:c r="E738" s="60" t="str"/>
      <x:c r="F738" s="32" t="str">
        <x:f>IF(OR('Detalle'!$J360="",'Detalle'!$K360="",'Detalle'!$L360=""),"",IF(AND(F$8&lt;='Detalle'!$K360,F$9&gt;='Detalle'!$J360),1,""))</x:f>
      </x:c>
      <x:c r="G738" s="32" t="str">
        <x:f>IF(OR('Detalle'!$J360="",'Detalle'!$K360="",'Detalle'!$L360=""),"",IF(AND(G$8&lt;='Detalle'!$K360,G$9&gt;='Detalle'!$J360),1,""))</x:f>
      </x:c>
      <x:c r="H738" s="32" t="str">
        <x:f>IF(OR('Detalle'!$J360="",'Detalle'!$K360="",'Detalle'!$L360=""),"",IF(AND(H$8&lt;='Detalle'!$K360,H$9&gt;='Detalle'!$J360),1,""))</x:f>
      </x:c>
      <x:c r="I738" s="32" t="str">
        <x:f>IF(OR('Detalle'!$J360="",'Detalle'!$K360="",'Detalle'!$L360=""),"",IF(AND(I$8&lt;='Detalle'!$K360,I$9&gt;='Detalle'!$J360),1,""))</x:f>
      </x:c>
      <x:c r="J738" s="32" t="str">
        <x:f>IF(OR('Detalle'!$J360="",'Detalle'!$K360="",'Detalle'!$L360=""),"",IF(AND(J$8&lt;='Detalle'!$K360,J$9&gt;='Detalle'!$J360),1,""))</x:f>
      </x:c>
      <x:c r="K738" s="32" t="str">
        <x:f>IF(OR('Detalle'!$J360="",'Detalle'!$K360="",'Detalle'!$L360=""),"",IF(AND(K$8&lt;='Detalle'!$K360,K$9&gt;='Detalle'!$J360),1,""))</x:f>
      </x:c>
      <x:c r="L738" s="32" t="str">
        <x:f>IF(OR('Detalle'!$J360="",'Detalle'!$K360="",'Detalle'!$L360=""),"",IF(AND(L$8&lt;='Detalle'!$K360,L$9&gt;='Detalle'!$J360),1,""))</x:f>
      </x:c>
      <x:c r="M738" s="32" t="str">
        <x:f>IF(OR('Detalle'!$J360="",'Detalle'!$K360="",'Detalle'!$L360=""),"",IF(AND(M$8&lt;='Detalle'!$K360,M$9&gt;='Detalle'!$J360),1,""))</x:f>
      </x:c>
      <x:c r="N738" s="32" t="str">
        <x:f>IF(OR('Detalle'!$J360="",'Detalle'!$K360="",'Detalle'!$L360=""),"",IF(AND(N$8&lt;='Detalle'!$K360,N$9&gt;='Detalle'!$J360),1,""))</x:f>
      </x:c>
      <x:c r="O738" s="32" t="str">
        <x:f>IF(OR('Detalle'!$J360="",'Detalle'!$K360="",'Detalle'!$L360=""),"",IF(AND(O$8&lt;='Detalle'!$K360,O$9&gt;='Detalle'!$J360),1,""))</x:f>
      </x:c>
      <x:c r="P738" s="32" t="str">
        <x:f>IF(OR('Detalle'!$J360="",'Detalle'!$K360="",'Detalle'!$L360=""),"",IF(AND(P$8&lt;='Detalle'!$K360,P$9&gt;='Detalle'!$J360),1,""))</x:f>
      </x:c>
      <x:c r="Q738" s="68"/>
      <x:c r="R738" s="67" t="str"/>
      <x:c r="S738" s="67" t="str"/>
    </x:row>
    <x:row r="739" ht="16" customHeight="1">
      <x:c r="A739" s="56" t="str">
        <x:v>SOC01.007</x:v>
      </x:c>
      <x:c r="B739" s="57" t="str">
        <x:v>Centrar lectura de posts sin fotografía</x:v>
      </x:c>
      <x:c r="C739" s="62" t="str">
        <x:v>E</x:v>
      </x:c>
      <x:c r="D739" s="64" t="n">
        <x:f>'Detalle'!I361</x:f>
        <x:v>1</x:v>
      </x:c>
      <x:c r="E739" s="60" t="str">
        <x:f>'Detalle'!F361</x:f>
        <x:v>Completado</x:v>
      </x:c>
      <x:c r="F739" s="32" t="str">
        <x:f>IF(AND(F$8&lt;='Detalle'!$H361,F$9&gt;='Detalle'!$G361),1,"")</x:f>
      </x:c>
      <x:c r="G739" s="32" t="str">
        <x:f>IF(AND(G$8&lt;='Detalle'!$H361,G$9&gt;='Detalle'!$G361),1,"")</x:f>
      </x:c>
      <x:c r="H739" s="32" t="str">
        <x:f>IF(AND(H$8&lt;='Detalle'!$H361,H$9&gt;='Detalle'!$G361),1,"")</x:f>
      </x:c>
      <x:c r="I739" s="32" t="n">
        <x:f>IF(AND(I$8&lt;='Detalle'!$H361,I$9&gt;='Detalle'!$G361),1,"")</x:f>
        <x:v>1</x:v>
      </x:c>
      <x:c r="J739" s="32" t="str">
        <x:f>IF(AND(J$8&lt;='Detalle'!$H361,J$9&gt;='Detalle'!$G361),1,"")</x:f>
      </x:c>
      <x:c r="K739" s="32" t="str">
        <x:f>IF(AND(K$8&lt;='Detalle'!$H361,K$9&gt;='Detalle'!$G361),1,"")</x:f>
      </x:c>
      <x:c r="L739" s="32" t="str">
        <x:f>IF(AND(L$8&lt;='Detalle'!$H361,L$9&gt;='Detalle'!$G361),1,"")</x:f>
      </x:c>
      <x:c r="M739" s="32" t="str">
        <x:f>IF(AND(M$8&lt;='Detalle'!$H361,M$9&gt;='Detalle'!$G361),1,"")</x:f>
      </x:c>
      <x:c r="N739" s="32" t="str">
        <x:f>IF(AND(N$8&lt;='Detalle'!$H361,N$9&gt;='Detalle'!$G361),1,"")</x:f>
      </x:c>
      <x:c r="O739" s="32" t="str">
        <x:f>IF(AND(O$8&lt;='Detalle'!$H361,O$9&gt;='Detalle'!$G361),1,"")</x:f>
      </x:c>
      <x:c r="P739" s="32" t="str">
        <x:f>IF(AND(P$8&lt;='Detalle'!$H361,P$9&gt;='Detalle'!$G361),1,"")</x:f>
      </x:c>
      <x:c r="Q739" s="68"/>
      <x:c r="R739" s="67" t="str">
        <x:f>IF('Detalle'!M361="","",'Detalle'!M361)</x:f>
      </x:c>
      <x:c r="S739" s="67" t="str">
        <x:f>IF('Detalle'!N361="","",'Detalle'!N361)</x:f>
      </x:c>
    </x:row>
    <x:row r="740" ht="16" customHeight="1">
      <x:c r="A740" s="56" t="str">
        <x:v>SOC01.007</x:v>
      </x:c>
      <x:c r="B740" s="57" t="str">
        <x:v>Centrar lectura de posts sin fotografía</x:v>
      </x:c>
      <x:c r="C740" s="63" t="str">
        <x:v>R</x:v>
      </x:c>
      <x:c r="D740" s="65" t="str">
        <x:f>IF('Detalle'!L361="","",'Detalle'!L361)</x:f>
      </x:c>
      <x:c r="E740" s="60" t="str"/>
      <x:c r="F740" s="32" t="str">
        <x:f>IF(OR('Detalle'!$J361="",'Detalle'!$K361="",'Detalle'!$L361=""),"",IF(AND(F$8&lt;='Detalle'!$K361,F$9&gt;='Detalle'!$J361),1,""))</x:f>
      </x:c>
      <x:c r="G740" s="32" t="str">
        <x:f>IF(OR('Detalle'!$J361="",'Detalle'!$K361="",'Detalle'!$L361=""),"",IF(AND(G$8&lt;='Detalle'!$K361,G$9&gt;='Detalle'!$J361),1,""))</x:f>
      </x:c>
      <x:c r="H740" s="32" t="str">
        <x:f>IF(OR('Detalle'!$J361="",'Detalle'!$K361="",'Detalle'!$L361=""),"",IF(AND(H$8&lt;='Detalle'!$K361,H$9&gt;='Detalle'!$J361),1,""))</x:f>
      </x:c>
      <x:c r="I740" s="32" t="str">
        <x:f>IF(OR('Detalle'!$J361="",'Detalle'!$K361="",'Detalle'!$L361=""),"",IF(AND(I$8&lt;='Detalle'!$K361,I$9&gt;='Detalle'!$J361),1,""))</x:f>
      </x:c>
      <x:c r="J740" s="32" t="str">
        <x:f>IF(OR('Detalle'!$J361="",'Detalle'!$K361="",'Detalle'!$L361=""),"",IF(AND(J$8&lt;='Detalle'!$K361,J$9&gt;='Detalle'!$J361),1,""))</x:f>
      </x:c>
      <x:c r="K740" s="32" t="str">
        <x:f>IF(OR('Detalle'!$J361="",'Detalle'!$K361="",'Detalle'!$L361=""),"",IF(AND(K$8&lt;='Detalle'!$K361,K$9&gt;='Detalle'!$J361),1,""))</x:f>
      </x:c>
      <x:c r="L740" s="32" t="str">
        <x:f>IF(OR('Detalle'!$J361="",'Detalle'!$K361="",'Detalle'!$L361=""),"",IF(AND(L$8&lt;='Detalle'!$K361,L$9&gt;='Detalle'!$J361),1,""))</x:f>
      </x:c>
      <x:c r="M740" s="32" t="str">
        <x:f>IF(OR('Detalle'!$J361="",'Detalle'!$K361="",'Detalle'!$L361=""),"",IF(AND(M$8&lt;='Detalle'!$K361,M$9&gt;='Detalle'!$J361),1,""))</x:f>
      </x:c>
      <x:c r="N740" s="32" t="str">
        <x:f>IF(OR('Detalle'!$J361="",'Detalle'!$K361="",'Detalle'!$L361=""),"",IF(AND(N$8&lt;='Detalle'!$K361,N$9&gt;='Detalle'!$J361),1,""))</x:f>
      </x:c>
      <x:c r="O740" s="32" t="str">
        <x:f>IF(OR('Detalle'!$J361="",'Detalle'!$K361="",'Detalle'!$L361=""),"",IF(AND(O$8&lt;='Detalle'!$K361,O$9&gt;='Detalle'!$J361),1,""))</x:f>
      </x:c>
      <x:c r="P740" s="32" t="str">
        <x:f>IF(OR('Detalle'!$J361="",'Detalle'!$K361="",'Detalle'!$L361=""),"",IF(AND(P$8&lt;='Detalle'!$K361,P$9&gt;='Detalle'!$J361),1,""))</x:f>
      </x:c>
      <x:c r="Q740" s="68"/>
      <x:c r="R740" s="67" t="str"/>
      <x:c r="S740" s="67" t="str"/>
    </x:row>
    <x:row r="741" ht="16" customHeight="1">
      <x:c r="A741" s="56" t="str">
        <x:v>SOC01.008</x:v>
      </x:c>
      <x:c r="B741" s="57" t="str">
        <x:v>Mostrar autor, avatar y metadata reales</x:v>
      </x:c>
      <x:c r="C741" s="62" t="str">
        <x:v>E</x:v>
      </x:c>
      <x:c r="D741" s="64" t="n">
        <x:f>'Detalle'!I362</x:f>
        <x:v>1</x:v>
      </x:c>
      <x:c r="E741" s="60" t="str">
        <x:f>'Detalle'!F362</x:f>
        <x:v>Completado</x:v>
      </x:c>
      <x:c r="F741" s="32" t="str">
        <x:f>IF(AND(F$8&lt;='Detalle'!$H362,F$9&gt;='Detalle'!$G362),1,"")</x:f>
      </x:c>
      <x:c r="G741" s="32" t="str">
        <x:f>IF(AND(G$8&lt;='Detalle'!$H362,G$9&gt;='Detalle'!$G362),1,"")</x:f>
      </x:c>
      <x:c r="H741" s="32" t="str">
        <x:f>IF(AND(H$8&lt;='Detalle'!$H362,H$9&gt;='Detalle'!$G362),1,"")</x:f>
      </x:c>
      <x:c r="I741" s="32" t="n">
        <x:f>IF(AND(I$8&lt;='Detalle'!$H362,I$9&gt;='Detalle'!$G362),1,"")</x:f>
        <x:v>1</x:v>
      </x:c>
      <x:c r="J741" s="32" t="str">
        <x:f>IF(AND(J$8&lt;='Detalle'!$H362,J$9&gt;='Detalle'!$G362),1,"")</x:f>
      </x:c>
      <x:c r="K741" s="32" t="str">
        <x:f>IF(AND(K$8&lt;='Detalle'!$H362,K$9&gt;='Detalle'!$G362),1,"")</x:f>
      </x:c>
      <x:c r="L741" s="32" t="str">
        <x:f>IF(AND(L$8&lt;='Detalle'!$H362,L$9&gt;='Detalle'!$G362),1,"")</x:f>
      </x:c>
      <x:c r="M741" s="32" t="str">
        <x:f>IF(AND(M$8&lt;='Detalle'!$H362,M$9&gt;='Detalle'!$G362),1,"")</x:f>
      </x:c>
      <x:c r="N741" s="32" t="str">
        <x:f>IF(AND(N$8&lt;='Detalle'!$H362,N$9&gt;='Detalle'!$G362),1,"")</x:f>
      </x:c>
      <x:c r="O741" s="32" t="str">
        <x:f>IF(AND(O$8&lt;='Detalle'!$H362,O$9&gt;='Detalle'!$G362),1,"")</x:f>
      </x:c>
      <x:c r="P741" s="32" t="str">
        <x:f>IF(AND(P$8&lt;='Detalle'!$H362,P$9&gt;='Detalle'!$G362),1,"")</x:f>
      </x:c>
      <x:c r="Q741" s="68"/>
      <x:c r="R741" s="67" t="str">
        <x:f>IF('Detalle'!M362="","",'Detalle'!M362)</x:f>
      </x:c>
      <x:c r="S741" s="67" t="str">
        <x:f>IF('Detalle'!N362="","",'Detalle'!N362)</x:f>
      </x:c>
    </x:row>
    <x:row r="742" ht="16" customHeight="1">
      <x:c r="A742" s="56" t="str">
        <x:v>SOC01.008</x:v>
      </x:c>
      <x:c r="B742" s="57" t="str">
        <x:v>Mostrar autor, avatar y metadata reales</x:v>
      </x:c>
      <x:c r="C742" s="63" t="str">
        <x:v>R</x:v>
      </x:c>
      <x:c r="D742" s="65" t="str">
        <x:f>IF('Detalle'!L362="","",'Detalle'!L362)</x:f>
      </x:c>
      <x:c r="E742" s="60" t="str"/>
      <x:c r="F742" s="32" t="str">
        <x:f>IF(OR('Detalle'!$J362="",'Detalle'!$K362="",'Detalle'!$L362=""),"",IF(AND(F$8&lt;='Detalle'!$K362,F$9&gt;='Detalle'!$J362),1,""))</x:f>
      </x:c>
      <x:c r="G742" s="32" t="str">
        <x:f>IF(OR('Detalle'!$J362="",'Detalle'!$K362="",'Detalle'!$L362=""),"",IF(AND(G$8&lt;='Detalle'!$K362,G$9&gt;='Detalle'!$J362),1,""))</x:f>
      </x:c>
      <x:c r="H742" s="32" t="str">
        <x:f>IF(OR('Detalle'!$J362="",'Detalle'!$K362="",'Detalle'!$L362=""),"",IF(AND(H$8&lt;='Detalle'!$K362,H$9&gt;='Detalle'!$J362),1,""))</x:f>
      </x:c>
      <x:c r="I742" s="32" t="str">
        <x:f>IF(OR('Detalle'!$J362="",'Detalle'!$K362="",'Detalle'!$L362=""),"",IF(AND(I$8&lt;='Detalle'!$K362,I$9&gt;='Detalle'!$J362),1,""))</x:f>
      </x:c>
      <x:c r="J742" s="32" t="str">
        <x:f>IF(OR('Detalle'!$J362="",'Detalle'!$K362="",'Detalle'!$L362=""),"",IF(AND(J$8&lt;='Detalle'!$K362,J$9&gt;='Detalle'!$J362),1,""))</x:f>
      </x:c>
      <x:c r="K742" s="32" t="str">
        <x:f>IF(OR('Detalle'!$J362="",'Detalle'!$K362="",'Detalle'!$L362=""),"",IF(AND(K$8&lt;='Detalle'!$K362,K$9&gt;='Detalle'!$J362),1,""))</x:f>
      </x:c>
      <x:c r="L742" s="32" t="str">
        <x:f>IF(OR('Detalle'!$J362="",'Detalle'!$K362="",'Detalle'!$L362=""),"",IF(AND(L$8&lt;='Detalle'!$K362,L$9&gt;='Detalle'!$J362),1,""))</x:f>
      </x:c>
      <x:c r="M742" s="32" t="str">
        <x:f>IF(OR('Detalle'!$J362="",'Detalle'!$K362="",'Detalle'!$L362=""),"",IF(AND(M$8&lt;='Detalle'!$K362,M$9&gt;='Detalle'!$J362),1,""))</x:f>
      </x:c>
      <x:c r="N742" s="32" t="str">
        <x:f>IF(OR('Detalle'!$J362="",'Detalle'!$K362="",'Detalle'!$L362=""),"",IF(AND(N$8&lt;='Detalle'!$K362,N$9&gt;='Detalle'!$J362),1,""))</x:f>
      </x:c>
      <x:c r="O742" s="32" t="str">
        <x:f>IF(OR('Detalle'!$J362="",'Detalle'!$K362="",'Detalle'!$L362=""),"",IF(AND(O$8&lt;='Detalle'!$K362,O$9&gt;='Detalle'!$J362),1,""))</x:f>
      </x:c>
      <x:c r="P742" s="32" t="str">
        <x:f>IF(OR('Detalle'!$J362="",'Detalle'!$K362="",'Detalle'!$L362=""),"",IF(AND(P$8&lt;='Detalle'!$K362,P$9&gt;='Detalle'!$J362),1,""))</x:f>
      </x:c>
      <x:c r="Q742" s="68"/>
      <x:c r="R742" s="67" t="str"/>
      <x:c r="S742" s="67" t="str"/>
    </x:row>
    <x:row r="743" ht="16" customHeight="1">
      <x:c r="A743" s="56" t="str">
        <x:v>SOC01.009</x:v>
      </x:c>
      <x:c r="B743" s="57" t="str">
        <x:v>Expandir texto dentro del post</x:v>
      </x:c>
      <x:c r="C743" s="62" t="str">
        <x:v>E</x:v>
      </x:c>
      <x:c r="D743" s="64" t="n">
        <x:f>'Detalle'!I363</x:f>
        <x:v>1</x:v>
      </x:c>
      <x:c r="E743" s="60" t="str">
        <x:f>'Detalle'!F363</x:f>
        <x:v>Completado</x:v>
      </x:c>
      <x:c r="F743" s="32" t="str">
        <x:f>IF(AND(F$8&lt;='Detalle'!$H363,F$9&gt;='Detalle'!$G363),1,"")</x:f>
      </x:c>
      <x:c r="G743" s="32" t="str">
        <x:f>IF(AND(G$8&lt;='Detalle'!$H363,G$9&gt;='Detalle'!$G363),1,"")</x:f>
      </x:c>
      <x:c r="H743" s="32" t="str">
        <x:f>IF(AND(H$8&lt;='Detalle'!$H363,H$9&gt;='Detalle'!$G363),1,"")</x:f>
      </x:c>
      <x:c r="I743" s="32" t="n">
        <x:f>IF(AND(I$8&lt;='Detalle'!$H363,I$9&gt;='Detalle'!$G363),1,"")</x:f>
        <x:v>1</x:v>
      </x:c>
      <x:c r="J743" s="32" t="str">
        <x:f>IF(AND(J$8&lt;='Detalle'!$H363,J$9&gt;='Detalle'!$G363),1,"")</x:f>
      </x:c>
      <x:c r="K743" s="32" t="str">
        <x:f>IF(AND(K$8&lt;='Detalle'!$H363,K$9&gt;='Detalle'!$G363),1,"")</x:f>
      </x:c>
      <x:c r="L743" s="32" t="str">
        <x:f>IF(AND(L$8&lt;='Detalle'!$H363,L$9&gt;='Detalle'!$G363),1,"")</x:f>
      </x:c>
      <x:c r="M743" s="32" t="str">
        <x:f>IF(AND(M$8&lt;='Detalle'!$H363,M$9&gt;='Detalle'!$G363),1,"")</x:f>
      </x:c>
      <x:c r="N743" s="32" t="str">
        <x:f>IF(AND(N$8&lt;='Detalle'!$H363,N$9&gt;='Detalle'!$G363),1,"")</x:f>
      </x:c>
      <x:c r="O743" s="32" t="str">
        <x:f>IF(AND(O$8&lt;='Detalle'!$H363,O$9&gt;='Detalle'!$G363),1,"")</x:f>
      </x:c>
      <x:c r="P743" s="32" t="str">
        <x:f>IF(AND(P$8&lt;='Detalle'!$H363,P$9&gt;='Detalle'!$G363),1,"")</x:f>
      </x:c>
      <x:c r="Q743" s="68"/>
      <x:c r="R743" s="67" t="str">
        <x:f>IF('Detalle'!M363="","",'Detalle'!M363)</x:f>
      </x:c>
      <x:c r="S743" s="67" t="str">
        <x:f>IF('Detalle'!N363="","",'Detalle'!N363)</x:f>
      </x:c>
    </x:row>
    <x:row r="744" ht="16" customHeight="1">
      <x:c r="A744" s="56" t="str">
        <x:v>SOC01.009</x:v>
      </x:c>
      <x:c r="B744" s="57" t="str">
        <x:v>Expandir texto dentro del post</x:v>
      </x:c>
      <x:c r="C744" s="63" t="str">
        <x:v>R</x:v>
      </x:c>
      <x:c r="D744" s="65" t="str">
        <x:f>IF('Detalle'!L363="","",'Detalle'!L363)</x:f>
      </x:c>
      <x:c r="E744" s="60" t="str"/>
      <x:c r="F744" s="32" t="str">
        <x:f>IF(OR('Detalle'!$J363="",'Detalle'!$K363="",'Detalle'!$L363=""),"",IF(AND(F$8&lt;='Detalle'!$K363,F$9&gt;='Detalle'!$J363),1,""))</x:f>
      </x:c>
      <x:c r="G744" s="32" t="str">
        <x:f>IF(OR('Detalle'!$J363="",'Detalle'!$K363="",'Detalle'!$L363=""),"",IF(AND(G$8&lt;='Detalle'!$K363,G$9&gt;='Detalle'!$J363),1,""))</x:f>
      </x:c>
      <x:c r="H744" s="32" t="str">
        <x:f>IF(OR('Detalle'!$J363="",'Detalle'!$K363="",'Detalle'!$L363=""),"",IF(AND(H$8&lt;='Detalle'!$K363,H$9&gt;='Detalle'!$J363),1,""))</x:f>
      </x:c>
      <x:c r="I744" s="32" t="str">
        <x:f>IF(OR('Detalle'!$J363="",'Detalle'!$K363="",'Detalle'!$L363=""),"",IF(AND(I$8&lt;='Detalle'!$K363,I$9&gt;='Detalle'!$J363),1,""))</x:f>
      </x:c>
      <x:c r="J744" s="32" t="str">
        <x:f>IF(OR('Detalle'!$J363="",'Detalle'!$K363="",'Detalle'!$L363=""),"",IF(AND(J$8&lt;='Detalle'!$K363,J$9&gt;='Detalle'!$J363),1,""))</x:f>
      </x:c>
      <x:c r="K744" s="32" t="str">
        <x:f>IF(OR('Detalle'!$J363="",'Detalle'!$K363="",'Detalle'!$L363=""),"",IF(AND(K$8&lt;='Detalle'!$K363,K$9&gt;='Detalle'!$J363),1,""))</x:f>
      </x:c>
      <x:c r="L744" s="32" t="str">
        <x:f>IF(OR('Detalle'!$J363="",'Detalle'!$K363="",'Detalle'!$L363=""),"",IF(AND(L$8&lt;='Detalle'!$K363,L$9&gt;='Detalle'!$J363),1,""))</x:f>
      </x:c>
      <x:c r="M744" s="32" t="str">
        <x:f>IF(OR('Detalle'!$J363="",'Detalle'!$K363="",'Detalle'!$L363=""),"",IF(AND(M$8&lt;='Detalle'!$K363,M$9&gt;='Detalle'!$J363),1,""))</x:f>
      </x:c>
      <x:c r="N744" s="32" t="str">
        <x:f>IF(OR('Detalle'!$J363="",'Detalle'!$K363="",'Detalle'!$L363=""),"",IF(AND(N$8&lt;='Detalle'!$K363,N$9&gt;='Detalle'!$J363),1,""))</x:f>
      </x:c>
      <x:c r="O744" s="32" t="str">
        <x:f>IF(OR('Detalle'!$J363="",'Detalle'!$K363="",'Detalle'!$L363=""),"",IF(AND(O$8&lt;='Detalle'!$K363,O$9&gt;='Detalle'!$J363),1,""))</x:f>
      </x:c>
      <x:c r="P744" s="32" t="str">
        <x:f>IF(OR('Detalle'!$J363="",'Detalle'!$K363="",'Detalle'!$L363=""),"",IF(AND(P$8&lt;='Detalle'!$K363,P$9&gt;='Detalle'!$J363),1,""))</x:f>
      </x:c>
      <x:c r="Q744" s="68"/>
      <x:c r="R744" s="67" t="str"/>
      <x:c r="S744" s="67" t="str"/>
    </x:row>
    <x:row r="745" ht="16" customHeight="1">
      <x:c r="A745" s="56" t="str">
        <x:v>SOC01.010</x:v>
      </x:c>
      <x:c r="B745" s="57" t="str">
        <x:v>Consultar estadísticas por lote</x:v>
      </x:c>
      <x:c r="C745" s="62" t="str">
        <x:v>E</x:v>
      </x:c>
      <x:c r="D745" s="64" t="n">
        <x:f>'Detalle'!I364</x:f>
        <x:v>1</x:v>
      </x:c>
      <x:c r="E745" s="60" t="str">
        <x:f>'Detalle'!F364</x:f>
        <x:v>Completado</x:v>
      </x:c>
      <x:c r="F745" s="32" t="str">
        <x:f>IF(AND(F$8&lt;='Detalle'!$H364,F$9&gt;='Detalle'!$G364),1,"")</x:f>
      </x:c>
      <x:c r="G745" s="32" t="str">
        <x:f>IF(AND(G$8&lt;='Detalle'!$H364,G$9&gt;='Detalle'!$G364),1,"")</x:f>
      </x:c>
      <x:c r="H745" s="32" t="str">
        <x:f>IF(AND(H$8&lt;='Detalle'!$H364,H$9&gt;='Detalle'!$G364),1,"")</x:f>
      </x:c>
      <x:c r="I745" s="32" t="n">
        <x:f>IF(AND(I$8&lt;='Detalle'!$H364,I$9&gt;='Detalle'!$G364),1,"")</x:f>
        <x:v>1</x:v>
      </x:c>
      <x:c r="J745" s="32" t="str">
        <x:f>IF(AND(J$8&lt;='Detalle'!$H364,J$9&gt;='Detalle'!$G364),1,"")</x:f>
      </x:c>
      <x:c r="K745" s="32" t="str">
        <x:f>IF(AND(K$8&lt;='Detalle'!$H364,K$9&gt;='Detalle'!$G364),1,"")</x:f>
      </x:c>
      <x:c r="L745" s="32" t="str">
        <x:f>IF(AND(L$8&lt;='Detalle'!$H364,L$9&gt;='Detalle'!$G364),1,"")</x:f>
      </x:c>
      <x:c r="M745" s="32" t="str">
        <x:f>IF(AND(M$8&lt;='Detalle'!$H364,M$9&gt;='Detalle'!$G364),1,"")</x:f>
      </x:c>
      <x:c r="N745" s="32" t="str">
        <x:f>IF(AND(N$8&lt;='Detalle'!$H364,N$9&gt;='Detalle'!$G364),1,"")</x:f>
      </x:c>
      <x:c r="O745" s="32" t="str">
        <x:f>IF(AND(O$8&lt;='Detalle'!$H364,O$9&gt;='Detalle'!$G364),1,"")</x:f>
      </x:c>
      <x:c r="P745" s="32" t="str">
        <x:f>IF(AND(P$8&lt;='Detalle'!$H364,P$9&gt;='Detalle'!$G364),1,"")</x:f>
      </x:c>
      <x:c r="Q745" s="68"/>
      <x:c r="R745" s="67" t="str">
        <x:f>IF('Detalle'!M364="","",'Detalle'!M364)</x:f>
      </x:c>
      <x:c r="S745" s="67" t="str">
        <x:f>IF('Detalle'!N364="","",'Detalle'!N364)</x:f>
      </x:c>
    </x:row>
    <x:row r="746" ht="16" customHeight="1">
      <x:c r="A746" s="56" t="str">
        <x:v>SOC01.010</x:v>
      </x:c>
      <x:c r="B746" s="57" t="str">
        <x:v>Consultar estadísticas por lote</x:v>
      </x:c>
      <x:c r="C746" s="63" t="str">
        <x:v>R</x:v>
      </x:c>
      <x:c r="D746" s="65" t="str">
        <x:f>IF('Detalle'!L364="","",'Detalle'!L364)</x:f>
      </x:c>
      <x:c r="E746" s="60" t="str"/>
      <x:c r="F746" s="32" t="str">
        <x:f>IF(OR('Detalle'!$J364="",'Detalle'!$K364="",'Detalle'!$L364=""),"",IF(AND(F$8&lt;='Detalle'!$K364,F$9&gt;='Detalle'!$J364),1,""))</x:f>
      </x:c>
      <x:c r="G746" s="32" t="str">
        <x:f>IF(OR('Detalle'!$J364="",'Detalle'!$K364="",'Detalle'!$L364=""),"",IF(AND(G$8&lt;='Detalle'!$K364,G$9&gt;='Detalle'!$J364),1,""))</x:f>
      </x:c>
      <x:c r="H746" s="32" t="str">
        <x:f>IF(OR('Detalle'!$J364="",'Detalle'!$K364="",'Detalle'!$L364=""),"",IF(AND(H$8&lt;='Detalle'!$K364,H$9&gt;='Detalle'!$J364),1,""))</x:f>
      </x:c>
      <x:c r="I746" s="32" t="str">
        <x:f>IF(OR('Detalle'!$J364="",'Detalle'!$K364="",'Detalle'!$L364=""),"",IF(AND(I$8&lt;='Detalle'!$K364,I$9&gt;='Detalle'!$J364),1,""))</x:f>
      </x:c>
      <x:c r="J746" s="32" t="str">
        <x:f>IF(OR('Detalle'!$J364="",'Detalle'!$K364="",'Detalle'!$L364=""),"",IF(AND(J$8&lt;='Detalle'!$K364,J$9&gt;='Detalle'!$J364),1,""))</x:f>
      </x:c>
      <x:c r="K746" s="32" t="str">
        <x:f>IF(OR('Detalle'!$J364="",'Detalle'!$K364="",'Detalle'!$L364=""),"",IF(AND(K$8&lt;='Detalle'!$K364,K$9&gt;='Detalle'!$J364),1,""))</x:f>
      </x:c>
      <x:c r="L746" s="32" t="str">
        <x:f>IF(OR('Detalle'!$J364="",'Detalle'!$K364="",'Detalle'!$L364=""),"",IF(AND(L$8&lt;='Detalle'!$K364,L$9&gt;='Detalle'!$J364),1,""))</x:f>
      </x:c>
      <x:c r="M746" s="32" t="str">
        <x:f>IF(OR('Detalle'!$J364="",'Detalle'!$K364="",'Detalle'!$L364=""),"",IF(AND(M$8&lt;='Detalle'!$K364,M$9&gt;='Detalle'!$J364),1,""))</x:f>
      </x:c>
      <x:c r="N746" s="32" t="str">
        <x:f>IF(OR('Detalle'!$J364="",'Detalle'!$K364="",'Detalle'!$L364=""),"",IF(AND(N$8&lt;='Detalle'!$K364,N$9&gt;='Detalle'!$J364),1,""))</x:f>
      </x:c>
      <x:c r="O746" s="32" t="str">
        <x:f>IF(OR('Detalle'!$J364="",'Detalle'!$K364="",'Detalle'!$L364=""),"",IF(AND(O$8&lt;='Detalle'!$K364,O$9&gt;='Detalle'!$J364),1,""))</x:f>
      </x:c>
      <x:c r="P746" s="32" t="str">
        <x:f>IF(OR('Detalle'!$J364="",'Detalle'!$K364="",'Detalle'!$L364=""),"",IF(AND(P$8&lt;='Detalle'!$K364,P$9&gt;='Detalle'!$J364),1,""))</x:f>
      </x:c>
      <x:c r="Q746" s="68"/>
      <x:c r="R746" s="67" t="str"/>
      <x:c r="S746" s="67" t="str"/>
    </x:row>
    <x:row r="747" ht="16" customHeight="1">
      <x:c r="A747" s="56" t="str">
        <x:v>SOC01.011</x:v>
      </x:c>
      <x:c r="B747" s="57" t="str">
        <x:v>Paginar feed en páginas de 30</x:v>
      </x:c>
      <x:c r="C747" s="62" t="str">
        <x:v>E</x:v>
      </x:c>
      <x:c r="D747" s="64" t="n">
        <x:f>'Detalle'!I365</x:f>
        <x:v>1</x:v>
      </x:c>
      <x:c r="E747" s="60" t="str">
        <x:f>'Detalle'!F365</x:f>
        <x:v>Completado</x:v>
      </x:c>
      <x:c r="F747" s="32" t="str">
        <x:f>IF(AND(F$8&lt;='Detalle'!$H365,F$9&gt;='Detalle'!$G365),1,"")</x:f>
      </x:c>
      <x:c r="G747" s="32" t="str">
        <x:f>IF(AND(G$8&lt;='Detalle'!$H365,G$9&gt;='Detalle'!$G365),1,"")</x:f>
      </x:c>
      <x:c r="H747" s="32" t="str">
        <x:f>IF(AND(H$8&lt;='Detalle'!$H365,H$9&gt;='Detalle'!$G365),1,"")</x:f>
      </x:c>
      <x:c r="I747" s="32" t="n">
        <x:f>IF(AND(I$8&lt;='Detalle'!$H365,I$9&gt;='Detalle'!$G365),1,"")</x:f>
        <x:v>1</x:v>
      </x:c>
      <x:c r="J747" s="32" t="str">
        <x:f>IF(AND(J$8&lt;='Detalle'!$H365,J$9&gt;='Detalle'!$G365),1,"")</x:f>
      </x:c>
      <x:c r="K747" s="32" t="str">
        <x:f>IF(AND(K$8&lt;='Detalle'!$H365,K$9&gt;='Detalle'!$G365),1,"")</x:f>
      </x:c>
      <x:c r="L747" s="32" t="str">
        <x:f>IF(AND(L$8&lt;='Detalle'!$H365,L$9&gt;='Detalle'!$G365),1,"")</x:f>
      </x:c>
      <x:c r="M747" s="32" t="str">
        <x:f>IF(AND(M$8&lt;='Detalle'!$H365,M$9&gt;='Detalle'!$G365),1,"")</x:f>
      </x:c>
      <x:c r="N747" s="32" t="str">
        <x:f>IF(AND(N$8&lt;='Detalle'!$H365,N$9&gt;='Detalle'!$G365),1,"")</x:f>
      </x:c>
      <x:c r="O747" s="32" t="str">
        <x:f>IF(AND(O$8&lt;='Detalle'!$H365,O$9&gt;='Detalle'!$G365),1,"")</x:f>
      </x:c>
      <x:c r="P747" s="32" t="str">
        <x:f>IF(AND(P$8&lt;='Detalle'!$H365,P$9&gt;='Detalle'!$G365),1,"")</x:f>
      </x:c>
      <x:c r="Q747" s="68"/>
      <x:c r="R747" s="67" t="str">
        <x:f>IF('Detalle'!M365="","",'Detalle'!M365)</x:f>
      </x:c>
      <x:c r="S747" s="67" t="str">
        <x:f>IF('Detalle'!N365="","",'Detalle'!N365)</x:f>
      </x:c>
    </x:row>
    <x:row r="748" ht="16" customHeight="1">
      <x:c r="A748" s="56" t="str">
        <x:v>SOC01.011</x:v>
      </x:c>
      <x:c r="B748" s="57" t="str">
        <x:v>Paginar feed en páginas de 30</x:v>
      </x:c>
      <x:c r="C748" s="63" t="str">
        <x:v>R</x:v>
      </x:c>
      <x:c r="D748" s="65" t="str">
        <x:f>IF('Detalle'!L365="","",'Detalle'!L365)</x:f>
      </x:c>
      <x:c r="E748" s="60" t="str"/>
      <x:c r="F748" s="32" t="str">
        <x:f>IF(OR('Detalle'!$J365="",'Detalle'!$K365="",'Detalle'!$L365=""),"",IF(AND(F$8&lt;='Detalle'!$K365,F$9&gt;='Detalle'!$J365),1,""))</x:f>
      </x:c>
      <x:c r="G748" s="32" t="str">
        <x:f>IF(OR('Detalle'!$J365="",'Detalle'!$K365="",'Detalle'!$L365=""),"",IF(AND(G$8&lt;='Detalle'!$K365,G$9&gt;='Detalle'!$J365),1,""))</x:f>
      </x:c>
      <x:c r="H748" s="32" t="str">
        <x:f>IF(OR('Detalle'!$J365="",'Detalle'!$K365="",'Detalle'!$L365=""),"",IF(AND(H$8&lt;='Detalle'!$K365,H$9&gt;='Detalle'!$J365),1,""))</x:f>
      </x:c>
      <x:c r="I748" s="32" t="str">
        <x:f>IF(OR('Detalle'!$J365="",'Detalle'!$K365="",'Detalle'!$L365=""),"",IF(AND(I$8&lt;='Detalle'!$K365,I$9&gt;='Detalle'!$J365),1,""))</x:f>
      </x:c>
      <x:c r="J748" s="32" t="str">
        <x:f>IF(OR('Detalle'!$J365="",'Detalle'!$K365="",'Detalle'!$L365=""),"",IF(AND(J$8&lt;='Detalle'!$K365,J$9&gt;='Detalle'!$J365),1,""))</x:f>
      </x:c>
      <x:c r="K748" s="32" t="str">
        <x:f>IF(OR('Detalle'!$J365="",'Detalle'!$K365="",'Detalle'!$L365=""),"",IF(AND(K$8&lt;='Detalle'!$K365,K$9&gt;='Detalle'!$J365),1,""))</x:f>
      </x:c>
      <x:c r="L748" s="32" t="str">
        <x:f>IF(OR('Detalle'!$J365="",'Detalle'!$K365="",'Detalle'!$L365=""),"",IF(AND(L$8&lt;='Detalle'!$K365,L$9&gt;='Detalle'!$J365),1,""))</x:f>
      </x:c>
      <x:c r="M748" s="32" t="str">
        <x:f>IF(OR('Detalle'!$J365="",'Detalle'!$K365="",'Detalle'!$L365=""),"",IF(AND(M$8&lt;='Detalle'!$K365,M$9&gt;='Detalle'!$J365),1,""))</x:f>
      </x:c>
      <x:c r="N748" s="32" t="str">
        <x:f>IF(OR('Detalle'!$J365="",'Detalle'!$K365="",'Detalle'!$L365=""),"",IF(AND(N$8&lt;='Detalle'!$K365,N$9&gt;='Detalle'!$J365),1,""))</x:f>
      </x:c>
      <x:c r="O748" s="32" t="str">
        <x:f>IF(OR('Detalle'!$J365="",'Detalle'!$K365="",'Detalle'!$L365=""),"",IF(AND(O$8&lt;='Detalle'!$K365,O$9&gt;='Detalle'!$J365),1,""))</x:f>
      </x:c>
      <x:c r="P748" s="32" t="str">
        <x:f>IF(OR('Detalle'!$J365="",'Detalle'!$K365="",'Detalle'!$L365=""),"",IF(AND(P$8&lt;='Detalle'!$K365,P$9&gt;='Detalle'!$J365),1,""))</x:f>
      </x:c>
      <x:c r="Q748" s="68"/>
      <x:c r="R748" s="67" t="str"/>
      <x:c r="S748" s="67" t="str"/>
    </x:row>
    <x:row r="749" ht="16" customHeight="1">
      <x:c r="A749" s="56" t="str">
        <x:v>SOC01.012</x:v>
      </x:c>
      <x:c r="B749" s="57" t="str">
        <x:v>Descartar respuestas antiguas del feed</x:v>
      </x:c>
      <x:c r="C749" s="62" t="str">
        <x:v>E</x:v>
      </x:c>
      <x:c r="D749" s="64" t="n">
        <x:f>'Detalle'!I366</x:f>
        <x:v>1</x:v>
      </x:c>
      <x:c r="E749" s="60" t="str">
        <x:f>'Detalle'!F366</x:f>
        <x:v>Completado</x:v>
      </x:c>
      <x:c r="F749" s="32" t="str">
        <x:f>IF(AND(F$8&lt;='Detalle'!$H366,F$9&gt;='Detalle'!$G366),1,"")</x:f>
      </x:c>
      <x:c r="G749" s="32" t="str">
        <x:f>IF(AND(G$8&lt;='Detalle'!$H366,G$9&gt;='Detalle'!$G366),1,"")</x:f>
      </x:c>
      <x:c r="H749" s="32" t="str">
        <x:f>IF(AND(H$8&lt;='Detalle'!$H366,H$9&gt;='Detalle'!$G366),1,"")</x:f>
      </x:c>
      <x:c r="I749" s="32" t="n">
        <x:f>IF(AND(I$8&lt;='Detalle'!$H366,I$9&gt;='Detalle'!$G366),1,"")</x:f>
        <x:v>1</x:v>
      </x:c>
      <x:c r="J749" s="32" t="str">
        <x:f>IF(AND(J$8&lt;='Detalle'!$H366,J$9&gt;='Detalle'!$G366),1,"")</x:f>
      </x:c>
      <x:c r="K749" s="32" t="str">
        <x:f>IF(AND(K$8&lt;='Detalle'!$H366,K$9&gt;='Detalle'!$G366),1,"")</x:f>
      </x:c>
      <x:c r="L749" s="32" t="str">
        <x:f>IF(AND(L$8&lt;='Detalle'!$H366,L$9&gt;='Detalle'!$G366),1,"")</x:f>
      </x:c>
      <x:c r="M749" s="32" t="str">
        <x:f>IF(AND(M$8&lt;='Detalle'!$H366,M$9&gt;='Detalle'!$G366),1,"")</x:f>
      </x:c>
      <x:c r="N749" s="32" t="str">
        <x:f>IF(AND(N$8&lt;='Detalle'!$H366,N$9&gt;='Detalle'!$G366),1,"")</x:f>
      </x:c>
      <x:c r="O749" s="32" t="str">
        <x:f>IF(AND(O$8&lt;='Detalle'!$H366,O$9&gt;='Detalle'!$G366),1,"")</x:f>
      </x:c>
      <x:c r="P749" s="32" t="str">
        <x:f>IF(AND(P$8&lt;='Detalle'!$H366,P$9&gt;='Detalle'!$G366),1,"")</x:f>
      </x:c>
      <x:c r="Q749" s="68"/>
      <x:c r="R749" s="67" t="str">
        <x:f>IF('Detalle'!M366="","",'Detalle'!M366)</x:f>
      </x:c>
      <x:c r="S749" s="67" t="str">
        <x:f>IF('Detalle'!N366="","",'Detalle'!N366)</x:f>
      </x:c>
    </x:row>
    <x:row r="750" ht="16" customHeight="1">
      <x:c r="A750" s="56" t="str">
        <x:v>SOC01.012</x:v>
      </x:c>
      <x:c r="B750" s="57" t="str">
        <x:v>Descartar respuestas antiguas del feed</x:v>
      </x:c>
      <x:c r="C750" s="63" t="str">
        <x:v>R</x:v>
      </x:c>
      <x:c r="D750" s="65" t="str">
        <x:f>IF('Detalle'!L366="","",'Detalle'!L366)</x:f>
      </x:c>
      <x:c r="E750" s="60" t="str"/>
      <x:c r="F750" s="32" t="str">
        <x:f>IF(OR('Detalle'!$J366="",'Detalle'!$K366="",'Detalle'!$L366=""),"",IF(AND(F$8&lt;='Detalle'!$K366,F$9&gt;='Detalle'!$J366),1,""))</x:f>
      </x:c>
      <x:c r="G750" s="32" t="str">
        <x:f>IF(OR('Detalle'!$J366="",'Detalle'!$K366="",'Detalle'!$L366=""),"",IF(AND(G$8&lt;='Detalle'!$K366,G$9&gt;='Detalle'!$J366),1,""))</x:f>
      </x:c>
      <x:c r="H750" s="32" t="str">
        <x:f>IF(OR('Detalle'!$J366="",'Detalle'!$K366="",'Detalle'!$L366=""),"",IF(AND(H$8&lt;='Detalle'!$K366,H$9&gt;='Detalle'!$J366),1,""))</x:f>
      </x:c>
      <x:c r="I750" s="32" t="str">
        <x:f>IF(OR('Detalle'!$J366="",'Detalle'!$K366="",'Detalle'!$L366=""),"",IF(AND(I$8&lt;='Detalle'!$K366,I$9&gt;='Detalle'!$J366),1,""))</x:f>
      </x:c>
      <x:c r="J750" s="32" t="str">
        <x:f>IF(OR('Detalle'!$J366="",'Detalle'!$K366="",'Detalle'!$L366=""),"",IF(AND(J$8&lt;='Detalle'!$K366,J$9&gt;='Detalle'!$J366),1,""))</x:f>
      </x:c>
      <x:c r="K750" s="32" t="str">
        <x:f>IF(OR('Detalle'!$J366="",'Detalle'!$K366="",'Detalle'!$L366=""),"",IF(AND(K$8&lt;='Detalle'!$K366,K$9&gt;='Detalle'!$J366),1,""))</x:f>
      </x:c>
      <x:c r="L750" s="32" t="str">
        <x:f>IF(OR('Detalle'!$J366="",'Detalle'!$K366="",'Detalle'!$L366=""),"",IF(AND(L$8&lt;='Detalle'!$K366,L$9&gt;='Detalle'!$J366),1,""))</x:f>
      </x:c>
      <x:c r="M750" s="32" t="str">
        <x:f>IF(OR('Detalle'!$J366="",'Detalle'!$K366="",'Detalle'!$L366=""),"",IF(AND(M$8&lt;='Detalle'!$K366,M$9&gt;='Detalle'!$J366),1,""))</x:f>
      </x:c>
      <x:c r="N750" s="32" t="str">
        <x:f>IF(OR('Detalle'!$J366="",'Detalle'!$K366="",'Detalle'!$L366=""),"",IF(AND(N$8&lt;='Detalle'!$K366,N$9&gt;='Detalle'!$J366),1,""))</x:f>
      </x:c>
      <x:c r="O750" s="32" t="str">
        <x:f>IF(OR('Detalle'!$J366="",'Detalle'!$K366="",'Detalle'!$L366=""),"",IF(AND(O$8&lt;='Detalle'!$K366,O$9&gt;='Detalle'!$J366),1,""))</x:f>
      </x:c>
      <x:c r="P750" s="32" t="str">
        <x:f>IF(OR('Detalle'!$J366="",'Detalle'!$K366="",'Detalle'!$L366=""),"",IF(AND(P$8&lt;='Detalle'!$K366,P$9&gt;='Detalle'!$J366),1,""))</x:f>
      </x:c>
      <x:c r="Q750" s="68"/>
      <x:c r="R750" s="67" t="str"/>
      <x:c r="S750" s="67" t="str"/>
    </x:row>
    <x:row r="751" ht="16" customHeight="1">
      <x:c r="A751" s="56" t="str">
        <x:v>SOC01.013</x:v>
      </x:c>
      <x:c r="B751" s="57" t="str">
        <x:v>Reintentar carga sin perder páginas</x:v>
      </x:c>
      <x:c r="C751" s="62" t="str">
        <x:v>E</x:v>
      </x:c>
      <x:c r="D751" s="64" t="n">
        <x:f>'Detalle'!I367</x:f>
        <x:v>1</x:v>
      </x:c>
      <x:c r="E751" s="60" t="str">
        <x:f>'Detalle'!F367</x:f>
        <x:v>Completado</x:v>
      </x:c>
      <x:c r="F751" s="32" t="str">
        <x:f>IF(AND(F$8&lt;='Detalle'!$H367,F$9&gt;='Detalle'!$G367),1,"")</x:f>
      </x:c>
      <x:c r="G751" s="32" t="str">
        <x:f>IF(AND(G$8&lt;='Detalle'!$H367,G$9&gt;='Detalle'!$G367),1,"")</x:f>
      </x:c>
      <x:c r="H751" s="32" t="str">
        <x:f>IF(AND(H$8&lt;='Detalle'!$H367,H$9&gt;='Detalle'!$G367),1,"")</x:f>
      </x:c>
      <x:c r="I751" s="32" t="n">
        <x:f>IF(AND(I$8&lt;='Detalle'!$H367,I$9&gt;='Detalle'!$G367),1,"")</x:f>
        <x:v>1</x:v>
      </x:c>
      <x:c r="J751" s="32" t="str">
        <x:f>IF(AND(J$8&lt;='Detalle'!$H367,J$9&gt;='Detalle'!$G367),1,"")</x:f>
      </x:c>
      <x:c r="K751" s="32" t="str">
        <x:f>IF(AND(K$8&lt;='Detalle'!$H367,K$9&gt;='Detalle'!$G367),1,"")</x:f>
      </x:c>
      <x:c r="L751" s="32" t="str">
        <x:f>IF(AND(L$8&lt;='Detalle'!$H367,L$9&gt;='Detalle'!$G367),1,"")</x:f>
      </x:c>
      <x:c r="M751" s="32" t="str">
        <x:f>IF(AND(M$8&lt;='Detalle'!$H367,M$9&gt;='Detalle'!$G367),1,"")</x:f>
      </x:c>
      <x:c r="N751" s="32" t="str">
        <x:f>IF(AND(N$8&lt;='Detalle'!$H367,N$9&gt;='Detalle'!$G367),1,"")</x:f>
      </x:c>
      <x:c r="O751" s="32" t="str">
        <x:f>IF(AND(O$8&lt;='Detalle'!$H367,O$9&gt;='Detalle'!$G367),1,"")</x:f>
      </x:c>
      <x:c r="P751" s="32" t="str">
        <x:f>IF(AND(P$8&lt;='Detalle'!$H367,P$9&gt;='Detalle'!$G367),1,"")</x:f>
      </x:c>
      <x:c r="Q751" s="68"/>
      <x:c r="R751" s="67" t="str">
        <x:f>IF('Detalle'!M367="","",'Detalle'!M367)</x:f>
      </x:c>
      <x:c r="S751" s="67" t="str">
        <x:f>IF('Detalle'!N367="","",'Detalle'!N367)</x:f>
      </x:c>
    </x:row>
    <x:row r="752" ht="16" customHeight="1">
      <x:c r="A752" s="56" t="str">
        <x:v>SOC01.013</x:v>
      </x:c>
      <x:c r="B752" s="57" t="str">
        <x:v>Reintentar carga sin perder páginas</x:v>
      </x:c>
      <x:c r="C752" s="63" t="str">
        <x:v>R</x:v>
      </x:c>
      <x:c r="D752" s="65" t="str">
        <x:f>IF('Detalle'!L367="","",'Detalle'!L367)</x:f>
      </x:c>
      <x:c r="E752" s="60" t="str"/>
      <x:c r="F752" s="32" t="str">
        <x:f>IF(OR('Detalle'!$J367="",'Detalle'!$K367="",'Detalle'!$L367=""),"",IF(AND(F$8&lt;='Detalle'!$K367,F$9&gt;='Detalle'!$J367),1,""))</x:f>
      </x:c>
      <x:c r="G752" s="32" t="str">
        <x:f>IF(OR('Detalle'!$J367="",'Detalle'!$K367="",'Detalle'!$L367=""),"",IF(AND(G$8&lt;='Detalle'!$K367,G$9&gt;='Detalle'!$J367),1,""))</x:f>
      </x:c>
      <x:c r="H752" s="32" t="str">
        <x:f>IF(OR('Detalle'!$J367="",'Detalle'!$K367="",'Detalle'!$L367=""),"",IF(AND(H$8&lt;='Detalle'!$K367,H$9&gt;='Detalle'!$J367),1,""))</x:f>
      </x:c>
      <x:c r="I752" s="32" t="str">
        <x:f>IF(OR('Detalle'!$J367="",'Detalle'!$K367="",'Detalle'!$L367=""),"",IF(AND(I$8&lt;='Detalle'!$K367,I$9&gt;='Detalle'!$J367),1,""))</x:f>
      </x:c>
      <x:c r="J752" s="32" t="str">
        <x:f>IF(OR('Detalle'!$J367="",'Detalle'!$K367="",'Detalle'!$L367=""),"",IF(AND(J$8&lt;='Detalle'!$K367,J$9&gt;='Detalle'!$J367),1,""))</x:f>
      </x:c>
      <x:c r="K752" s="32" t="str">
        <x:f>IF(OR('Detalle'!$J367="",'Detalle'!$K367="",'Detalle'!$L367=""),"",IF(AND(K$8&lt;='Detalle'!$K367,K$9&gt;='Detalle'!$J367),1,""))</x:f>
      </x:c>
      <x:c r="L752" s="32" t="str">
        <x:f>IF(OR('Detalle'!$J367="",'Detalle'!$K367="",'Detalle'!$L367=""),"",IF(AND(L$8&lt;='Detalle'!$K367,L$9&gt;='Detalle'!$J367),1,""))</x:f>
      </x:c>
      <x:c r="M752" s="32" t="str">
        <x:f>IF(OR('Detalle'!$J367="",'Detalle'!$K367="",'Detalle'!$L367=""),"",IF(AND(M$8&lt;='Detalle'!$K367,M$9&gt;='Detalle'!$J367),1,""))</x:f>
      </x:c>
      <x:c r="N752" s="32" t="str">
        <x:f>IF(OR('Detalle'!$J367="",'Detalle'!$K367="",'Detalle'!$L367=""),"",IF(AND(N$8&lt;='Detalle'!$K367,N$9&gt;='Detalle'!$J367),1,""))</x:f>
      </x:c>
      <x:c r="O752" s="32" t="str">
        <x:f>IF(OR('Detalle'!$J367="",'Detalle'!$K367="",'Detalle'!$L367=""),"",IF(AND(O$8&lt;='Detalle'!$K367,O$9&gt;='Detalle'!$J367),1,""))</x:f>
      </x:c>
      <x:c r="P752" s="32" t="str">
        <x:f>IF(OR('Detalle'!$J367="",'Detalle'!$K367="",'Detalle'!$L367=""),"",IF(AND(P$8&lt;='Detalle'!$K367,P$9&gt;='Detalle'!$J367),1,""))</x:f>
      </x:c>
      <x:c r="Q752" s="68"/>
      <x:c r="R752" s="67" t="str"/>
      <x:c r="S752" s="67" t="str"/>
    </x:row>
    <x:row r="753" ht="16" customHeight="1">
      <x:c r="A753" s="56" t="str">
        <x:v>SOC01.014</x:v>
      </x:c>
      <x:c r="B753" s="57" t="str">
        <x:v>Integrar detalle de post con URL interna</x:v>
      </x:c>
      <x:c r="C753" s="62" t="str">
        <x:v>E</x:v>
      </x:c>
      <x:c r="D753" s="64" t="n">
        <x:f>'Detalle'!I368</x:f>
        <x:v>1</x:v>
      </x:c>
      <x:c r="E753" s="60" t="str">
        <x:f>'Detalle'!F368</x:f>
        <x:v>Completado</x:v>
      </x:c>
      <x:c r="F753" s="32" t="str">
        <x:f>IF(AND(F$8&lt;='Detalle'!$H368,F$9&gt;='Detalle'!$G368),1,"")</x:f>
      </x:c>
      <x:c r="G753" s="32" t="str">
        <x:f>IF(AND(G$8&lt;='Detalle'!$H368,G$9&gt;='Detalle'!$G368),1,"")</x:f>
      </x:c>
      <x:c r="H753" s="32" t="str">
        <x:f>IF(AND(H$8&lt;='Detalle'!$H368,H$9&gt;='Detalle'!$G368),1,"")</x:f>
      </x:c>
      <x:c r="I753" s="32" t="n">
        <x:f>IF(AND(I$8&lt;='Detalle'!$H368,I$9&gt;='Detalle'!$G368),1,"")</x:f>
        <x:v>1</x:v>
      </x:c>
      <x:c r="J753" s="32" t="str">
        <x:f>IF(AND(J$8&lt;='Detalle'!$H368,J$9&gt;='Detalle'!$G368),1,"")</x:f>
      </x:c>
      <x:c r="K753" s="32" t="str">
        <x:f>IF(AND(K$8&lt;='Detalle'!$H368,K$9&gt;='Detalle'!$G368),1,"")</x:f>
      </x:c>
      <x:c r="L753" s="32" t="str">
        <x:f>IF(AND(L$8&lt;='Detalle'!$H368,L$9&gt;='Detalle'!$G368),1,"")</x:f>
      </x:c>
      <x:c r="M753" s="32" t="str">
        <x:f>IF(AND(M$8&lt;='Detalle'!$H368,M$9&gt;='Detalle'!$G368),1,"")</x:f>
      </x:c>
      <x:c r="N753" s="32" t="str">
        <x:f>IF(AND(N$8&lt;='Detalle'!$H368,N$9&gt;='Detalle'!$G368),1,"")</x:f>
      </x:c>
      <x:c r="O753" s="32" t="str">
        <x:f>IF(AND(O$8&lt;='Detalle'!$H368,O$9&gt;='Detalle'!$G368),1,"")</x:f>
      </x:c>
      <x:c r="P753" s="32" t="str">
        <x:f>IF(AND(P$8&lt;='Detalle'!$H368,P$9&gt;='Detalle'!$G368),1,"")</x:f>
      </x:c>
      <x:c r="Q753" s="68"/>
      <x:c r="R753" s="67" t="str">
        <x:f>IF('Detalle'!M368="","",'Detalle'!M368)</x:f>
      </x:c>
      <x:c r="S753" s="67" t="str">
        <x:f>IF('Detalle'!N368="","",'Detalle'!N368)</x:f>
      </x:c>
    </x:row>
    <x:row r="754" ht="16" customHeight="1">
      <x:c r="A754" s="56" t="str">
        <x:v>SOC01.014</x:v>
      </x:c>
      <x:c r="B754" s="57" t="str">
        <x:v>Integrar detalle de post con URL interna</x:v>
      </x:c>
      <x:c r="C754" s="63" t="str">
        <x:v>R</x:v>
      </x:c>
      <x:c r="D754" s="65" t="str">
        <x:f>IF('Detalle'!L368="","",'Detalle'!L368)</x:f>
      </x:c>
      <x:c r="E754" s="60" t="str"/>
      <x:c r="F754" s="32" t="str">
        <x:f>IF(OR('Detalle'!$J368="",'Detalle'!$K368="",'Detalle'!$L368=""),"",IF(AND(F$8&lt;='Detalle'!$K368,F$9&gt;='Detalle'!$J368),1,""))</x:f>
      </x:c>
      <x:c r="G754" s="32" t="str">
        <x:f>IF(OR('Detalle'!$J368="",'Detalle'!$K368="",'Detalle'!$L368=""),"",IF(AND(G$8&lt;='Detalle'!$K368,G$9&gt;='Detalle'!$J368),1,""))</x:f>
      </x:c>
      <x:c r="H754" s="32" t="str">
        <x:f>IF(OR('Detalle'!$J368="",'Detalle'!$K368="",'Detalle'!$L368=""),"",IF(AND(H$8&lt;='Detalle'!$K368,H$9&gt;='Detalle'!$J368),1,""))</x:f>
      </x:c>
      <x:c r="I754" s="32" t="str">
        <x:f>IF(OR('Detalle'!$J368="",'Detalle'!$K368="",'Detalle'!$L368=""),"",IF(AND(I$8&lt;='Detalle'!$K368,I$9&gt;='Detalle'!$J368),1,""))</x:f>
      </x:c>
      <x:c r="J754" s="32" t="str">
        <x:f>IF(OR('Detalle'!$J368="",'Detalle'!$K368="",'Detalle'!$L368=""),"",IF(AND(J$8&lt;='Detalle'!$K368,J$9&gt;='Detalle'!$J368),1,""))</x:f>
      </x:c>
      <x:c r="K754" s="32" t="str">
        <x:f>IF(OR('Detalle'!$J368="",'Detalle'!$K368="",'Detalle'!$L368=""),"",IF(AND(K$8&lt;='Detalle'!$K368,K$9&gt;='Detalle'!$J368),1,""))</x:f>
      </x:c>
      <x:c r="L754" s="32" t="str">
        <x:f>IF(OR('Detalle'!$J368="",'Detalle'!$K368="",'Detalle'!$L368=""),"",IF(AND(L$8&lt;='Detalle'!$K368,L$9&gt;='Detalle'!$J368),1,""))</x:f>
      </x:c>
      <x:c r="M754" s="32" t="str">
        <x:f>IF(OR('Detalle'!$J368="",'Detalle'!$K368="",'Detalle'!$L368=""),"",IF(AND(M$8&lt;='Detalle'!$K368,M$9&gt;='Detalle'!$J368),1,""))</x:f>
      </x:c>
      <x:c r="N754" s="32" t="str">
        <x:f>IF(OR('Detalle'!$J368="",'Detalle'!$K368="",'Detalle'!$L368=""),"",IF(AND(N$8&lt;='Detalle'!$K368,N$9&gt;='Detalle'!$J368),1,""))</x:f>
      </x:c>
      <x:c r="O754" s="32" t="str">
        <x:f>IF(OR('Detalle'!$J368="",'Detalle'!$K368="",'Detalle'!$L368=""),"",IF(AND(O$8&lt;='Detalle'!$K368,O$9&gt;='Detalle'!$J368),1,""))</x:f>
      </x:c>
      <x:c r="P754" s="32" t="str">
        <x:f>IF(OR('Detalle'!$J368="",'Detalle'!$K368="",'Detalle'!$L368=""),"",IF(AND(P$8&lt;='Detalle'!$K368,P$9&gt;='Detalle'!$J368),1,""))</x:f>
      </x:c>
      <x:c r="Q754" s="68"/>
      <x:c r="R754" s="67" t="str"/>
      <x:c r="S754" s="67" t="str"/>
    </x:row>
    <x:row r="755" ht="16" customHeight="1">
      <x:c r="A755" s="56" t="str">
        <x:v>SOC01.015</x:v>
      </x:c>
      <x:c r="B755" s="57" t="str">
        <x:v>Integrar v7 con el perfil y cuenta existentes</x:v>
      </x:c>
      <x:c r="C755" s="62" t="str">
        <x:v>E</x:v>
      </x:c>
      <x:c r="D755" s="64" t="n">
        <x:f>'Detalle'!I369</x:f>
        <x:v>1</x:v>
      </x:c>
      <x:c r="E755" s="60" t="str">
        <x:f>'Detalle'!F369</x:f>
        <x:v>Completado</x:v>
      </x:c>
      <x:c r="F755" s="32" t="str">
        <x:f>IF(AND(F$8&lt;='Detalle'!$H369,F$9&gt;='Detalle'!$G369),1,"")</x:f>
      </x:c>
      <x:c r="G755" s="32" t="str">
        <x:f>IF(AND(G$8&lt;='Detalle'!$H369,G$9&gt;='Detalle'!$G369),1,"")</x:f>
      </x:c>
      <x:c r="H755" s="32" t="str">
        <x:f>IF(AND(H$8&lt;='Detalle'!$H369,H$9&gt;='Detalle'!$G369),1,"")</x:f>
      </x:c>
      <x:c r="I755" s="32" t="n">
        <x:f>IF(AND(I$8&lt;='Detalle'!$H369,I$9&gt;='Detalle'!$G369),1,"")</x:f>
        <x:v>1</x:v>
      </x:c>
      <x:c r="J755" s="32" t="str">
        <x:f>IF(AND(J$8&lt;='Detalle'!$H369,J$9&gt;='Detalle'!$G369),1,"")</x:f>
      </x:c>
      <x:c r="K755" s="32" t="str">
        <x:f>IF(AND(K$8&lt;='Detalle'!$H369,K$9&gt;='Detalle'!$G369),1,"")</x:f>
      </x:c>
      <x:c r="L755" s="32" t="str">
        <x:f>IF(AND(L$8&lt;='Detalle'!$H369,L$9&gt;='Detalle'!$G369),1,"")</x:f>
      </x:c>
      <x:c r="M755" s="32" t="str">
        <x:f>IF(AND(M$8&lt;='Detalle'!$H369,M$9&gt;='Detalle'!$G369),1,"")</x:f>
      </x:c>
      <x:c r="N755" s="32" t="str">
        <x:f>IF(AND(N$8&lt;='Detalle'!$H369,N$9&gt;='Detalle'!$G369),1,"")</x:f>
      </x:c>
      <x:c r="O755" s="32" t="str">
        <x:f>IF(AND(O$8&lt;='Detalle'!$H369,O$9&gt;='Detalle'!$G369),1,"")</x:f>
      </x:c>
      <x:c r="P755" s="32" t="str">
        <x:f>IF(AND(P$8&lt;='Detalle'!$H369,P$9&gt;='Detalle'!$G369),1,"")</x:f>
      </x:c>
      <x:c r="Q755" s="68"/>
      <x:c r="R755" s="67" t="str">
        <x:f>IF('Detalle'!M369="","",'Detalle'!M369)</x:f>
      </x:c>
      <x:c r="S755" s="67" t="str">
        <x:f>IF('Detalle'!N369="","",'Detalle'!N369)</x:f>
      </x:c>
    </x:row>
    <x:row r="756" ht="16" customHeight="1">
      <x:c r="A756" s="56" t="str">
        <x:v>SOC01.015</x:v>
      </x:c>
      <x:c r="B756" s="57" t="str">
        <x:v>Integrar v7 con el perfil y cuenta existentes</x:v>
      </x:c>
      <x:c r="C756" s="63" t="str">
        <x:v>R</x:v>
      </x:c>
      <x:c r="D756" s="65" t="str">
        <x:f>IF('Detalle'!L369="","",'Detalle'!L369)</x:f>
      </x:c>
      <x:c r="E756" s="60" t="str"/>
      <x:c r="F756" s="32" t="str">
        <x:f>IF(OR('Detalle'!$J369="",'Detalle'!$K369="",'Detalle'!$L369=""),"",IF(AND(F$8&lt;='Detalle'!$K369,F$9&gt;='Detalle'!$J369),1,""))</x:f>
      </x:c>
      <x:c r="G756" s="32" t="str">
        <x:f>IF(OR('Detalle'!$J369="",'Detalle'!$K369="",'Detalle'!$L369=""),"",IF(AND(G$8&lt;='Detalle'!$K369,G$9&gt;='Detalle'!$J369),1,""))</x:f>
      </x:c>
      <x:c r="H756" s="32" t="str">
        <x:f>IF(OR('Detalle'!$J369="",'Detalle'!$K369="",'Detalle'!$L369=""),"",IF(AND(H$8&lt;='Detalle'!$K369,H$9&gt;='Detalle'!$J369),1,""))</x:f>
      </x:c>
      <x:c r="I756" s="32" t="str">
        <x:f>IF(OR('Detalle'!$J369="",'Detalle'!$K369="",'Detalle'!$L369=""),"",IF(AND(I$8&lt;='Detalle'!$K369,I$9&gt;='Detalle'!$J369),1,""))</x:f>
      </x:c>
      <x:c r="J756" s="32" t="str">
        <x:f>IF(OR('Detalle'!$J369="",'Detalle'!$K369="",'Detalle'!$L369=""),"",IF(AND(J$8&lt;='Detalle'!$K369,J$9&gt;='Detalle'!$J369),1,""))</x:f>
      </x:c>
      <x:c r="K756" s="32" t="str">
        <x:f>IF(OR('Detalle'!$J369="",'Detalle'!$K369="",'Detalle'!$L369=""),"",IF(AND(K$8&lt;='Detalle'!$K369,K$9&gt;='Detalle'!$J369),1,""))</x:f>
      </x:c>
      <x:c r="L756" s="32" t="str">
        <x:f>IF(OR('Detalle'!$J369="",'Detalle'!$K369="",'Detalle'!$L369=""),"",IF(AND(L$8&lt;='Detalle'!$K369,L$9&gt;='Detalle'!$J369),1,""))</x:f>
      </x:c>
      <x:c r="M756" s="32" t="str">
        <x:f>IF(OR('Detalle'!$J369="",'Detalle'!$K369="",'Detalle'!$L369=""),"",IF(AND(M$8&lt;='Detalle'!$K369,M$9&gt;='Detalle'!$J369),1,""))</x:f>
      </x:c>
      <x:c r="N756" s="32" t="str">
        <x:f>IF(OR('Detalle'!$J369="",'Detalle'!$K369="",'Detalle'!$L369=""),"",IF(AND(N$8&lt;='Detalle'!$K369,N$9&gt;='Detalle'!$J369),1,""))</x:f>
      </x:c>
      <x:c r="O756" s="32" t="str">
        <x:f>IF(OR('Detalle'!$J369="",'Detalle'!$K369="",'Detalle'!$L369=""),"",IF(AND(O$8&lt;='Detalle'!$K369,O$9&gt;='Detalle'!$J369),1,""))</x:f>
      </x:c>
      <x:c r="P756" s="32" t="str">
        <x:f>IF(OR('Detalle'!$J369="",'Detalle'!$K369="",'Detalle'!$L369=""),"",IF(AND(P$8&lt;='Detalle'!$K369,P$9&gt;='Detalle'!$J369),1,""))</x:f>
      </x:c>
      <x:c r="Q756" s="68"/>
      <x:c r="R756" s="67" t="str"/>
      <x:c r="S756" s="67" t="str"/>
    </x:row>
    <x:row r="757" ht="20" customHeight="1">
      <x:c r="A757" s="52" t="str">
        <x:v>SOC02 · Reacciones, comentarios y compartir</x:v>
      </x:c>
      <x:c r="B757" s="52" t="str">
        <x:v>SOC02 · Reacciones, comentarios y compartir</x:v>
      </x:c>
      <x:c r="C757" s="52" t="str">
        <x:v>SOC02 · Reacciones, comentarios y compartir</x:v>
      </x:c>
      <x:c r="D757" s="52" t="str">
        <x:v>SOC02 · Reacciones, comentarios y compartir</x:v>
      </x:c>
      <x:c r="E757" s="52" t="str">
        <x:v>SOC02 · Reacciones, comentarios y compartir</x:v>
      </x:c>
      <x:c r="F757" s="53" t="str">
        <x:v>SOC02 · Reacciones, comentarios y compartir</x:v>
      </x:c>
      <x:c r="G757" s="53" t="str">
        <x:v>SOC02 · Reacciones, comentarios y compartir</x:v>
      </x:c>
      <x:c r="H757" s="53" t="str">
        <x:v>SOC02 · Reacciones, comentarios y compartir</x:v>
      </x:c>
      <x:c r="I757" s="53" t="str">
        <x:v>SOC02 · Reacciones, comentarios y compartir</x:v>
      </x:c>
      <x:c r="J757" s="53" t="str">
        <x:v>SOC02 · Reacciones, comentarios y compartir</x:v>
      </x:c>
      <x:c r="K757" s="53" t="str">
        <x:v>SOC02 · Reacciones, comentarios y compartir</x:v>
      </x:c>
      <x:c r="L757" s="53" t="str">
        <x:v>SOC02 · Reacciones, comentarios y compartir</x:v>
      </x:c>
      <x:c r="M757" s="53" t="str">
        <x:v>SOC02 · Reacciones, comentarios y compartir</x:v>
      </x:c>
      <x:c r="N757" s="53" t="str">
        <x:v>SOC02 · Reacciones, comentarios y compartir</x:v>
      </x:c>
      <x:c r="O757" s="53" t="str">
        <x:v>SOC02 · Reacciones, comentarios y compartir</x:v>
      </x:c>
      <x:c r="P757" s="53" t="str">
        <x:v>SOC02 · Reacciones, comentarios y compartir</x:v>
      </x:c>
      <x:c r="Q757" s="52" t="str">
        <x:v>SOC02 · Reacciones, comentarios y compartir</x:v>
      </x:c>
      <x:c r="R757" s="52" t="str">
        <x:v>SOC02 · Reacciones, comentarios y compartir</x:v>
      </x:c>
      <x:c r="S757" s="52" t="str">
        <x:v>SOC02 · Reacciones, comentarios y compartir</x:v>
      </x:c>
    </x:row>
    <x:row r="758" ht="16" customHeight="1">
      <x:c r="A758" s="56" t="str">
        <x:v>SOC02.001</x:v>
      </x:c>
      <x:c r="B758" s="57" t="str">
        <x:v>Crear reacción única por usuario y post</x:v>
      </x:c>
      <x:c r="C758" s="62" t="str">
        <x:v>E</x:v>
      </x:c>
      <x:c r="D758" s="64" t="n">
        <x:f>'Detalle'!I370</x:f>
        <x:v>1</x:v>
      </x:c>
      <x:c r="E758" s="60" t="str">
        <x:f>'Detalle'!F370</x:f>
        <x:v>Completado</x:v>
      </x:c>
      <x:c r="F758" s="32" t="str">
        <x:f>IF(AND(F$8&lt;='Detalle'!$H370,F$9&gt;='Detalle'!$G370),1,"")</x:f>
      </x:c>
      <x:c r="G758" s="32" t="str">
        <x:f>IF(AND(G$8&lt;='Detalle'!$H370,G$9&gt;='Detalle'!$G370),1,"")</x:f>
      </x:c>
      <x:c r="H758" s="32" t="str">
        <x:f>IF(AND(H$8&lt;='Detalle'!$H370,H$9&gt;='Detalle'!$G370),1,"")</x:f>
      </x:c>
      <x:c r="I758" s="32" t="n">
        <x:f>IF(AND(I$8&lt;='Detalle'!$H370,I$9&gt;='Detalle'!$G370),1,"")</x:f>
        <x:v>1</x:v>
      </x:c>
      <x:c r="J758" s="32" t="str">
        <x:f>IF(AND(J$8&lt;='Detalle'!$H370,J$9&gt;='Detalle'!$G370),1,"")</x:f>
      </x:c>
      <x:c r="K758" s="32" t="str">
        <x:f>IF(AND(K$8&lt;='Detalle'!$H370,K$9&gt;='Detalle'!$G370),1,"")</x:f>
      </x:c>
      <x:c r="L758" s="32" t="str">
        <x:f>IF(AND(L$8&lt;='Detalle'!$H370,L$9&gt;='Detalle'!$G370),1,"")</x:f>
      </x:c>
      <x:c r="M758" s="32" t="str">
        <x:f>IF(AND(M$8&lt;='Detalle'!$H370,M$9&gt;='Detalle'!$G370),1,"")</x:f>
      </x:c>
      <x:c r="N758" s="32" t="str">
        <x:f>IF(AND(N$8&lt;='Detalle'!$H370,N$9&gt;='Detalle'!$G370),1,"")</x:f>
      </x:c>
      <x:c r="O758" s="32" t="str">
        <x:f>IF(AND(O$8&lt;='Detalle'!$H370,O$9&gt;='Detalle'!$G370),1,"")</x:f>
      </x:c>
      <x:c r="P758" s="32" t="str">
        <x:f>IF(AND(P$8&lt;='Detalle'!$H370,P$9&gt;='Detalle'!$G370),1,"")</x:f>
      </x:c>
      <x:c r="Q758" s="68"/>
      <x:c r="R758" s="67" t="str">
        <x:f>IF('Detalle'!M370="","",'Detalle'!M370)</x:f>
      </x:c>
      <x:c r="S758" s="67" t="str">
        <x:f>IF('Detalle'!N370="","",'Detalle'!N370)</x:f>
      </x:c>
    </x:row>
    <x:row r="759" ht="16" customHeight="1">
      <x:c r="A759" s="56" t="str">
        <x:v>SOC02.001</x:v>
      </x:c>
      <x:c r="B759" s="57" t="str">
        <x:v>Crear reacción única por usuario y post</x:v>
      </x:c>
      <x:c r="C759" s="63" t="str">
        <x:v>R</x:v>
      </x:c>
      <x:c r="D759" s="65" t="str">
        <x:f>IF('Detalle'!L370="","",'Detalle'!L370)</x:f>
      </x:c>
      <x:c r="E759" s="60" t="str"/>
      <x:c r="F759" s="32" t="str">
        <x:f>IF(OR('Detalle'!$J370="",'Detalle'!$K370="",'Detalle'!$L370=""),"",IF(AND(F$8&lt;='Detalle'!$K370,F$9&gt;='Detalle'!$J370),1,""))</x:f>
      </x:c>
      <x:c r="G759" s="32" t="str">
        <x:f>IF(OR('Detalle'!$J370="",'Detalle'!$K370="",'Detalle'!$L370=""),"",IF(AND(G$8&lt;='Detalle'!$K370,G$9&gt;='Detalle'!$J370),1,""))</x:f>
      </x:c>
      <x:c r="H759" s="32" t="str">
        <x:f>IF(OR('Detalle'!$J370="",'Detalle'!$K370="",'Detalle'!$L370=""),"",IF(AND(H$8&lt;='Detalle'!$K370,H$9&gt;='Detalle'!$J370),1,""))</x:f>
      </x:c>
      <x:c r="I759" s="32" t="str">
        <x:f>IF(OR('Detalle'!$J370="",'Detalle'!$K370="",'Detalle'!$L370=""),"",IF(AND(I$8&lt;='Detalle'!$K370,I$9&gt;='Detalle'!$J370),1,""))</x:f>
      </x:c>
      <x:c r="J759" s="32" t="str">
        <x:f>IF(OR('Detalle'!$J370="",'Detalle'!$K370="",'Detalle'!$L370=""),"",IF(AND(J$8&lt;='Detalle'!$K370,J$9&gt;='Detalle'!$J370),1,""))</x:f>
      </x:c>
      <x:c r="K759" s="32" t="str">
        <x:f>IF(OR('Detalle'!$J370="",'Detalle'!$K370="",'Detalle'!$L370=""),"",IF(AND(K$8&lt;='Detalle'!$K370,K$9&gt;='Detalle'!$J370),1,""))</x:f>
      </x:c>
      <x:c r="L759" s="32" t="str">
        <x:f>IF(OR('Detalle'!$J370="",'Detalle'!$K370="",'Detalle'!$L370=""),"",IF(AND(L$8&lt;='Detalle'!$K370,L$9&gt;='Detalle'!$J370),1,""))</x:f>
      </x:c>
      <x:c r="M759" s="32" t="str">
        <x:f>IF(OR('Detalle'!$J370="",'Detalle'!$K370="",'Detalle'!$L370=""),"",IF(AND(M$8&lt;='Detalle'!$K370,M$9&gt;='Detalle'!$J370),1,""))</x:f>
      </x:c>
      <x:c r="N759" s="32" t="str">
        <x:f>IF(OR('Detalle'!$J370="",'Detalle'!$K370="",'Detalle'!$L370=""),"",IF(AND(N$8&lt;='Detalle'!$K370,N$9&gt;='Detalle'!$J370),1,""))</x:f>
      </x:c>
      <x:c r="O759" s="32" t="str">
        <x:f>IF(OR('Detalle'!$J370="",'Detalle'!$K370="",'Detalle'!$L370=""),"",IF(AND(O$8&lt;='Detalle'!$K370,O$9&gt;='Detalle'!$J370),1,""))</x:f>
      </x:c>
      <x:c r="P759" s="32" t="str">
        <x:f>IF(OR('Detalle'!$J370="",'Detalle'!$K370="",'Detalle'!$L370=""),"",IF(AND(P$8&lt;='Detalle'!$K370,P$9&gt;='Detalle'!$J370),1,""))</x:f>
      </x:c>
      <x:c r="Q759" s="68"/>
      <x:c r="R759" s="67" t="str"/>
      <x:c r="S759" s="67" t="str"/>
    </x:row>
    <x:row r="760" ht="16" customHeight="1">
      <x:c r="A760" s="56" t="str">
        <x:v>SOC02.002</x:v>
      </x:c>
      <x:c r="B760" s="57" t="str">
        <x:v>Crear selector de tres reacciones</x:v>
      </x:c>
      <x:c r="C760" s="62" t="str">
        <x:v>E</x:v>
      </x:c>
      <x:c r="D760" s="64" t="n">
        <x:f>'Detalle'!I371</x:f>
        <x:v>1</x:v>
      </x:c>
      <x:c r="E760" s="60" t="str">
        <x:f>'Detalle'!F371</x:f>
        <x:v>Completado</x:v>
      </x:c>
      <x:c r="F760" s="32" t="str">
        <x:f>IF(AND(F$8&lt;='Detalle'!$H371,F$9&gt;='Detalle'!$G371),1,"")</x:f>
      </x:c>
      <x:c r="G760" s="32" t="str">
        <x:f>IF(AND(G$8&lt;='Detalle'!$H371,G$9&gt;='Detalle'!$G371),1,"")</x:f>
      </x:c>
      <x:c r="H760" s="32" t="str">
        <x:f>IF(AND(H$8&lt;='Detalle'!$H371,H$9&gt;='Detalle'!$G371),1,"")</x:f>
      </x:c>
      <x:c r="I760" s="32" t="n">
        <x:f>IF(AND(I$8&lt;='Detalle'!$H371,I$9&gt;='Detalle'!$G371),1,"")</x:f>
        <x:v>1</x:v>
      </x:c>
      <x:c r="J760" s="32" t="str">
        <x:f>IF(AND(J$8&lt;='Detalle'!$H371,J$9&gt;='Detalle'!$G371),1,"")</x:f>
      </x:c>
      <x:c r="K760" s="32" t="str">
        <x:f>IF(AND(K$8&lt;='Detalle'!$H371,K$9&gt;='Detalle'!$G371),1,"")</x:f>
      </x:c>
      <x:c r="L760" s="32" t="str">
        <x:f>IF(AND(L$8&lt;='Detalle'!$H371,L$9&gt;='Detalle'!$G371),1,"")</x:f>
      </x:c>
      <x:c r="M760" s="32" t="str">
        <x:f>IF(AND(M$8&lt;='Detalle'!$H371,M$9&gt;='Detalle'!$G371),1,"")</x:f>
      </x:c>
      <x:c r="N760" s="32" t="str">
        <x:f>IF(AND(N$8&lt;='Detalle'!$H371,N$9&gt;='Detalle'!$G371),1,"")</x:f>
      </x:c>
      <x:c r="O760" s="32" t="str">
        <x:f>IF(AND(O$8&lt;='Detalle'!$H371,O$9&gt;='Detalle'!$G371),1,"")</x:f>
      </x:c>
      <x:c r="P760" s="32" t="str">
        <x:f>IF(AND(P$8&lt;='Detalle'!$H371,P$9&gt;='Detalle'!$G371),1,"")</x:f>
      </x:c>
      <x:c r="Q760" s="68"/>
      <x:c r="R760" s="67" t="str">
        <x:f>IF('Detalle'!M371="","",'Detalle'!M371)</x:f>
      </x:c>
      <x:c r="S760" s="67" t="str">
        <x:f>IF('Detalle'!N371="","",'Detalle'!N371)</x:f>
      </x:c>
    </x:row>
    <x:row r="761" ht="16" customHeight="1">
      <x:c r="A761" s="56" t="str">
        <x:v>SOC02.002</x:v>
      </x:c>
      <x:c r="B761" s="57" t="str">
        <x:v>Crear selector de tres reacciones</x:v>
      </x:c>
      <x:c r="C761" s="63" t="str">
        <x:v>R</x:v>
      </x:c>
      <x:c r="D761" s="65" t="str">
        <x:f>IF('Detalle'!L371="","",'Detalle'!L371)</x:f>
      </x:c>
      <x:c r="E761" s="60" t="str"/>
      <x:c r="F761" s="32" t="str">
        <x:f>IF(OR('Detalle'!$J371="",'Detalle'!$K371="",'Detalle'!$L371=""),"",IF(AND(F$8&lt;='Detalle'!$K371,F$9&gt;='Detalle'!$J371),1,""))</x:f>
      </x:c>
      <x:c r="G761" s="32" t="str">
        <x:f>IF(OR('Detalle'!$J371="",'Detalle'!$K371="",'Detalle'!$L371=""),"",IF(AND(G$8&lt;='Detalle'!$K371,G$9&gt;='Detalle'!$J371),1,""))</x:f>
      </x:c>
      <x:c r="H761" s="32" t="str">
        <x:f>IF(OR('Detalle'!$J371="",'Detalle'!$K371="",'Detalle'!$L371=""),"",IF(AND(H$8&lt;='Detalle'!$K371,H$9&gt;='Detalle'!$J371),1,""))</x:f>
      </x:c>
      <x:c r="I761" s="32" t="str">
        <x:f>IF(OR('Detalle'!$J371="",'Detalle'!$K371="",'Detalle'!$L371=""),"",IF(AND(I$8&lt;='Detalle'!$K371,I$9&gt;='Detalle'!$J371),1,""))</x:f>
      </x:c>
      <x:c r="J761" s="32" t="str">
        <x:f>IF(OR('Detalle'!$J371="",'Detalle'!$K371="",'Detalle'!$L371=""),"",IF(AND(J$8&lt;='Detalle'!$K371,J$9&gt;='Detalle'!$J371),1,""))</x:f>
      </x:c>
      <x:c r="K761" s="32" t="str">
        <x:f>IF(OR('Detalle'!$J371="",'Detalle'!$K371="",'Detalle'!$L371=""),"",IF(AND(K$8&lt;='Detalle'!$K371,K$9&gt;='Detalle'!$J371),1,""))</x:f>
      </x:c>
      <x:c r="L761" s="32" t="str">
        <x:f>IF(OR('Detalle'!$J371="",'Detalle'!$K371="",'Detalle'!$L371=""),"",IF(AND(L$8&lt;='Detalle'!$K371,L$9&gt;='Detalle'!$J371),1,""))</x:f>
      </x:c>
      <x:c r="M761" s="32" t="str">
        <x:f>IF(OR('Detalle'!$J371="",'Detalle'!$K371="",'Detalle'!$L371=""),"",IF(AND(M$8&lt;='Detalle'!$K371,M$9&gt;='Detalle'!$J371),1,""))</x:f>
      </x:c>
      <x:c r="N761" s="32" t="str">
        <x:f>IF(OR('Detalle'!$J371="",'Detalle'!$K371="",'Detalle'!$L371=""),"",IF(AND(N$8&lt;='Detalle'!$K371,N$9&gt;='Detalle'!$J371),1,""))</x:f>
      </x:c>
      <x:c r="O761" s="32" t="str">
        <x:f>IF(OR('Detalle'!$J371="",'Detalle'!$K371="",'Detalle'!$L371=""),"",IF(AND(O$8&lt;='Detalle'!$K371,O$9&gt;='Detalle'!$J371),1,""))</x:f>
      </x:c>
      <x:c r="P761" s="32" t="str">
        <x:f>IF(OR('Detalle'!$J371="",'Detalle'!$K371="",'Detalle'!$L371=""),"",IF(AND(P$8&lt;='Detalle'!$K371,P$9&gt;='Detalle'!$J371),1,""))</x:f>
      </x:c>
      <x:c r="Q761" s="68"/>
      <x:c r="R761" s="67" t="str"/>
      <x:c r="S761" s="67" t="str"/>
    </x:row>
    <x:row r="762" ht="16" customHeight="1">
      <x:c r="A762" s="56" t="str">
        <x:v>SOC02.003</x:v>
      </x:c>
      <x:c r="B762" s="57" t="str">
        <x:v>Retirar reacción activa</x:v>
      </x:c>
      <x:c r="C762" s="62" t="str">
        <x:v>E</x:v>
      </x:c>
      <x:c r="D762" s="64" t="n">
        <x:f>'Detalle'!I372</x:f>
        <x:v>1</x:v>
      </x:c>
      <x:c r="E762" s="60" t="str">
        <x:f>'Detalle'!F372</x:f>
        <x:v>Completado</x:v>
      </x:c>
      <x:c r="F762" s="32" t="str">
        <x:f>IF(AND(F$8&lt;='Detalle'!$H372,F$9&gt;='Detalle'!$G372),1,"")</x:f>
      </x:c>
      <x:c r="G762" s="32" t="str">
        <x:f>IF(AND(G$8&lt;='Detalle'!$H372,G$9&gt;='Detalle'!$G372),1,"")</x:f>
      </x:c>
      <x:c r="H762" s="32" t="str">
        <x:f>IF(AND(H$8&lt;='Detalle'!$H372,H$9&gt;='Detalle'!$G372),1,"")</x:f>
      </x:c>
      <x:c r="I762" s="32" t="n">
        <x:f>IF(AND(I$8&lt;='Detalle'!$H372,I$9&gt;='Detalle'!$G372),1,"")</x:f>
        <x:v>1</x:v>
      </x:c>
      <x:c r="J762" s="32" t="str">
        <x:f>IF(AND(J$8&lt;='Detalle'!$H372,J$9&gt;='Detalle'!$G372),1,"")</x:f>
      </x:c>
      <x:c r="K762" s="32" t="str">
        <x:f>IF(AND(K$8&lt;='Detalle'!$H372,K$9&gt;='Detalle'!$G372),1,"")</x:f>
      </x:c>
      <x:c r="L762" s="32" t="str">
        <x:f>IF(AND(L$8&lt;='Detalle'!$H372,L$9&gt;='Detalle'!$G372),1,"")</x:f>
      </x:c>
      <x:c r="M762" s="32" t="str">
        <x:f>IF(AND(M$8&lt;='Detalle'!$H372,M$9&gt;='Detalle'!$G372),1,"")</x:f>
      </x:c>
      <x:c r="N762" s="32" t="str">
        <x:f>IF(AND(N$8&lt;='Detalle'!$H372,N$9&gt;='Detalle'!$G372),1,"")</x:f>
      </x:c>
      <x:c r="O762" s="32" t="str">
        <x:f>IF(AND(O$8&lt;='Detalle'!$H372,O$9&gt;='Detalle'!$G372),1,"")</x:f>
      </x:c>
      <x:c r="P762" s="32" t="str">
        <x:f>IF(AND(P$8&lt;='Detalle'!$H372,P$9&gt;='Detalle'!$G372),1,"")</x:f>
      </x:c>
      <x:c r="Q762" s="68"/>
      <x:c r="R762" s="67" t="str">
        <x:f>IF('Detalle'!M372="","",'Detalle'!M372)</x:f>
      </x:c>
      <x:c r="S762" s="67" t="str">
        <x:f>IF('Detalle'!N372="","",'Detalle'!N372)</x:f>
      </x:c>
    </x:row>
    <x:row r="763" ht="16" customHeight="1">
      <x:c r="A763" s="56" t="str">
        <x:v>SOC02.003</x:v>
      </x:c>
      <x:c r="B763" s="57" t="str">
        <x:v>Retirar reacción activa</x:v>
      </x:c>
      <x:c r="C763" s="63" t="str">
        <x:v>R</x:v>
      </x:c>
      <x:c r="D763" s="65" t="str">
        <x:f>IF('Detalle'!L372="","",'Detalle'!L372)</x:f>
      </x:c>
      <x:c r="E763" s="60" t="str"/>
      <x:c r="F763" s="32" t="str">
        <x:f>IF(OR('Detalle'!$J372="",'Detalle'!$K372="",'Detalle'!$L372=""),"",IF(AND(F$8&lt;='Detalle'!$K372,F$9&gt;='Detalle'!$J372),1,""))</x:f>
      </x:c>
      <x:c r="G763" s="32" t="str">
        <x:f>IF(OR('Detalle'!$J372="",'Detalle'!$K372="",'Detalle'!$L372=""),"",IF(AND(G$8&lt;='Detalle'!$K372,G$9&gt;='Detalle'!$J372),1,""))</x:f>
      </x:c>
      <x:c r="H763" s="32" t="str">
        <x:f>IF(OR('Detalle'!$J372="",'Detalle'!$K372="",'Detalle'!$L372=""),"",IF(AND(H$8&lt;='Detalle'!$K372,H$9&gt;='Detalle'!$J372),1,""))</x:f>
      </x:c>
      <x:c r="I763" s="32" t="str">
        <x:f>IF(OR('Detalle'!$J372="",'Detalle'!$K372="",'Detalle'!$L372=""),"",IF(AND(I$8&lt;='Detalle'!$K372,I$9&gt;='Detalle'!$J372),1,""))</x:f>
      </x:c>
      <x:c r="J763" s="32" t="str">
        <x:f>IF(OR('Detalle'!$J372="",'Detalle'!$K372="",'Detalle'!$L372=""),"",IF(AND(J$8&lt;='Detalle'!$K372,J$9&gt;='Detalle'!$J372),1,""))</x:f>
      </x:c>
      <x:c r="K763" s="32" t="str">
        <x:f>IF(OR('Detalle'!$J372="",'Detalle'!$K372="",'Detalle'!$L372=""),"",IF(AND(K$8&lt;='Detalle'!$K372,K$9&gt;='Detalle'!$J372),1,""))</x:f>
      </x:c>
      <x:c r="L763" s="32" t="str">
        <x:f>IF(OR('Detalle'!$J372="",'Detalle'!$K372="",'Detalle'!$L372=""),"",IF(AND(L$8&lt;='Detalle'!$K372,L$9&gt;='Detalle'!$J372),1,""))</x:f>
      </x:c>
      <x:c r="M763" s="32" t="str">
        <x:f>IF(OR('Detalle'!$J372="",'Detalle'!$K372="",'Detalle'!$L372=""),"",IF(AND(M$8&lt;='Detalle'!$K372,M$9&gt;='Detalle'!$J372),1,""))</x:f>
      </x:c>
      <x:c r="N763" s="32" t="str">
        <x:f>IF(OR('Detalle'!$J372="",'Detalle'!$K372="",'Detalle'!$L372=""),"",IF(AND(N$8&lt;='Detalle'!$K372,N$9&gt;='Detalle'!$J372),1,""))</x:f>
      </x:c>
      <x:c r="O763" s="32" t="str">
        <x:f>IF(OR('Detalle'!$J372="",'Detalle'!$K372="",'Detalle'!$L372=""),"",IF(AND(O$8&lt;='Detalle'!$K372,O$9&gt;='Detalle'!$J372),1,""))</x:f>
      </x:c>
      <x:c r="P763" s="32" t="str">
        <x:f>IF(OR('Detalle'!$J372="",'Detalle'!$K372="",'Detalle'!$L372=""),"",IF(AND(P$8&lt;='Detalle'!$K372,P$9&gt;='Detalle'!$J372),1,""))</x:f>
      </x:c>
      <x:c r="Q763" s="68"/>
      <x:c r="R763" s="67" t="str"/>
      <x:c r="S763" s="67" t="str"/>
    </x:row>
    <x:row r="764" ht="16" customHeight="1">
      <x:c r="A764" s="56" t="str">
        <x:v>SOC02.004</x:v>
      </x:c>
      <x:c r="B764" s="57" t="str">
        <x:v>Cambiar tipo de reacción</x:v>
      </x:c>
      <x:c r="C764" s="62" t="str">
        <x:v>E</x:v>
      </x:c>
      <x:c r="D764" s="64" t="n">
        <x:f>'Detalle'!I373</x:f>
        <x:v>1</x:v>
      </x:c>
      <x:c r="E764" s="60" t="str">
        <x:f>'Detalle'!F373</x:f>
        <x:v>Completado</x:v>
      </x:c>
      <x:c r="F764" s="32" t="str">
        <x:f>IF(AND(F$8&lt;='Detalle'!$H373,F$9&gt;='Detalle'!$G373),1,"")</x:f>
      </x:c>
      <x:c r="G764" s="32" t="str">
        <x:f>IF(AND(G$8&lt;='Detalle'!$H373,G$9&gt;='Detalle'!$G373),1,"")</x:f>
      </x:c>
      <x:c r="H764" s="32" t="str">
        <x:f>IF(AND(H$8&lt;='Detalle'!$H373,H$9&gt;='Detalle'!$G373),1,"")</x:f>
      </x:c>
      <x:c r="I764" s="32" t="n">
        <x:f>IF(AND(I$8&lt;='Detalle'!$H373,I$9&gt;='Detalle'!$G373),1,"")</x:f>
        <x:v>1</x:v>
      </x:c>
      <x:c r="J764" s="32" t="str">
        <x:f>IF(AND(J$8&lt;='Detalle'!$H373,J$9&gt;='Detalle'!$G373),1,"")</x:f>
      </x:c>
      <x:c r="K764" s="32" t="str">
        <x:f>IF(AND(K$8&lt;='Detalle'!$H373,K$9&gt;='Detalle'!$G373),1,"")</x:f>
      </x:c>
      <x:c r="L764" s="32" t="str">
        <x:f>IF(AND(L$8&lt;='Detalle'!$H373,L$9&gt;='Detalle'!$G373),1,"")</x:f>
      </x:c>
      <x:c r="M764" s="32" t="str">
        <x:f>IF(AND(M$8&lt;='Detalle'!$H373,M$9&gt;='Detalle'!$G373),1,"")</x:f>
      </x:c>
      <x:c r="N764" s="32" t="str">
        <x:f>IF(AND(N$8&lt;='Detalle'!$H373,N$9&gt;='Detalle'!$G373),1,"")</x:f>
      </x:c>
      <x:c r="O764" s="32" t="str">
        <x:f>IF(AND(O$8&lt;='Detalle'!$H373,O$9&gt;='Detalle'!$G373),1,"")</x:f>
      </x:c>
      <x:c r="P764" s="32" t="str">
        <x:f>IF(AND(P$8&lt;='Detalle'!$H373,P$9&gt;='Detalle'!$G373),1,"")</x:f>
      </x:c>
      <x:c r="Q764" s="68"/>
      <x:c r="R764" s="67" t="str">
        <x:f>IF('Detalle'!M373="","",'Detalle'!M373)</x:f>
      </x:c>
      <x:c r="S764" s="67" t="str">
        <x:f>IF('Detalle'!N373="","",'Detalle'!N373)</x:f>
      </x:c>
    </x:row>
    <x:row r="765" ht="16" customHeight="1">
      <x:c r="A765" s="56" t="str">
        <x:v>SOC02.004</x:v>
      </x:c>
      <x:c r="B765" s="57" t="str">
        <x:v>Cambiar tipo de reacción</x:v>
      </x:c>
      <x:c r="C765" s="63" t="str">
        <x:v>R</x:v>
      </x:c>
      <x:c r="D765" s="65" t="str">
        <x:f>IF('Detalle'!L373="","",'Detalle'!L373)</x:f>
      </x:c>
      <x:c r="E765" s="60" t="str"/>
      <x:c r="F765" s="32" t="str">
        <x:f>IF(OR('Detalle'!$J373="",'Detalle'!$K373="",'Detalle'!$L373=""),"",IF(AND(F$8&lt;='Detalle'!$K373,F$9&gt;='Detalle'!$J373),1,""))</x:f>
      </x:c>
      <x:c r="G765" s="32" t="str">
        <x:f>IF(OR('Detalle'!$J373="",'Detalle'!$K373="",'Detalle'!$L373=""),"",IF(AND(G$8&lt;='Detalle'!$K373,G$9&gt;='Detalle'!$J373),1,""))</x:f>
      </x:c>
      <x:c r="H765" s="32" t="str">
        <x:f>IF(OR('Detalle'!$J373="",'Detalle'!$K373="",'Detalle'!$L373=""),"",IF(AND(H$8&lt;='Detalle'!$K373,H$9&gt;='Detalle'!$J373),1,""))</x:f>
      </x:c>
      <x:c r="I765" s="32" t="str">
        <x:f>IF(OR('Detalle'!$J373="",'Detalle'!$K373="",'Detalle'!$L373=""),"",IF(AND(I$8&lt;='Detalle'!$K373,I$9&gt;='Detalle'!$J373),1,""))</x:f>
      </x:c>
      <x:c r="J765" s="32" t="str">
        <x:f>IF(OR('Detalle'!$J373="",'Detalle'!$K373="",'Detalle'!$L373=""),"",IF(AND(J$8&lt;='Detalle'!$K373,J$9&gt;='Detalle'!$J373),1,""))</x:f>
      </x:c>
      <x:c r="K765" s="32" t="str">
        <x:f>IF(OR('Detalle'!$J373="",'Detalle'!$K373="",'Detalle'!$L373=""),"",IF(AND(K$8&lt;='Detalle'!$K373,K$9&gt;='Detalle'!$J373),1,""))</x:f>
      </x:c>
      <x:c r="L765" s="32" t="str">
        <x:f>IF(OR('Detalle'!$J373="",'Detalle'!$K373="",'Detalle'!$L373=""),"",IF(AND(L$8&lt;='Detalle'!$K373,L$9&gt;='Detalle'!$J373),1,""))</x:f>
      </x:c>
      <x:c r="M765" s="32" t="str">
        <x:f>IF(OR('Detalle'!$J373="",'Detalle'!$K373="",'Detalle'!$L373=""),"",IF(AND(M$8&lt;='Detalle'!$K373,M$9&gt;='Detalle'!$J373),1,""))</x:f>
      </x:c>
      <x:c r="N765" s="32" t="str">
        <x:f>IF(OR('Detalle'!$J373="",'Detalle'!$K373="",'Detalle'!$L373=""),"",IF(AND(N$8&lt;='Detalle'!$K373,N$9&gt;='Detalle'!$J373),1,""))</x:f>
      </x:c>
      <x:c r="O765" s="32" t="str">
        <x:f>IF(OR('Detalle'!$J373="",'Detalle'!$K373="",'Detalle'!$L373=""),"",IF(AND(O$8&lt;='Detalle'!$K373,O$9&gt;='Detalle'!$J373),1,""))</x:f>
      </x:c>
      <x:c r="P765" s="32" t="str">
        <x:f>IF(OR('Detalle'!$J373="",'Detalle'!$K373="",'Detalle'!$L373=""),"",IF(AND(P$8&lt;='Detalle'!$K373,P$9&gt;='Detalle'!$J373),1,""))</x:f>
      </x:c>
      <x:c r="Q765" s="68"/>
      <x:c r="R765" s="67" t="str"/>
      <x:c r="S765" s="67" t="str"/>
    </x:row>
    <x:row r="766" ht="16" customHeight="1">
      <x:c r="A766" s="56" t="str">
        <x:v>SOC02.005</x:v>
      </x:c>
      <x:c r="B766" s="57" t="str">
        <x:v>Calcular total de reacciones</x:v>
      </x:c>
      <x:c r="C766" s="62" t="str">
        <x:v>E</x:v>
      </x:c>
      <x:c r="D766" s="64" t="n">
        <x:f>'Detalle'!I374</x:f>
        <x:v>1</x:v>
      </x:c>
      <x:c r="E766" s="60" t="str">
        <x:f>'Detalle'!F374</x:f>
        <x:v>Completado</x:v>
      </x:c>
      <x:c r="F766" s="32" t="str">
        <x:f>IF(AND(F$8&lt;='Detalle'!$H374,F$9&gt;='Detalle'!$G374),1,"")</x:f>
      </x:c>
      <x:c r="G766" s="32" t="str">
        <x:f>IF(AND(G$8&lt;='Detalle'!$H374,G$9&gt;='Detalle'!$G374),1,"")</x:f>
      </x:c>
      <x:c r="H766" s="32" t="str">
        <x:f>IF(AND(H$8&lt;='Detalle'!$H374,H$9&gt;='Detalle'!$G374),1,"")</x:f>
      </x:c>
      <x:c r="I766" s="32" t="n">
        <x:f>IF(AND(I$8&lt;='Detalle'!$H374,I$9&gt;='Detalle'!$G374),1,"")</x:f>
        <x:v>1</x:v>
      </x:c>
      <x:c r="J766" s="32" t="str">
        <x:f>IF(AND(J$8&lt;='Detalle'!$H374,J$9&gt;='Detalle'!$G374),1,"")</x:f>
      </x:c>
      <x:c r="K766" s="32" t="str">
        <x:f>IF(AND(K$8&lt;='Detalle'!$H374,K$9&gt;='Detalle'!$G374),1,"")</x:f>
      </x:c>
      <x:c r="L766" s="32" t="str">
        <x:f>IF(AND(L$8&lt;='Detalle'!$H374,L$9&gt;='Detalle'!$G374),1,"")</x:f>
      </x:c>
      <x:c r="M766" s="32" t="str">
        <x:f>IF(AND(M$8&lt;='Detalle'!$H374,M$9&gt;='Detalle'!$G374),1,"")</x:f>
      </x:c>
      <x:c r="N766" s="32" t="str">
        <x:f>IF(AND(N$8&lt;='Detalle'!$H374,N$9&gt;='Detalle'!$G374),1,"")</x:f>
      </x:c>
      <x:c r="O766" s="32" t="str">
        <x:f>IF(AND(O$8&lt;='Detalle'!$H374,O$9&gt;='Detalle'!$G374),1,"")</x:f>
      </x:c>
      <x:c r="P766" s="32" t="str">
        <x:f>IF(AND(P$8&lt;='Detalle'!$H374,P$9&gt;='Detalle'!$G374),1,"")</x:f>
      </x:c>
      <x:c r="Q766" s="68"/>
      <x:c r="R766" s="67" t="str">
        <x:f>IF('Detalle'!M374="","",'Detalle'!M374)</x:f>
      </x:c>
      <x:c r="S766" s="67" t="str">
        <x:f>IF('Detalle'!N374="","",'Detalle'!N374)</x:f>
      </x:c>
    </x:row>
    <x:row r="767" ht="16" customHeight="1">
      <x:c r="A767" s="56" t="str">
        <x:v>SOC02.005</x:v>
      </x:c>
      <x:c r="B767" s="57" t="str">
        <x:v>Calcular total de reacciones</x:v>
      </x:c>
      <x:c r="C767" s="63" t="str">
        <x:v>R</x:v>
      </x:c>
      <x:c r="D767" s="65" t="str">
        <x:f>IF('Detalle'!L374="","",'Detalle'!L374)</x:f>
      </x:c>
      <x:c r="E767" s="60" t="str"/>
      <x:c r="F767" s="32" t="str">
        <x:f>IF(OR('Detalle'!$J374="",'Detalle'!$K374="",'Detalle'!$L374=""),"",IF(AND(F$8&lt;='Detalle'!$K374,F$9&gt;='Detalle'!$J374),1,""))</x:f>
      </x:c>
      <x:c r="G767" s="32" t="str">
        <x:f>IF(OR('Detalle'!$J374="",'Detalle'!$K374="",'Detalle'!$L374=""),"",IF(AND(G$8&lt;='Detalle'!$K374,G$9&gt;='Detalle'!$J374),1,""))</x:f>
      </x:c>
      <x:c r="H767" s="32" t="str">
        <x:f>IF(OR('Detalle'!$J374="",'Detalle'!$K374="",'Detalle'!$L374=""),"",IF(AND(H$8&lt;='Detalle'!$K374,H$9&gt;='Detalle'!$J374),1,""))</x:f>
      </x:c>
      <x:c r="I767" s="32" t="str">
        <x:f>IF(OR('Detalle'!$J374="",'Detalle'!$K374="",'Detalle'!$L374=""),"",IF(AND(I$8&lt;='Detalle'!$K374,I$9&gt;='Detalle'!$J374),1,""))</x:f>
      </x:c>
      <x:c r="J767" s="32" t="str">
        <x:f>IF(OR('Detalle'!$J374="",'Detalle'!$K374="",'Detalle'!$L374=""),"",IF(AND(J$8&lt;='Detalle'!$K374,J$9&gt;='Detalle'!$J374),1,""))</x:f>
      </x:c>
      <x:c r="K767" s="32" t="str">
        <x:f>IF(OR('Detalle'!$J374="",'Detalle'!$K374="",'Detalle'!$L374=""),"",IF(AND(K$8&lt;='Detalle'!$K374,K$9&gt;='Detalle'!$J374),1,""))</x:f>
      </x:c>
      <x:c r="L767" s="32" t="str">
        <x:f>IF(OR('Detalle'!$J374="",'Detalle'!$K374="",'Detalle'!$L374=""),"",IF(AND(L$8&lt;='Detalle'!$K374,L$9&gt;='Detalle'!$J374),1,""))</x:f>
      </x:c>
      <x:c r="M767" s="32" t="str">
        <x:f>IF(OR('Detalle'!$J374="",'Detalle'!$K374="",'Detalle'!$L374=""),"",IF(AND(M$8&lt;='Detalle'!$K374,M$9&gt;='Detalle'!$J374),1,""))</x:f>
      </x:c>
      <x:c r="N767" s="32" t="str">
        <x:f>IF(OR('Detalle'!$J374="",'Detalle'!$K374="",'Detalle'!$L374=""),"",IF(AND(N$8&lt;='Detalle'!$K374,N$9&gt;='Detalle'!$J374),1,""))</x:f>
      </x:c>
      <x:c r="O767" s="32" t="str">
        <x:f>IF(OR('Detalle'!$J374="",'Detalle'!$K374="",'Detalle'!$L374=""),"",IF(AND(O$8&lt;='Detalle'!$K374,O$9&gt;='Detalle'!$J374),1,""))</x:f>
      </x:c>
      <x:c r="P767" s="32" t="str">
        <x:f>IF(OR('Detalle'!$J374="",'Detalle'!$K374="",'Detalle'!$L374=""),"",IF(AND(P$8&lt;='Detalle'!$K374,P$9&gt;='Detalle'!$J374),1,""))</x:f>
      </x:c>
      <x:c r="Q767" s="68"/>
      <x:c r="R767" s="67" t="str"/>
      <x:c r="S767" s="67" t="str"/>
    </x:row>
    <x:row r="768" ht="16" customHeight="1">
      <x:c r="A768" s="56" t="str">
        <x:v>SOC02.006</x:v>
      </x:c>
      <x:c r="B768" s="57" t="str">
        <x:v>Crear estadísticas sociales privadas/autorizadas</x:v>
      </x:c>
      <x:c r="C768" s="62" t="str">
        <x:v>E</x:v>
      </x:c>
      <x:c r="D768" s="64" t="n">
        <x:f>'Detalle'!I375</x:f>
        <x:v>1</x:v>
      </x:c>
      <x:c r="E768" s="60" t="str">
        <x:f>'Detalle'!F375</x:f>
        <x:v>Completado</x:v>
      </x:c>
      <x:c r="F768" s="32" t="str">
        <x:f>IF(AND(F$8&lt;='Detalle'!$H375,F$9&gt;='Detalle'!$G375),1,"")</x:f>
      </x:c>
      <x:c r="G768" s="32" t="str">
        <x:f>IF(AND(G$8&lt;='Detalle'!$H375,G$9&gt;='Detalle'!$G375),1,"")</x:f>
      </x:c>
      <x:c r="H768" s="32" t="str">
        <x:f>IF(AND(H$8&lt;='Detalle'!$H375,H$9&gt;='Detalle'!$G375),1,"")</x:f>
      </x:c>
      <x:c r="I768" s="32" t="n">
        <x:f>IF(AND(I$8&lt;='Detalle'!$H375,I$9&gt;='Detalle'!$G375),1,"")</x:f>
        <x:v>1</x:v>
      </x:c>
      <x:c r="J768" s="32" t="str">
        <x:f>IF(AND(J$8&lt;='Detalle'!$H375,J$9&gt;='Detalle'!$G375),1,"")</x:f>
      </x:c>
      <x:c r="K768" s="32" t="str">
        <x:f>IF(AND(K$8&lt;='Detalle'!$H375,K$9&gt;='Detalle'!$G375),1,"")</x:f>
      </x:c>
      <x:c r="L768" s="32" t="str">
        <x:f>IF(AND(L$8&lt;='Detalle'!$H375,L$9&gt;='Detalle'!$G375),1,"")</x:f>
      </x:c>
      <x:c r="M768" s="32" t="str">
        <x:f>IF(AND(M$8&lt;='Detalle'!$H375,M$9&gt;='Detalle'!$G375),1,"")</x:f>
      </x:c>
      <x:c r="N768" s="32" t="str">
        <x:f>IF(AND(N$8&lt;='Detalle'!$H375,N$9&gt;='Detalle'!$G375),1,"")</x:f>
      </x:c>
      <x:c r="O768" s="32" t="str">
        <x:f>IF(AND(O$8&lt;='Detalle'!$H375,O$9&gt;='Detalle'!$G375),1,"")</x:f>
      </x:c>
      <x:c r="P768" s="32" t="str">
        <x:f>IF(AND(P$8&lt;='Detalle'!$H375,P$9&gt;='Detalle'!$G375),1,"")</x:f>
      </x:c>
      <x:c r="Q768" s="68"/>
      <x:c r="R768" s="67" t="str">
        <x:f>IF('Detalle'!M375="","",'Detalle'!M375)</x:f>
      </x:c>
      <x:c r="S768" s="67" t="str">
        <x:f>IF('Detalle'!N375="","",'Detalle'!N375)</x:f>
      </x:c>
    </x:row>
    <x:row r="769" ht="16" customHeight="1">
      <x:c r="A769" s="56" t="str">
        <x:v>SOC02.006</x:v>
      </x:c>
      <x:c r="B769" s="57" t="str">
        <x:v>Crear estadísticas sociales privadas/autorizadas</x:v>
      </x:c>
      <x:c r="C769" s="63" t="str">
        <x:v>R</x:v>
      </x:c>
      <x:c r="D769" s="65" t="str">
        <x:f>IF('Detalle'!L375="","",'Detalle'!L375)</x:f>
      </x:c>
      <x:c r="E769" s="60" t="str"/>
      <x:c r="F769" s="32" t="str">
        <x:f>IF(OR('Detalle'!$J375="",'Detalle'!$K375="",'Detalle'!$L375=""),"",IF(AND(F$8&lt;='Detalle'!$K375,F$9&gt;='Detalle'!$J375),1,""))</x:f>
      </x:c>
      <x:c r="G769" s="32" t="str">
        <x:f>IF(OR('Detalle'!$J375="",'Detalle'!$K375="",'Detalle'!$L375=""),"",IF(AND(G$8&lt;='Detalle'!$K375,G$9&gt;='Detalle'!$J375),1,""))</x:f>
      </x:c>
      <x:c r="H769" s="32" t="str">
        <x:f>IF(OR('Detalle'!$J375="",'Detalle'!$K375="",'Detalle'!$L375=""),"",IF(AND(H$8&lt;='Detalle'!$K375,H$9&gt;='Detalle'!$J375),1,""))</x:f>
      </x:c>
      <x:c r="I769" s="32" t="str">
        <x:f>IF(OR('Detalle'!$J375="",'Detalle'!$K375="",'Detalle'!$L375=""),"",IF(AND(I$8&lt;='Detalle'!$K375,I$9&gt;='Detalle'!$J375),1,""))</x:f>
      </x:c>
      <x:c r="J769" s="32" t="str">
        <x:f>IF(OR('Detalle'!$J375="",'Detalle'!$K375="",'Detalle'!$L375=""),"",IF(AND(J$8&lt;='Detalle'!$K375,J$9&gt;='Detalle'!$J375),1,""))</x:f>
      </x:c>
      <x:c r="K769" s="32" t="str">
        <x:f>IF(OR('Detalle'!$J375="",'Detalle'!$K375="",'Detalle'!$L375=""),"",IF(AND(K$8&lt;='Detalle'!$K375,K$9&gt;='Detalle'!$J375),1,""))</x:f>
      </x:c>
      <x:c r="L769" s="32" t="str">
        <x:f>IF(OR('Detalle'!$J375="",'Detalle'!$K375="",'Detalle'!$L375=""),"",IF(AND(L$8&lt;='Detalle'!$K375,L$9&gt;='Detalle'!$J375),1,""))</x:f>
      </x:c>
      <x:c r="M769" s="32" t="str">
        <x:f>IF(OR('Detalle'!$J375="",'Detalle'!$K375="",'Detalle'!$L375=""),"",IF(AND(M$8&lt;='Detalle'!$K375,M$9&gt;='Detalle'!$J375),1,""))</x:f>
      </x:c>
      <x:c r="N769" s="32" t="str">
        <x:f>IF(OR('Detalle'!$J375="",'Detalle'!$K375="",'Detalle'!$L375=""),"",IF(AND(N$8&lt;='Detalle'!$K375,N$9&gt;='Detalle'!$J375),1,""))</x:f>
      </x:c>
      <x:c r="O769" s="32" t="str">
        <x:f>IF(OR('Detalle'!$J375="",'Detalle'!$K375="",'Detalle'!$L375=""),"",IF(AND(O$8&lt;='Detalle'!$K375,O$9&gt;='Detalle'!$J375),1,""))</x:f>
      </x:c>
      <x:c r="P769" s="32" t="str">
        <x:f>IF(OR('Detalle'!$J375="",'Detalle'!$K375="",'Detalle'!$L375=""),"",IF(AND(P$8&lt;='Detalle'!$K375,P$9&gt;='Detalle'!$J375),1,""))</x:f>
      </x:c>
      <x:c r="Q769" s="68"/>
      <x:c r="R769" s="67" t="str"/>
      <x:c r="S769" s="67" t="str"/>
    </x:row>
    <x:row r="770" ht="16" customHeight="1">
      <x:c r="A770" s="56" t="str">
        <x:v>SOC02.007</x:v>
      </x:c>
      <x:c r="B770" s="57" t="str">
        <x:v>Crear tabla de comentarios</x:v>
      </x:c>
      <x:c r="C770" s="62" t="str">
        <x:v>E</x:v>
      </x:c>
      <x:c r="D770" s="64" t="n">
        <x:f>'Detalle'!I376</x:f>
        <x:v>1</x:v>
      </x:c>
      <x:c r="E770" s="60" t="str">
        <x:f>'Detalle'!F376</x:f>
        <x:v>Completado</x:v>
      </x:c>
      <x:c r="F770" s="32" t="str">
        <x:f>IF(AND(F$8&lt;='Detalle'!$H376,F$9&gt;='Detalle'!$G376),1,"")</x:f>
      </x:c>
      <x:c r="G770" s="32" t="str">
        <x:f>IF(AND(G$8&lt;='Detalle'!$H376,G$9&gt;='Detalle'!$G376),1,"")</x:f>
      </x:c>
      <x:c r="H770" s="32" t="str">
        <x:f>IF(AND(H$8&lt;='Detalle'!$H376,H$9&gt;='Detalle'!$G376),1,"")</x:f>
      </x:c>
      <x:c r="I770" s="32" t="n">
        <x:f>IF(AND(I$8&lt;='Detalle'!$H376,I$9&gt;='Detalle'!$G376),1,"")</x:f>
        <x:v>1</x:v>
      </x:c>
      <x:c r="J770" s="32" t="str">
        <x:f>IF(AND(J$8&lt;='Detalle'!$H376,J$9&gt;='Detalle'!$G376),1,"")</x:f>
      </x:c>
      <x:c r="K770" s="32" t="str">
        <x:f>IF(AND(K$8&lt;='Detalle'!$H376,K$9&gt;='Detalle'!$G376),1,"")</x:f>
      </x:c>
      <x:c r="L770" s="32" t="str">
        <x:f>IF(AND(L$8&lt;='Detalle'!$H376,L$9&gt;='Detalle'!$G376),1,"")</x:f>
      </x:c>
      <x:c r="M770" s="32" t="str">
        <x:f>IF(AND(M$8&lt;='Detalle'!$H376,M$9&gt;='Detalle'!$G376),1,"")</x:f>
      </x:c>
      <x:c r="N770" s="32" t="str">
        <x:f>IF(AND(N$8&lt;='Detalle'!$H376,N$9&gt;='Detalle'!$G376),1,"")</x:f>
      </x:c>
      <x:c r="O770" s="32" t="str">
        <x:f>IF(AND(O$8&lt;='Detalle'!$H376,O$9&gt;='Detalle'!$G376),1,"")</x:f>
      </x:c>
      <x:c r="P770" s="32" t="str">
        <x:f>IF(AND(P$8&lt;='Detalle'!$H376,P$9&gt;='Detalle'!$G376),1,"")</x:f>
      </x:c>
      <x:c r="Q770" s="68"/>
      <x:c r="R770" s="67" t="str">
        <x:f>IF('Detalle'!M376="","",'Detalle'!M376)</x:f>
      </x:c>
      <x:c r="S770" s="67" t="str">
        <x:f>IF('Detalle'!N376="","",'Detalle'!N376)</x:f>
      </x:c>
    </x:row>
    <x:row r="771" ht="16" customHeight="1">
      <x:c r="A771" s="56" t="str">
        <x:v>SOC02.007</x:v>
      </x:c>
      <x:c r="B771" s="57" t="str">
        <x:v>Crear tabla de comentarios</x:v>
      </x:c>
      <x:c r="C771" s="63" t="str">
        <x:v>R</x:v>
      </x:c>
      <x:c r="D771" s="65" t="str">
        <x:f>IF('Detalle'!L376="","",'Detalle'!L376)</x:f>
      </x:c>
      <x:c r="E771" s="60" t="str"/>
      <x:c r="F771" s="32" t="str">
        <x:f>IF(OR('Detalle'!$J376="",'Detalle'!$K376="",'Detalle'!$L376=""),"",IF(AND(F$8&lt;='Detalle'!$K376,F$9&gt;='Detalle'!$J376),1,""))</x:f>
      </x:c>
      <x:c r="G771" s="32" t="str">
        <x:f>IF(OR('Detalle'!$J376="",'Detalle'!$K376="",'Detalle'!$L376=""),"",IF(AND(G$8&lt;='Detalle'!$K376,G$9&gt;='Detalle'!$J376),1,""))</x:f>
      </x:c>
      <x:c r="H771" s="32" t="str">
        <x:f>IF(OR('Detalle'!$J376="",'Detalle'!$K376="",'Detalle'!$L376=""),"",IF(AND(H$8&lt;='Detalle'!$K376,H$9&gt;='Detalle'!$J376),1,""))</x:f>
      </x:c>
      <x:c r="I771" s="32" t="str">
        <x:f>IF(OR('Detalle'!$J376="",'Detalle'!$K376="",'Detalle'!$L376=""),"",IF(AND(I$8&lt;='Detalle'!$K376,I$9&gt;='Detalle'!$J376),1,""))</x:f>
      </x:c>
      <x:c r="J771" s="32" t="str">
        <x:f>IF(OR('Detalle'!$J376="",'Detalle'!$K376="",'Detalle'!$L376=""),"",IF(AND(J$8&lt;='Detalle'!$K376,J$9&gt;='Detalle'!$J376),1,""))</x:f>
      </x:c>
      <x:c r="K771" s="32" t="str">
        <x:f>IF(OR('Detalle'!$J376="",'Detalle'!$K376="",'Detalle'!$L376=""),"",IF(AND(K$8&lt;='Detalle'!$K376,K$9&gt;='Detalle'!$J376),1,""))</x:f>
      </x:c>
      <x:c r="L771" s="32" t="str">
        <x:f>IF(OR('Detalle'!$J376="",'Detalle'!$K376="",'Detalle'!$L376=""),"",IF(AND(L$8&lt;='Detalle'!$K376,L$9&gt;='Detalle'!$J376),1,""))</x:f>
      </x:c>
      <x:c r="M771" s="32" t="str">
        <x:f>IF(OR('Detalle'!$J376="",'Detalle'!$K376="",'Detalle'!$L376=""),"",IF(AND(M$8&lt;='Detalle'!$K376,M$9&gt;='Detalle'!$J376),1,""))</x:f>
      </x:c>
      <x:c r="N771" s="32" t="str">
        <x:f>IF(OR('Detalle'!$J376="",'Detalle'!$K376="",'Detalle'!$L376=""),"",IF(AND(N$8&lt;='Detalle'!$K376,N$9&gt;='Detalle'!$J376),1,""))</x:f>
      </x:c>
      <x:c r="O771" s="32" t="str">
        <x:f>IF(OR('Detalle'!$J376="",'Detalle'!$K376="",'Detalle'!$L376=""),"",IF(AND(O$8&lt;='Detalle'!$K376,O$9&gt;='Detalle'!$J376),1,""))</x:f>
      </x:c>
      <x:c r="P771" s="32" t="str">
        <x:f>IF(OR('Detalle'!$J376="",'Detalle'!$K376="",'Detalle'!$L376=""),"",IF(AND(P$8&lt;='Detalle'!$K376,P$9&gt;='Detalle'!$J376),1,""))</x:f>
      </x:c>
      <x:c r="Q771" s="68"/>
      <x:c r="R771" s="67" t="str"/>
      <x:c r="S771" s="67" t="str"/>
    </x:row>
    <x:row r="772" ht="16" customHeight="1">
      <x:c r="A772" s="56" t="str">
        <x:v>SOC02.008</x:v>
      </x:c>
      <x:c r="B772" s="57" t="str">
        <x:v>Validar longitud de comentario</x:v>
      </x:c>
      <x:c r="C772" s="62" t="str">
        <x:v>E</x:v>
      </x:c>
      <x:c r="D772" s="64" t="n">
        <x:f>'Detalle'!I377</x:f>
        <x:v>1</x:v>
      </x:c>
      <x:c r="E772" s="60" t="str">
        <x:f>'Detalle'!F377</x:f>
        <x:v>Completado</x:v>
      </x:c>
      <x:c r="F772" s="32" t="str">
        <x:f>IF(AND(F$8&lt;='Detalle'!$H377,F$9&gt;='Detalle'!$G377),1,"")</x:f>
      </x:c>
      <x:c r="G772" s="32" t="str">
        <x:f>IF(AND(G$8&lt;='Detalle'!$H377,G$9&gt;='Detalle'!$G377),1,"")</x:f>
      </x:c>
      <x:c r="H772" s="32" t="str">
        <x:f>IF(AND(H$8&lt;='Detalle'!$H377,H$9&gt;='Detalle'!$G377),1,"")</x:f>
      </x:c>
      <x:c r="I772" s="32" t="n">
        <x:f>IF(AND(I$8&lt;='Detalle'!$H377,I$9&gt;='Detalle'!$G377),1,"")</x:f>
        <x:v>1</x:v>
      </x:c>
      <x:c r="J772" s="32" t="str">
        <x:f>IF(AND(J$8&lt;='Detalle'!$H377,J$9&gt;='Detalle'!$G377),1,"")</x:f>
      </x:c>
      <x:c r="K772" s="32" t="str">
        <x:f>IF(AND(K$8&lt;='Detalle'!$H377,K$9&gt;='Detalle'!$G377),1,"")</x:f>
      </x:c>
      <x:c r="L772" s="32" t="str">
        <x:f>IF(AND(L$8&lt;='Detalle'!$H377,L$9&gt;='Detalle'!$G377),1,"")</x:f>
      </x:c>
      <x:c r="M772" s="32" t="str">
        <x:f>IF(AND(M$8&lt;='Detalle'!$H377,M$9&gt;='Detalle'!$G377),1,"")</x:f>
      </x:c>
      <x:c r="N772" s="32" t="str">
        <x:f>IF(AND(N$8&lt;='Detalle'!$H377,N$9&gt;='Detalle'!$G377),1,"")</x:f>
      </x:c>
      <x:c r="O772" s="32" t="str">
        <x:f>IF(AND(O$8&lt;='Detalle'!$H377,O$9&gt;='Detalle'!$G377),1,"")</x:f>
      </x:c>
      <x:c r="P772" s="32" t="str">
        <x:f>IF(AND(P$8&lt;='Detalle'!$H377,P$9&gt;='Detalle'!$G377),1,"")</x:f>
      </x:c>
      <x:c r="Q772" s="68"/>
      <x:c r="R772" s="67" t="str">
        <x:f>IF('Detalle'!M377="","",'Detalle'!M377)</x:f>
      </x:c>
      <x:c r="S772" s="67" t="str">
        <x:f>IF('Detalle'!N377="","",'Detalle'!N377)</x:f>
      </x:c>
    </x:row>
    <x:row r="773" ht="16" customHeight="1">
      <x:c r="A773" s="56" t="str">
        <x:v>SOC02.008</x:v>
      </x:c>
      <x:c r="B773" s="57" t="str">
        <x:v>Validar longitud de comentario</x:v>
      </x:c>
      <x:c r="C773" s="63" t="str">
        <x:v>R</x:v>
      </x:c>
      <x:c r="D773" s="65" t="str">
        <x:f>IF('Detalle'!L377="","",'Detalle'!L377)</x:f>
      </x:c>
      <x:c r="E773" s="60" t="str"/>
      <x:c r="F773" s="32" t="str">
        <x:f>IF(OR('Detalle'!$J377="",'Detalle'!$K377="",'Detalle'!$L377=""),"",IF(AND(F$8&lt;='Detalle'!$K377,F$9&gt;='Detalle'!$J377),1,""))</x:f>
      </x:c>
      <x:c r="G773" s="32" t="str">
        <x:f>IF(OR('Detalle'!$J377="",'Detalle'!$K377="",'Detalle'!$L377=""),"",IF(AND(G$8&lt;='Detalle'!$K377,G$9&gt;='Detalle'!$J377),1,""))</x:f>
      </x:c>
      <x:c r="H773" s="32" t="str">
        <x:f>IF(OR('Detalle'!$J377="",'Detalle'!$K377="",'Detalle'!$L377=""),"",IF(AND(H$8&lt;='Detalle'!$K377,H$9&gt;='Detalle'!$J377),1,""))</x:f>
      </x:c>
      <x:c r="I773" s="32" t="str">
        <x:f>IF(OR('Detalle'!$J377="",'Detalle'!$K377="",'Detalle'!$L377=""),"",IF(AND(I$8&lt;='Detalle'!$K377,I$9&gt;='Detalle'!$J377),1,""))</x:f>
      </x:c>
      <x:c r="J773" s="32" t="str">
        <x:f>IF(OR('Detalle'!$J377="",'Detalle'!$K377="",'Detalle'!$L377=""),"",IF(AND(J$8&lt;='Detalle'!$K377,J$9&gt;='Detalle'!$J377),1,""))</x:f>
      </x:c>
      <x:c r="K773" s="32" t="str">
        <x:f>IF(OR('Detalle'!$J377="",'Detalle'!$K377="",'Detalle'!$L377=""),"",IF(AND(K$8&lt;='Detalle'!$K377,K$9&gt;='Detalle'!$J377),1,""))</x:f>
      </x:c>
      <x:c r="L773" s="32" t="str">
        <x:f>IF(OR('Detalle'!$J377="",'Detalle'!$K377="",'Detalle'!$L377=""),"",IF(AND(L$8&lt;='Detalle'!$K377,L$9&gt;='Detalle'!$J377),1,""))</x:f>
      </x:c>
      <x:c r="M773" s="32" t="str">
        <x:f>IF(OR('Detalle'!$J377="",'Detalle'!$K377="",'Detalle'!$L377=""),"",IF(AND(M$8&lt;='Detalle'!$K377,M$9&gt;='Detalle'!$J377),1,""))</x:f>
      </x:c>
      <x:c r="N773" s="32" t="str">
        <x:f>IF(OR('Detalle'!$J377="",'Detalle'!$K377="",'Detalle'!$L377=""),"",IF(AND(N$8&lt;='Detalle'!$K377,N$9&gt;='Detalle'!$J377),1,""))</x:f>
      </x:c>
      <x:c r="O773" s="32" t="str">
        <x:f>IF(OR('Detalle'!$J377="",'Detalle'!$K377="",'Detalle'!$L377=""),"",IF(AND(O$8&lt;='Detalle'!$K377,O$9&gt;='Detalle'!$J377),1,""))</x:f>
      </x:c>
      <x:c r="P773" s="32" t="str">
        <x:f>IF(OR('Detalle'!$J377="",'Detalle'!$K377="",'Detalle'!$L377=""),"",IF(AND(P$8&lt;='Detalle'!$K377,P$9&gt;='Detalle'!$J377),1,""))</x:f>
      </x:c>
      <x:c r="Q773" s="68"/>
      <x:c r="R773" s="67" t="str"/>
      <x:c r="S773" s="67" t="str"/>
    </x:row>
    <x:row r="774" ht="16" customHeight="1">
      <x:c r="A774" s="56" t="str">
        <x:v>SOC02.009</x:v>
      </x:c>
      <x:c r="B774" s="57" t="str">
        <x:v>Crear panel de comentarios móvil/web</x:v>
      </x:c>
      <x:c r="C774" s="62" t="str">
        <x:v>E</x:v>
      </x:c>
      <x:c r="D774" s="64" t="n">
        <x:f>'Detalle'!I378</x:f>
        <x:v>1</x:v>
      </x:c>
      <x:c r="E774" s="60" t="str">
        <x:f>'Detalle'!F378</x:f>
        <x:v>Completado</x:v>
      </x:c>
      <x:c r="F774" s="32" t="str">
        <x:f>IF(AND(F$8&lt;='Detalle'!$H378,F$9&gt;='Detalle'!$G378),1,"")</x:f>
      </x:c>
      <x:c r="G774" s="32" t="str">
        <x:f>IF(AND(G$8&lt;='Detalle'!$H378,G$9&gt;='Detalle'!$G378),1,"")</x:f>
      </x:c>
      <x:c r="H774" s="32" t="str">
        <x:f>IF(AND(H$8&lt;='Detalle'!$H378,H$9&gt;='Detalle'!$G378),1,"")</x:f>
      </x:c>
      <x:c r="I774" s="32" t="n">
        <x:f>IF(AND(I$8&lt;='Detalle'!$H378,I$9&gt;='Detalle'!$G378),1,"")</x:f>
        <x:v>1</x:v>
      </x:c>
      <x:c r="J774" s="32" t="str">
        <x:f>IF(AND(J$8&lt;='Detalle'!$H378,J$9&gt;='Detalle'!$G378),1,"")</x:f>
      </x:c>
      <x:c r="K774" s="32" t="str">
        <x:f>IF(AND(K$8&lt;='Detalle'!$H378,K$9&gt;='Detalle'!$G378),1,"")</x:f>
      </x:c>
      <x:c r="L774" s="32" t="str">
        <x:f>IF(AND(L$8&lt;='Detalle'!$H378,L$9&gt;='Detalle'!$G378),1,"")</x:f>
      </x:c>
      <x:c r="M774" s="32" t="str">
        <x:f>IF(AND(M$8&lt;='Detalle'!$H378,M$9&gt;='Detalle'!$G378),1,"")</x:f>
      </x:c>
      <x:c r="N774" s="32" t="str">
        <x:f>IF(AND(N$8&lt;='Detalle'!$H378,N$9&gt;='Detalle'!$G378),1,"")</x:f>
      </x:c>
      <x:c r="O774" s="32" t="str">
        <x:f>IF(AND(O$8&lt;='Detalle'!$H378,O$9&gt;='Detalle'!$G378),1,"")</x:f>
      </x:c>
      <x:c r="P774" s="32" t="str">
        <x:f>IF(AND(P$8&lt;='Detalle'!$H378,P$9&gt;='Detalle'!$G378),1,"")</x:f>
      </x:c>
      <x:c r="Q774" s="68"/>
      <x:c r="R774" s="67" t="str">
        <x:f>IF('Detalle'!M378="","",'Detalle'!M378)</x:f>
      </x:c>
      <x:c r="S774" s="67" t="str">
        <x:f>IF('Detalle'!N378="","",'Detalle'!N378)</x:f>
      </x:c>
    </x:row>
    <x:row r="775" ht="16" customHeight="1">
      <x:c r="A775" s="56" t="str">
        <x:v>SOC02.009</x:v>
      </x:c>
      <x:c r="B775" s="57" t="str">
        <x:v>Crear panel de comentarios móvil/web</x:v>
      </x:c>
      <x:c r="C775" s="63" t="str">
        <x:v>R</x:v>
      </x:c>
      <x:c r="D775" s="65" t="str">
        <x:f>IF('Detalle'!L378="","",'Detalle'!L378)</x:f>
      </x:c>
      <x:c r="E775" s="60" t="str"/>
      <x:c r="F775" s="32" t="str">
        <x:f>IF(OR('Detalle'!$J378="",'Detalle'!$K378="",'Detalle'!$L378=""),"",IF(AND(F$8&lt;='Detalle'!$K378,F$9&gt;='Detalle'!$J378),1,""))</x:f>
      </x:c>
      <x:c r="G775" s="32" t="str">
        <x:f>IF(OR('Detalle'!$J378="",'Detalle'!$K378="",'Detalle'!$L378=""),"",IF(AND(G$8&lt;='Detalle'!$K378,G$9&gt;='Detalle'!$J378),1,""))</x:f>
      </x:c>
      <x:c r="H775" s="32" t="str">
        <x:f>IF(OR('Detalle'!$J378="",'Detalle'!$K378="",'Detalle'!$L378=""),"",IF(AND(H$8&lt;='Detalle'!$K378,H$9&gt;='Detalle'!$J378),1,""))</x:f>
      </x:c>
      <x:c r="I775" s="32" t="str">
        <x:f>IF(OR('Detalle'!$J378="",'Detalle'!$K378="",'Detalle'!$L378=""),"",IF(AND(I$8&lt;='Detalle'!$K378,I$9&gt;='Detalle'!$J378),1,""))</x:f>
      </x:c>
      <x:c r="J775" s="32" t="str">
        <x:f>IF(OR('Detalle'!$J378="",'Detalle'!$K378="",'Detalle'!$L378=""),"",IF(AND(J$8&lt;='Detalle'!$K378,J$9&gt;='Detalle'!$J378),1,""))</x:f>
      </x:c>
      <x:c r="K775" s="32" t="str">
        <x:f>IF(OR('Detalle'!$J378="",'Detalle'!$K378="",'Detalle'!$L378=""),"",IF(AND(K$8&lt;='Detalle'!$K378,K$9&gt;='Detalle'!$J378),1,""))</x:f>
      </x:c>
      <x:c r="L775" s="32" t="str">
        <x:f>IF(OR('Detalle'!$J378="",'Detalle'!$K378="",'Detalle'!$L378=""),"",IF(AND(L$8&lt;='Detalle'!$K378,L$9&gt;='Detalle'!$J378),1,""))</x:f>
      </x:c>
      <x:c r="M775" s="32" t="str">
        <x:f>IF(OR('Detalle'!$J378="",'Detalle'!$K378="",'Detalle'!$L378=""),"",IF(AND(M$8&lt;='Detalle'!$K378,M$9&gt;='Detalle'!$J378),1,""))</x:f>
      </x:c>
      <x:c r="N775" s="32" t="str">
        <x:f>IF(OR('Detalle'!$J378="",'Detalle'!$K378="",'Detalle'!$L378=""),"",IF(AND(N$8&lt;='Detalle'!$K378,N$9&gt;='Detalle'!$J378),1,""))</x:f>
      </x:c>
      <x:c r="O775" s="32" t="str">
        <x:f>IF(OR('Detalle'!$J378="",'Detalle'!$K378="",'Detalle'!$L378=""),"",IF(AND(O$8&lt;='Detalle'!$K378,O$9&gt;='Detalle'!$J378),1,""))</x:f>
      </x:c>
      <x:c r="P775" s="32" t="str">
        <x:f>IF(OR('Detalle'!$J378="",'Detalle'!$K378="",'Detalle'!$L378=""),"",IF(AND(P$8&lt;='Detalle'!$K378,P$9&gt;='Detalle'!$J378),1,""))</x:f>
      </x:c>
      <x:c r="Q775" s="68"/>
      <x:c r="R775" s="67" t="str"/>
      <x:c r="S775" s="67" t="str"/>
    </x:row>
    <x:row r="776" ht="16" customHeight="1">
      <x:c r="A776" s="56" t="str">
        <x:v>SOC02.010</x:v>
      </x:c>
      <x:c r="B776" s="57" t="str">
        <x:v>Paginar comentarios en páginas de 30</x:v>
      </x:c>
      <x:c r="C776" s="62" t="str">
        <x:v>E</x:v>
      </x:c>
      <x:c r="D776" s="64" t="n">
        <x:f>'Detalle'!I379</x:f>
        <x:v>1</x:v>
      </x:c>
      <x:c r="E776" s="60" t="str">
        <x:f>'Detalle'!F379</x:f>
        <x:v>Completado</x:v>
      </x:c>
      <x:c r="F776" s="32" t="str">
        <x:f>IF(AND(F$8&lt;='Detalle'!$H379,F$9&gt;='Detalle'!$G379),1,"")</x:f>
      </x:c>
      <x:c r="G776" s="32" t="str">
        <x:f>IF(AND(G$8&lt;='Detalle'!$H379,G$9&gt;='Detalle'!$G379),1,"")</x:f>
      </x:c>
      <x:c r="H776" s="32" t="str">
        <x:f>IF(AND(H$8&lt;='Detalle'!$H379,H$9&gt;='Detalle'!$G379),1,"")</x:f>
      </x:c>
      <x:c r="I776" s="32" t="n">
        <x:f>IF(AND(I$8&lt;='Detalle'!$H379,I$9&gt;='Detalle'!$G379),1,"")</x:f>
        <x:v>1</x:v>
      </x:c>
      <x:c r="J776" s="32" t="str">
        <x:f>IF(AND(J$8&lt;='Detalle'!$H379,J$9&gt;='Detalle'!$G379),1,"")</x:f>
      </x:c>
      <x:c r="K776" s="32" t="str">
        <x:f>IF(AND(K$8&lt;='Detalle'!$H379,K$9&gt;='Detalle'!$G379),1,"")</x:f>
      </x:c>
      <x:c r="L776" s="32" t="str">
        <x:f>IF(AND(L$8&lt;='Detalle'!$H379,L$9&gt;='Detalle'!$G379),1,"")</x:f>
      </x:c>
      <x:c r="M776" s="32" t="str">
        <x:f>IF(AND(M$8&lt;='Detalle'!$H379,M$9&gt;='Detalle'!$G379),1,"")</x:f>
      </x:c>
      <x:c r="N776" s="32" t="str">
        <x:f>IF(AND(N$8&lt;='Detalle'!$H379,N$9&gt;='Detalle'!$G379),1,"")</x:f>
      </x:c>
      <x:c r="O776" s="32" t="str">
        <x:f>IF(AND(O$8&lt;='Detalle'!$H379,O$9&gt;='Detalle'!$G379),1,"")</x:f>
      </x:c>
      <x:c r="P776" s="32" t="str">
        <x:f>IF(AND(P$8&lt;='Detalle'!$H379,P$9&gt;='Detalle'!$G379),1,"")</x:f>
      </x:c>
      <x:c r="Q776" s="68"/>
      <x:c r="R776" s="67" t="str">
        <x:f>IF('Detalle'!M379="","",'Detalle'!M379)</x:f>
      </x:c>
      <x:c r="S776" s="67" t="str">
        <x:f>IF('Detalle'!N379="","",'Detalle'!N379)</x:f>
      </x:c>
    </x:row>
    <x:row r="777" ht="16" customHeight="1">
      <x:c r="A777" s="56" t="str">
        <x:v>SOC02.010</x:v>
      </x:c>
      <x:c r="B777" s="57" t="str">
        <x:v>Paginar comentarios en páginas de 30</x:v>
      </x:c>
      <x:c r="C777" s="63" t="str">
        <x:v>R</x:v>
      </x:c>
      <x:c r="D777" s="65" t="str">
        <x:f>IF('Detalle'!L379="","",'Detalle'!L379)</x:f>
      </x:c>
      <x:c r="E777" s="60" t="str"/>
      <x:c r="F777" s="32" t="str">
        <x:f>IF(OR('Detalle'!$J379="",'Detalle'!$K379="",'Detalle'!$L379=""),"",IF(AND(F$8&lt;='Detalle'!$K379,F$9&gt;='Detalle'!$J379),1,""))</x:f>
      </x:c>
      <x:c r="G777" s="32" t="str">
        <x:f>IF(OR('Detalle'!$J379="",'Detalle'!$K379="",'Detalle'!$L379=""),"",IF(AND(G$8&lt;='Detalle'!$K379,G$9&gt;='Detalle'!$J379),1,""))</x:f>
      </x:c>
      <x:c r="H777" s="32" t="str">
        <x:f>IF(OR('Detalle'!$J379="",'Detalle'!$K379="",'Detalle'!$L379=""),"",IF(AND(H$8&lt;='Detalle'!$K379,H$9&gt;='Detalle'!$J379),1,""))</x:f>
      </x:c>
      <x:c r="I777" s="32" t="str">
        <x:f>IF(OR('Detalle'!$J379="",'Detalle'!$K379="",'Detalle'!$L379=""),"",IF(AND(I$8&lt;='Detalle'!$K379,I$9&gt;='Detalle'!$J379),1,""))</x:f>
      </x:c>
      <x:c r="J777" s="32" t="str">
        <x:f>IF(OR('Detalle'!$J379="",'Detalle'!$K379="",'Detalle'!$L379=""),"",IF(AND(J$8&lt;='Detalle'!$K379,J$9&gt;='Detalle'!$J379),1,""))</x:f>
      </x:c>
      <x:c r="K777" s="32" t="str">
        <x:f>IF(OR('Detalle'!$J379="",'Detalle'!$K379="",'Detalle'!$L379=""),"",IF(AND(K$8&lt;='Detalle'!$K379,K$9&gt;='Detalle'!$J379),1,""))</x:f>
      </x:c>
      <x:c r="L777" s="32" t="str">
        <x:f>IF(OR('Detalle'!$J379="",'Detalle'!$K379="",'Detalle'!$L379=""),"",IF(AND(L$8&lt;='Detalle'!$K379,L$9&gt;='Detalle'!$J379),1,""))</x:f>
      </x:c>
      <x:c r="M777" s="32" t="str">
        <x:f>IF(OR('Detalle'!$J379="",'Detalle'!$K379="",'Detalle'!$L379=""),"",IF(AND(M$8&lt;='Detalle'!$K379,M$9&gt;='Detalle'!$J379),1,""))</x:f>
      </x:c>
      <x:c r="N777" s="32" t="str">
        <x:f>IF(OR('Detalle'!$J379="",'Detalle'!$K379="",'Detalle'!$L379=""),"",IF(AND(N$8&lt;='Detalle'!$K379,N$9&gt;='Detalle'!$J379),1,""))</x:f>
      </x:c>
      <x:c r="O777" s="32" t="str">
        <x:f>IF(OR('Detalle'!$J379="",'Detalle'!$K379="",'Detalle'!$L379=""),"",IF(AND(O$8&lt;='Detalle'!$K379,O$9&gt;='Detalle'!$J379),1,""))</x:f>
      </x:c>
      <x:c r="P777" s="32" t="str">
        <x:f>IF(OR('Detalle'!$J379="",'Detalle'!$K379="",'Detalle'!$L379=""),"",IF(AND(P$8&lt;='Detalle'!$K379,P$9&gt;='Detalle'!$J379),1,""))</x:f>
      </x:c>
      <x:c r="Q777" s="68"/>
      <x:c r="R777" s="67" t="str"/>
      <x:c r="S777" s="67" t="str"/>
    </x:row>
    <x:row r="778" ht="16" customHeight="1">
      <x:c r="A778" s="56" t="str">
        <x:v>SOC02.011</x:v>
      </x:c>
      <x:c r="B778" s="57" t="str">
        <x:v>Conservar borrador e ID de comentario</x:v>
      </x:c>
      <x:c r="C778" s="62" t="str">
        <x:v>E</x:v>
      </x:c>
      <x:c r="D778" s="64" t="n">
        <x:f>'Detalle'!I380</x:f>
        <x:v>1</x:v>
      </x:c>
      <x:c r="E778" s="60" t="str">
        <x:f>'Detalle'!F380</x:f>
        <x:v>Completado</x:v>
      </x:c>
      <x:c r="F778" s="32" t="str">
        <x:f>IF(AND(F$8&lt;='Detalle'!$H380,F$9&gt;='Detalle'!$G380),1,"")</x:f>
      </x:c>
      <x:c r="G778" s="32" t="str">
        <x:f>IF(AND(G$8&lt;='Detalle'!$H380,G$9&gt;='Detalle'!$G380),1,"")</x:f>
      </x:c>
      <x:c r="H778" s="32" t="str">
        <x:f>IF(AND(H$8&lt;='Detalle'!$H380,H$9&gt;='Detalle'!$G380),1,"")</x:f>
      </x:c>
      <x:c r="I778" s="32" t="n">
        <x:f>IF(AND(I$8&lt;='Detalle'!$H380,I$9&gt;='Detalle'!$G380),1,"")</x:f>
        <x:v>1</x:v>
      </x:c>
      <x:c r="J778" s="32" t="str">
        <x:f>IF(AND(J$8&lt;='Detalle'!$H380,J$9&gt;='Detalle'!$G380),1,"")</x:f>
      </x:c>
      <x:c r="K778" s="32" t="str">
        <x:f>IF(AND(K$8&lt;='Detalle'!$H380,K$9&gt;='Detalle'!$G380),1,"")</x:f>
      </x:c>
      <x:c r="L778" s="32" t="str">
        <x:f>IF(AND(L$8&lt;='Detalle'!$H380,L$9&gt;='Detalle'!$G380),1,"")</x:f>
      </x:c>
      <x:c r="M778" s="32" t="str">
        <x:f>IF(AND(M$8&lt;='Detalle'!$H380,M$9&gt;='Detalle'!$G380),1,"")</x:f>
      </x:c>
      <x:c r="N778" s="32" t="str">
        <x:f>IF(AND(N$8&lt;='Detalle'!$H380,N$9&gt;='Detalle'!$G380),1,"")</x:f>
      </x:c>
      <x:c r="O778" s="32" t="str">
        <x:f>IF(AND(O$8&lt;='Detalle'!$H380,O$9&gt;='Detalle'!$G380),1,"")</x:f>
      </x:c>
      <x:c r="P778" s="32" t="str">
        <x:f>IF(AND(P$8&lt;='Detalle'!$H380,P$9&gt;='Detalle'!$G380),1,"")</x:f>
      </x:c>
      <x:c r="Q778" s="68"/>
      <x:c r="R778" s="67" t="str">
        <x:f>IF('Detalle'!M380="","",'Detalle'!M380)</x:f>
      </x:c>
      <x:c r="S778" s="67" t="str">
        <x:f>IF('Detalle'!N380="","",'Detalle'!N380)</x:f>
      </x:c>
    </x:row>
    <x:row r="779" ht="16" customHeight="1">
      <x:c r="A779" s="56" t="str">
        <x:v>SOC02.011</x:v>
      </x:c>
      <x:c r="B779" s="57" t="str">
        <x:v>Conservar borrador e ID de comentario</x:v>
      </x:c>
      <x:c r="C779" s="63" t="str">
        <x:v>R</x:v>
      </x:c>
      <x:c r="D779" s="65" t="str">
        <x:f>IF('Detalle'!L380="","",'Detalle'!L380)</x:f>
      </x:c>
      <x:c r="E779" s="60" t="str"/>
      <x:c r="F779" s="32" t="str">
        <x:f>IF(OR('Detalle'!$J380="",'Detalle'!$K380="",'Detalle'!$L380=""),"",IF(AND(F$8&lt;='Detalle'!$K380,F$9&gt;='Detalle'!$J380),1,""))</x:f>
      </x:c>
      <x:c r="G779" s="32" t="str">
        <x:f>IF(OR('Detalle'!$J380="",'Detalle'!$K380="",'Detalle'!$L380=""),"",IF(AND(G$8&lt;='Detalle'!$K380,G$9&gt;='Detalle'!$J380),1,""))</x:f>
      </x:c>
      <x:c r="H779" s="32" t="str">
        <x:f>IF(OR('Detalle'!$J380="",'Detalle'!$K380="",'Detalle'!$L380=""),"",IF(AND(H$8&lt;='Detalle'!$K380,H$9&gt;='Detalle'!$J380),1,""))</x:f>
      </x:c>
      <x:c r="I779" s="32" t="str">
        <x:f>IF(OR('Detalle'!$J380="",'Detalle'!$K380="",'Detalle'!$L380=""),"",IF(AND(I$8&lt;='Detalle'!$K380,I$9&gt;='Detalle'!$J380),1,""))</x:f>
      </x:c>
      <x:c r="J779" s="32" t="str">
        <x:f>IF(OR('Detalle'!$J380="",'Detalle'!$K380="",'Detalle'!$L380=""),"",IF(AND(J$8&lt;='Detalle'!$K380,J$9&gt;='Detalle'!$J380),1,""))</x:f>
      </x:c>
      <x:c r="K779" s="32" t="str">
        <x:f>IF(OR('Detalle'!$J380="",'Detalle'!$K380="",'Detalle'!$L380=""),"",IF(AND(K$8&lt;='Detalle'!$K380,K$9&gt;='Detalle'!$J380),1,""))</x:f>
      </x:c>
      <x:c r="L779" s="32" t="str">
        <x:f>IF(OR('Detalle'!$J380="",'Detalle'!$K380="",'Detalle'!$L380=""),"",IF(AND(L$8&lt;='Detalle'!$K380,L$9&gt;='Detalle'!$J380),1,""))</x:f>
      </x:c>
      <x:c r="M779" s="32" t="str">
        <x:f>IF(OR('Detalle'!$J380="",'Detalle'!$K380="",'Detalle'!$L380=""),"",IF(AND(M$8&lt;='Detalle'!$K380,M$9&gt;='Detalle'!$J380),1,""))</x:f>
      </x:c>
      <x:c r="N779" s="32" t="str">
        <x:f>IF(OR('Detalle'!$J380="",'Detalle'!$K380="",'Detalle'!$L380=""),"",IF(AND(N$8&lt;='Detalle'!$K380,N$9&gt;='Detalle'!$J380),1,""))</x:f>
      </x:c>
      <x:c r="O779" s="32" t="str">
        <x:f>IF(OR('Detalle'!$J380="",'Detalle'!$K380="",'Detalle'!$L380=""),"",IF(AND(O$8&lt;='Detalle'!$K380,O$9&gt;='Detalle'!$J380),1,""))</x:f>
      </x:c>
      <x:c r="P779" s="32" t="str">
        <x:f>IF(OR('Detalle'!$J380="",'Detalle'!$K380="",'Detalle'!$L380=""),"",IF(AND(P$8&lt;='Detalle'!$K380,P$9&gt;='Detalle'!$J380),1,""))</x:f>
      </x:c>
      <x:c r="Q779" s="68"/>
      <x:c r="R779" s="67" t="str"/>
      <x:c r="S779" s="67" t="str"/>
    </x:row>
    <x:row r="780" ht="16" customHeight="1">
      <x:c r="A780" s="56" t="str">
        <x:v>SOC02.012</x:v>
      </x:c>
      <x:c r="B780" s="57" t="str">
        <x:v>Eliminar comentario autorizado</x:v>
      </x:c>
      <x:c r="C780" s="62" t="str">
        <x:v>E</x:v>
      </x:c>
      <x:c r="D780" s="64" t="n">
        <x:f>'Detalle'!I381</x:f>
        <x:v>1</x:v>
      </x:c>
      <x:c r="E780" s="60" t="str">
        <x:f>'Detalle'!F381</x:f>
        <x:v>Completado</x:v>
      </x:c>
      <x:c r="F780" s="32" t="str">
        <x:f>IF(AND(F$8&lt;='Detalle'!$H381,F$9&gt;='Detalle'!$G381),1,"")</x:f>
      </x:c>
      <x:c r="G780" s="32" t="str">
        <x:f>IF(AND(G$8&lt;='Detalle'!$H381,G$9&gt;='Detalle'!$G381),1,"")</x:f>
      </x:c>
      <x:c r="H780" s="32" t="str">
        <x:f>IF(AND(H$8&lt;='Detalle'!$H381,H$9&gt;='Detalle'!$G381),1,"")</x:f>
      </x:c>
      <x:c r="I780" s="32" t="n">
        <x:f>IF(AND(I$8&lt;='Detalle'!$H381,I$9&gt;='Detalle'!$G381),1,"")</x:f>
        <x:v>1</x:v>
      </x:c>
      <x:c r="J780" s="32" t="str">
        <x:f>IF(AND(J$8&lt;='Detalle'!$H381,J$9&gt;='Detalle'!$G381),1,"")</x:f>
      </x:c>
      <x:c r="K780" s="32" t="str">
        <x:f>IF(AND(K$8&lt;='Detalle'!$H381,K$9&gt;='Detalle'!$G381),1,"")</x:f>
      </x:c>
      <x:c r="L780" s="32" t="str">
        <x:f>IF(AND(L$8&lt;='Detalle'!$H381,L$9&gt;='Detalle'!$G381),1,"")</x:f>
      </x:c>
      <x:c r="M780" s="32" t="str">
        <x:f>IF(AND(M$8&lt;='Detalle'!$H381,M$9&gt;='Detalle'!$G381),1,"")</x:f>
      </x:c>
      <x:c r="N780" s="32" t="str">
        <x:f>IF(AND(N$8&lt;='Detalle'!$H381,N$9&gt;='Detalle'!$G381),1,"")</x:f>
      </x:c>
      <x:c r="O780" s="32" t="str">
        <x:f>IF(AND(O$8&lt;='Detalle'!$H381,O$9&gt;='Detalle'!$G381),1,"")</x:f>
      </x:c>
      <x:c r="P780" s="32" t="str">
        <x:f>IF(AND(P$8&lt;='Detalle'!$H381,P$9&gt;='Detalle'!$G381),1,"")</x:f>
      </x:c>
      <x:c r="Q780" s="68"/>
      <x:c r="R780" s="67" t="str">
        <x:f>IF('Detalle'!M381="","",'Detalle'!M381)</x:f>
      </x:c>
      <x:c r="S780" s="67" t="str">
        <x:f>IF('Detalle'!N381="","",'Detalle'!N381)</x:f>
      </x:c>
    </x:row>
    <x:row r="781" ht="16" customHeight="1">
      <x:c r="A781" s="56" t="str">
        <x:v>SOC02.012</x:v>
      </x:c>
      <x:c r="B781" s="57" t="str">
        <x:v>Eliminar comentario autorizado</x:v>
      </x:c>
      <x:c r="C781" s="63" t="str">
        <x:v>R</x:v>
      </x:c>
      <x:c r="D781" s="65" t="str">
        <x:f>IF('Detalle'!L381="","",'Detalle'!L381)</x:f>
      </x:c>
      <x:c r="E781" s="60" t="str"/>
      <x:c r="F781" s="32" t="str">
        <x:f>IF(OR('Detalle'!$J381="",'Detalle'!$K381="",'Detalle'!$L381=""),"",IF(AND(F$8&lt;='Detalle'!$K381,F$9&gt;='Detalle'!$J381),1,""))</x:f>
      </x:c>
      <x:c r="G781" s="32" t="str">
        <x:f>IF(OR('Detalle'!$J381="",'Detalle'!$K381="",'Detalle'!$L381=""),"",IF(AND(G$8&lt;='Detalle'!$K381,G$9&gt;='Detalle'!$J381),1,""))</x:f>
      </x:c>
      <x:c r="H781" s="32" t="str">
        <x:f>IF(OR('Detalle'!$J381="",'Detalle'!$K381="",'Detalle'!$L381=""),"",IF(AND(H$8&lt;='Detalle'!$K381,H$9&gt;='Detalle'!$J381),1,""))</x:f>
      </x:c>
      <x:c r="I781" s="32" t="str">
        <x:f>IF(OR('Detalle'!$J381="",'Detalle'!$K381="",'Detalle'!$L381=""),"",IF(AND(I$8&lt;='Detalle'!$K381,I$9&gt;='Detalle'!$J381),1,""))</x:f>
      </x:c>
      <x:c r="J781" s="32" t="str">
        <x:f>IF(OR('Detalle'!$J381="",'Detalle'!$K381="",'Detalle'!$L381=""),"",IF(AND(J$8&lt;='Detalle'!$K381,J$9&gt;='Detalle'!$J381),1,""))</x:f>
      </x:c>
      <x:c r="K781" s="32" t="str">
        <x:f>IF(OR('Detalle'!$J381="",'Detalle'!$K381="",'Detalle'!$L381=""),"",IF(AND(K$8&lt;='Detalle'!$K381,K$9&gt;='Detalle'!$J381),1,""))</x:f>
      </x:c>
      <x:c r="L781" s="32" t="str">
        <x:f>IF(OR('Detalle'!$J381="",'Detalle'!$K381="",'Detalle'!$L381=""),"",IF(AND(L$8&lt;='Detalle'!$K381,L$9&gt;='Detalle'!$J381),1,""))</x:f>
      </x:c>
      <x:c r="M781" s="32" t="str">
        <x:f>IF(OR('Detalle'!$J381="",'Detalle'!$K381="",'Detalle'!$L381=""),"",IF(AND(M$8&lt;='Detalle'!$K381,M$9&gt;='Detalle'!$J381),1,""))</x:f>
      </x:c>
      <x:c r="N781" s="32" t="str">
        <x:f>IF(OR('Detalle'!$J381="",'Detalle'!$K381="",'Detalle'!$L381=""),"",IF(AND(N$8&lt;='Detalle'!$K381,N$9&gt;='Detalle'!$J381),1,""))</x:f>
      </x:c>
      <x:c r="O781" s="32" t="str">
        <x:f>IF(OR('Detalle'!$J381="",'Detalle'!$K381="",'Detalle'!$L381=""),"",IF(AND(O$8&lt;='Detalle'!$K381,O$9&gt;='Detalle'!$J381),1,""))</x:f>
      </x:c>
      <x:c r="P781" s="32" t="str">
        <x:f>IF(OR('Detalle'!$J381="",'Detalle'!$K381="",'Detalle'!$L381=""),"",IF(AND(P$8&lt;='Detalle'!$K381,P$9&gt;='Detalle'!$J381),1,""))</x:f>
      </x:c>
      <x:c r="Q781" s="68"/>
      <x:c r="R781" s="67" t="str"/>
      <x:c r="S781" s="67" t="str"/>
    </x:row>
    <x:row r="782" ht="16" customHeight="1">
      <x:c r="A782" s="56" t="str">
        <x:v>SOC02.013</x:v>
      </x:c>
      <x:c r="B782" s="57" t="str">
        <x:v>Crear notificación transaccional de comentario</x:v>
      </x:c>
      <x:c r="C782" s="62" t="str">
        <x:v>E</x:v>
      </x:c>
      <x:c r="D782" s="64" t="n">
        <x:f>'Detalle'!I382</x:f>
        <x:v>1</x:v>
      </x:c>
      <x:c r="E782" s="60" t="str">
        <x:f>'Detalle'!F382</x:f>
        <x:v>Completado</x:v>
      </x:c>
      <x:c r="F782" s="32" t="str">
        <x:f>IF(AND(F$8&lt;='Detalle'!$H382,F$9&gt;='Detalle'!$G382),1,"")</x:f>
      </x:c>
      <x:c r="G782" s="32" t="str">
        <x:f>IF(AND(G$8&lt;='Detalle'!$H382,G$9&gt;='Detalle'!$G382),1,"")</x:f>
      </x:c>
      <x:c r="H782" s="32" t="str">
        <x:f>IF(AND(H$8&lt;='Detalle'!$H382,H$9&gt;='Detalle'!$G382),1,"")</x:f>
      </x:c>
      <x:c r="I782" s="32" t="n">
        <x:f>IF(AND(I$8&lt;='Detalle'!$H382,I$9&gt;='Detalle'!$G382),1,"")</x:f>
        <x:v>1</x:v>
      </x:c>
      <x:c r="J782" s="32" t="str">
        <x:f>IF(AND(J$8&lt;='Detalle'!$H382,J$9&gt;='Detalle'!$G382),1,"")</x:f>
      </x:c>
      <x:c r="K782" s="32" t="str">
        <x:f>IF(AND(K$8&lt;='Detalle'!$H382,K$9&gt;='Detalle'!$G382),1,"")</x:f>
      </x:c>
      <x:c r="L782" s="32" t="str">
        <x:f>IF(AND(L$8&lt;='Detalle'!$H382,L$9&gt;='Detalle'!$G382),1,"")</x:f>
      </x:c>
      <x:c r="M782" s="32" t="str">
        <x:f>IF(AND(M$8&lt;='Detalle'!$H382,M$9&gt;='Detalle'!$G382),1,"")</x:f>
      </x:c>
      <x:c r="N782" s="32" t="str">
        <x:f>IF(AND(N$8&lt;='Detalle'!$H382,N$9&gt;='Detalle'!$G382),1,"")</x:f>
      </x:c>
      <x:c r="O782" s="32" t="str">
        <x:f>IF(AND(O$8&lt;='Detalle'!$H382,O$9&gt;='Detalle'!$G382),1,"")</x:f>
      </x:c>
      <x:c r="P782" s="32" t="str">
        <x:f>IF(AND(P$8&lt;='Detalle'!$H382,P$9&gt;='Detalle'!$G382),1,"")</x:f>
      </x:c>
      <x:c r="Q782" s="68"/>
      <x:c r="R782" s="67" t="str">
        <x:f>IF('Detalle'!M382="","",'Detalle'!M382)</x:f>
      </x:c>
      <x:c r="S782" s="67" t="str">
        <x:f>IF('Detalle'!N382="","",'Detalle'!N382)</x:f>
      </x:c>
    </x:row>
    <x:row r="783" ht="16" customHeight="1">
      <x:c r="A783" s="56" t="str">
        <x:v>SOC02.013</x:v>
      </x:c>
      <x:c r="B783" s="57" t="str">
        <x:v>Crear notificación transaccional de comentario</x:v>
      </x:c>
      <x:c r="C783" s="63" t="str">
        <x:v>R</x:v>
      </x:c>
      <x:c r="D783" s="65" t="str">
        <x:f>IF('Detalle'!L382="","",'Detalle'!L382)</x:f>
      </x:c>
      <x:c r="E783" s="60" t="str"/>
      <x:c r="F783" s="32" t="str">
        <x:f>IF(OR('Detalle'!$J382="",'Detalle'!$K382="",'Detalle'!$L382=""),"",IF(AND(F$8&lt;='Detalle'!$K382,F$9&gt;='Detalle'!$J382),1,""))</x:f>
      </x:c>
      <x:c r="G783" s="32" t="str">
        <x:f>IF(OR('Detalle'!$J382="",'Detalle'!$K382="",'Detalle'!$L382=""),"",IF(AND(G$8&lt;='Detalle'!$K382,G$9&gt;='Detalle'!$J382),1,""))</x:f>
      </x:c>
      <x:c r="H783" s="32" t="str">
        <x:f>IF(OR('Detalle'!$J382="",'Detalle'!$K382="",'Detalle'!$L382=""),"",IF(AND(H$8&lt;='Detalle'!$K382,H$9&gt;='Detalle'!$J382),1,""))</x:f>
      </x:c>
      <x:c r="I783" s="32" t="str">
        <x:f>IF(OR('Detalle'!$J382="",'Detalle'!$K382="",'Detalle'!$L382=""),"",IF(AND(I$8&lt;='Detalle'!$K382,I$9&gt;='Detalle'!$J382),1,""))</x:f>
      </x:c>
      <x:c r="J783" s="32" t="str">
        <x:f>IF(OR('Detalle'!$J382="",'Detalle'!$K382="",'Detalle'!$L382=""),"",IF(AND(J$8&lt;='Detalle'!$K382,J$9&gt;='Detalle'!$J382),1,""))</x:f>
      </x:c>
      <x:c r="K783" s="32" t="str">
        <x:f>IF(OR('Detalle'!$J382="",'Detalle'!$K382="",'Detalle'!$L382=""),"",IF(AND(K$8&lt;='Detalle'!$K382,K$9&gt;='Detalle'!$J382),1,""))</x:f>
      </x:c>
      <x:c r="L783" s="32" t="str">
        <x:f>IF(OR('Detalle'!$J382="",'Detalle'!$K382="",'Detalle'!$L382=""),"",IF(AND(L$8&lt;='Detalle'!$K382,L$9&gt;='Detalle'!$J382),1,""))</x:f>
      </x:c>
      <x:c r="M783" s="32" t="str">
        <x:f>IF(OR('Detalle'!$J382="",'Detalle'!$K382="",'Detalle'!$L382=""),"",IF(AND(M$8&lt;='Detalle'!$K382,M$9&gt;='Detalle'!$J382),1,""))</x:f>
      </x:c>
      <x:c r="N783" s="32" t="str">
        <x:f>IF(OR('Detalle'!$J382="",'Detalle'!$K382="",'Detalle'!$L382=""),"",IF(AND(N$8&lt;='Detalle'!$K382,N$9&gt;='Detalle'!$J382),1,""))</x:f>
      </x:c>
      <x:c r="O783" s="32" t="str">
        <x:f>IF(OR('Detalle'!$J382="",'Detalle'!$K382="",'Detalle'!$L382=""),"",IF(AND(O$8&lt;='Detalle'!$K382,O$9&gt;='Detalle'!$J382),1,""))</x:f>
      </x:c>
      <x:c r="P783" s="32" t="str">
        <x:f>IF(OR('Detalle'!$J382="",'Detalle'!$K382="",'Detalle'!$L382=""),"",IF(AND(P$8&lt;='Detalle'!$K382,P$9&gt;='Detalle'!$J382),1,""))</x:f>
      </x:c>
      <x:c r="Q783" s="68"/>
      <x:c r="R783" s="67" t="str"/>
      <x:c r="S783" s="67" t="str"/>
    </x:row>
    <x:row r="784" ht="16" customHeight="1">
      <x:c r="A784" s="56" t="str">
        <x:v>SOC02.014</x:v>
      </x:c>
      <x:c r="B784" s="57" t="str">
        <x:v>Corregir paginación con comentario destacado</x:v>
      </x:c>
      <x:c r="C784" s="62" t="str">
        <x:v>E</x:v>
      </x:c>
      <x:c r="D784" s="64" t="n">
        <x:f>'Detalle'!I383</x:f>
        <x:v>1</x:v>
      </x:c>
      <x:c r="E784" s="60" t="str">
        <x:f>'Detalle'!F383</x:f>
        <x:v>Completado</x:v>
      </x:c>
      <x:c r="F784" s="32" t="str">
        <x:f>IF(AND(F$8&lt;='Detalle'!$H383,F$9&gt;='Detalle'!$G383),1,"")</x:f>
      </x:c>
      <x:c r="G784" s="32" t="str">
        <x:f>IF(AND(G$8&lt;='Detalle'!$H383,G$9&gt;='Detalle'!$G383),1,"")</x:f>
      </x:c>
      <x:c r="H784" s="32" t="str">
        <x:f>IF(AND(H$8&lt;='Detalle'!$H383,H$9&gt;='Detalle'!$G383),1,"")</x:f>
      </x:c>
      <x:c r="I784" s="32" t="n">
        <x:f>IF(AND(I$8&lt;='Detalle'!$H383,I$9&gt;='Detalle'!$G383),1,"")</x:f>
        <x:v>1</x:v>
      </x:c>
      <x:c r="J784" s="32" t="str">
        <x:f>IF(AND(J$8&lt;='Detalle'!$H383,J$9&gt;='Detalle'!$G383),1,"")</x:f>
      </x:c>
      <x:c r="K784" s="32" t="str">
        <x:f>IF(AND(K$8&lt;='Detalle'!$H383,K$9&gt;='Detalle'!$G383),1,"")</x:f>
      </x:c>
      <x:c r="L784" s="32" t="str">
        <x:f>IF(AND(L$8&lt;='Detalle'!$H383,L$9&gt;='Detalle'!$G383),1,"")</x:f>
      </x:c>
      <x:c r="M784" s="32" t="str">
        <x:f>IF(AND(M$8&lt;='Detalle'!$H383,M$9&gt;='Detalle'!$G383),1,"")</x:f>
      </x:c>
      <x:c r="N784" s="32" t="str">
        <x:f>IF(AND(N$8&lt;='Detalle'!$H383,N$9&gt;='Detalle'!$G383),1,"")</x:f>
      </x:c>
      <x:c r="O784" s="32" t="str">
        <x:f>IF(AND(O$8&lt;='Detalle'!$H383,O$9&gt;='Detalle'!$G383),1,"")</x:f>
      </x:c>
      <x:c r="P784" s="32" t="str">
        <x:f>IF(AND(P$8&lt;='Detalle'!$H383,P$9&gt;='Detalle'!$G383),1,"")</x:f>
      </x:c>
      <x:c r="Q784" s="68"/>
      <x:c r="R784" s="67" t="str">
        <x:f>IF('Detalle'!M383="","",'Detalle'!M383)</x:f>
      </x:c>
      <x:c r="S784" s="67" t="str">
        <x:f>IF('Detalle'!N383="","",'Detalle'!N383)</x:f>
      </x:c>
    </x:row>
    <x:row r="785" ht="16" customHeight="1">
      <x:c r="A785" s="56" t="str">
        <x:v>SOC02.014</x:v>
      </x:c>
      <x:c r="B785" s="57" t="str">
        <x:v>Corregir paginación con comentario destacado</x:v>
      </x:c>
      <x:c r="C785" s="63" t="str">
        <x:v>R</x:v>
      </x:c>
      <x:c r="D785" s="65" t="str">
        <x:f>IF('Detalle'!L383="","",'Detalle'!L383)</x:f>
      </x:c>
      <x:c r="E785" s="60" t="str"/>
      <x:c r="F785" s="32" t="str">
        <x:f>IF(OR('Detalle'!$J383="",'Detalle'!$K383="",'Detalle'!$L383=""),"",IF(AND(F$8&lt;='Detalle'!$K383,F$9&gt;='Detalle'!$J383),1,""))</x:f>
      </x:c>
      <x:c r="G785" s="32" t="str">
        <x:f>IF(OR('Detalle'!$J383="",'Detalle'!$K383="",'Detalle'!$L383=""),"",IF(AND(G$8&lt;='Detalle'!$K383,G$9&gt;='Detalle'!$J383),1,""))</x:f>
      </x:c>
      <x:c r="H785" s="32" t="str">
        <x:f>IF(OR('Detalle'!$J383="",'Detalle'!$K383="",'Detalle'!$L383=""),"",IF(AND(H$8&lt;='Detalle'!$K383,H$9&gt;='Detalle'!$J383),1,""))</x:f>
      </x:c>
      <x:c r="I785" s="32" t="str">
        <x:f>IF(OR('Detalle'!$J383="",'Detalle'!$K383="",'Detalle'!$L383=""),"",IF(AND(I$8&lt;='Detalle'!$K383,I$9&gt;='Detalle'!$J383),1,""))</x:f>
      </x:c>
      <x:c r="J785" s="32" t="str">
        <x:f>IF(OR('Detalle'!$J383="",'Detalle'!$K383="",'Detalle'!$L383=""),"",IF(AND(J$8&lt;='Detalle'!$K383,J$9&gt;='Detalle'!$J383),1,""))</x:f>
      </x:c>
      <x:c r="K785" s="32" t="str">
        <x:f>IF(OR('Detalle'!$J383="",'Detalle'!$K383="",'Detalle'!$L383=""),"",IF(AND(K$8&lt;='Detalle'!$K383,K$9&gt;='Detalle'!$J383),1,""))</x:f>
      </x:c>
      <x:c r="L785" s="32" t="str">
        <x:f>IF(OR('Detalle'!$J383="",'Detalle'!$K383="",'Detalle'!$L383=""),"",IF(AND(L$8&lt;='Detalle'!$K383,L$9&gt;='Detalle'!$J383),1,""))</x:f>
      </x:c>
      <x:c r="M785" s="32" t="str">
        <x:f>IF(OR('Detalle'!$J383="",'Detalle'!$K383="",'Detalle'!$L383=""),"",IF(AND(M$8&lt;='Detalle'!$K383,M$9&gt;='Detalle'!$J383),1,""))</x:f>
      </x:c>
      <x:c r="N785" s="32" t="str">
        <x:f>IF(OR('Detalle'!$J383="",'Detalle'!$K383="",'Detalle'!$L383=""),"",IF(AND(N$8&lt;='Detalle'!$K383,N$9&gt;='Detalle'!$J383),1,""))</x:f>
      </x:c>
      <x:c r="O785" s="32" t="str">
        <x:f>IF(OR('Detalle'!$J383="",'Detalle'!$K383="",'Detalle'!$L383=""),"",IF(AND(O$8&lt;='Detalle'!$K383,O$9&gt;='Detalle'!$J383),1,""))</x:f>
      </x:c>
      <x:c r="P785" s="32" t="str">
        <x:f>IF(OR('Detalle'!$J383="",'Detalle'!$K383="",'Detalle'!$L383=""),"",IF(AND(P$8&lt;='Detalle'!$K383,P$9&gt;='Detalle'!$J383),1,""))</x:f>
      </x:c>
      <x:c r="Q785" s="68"/>
      <x:c r="R785" s="67" t="str"/>
      <x:c r="S785" s="67" t="str"/>
    </x:row>
    <x:row r="786" ht="16" customHeight="1">
      <x:c r="A786" s="56" t="str">
        <x:v>SOC02.015</x:v>
      </x:c>
      <x:c r="B786" s="57" t="str">
        <x:v>Generar enlace público del post</x:v>
      </x:c>
      <x:c r="C786" s="62" t="str">
        <x:v>E</x:v>
      </x:c>
      <x:c r="D786" s="64" t="n">
        <x:f>'Detalle'!I384</x:f>
        <x:v>1</x:v>
      </x:c>
      <x:c r="E786" s="60" t="str">
        <x:f>'Detalle'!F384</x:f>
        <x:v>Completado</x:v>
      </x:c>
      <x:c r="F786" s="32" t="str">
        <x:f>IF(AND(F$8&lt;='Detalle'!$H384,F$9&gt;='Detalle'!$G384),1,"")</x:f>
      </x:c>
      <x:c r="G786" s="32" t="str">
        <x:f>IF(AND(G$8&lt;='Detalle'!$H384,G$9&gt;='Detalle'!$G384),1,"")</x:f>
      </x:c>
      <x:c r="H786" s="32" t="str">
        <x:f>IF(AND(H$8&lt;='Detalle'!$H384,H$9&gt;='Detalle'!$G384),1,"")</x:f>
      </x:c>
      <x:c r="I786" s="32" t="n">
        <x:f>IF(AND(I$8&lt;='Detalle'!$H384,I$9&gt;='Detalle'!$G384),1,"")</x:f>
        <x:v>1</x:v>
      </x:c>
      <x:c r="J786" s="32" t="str">
        <x:f>IF(AND(J$8&lt;='Detalle'!$H384,J$9&gt;='Detalle'!$G384),1,"")</x:f>
      </x:c>
      <x:c r="K786" s="32" t="str">
        <x:f>IF(AND(K$8&lt;='Detalle'!$H384,K$9&gt;='Detalle'!$G384),1,"")</x:f>
      </x:c>
      <x:c r="L786" s="32" t="str">
        <x:f>IF(AND(L$8&lt;='Detalle'!$H384,L$9&gt;='Detalle'!$G384),1,"")</x:f>
      </x:c>
      <x:c r="M786" s="32" t="str">
        <x:f>IF(AND(M$8&lt;='Detalle'!$H384,M$9&gt;='Detalle'!$G384),1,"")</x:f>
      </x:c>
      <x:c r="N786" s="32" t="str">
        <x:f>IF(AND(N$8&lt;='Detalle'!$H384,N$9&gt;='Detalle'!$G384),1,"")</x:f>
      </x:c>
      <x:c r="O786" s="32" t="str">
        <x:f>IF(AND(O$8&lt;='Detalle'!$H384,O$9&gt;='Detalle'!$G384),1,"")</x:f>
      </x:c>
      <x:c r="P786" s="32" t="str">
        <x:f>IF(AND(P$8&lt;='Detalle'!$H384,P$9&gt;='Detalle'!$G384),1,"")</x:f>
      </x:c>
      <x:c r="Q786" s="68"/>
      <x:c r="R786" s="67" t="str">
        <x:f>IF('Detalle'!M384="","",'Detalle'!M384)</x:f>
      </x:c>
      <x:c r="S786" s="67" t="str">
        <x:f>IF('Detalle'!N384="","",'Detalle'!N384)</x:f>
      </x:c>
    </x:row>
    <x:row r="787" ht="16" customHeight="1">
      <x:c r="A787" s="56" t="str">
        <x:v>SOC02.015</x:v>
      </x:c>
      <x:c r="B787" s="57" t="str">
        <x:v>Generar enlace público del post</x:v>
      </x:c>
      <x:c r="C787" s="63" t="str">
        <x:v>R</x:v>
      </x:c>
      <x:c r="D787" s="65" t="str">
        <x:f>IF('Detalle'!L384="","",'Detalle'!L384)</x:f>
      </x:c>
      <x:c r="E787" s="60" t="str"/>
      <x:c r="F787" s="32" t="str">
        <x:f>IF(OR('Detalle'!$J384="",'Detalle'!$K384="",'Detalle'!$L384=""),"",IF(AND(F$8&lt;='Detalle'!$K384,F$9&gt;='Detalle'!$J384),1,""))</x:f>
      </x:c>
      <x:c r="G787" s="32" t="str">
        <x:f>IF(OR('Detalle'!$J384="",'Detalle'!$K384="",'Detalle'!$L384=""),"",IF(AND(G$8&lt;='Detalle'!$K384,G$9&gt;='Detalle'!$J384),1,""))</x:f>
      </x:c>
      <x:c r="H787" s="32" t="str">
        <x:f>IF(OR('Detalle'!$J384="",'Detalle'!$K384="",'Detalle'!$L384=""),"",IF(AND(H$8&lt;='Detalle'!$K384,H$9&gt;='Detalle'!$J384),1,""))</x:f>
      </x:c>
      <x:c r="I787" s="32" t="str">
        <x:f>IF(OR('Detalle'!$J384="",'Detalle'!$K384="",'Detalle'!$L384=""),"",IF(AND(I$8&lt;='Detalle'!$K384,I$9&gt;='Detalle'!$J384),1,""))</x:f>
      </x:c>
      <x:c r="J787" s="32" t="str">
        <x:f>IF(OR('Detalle'!$J384="",'Detalle'!$K384="",'Detalle'!$L384=""),"",IF(AND(J$8&lt;='Detalle'!$K384,J$9&gt;='Detalle'!$J384),1,""))</x:f>
      </x:c>
      <x:c r="K787" s="32" t="str">
        <x:f>IF(OR('Detalle'!$J384="",'Detalle'!$K384="",'Detalle'!$L384=""),"",IF(AND(K$8&lt;='Detalle'!$K384,K$9&gt;='Detalle'!$J384),1,""))</x:f>
      </x:c>
      <x:c r="L787" s="32" t="str">
        <x:f>IF(OR('Detalle'!$J384="",'Detalle'!$K384="",'Detalle'!$L384=""),"",IF(AND(L$8&lt;='Detalle'!$K384,L$9&gt;='Detalle'!$J384),1,""))</x:f>
      </x:c>
      <x:c r="M787" s="32" t="str">
        <x:f>IF(OR('Detalle'!$J384="",'Detalle'!$K384="",'Detalle'!$L384=""),"",IF(AND(M$8&lt;='Detalle'!$K384,M$9&gt;='Detalle'!$J384),1,""))</x:f>
      </x:c>
      <x:c r="N787" s="32" t="str">
        <x:f>IF(OR('Detalle'!$J384="",'Detalle'!$K384="",'Detalle'!$L384=""),"",IF(AND(N$8&lt;='Detalle'!$K384,N$9&gt;='Detalle'!$J384),1,""))</x:f>
      </x:c>
      <x:c r="O787" s="32" t="str">
        <x:f>IF(OR('Detalle'!$J384="",'Detalle'!$K384="",'Detalle'!$L384=""),"",IF(AND(O$8&lt;='Detalle'!$K384,O$9&gt;='Detalle'!$J384),1,""))</x:f>
      </x:c>
      <x:c r="P787" s="32" t="str">
        <x:f>IF(OR('Detalle'!$J384="",'Detalle'!$K384="",'Detalle'!$L384=""),"",IF(AND(P$8&lt;='Detalle'!$K384,P$9&gt;='Detalle'!$J384),1,""))</x:f>
      </x:c>
      <x:c r="Q787" s="68"/>
      <x:c r="R787" s="67" t="str"/>
      <x:c r="S787" s="67" t="str"/>
    </x:row>
    <x:row r="788" ht="16" customHeight="1">
      <x:c r="A788" s="56" t="str">
        <x:v>SOC02.016</x:v>
      </x:c>
      <x:c r="B788" s="57" t="str">
        <x:v>Compartir enlace mediante plataforma</x:v>
      </x:c>
      <x:c r="C788" s="62" t="str">
        <x:v>E</x:v>
      </x:c>
      <x:c r="D788" s="64" t="n">
        <x:f>'Detalle'!I385</x:f>
        <x:v>1</x:v>
      </x:c>
      <x:c r="E788" s="60" t="str">
        <x:f>'Detalle'!F385</x:f>
        <x:v>Completado</x:v>
      </x:c>
      <x:c r="F788" s="32" t="str">
        <x:f>IF(AND(F$8&lt;='Detalle'!$H385,F$9&gt;='Detalle'!$G385),1,"")</x:f>
      </x:c>
      <x:c r="G788" s="32" t="str">
        <x:f>IF(AND(G$8&lt;='Detalle'!$H385,G$9&gt;='Detalle'!$G385),1,"")</x:f>
      </x:c>
      <x:c r="H788" s="32" t="str">
        <x:f>IF(AND(H$8&lt;='Detalle'!$H385,H$9&gt;='Detalle'!$G385),1,"")</x:f>
      </x:c>
      <x:c r="I788" s="32" t="n">
        <x:f>IF(AND(I$8&lt;='Detalle'!$H385,I$9&gt;='Detalle'!$G385),1,"")</x:f>
        <x:v>1</x:v>
      </x:c>
      <x:c r="J788" s="32" t="str">
        <x:f>IF(AND(J$8&lt;='Detalle'!$H385,J$9&gt;='Detalle'!$G385),1,"")</x:f>
      </x:c>
      <x:c r="K788" s="32" t="str">
        <x:f>IF(AND(K$8&lt;='Detalle'!$H385,K$9&gt;='Detalle'!$G385),1,"")</x:f>
      </x:c>
      <x:c r="L788" s="32" t="str">
        <x:f>IF(AND(L$8&lt;='Detalle'!$H385,L$9&gt;='Detalle'!$G385),1,"")</x:f>
      </x:c>
      <x:c r="M788" s="32" t="str">
        <x:f>IF(AND(M$8&lt;='Detalle'!$H385,M$9&gt;='Detalle'!$G385),1,"")</x:f>
      </x:c>
      <x:c r="N788" s="32" t="str">
        <x:f>IF(AND(N$8&lt;='Detalle'!$H385,N$9&gt;='Detalle'!$G385),1,"")</x:f>
      </x:c>
      <x:c r="O788" s="32" t="str">
        <x:f>IF(AND(O$8&lt;='Detalle'!$H385,O$9&gt;='Detalle'!$G385),1,"")</x:f>
      </x:c>
      <x:c r="P788" s="32" t="str">
        <x:f>IF(AND(P$8&lt;='Detalle'!$H385,P$9&gt;='Detalle'!$G385),1,"")</x:f>
      </x:c>
      <x:c r="Q788" s="68"/>
      <x:c r="R788" s="67" t="str">
        <x:f>IF('Detalle'!M385="","",'Detalle'!M385)</x:f>
      </x:c>
      <x:c r="S788" s="67" t="str">
        <x:f>IF('Detalle'!N385="","",'Detalle'!N385)</x:f>
      </x:c>
    </x:row>
    <x:row r="789" ht="16" customHeight="1">
      <x:c r="A789" s="56" t="str">
        <x:v>SOC02.016</x:v>
      </x:c>
      <x:c r="B789" s="57" t="str">
        <x:v>Compartir enlace mediante plataforma</x:v>
      </x:c>
      <x:c r="C789" s="63" t="str">
        <x:v>R</x:v>
      </x:c>
      <x:c r="D789" s="65" t="str">
        <x:f>IF('Detalle'!L385="","",'Detalle'!L385)</x:f>
      </x:c>
      <x:c r="E789" s="60" t="str"/>
      <x:c r="F789" s="32" t="str">
        <x:f>IF(OR('Detalle'!$J385="",'Detalle'!$K385="",'Detalle'!$L385=""),"",IF(AND(F$8&lt;='Detalle'!$K385,F$9&gt;='Detalle'!$J385),1,""))</x:f>
      </x:c>
      <x:c r="G789" s="32" t="str">
        <x:f>IF(OR('Detalle'!$J385="",'Detalle'!$K385="",'Detalle'!$L385=""),"",IF(AND(G$8&lt;='Detalle'!$K385,G$9&gt;='Detalle'!$J385),1,""))</x:f>
      </x:c>
      <x:c r="H789" s="32" t="str">
        <x:f>IF(OR('Detalle'!$J385="",'Detalle'!$K385="",'Detalle'!$L385=""),"",IF(AND(H$8&lt;='Detalle'!$K385,H$9&gt;='Detalle'!$J385),1,""))</x:f>
      </x:c>
      <x:c r="I789" s="32" t="str">
        <x:f>IF(OR('Detalle'!$J385="",'Detalle'!$K385="",'Detalle'!$L385=""),"",IF(AND(I$8&lt;='Detalle'!$K385,I$9&gt;='Detalle'!$J385),1,""))</x:f>
      </x:c>
      <x:c r="J789" s="32" t="str">
        <x:f>IF(OR('Detalle'!$J385="",'Detalle'!$K385="",'Detalle'!$L385=""),"",IF(AND(J$8&lt;='Detalle'!$K385,J$9&gt;='Detalle'!$J385),1,""))</x:f>
      </x:c>
      <x:c r="K789" s="32" t="str">
        <x:f>IF(OR('Detalle'!$J385="",'Detalle'!$K385="",'Detalle'!$L385=""),"",IF(AND(K$8&lt;='Detalle'!$K385,K$9&gt;='Detalle'!$J385),1,""))</x:f>
      </x:c>
      <x:c r="L789" s="32" t="str">
        <x:f>IF(OR('Detalle'!$J385="",'Detalle'!$K385="",'Detalle'!$L385=""),"",IF(AND(L$8&lt;='Detalle'!$K385,L$9&gt;='Detalle'!$J385),1,""))</x:f>
      </x:c>
      <x:c r="M789" s="32" t="str">
        <x:f>IF(OR('Detalle'!$J385="",'Detalle'!$K385="",'Detalle'!$L385=""),"",IF(AND(M$8&lt;='Detalle'!$K385,M$9&gt;='Detalle'!$J385),1,""))</x:f>
      </x:c>
      <x:c r="N789" s="32" t="str">
        <x:f>IF(OR('Detalle'!$J385="",'Detalle'!$K385="",'Detalle'!$L385=""),"",IF(AND(N$8&lt;='Detalle'!$K385,N$9&gt;='Detalle'!$J385),1,""))</x:f>
      </x:c>
      <x:c r="O789" s="32" t="str">
        <x:f>IF(OR('Detalle'!$J385="",'Detalle'!$K385="",'Detalle'!$L385=""),"",IF(AND(O$8&lt;='Detalle'!$K385,O$9&gt;='Detalle'!$J385),1,""))</x:f>
      </x:c>
      <x:c r="P789" s="32" t="str">
        <x:f>IF(OR('Detalle'!$J385="",'Detalle'!$K385="",'Detalle'!$L385=""),"",IF(AND(P$8&lt;='Detalle'!$K385,P$9&gt;='Detalle'!$J385),1,""))</x:f>
      </x:c>
      <x:c r="Q789" s="68"/>
      <x:c r="R789" s="67" t="str"/>
      <x:c r="S789" s="67" t="str"/>
    </x:row>
    <x:row r="790" ht="16" customHeight="1">
      <x:c r="A790" s="56" t="str">
        <x:v>SOC02.017</x:v>
      </x:c>
      <x:c r="B790" s="57" t="str">
        <x:v>Ofrecer copiar enlace como alternativa</x:v>
      </x:c>
      <x:c r="C790" s="62" t="str">
        <x:v>E</x:v>
      </x:c>
      <x:c r="D790" s="64" t="n">
        <x:f>'Detalle'!I386</x:f>
        <x:v>1</x:v>
      </x:c>
      <x:c r="E790" s="60" t="str">
        <x:f>'Detalle'!F386</x:f>
        <x:v>Completado</x:v>
      </x:c>
      <x:c r="F790" s="32" t="str">
        <x:f>IF(AND(F$8&lt;='Detalle'!$H386,F$9&gt;='Detalle'!$G386),1,"")</x:f>
      </x:c>
      <x:c r="G790" s="32" t="str">
        <x:f>IF(AND(G$8&lt;='Detalle'!$H386,G$9&gt;='Detalle'!$G386),1,"")</x:f>
      </x:c>
      <x:c r="H790" s="32" t="str">
        <x:f>IF(AND(H$8&lt;='Detalle'!$H386,H$9&gt;='Detalle'!$G386),1,"")</x:f>
      </x:c>
      <x:c r="I790" s="32" t="n">
        <x:f>IF(AND(I$8&lt;='Detalle'!$H386,I$9&gt;='Detalle'!$G386),1,"")</x:f>
        <x:v>1</x:v>
      </x:c>
      <x:c r="J790" s="32" t="str">
        <x:f>IF(AND(J$8&lt;='Detalle'!$H386,J$9&gt;='Detalle'!$G386),1,"")</x:f>
      </x:c>
      <x:c r="K790" s="32" t="str">
        <x:f>IF(AND(K$8&lt;='Detalle'!$H386,K$9&gt;='Detalle'!$G386),1,"")</x:f>
      </x:c>
      <x:c r="L790" s="32" t="str">
        <x:f>IF(AND(L$8&lt;='Detalle'!$H386,L$9&gt;='Detalle'!$G386),1,"")</x:f>
      </x:c>
      <x:c r="M790" s="32" t="str">
        <x:f>IF(AND(M$8&lt;='Detalle'!$H386,M$9&gt;='Detalle'!$G386),1,"")</x:f>
      </x:c>
      <x:c r="N790" s="32" t="str">
        <x:f>IF(AND(N$8&lt;='Detalle'!$H386,N$9&gt;='Detalle'!$G386),1,"")</x:f>
      </x:c>
      <x:c r="O790" s="32" t="str">
        <x:f>IF(AND(O$8&lt;='Detalle'!$H386,O$9&gt;='Detalle'!$G386),1,"")</x:f>
      </x:c>
      <x:c r="P790" s="32" t="str">
        <x:f>IF(AND(P$8&lt;='Detalle'!$H386,P$9&gt;='Detalle'!$G386),1,"")</x:f>
      </x:c>
      <x:c r="Q790" s="68"/>
      <x:c r="R790" s="67" t="str">
        <x:f>IF('Detalle'!M386="","",'Detalle'!M386)</x:f>
      </x:c>
      <x:c r="S790" s="67" t="str">
        <x:f>IF('Detalle'!N386="","",'Detalle'!N386)</x:f>
      </x:c>
    </x:row>
    <x:row r="791" ht="16" customHeight="1">
      <x:c r="A791" s="56" t="str">
        <x:v>SOC02.017</x:v>
      </x:c>
      <x:c r="B791" s="57" t="str">
        <x:v>Ofrecer copiar enlace como alternativa</x:v>
      </x:c>
      <x:c r="C791" s="63" t="str">
        <x:v>R</x:v>
      </x:c>
      <x:c r="D791" s="65" t="str">
        <x:f>IF('Detalle'!L386="","",'Detalle'!L386)</x:f>
      </x:c>
      <x:c r="E791" s="60" t="str"/>
      <x:c r="F791" s="32" t="str">
        <x:f>IF(OR('Detalle'!$J386="",'Detalle'!$K386="",'Detalle'!$L386=""),"",IF(AND(F$8&lt;='Detalle'!$K386,F$9&gt;='Detalle'!$J386),1,""))</x:f>
      </x:c>
      <x:c r="G791" s="32" t="str">
        <x:f>IF(OR('Detalle'!$J386="",'Detalle'!$K386="",'Detalle'!$L386=""),"",IF(AND(G$8&lt;='Detalle'!$K386,G$9&gt;='Detalle'!$J386),1,""))</x:f>
      </x:c>
      <x:c r="H791" s="32" t="str">
        <x:f>IF(OR('Detalle'!$J386="",'Detalle'!$K386="",'Detalle'!$L386=""),"",IF(AND(H$8&lt;='Detalle'!$K386,H$9&gt;='Detalle'!$J386),1,""))</x:f>
      </x:c>
      <x:c r="I791" s="32" t="str">
        <x:f>IF(OR('Detalle'!$J386="",'Detalle'!$K386="",'Detalle'!$L386=""),"",IF(AND(I$8&lt;='Detalle'!$K386,I$9&gt;='Detalle'!$J386),1,""))</x:f>
      </x:c>
      <x:c r="J791" s="32" t="str">
        <x:f>IF(OR('Detalle'!$J386="",'Detalle'!$K386="",'Detalle'!$L386=""),"",IF(AND(J$8&lt;='Detalle'!$K386,J$9&gt;='Detalle'!$J386),1,""))</x:f>
      </x:c>
      <x:c r="K791" s="32" t="str">
        <x:f>IF(OR('Detalle'!$J386="",'Detalle'!$K386="",'Detalle'!$L386=""),"",IF(AND(K$8&lt;='Detalle'!$K386,K$9&gt;='Detalle'!$J386),1,""))</x:f>
      </x:c>
      <x:c r="L791" s="32" t="str">
        <x:f>IF(OR('Detalle'!$J386="",'Detalle'!$K386="",'Detalle'!$L386=""),"",IF(AND(L$8&lt;='Detalle'!$K386,L$9&gt;='Detalle'!$J386),1,""))</x:f>
      </x:c>
      <x:c r="M791" s="32" t="str">
        <x:f>IF(OR('Detalle'!$J386="",'Detalle'!$K386="",'Detalle'!$L386=""),"",IF(AND(M$8&lt;='Detalle'!$K386,M$9&gt;='Detalle'!$J386),1,""))</x:f>
      </x:c>
      <x:c r="N791" s="32" t="str">
        <x:f>IF(OR('Detalle'!$J386="",'Detalle'!$K386="",'Detalle'!$L386=""),"",IF(AND(N$8&lt;='Detalle'!$K386,N$9&gt;='Detalle'!$J386),1,""))</x:f>
      </x:c>
      <x:c r="O791" s="32" t="str">
        <x:f>IF(OR('Detalle'!$J386="",'Detalle'!$K386="",'Detalle'!$L386=""),"",IF(AND(O$8&lt;='Detalle'!$K386,O$9&gt;='Detalle'!$J386),1,""))</x:f>
      </x:c>
      <x:c r="P791" s="32" t="str">
        <x:f>IF(OR('Detalle'!$J386="",'Detalle'!$K386="",'Detalle'!$L386=""),"",IF(AND(P$8&lt;='Detalle'!$K386,P$9&gt;='Detalle'!$J386),1,""))</x:f>
      </x:c>
      <x:c r="Q791" s="68"/>
      <x:c r="R791" s="67" t="str"/>
      <x:c r="S791" s="67" t="str"/>
    </x:row>
    <x:row r="792" ht="16" customHeight="1">
      <x:c r="A792" s="56" t="str">
        <x:v>SOC02.018</x:v>
      </x:c>
      <x:c r="B792" s="57" t="str">
        <x:v>Manejar cancelación de compartir</x:v>
      </x:c>
      <x:c r="C792" s="62" t="str">
        <x:v>E</x:v>
      </x:c>
      <x:c r="D792" s="64" t="n">
        <x:f>'Detalle'!I387</x:f>
        <x:v>1</x:v>
      </x:c>
      <x:c r="E792" s="60" t="str">
        <x:f>'Detalle'!F387</x:f>
        <x:v>Completado</x:v>
      </x:c>
      <x:c r="F792" s="32" t="str">
        <x:f>IF(AND(F$8&lt;='Detalle'!$H387,F$9&gt;='Detalle'!$G387),1,"")</x:f>
      </x:c>
      <x:c r="G792" s="32" t="str">
        <x:f>IF(AND(G$8&lt;='Detalle'!$H387,G$9&gt;='Detalle'!$G387),1,"")</x:f>
      </x:c>
      <x:c r="H792" s="32" t="str">
        <x:f>IF(AND(H$8&lt;='Detalle'!$H387,H$9&gt;='Detalle'!$G387),1,"")</x:f>
      </x:c>
      <x:c r="I792" s="32" t="n">
        <x:f>IF(AND(I$8&lt;='Detalle'!$H387,I$9&gt;='Detalle'!$G387),1,"")</x:f>
        <x:v>1</x:v>
      </x:c>
      <x:c r="J792" s="32" t="str">
        <x:f>IF(AND(J$8&lt;='Detalle'!$H387,J$9&gt;='Detalle'!$G387),1,"")</x:f>
      </x:c>
      <x:c r="K792" s="32" t="str">
        <x:f>IF(AND(K$8&lt;='Detalle'!$H387,K$9&gt;='Detalle'!$G387),1,"")</x:f>
      </x:c>
      <x:c r="L792" s="32" t="str">
        <x:f>IF(AND(L$8&lt;='Detalle'!$H387,L$9&gt;='Detalle'!$G387),1,"")</x:f>
      </x:c>
      <x:c r="M792" s="32" t="str">
        <x:f>IF(AND(M$8&lt;='Detalle'!$H387,M$9&gt;='Detalle'!$G387),1,"")</x:f>
      </x:c>
      <x:c r="N792" s="32" t="str">
        <x:f>IF(AND(N$8&lt;='Detalle'!$H387,N$9&gt;='Detalle'!$G387),1,"")</x:f>
      </x:c>
      <x:c r="O792" s="32" t="str">
        <x:f>IF(AND(O$8&lt;='Detalle'!$H387,O$9&gt;='Detalle'!$G387),1,"")</x:f>
      </x:c>
      <x:c r="P792" s="32" t="str">
        <x:f>IF(AND(P$8&lt;='Detalle'!$H387,P$9&gt;='Detalle'!$G387),1,"")</x:f>
      </x:c>
      <x:c r="Q792" s="68"/>
      <x:c r="R792" s="67" t="str">
        <x:f>IF('Detalle'!M387="","",'Detalle'!M387)</x:f>
      </x:c>
      <x:c r="S792" s="67" t="str">
        <x:f>IF('Detalle'!N387="","",'Detalle'!N387)</x:f>
      </x:c>
    </x:row>
    <x:row r="793" ht="16" customHeight="1">
      <x:c r="A793" s="56" t="str">
        <x:v>SOC02.018</x:v>
      </x:c>
      <x:c r="B793" s="57" t="str">
        <x:v>Manejar cancelación de compartir</x:v>
      </x:c>
      <x:c r="C793" s="63" t="str">
        <x:v>R</x:v>
      </x:c>
      <x:c r="D793" s="65" t="str">
        <x:f>IF('Detalle'!L387="","",'Detalle'!L387)</x:f>
      </x:c>
      <x:c r="E793" s="60" t="str"/>
      <x:c r="F793" s="32" t="str">
        <x:f>IF(OR('Detalle'!$J387="",'Detalle'!$K387="",'Detalle'!$L387=""),"",IF(AND(F$8&lt;='Detalle'!$K387,F$9&gt;='Detalle'!$J387),1,""))</x:f>
      </x:c>
      <x:c r="G793" s="32" t="str">
        <x:f>IF(OR('Detalle'!$J387="",'Detalle'!$K387="",'Detalle'!$L387=""),"",IF(AND(G$8&lt;='Detalle'!$K387,G$9&gt;='Detalle'!$J387),1,""))</x:f>
      </x:c>
      <x:c r="H793" s="32" t="str">
        <x:f>IF(OR('Detalle'!$J387="",'Detalle'!$K387="",'Detalle'!$L387=""),"",IF(AND(H$8&lt;='Detalle'!$K387,H$9&gt;='Detalle'!$J387),1,""))</x:f>
      </x:c>
      <x:c r="I793" s="32" t="str">
        <x:f>IF(OR('Detalle'!$J387="",'Detalle'!$K387="",'Detalle'!$L387=""),"",IF(AND(I$8&lt;='Detalle'!$K387,I$9&gt;='Detalle'!$J387),1,""))</x:f>
      </x:c>
      <x:c r="J793" s="32" t="str">
        <x:f>IF(OR('Detalle'!$J387="",'Detalle'!$K387="",'Detalle'!$L387=""),"",IF(AND(J$8&lt;='Detalle'!$K387,J$9&gt;='Detalle'!$J387),1,""))</x:f>
      </x:c>
      <x:c r="K793" s="32" t="str">
        <x:f>IF(OR('Detalle'!$J387="",'Detalle'!$K387="",'Detalle'!$L387=""),"",IF(AND(K$8&lt;='Detalle'!$K387,K$9&gt;='Detalle'!$J387),1,""))</x:f>
      </x:c>
      <x:c r="L793" s="32" t="str">
        <x:f>IF(OR('Detalle'!$J387="",'Detalle'!$K387="",'Detalle'!$L387=""),"",IF(AND(L$8&lt;='Detalle'!$K387,L$9&gt;='Detalle'!$J387),1,""))</x:f>
      </x:c>
      <x:c r="M793" s="32" t="str">
        <x:f>IF(OR('Detalle'!$J387="",'Detalle'!$K387="",'Detalle'!$L387=""),"",IF(AND(M$8&lt;='Detalle'!$K387,M$9&gt;='Detalle'!$J387),1,""))</x:f>
      </x:c>
      <x:c r="N793" s="32" t="str">
        <x:f>IF(OR('Detalle'!$J387="",'Detalle'!$K387="",'Detalle'!$L387=""),"",IF(AND(N$8&lt;='Detalle'!$K387,N$9&gt;='Detalle'!$J387),1,""))</x:f>
      </x:c>
      <x:c r="O793" s="32" t="str">
        <x:f>IF(OR('Detalle'!$J387="",'Detalle'!$K387="",'Detalle'!$L387=""),"",IF(AND(O$8&lt;='Detalle'!$K387,O$9&gt;='Detalle'!$J387),1,""))</x:f>
      </x:c>
      <x:c r="P793" s="32" t="str">
        <x:f>IF(OR('Detalle'!$J387="",'Detalle'!$K387="",'Detalle'!$L387=""),"",IF(AND(P$8&lt;='Detalle'!$K387,P$9&gt;='Detalle'!$J387),1,""))</x:f>
      </x:c>
      <x:c r="Q793" s="68"/>
      <x:c r="R793" s="67" t="str"/>
      <x:c r="S793" s="67" t="str"/>
    </x:row>
    <x:row r="794" ht="20" customHeight="1">
      <x:c r="A794" s="52" t="str">
        <x:v>SOC03 · Guardados y colaboración en publicaciones</x:v>
      </x:c>
      <x:c r="B794" s="52" t="str">
        <x:v>SOC03 · Guardados y colaboración en publicaciones</x:v>
      </x:c>
      <x:c r="C794" s="52" t="str">
        <x:v>SOC03 · Guardados y colaboración en publicaciones</x:v>
      </x:c>
      <x:c r="D794" s="52" t="str">
        <x:v>SOC03 · Guardados y colaboración en publicaciones</x:v>
      </x:c>
      <x:c r="E794" s="52" t="str">
        <x:v>SOC03 · Guardados y colaboración en publicaciones</x:v>
      </x:c>
      <x:c r="F794" s="53" t="str">
        <x:v>SOC03 · Guardados y colaboración en publicaciones</x:v>
      </x:c>
      <x:c r="G794" s="53" t="str">
        <x:v>SOC03 · Guardados y colaboración en publicaciones</x:v>
      </x:c>
      <x:c r="H794" s="53" t="str">
        <x:v>SOC03 · Guardados y colaboración en publicaciones</x:v>
      </x:c>
      <x:c r="I794" s="53" t="str">
        <x:v>SOC03 · Guardados y colaboración en publicaciones</x:v>
      </x:c>
      <x:c r="J794" s="53" t="str">
        <x:v>SOC03 · Guardados y colaboración en publicaciones</x:v>
      </x:c>
      <x:c r="K794" s="53" t="str">
        <x:v>SOC03 · Guardados y colaboración en publicaciones</x:v>
      </x:c>
      <x:c r="L794" s="53" t="str">
        <x:v>SOC03 · Guardados y colaboración en publicaciones</x:v>
      </x:c>
      <x:c r="M794" s="53" t="str">
        <x:v>SOC03 · Guardados y colaboración en publicaciones</x:v>
      </x:c>
      <x:c r="N794" s="53" t="str">
        <x:v>SOC03 · Guardados y colaboración en publicaciones</x:v>
      </x:c>
      <x:c r="O794" s="53" t="str">
        <x:v>SOC03 · Guardados y colaboración en publicaciones</x:v>
      </x:c>
      <x:c r="P794" s="53" t="str">
        <x:v>SOC03 · Guardados y colaboración en publicaciones</x:v>
      </x:c>
      <x:c r="Q794" s="52" t="str">
        <x:v>SOC03 · Guardados y colaboración en publicaciones</x:v>
      </x:c>
      <x:c r="R794" s="52" t="str">
        <x:v>SOC03 · Guardados y colaboración en publicaciones</x:v>
      </x:c>
      <x:c r="S794" s="52" t="str">
        <x:v>SOC03 · Guardados y colaboración en publicaciones</x:v>
      </x:c>
    </x:row>
    <x:row r="795" ht="16" customHeight="1">
      <x:c r="A795" s="56" t="str">
        <x:v>SOC03.001</x:v>
      </x:c>
      <x:c r="B795" s="57" t="str">
        <x:v>Abrir Guardados desde cabecera</x:v>
      </x:c>
      <x:c r="C795" s="62" t="str">
        <x:v>E</x:v>
      </x:c>
      <x:c r="D795" s="64" t="n">
        <x:f>'Detalle'!I388</x:f>
        <x:v>1</x:v>
      </x:c>
      <x:c r="E795" s="60" t="str">
        <x:f>'Detalle'!F388</x:f>
        <x:v>Completado</x:v>
      </x:c>
      <x:c r="F795" s="32" t="str">
        <x:f>IF(AND(F$8&lt;='Detalle'!$H388,F$9&gt;='Detalle'!$G388),1,"")</x:f>
      </x:c>
      <x:c r="G795" s="32" t="str">
        <x:f>IF(AND(G$8&lt;='Detalle'!$H388,G$9&gt;='Detalle'!$G388),1,"")</x:f>
      </x:c>
      <x:c r="H795" s="32" t="str">
        <x:f>IF(AND(H$8&lt;='Detalle'!$H388,H$9&gt;='Detalle'!$G388),1,"")</x:f>
      </x:c>
      <x:c r="I795" s="32" t="n">
        <x:f>IF(AND(I$8&lt;='Detalle'!$H388,I$9&gt;='Detalle'!$G388),1,"")</x:f>
        <x:v>1</x:v>
      </x:c>
      <x:c r="J795" s="32" t="str">
        <x:f>IF(AND(J$8&lt;='Detalle'!$H388,J$9&gt;='Detalle'!$G388),1,"")</x:f>
      </x:c>
      <x:c r="K795" s="32" t="str">
        <x:f>IF(AND(K$8&lt;='Detalle'!$H388,K$9&gt;='Detalle'!$G388),1,"")</x:f>
      </x:c>
      <x:c r="L795" s="32" t="str">
        <x:f>IF(AND(L$8&lt;='Detalle'!$H388,L$9&gt;='Detalle'!$G388),1,"")</x:f>
      </x:c>
      <x:c r="M795" s="32" t="str">
        <x:f>IF(AND(M$8&lt;='Detalle'!$H388,M$9&gt;='Detalle'!$G388),1,"")</x:f>
      </x:c>
      <x:c r="N795" s="32" t="str">
        <x:f>IF(AND(N$8&lt;='Detalle'!$H388,N$9&gt;='Detalle'!$G388),1,"")</x:f>
      </x:c>
      <x:c r="O795" s="32" t="str">
        <x:f>IF(AND(O$8&lt;='Detalle'!$H388,O$9&gt;='Detalle'!$G388),1,"")</x:f>
      </x:c>
      <x:c r="P795" s="32" t="str">
        <x:f>IF(AND(P$8&lt;='Detalle'!$H388,P$9&gt;='Detalle'!$G388),1,"")</x:f>
      </x:c>
      <x:c r="Q795" s="68"/>
      <x:c r="R795" s="67" t="str">
        <x:f>IF('Detalle'!M388="","",'Detalle'!M388)</x:f>
      </x:c>
      <x:c r="S795" s="67" t="str">
        <x:f>IF('Detalle'!N388="","",'Detalle'!N388)</x:f>
      </x:c>
    </x:row>
    <x:row r="796" ht="16" customHeight="1">
      <x:c r="A796" s="56" t="str">
        <x:v>SOC03.001</x:v>
      </x:c>
      <x:c r="B796" s="57" t="str">
        <x:v>Abrir Guardados desde cabecera</x:v>
      </x:c>
      <x:c r="C796" s="63" t="str">
        <x:v>R</x:v>
      </x:c>
      <x:c r="D796" s="65" t="str">
        <x:f>IF('Detalle'!L388="","",'Detalle'!L388)</x:f>
      </x:c>
      <x:c r="E796" s="60" t="str"/>
      <x:c r="F796" s="32" t="str">
        <x:f>IF(OR('Detalle'!$J388="",'Detalle'!$K388="",'Detalle'!$L388=""),"",IF(AND(F$8&lt;='Detalle'!$K388,F$9&gt;='Detalle'!$J388),1,""))</x:f>
      </x:c>
      <x:c r="G796" s="32" t="str">
        <x:f>IF(OR('Detalle'!$J388="",'Detalle'!$K388="",'Detalle'!$L388=""),"",IF(AND(G$8&lt;='Detalle'!$K388,G$9&gt;='Detalle'!$J388),1,""))</x:f>
      </x:c>
      <x:c r="H796" s="32" t="str">
        <x:f>IF(OR('Detalle'!$J388="",'Detalle'!$K388="",'Detalle'!$L388=""),"",IF(AND(H$8&lt;='Detalle'!$K388,H$9&gt;='Detalle'!$J388),1,""))</x:f>
      </x:c>
      <x:c r="I796" s="32" t="str">
        <x:f>IF(OR('Detalle'!$J388="",'Detalle'!$K388="",'Detalle'!$L388=""),"",IF(AND(I$8&lt;='Detalle'!$K388,I$9&gt;='Detalle'!$J388),1,""))</x:f>
      </x:c>
      <x:c r="J796" s="32" t="str">
        <x:f>IF(OR('Detalle'!$J388="",'Detalle'!$K388="",'Detalle'!$L388=""),"",IF(AND(J$8&lt;='Detalle'!$K388,J$9&gt;='Detalle'!$J388),1,""))</x:f>
      </x:c>
      <x:c r="K796" s="32" t="str">
        <x:f>IF(OR('Detalle'!$J388="",'Detalle'!$K388="",'Detalle'!$L388=""),"",IF(AND(K$8&lt;='Detalle'!$K388,K$9&gt;='Detalle'!$J388),1,""))</x:f>
      </x:c>
      <x:c r="L796" s="32" t="str">
        <x:f>IF(OR('Detalle'!$J388="",'Detalle'!$K388="",'Detalle'!$L388=""),"",IF(AND(L$8&lt;='Detalle'!$K388,L$9&gt;='Detalle'!$J388),1,""))</x:f>
      </x:c>
      <x:c r="M796" s="32" t="str">
        <x:f>IF(OR('Detalle'!$J388="",'Detalle'!$K388="",'Detalle'!$L388=""),"",IF(AND(M$8&lt;='Detalle'!$K388,M$9&gt;='Detalle'!$J388),1,""))</x:f>
      </x:c>
      <x:c r="N796" s="32" t="str">
        <x:f>IF(OR('Detalle'!$J388="",'Detalle'!$K388="",'Detalle'!$L388=""),"",IF(AND(N$8&lt;='Detalle'!$K388,N$9&gt;='Detalle'!$J388),1,""))</x:f>
      </x:c>
      <x:c r="O796" s="32" t="str">
        <x:f>IF(OR('Detalle'!$J388="",'Detalle'!$K388="",'Detalle'!$L388=""),"",IF(AND(O$8&lt;='Detalle'!$K388,O$9&gt;='Detalle'!$J388),1,""))</x:f>
      </x:c>
      <x:c r="P796" s="32" t="str">
        <x:f>IF(OR('Detalle'!$J388="",'Detalle'!$K388="",'Detalle'!$L388=""),"",IF(AND(P$8&lt;='Detalle'!$K388,P$9&gt;='Detalle'!$J388),1,""))</x:f>
      </x:c>
      <x:c r="Q796" s="68"/>
      <x:c r="R796" s="67" t="str"/>
      <x:c r="S796" s="67" t="str"/>
    </x:row>
    <x:row r="797" ht="16" customHeight="1">
      <x:c r="A797" s="56" t="str">
        <x:v>SOC03.002</x:v>
      </x:c>
      <x:c r="B797" s="57" t="str">
        <x:v>Separar Publicaciones y Fichas guardadas</x:v>
      </x:c>
      <x:c r="C797" s="62" t="str">
        <x:v>E</x:v>
      </x:c>
      <x:c r="D797" s="64" t="n">
        <x:f>'Detalle'!I389</x:f>
        <x:v>1</x:v>
      </x:c>
      <x:c r="E797" s="60" t="str">
        <x:f>'Detalle'!F389</x:f>
        <x:v>Completado</x:v>
      </x:c>
      <x:c r="F797" s="32" t="str">
        <x:f>IF(AND(F$8&lt;='Detalle'!$H389,F$9&gt;='Detalle'!$G389),1,"")</x:f>
      </x:c>
      <x:c r="G797" s="32" t="str">
        <x:f>IF(AND(G$8&lt;='Detalle'!$H389,G$9&gt;='Detalle'!$G389),1,"")</x:f>
      </x:c>
      <x:c r="H797" s="32" t="str">
        <x:f>IF(AND(H$8&lt;='Detalle'!$H389,H$9&gt;='Detalle'!$G389),1,"")</x:f>
      </x:c>
      <x:c r="I797" s="32" t="n">
        <x:f>IF(AND(I$8&lt;='Detalle'!$H389,I$9&gt;='Detalle'!$G389),1,"")</x:f>
        <x:v>1</x:v>
      </x:c>
      <x:c r="J797" s="32" t="str">
        <x:f>IF(AND(J$8&lt;='Detalle'!$H389,J$9&gt;='Detalle'!$G389),1,"")</x:f>
      </x:c>
      <x:c r="K797" s="32" t="str">
        <x:f>IF(AND(K$8&lt;='Detalle'!$H389,K$9&gt;='Detalle'!$G389),1,"")</x:f>
      </x:c>
      <x:c r="L797" s="32" t="str">
        <x:f>IF(AND(L$8&lt;='Detalle'!$H389,L$9&gt;='Detalle'!$G389),1,"")</x:f>
      </x:c>
      <x:c r="M797" s="32" t="str">
        <x:f>IF(AND(M$8&lt;='Detalle'!$H389,M$9&gt;='Detalle'!$G389),1,"")</x:f>
      </x:c>
      <x:c r="N797" s="32" t="str">
        <x:f>IF(AND(N$8&lt;='Detalle'!$H389,N$9&gt;='Detalle'!$G389),1,"")</x:f>
      </x:c>
      <x:c r="O797" s="32" t="str">
        <x:f>IF(AND(O$8&lt;='Detalle'!$H389,O$9&gt;='Detalle'!$G389),1,"")</x:f>
      </x:c>
      <x:c r="P797" s="32" t="str">
        <x:f>IF(AND(P$8&lt;='Detalle'!$H389,P$9&gt;='Detalle'!$G389),1,"")</x:f>
      </x:c>
      <x:c r="Q797" s="68"/>
      <x:c r="R797" s="67" t="str">
        <x:f>IF('Detalle'!M389="","",'Detalle'!M389)</x:f>
      </x:c>
      <x:c r="S797" s="67" t="str">
        <x:f>IF('Detalle'!N389="","",'Detalle'!N389)</x:f>
      </x:c>
    </x:row>
    <x:row r="798" ht="16" customHeight="1">
      <x:c r="A798" s="56" t="str">
        <x:v>SOC03.002</x:v>
      </x:c>
      <x:c r="B798" s="57" t="str">
        <x:v>Separar Publicaciones y Fichas guardadas</x:v>
      </x:c>
      <x:c r="C798" s="63" t="str">
        <x:v>R</x:v>
      </x:c>
      <x:c r="D798" s="65" t="str">
        <x:f>IF('Detalle'!L389="","",'Detalle'!L389)</x:f>
      </x:c>
      <x:c r="E798" s="60" t="str"/>
      <x:c r="F798" s="32" t="str">
        <x:f>IF(OR('Detalle'!$J389="",'Detalle'!$K389="",'Detalle'!$L389=""),"",IF(AND(F$8&lt;='Detalle'!$K389,F$9&gt;='Detalle'!$J389),1,""))</x:f>
      </x:c>
      <x:c r="G798" s="32" t="str">
        <x:f>IF(OR('Detalle'!$J389="",'Detalle'!$K389="",'Detalle'!$L389=""),"",IF(AND(G$8&lt;='Detalle'!$K389,G$9&gt;='Detalle'!$J389),1,""))</x:f>
      </x:c>
      <x:c r="H798" s="32" t="str">
        <x:f>IF(OR('Detalle'!$J389="",'Detalle'!$K389="",'Detalle'!$L389=""),"",IF(AND(H$8&lt;='Detalle'!$K389,H$9&gt;='Detalle'!$J389),1,""))</x:f>
      </x:c>
      <x:c r="I798" s="32" t="str">
        <x:f>IF(OR('Detalle'!$J389="",'Detalle'!$K389="",'Detalle'!$L389=""),"",IF(AND(I$8&lt;='Detalle'!$K389,I$9&gt;='Detalle'!$J389),1,""))</x:f>
      </x:c>
      <x:c r="J798" s="32" t="str">
        <x:f>IF(OR('Detalle'!$J389="",'Detalle'!$K389="",'Detalle'!$L389=""),"",IF(AND(J$8&lt;='Detalle'!$K389,J$9&gt;='Detalle'!$J389),1,""))</x:f>
      </x:c>
      <x:c r="K798" s="32" t="str">
        <x:f>IF(OR('Detalle'!$J389="",'Detalle'!$K389="",'Detalle'!$L389=""),"",IF(AND(K$8&lt;='Detalle'!$K389,K$9&gt;='Detalle'!$J389),1,""))</x:f>
      </x:c>
      <x:c r="L798" s="32" t="str">
        <x:f>IF(OR('Detalle'!$J389="",'Detalle'!$K389="",'Detalle'!$L389=""),"",IF(AND(L$8&lt;='Detalle'!$K389,L$9&gt;='Detalle'!$J389),1,""))</x:f>
      </x:c>
      <x:c r="M798" s="32" t="str">
        <x:f>IF(OR('Detalle'!$J389="",'Detalle'!$K389="",'Detalle'!$L389=""),"",IF(AND(M$8&lt;='Detalle'!$K389,M$9&gt;='Detalle'!$J389),1,""))</x:f>
      </x:c>
      <x:c r="N798" s="32" t="str">
        <x:f>IF(OR('Detalle'!$J389="",'Detalle'!$K389="",'Detalle'!$L389=""),"",IF(AND(N$8&lt;='Detalle'!$K389,N$9&gt;='Detalle'!$J389),1,""))</x:f>
      </x:c>
      <x:c r="O798" s="32" t="str">
        <x:f>IF(OR('Detalle'!$J389="",'Detalle'!$K389="",'Detalle'!$L389=""),"",IF(AND(O$8&lt;='Detalle'!$K389,O$9&gt;='Detalle'!$J389),1,""))</x:f>
      </x:c>
      <x:c r="P798" s="32" t="str">
        <x:f>IF(OR('Detalle'!$J389="",'Detalle'!$K389="",'Detalle'!$L389=""),"",IF(AND(P$8&lt;='Detalle'!$K389,P$9&gt;='Detalle'!$J389),1,""))</x:f>
      </x:c>
      <x:c r="Q798" s="68"/>
      <x:c r="R798" s="67" t="str"/>
      <x:c r="S798" s="67" t="str"/>
    </x:row>
    <x:row r="799" ht="16" customHeight="1">
      <x:c r="A799" s="56" t="str">
        <x:v>SOC03.003</x:v>
      </x:c>
      <x:c r="B799" s="57" t="str">
        <x:v>Agregar confirmación temporal de guardado</x:v>
      </x:c>
      <x:c r="C799" s="62" t="str">
        <x:v>E</x:v>
      </x:c>
      <x:c r="D799" s="64" t="n">
        <x:f>'Detalle'!I390</x:f>
        <x:v>1</x:v>
      </x:c>
      <x:c r="E799" s="60" t="str">
        <x:f>'Detalle'!F390</x:f>
        <x:v>Completado</x:v>
      </x:c>
      <x:c r="F799" s="32" t="str">
        <x:f>IF(AND(F$8&lt;='Detalle'!$H390,F$9&gt;='Detalle'!$G390),1,"")</x:f>
      </x:c>
      <x:c r="G799" s="32" t="str">
        <x:f>IF(AND(G$8&lt;='Detalle'!$H390,G$9&gt;='Detalle'!$G390),1,"")</x:f>
      </x:c>
      <x:c r="H799" s="32" t="str">
        <x:f>IF(AND(H$8&lt;='Detalle'!$H390,H$9&gt;='Detalle'!$G390),1,"")</x:f>
      </x:c>
      <x:c r="I799" s="32" t="n">
        <x:f>IF(AND(I$8&lt;='Detalle'!$H390,I$9&gt;='Detalle'!$G390),1,"")</x:f>
        <x:v>1</x:v>
      </x:c>
      <x:c r="J799" s="32" t="str">
        <x:f>IF(AND(J$8&lt;='Detalle'!$H390,J$9&gt;='Detalle'!$G390),1,"")</x:f>
      </x:c>
      <x:c r="K799" s="32" t="str">
        <x:f>IF(AND(K$8&lt;='Detalle'!$H390,K$9&gt;='Detalle'!$G390),1,"")</x:f>
      </x:c>
      <x:c r="L799" s="32" t="str">
        <x:f>IF(AND(L$8&lt;='Detalle'!$H390,L$9&gt;='Detalle'!$G390),1,"")</x:f>
      </x:c>
      <x:c r="M799" s="32" t="str">
        <x:f>IF(AND(M$8&lt;='Detalle'!$H390,M$9&gt;='Detalle'!$G390),1,"")</x:f>
      </x:c>
      <x:c r="N799" s="32" t="str">
        <x:f>IF(AND(N$8&lt;='Detalle'!$H390,N$9&gt;='Detalle'!$G390),1,"")</x:f>
      </x:c>
      <x:c r="O799" s="32" t="str">
        <x:f>IF(AND(O$8&lt;='Detalle'!$H390,O$9&gt;='Detalle'!$G390),1,"")</x:f>
      </x:c>
      <x:c r="P799" s="32" t="str">
        <x:f>IF(AND(P$8&lt;='Detalle'!$H390,P$9&gt;='Detalle'!$G390),1,"")</x:f>
      </x:c>
      <x:c r="Q799" s="68"/>
      <x:c r="R799" s="67" t="str">
        <x:f>IF('Detalle'!M390="","",'Detalle'!M390)</x:f>
      </x:c>
      <x:c r="S799" s="67" t="str">
        <x:f>IF('Detalle'!N390="","",'Detalle'!N390)</x:f>
      </x:c>
    </x:row>
    <x:row r="800" ht="16" customHeight="1">
      <x:c r="A800" s="56" t="str">
        <x:v>SOC03.003</x:v>
      </x:c>
      <x:c r="B800" s="57" t="str">
        <x:v>Agregar confirmación temporal de guardado</x:v>
      </x:c>
      <x:c r="C800" s="63" t="str">
        <x:v>R</x:v>
      </x:c>
      <x:c r="D800" s="65" t="str">
        <x:f>IF('Detalle'!L390="","",'Detalle'!L390)</x:f>
      </x:c>
      <x:c r="E800" s="60" t="str"/>
      <x:c r="F800" s="32" t="str">
        <x:f>IF(OR('Detalle'!$J390="",'Detalle'!$K390="",'Detalle'!$L390=""),"",IF(AND(F$8&lt;='Detalle'!$K390,F$9&gt;='Detalle'!$J390),1,""))</x:f>
      </x:c>
      <x:c r="G800" s="32" t="str">
        <x:f>IF(OR('Detalle'!$J390="",'Detalle'!$K390="",'Detalle'!$L390=""),"",IF(AND(G$8&lt;='Detalle'!$K390,G$9&gt;='Detalle'!$J390),1,""))</x:f>
      </x:c>
      <x:c r="H800" s="32" t="str">
        <x:f>IF(OR('Detalle'!$J390="",'Detalle'!$K390="",'Detalle'!$L390=""),"",IF(AND(H$8&lt;='Detalle'!$K390,H$9&gt;='Detalle'!$J390),1,""))</x:f>
      </x:c>
      <x:c r="I800" s="32" t="str">
        <x:f>IF(OR('Detalle'!$J390="",'Detalle'!$K390="",'Detalle'!$L390=""),"",IF(AND(I$8&lt;='Detalle'!$K390,I$9&gt;='Detalle'!$J390),1,""))</x:f>
      </x:c>
      <x:c r="J800" s="32" t="str">
        <x:f>IF(OR('Detalle'!$J390="",'Detalle'!$K390="",'Detalle'!$L390=""),"",IF(AND(J$8&lt;='Detalle'!$K390,J$9&gt;='Detalle'!$J390),1,""))</x:f>
      </x:c>
      <x:c r="K800" s="32" t="str">
        <x:f>IF(OR('Detalle'!$J390="",'Detalle'!$K390="",'Detalle'!$L390=""),"",IF(AND(K$8&lt;='Detalle'!$K390,K$9&gt;='Detalle'!$J390),1,""))</x:f>
      </x:c>
      <x:c r="L800" s="32" t="str">
        <x:f>IF(OR('Detalle'!$J390="",'Detalle'!$K390="",'Detalle'!$L390=""),"",IF(AND(L$8&lt;='Detalle'!$K390,L$9&gt;='Detalle'!$J390),1,""))</x:f>
      </x:c>
      <x:c r="M800" s="32" t="str">
        <x:f>IF(OR('Detalle'!$J390="",'Detalle'!$K390="",'Detalle'!$L390=""),"",IF(AND(M$8&lt;='Detalle'!$K390,M$9&gt;='Detalle'!$J390),1,""))</x:f>
      </x:c>
      <x:c r="N800" s="32" t="str">
        <x:f>IF(OR('Detalle'!$J390="",'Detalle'!$K390="",'Detalle'!$L390=""),"",IF(AND(N$8&lt;='Detalle'!$K390,N$9&gt;='Detalle'!$J390),1,""))</x:f>
      </x:c>
      <x:c r="O800" s="32" t="str">
        <x:f>IF(OR('Detalle'!$J390="",'Detalle'!$K390="",'Detalle'!$L390=""),"",IF(AND(O$8&lt;='Detalle'!$K390,O$9&gt;='Detalle'!$J390),1,""))</x:f>
      </x:c>
      <x:c r="P800" s="32" t="str">
        <x:f>IF(OR('Detalle'!$J390="",'Detalle'!$K390="",'Detalle'!$L390=""),"",IF(AND(P$8&lt;='Detalle'!$K390,P$9&gt;='Detalle'!$J390),1,""))</x:f>
      </x:c>
      <x:c r="Q800" s="68"/>
      <x:c r="R800" s="67" t="str"/>
      <x:c r="S800" s="67" t="str"/>
    </x:row>
    <x:row r="801" ht="16" customHeight="1">
      <x:c r="A801" s="56" t="str">
        <x:v>SOC03.004</x:v>
      </x:c>
      <x:c r="B801" s="57" t="str">
        <x:v>Deshacer quitar guardado</x:v>
      </x:c>
      <x:c r="C801" s="62" t="str">
        <x:v>E</x:v>
      </x:c>
      <x:c r="D801" s="64" t="n">
        <x:f>'Detalle'!I391</x:f>
        <x:v>1</x:v>
      </x:c>
      <x:c r="E801" s="60" t="str">
        <x:f>'Detalle'!F391</x:f>
        <x:v>Completado</x:v>
      </x:c>
      <x:c r="F801" s="32" t="str">
        <x:f>IF(AND(F$8&lt;='Detalle'!$H391,F$9&gt;='Detalle'!$G391),1,"")</x:f>
      </x:c>
      <x:c r="G801" s="32" t="str">
        <x:f>IF(AND(G$8&lt;='Detalle'!$H391,G$9&gt;='Detalle'!$G391),1,"")</x:f>
      </x:c>
      <x:c r="H801" s="32" t="str">
        <x:f>IF(AND(H$8&lt;='Detalle'!$H391,H$9&gt;='Detalle'!$G391),1,"")</x:f>
      </x:c>
      <x:c r="I801" s="32" t="n">
        <x:f>IF(AND(I$8&lt;='Detalle'!$H391,I$9&gt;='Detalle'!$G391),1,"")</x:f>
        <x:v>1</x:v>
      </x:c>
      <x:c r="J801" s="32" t="str">
        <x:f>IF(AND(J$8&lt;='Detalle'!$H391,J$9&gt;='Detalle'!$G391),1,"")</x:f>
      </x:c>
      <x:c r="K801" s="32" t="str">
        <x:f>IF(AND(K$8&lt;='Detalle'!$H391,K$9&gt;='Detalle'!$G391),1,"")</x:f>
      </x:c>
      <x:c r="L801" s="32" t="str">
        <x:f>IF(AND(L$8&lt;='Detalle'!$H391,L$9&gt;='Detalle'!$G391),1,"")</x:f>
      </x:c>
      <x:c r="M801" s="32" t="str">
        <x:f>IF(AND(M$8&lt;='Detalle'!$H391,M$9&gt;='Detalle'!$G391),1,"")</x:f>
      </x:c>
      <x:c r="N801" s="32" t="str">
        <x:f>IF(AND(N$8&lt;='Detalle'!$H391,N$9&gt;='Detalle'!$G391),1,"")</x:f>
      </x:c>
      <x:c r="O801" s="32" t="str">
        <x:f>IF(AND(O$8&lt;='Detalle'!$H391,O$9&gt;='Detalle'!$G391),1,"")</x:f>
      </x:c>
      <x:c r="P801" s="32" t="str">
        <x:f>IF(AND(P$8&lt;='Detalle'!$H391,P$9&gt;='Detalle'!$G391),1,"")</x:f>
      </x:c>
      <x:c r="Q801" s="68"/>
      <x:c r="R801" s="67" t="str">
        <x:f>IF('Detalle'!M391="","",'Detalle'!M391)</x:f>
      </x:c>
      <x:c r="S801" s="67" t="str">
        <x:f>IF('Detalle'!N391="","",'Detalle'!N391)</x:f>
      </x:c>
    </x:row>
    <x:row r="802" ht="16" customHeight="1">
      <x:c r="A802" s="56" t="str">
        <x:v>SOC03.004</x:v>
      </x:c>
      <x:c r="B802" s="57" t="str">
        <x:v>Deshacer quitar guardado</x:v>
      </x:c>
      <x:c r="C802" s="63" t="str">
        <x:v>R</x:v>
      </x:c>
      <x:c r="D802" s="65" t="str">
        <x:f>IF('Detalle'!L391="","",'Detalle'!L391)</x:f>
      </x:c>
      <x:c r="E802" s="60" t="str"/>
      <x:c r="F802" s="32" t="str">
        <x:f>IF(OR('Detalle'!$J391="",'Detalle'!$K391="",'Detalle'!$L391=""),"",IF(AND(F$8&lt;='Detalle'!$K391,F$9&gt;='Detalle'!$J391),1,""))</x:f>
      </x:c>
      <x:c r="G802" s="32" t="str">
        <x:f>IF(OR('Detalle'!$J391="",'Detalle'!$K391="",'Detalle'!$L391=""),"",IF(AND(G$8&lt;='Detalle'!$K391,G$9&gt;='Detalle'!$J391),1,""))</x:f>
      </x:c>
      <x:c r="H802" s="32" t="str">
        <x:f>IF(OR('Detalle'!$J391="",'Detalle'!$K391="",'Detalle'!$L391=""),"",IF(AND(H$8&lt;='Detalle'!$K391,H$9&gt;='Detalle'!$J391),1,""))</x:f>
      </x:c>
      <x:c r="I802" s="32" t="str">
        <x:f>IF(OR('Detalle'!$J391="",'Detalle'!$K391="",'Detalle'!$L391=""),"",IF(AND(I$8&lt;='Detalle'!$K391,I$9&gt;='Detalle'!$J391),1,""))</x:f>
      </x:c>
      <x:c r="J802" s="32" t="str">
        <x:f>IF(OR('Detalle'!$J391="",'Detalle'!$K391="",'Detalle'!$L391=""),"",IF(AND(J$8&lt;='Detalle'!$K391,J$9&gt;='Detalle'!$J391),1,""))</x:f>
      </x:c>
      <x:c r="K802" s="32" t="str">
        <x:f>IF(OR('Detalle'!$J391="",'Detalle'!$K391="",'Detalle'!$L391=""),"",IF(AND(K$8&lt;='Detalle'!$K391,K$9&gt;='Detalle'!$J391),1,""))</x:f>
      </x:c>
      <x:c r="L802" s="32" t="str">
        <x:f>IF(OR('Detalle'!$J391="",'Detalle'!$K391="",'Detalle'!$L391=""),"",IF(AND(L$8&lt;='Detalle'!$K391,L$9&gt;='Detalle'!$J391),1,""))</x:f>
      </x:c>
      <x:c r="M802" s="32" t="str">
        <x:f>IF(OR('Detalle'!$J391="",'Detalle'!$K391="",'Detalle'!$L391=""),"",IF(AND(M$8&lt;='Detalle'!$K391,M$9&gt;='Detalle'!$J391),1,""))</x:f>
      </x:c>
      <x:c r="N802" s="32" t="str">
        <x:f>IF(OR('Detalle'!$J391="",'Detalle'!$K391="",'Detalle'!$L391=""),"",IF(AND(N$8&lt;='Detalle'!$K391,N$9&gt;='Detalle'!$J391),1,""))</x:f>
      </x:c>
      <x:c r="O802" s="32" t="str">
        <x:f>IF(OR('Detalle'!$J391="",'Detalle'!$K391="",'Detalle'!$L391=""),"",IF(AND(O$8&lt;='Detalle'!$K391,O$9&gt;='Detalle'!$J391),1,""))</x:f>
      </x:c>
      <x:c r="P802" s="32" t="str">
        <x:f>IF(OR('Detalle'!$J391="",'Detalle'!$K391="",'Detalle'!$L391=""),"",IF(AND(P$8&lt;='Detalle'!$K391,P$9&gt;='Detalle'!$J391),1,""))</x:f>
      </x:c>
      <x:c r="Q802" s="68"/>
      <x:c r="R802" s="67" t="str"/>
      <x:c r="S802" s="67" t="str"/>
    </x:row>
    <x:row r="803" ht="16" customHeight="1">
      <x:c r="A803" s="56" t="str">
        <x:v>SOC03.005</x:v>
      </x:c>
      <x:c r="B803" s="57" t="str">
        <x:v>Crear menú de acciones del post</x:v>
      </x:c>
      <x:c r="C803" s="62" t="str">
        <x:v>E</x:v>
      </x:c>
      <x:c r="D803" s="64" t="n">
        <x:f>'Detalle'!I392</x:f>
        <x:v>1</x:v>
      </x:c>
      <x:c r="E803" s="60" t="str">
        <x:f>'Detalle'!F392</x:f>
        <x:v>Completado</x:v>
      </x:c>
      <x:c r="F803" s="32" t="str">
        <x:f>IF(AND(F$8&lt;='Detalle'!$H392,F$9&gt;='Detalle'!$G392),1,"")</x:f>
      </x:c>
      <x:c r="G803" s="32" t="str">
        <x:f>IF(AND(G$8&lt;='Detalle'!$H392,G$9&gt;='Detalle'!$G392),1,"")</x:f>
      </x:c>
      <x:c r="H803" s="32" t="str">
        <x:f>IF(AND(H$8&lt;='Detalle'!$H392,H$9&gt;='Detalle'!$G392),1,"")</x:f>
      </x:c>
      <x:c r="I803" s="32" t="n">
        <x:f>IF(AND(I$8&lt;='Detalle'!$H392,I$9&gt;='Detalle'!$G392),1,"")</x:f>
        <x:v>1</x:v>
      </x:c>
      <x:c r="J803" s="32" t="str">
        <x:f>IF(AND(J$8&lt;='Detalle'!$H392,J$9&gt;='Detalle'!$G392),1,"")</x:f>
      </x:c>
      <x:c r="K803" s="32" t="str">
        <x:f>IF(AND(K$8&lt;='Detalle'!$H392,K$9&gt;='Detalle'!$G392),1,"")</x:f>
      </x:c>
      <x:c r="L803" s="32" t="str">
        <x:f>IF(AND(L$8&lt;='Detalle'!$H392,L$9&gt;='Detalle'!$G392),1,"")</x:f>
      </x:c>
      <x:c r="M803" s="32" t="str">
        <x:f>IF(AND(M$8&lt;='Detalle'!$H392,M$9&gt;='Detalle'!$G392),1,"")</x:f>
      </x:c>
      <x:c r="N803" s="32" t="str">
        <x:f>IF(AND(N$8&lt;='Detalle'!$H392,N$9&gt;='Detalle'!$G392),1,"")</x:f>
      </x:c>
      <x:c r="O803" s="32" t="str">
        <x:f>IF(AND(O$8&lt;='Detalle'!$H392,O$9&gt;='Detalle'!$G392),1,"")</x:f>
      </x:c>
      <x:c r="P803" s="32" t="str">
        <x:f>IF(AND(P$8&lt;='Detalle'!$H392,P$9&gt;='Detalle'!$G392),1,"")</x:f>
      </x:c>
      <x:c r="Q803" s="68"/>
      <x:c r="R803" s="67" t="str">
        <x:f>IF('Detalle'!M392="","",'Detalle'!M392)</x:f>
      </x:c>
      <x:c r="S803" s="67" t="str">
        <x:f>IF('Detalle'!N392="","",'Detalle'!N392)</x:f>
      </x:c>
    </x:row>
    <x:row r="804" ht="16" customHeight="1">
      <x:c r="A804" s="56" t="str">
        <x:v>SOC03.005</x:v>
      </x:c>
      <x:c r="B804" s="57" t="str">
        <x:v>Crear menú de acciones del post</x:v>
      </x:c>
      <x:c r="C804" s="63" t="str">
        <x:v>R</x:v>
      </x:c>
      <x:c r="D804" s="65" t="str">
        <x:f>IF('Detalle'!L392="","",'Detalle'!L392)</x:f>
      </x:c>
      <x:c r="E804" s="60" t="str"/>
      <x:c r="F804" s="32" t="str">
        <x:f>IF(OR('Detalle'!$J392="",'Detalle'!$K392="",'Detalle'!$L392=""),"",IF(AND(F$8&lt;='Detalle'!$K392,F$9&gt;='Detalle'!$J392),1,""))</x:f>
      </x:c>
      <x:c r="G804" s="32" t="str">
        <x:f>IF(OR('Detalle'!$J392="",'Detalle'!$K392="",'Detalle'!$L392=""),"",IF(AND(G$8&lt;='Detalle'!$K392,G$9&gt;='Detalle'!$J392),1,""))</x:f>
      </x:c>
      <x:c r="H804" s="32" t="str">
        <x:f>IF(OR('Detalle'!$J392="",'Detalle'!$K392="",'Detalle'!$L392=""),"",IF(AND(H$8&lt;='Detalle'!$K392,H$9&gt;='Detalle'!$J392),1,""))</x:f>
      </x:c>
      <x:c r="I804" s="32" t="str">
        <x:f>IF(OR('Detalle'!$J392="",'Detalle'!$K392="",'Detalle'!$L392=""),"",IF(AND(I$8&lt;='Detalle'!$K392,I$9&gt;='Detalle'!$J392),1,""))</x:f>
      </x:c>
      <x:c r="J804" s="32" t="str">
        <x:f>IF(OR('Detalle'!$J392="",'Detalle'!$K392="",'Detalle'!$L392=""),"",IF(AND(J$8&lt;='Detalle'!$K392,J$9&gt;='Detalle'!$J392),1,""))</x:f>
      </x:c>
      <x:c r="K804" s="32" t="str">
        <x:f>IF(OR('Detalle'!$J392="",'Detalle'!$K392="",'Detalle'!$L392=""),"",IF(AND(K$8&lt;='Detalle'!$K392,K$9&gt;='Detalle'!$J392),1,""))</x:f>
      </x:c>
      <x:c r="L804" s="32" t="str">
        <x:f>IF(OR('Detalle'!$J392="",'Detalle'!$K392="",'Detalle'!$L392=""),"",IF(AND(L$8&lt;='Detalle'!$K392,L$9&gt;='Detalle'!$J392),1,""))</x:f>
      </x:c>
      <x:c r="M804" s="32" t="str">
        <x:f>IF(OR('Detalle'!$J392="",'Detalle'!$K392="",'Detalle'!$L392=""),"",IF(AND(M$8&lt;='Detalle'!$K392,M$9&gt;='Detalle'!$J392),1,""))</x:f>
      </x:c>
      <x:c r="N804" s="32" t="str">
        <x:f>IF(OR('Detalle'!$J392="",'Detalle'!$K392="",'Detalle'!$L392=""),"",IF(AND(N$8&lt;='Detalle'!$K392,N$9&gt;='Detalle'!$J392),1,""))</x:f>
      </x:c>
      <x:c r="O804" s="32" t="str">
        <x:f>IF(OR('Detalle'!$J392="",'Detalle'!$K392="",'Detalle'!$L392=""),"",IF(AND(O$8&lt;='Detalle'!$K392,O$9&gt;='Detalle'!$J392),1,""))</x:f>
      </x:c>
      <x:c r="P804" s="32" t="str">
        <x:f>IF(OR('Detalle'!$J392="",'Detalle'!$K392="",'Detalle'!$L392=""),"",IF(AND(P$8&lt;='Detalle'!$K392,P$9&gt;='Detalle'!$J392),1,""))</x:f>
      </x:c>
      <x:c r="Q804" s="68"/>
      <x:c r="R804" s="67" t="str"/>
      <x:c r="S804" s="67" t="str"/>
    </x:row>
    <x:row r="805" ht="16" customHeight="1">
      <x:c r="A805" s="56" t="str">
        <x:v>SOC03.006</x:v>
      </x:c>
      <x:c r="B805" s="57" t="str">
        <x:v>Agregar invitación opcional de colaboración</x:v>
      </x:c>
      <x:c r="C805" s="62" t="str">
        <x:v>E</x:v>
      </x:c>
      <x:c r="D805" s="64" t="n">
        <x:f>'Detalle'!I393</x:f>
        <x:v>1</x:v>
      </x:c>
      <x:c r="E805" s="60" t="str">
        <x:f>'Detalle'!F393</x:f>
        <x:v>Completado</x:v>
      </x:c>
      <x:c r="F805" s="32" t="str">
        <x:f>IF(AND(F$8&lt;='Detalle'!$H393,F$9&gt;='Detalle'!$G393),1,"")</x:f>
      </x:c>
      <x:c r="G805" s="32" t="str">
        <x:f>IF(AND(G$8&lt;='Detalle'!$H393,G$9&gt;='Detalle'!$G393),1,"")</x:f>
      </x:c>
      <x:c r="H805" s="32" t="str">
        <x:f>IF(AND(H$8&lt;='Detalle'!$H393,H$9&gt;='Detalle'!$G393),1,"")</x:f>
      </x:c>
      <x:c r="I805" s="32" t="n">
        <x:f>IF(AND(I$8&lt;='Detalle'!$H393,I$9&gt;='Detalle'!$G393),1,"")</x:f>
        <x:v>1</x:v>
      </x:c>
      <x:c r="J805" s="32" t="str">
        <x:f>IF(AND(J$8&lt;='Detalle'!$H393,J$9&gt;='Detalle'!$G393),1,"")</x:f>
      </x:c>
      <x:c r="K805" s="32" t="str">
        <x:f>IF(AND(K$8&lt;='Detalle'!$H393,K$9&gt;='Detalle'!$G393),1,"")</x:f>
      </x:c>
      <x:c r="L805" s="32" t="str">
        <x:f>IF(AND(L$8&lt;='Detalle'!$H393,L$9&gt;='Detalle'!$G393),1,"")</x:f>
      </x:c>
      <x:c r="M805" s="32" t="str">
        <x:f>IF(AND(M$8&lt;='Detalle'!$H393,M$9&gt;='Detalle'!$G393),1,"")</x:f>
      </x:c>
      <x:c r="N805" s="32" t="str">
        <x:f>IF(AND(N$8&lt;='Detalle'!$H393,N$9&gt;='Detalle'!$G393),1,"")</x:f>
      </x:c>
      <x:c r="O805" s="32" t="str">
        <x:f>IF(AND(O$8&lt;='Detalle'!$H393,O$9&gt;='Detalle'!$G393),1,"")</x:f>
      </x:c>
      <x:c r="P805" s="32" t="str">
        <x:f>IF(AND(P$8&lt;='Detalle'!$H393,P$9&gt;='Detalle'!$G393),1,"")</x:f>
      </x:c>
      <x:c r="Q805" s="68"/>
      <x:c r="R805" s="67" t="str">
        <x:f>IF('Detalle'!M393="","",'Detalle'!M393)</x:f>
      </x:c>
      <x:c r="S805" s="67" t="str">
        <x:f>IF('Detalle'!N393="","",'Detalle'!N393)</x:f>
      </x:c>
    </x:row>
    <x:row r="806" ht="16" customHeight="1">
      <x:c r="A806" s="56" t="str">
        <x:v>SOC03.006</x:v>
      </x:c>
      <x:c r="B806" s="57" t="str">
        <x:v>Agregar invitación opcional de colaboración</x:v>
      </x:c>
      <x:c r="C806" s="63" t="str">
        <x:v>R</x:v>
      </x:c>
      <x:c r="D806" s="65" t="str">
        <x:f>IF('Detalle'!L393="","",'Detalle'!L393)</x:f>
      </x:c>
      <x:c r="E806" s="60" t="str"/>
      <x:c r="F806" s="32" t="str">
        <x:f>IF(OR('Detalle'!$J393="",'Detalle'!$K393="",'Detalle'!$L393=""),"",IF(AND(F$8&lt;='Detalle'!$K393,F$9&gt;='Detalle'!$J393),1,""))</x:f>
      </x:c>
      <x:c r="G806" s="32" t="str">
        <x:f>IF(OR('Detalle'!$J393="",'Detalle'!$K393="",'Detalle'!$L393=""),"",IF(AND(G$8&lt;='Detalle'!$K393,G$9&gt;='Detalle'!$J393),1,""))</x:f>
      </x:c>
      <x:c r="H806" s="32" t="str">
        <x:f>IF(OR('Detalle'!$J393="",'Detalle'!$K393="",'Detalle'!$L393=""),"",IF(AND(H$8&lt;='Detalle'!$K393,H$9&gt;='Detalle'!$J393),1,""))</x:f>
      </x:c>
      <x:c r="I806" s="32" t="str">
        <x:f>IF(OR('Detalle'!$J393="",'Detalle'!$K393="",'Detalle'!$L393=""),"",IF(AND(I$8&lt;='Detalle'!$K393,I$9&gt;='Detalle'!$J393),1,""))</x:f>
      </x:c>
      <x:c r="J806" s="32" t="str">
        <x:f>IF(OR('Detalle'!$J393="",'Detalle'!$K393="",'Detalle'!$L393=""),"",IF(AND(J$8&lt;='Detalle'!$K393,J$9&gt;='Detalle'!$J393),1,""))</x:f>
      </x:c>
      <x:c r="K806" s="32" t="str">
        <x:f>IF(OR('Detalle'!$J393="",'Detalle'!$K393="",'Detalle'!$L393=""),"",IF(AND(K$8&lt;='Detalle'!$K393,K$9&gt;='Detalle'!$J393),1,""))</x:f>
      </x:c>
      <x:c r="L806" s="32" t="str">
        <x:f>IF(OR('Detalle'!$J393="",'Detalle'!$K393="",'Detalle'!$L393=""),"",IF(AND(L$8&lt;='Detalle'!$K393,L$9&gt;='Detalle'!$J393),1,""))</x:f>
      </x:c>
      <x:c r="M806" s="32" t="str">
        <x:f>IF(OR('Detalle'!$J393="",'Detalle'!$K393="",'Detalle'!$L393=""),"",IF(AND(M$8&lt;='Detalle'!$K393,M$9&gt;='Detalle'!$J393),1,""))</x:f>
      </x:c>
      <x:c r="N806" s="32" t="str">
        <x:f>IF(OR('Detalle'!$J393="",'Detalle'!$K393="",'Detalle'!$L393=""),"",IF(AND(N$8&lt;='Detalle'!$K393,N$9&gt;='Detalle'!$J393),1,""))</x:f>
      </x:c>
      <x:c r="O806" s="32" t="str">
        <x:f>IF(OR('Detalle'!$J393="",'Detalle'!$K393="",'Detalle'!$L393=""),"",IF(AND(O$8&lt;='Detalle'!$K393,O$9&gt;='Detalle'!$J393),1,""))</x:f>
      </x:c>
      <x:c r="P806" s="32" t="str">
        <x:f>IF(OR('Detalle'!$J393="",'Detalle'!$K393="",'Detalle'!$L393=""),"",IF(AND(P$8&lt;='Detalle'!$K393,P$9&gt;='Detalle'!$J393),1,""))</x:f>
      </x:c>
      <x:c r="Q806" s="68"/>
      <x:c r="R806" s="67" t="str"/>
      <x:c r="S806" s="67" t="str"/>
    </x:row>
    <x:row r="807" ht="16" customHeight="1">
      <x:c r="A807" s="56" t="str">
        <x:v>SOC03.007</x:v>
      </x:c>
      <x:c r="B807" s="57" t="str">
        <x:v>Mostrar CTA solo en posts habilitados</x:v>
      </x:c>
      <x:c r="C807" s="62" t="str">
        <x:v>E</x:v>
      </x:c>
      <x:c r="D807" s="64" t="n">
        <x:f>'Detalle'!I394</x:f>
        <x:v>1</x:v>
      </x:c>
      <x:c r="E807" s="60" t="str">
        <x:f>'Detalle'!F394</x:f>
        <x:v>Completado</x:v>
      </x:c>
      <x:c r="F807" s="32" t="str">
        <x:f>IF(AND(F$8&lt;='Detalle'!$H394,F$9&gt;='Detalle'!$G394),1,"")</x:f>
      </x:c>
      <x:c r="G807" s="32" t="str">
        <x:f>IF(AND(G$8&lt;='Detalle'!$H394,G$9&gt;='Detalle'!$G394),1,"")</x:f>
      </x:c>
      <x:c r="H807" s="32" t="str">
        <x:f>IF(AND(H$8&lt;='Detalle'!$H394,H$9&gt;='Detalle'!$G394),1,"")</x:f>
      </x:c>
      <x:c r="I807" s="32" t="n">
        <x:f>IF(AND(I$8&lt;='Detalle'!$H394,I$9&gt;='Detalle'!$G394),1,"")</x:f>
        <x:v>1</x:v>
      </x:c>
      <x:c r="J807" s="32" t="str">
        <x:f>IF(AND(J$8&lt;='Detalle'!$H394,J$9&gt;='Detalle'!$G394),1,"")</x:f>
      </x:c>
      <x:c r="K807" s="32" t="str">
        <x:f>IF(AND(K$8&lt;='Detalle'!$H394,K$9&gt;='Detalle'!$G394),1,"")</x:f>
      </x:c>
      <x:c r="L807" s="32" t="str">
        <x:f>IF(AND(L$8&lt;='Detalle'!$H394,L$9&gt;='Detalle'!$G394),1,"")</x:f>
      </x:c>
      <x:c r="M807" s="32" t="str">
        <x:f>IF(AND(M$8&lt;='Detalle'!$H394,M$9&gt;='Detalle'!$G394),1,"")</x:f>
      </x:c>
      <x:c r="N807" s="32" t="str">
        <x:f>IF(AND(N$8&lt;='Detalle'!$H394,N$9&gt;='Detalle'!$G394),1,"")</x:f>
      </x:c>
      <x:c r="O807" s="32" t="str">
        <x:f>IF(AND(O$8&lt;='Detalle'!$H394,O$9&gt;='Detalle'!$G394),1,"")</x:f>
      </x:c>
      <x:c r="P807" s="32" t="str">
        <x:f>IF(AND(P$8&lt;='Detalle'!$H394,P$9&gt;='Detalle'!$G394),1,"")</x:f>
      </x:c>
      <x:c r="Q807" s="68"/>
      <x:c r="R807" s="67" t="str">
        <x:f>IF('Detalle'!M394="","",'Detalle'!M394)</x:f>
      </x:c>
      <x:c r="S807" s="67" t="str">
        <x:f>IF('Detalle'!N394="","",'Detalle'!N394)</x:f>
      </x:c>
    </x:row>
    <x:row r="808" ht="16" customHeight="1">
      <x:c r="A808" s="56" t="str">
        <x:v>SOC03.007</x:v>
      </x:c>
      <x:c r="B808" s="57" t="str">
        <x:v>Mostrar CTA solo en posts habilitados</x:v>
      </x:c>
      <x:c r="C808" s="63" t="str">
        <x:v>R</x:v>
      </x:c>
      <x:c r="D808" s="65" t="str">
        <x:f>IF('Detalle'!L394="","",'Detalle'!L394)</x:f>
      </x:c>
      <x:c r="E808" s="60" t="str"/>
      <x:c r="F808" s="32" t="str">
        <x:f>IF(OR('Detalle'!$J394="",'Detalle'!$K394="",'Detalle'!$L394=""),"",IF(AND(F$8&lt;='Detalle'!$K394,F$9&gt;='Detalle'!$J394),1,""))</x:f>
      </x:c>
      <x:c r="G808" s="32" t="str">
        <x:f>IF(OR('Detalle'!$J394="",'Detalle'!$K394="",'Detalle'!$L394=""),"",IF(AND(G$8&lt;='Detalle'!$K394,G$9&gt;='Detalle'!$J394),1,""))</x:f>
      </x:c>
      <x:c r="H808" s="32" t="str">
        <x:f>IF(OR('Detalle'!$J394="",'Detalle'!$K394="",'Detalle'!$L394=""),"",IF(AND(H$8&lt;='Detalle'!$K394,H$9&gt;='Detalle'!$J394),1,""))</x:f>
      </x:c>
      <x:c r="I808" s="32" t="str">
        <x:f>IF(OR('Detalle'!$J394="",'Detalle'!$K394="",'Detalle'!$L394=""),"",IF(AND(I$8&lt;='Detalle'!$K394,I$9&gt;='Detalle'!$J394),1,""))</x:f>
      </x:c>
      <x:c r="J808" s="32" t="str">
        <x:f>IF(OR('Detalle'!$J394="",'Detalle'!$K394="",'Detalle'!$L394=""),"",IF(AND(J$8&lt;='Detalle'!$K394,J$9&gt;='Detalle'!$J394),1,""))</x:f>
      </x:c>
      <x:c r="K808" s="32" t="str">
        <x:f>IF(OR('Detalle'!$J394="",'Detalle'!$K394="",'Detalle'!$L394=""),"",IF(AND(K$8&lt;='Detalle'!$K394,K$9&gt;='Detalle'!$J394),1,""))</x:f>
      </x:c>
      <x:c r="L808" s="32" t="str">
        <x:f>IF(OR('Detalle'!$J394="",'Detalle'!$K394="",'Detalle'!$L394=""),"",IF(AND(L$8&lt;='Detalle'!$K394,L$9&gt;='Detalle'!$J394),1,""))</x:f>
      </x:c>
      <x:c r="M808" s="32" t="str">
        <x:f>IF(OR('Detalle'!$J394="",'Detalle'!$K394="",'Detalle'!$L394=""),"",IF(AND(M$8&lt;='Detalle'!$K394,M$9&gt;='Detalle'!$J394),1,""))</x:f>
      </x:c>
      <x:c r="N808" s="32" t="str">
        <x:f>IF(OR('Detalle'!$J394="",'Detalle'!$K394="",'Detalle'!$L394=""),"",IF(AND(N$8&lt;='Detalle'!$K394,N$9&gt;='Detalle'!$J394),1,""))</x:f>
      </x:c>
      <x:c r="O808" s="32" t="str">
        <x:f>IF(OR('Detalle'!$J394="",'Detalle'!$K394="",'Detalle'!$L394=""),"",IF(AND(O$8&lt;='Detalle'!$K394,O$9&gt;='Detalle'!$J394),1,""))</x:f>
      </x:c>
      <x:c r="P808" s="32" t="str">
        <x:f>IF(OR('Detalle'!$J394="",'Detalle'!$K394="",'Detalle'!$L394=""),"",IF(AND(P$8&lt;='Detalle'!$K394,P$9&gt;='Detalle'!$J394),1,""))</x:f>
      </x:c>
      <x:c r="Q808" s="68"/>
      <x:c r="R808" s="67" t="str"/>
      <x:c r="S808" s="67" t="str"/>
    </x:row>
    <x:row r="809" ht="16" customHeight="1">
      <x:c r="A809" s="56" t="str">
        <x:v>SOC03.008</x:v>
      </x:c>
      <x:c r="B809" s="57" t="str">
        <x:v>Capturar mensaje privado de interés</x:v>
      </x:c>
      <x:c r="C809" s="62" t="str">
        <x:v>E</x:v>
      </x:c>
      <x:c r="D809" s="64" t="n">
        <x:f>'Detalle'!I395</x:f>
        <x:v>1</x:v>
      </x:c>
      <x:c r="E809" s="60" t="str">
        <x:f>'Detalle'!F395</x:f>
        <x:v>Completado</x:v>
      </x:c>
      <x:c r="F809" s="32" t="str">
        <x:f>IF(AND(F$8&lt;='Detalle'!$H395,F$9&gt;='Detalle'!$G395),1,"")</x:f>
      </x:c>
      <x:c r="G809" s="32" t="str">
        <x:f>IF(AND(G$8&lt;='Detalle'!$H395,G$9&gt;='Detalle'!$G395),1,"")</x:f>
      </x:c>
      <x:c r="H809" s="32" t="str">
        <x:f>IF(AND(H$8&lt;='Detalle'!$H395,H$9&gt;='Detalle'!$G395),1,"")</x:f>
      </x:c>
      <x:c r="I809" s="32" t="n">
        <x:f>IF(AND(I$8&lt;='Detalle'!$H395,I$9&gt;='Detalle'!$G395),1,"")</x:f>
        <x:v>1</x:v>
      </x:c>
      <x:c r="J809" s="32" t="str">
        <x:f>IF(AND(J$8&lt;='Detalle'!$H395,J$9&gt;='Detalle'!$G395),1,"")</x:f>
      </x:c>
      <x:c r="K809" s="32" t="str">
        <x:f>IF(AND(K$8&lt;='Detalle'!$H395,K$9&gt;='Detalle'!$G395),1,"")</x:f>
      </x:c>
      <x:c r="L809" s="32" t="str">
        <x:f>IF(AND(L$8&lt;='Detalle'!$H395,L$9&gt;='Detalle'!$G395),1,"")</x:f>
      </x:c>
      <x:c r="M809" s="32" t="str">
        <x:f>IF(AND(M$8&lt;='Detalle'!$H395,M$9&gt;='Detalle'!$G395),1,"")</x:f>
      </x:c>
      <x:c r="N809" s="32" t="str">
        <x:f>IF(AND(N$8&lt;='Detalle'!$H395,N$9&gt;='Detalle'!$G395),1,"")</x:f>
      </x:c>
      <x:c r="O809" s="32" t="str">
        <x:f>IF(AND(O$8&lt;='Detalle'!$H395,O$9&gt;='Detalle'!$G395),1,"")</x:f>
      </x:c>
      <x:c r="P809" s="32" t="str">
        <x:f>IF(AND(P$8&lt;='Detalle'!$H395,P$9&gt;='Detalle'!$G395),1,"")</x:f>
      </x:c>
      <x:c r="Q809" s="68"/>
      <x:c r="R809" s="67" t="str">
        <x:f>IF('Detalle'!M395="","",'Detalle'!M395)</x:f>
      </x:c>
      <x:c r="S809" s="67" t="str">
        <x:f>IF('Detalle'!N395="","",'Detalle'!N395)</x:f>
      </x:c>
    </x:row>
    <x:row r="810" ht="16" customHeight="1">
      <x:c r="A810" s="56" t="str">
        <x:v>SOC03.008</x:v>
      </x:c>
      <x:c r="B810" s="57" t="str">
        <x:v>Capturar mensaje privado de interés</x:v>
      </x:c>
      <x:c r="C810" s="63" t="str">
        <x:v>R</x:v>
      </x:c>
      <x:c r="D810" s="65" t="str">
        <x:f>IF('Detalle'!L395="","",'Detalle'!L395)</x:f>
      </x:c>
      <x:c r="E810" s="60" t="str"/>
      <x:c r="F810" s="32" t="str">
        <x:f>IF(OR('Detalle'!$J395="",'Detalle'!$K395="",'Detalle'!$L395=""),"",IF(AND(F$8&lt;='Detalle'!$K395,F$9&gt;='Detalle'!$J395),1,""))</x:f>
      </x:c>
      <x:c r="G810" s="32" t="str">
        <x:f>IF(OR('Detalle'!$J395="",'Detalle'!$K395="",'Detalle'!$L395=""),"",IF(AND(G$8&lt;='Detalle'!$K395,G$9&gt;='Detalle'!$J395),1,""))</x:f>
      </x:c>
      <x:c r="H810" s="32" t="str">
        <x:f>IF(OR('Detalle'!$J395="",'Detalle'!$K395="",'Detalle'!$L395=""),"",IF(AND(H$8&lt;='Detalle'!$K395,H$9&gt;='Detalle'!$J395),1,""))</x:f>
      </x:c>
      <x:c r="I810" s="32" t="str">
        <x:f>IF(OR('Detalle'!$J395="",'Detalle'!$K395="",'Detalle'!$L395=""),"",IF(AND(I$8&lt;='Detalle'!$K395,I$9&gt;='Detalle'!$J395),1,""))</x:f>
      </x:c>
      <x:c r="J810" s="32" t="str">
        <x:f>IF(OR('Detalle'!$J395="",'Detalle'!$K395="",'Detalle'!$L395=""),"",IF(AND(J$8&lt;='Detalle'!$K395,J$9&gt;='Detalle'!$J395),1,""))</x:f>
      </x:c>
      <x:c r="K810" s="32" t="str">
        <x:f>IF(OR('Detalle'!$J395="",'Detalle'!$K395="",'Detalle'!$L395=""),"",IF(AND(K$8&lt;='Detalle'!$K395,K$9&gt;='Detalle'!$J395),1,""))</x:f>
      </x:c>
      <x:c r="L810" s="32" t="str">
        <x:f>IF(OR('Detalle'!$J395="",'Detalle'!$K395="",'Detalle'!$L395=""),"",IF(AND(L$8&lt;='Detalle'!$K395,L$9&gt;='Detalle'!$J395),1,""))</x:f>
      </x:c>
      <x:c r="M810" s="32" t="str">
        <x:f>IF(OR('Detalle'!$J395="",'Detalle'!$K395="",'Detalle'!$L395=""),"",IF(AND(M$8&lt;='Detalle'!$K395,M$9&gt;='Detalle'!$J395),1,""))</x:f>
      </x:c>
      <x:c r="N810" s="32" t="str">
        <x:f>IF(OR('Detalle'!$J395="",'Detalle'!$K395="",'Detalle'!$L395=""),"",IF(AND(N$8&lt;='Detalle'!$K395,N$9&gt;='Detalle'!$J395),1,""))</x:f>
      </x:c>
      <x:c r="O810" s="32" t="str">
        <x:f>IF(OR('Detalle'!$J395="",'Detalle'!$K395="",'Detalle'!$L395=""),"",IF(AND(O$8&lt;='Detalle'!$K395,O$9&gt;='Detalle'!$J395),1,""))</x:f>
      </x:c>
      <x:c r="P810" s="32" t="str">
        <x:f>IF(OR('Detalle'!$J395="",'Detalle'!$K395="",'Detalle'!$L395=""),"",IF(AND(P$8&lt;='Detalle'!$K395,P$9&gt;='Detalle'!$J395),1,""))</x:f>
      </x:c>
      <x:c r="Q810" s="68"/>
      <x:c r="R810" s="67" t="str"/>
      <x:c r="S810" s="67" t="str"/>
    </x:row>
    <x:row r="811" ht="16" customHeight="1">
      <x:c r="A811" s="56" t="str">
        <x:v>SOC03.009</x:v>
      </x:c>
      <x:c r="B811" s="57" t="str">
        <x:v>Persistir interés único por solicitante</x:v>
      </x:c>
      <x:c r="C811" s="62" t="str">
        <x:v>E</x:v>
      </x:c>
      <x:c r="D811" s="64" t="n">
        <x:f>'Detalle'!I396</x:f>
        <x:v>1</x:v>
      </x:c>
      <x:c r="E811" s="60" t="str">
        <x:f>'Detalle'!F396</x:f>
        <x:v>Completado</x:v>
      </x:c>
      <x:c r="F811" s="32" t="str">
        <x:f>IF(AND(F$8&lt;='Detalle'!$H396,F$9&gt;='Detalle'!$G396),1,"")</x:f>
      </x:c>
      <x:c r="G811" s="32" t="str">
        <x:f>IF(AND(G$8&lt;='Detalle'!$H396,G$9&gt;='Detalle'!$G396),1,"")</x:f>
      </x:c>
      <x:c r="H811" s="32" t="str">
        <x:f>IF(AND(H$8&lt;='Detalle'!$H396,H$9&gt;='Detalle'!$G396),1,"")</x:f>
      </x:c>
      <x:c r="I811" s="32" t="n">
        <x:f>IF(AND(I$8&lt;='Detalle'!$H396,I$9&gt;='Detalle'!$G396),1,"")</x:f>
        <x:v>1</x:v>
      </x:c>
      <x:c r="J811" s="32" t="str">
        <x:f>IF(AND(J$8&lt;='Detalle'!$H396,J$9&gt;='Detalle'!$G396),1,"")</x:f>
      </x:c>
      <x:c r="K811" s="32" t="str">
        <x:f>IF(AND(K$8&lt;='Detalle'!$H396,K$9&gt;='Detalle'!$G396),1,"")</x:f>
      </x:c>
      <x:c r="L811" s="32" t="str">
        <x:f>IF(AND(L$8&lt;='Detalle'!$H396,L$9&gt;='Detalle'!$G396),1,"")</x:f>
      </x:c>
      <x:c r="M811" s="32" t="str">
        <x:f>IF(AND(M$8&lt;='Detalle'!$H396,M$9&gt;='Detalle'!$G396),1,"")</x:f>
      </x:c>
      <x:c r="N811" s="32" t="str">
        <x:f>IF(AND(N$8&lt;='Detalle'!$H396,N$9&gt;='Detalle'!$G396),1,"")</x:f>
      </x:c>
      <x:c r="O811" s="32" t="str">
        <x:f>IF(AND(O$8&lt;='Detalle'!$H396,O$9&gt;='Detalle'!$G396),1,"")</x:f>
      </x:c>
      <x:c r="P811" s="32" t="str">
        <x:f>IF(AND(P$8&lt;='Detalle'!$H396,P$9&gt;='Detalle'!$G396),1,"")</x:f>
      </x:c>
      <x:c r="Q811" s="68"/>
      <x:c r="R811" s="67" t="str">
        <x:f>IF('Detalle'!M396="","",'Detalle'!M396)</x:f>
      </x:c>
      <x:c r="S811" s="67" t="str">
        <x:f>IF('Detalle'!N396="","",'Detalle'!N396)</x:f>
      </x:c>
    </x:row>
    <x:row r="812" ht="16" customHeight="1">
      <x:c r="A812" s="56" t="str">
        <x:v>SOC03.009</x:v>
      </x:c>
      <x:c r="B812" s="57" t="str">
        <x:v>Persistir interés único por solicitante</x:v>
      </x:c>
      <x:c r="C812" s="63" t="str">
        <x:v>R</x:v>
      </x:c>
      <x:c r="D812" s="65" t="str">
        <x:f>IF('Detalle'!L396="","",'Detalle'!L396)</x:f>
      </x:c>
      <x:c r="E812" s="60" t="str"/>
      <x:c r="F812" s="32" t="str">
        <x:f>IF(OR('Detalle'!$J396="",'Detalle'!$K396="",'Detalle'!$L396=""),"",IF(AND(F$8&lt;='Detalle'!$K396,F$9&gt;='Detalle'!$J396),1,""))</x:f>
      </x:c>
      <x:c r="G812" s="32" t="str">
        <x:f>IF(OR('Detalle'!$J396="",'Detalle'!$K396="",'Detalle'!$L396=""),"",IF(AND(G$8&lt;='Detalle'!$K396,G$9&gt;='Detalle'!$J396),1,""))</x:f>
      </x:c>
      <x:c r="H812" s="32" t="str">
        <x:f>IF(OR('Detalle'!$J396="",'Detalle'!$K396="",'Detalle'!$L396=""),"",IF(AND(H$8&lt;='Detalle'!$K396,H$9&gt;='Detalle'!$J396),1,""))</x:f>
      </x:c>
      <x:c r="I812" s="32" t="str">
        <x:f>IF(OR('Detalle'!$J396="",'Detalle'!$K396="",'Detalle'!$L396=""),"",IF(AND(I$8&lt;='Detalle'!$K396,I$9&gt;='Detalle'!$J396),1,""))</x:f>
      </x:c>
      <x:c r="J812" s="32" t="str">
        <x:f>IF(OR('Detalle'!$J396="",'Detalle'!$K396="",'Detalle'!$L396=""),"",IF(AND(J$8&lt;='Detalle'!$K396,J$9&gt;='Detalle'!$J396),1,""))</x:f>
      </x:c>
      <x:c r="K812" s="32" t="str">
        <x:f>IF(OR('Detalle'!$J396="",'Detalle'!$K396="",'Detalle'!$L396=""),"",IF(AND(K$8&lt;='Detalle'!$K396,K$9&gt;='Detalle'!$J396),1,""))</x:f>
      </x:c>
      <x:c r="L812" s="32" t="str">
        <x:f>IF(OR('Detalle'!$J396="",'Detalle'!$K396="",'Detalle'!$L396=""),"",IF(AND(L$8&lt;='Detalle'!$K396,L$9&gt;='Detalle'!$J396),1,""))</x:f>
      </x:c>
      <x:c r="M812" s="32" t="str">
        <x:f>IF(OR('Detalle'!$J396="",'Detalle'!$K396="",'Detalle'!$L396=""),"",IF(AND(M$8&lt;='Detalle'!$K396,M$9&gt;='Detalle'!$J396),1,""))</x:f>
      </x:c>
      <x:c r="N812" s="32" t="str">
        <x:f>IF(OR('Detalle'!$J396="",'Detalle'!$K396="",'Detalle'!$L396=""),"",IF(AND(N$8&lt;='Detalle'!$K396,N$9&gt;='Detalle'!$J396),1,""))</x:f>
      </x:c>
      <x:c r="O812" s="32" t="str">
        <x:f>IF(OR('Detalle'!$J396="",'Detalle'!$K396="",'Detalle'!$L396=""),"",IF(AND(O$8&lt;='Detalle'!$K396,O$9&gt;='Detalle'!$J396),1,""))</x:f>
      </x:c>
      <x:c r="P812" s="32" t="str">
        <x:f>IF(OR('Detalle'!$J396="",'Detalle'!$K396="",'Detalle'!$L396=""),"",IF(AND(P$8&lt;='Detalle'!$K396,P$9&gt;='Detalle'!$J396),1,""))</x:f>
      </x:c>
      <x:c r="Q812" s="68"/>
      <x:c r="R812" s="67" t="str"/>
      <x:c r="S812" s="67" t="str"/>
    </x:row>
    <x:row r="813" ht="16" customHeight="1">
      <x:c r="A813" s="56" t="str">
        <x:v>SOC03.010</x:v>
      </x:c>
      <x:c r="B813" s="57" t="str">
        <x:v>Restringir lectura de mensaje de interés</x:v>
      </x:c>
      <x:c r="C813" s="62" t="str">
        <x:v>E</x:v>
      </x:c>
      <x:c r="D813" s="64" t="n">
        <x:f>'Detalle'!I397</x:f>
        <x:v>1</x:v>
      </x:c>
      <x:c r="E813" s="60" t="str">
        <x:f>'Detalle'!F397</x:f>
        <x:v>Completado</x:v>
      </x:c>
      <x:c r="F813" s="32" t="str">
        <x:f>IF(AND(F$8&lt;='Detalle'!$H397,F$9&gt;='Detalle'!$G397),1,"")</x:f>
      </x:c>
      <x:c r="G813" s="32" t="str">
        <x:f>IF(AND(G$8&lt;='Detalle'!$H397,G$9&gt;='Detalle'!$G397),1,"")</x:f>
      </x:c>
      <x:c r="H813" s="32" t="str">
        <x:f>IF(AND(H$8&lt;='Detalle'!$H397,H$9&gt;='Detalle'!$G397),1,"")</x:f>
      </x:c>
      <x:c r="I813" s="32" t="n">
        <x:f>IF(AND(I$8&lt;='Detalle'!$H397,I$9&gt;='Detalle'!$G397),1,"")</x:f>
        <x:v>1</x:v>
      </x:c>
      <x:c r="J813" s="32" t="str">
        <x:f>IF(AND(J$8&lt;='Detalle'!$H397,J$9&gt;='Detalle'!$G397),1,"")</x:f>
      </x:c>
      <x:c r="K813" s="32" t="str">
        <x:f>IF(AND(K$8&lt;='Detalle'!$H397,K$9&gt;='Detalle'!$G397),1,"")</x:f>
      </x:c>
      <x:c r="L813" s="32" t="str">
        <x:f>IF(AND(L$8&lt;='Detalle'!$H397,L$9&gt;='Detalle'!$G397),1,"")</x:f>
      </x:c>
      <x:c r="M813" s="32" t="str">
        <x:f>IF(AND(M$8&lt;='Detalle'!$H397,M$9&gt;='Detalle'!$G397),1,"")</x:f>
      </x:c>
      <x:c r="N813" s="32" t="str">
        <x:f>IF(AND(N$8&lt;='Detalle'!$H397,N$9&gt;='Detalle'!$G397),1,"")</x:f>
      </x:c>
      <x:c r="O813" s="32" t="str">
        <x:f>IF(AND(O$8&lt;='Detalle'!$H397,O$9&gt;='Detalle'!$G397),1,"")</x:f>
      </x:c>
      <x:c r="P813" s="32" t="str">
        <x:f>IF(AND(P$8&lt;='Detalle'!$H397,P$9&gt;='Detalle'!$G397),1,"")</x:f>
      </x:c>
      <x:c r="Q813" s="68"/>
      <x:c r="R813" s="67" t="str">
        <x:f>IF('Detalle'!M397="","",'Detalle'!M397)</x:f>
      </x:c>
      <x:c r="S813" s="67" t="str">
        <x:f>IF('Detalle'!N397="","",'Detalle'!N397)</x:f>
      </x:c>
    </x:row>
    <x:row r="814" ht="16" customHeight="1">
      <x:c r="A814" s="56" t="str">
        <x:v>SOC03.010</x:v>
      </x:c>
      <x:c r="B814" s="57" t="str">
        <x:v>Restringir lectura de mensaje de interés</x:v>
      </x:c>
      <x:c r="C814" s="63" t="str">
        <x:v>R</x:v>
      </x:c>
      <x:c r="D814" s="65" t="str">
        <x:f>IF('Detalle'!L397="","",'Detalle'!L397)</x:f>
      </x:c>
      <x:c r="E814" s="60" t="str"/>
      <x:c r="F814" s="32" t="str">
        <x:f>IF(OR('Detalle'!$J397="",'Detalle'!$K397="",'Detalle'!$L397=""),"",IF(AND(F$8&lt;='Detalle'!$K397,F$9&gt;='Detalle'!$J397),1,""))</x:f>
      </x:c>
      <x:c r="G814" s="32" t="str">
        <x:f>IF(OR('Detalle'!$J397="",'Detalle'!$K397="",'Detalle'!$L397=""),"",IF(AND(G$8&lt;='Detalle'!$K397,G$9&gt;='Detalle'!$J397),1,""))</x:f>
      </x:c>
      <x:c r="H814" s="32" t="str">
        <x:f>IF(OR('Detalle'!$J397="",'Detalle'!$K397="",'Detalle'!$L397=""),"",IF(AND(H$8&lt;='Detalle'!$K397,H$9&gt;='Detalle'!$J397),1,""))</x:f>
      </x:c>
      <x:c r="I814" s="32" t="str">
        <x:f>IF(OR('Detalle'!$J397="",'Detalle'!$K397="",'Detalle'!$L397=""),"",IF(AND(I$8&lt;='Detalle'!$K397,I$9&gt;='Detalle'!$J397),1,""))</x:f>
      </x:c>
      <x:c r="J814" s="32" t="str">
        <x:f>IF(OR('Detalle'!$J397="",'Detalle'!$K397="",'Detalle'!$L397=""),"",IF(AND(J$8&lt;='Detalle'!$K397,J$9&gt;='Detalle'!$J397),1,""))</x:f>
      </x:c>
      <x:c r="K814" s="32" t="str">
        <x:f>IF(OR('Detalle'!$J397="",'Detalle'!$K397="",'Detalle'!$L397=""),"",IF(AND(K$8&lt;='Detalle'!$K397,K$9&gt;='Detalle'!$J397),1,""))</x:f>
      </x:c>
      <x:c r="L814" s="32" t="str">
        <x:f>IF(OR('Detalle'!$J397="",'Detalle'!$K397="",'Detalle'!$L397=""),"",IF(AND(L$8&lt;='Detalle'!$K397,L$9&gt;='Detalle'!$J397),1,""))</x:f>
      </x:c>
      <x:c r="M814" s="32" t="str">
        <x:f>IF(OR('Detalle'!$J397="",'Detalle'!$K397="",'Detalle'!$L397=""),"",IF(AND(M$8&lt;='Detalle'!$K397,M$9&gt;='Detalle'!$J397),1,""))</x:f>
      </x:c>
      <x:c r="N814" s="32" t="str">
        <x:f>IF(OR('Detalle'!$J397="",'Detalle'!$K397="",'Detalle'!$L397=""),"",IF(AND(N$8&lt;='Detalle'!$K397,N$9&gt;='Detalle'!$J397),1,""))</x:f>
      </x:c>
      <x:c r="O814" s="32" t="str">
        <x:f>IF(OR('Detalle'!$J397="",'Detalle'!$K397="",'Detalle'!$L397=""),"",IF(AND(O$8&lt;='Detalle'!$K397,O$9&gt;='Detalle'!$J397),1,""))</x:f>
      </x:c>
      <x:c r="P814" s="32" t="str">
        <x:f>IF(OR('Detalle'!$J397="",'Detalle'!$K397="",'Detalle'!$L397=""),"",IF(AND(P$8&lt;='Detalle'!$K397,P$9&gt;='Detalle'!$J397),1,""))</x:f>
      </x:c>
      <x:c r="Q814" s="68"/>
      <x:c r="R814" s="67" t="str"/>
      <x:c r="S814" s="67" t="str"/>
    </x:row>
    <x:row r="815" ht="16" customHeight="1">
      <x:c r="A815" s="56" t="str">
        <x:v>SOC03.011</x:v>
      </x:c>
      <x:c r="B815" s="57" t="str">
        <x:v>Actualizar CTA tras enviar interés</x:v>
      </x:c>
      <x:c r="C815" s="62" t="str">
        <x:v>E</x:v>
      </x:c>
      <x:c r="D815" s="64" t="n">
        <x:f>'Detalle'!I398</x:f>
        <x:v>1</x:v>
      </x:c>
      <x:c r="E815" s="60" t="str">
        <x:f>'Detalle'!F398</x:f>
        <x:v>Completado</x:v>
      </x:c>
      <x:c r="F815" s="32" t="str">
        <x:f>IF(AND(F$8&lt;='Detalle'!$H398,F$9&gt;='Detalle'!$G398),1,"")</x:f>
      </x:c>
      <x:c r="G815" s="32" t="str">
        <x:f>IF(AND(G$8&lt;='Detalle'!$H398,G$9&gt;='Detalle'!$G398),1,"")</x:f>
      </x:c>
      <x:c r="H815" s="32" t="str">
        <x:f>IF(AND(H$8&lt;='Detalle'!$H398,H$9&gt;='Detalle'!$G398),1,"")</x:f>
      </x:c>
      <x:c r="I815" s="32" t="n">
        <x:f>IF(AND(I$8&lt;='Detalle'!$H398,I$9&gt;='Detalle'!$G398),1,"")</x:f>
        <x:v>1</x:v>
      </x:c>
      <x:c r="J815" s="32" t="str">
        <x:f>IF(AND(J$8&lt;='Detalle'!$H398,J$9&gt;='Detalle'!$G398),1,"")</x:f>
      </x:c>
      <x:c r="K815" s="32" t="str">
        <x:f>IF(AND(K$8&lt;='Detalle'!$H398,K$9&gt;='Detalle'!$G398),1,"")</x:f>
      </x:c>
      <x:c r="L815" s="32" t="str">
        <x:f>IF(AND(L$8&lt;='Detalle'!$H398,L$9&gt;='Detalle'!$G398),1,"")</x:f>
      </x:c>
      <x:c r="M815" s="32" t="str">
        <x:f>IF(AND(M$8&lt;='Detalle'!$H398,M$9&gt;='Detalle'!$G398),1,"")</x:f>
      </x:c>
      <x:c r="N815" s="32" t="str">
        <x:f>IF(AND(N$8&lt;='Detalle'!$H398,N$9&gt;='Detalle'!$G398),1,"")</x:f>
      </x:c>
      <x:c r="O815" s="32" t="str">
        <x:f>IF(AND(O$8&lt;='Detalle'!$H398,O$9&gt;='Detalle'!$G398),1,"")</x:f>
      </x:c>
      <x:c r="P815" s="32" t="str">
        <x:f>IF(AND(P$8&lt;='Detalle'!$H398,P$9&gt;='Detalle'!$G398),1,"")</x:f>
      </x:c>
      <x:c r="Q815" s="68"/>
      <x:c r="R815" s="67" t="str">
        <x:f>IF('Detalle'!M398="","",'Detalle'!M398)</x:f>
      </x:c>
      <x:c r="S815" s="67" t="str">
        <x:f>IF('Detalle'!N398="","",'Detalle'!N398)</x:f>
      </x:c>
    </x:row>
    <x:row r="816" ht="16" customHeight="1">
      <x:c r="A816" s="56" t="str">
        <x:v>SOC03.011</x:v>
      </x:c>
      <x:c r="B816" s="57" t="str">
        <x:v>Actualizar CTA tras enviar interés</x:v>
      </x:c>
      <x:c r="C816" s="63" t="str">
        <x:v>R</x:v>
      </x:c>
      <x:c r="D816" s="65" t="str">
        <x:f>IF('Detalle'!L398="","",'Detalle'!L398)</x:f>
      </x:c>
      <x:c r="E816" s="60" t="str"/>
      <x:c r="F816" s="32" t="str">
        <x:f>IF(OR('Detalle'!$J398="",'Detalle'!$K398="",'Detalle'!$L398=""),"",IF(AND(F$8&lt;='Detalle'!$K398,F$9&gt;='Detalle'!$J398),1,""))</x:f>
      </x:c>
      <x:c r="G816" s="32" t="str">
        <x:f>IF(OR('Detalle'!$J398="",'Detalle'!$K398="",'Detalle'!$L398=""),"",IF(AND(G$8&lt;='Detalle'!$K398,G$9&gt;='Detalle'!$J398),1,""))</x:f>
      </x:c>
      <x:c r="H816" s="32" t="str">
        <x:f>IF(OR('Detalle'!$J398="",'Detalle'!$K398="",'Detalle'!$L398=""),"",IF(AND(H$8&lt;='Detalle'!$K398,H$9&gt;='Detalle'!$J398),1,""))</x:f>
      </x:c>
      <x:c r="I816" s="32" t="str">
        <x:f>IF(OR('Detalle'!$J398="",'Detalle'!$K398="",'Detalle'!$L398=""),"",IF(AND(I$8&lt;='Detalle'!$K398,I$9&gt;='Detalle'!$J398),1,""))</x:f>
      </x:c>
      <x:c r="J816" s="32" t="str">
        <x:f>IF(OR('Detalle'!$J398="",'Detalle'!$K398="",'Detalle'!$L398=""),"",IF(AND(J$8&lt;='Detalle'!$K398,J$9&gt;='Detalle'!$J398),1,""))</x:f>
      </x:c>
      <x:c r="K816" s="32" t="str">
        <x:f>IF(OR('Detalle'!$J398="",'Detalle'!$K398="",'Detalle'!$L398=""),"",IF(AND(K$8&lt;='Detalle'!$K398,K$9&gt;='Detalle'!$J398),1,""))</x:f>
      </x:c>
      <x:c r="L816" s="32" t="str">
        <x:f>IF(OR('Detalle'!$J398="",'Detalle'!$K398="",'Detalle'!$L398=""),"",IF(AND(L$8&lt;='Detalle'!$K398,L$9&gt;='Detalle'!$J398),1,""))</x:f>
      </x:c>
      <x:c r="M816" s="32" t="str">
        <x:f>IF(OR('Detalle'!$J398="",'Detalle'!$K398="",'Detalle'!$L398=""),"",IF(AND(M$8&lt;='Detalle'!$K398,M$9&gt;='Detalle'!$J398),1,""))</x:f>
      </x:c>
      <x:c r="N816" s="32" t="str">
        <x:f>IF(OR('Detalle'!$J398="",'Detalle'!$K398="",'Detalle'!$L398=""),"",IF(AND(N$8&lt;='Detalle'!$K398,N$9&gt;='Detalle'!$J398),1,""))</x:f>
      </x:c>
      <x:c r="O816" s="32" t="str">
        <x:f>IF(OR('Detalle'!$J398="",'Detalle'!$K398="",'Detalle'!$L398=""),"",IF(AND(O$8&lt;='Detalle'!$K398,O$9&gt;='Detalle'!$J398),1,""))</x:f>
      </x:c>
      <x:c r="P816" s="32" t="str">
        <x:f>IF(OR('Detalle'!$J398="",'Detalle'!$K398="",'Detalle'!$L398=""),"",IF(AND(P$8&lt;='Detalle'!$K398,P$9&gt;='Detalle'!$J398),1,""))</x:f>
      </x:c>
      <x:c r="Q816" s="68"/>
      <x:c r="R816" s="67" t="str"/>
      <x:c r="S816" s="67" t="str"/>
    </x:row>
    <x:row r="817" ht="16" customHeight="1">
      <x:c r="A817" s="56" t="str">
        <x:v>SOC03.012</x:v>
      </x:c>
      <x:c r="B817" s="57" t="str">
        <x:v>Notificar interés al autor</x:v>
      </x:c>
      <x:c r="C817" s="62" t="str">
        <x:v>E</x:v>
      </x:c>
      <x:c r="D817" s="64" t="n">
        <x:f>'Detalle'!I399</x:f>
        <x:v>1</x:v>
      </x:c>
      <x:c r="E817" s="60" t="str">
        <x:f>'Detalle'!F399</x:f>
        <x:v>Completado</x:v>
      </x:c>
      <x:c r="F817" s="32" t="str">
        <x:f>IF(AND(F$8&lt;='Detalle'!$H399,F$9&gt;='Detalle'!$G399),1,"")</x:f>
      </x:c>
      <x:c r="G817" s="32" t="str">
        <x:f>IF(AND(G$8&lt;='Detalle'!$H399,G$9&gt;='Detalle'!$G399),1,"")</x:f>
      </x:c>
      <x:c r="H817" s="32" t="str">
        <x:f>IF(AND(H$8&lt;='Detalle'!$H399,H$9&gt;='Detalle'!$G399),1,"")</x:f>
      </x:c>
      <x:c r="I817" s="32" t="n">
        <x:f>IF(AND(I$8&lt;='Detalle'!$H399,I$9&gt;='Detalle'!$G399),1,"")</x:f>
        <x:v>1</x:v>
      </x:c>
      <x:c r="J817" s="32" t="str">
        <x:f>IF(AND(J$8&lt;='Detalle'!$H399,J$9&gt;='Detalle'!$G399),1,"")</x:f>
      </x:c>
      <x:c r="K817" s="32" t="str">
        <x:f>IF(AND(K$8&lt;='Detalle'!$H399,K$9&gt;='Detalle'!$G399),1,"")</x:f>
      </x:c>
      <x:c r="L817" s="32" t="str">
        <x:f>IF(AND(L$8&lt;='Detalle'!$H399,L$9&gt;='Detalle'!$G399),1,"")</x:f>
      </x:c>
      <x:c r="M817" s="32" t="str">
        <x:f>IF(AND(M$8&lt;='Detalle'!$H399,M$9&gt;='Detalle'!$G399),1,"")</x:f>
      </x:c>
      <x:c r="N817" s="32" t="str">
        <x:f>IF(AND(N$8&lt;='Detalle'!$H399,N$9&gt;='Detalle'!$G399),1,"")</x:f>
      </x:c>
      <x:c r="O817" s="32" t="str">
        <x:f>IF(AND(O$8&lt;='Detalle'!$H399,O$9&gt;='Detalle'!$G399),1,"")</x:f>
      </x:c>
      <x:c r="P817" s="32" t="str">
        <x:f>IF(AND(P$8&lt;='Detalle'!$H399,P$9&gt;='Detalle'!$G399),1,"")</x:f>
      </x:c>
      <x:c r="Q817" s="68"/>
      <x:c r="R817" s="67" t="str">
        <x:f>IF('Detalle'!M399="","",'Detalle'!M399)</x:f>
      </x:c>
      <x:c r="S817" s="67" t="str">
        <x:f>IF('Detalle'!N399="","",'Detalle'!N399)</x:f>
      </x:c>
    </x:row>
    <x:row r="818" ht="16" customHeight="1">
      <x:c r="A818" s="56" t="str">
        <x:v>SOC03.012</x:v>
      </x:c>
      <x:c r="B818" s="57" t="str">
        <x:v>Notificar interés al autor</x:v>
      </x:c>
      <x:c r="C818" s="63" t="str">
        <x:v>R</x:v>
      </x:c>
      <x:c r="D818" s="65" t="str">
        <x:f>IF('Detalle'!L399="","",'Detalle'!L399)</x:f>
      </x:c>
      <x:c r="E818" s="60" t="str"/>
      <x:c r="F818" s="32" t="str">
        <x:f>IF(OR('Detalle'!$J399="",'Detalle'!$K399="",'Detalle'!$L399=""),"",IF(AND(F$8&lt;='Detalle'!$K399,F$9&gt;='Detalle'!$J399),1,""))</x:f>
      </x:c>
      <x:c r="G818" s="32" t="str">
        <x:f>IF(OR('Detalle'!$J399="",'Detalle'!$K399="",'Detalle'!$L399=""),"",IF(AND(G$8&lt;='Detalle'!$K399,G$9&gt;='Detalle'!$J399),1,""))</x:f>
      </x:c>
      <x:c r="H818" s="32" t="str">
        <x:f>IF(OR('Detalle'!$J399="",'Detalle'!$K399="",'Detalle'!$L399=""),"",IF(AND(H$8&lt;='Detalle'!$K399,H$9&gt;='Detalle'!$J399),1,""))</x:f>
      </x:c>
      <x:c r="I818" s="32" t="str">
        <x:f>IF(OR('Detalle'!$J399="",'Detalle'!$K399="",'Detalle'!$L399=""),"",IF(AND(I$8&lt;='Detalle'!$K399,I$9&gt;='Detalle'!$J399),1,""))</x:f>
      </x:c>
      <x:c r="J818" s="32" t="str">
        <x:f>IF(OR('Detalle'!$J399="",'Detalle'!$K399="",'Detalle'!$L399=""),"",IF(AND(J$8&lt;='Detalle'!$K399,J$9&gt;='Detalle'!$J399),1,""))</x:f>
      </x:c>
      <x:c r="K818" s="32" t="str">
        <x:f>IF(OR('Detalle'!$J399="",'Detalle'!$K399="",'Detalle'!$L399=""),"",IF(AND(K$8&lt;='Detalle'!$K399,K$9&gt;='Detalle'!$J399),1,""))</x:f>
      </x:c>
      <x:c r="L818" s="32" t="str">
        <x:f>IF(OR('Detalle'!$J399="",'Detalle'!$K399="",'Detalle'!$L399=""),"",IF(AND(L$8&lt;='Detalle'!$K399,L$9&gt;='Detalle'!$J399),1,""))</x:f>
      </x:c>
      <x:c r="M818" s="32" t="str">
        <x:f>IF(OR('Detalle'!$J399="",'Detalle'!$K399="",'Detalle'!$L399=""),"",IF(AND(M$8&lt;='Detalle'!$K399,M$9&gt;='Detalle'!$J399),1,""))</x:f>
      </x:c>
      <x:c r="N818" s="32" t="str">
        <x:f>IF(OR('Detalle'!$J399="",'Detalle'!$K399="",'Detalle'!$L399=""),"",IF(AND(N$8&lt;='Detalle'!$K399,N$9&gt;='Detalle'!$J399),1,""))</x:f>
      </x:c>
      <x:c r="O818" s="32" t="str">
        <x:f>IF(OR('Detalle'!$J399="",'Detalle'!$K399="",'Detalle'!$L399=""),"",IF(AND(O$8&lt;='Detalle'!$K399,O$9&gt;='Detalle'!$J399),1,""))</x:f>
      </x:c>
      <x:c r="P818" s="32" t="str">
        <x:f>IF(OR('Detalle'!$J399="",'Detalle'!$K399="",'Detalle'!$L399=""),"",IF(AND(P$8&lt;='Detalle'!$K399,P$9&gt;='Detalle'!$J399),1,""))</x:f>
      </x:c>
      <x:c r="Q818" s="68"/>
      <x:c r="R818" s="67" t="str"/>
      <x:c r="S818" s="67" t="str"/>
    </x:row>
    <x:row r="819" ht="20" customHeight="1">
      <x:c r="A819" s="52" t="str">
        <x:v>SOC04 · Bandeja, privacidad y enlaces sociales</x:v>
      </x:c>
      <x:c r="B819" s="52" t="str">
        <x:v>SOC04 · Bandeja, privacidad y enlaces sociales</x:v>
      </x:c>
      <x:c r="C819" s="52" t="str">
        <x:v>SOC04 · Bandeja, privacidad y enlaces sociales</x:v>
      </x:c>
      <x:c r="D819" s="52" t="str">
        <x:v>SOC04 · Bandeja, privacidad y enlaces sociales</x:v>
      </x:c>
      <x:c r="E819" s="52" t="str">
        <x:v>SOC04 · Bandeja, privacidad y enlaces sociales</x:v>
      </x:c>
      <x:c r="F819" s="53" t="str">
        <x:v>SOC04 · Bandeja, privacidad y enlaces sociales</x:v>
      </x:c>
      <x:c r="G819" s="53" t="str">
        <x:v>SOC04 · Bandeja, privacidad y enlaces sociales</x:v>
      </x:c>
      <x:c r="H819" s="53" t="str">
        <x:v>SOC04 · Bandeja, privacidad y enlaces sociales</x:v>
      </x:c>
      <x:c r="I819" s="53" t="str">
        <x:v>SOC04 · Bandeja, privacidad y enlaces sociales</x:v>
      </x:c>
      <x:c r="J819" s="53" t="str">
        <x:v>SOC04 · Bandeja, privacidad y enlaces sociales</x:v>
      </x:c>
      <x:c r="K819" s="53" t="str">
        <x:v>SOC04 · Bandeja, privacidad y enlaces sociales</x:v>
      </x:c>
      <x:c r="L819" s="53" t="str">
        <x:v>SOC04 · Bandeja, privacidad y enlaces sociales</x:v>
      </x:c>
      <x:c r="M819" s="53" t="str">
        <x:v>SOC04 · Bandeja, privacidad y enlaces sociales</x:v>
      </x:c>
      <x:c r="N819" s="53" t="str">
        <x:v>SOC04 · Bandeja, privacidad y enlaces sociales</x:v>
      </x:c>
      <x:c r="O819" s="53" t="str">
        <x:v>SOC04 · Bandeja, privacidad y enlaces sociales</x:v>
      </x:c>
      <x:c r="P819" s="53" t="str">
        <x:v>SOC04 · Bandeja, privacidad y enlaces sociales</x:v>
      </x:c>
      <x:c r="Q819" s="52" t="str">
        <x:v>SOC04 · Bandeja, privacidad y enlaces sociales</x:v>
      </x:c>
      <x:c r="R819" s="52" t="str">
        <x:v>SOC04 · Bandeja, privacidad y enlaces sociales</x:v>
      </x:c>
      <x:c r="S819" s="52" t="str">
        <x:v>SOC04 · Bandeja, privacidad y enlaces sociales</x:v>
      </x:c>
    </x:row>
    <x:row r="820" ht="16" customHeight="1">
      <x:c r="A820" s="56" t="str">
        <x:v>SOC04.001</x:v>
      </x:c>
      <x:c r="B820" s="57" t="str">
        <x:v>Crear bandeja privada de notificaciones</x:v>
      </x:c>
      <x:c r="C820" s="62" t="str">
        <x:v>E</x:v>
      </x:c>
      <x:c r="D820" s="64" t="n">
        <x:f>'Detalle'!I400</x:f>
        <x:v>1</x:v>
      </x:c>
      <x:c r="E820" s="60" t="str">
        <x:f>'Detalle'!F400</x:f>
        <x:v>Completado</x:v>
      </x:c>
      <x:c r="F820" s="32" t="str">
        <x:f>IF(AND(F$8&lt;='Detalle'!$H400,F$9&gt;='Detalle'!$G400),1,"")</x:f>
      </x:c>
      <x:c r="G820" s="32" t="str">
        <x:f>IF(AND(G$8&lt;='Detalle'!$H400,G$9&gt;='Detalle'!$G400),1,"")</x:f>
      </x:c>
      <x:c r="H820" s="32" t="str">
        <x:f>IF(AND(H$8&lt;='Detalle'!$H400,H$9&gt;='Detalle'!$G400),1,"")</x:f>
      </x:c>
      <x:c r="I820" s="32" t="n">
        <x:f>IF(AND(I$8&lt;='Detalle'!$H400,I$9&gt;='Detalle'!$G400),1,"")</x:f>
        <x:v>1</x:v>
      </x:c>
      <x:c r="J820" s="32" t="str">
        <x:f>IF(AND(J$8&lt;='Detalle'!$H400,J$9&gt;='Detalle'!$G400),1,"")</x:f>
      </x:c>
      <x:c r="K820" s="32" t="str">
        <x:f>IF(AND(K$8&lt;='Detalle'!$H400,K$9&gt;='Detalle'!$G400),1,"")</x:f>
      </x:c>
      <x:c r="L820" s="32" t="str">
        <x:f>IF(AND(L$8&lt;='Detalle'!$H400,L$9&gt;='Detalle'!$G400),1,"")</x:f>
      </x:c>
      <x:c r="M820" s="32" t="str">
        <x:f>IF(AND(M$8&lt;='Detalle'!$H400,M$9&gt;='Detalle'!$G400),1,"")</x:f>
      </x:c>
      <x:c r="N820" s="32" t="str">
        <x:f>IF(AND(N$8&lt;='Detalle'!$H400,N$9&gt;='Detalle'!$G400),1,"")</x:f>
      </x:c>
      <x:c r="O820" s="32" t="str">
        <x:f>IF(AND(O$8&lt;='Detalle'!$H400,O$9&gt;='Detalle'!$G400),1,"")</x:f>
      </x:c>
      <x:c r="P820" s="32" t="str">
        <x:f>IF(AND(P$8&lt;='Detalle'!$H400,P$9&gt;='Detalle'!$G400),1,"")</x:f>
      </x:c>
      <x:c r="Q820" s="68"/>
      <x:c r="R820" s="67" t="str">
        <x:f>IF('Detalle'!M400="","",'Detalle'!M400)</x:f>
      </x:c>
      <x:c r="S820" s="67" t="str">
        <x:f>IF('Detalle'!N400="","",'Detalle'!N400)</x:f>
      </x:c>
    </x:row>
    <x:row r="821" ht="16" customHeight="1">
      <x:c r="A821" s="56" t="str">
        <x:v>SOC04.001</x:v>
      </x:c>
      <x:c r="B821" s="57" t="str">
        <x:v>Crear bandeja privada de notificaciones</x:v>
      </x:c>
      <x:c r="C821" s="63" t="str">
        <x:v>R</x:v>
      </x:c>
      <x:c r="D821" s="65" t="str">
        <x:f>IF('Detalle'!L400="","",'Detalle'!L400)</x:f>
      </x:c>
      <x:c r="E821" s="60" t="str"/>
      <x:c r="F821" s="32" t="str">
        <x:f>IF(OR('Detalle'!$J400="",'Detalle'!$K400="",'Detalle'!$L400=""),"",IF(AND(F$8&lt;='Detalle'!$K400,F$9&gt;='Detalle'!$J400),1,""))</x:f>
      </x:c>
      <x:c r="G821" s="32" t="str">
        <x:f>IF(OR('Detalle'!$J400="",'Detalle'!$K400="",'Detalle'!$L400=""),"",IF(AND(G$8&lt;='Detalle'!$K400,G$9&gt;='Detalle'!$J400),1,""))</x:f>
      </x:c>
      <x:c r="H821" s="32" t="str">
        <x:f>IF(OR('Detalle'!$J400="",'Detalle'!$K400="",'Detalle'!$L400=""),"",IF(AND(H$8&lt;='Detalle'!$K400,H$9&gt;='Detalle'!$J400),1,""))</x:f>
      </x:c>
      <x:c r="I821" s="32" t="str">
        <x:f>IF(OR('Detalle'!$J400="",'Detalle'!$K400="",'Detalle'!$L400=""),"",IF(AND(I$8&lt;='Detalle'!$K400,I$9&gt;='Detalle'!$J400),1,""))</x:f>
      </x:c>
      <x:c r="J821" s="32" t="str">
        <x:f>IF(OR('Detalle'!$J400="",'Detalle'!$K400="",'Detalle'!$L400=""),"",IF(AND(J$8&lt;='Detalle'!$K400,J$9&gt;='Detalle'!$J400),1,""))</x:f>
      </x:c>
      <x:c r="K821" s="32" t="str">
        <x:f>IF(OR('Detalle'!$J400="",'Detalle'!$K400="",'Detalle'!$L400=""),"",IF(AND(K$8&lt;='Detalle'!$K400,K$9&gt;='Detalle'!$J400),1,""))</x:f>
      </x:c>
      <x:c r="L821" s="32" t="str">
        <x:f>IF(OR('Detalle'!$J400="",'Detalle'!$K400="",'Detalle'!$L400=""),"",IF(AND(L$8&lt;='Detalle'!$K400,L$9&gt;='Detalle'!$J400),1,""))</x:f>
      </x:c>
      <x:c r="M821" s="32" t="str">
        <x:f>IF(OR('Detalle'!$J400="",'Detalle'!$K400="",'Detalle'!$L400=""),"",IF(AND(M$8&lt;='Detalle'!$K400,M$9&gt;='Detalle'!$J400),1,""))</x:f>
      </x:c>
      <x:c r="N821" s="32" t="str">
        <x:f>IF(OR('Detalle'!$J400="",'Detalle'!$K400="",'Detalle'!$L400=""),"",IF(AND(N$8&lt;='Detalle'!$K400,N$9&gt;='Detalle'!$J400),1,""))</x:f>
      </x:c>
      <x:c r="O821" s="32" t="str">
        <x:f>IF(OR('Detalle'!$J400="",'Detalle'!$K400="",'Detalle'!$L400=""),"",IF(AND(O$8&lt;='Detalle'!$K400,O$9&gt;='Detalle'!$J400),1,""))</x:f>
      </x:c>
      <x:c r="P821" s="32" t="str">
        <x:f>IF(OR('Detalle'!$J400="",'Detalle'!$K400="",'Detalle'!$L400=""),"",IF(AND(P$8&lt;='Detalle'!$K400,P$9&gt;='Detalle'!$J400),1,""))</x:f>
      </x:c>
      <x:c r="Q821" s="68"/>
      <x:c r="R821" s="67" t="str"/>
      <x:c r="S821" s="67" t="str"/>
    </x:row>
    <x:row r="822" ht="16" customHeight="1">
      <x:c r="A822" s="56" t="str">
        <x:v>SOC04.002</x:v>
      </x:c>
      <x:c r="B822" s="57" t="str">
        <x:v>Filtrar Todo y Sin leer</x:v>
      </x:c>
      <x:c r="C822" s="62" t="str">
        <x:v>E</x:v>
      </x:c>
      <x:c r="D822" s="64" t="n">
        <x:f>'Detalle'!I401</x:f>
        <x:v>1</x:v>
      </x:c>
      <x:c r="E822" s="60" t="str">
        <x:f>'Detalle'!F401</x:f>
        <x:v>Completado</x:v>
      </x:c>
      <x:c r="F822" s="32" t="str">
        <x:f>IF(AND(F$8&lt;='Detalle'!$H401,F$9&gt;='Detalle'!$G401),1,"")</x:f>
      </x:c>
      <x:c r="G822" s="32" t="str">
        <x:f>IF(AND(G$8&lt;='Detalle'!$H401,G$9&gt;='Detalle'!$G401),1,"")</x:f>
      </x:c>
      <x:c r="H822" s="32" t="str">
        <x:f>IF(AND(H$8&lt;='Detalle'!$H401,H$9&gt;='Detalle'!$G401),1,"")</x:f>
      </x:c>
      <x:c r="I822" s="32" t="n">
        <x:f>IF(AND(I$8&lt;='Detalle'!$H401,I$9&gt;='Detalle'!$G401),1,"")</x:f>
        <x:v>1</x:v>
      </x:c>
      <x:c r="J822" s="32" t="str">
        <x:f>IF(AND(J$8&lt;='Detalle'!$H401,J$9&gt;='Detalle'!$G401),1,"")</x:f>
      </x:c>
      <x:c r="K822" s="32" t="str">
        <x:f>IF(AND(K$8&lt;='Detalle'!$H401,K$9&gt;='Detalle'!$G401),1,"")</x:f>
      </x:c>
      <x:c r="L822" s="32" t="str">
        <x:f>IF(AND(L$8&lt;='Detalle'!$H401,L$9&gt;='Detalle'!$G401),1,"")</x:f>
      </x:c>
      <x:c r="M822" s="32" t="str">
        <x:f>IF(AND(M$8&lt;='Detalle'!$H401,M$9&gt;='Detalle'!$G401),1,"")</x:f>
      </x:c>
      <x:c r="N822" s="32" t="str">
        <x:f>IF(AND(N$8&lt;='Detalle'!$H401,N$9&gt;='Detalle'!$G401),1,"")</x:f>
      </x:c>
      <x:c r="O822" s="32" t="str">
        <x:f>IF(AND(O$8&lt;='Detalle'!$H401,O$9&gt;='Detalle'!$G401),1,"")</x:f>
      </x:c>
      <x:c r="P822" s="32" t="str">
        <x:f>IF(AND(P$8&lt;='Detalle'!$H401,P$9&gt;='Detalle'!$G401),1,"")</x:f>
      </x:c>
      <x:c r="Q822" s="68"/>
      <x:c r="R822" s="67" t="str">
        <x:f>IF('Detalle'!M401="","",'Detalle'!M401)</x:f>
      </x:c>
      <x:c r="S822" s="67" t="str">
        <x:f>IF('Detalle'!N401="","",'Detalle'!N401)</x:f>
      </x:c>
    </x:row>
    <x:row r="823" ht="16" customHeight="1">
      <x:c r="A823" s="56" t="str">
        <x:v>SOC04.002</x:v>
      </x:c>
      <x:c r="B823" s="57" t="str">
        <x:v>Filtrar Todo y Sin leer</x:v>
      </x:c>
      <x:c r="C823" s="63" t="str">
        <x:v>R</x:v>
      </x:c>
      <x:c r="D823" s="65" t="str">
        <x:f>IF('Detalle'!L401="","",'Detalle'!L401)</x:f>
      </x:c>
      <x:c r="E823" s="60" t="str"/>
      <x:c r="F823" s="32" t="str">
        <x:f>IF(OR('Detalle'!$J401="",'Detalle'!$K401="",'Detalle'!$L401=""),"",IF(AND(F$8&lt;='Detalle'!$K401,F$9&gt;='Detalle'!$J401),1,""))</x:f>
      </x:c>
      <x:c r="G823" s="32" t="str">
        <x:f>IF(OR('Detalle'!$J401="",'Detalle'!$K401="",'Detalle'!$L401=""),"",IF(AND(G$8&lt;='Detalle'!$K401,G$9&gt;='Detalle'!$J401),1,""))</x:f>
      </x:c>
      <x:c r="H823" s="32" t="str">
        <x:f>IF(OR('Detalle'!$J401="",'Detalle'!$K401="",'Detalle'!$L401=""),"",IF(AND(H$8&lt;='Detalle'!$K401,H$9&gt;='Detalle'!$J401),1,""))</x:f>
      </x:c>
      <x:c r="I823" s="32" t="str">
        <x:f>IF(OR('Detalle'!$J401="",'Detalle'!$K401="",'Detalle'!$L401=""),"",IF(AND(I$8&lt;='Detalle'!$K401,I$9&gt;='Detalle'!$J401),1,""))</x:f>
      </x:c>
      <x:c r="J823" s="32" t="str">
        <x:f>IF(OR('Detalle'!$J401="",'Detalle'!$K401="",'Detalle'!$L401=""),"",IF(AND(J$8&lt;='Detalle'!$K401,J$9&gt;='Detalle'!$J401),1,""))</x:f>
      </x:c>
      <x:c r="K823" s="32" t="str">
        <x:f>IF(OR('Detalle'!$J401="",'Detalle'!$K401="",'Detalle'!$L401=""),"",IF(AND(K$8&lt;='Detalle'!$K401,K$9&gt;='Detalle'!$J401),1,""))</x:f>
      </x:c>
      <x:c r="L823" s="32" t="str">
        <x:f>IF(OR('Detalle'!$J401="",'Detalle'!$K401="",'Detalle'!$L401=""),"",IF(AND(L$8&lt;='Detalle'!$K401,L$9&gt;='Detalle'!$J401),1,""))</x:f>
      </x:c>
      <x:c r="M823" s="32" t="str">
        <x:f>IF(OR('Detalle'!$J401="",'Detalle'!$K401="",'Detalle'!$L401=""),"",IF(AND(M$8&lt;='Detalle'!$K401,M$9&gt;='Detalle'!$J401),1,""))</x:f>
      </x:c>
      <x:c r="N823" s="32" t="str">
        <x:f>IF(OR('Detalle'!$J401="",'Detalle'!$K401="",'Detalle'!$L401=""),"",IF(AND(N$8&lt;='Detalle'!$K401,N$9&gt;='Detalle'!$J401),1,""))</x:f>
      </x:c>
      <x:c r="O823" s="32" t="str">
        <x:f>IF(OR('Detalle'!$J401="",'Detalle'!$K401="",'Detalle'!$L401=""),"",IF(AND(O$8&lt;='Detalle'!$K401,O$9&gt;='Detalle'!$J401),1,""))</x:f>
      </x:c>
      <x:c r="P823" s="32" t="str">
        <x:f>IF(OR('Detalle'!$J401="",'Detalle'!$K401="",'Detalle'!$L401=""),"",IF(AND(P$8&lt;='Detalle'!$K401,P$9&gt;='Detalle'!$J401),1,""))</x:f>
      </x:c>
      <x:c r="Q823" s="68"/>
      <x:c r="R823" s="67" t="str"/>
      <x:c r="S823" s="67" t="str"/>
    </x:row>
    <x:row r="824" ht="16" customHeight="1">
      <x:c r="A824" s="56" t="str">
        <x:v>SOC04.003</x:v>
      </x:c>
      <x:c r="B824" s="57" t="str">
        <x:v>Mostrar punto de actividad pendiente</x:v>
      </x:c>
      <x:c r="C824" s="62" t="str">
        <x:v>E</x:v>
      </x:c>
      <x:c r="D824" s="64" t="n">
        <x:f>'Detalle'!I402</x:f>
        <x:v>1</x:v>
      </x:c>
      <x:c r="E824" s="60" t="str">
        <x:f>'Detalle'!F402</x:f>
        <x:v>Completado</x:v>
      </x:c>
      <x:c r="F824" s="32" t="str">
        <x:f>IF(AND(F$8&lt;='Detalle'!$H402,F$9&gt;='Detalle'!$G402),1,"")</x:f>
      </x:c>
      <x:c r="G824" s="32" t="str">
        <x:f>IF(AND(G$8&lt;='Detalle'!$H402,G$9&gt;='Detalle'!$G402),1,"")</x:f>
      </x:c>
      <x:c r="H824" s="32" t="str">
        <x:f>IF(AND(H$8&lt;='Detalle'!$H402,H$9&gt;='Detalle'!$G402),1,"")</x:f>
      </x:c>
      <x:c r="I824" s="32" t="n">
        <x:f>IF(AND(I$8&lt;='Detalle'!$H402,I$9&gt;='Detalle'!$G402),1,"")</x:f>
        <x:v>1</x:v>
      </x:c>
      <x:c r="J824" s="32" t="str">
        <x:f>IF(AND(J$8&lt;='Detalle'!$H402,J$9&gt;='Detalle'!$G402),1,"")</x:f>
      </x:c>
      <x:c r="K824" s="32" t="str">
        <x:f>IF(AND(K$8&lt;='Detalle'!$H402,K$9&gt;='Detalle'!$G402),1,"")</x:f>
      </x:c>
      <x:c r="L824" s="32" t="str">
        <x:f>IF(AND(L$8&lt;='Detalle'!$H402,L$9&gt;='Detalle'!$G402),1,"")</x:f>
      </x:c>
      <x:c r="M824" s="32" t="str">
        <x:f>IF(AND(M$8&lt;='Detalle'!$H402,M$9&gt;='Detalle'!$G402),1,"")</x:f>
      </x:c>
      <x:c r="N824" s="32" t="str">
        <x:f>IF(AND(N$8&lt;='Detalle'!$H402,N$9&gt;='Detalle'!$G402),1,"")</x:f>
      </x:c>
      <x:c r="O824" s="32" t="str">
        <x:f>IF(AND(O$8&lt;='Detalle'!$H402,O$9&gt;='Detalle'!$G402),1,"")</x:f>
      </x:c>
      <x:c r="P824" s="32" t="str">
        <x:f>IF(AND(P$8&lt;='Detalle'!$H402,P$9&gt;='Detalle'!$G402),1,"")</x:f>
      </x:c>
      <x:c r="Q824" s="68"/>
      <x:c r="R824" s="67" t="str">
        <x:f>IF('Detalle'!M402="","",'Detalle'!M402)</x:f>
      </x:c>
      <x:c r="S824" s="67" t="str">
        <x:f>IF('Detalle'!N402="","",'Detalle'!N402)</x:f>
      </x:c>
    </x:row>
    <x:row r="825" ht="16" customHeight="1">
      <x:c r="A825" s="56" t="str">
        <x:v>SOC04.003</x:v>
      </x:c>
      <x:c r="B825" s="57" t="str">
        <x:v>Mostrar punto de actividad pendiente</x:v>
      </x:c>
      <x:c r="C825" s="63" t="str">
        <x:v>R</x:v>
      </x:c>
      <x:c r="D825" s="65" t="str">
        <x:f>IF('Detalle'!L402="","",'Detalle'!L402)</x:f>
      </x:c>
      <x:c r="E825" s="60" t="str"/>
      <x:c r="F825" s="32" t="str">
        <x:f>IF(OR('Detalle'!$J402="",'Detalle'!$K402="",'Detalle'!$L402=""),"",IF(AND(F$8&lt;='Detalle'!$K402,F$9&gt;='Detalle'!$J402),1,""))</x:f>
      </x:c>
      <x:c r="G825" s="32" t="str">
        <x:f>IF(OR('Detalle'!$J402="",'Detalle'!$K402="",'Detalle'!$L402=""),"",IF(AND(G$8&lt;='Detalle'!$K402,G$9&gt;='Detalle'!$J402),1,""))</x:f>
      </x:c>
      <x:c r="H825" s="32" t="str">
        <x:f>IF(OR('Detalle'!$J402="",'Detalle'!$K402="",'Detalle'!$L402=""),"",IF(AND(H$8&lt;='Detalle'!$K402,H$9&gt;='Detalle'!$J402),1,""))</x:f>
      </x:c>
      <x:c r="I825" s="32" t="str">
        <x:f>IF(OR('Detalle'!$J402="",'Detalle'!$K402="",'Detalle'!$L402=""),"",IF(AND(I$8&lt;='Detalle'!$K402,I$9&gt;='Detalle'!$J402),1,""))</x:f>
      </x:c>
      <x:c r="J825" s="32" t="str">
        <x:f>IF(OR('Detalle'!$J402="",'Detalle'!$K402="",'Detalle'!$L402=""),"",IF(AND(J$8&lt;='Detalle'!$K402,J$9&gt;='Detalle'!$J402),1,""))</x:f>
      </x:c>
      <x:c r="K825" s="32" t="str">
        <x:f>IF(OR('Detalle'!$J402="",'Detalle'!$K402="",'Detalle'!$L402=""),"",IF(AND(K$8&lt;='Detalle'!$K402,K$9&gt;='Detalle'!$J402),1,""))</x:f>
      </x:c>
      <x:c r="L825" s="32" t="str">
        <x:f>IF(OR('Detalle'!$J402="",'Detalle'!$K402="",'Detalle'!$L402=""),"",IF(AND(L$8&lt;='Detalle'!$K402,L$9&gt;='Detalle'!$J402),1,""))</x:f>
      </x:c>
      <x:c r="M825" s="32" t="str">
        <x:f>IF(OR('Detalle'!$J402="",'Detalle'!$K402="",'Detalle'!$L402=""),"",IF(AND(M$8&lt;='Detalle'!$K402,M$9&gt;='Detalle'!$J402),1,""))</x:f>
      </x:c>
      <x:c r="N825" s="32" t="str">
        <x:f>IF(OR('Detalle'!$J402="",'Detalle'!$K402="",'Detalle'!$L402=""),"",IF(AND(N$8&lt;='Detalle'!$K402,N$9&gt;='Detalle'!$J402),1,""))</x:f>
      </x:c>
      <x:c r="O825" s="32" t="str">
        <x:f>IF(OR('Detalle'!$J402="",'Detalle'!$K402="",'Detalle'!$L402=""),"",IF(AND(O$8&lt;='Detalle'!$K402,O$9&gt;='Detalle'!$J402),1,""))</x:f>
      </x:c>
      <x:c r="P825" s="32" t="str">
        <x:f>IF(OR('Detalle'!$J402="",'Detalle'!$K402="",'Detalle'!$L402=""),"",IF(AND(P$8&lt;='Detalle'!$K402,P$9&gt;='Detalle'!$J402),1,""))</x:f>
      </x:c>
      <x:c r="Q825" s="68"/>
      <x:c r="R825" s="67" t="str"/>
      <x:c r="S825" s="67" t="str"/>
    </x:row>
    <x:row r="826" ht="16" customHeight="1">
      <x:c r="A826" s="56" t="str">
        <x:v>SOC04.004</x:v>
      </x:c>
      <x:c r="B826" s="57" t="str">
        <x:v>Marcar lectura al abrir destino válido</x:v>
      </x:c>
      <x:c r="C826" s="62" t="str">
        <x:v>E</x:v>
      </x:c>
      <x:c r="D826" s="64" t="n">
        <x:f>'Detalle'!I403</x:f>
        <x:v>1</x:v>
      </x:c>
      <x:c r="E826" s="60" t="str">
        <x:f>'Detalle'!F403</x:f>
        <x:v>Completado</x:v>
      </x:c>
      <x:c r="F826" s="32" t="str">
        <x:f>IF(AND(F$8&lt;='Detalle'!$H403,F$9&gt;='Detalle'!$G403),1,"")</x:f>
      </x:c>
      <x:c r="G826" s="32" t="str">
        <x:f>IF(AND(G$8&lt;='Detalle'!$H403,G$9&gt;='Detalle'!$G403),1,"")</x:f>
      </x:c>
      <x:c r="H826" s="32" t="str">
        <x:f>IF(AND(H$8&lt;='Detalle'!$H403,H$9&gt;='Detalle'!$G403),1,"")</x:f>
      </x:c>
      <x:c r="I826" s="32" t="n">
        <x:f>IF(AND(I$8&lt;='Detalle'!$H403,I$9&gt;='Detalle'!$G403),1,"")</x:f>
        <x:v>1</x:v>
      </x:c>
      <x:c r="J826" s="32" t="str">
        <x:f>IF(AND(J$8&lt;='Detalle'!$H403,J$9&gt;='Detalle'!$G403),1,"")</x:f>
      </x:c>
      <x:c r="K826" s="32" t="str">
        <x:f>IF(AND(K$8&lt;='Detalle'!$H403,K$9&gt;='Detalle'!$G403),1,"")</x:f>
      </x:c>
      <x:c r="L826" s="32" t="str">
        <x:f>IF(AND(L$8&lt;='Detalle'!$H403,L$9&gt;='Detalle'!$G403),1,"")</x:f>
      </x:c>
      <x:c r="M826" s="32" t="str">
        <x:f>IF(AND(M$8&lt;='Detalle'!$H403,M$9&gt;='Detalle'!$G403),1,"")</x:f>
      </x:c>
      <x:c r="N826" s="32" t="str">
        <x:f>IF(AND(N$8&lt;='Detalle'!$H403,N$9&gt;='Detalle'!$G403),1,"")</x:f>
      </x:c>
      <x:c r="O826" s="32" t="str">
        <x:f>IF(AND(O$8&lt;='Detalle'!$H403,O$9&gt;='Detalle'!$G403),1,"")</x:f>
      </x:c>
      <x:c r="P826" s="32" t="str">
        <x:f>IF(AND(P$8&lt;='Detalle'!$H403,P$9&gt;='Detalle'!$G403),1,"")</x:f>
      </x:c>
      <x:c r="Q826" s="68"/>
      <x:c r="R826" s="67" t="str">
        <x:f>IF('Detalle'!M403="","",'Detalle'!M403)</x:f>
      </x:c>
      <x:c r="S826" s="67" t="str">
        <x:f>IF('Detalle'!N403="","",'Detalle'!N403)</x:f>
      </x:c>
    </x:row>
    <x:row r="827" ht="16" customHeight="1">
      <x:c r="A827" s="56" t="str">
        <x:v>SOC04.004</x:v>
      </x:c>
      <x:c r="B827" s="57" t="str">
        <x:v>Marcar lectura al abrir destino válido</x:v>
      </x:c>
      <x:c r="C827" s="63" t="str">
        <x:v>R</x:v>
      </x:c>
      <x:c r="D827" s="65" t="str">
        <x:f>IF('Detalle'!L403="","",'Detalle'!L403)</x:f>
      </x:c>
      <x:c r="E827" s="60" t="str"/>
      <x:c r="F827" s="32" t="str">
        <x:f>IF(OR('Detalle'!$J403="",'Detalle'!$K403="",'Detalle'!$L403=""),"",IF(AND(F$8&lt;='Detalle'!$K403,F$9&gt;='Detalle'!$J403),1,""))</x:f>
      </x:c>
      <x:c r="G827" s="32" t="str">
        <x:f>IF(OR('Detalle'!$J403="",'Detalle'!$K403="",'Detalle'!$L403=""),"",IF(AND(G$8&lt;='Detalle'!$K403,G$9&gt;='Detalle'!$J403),1,""))</x:f>
      </x:c>
      <x:c r="H827" s="32" t="str">
        <x:f>IF(OR('Detalle'!$J403="",'Detalle'!$K403="",'Detalle'!$L403=""),"",IF(AND(H$8&lt;='Detalle'!$K403,H$9&gt;='Detalle'!$J403),1,""))</x:f>
      </x:c>
      <x:c r="I827" s="32" t="str">
        <x:f>IF(OR('Detalle'!$J403="",'Detalle'!$K403="",'Detalle'!$L403=""),"",IF(AND(I$8&lt;='Detalle'!$K403,I$9&gt;='Detalle'!$J403),1,""))</x:f>
      </x:c>
      <x:c r="J827" s="32" t="str">
        <x:f>IF(OR('Detalle'!$J403="",'Detalle'!$K403="",'Detalle'!$L403=""),"",IF(AND(J$8&lt;='Detalle'!$K403,J$9&gt;='Detalle'!$J403),1,""))</x:f>
      </x:c>
      <x:c r="K827" s="32" t="str">
        <x:f>IF(OR('Detalle'!$J403="",'Detalle'!$K403="",'Detalle'!$L403=""),"",IF(AND(K$8&lt;='Detalle'!$K403,K$9&gt;='Detalle'!$J403),1,""))</x:f>
      </x:c>
      <x:c r="L827" s="32" t="str">
        <x:f>IF(OR('Detalle'!$J403="",'Detalle'!$K403="",'Detalle'!$L403=""),"",IF(AND(L$8&lt;='Detalle'!$K403,L$9&gt;='Detalle'!$J403),1,""))</x:f>
      </x:c>
      <x:c r="M827" s="32" t="str">
        <x:f>IF(OR('Detalle'!$J403="",'Detalle'!$K403="",'Detalle'!$L403=""),"",IF(AND(M$8&lt;='Detalle'!$K403,M$9&gt;='Detalle'!$J403),1,""))</x:f>
      </x:c>
      <x:c r="N827" s="32" t="str">
        <x:f>IF(OR('Detalle'!$J403="",'Detalle'!$K403="",'Detalle'!$L403=""),"",IF(AND(N$8&lt;='Detalle'!$K403,N$9&gt;='Detalle'!$J403),1,""))</x:f>
      </x:c>
      <x:c r="O827" s="32" t="str">
        <x:f>IF(OR('Detalle'!$J403="",'Detalle'!$K403="",'Detalle'!$L403=""),"",IF(AND(O$8&lt;='Detalle'!$K403,O$9&gt;='Detalle'!$J403),1,""))</x:f>
      </x:c>
      <x:c r="P827" s="32" t="str">
        <x:f>IF(OR('Detalle'!$J403="",'Detalle'!$K403="",'Detalle'!$L403=""),"",IF(AND(P$8&lt;='Detalle'!$K403,P$9&gt;='Detalle'!$J403),1,""))</x:f>
      </x:c>
      <x:c r="Q827" s="68"/>
      <x:c r="R827" s="67" t="str"/>
      <x:c r="S827" s="67" t="str"/>
    </x:row>
    <x:row r="828" ht="16" customHeight="1">
      <x:c r="A828" s="56" t="str">
        <x:v>SOC04.005</x:v>
      </x:c>
      <x:c r="B828" s="57" t="str">
        <x:v>Marcar todo con corte temporal de servidor</x:v>
      </x:c>
      <x:c r="C828" s="62" t="str">
        <x:v>E</x:v>
      </x:c>
      <x:c r="D828" s="64" t="n">
        <x:f>'Detalle'!I404</x:f>
        <x:v>1</x:v>
      </x:c>
      <x:c r="E828" s="60" t="str">
        <x:f>'Detalle'!F404</x:f>
        <x:v>Completado</x:v>
      </x:c>
      <x:c r="F828" s="32" t="str">
        <x:f>IF(AND(F$8&lt;='Detalle'!$H404,F$9&gt;='Detalle'!$G404),1,"")</x:f>
      </x:c>
      <x:c r="G828" s="32" t="str">
        <x:f>IF(AND(G$8&lt;='Detalle'!$H404,G$9&gt;='Detalle'!$G404),1,"")</x:f>
      </x:c>
      <x:c r="H828" s="32" t="str">
        <x:f>IF(AND(H$8&lt;='Detalle'!$H404,H$9&gt;='Detalle'!$G404),1,"")</x:f>
      </x:c>
      <x:c r="I828" s="32" t="n">
        <x:f>IF(AND(I$8&lt;='Detalle'!$H404,I$9&gt;='Detalle'!$G404),1,"")</x:f>
        <x:v>1</x:v>
      </x:c>
      <x:c r="J828" s="32" t="str">
        <x:f>IF(AND(J$8&lt;='Detalle'!$H404,J$9&gt;='Detalle'!$G404),1,"")</x:f>
      </x:c>
      <x:c r="K828" s="32" t="str">
        <x:f>IF(AND(K$8&lt;='Detalle'!$H404,K$9&gt;='Detalle'!$G404),1,"")</x:f>
      </x:c>
      <x:c r="L828" s="32" t="str">
        <x:f>IF(AND(L$8&lt;='Detalle'!$H404,L$9&gt;='Detalle'!$G404),1,"")</x:f>
      </x:c>
      <x:c r="M828" s="32" t="str">
        <x:f>IF(AND(M$8&lt;='Detalle'!$H404,M$9&gt;='Detalle'!$G404),1,"")</x:f>
      </x:c>
      <x:c r="N828" s="32" t="str">
        <x:f>IF(AND(N$8&lt;='Detalle'!$H404,N$9&gt;='Detalle'!$G404),1,"")</x:f>
      </x:c>
      <x:c r="O828" s="32" t="str">
        <x:f>IF(AND(O$8&lt;='Detalle'!$H404,O$9&gt;='Detalle'!$G404),1,"")</x:f>
      </x:c>
      <x:c r="P828" s="32" t="str">
        <x:f>IF(AND(P$8&lt;='Detalle'!$H404,P$9&gt;='Detalle'!$G404),1,"")</x:f>
      </x:c>
      <x:c r="Q828" s="68"/>
      <x:c r="R828" s="67" t="str">
        <x:f>IF('Detalle'!M404="","",'Detalle'!M404)</x:f>
      </x:c>
      <x:c r="S828" s="67" t="str">
        <x:f>IF('Detalle'!N404="","",'Detalle'!N404)</x:f>
      </x:c>
    </x:row>
    <x:row r="829" ht="16" customHeight="1">
      <x:c r="A829" s="56" t="str">
        <x:v>SOC04.005</x:v>
      </x:c>
      <x:c r="B829" s="57" t="str">
        <x:v>Marcar todo con corte temporal de servidor</x:v>
      </x:c>
      <x:c r="C829" s="63" t="str">
        <x:v>R</x:v>
      </x:c>
      <x:c r="D829" s="65" t="str">
        <x:f>IF('Detalle'!L404="","",'Detalle'!L404)</x:f>
      </x:c>
      <x:c r="E829" s="60" t="str"/>
      <x:c r="F829" s="32" t="str">
        <x:f>IF(OR('Detalle'!$J404="",'Detalle'!$K404="",'Detalle'!$L404=""),"",IF(AND(F$8&lt;='Detalle'!$K404,F$9&gt;='Detalle'!$J404),1,""))</x:f>
      </x:c>
      <x:c r="G829" s="32" t="str">
        <x:f>IF(OR('Detalle'!$J404="",'Detalle'!$K404="",'Detalle'!$L404=""),"",IF(AND(G$8&lt;='Detalle'!$K404,G$9&gt;='Detalle'!$J404),1,""))</x:f>
      </x:c>
      <x:c r="H829" s="32" t="str">
        <x:f>IF(OR('Detalle'!$J404="",'Detalle'!$K404="",'Detalle'!$L404=""),"",IF(AND(H$8&lt;='Detalle'!$K404,H$9&gt;='Detalle'!$J404),1,""))</x:f>
      </x:c>
      <x:c r="I829" s="32" t="str">
        <x:f>IF(OR('Detalle'!$J404="",'Detalle'!$K404="",'Detalle'!$L404=""),"",IF(AND(I$8&lt;='Detalle'!$K404,I$9&gt;='Detalle'!$J404),1,""))</x:f>
      </x:c>
      <x:c r="J829" s="32" t="str">
        <x:f>IF(OR('Detalle'!$J404="",'Detalle'!$K404="",'Detalle'!$L404=""),"",IF(AND(J$8&lt;='Detalle'!$K404,J$9&gt;='Detalle'!$J404),1,""))</x:f>
      </x:c>
      <x:c r="K829" s="32" t="str">
        <x:f>IF(OR('Detalle'!$J404="",'Detalle'!$K404="",'Detalle'!$L404=""),"",IF(AND(K$8&lt;='Detalle'!$K404,K$9&gt;='Detalle'!$J404),1,""))</x:f>
      </x:c>
      <x:c r="L829" s="32" t="str">
        <x:f>IF(OR('Detalle'!$J404="",'Detalle'!$K404="",'Detalle'!$L404=""),"",IF(AND(L$8&lt;='Detalle'!$K404,L$9&gt;='Detalle'!$J404),1,""))</x:f>
      </x:c>
      <x:c r="M829" s="32" t="str">
        <x:f>IF(OR('Detalle'!$J404="",'Detalle'!$K404="",'Detalle'!$L404=""),"",IF(AND(M$8&lt;='Detalle'!$K404,M$9&gt;='Detalle'!$J404),1,""))</x:f>
      </x:c>
      <x:c r="N829" s="32" t="str">
        <x:f>IF(OR('Detalle'!$J404="",'Detalle'!$K404="",'Detalle'!$L404=""),"",IF(AND(N$8&lt;='Detalle'!$K404,N$9&gt;='Detalle'!$J404),1,""))</x:f>
      </x:c>
      <x:c r="O829" s="32" t="str">
        <x:f>IF(OR('Detalle'!$J404="",'Detalle'!$K404="",'Detalle'!$L404=""),"",IF(AND(O$8&lt;='Detalle'!$K404,O$9&gt;='Detalle'!$J404),1,""))</x:f>
      </x:c>
      <x:c r="P829" s="32" t="str">
        <x:f>IF(OR('Detalle'!$J404="",'Detalle'!$K404="",'Detalle'!$L404=""),"",IF(AND(P$8&lt;='Detalle'!$K404,P$9&gt;='Detalle'!$J404),1,""))</x:f>
      </x:c>
      <x:c r="Q829" s="68"/>
      <x:c r="R829" s="67" t="str"/>
      <x:c r="S829" s="67" t="str"/>
    </x:row>
    <x:row r="830" ht="16" customHeight="1">
      <x:c r="A830" s="56" t="str">
        <x:v>SOC04.006</x:v>
      </x:c>
      <x:c r="B830" s="57" t="str">
        <x:v>Sincronizar bandeja mediante Realtime</x:v>
      </x:c>
      <x:c r="C830" s="62" t="str">
        <x:v>E</x:v>
      </x:c>
      <x:c r="D830" s="64" t="n">
        <x:f>'Detalle'!I405</x:f>
        <x:v>1</x:v>
      </x:c>
      <x:c r="E830" s="60" t="str">
        <x:f>'Detalle'!F405</x:f>
        <x:v>Completado</x:v>
      </x:c>
      <x:c r="F830" s="32" t="str">
        <x:f>IF(AND(F$8&lt;='Detalle'!$H405,F$9&gt;='Detalle'!$G405),1,"")</x:f>
      </x:c>
      <x:c r="G830" s="32" t="str">
        <x:f>IF(AND(G$8&lt;='Detalle'!$H405,G$9&gt;='Detalle'!$G405),1,"")</x:f>
      </x:c>
      <x:c r="H830" s="32" t="str">
        <x:f>IF(AND(H$8&lt;='Detalle'!$H405,H$9&gt;='Detalle'!$G405),1,"")</x:f>
      </x:c>
      <x:c r="I830" s="32" t="n">
        <x:f>IF(AND(I$8&lt;='Detalle'!$H405,I$9&gt;='Detalle'!$G405),1,"")</x:f>
        <x:v>1</x:v>
      </x:c>
      <x:c r="J830" s="32" t="str">
        <x:f>IF(AND(J$8&lt;='Detalle'!$H405,J$9&gt;='Detalle'!$G405),1,"")</x:f>
      </x:c>
      <x:c r="K830" s="32" t="str">
        <x:f>IF(AND(K$8&lt;='Detalle'!$H405,K$9&gt;='Detalle'!$G405),1,"")</x:f>
      </x:c>
      <x:c r="L830" s="32" t="str">
        <x:f>IF(AND(L$8&lt;='Detalle'!$H405,L$9&gt;='Detalle'!$G405),1,"")</x:f>
      </x:c>
      <x:c r="M830" s="32" t="str">
        <x:f>IF(AND(M$8&lt;='Detalle'!$H405,M$9&gt;='Detalle'!$G405),1,"")</x:f>
      </x:c>
      <x:c r="N830" s="32" t="str">
        <x:f>IF(AND(N$8&lt;='Detalle'!$H405,N$9&gt;='Detalle'!$G405),1,"")</x:f>
      </x:c>
      <x:c r="O830" s="32" t="str">
        <x:f>IF(AND(O$8&lt;='Detalle'!$H405,O$9&gt;='Detalle'!$G405),1,"")</x:f>
      </x:c>
      <x:c r="P830" s="32" t="str">
        <x:f>IF(AND(P$8&lt;='Detalle'!$H405,P$9&gt;='Detalle'!$G405),1,"")</x:f>
      </x:c>
      <x:c r="Q830" s="68"/>
      <x:c r="R830" s="67" t="str">
        <x:f>IF('Detalle'!M405="","",'Detalle'!M405)</x:f>
      </x:c>
      <x:c r="S830" s="67" t="str">
        <x:f>IF('Detalle'!N405="","",'Detalle'!N405)</x:f>
      </x:c>
    </x:row>
    <x:row r="831" ht="16" customHeight="1">
      <x:c r="A831" s="56" t="str">
        <x:v>SOC04.006</x:v>
      </x:c>
      <x:c r="B831" s="57" t="str">
        <x:v>Sincronizar bandeja mediante Realtime</x:v>
      </x:c>
      <x:c r="C831" s="63" t="str">
        <x:v>R</x:v>
      </x:c>
      <x:c r="D831" s="65" t="str">
        <x:f>IF('Detalle'!L405="","",'Detalle'!L405)</x:f>
      </x:c>
      <x:c r="E831" s="60" t="str"/>
      <x:c r="F831" s="32" t="str">
        <x:f>IF(OR('Detalle'!$J405="",'Detalle'!$K405="",'Detalle'!$L405=""),"",IF(AND(F$8&lt;='Detalle'!$K405,F$9&gt;='Detalle'!$J405),1,""))</x:f>
      </x:c>
      <x:c r="G831" s="32" t="str">
        <x:f>IF(OR('Detalle'!$J405="",'Detalle'!$K405="",'Detalle'!$L405=""),"",IF(AND(G$8&lt;='Detalle'!$K405,G$9&gt;='Detalle'!$J405),1,""))</x:f>
      </x:c>
      <x:c r="H831" s="32" t="str">
        <x:f>IF(OR('Detalle'!$J405="",'Detalle'!$K405="",'Detalle'!$L405=""),"",IF(AND(H$8&lt;='Detalle'!$K405,H$9&gt;='Detalle'!$J405),1,""))</x:f>
      </x:c>
      <x:c r="I831" s="32" t="str">
        <x:f>IF(OR('Detalle'!$J405="",'Detalle'!$K405="",'Detalle'!$L405=""),"",IF(AND(I$8&lt;='Detalle'!$K405,I$9&gt;='Detalle'!$J405),1,""))</x:f>
      </x:c>
      <x:c r="J831" s="32" t="str">
        <x:f>IF(OR('Detalle'!$J405="",'Detalle'!$K405="",'Detalle'!$L405=""),"",IF(AND(J$8&lt;='Detalle'!$K405,J$9&gt;='Detalle'!$J405),1,""))</x:f>
      </x:c>
      <x:c r="K831" s="32" t="str">
        <x:f>IF(OR('Detalle'!$J405="",'Detalle'!$K405="",'Detalle'!$L405=""),"",IF(AND(K$8&lt;='Detalle'!$K405,K$9&gt;='Detalle'!$J405),1,""))</x:f>
      </x:c>
      <x:c r="L831" s="32" t="str">
        <x:f>IF(OR('Detalle'!$J405="",'Detalle'!$K405="",'Detalle'!$L405=""),"",IF(AND(L$8&lt;='Detalle'!$K405,L$9&gt;='Detalle'!$J405),1,""))</x:f>
      </x:c>
      <x:c r="M831" s="32" t="str">
        <x:f>IF(OR('Detalle'!$J405="",'Detalle'!$K405="",'Detalle'!$L405=""),"",IF(AND(M$8&lt;='Detalle'!$K405,M$9&gt;='Detalle'!$J405),1,""))</x:f>
      </x:c>
      <x:c r="N831" s="32" t="str">
        <x:f>IF(OR('Detalle'!$J405="",'Detalle'!$K405="",'Detalle'!$L405=""),"",IF(AND(N$8&lt;='Detalle'!$K405,N$9&gt;='Detalle'!$J405),1,""))</x:f>
      </x:c>
      <x:c r="O831" s="32" t="str">
        <x:f>IF(OR('Detalle'!$J405="",'Detalle'!$K405="",'Detalle'!$L405=""),"",IF(AND(O$8&lt;='Detalle'!$K405,O$9&gt;='Detalle'!$J405),1,""))</x:f>
      </x:c>
      <x:c r="P831" s="32" t="str">
        <x:f>IF(OR('Detalle'!$J405="",'Detalle'!$K405="",'Detalle'!$L405=""),"",IF(AND(P$8&lt;='Detalle'!$K405,P$9&gt;='Detalle'!$J405),1,""))</x:f>
      </x:c>
      <x:c r="Q831" s="68"/>
      <x:c r="R831" s="67" t="str"/>
      <x:c r="S831" s="67" t="str"/>
    </x:row>
    <x:row r="832" ht="16" customHeight="1">
      <x:c r="A832" s="56" t="str">
        <x:v>SOC04.007</x:v>
      </x:c>
      <x:c r="B832" s="57" t="str">
        <x:v>Recargar bandeja al abrir o reanudar</x:v>
      </x:c>
      <x:c r="C832" s="62" t="str">
        <x:v>E</x:v>
      </x:c>
      <x:c r="D832" s="64" t="n">
        <x:f>'Detalle'!I406</x:f>
        <x:v>1</x:v>
      </x:c>
      <x:c r="E832" s="60" t="str">
        <x:f>'Detalle'!F406</x:f>
        <x:v>Completado</x:v>
      </x:c>
      <x:c r="F832" s="32" t="str">
        <x:f>IF(AND(F$8&lt;='Detalle'!$H406,F$9&gt;='Detalle'!$G406),1,"")</x:f>
      </x:c>
      <x:c r="G832" s="32" t="str">
        <x:f>IF(AND(G$8&lt;='Detalle'!$H406,G$9&gt;='Detalle'!$G406),1,"")</x:f>
      </x:c>
      <x:c r="H832" s="32" t="str">
        <x:f>IF(AND(H$8&lt;='Detalle'!$H406,H$9&gt;='Detalle'!$G406),1,"")</x:f>
      </x:c>
      <x:c r="I832" s="32" t="n">
        <x:f>IF(AND(I$8&lt;='Detalle'!$H406,I$9&gt;='Detalle'!$G406),1,"")</x:f>
        <x:v>1</x:v>
      </x:c>
      <x:c r="J832" s="32" t="str">
        <x:f>IF(AND(J$8&lt;='Detalle'!$H406,J$9&gt;='Detalle'!$G406),1,"")</x:f>
      </x:c>
      <x:c r="K832" s="32" t="str">
        <x:f>IF(AND(K$8&lt;='Detalle'!$H406,K$9&gt;='Detalle'!$G406),1,"")</x:f>
      </x:c>
      <x:c r="L832" s="32" t="str">
        <x:f>IF(AND(L$8&lt;='Detalle'!$H406,L$9&gt;='Detalle'!$G406),1,"")</x:f>
      </x:c>
      <x:c r="M832" s="32" t="str">
        <x:f>IF(AND(M$8&lt;='Detalle'!$H406,M$9&gt;='Detalle'!$G406),1,"")</x:f>
      </x:c>
      <x:c r="N832" s="32" t="str">
        <x:f>IF(AND(N$8&lt;='Detalle'!$H406,N$9&gt;='Detalle'!$G406),1,"")</x:f>
      </x:c>
      <x:c r="O832" s="32" t="str">
        <x:f>IF(AND(O$8&lt;='Detalle'!$H406,O$9&gt;='Detalle'!$G406),1,"")</x:f>
      </x:c>
      <x:c r="P832" s="32" t="str">
        <x:f>IF(AND(P$8&lt;='Detalle'!$H406,P$9&gt;='Detalle'!$G406),1,"")</x:f>
      </x:c>
      <x:c r="Q832" s="68"/>
      <x:c r="R832" s="67" t="str">
        <x:f>IF('Detalle'!M406="","",'Detalle'!M406)</x:f>
      </x:c>
      <x:c r="S832" s="67" t="str">
        <x:f>IF('Detalle'!N406="","",'Detalle'!N406)</x:f>
      </x:c>
    </x:row>
    <x:row r="833" ht="16" customHeight="1">
      <x:c r="A833" s="56" t="str">
        <x:v>SOC04.007</x:v>
      </x:c>
      <x:c r="B833" s="57" t="str">
        <x:v>Recargar bandeja al abrir o reanudar</x:v>
      </x:c>
      <x:c r="C833" s="63" t="str">
        <x:v>R</x:v>
      </x:c>
      <x:c r="D833" s="65" t="str">
        <x:f>IF('Detalle'!L406="","",'Detalle'!L406)</x:f>
      </x:c>
      <x:c r="E833" s="60" t="str"/>
      <x:c r="F833" s="32" t="str">
        <x:f>IF(OR('Detalle'!$J406="",'Detalle'!$K406="",'Detalle'!$L406=""),"",IF(AND(F$8&lt;='Detalle'!$K406,F$9&gt;='Detalle'!$J406),1,""))</x:f>
      </x:c>
      <x:c r="G833" s="32" t="str">
        <x:f>IF(OR('Detalle'!$J406="",'Detalle'!$K406="",'Detalle'!$L406=""),"",IF(AND(G$8&lt;='Detalle'!$K406,G$9&gt;='Detalle'!$J406),1,""))</x:f>
      </x:c>
      <x:c r="H833" s="32" t="str">
        <x:f>IF(OR('Detalle'!$J406="",'Detalle'!$K406="",'Detalle'!$L406=""),"",IF(AND(H$8&lt;='Detalle'!$K406,H$9&gt;='Detalle'!$J406),1,""))</x:f>
      </x:c>
      <x:c r="I833" s="32" t="str">
        <x:f>IF(OR('Detalle'!$J406="",'Detalle'!$K406="",'Detalle'!$L406=""),"",IF(AND(I$8&lt;='Detalle'!$K406,I$9&gt;='Detalle'!$J406),1,""))</x:f>
      </x:c>
      <x:c r="J833" s="32" t="str">
        <x:f>IF(OR('Detalle'!$J406="",'Detalle'!$K406="",'Detalle'!$L406=""),"",IF(AND(J$8&lt;='Detalle'!$K406,J$9&gt;='Detalle'!$J406),1,""))</x:f>
      </x:c>
      <x:c r="K833" s="32" t="str">
        <x:f>IF(OR('Detalle'!$J406="",'Detalle'!$K406="",'Detalle'!$L406=""),"",IF(AND(K$8&lt;='Detalle'!$K406,K$9&gt;='Detalle'!$J406),1,""))</x:f>
      </x:c>
      <x:c r="L833" s="32" t="str">
        <x:f>IF(OR('Detalle'!$J406="",'Detalle'!$K406="",'Detalle'!$L406=""),"",IF(AND(L$8&lt;='Detalle'!$K406,L$9&gt;='Detalle'!$J406),1,""))</x:f>
      </x:c>
      <x:c r="M833" s="32" t="str">
        <x:f>IF(OR('Detalle'!$J406="",'Detalle'!$K406="",'Detalle'!$L406=""),"",IF(AND(M$8&lt;='Detalle'!$K406,M$9&gt;='Detalle'!$J406),1,""))</x:f>
      </x:c>
      <x:c r="N833" s="32" t="str">
        <x:f>IF(OR('Detalle'!$J406="",'Detalle'!$K406="",'Detalle'!$L406=""),"",IF(AND(N$8&lt;='Detalle'!$K406,N$9&gt;='Detalle'!$J406),1,""))</x:f>
      </x:c>
      <x:c r="O833" s="32" t="str">
        <x:f>IF(OR('Detalle'!$J406="",'Detalle'!$K406="",'Detalle'!$L406=""),"",IF(AND(O$8&lt;='Detalle'!$K406,O$9&gt;='Detalle'!$J406),1,""))</x:f>
      </x:c>
      <x:c r="P833" s="32" t="str">
        <x:f>IF(OR('Detalle'!$J406="",'Detalle'!$K406="",'Detalle'!$L406=""),"",IF(AND(P$8&lt;='Detalle'!$K406,P$9&gt;='Detalle'!$J406),1,""))</x:f>
      </x:c>
      <x:c r="Q833" s="68"/>
      <x:c r="R833" s="67" t="str"/>
      <x:c r="S833" s="67" t="str"/>
    </x:row>
    <x:row r="834" ht="16" customHeight="1">
      <x:c r="A834" s="56" t="str">
        <x:v>SOC04.008</x:v>
      </x:c>
      <x:c r="B834" s="57" t="str">
        <x:v>Limpiar controlador al cerrar sesión</x:v>
      </x:c>
      <x:c r="C834" s="62" t="str">
        <x:v>E</x:v>
      </x:c>
      <x:c r="D834" s="64" t="n">
        <x:f>'Detalle'!I407</x:f>
        <x:v>1</x:v>
      </x:c>
      <x:c r="E834" s="60" t="str">
        <x:f>'Detalle'!F407</x:f>
        <x:v>Completado</x:v>
      </x:c>
      <x:c r="F834" s="32" t="str">
        <x:f>IF(AND(F$8&lt;='Detalle'!$H407,F$9&gt;='Detalle'!$G407),1,"")</x:f>
      </x:c>
      <x:c r="G834" s="32" t="str">
        <x:f>IF(AND(G$8&lt;='Detalle'!$H407,G$9&gt;='Detalle'!$G407),1,"")</x:f>
      </x:c>
      <x:c r="H834" s="32" t="str">
        <x:f>IF(AND(H$8&lt;='Detalle'!$H407,H$9&gt;='Detalle'!$G407),1,"")</x:f>
      </x:c>
      <x:c r="I834" s="32" t="n">
        <x:f>IF(AND(I$8&lt;='Detalle'!$H407,I$9&gt;='Detalle'!$G407),1,"")</x:f>
        <x:v>1</x:v>
      </x:c>
      <x:c r="J834" s="32" t="str">
        <x:f>IF(AND(J$8&lt;='Detalle'!$H407,J$9&gt;='Detalle'!$G407),1,"")</x:f>
      </x:c>
      <x:c r="K834" s="32" t="str">
        <x:f>IF(AND(K$8&lt;='Detalle'!$H407,K$9&gt;='Detalle'!$G407),1,"")</x:f>
      </x:c>
      <x:c r="L834" s="32" t="str">
        <x:f>IF(AND(L$8&lt;='Detalle'!$H407,L$9&gt;='Detalle'!$G407),1,"")</x:f>
      </x:c>
      <x:c r="M834" s="32" t="str">
        <x:f>IF(AND(M$8&lt;='Detalle'!$H407,M$9&gt;='Detalle'!$G407),1,"")</x:f>
      </x:c>
      <x:c r="N834" s="32" t="str">
        <x:f>IF(AND(N$8&lt;='Detalle'!$H407,N$9&gt;='Detalle'!$G407),1,"")</x:f>
      </x:c>
      <x:c r="O834" s="32" t="str">
        <x:f>IF(AND(O$8&lt;='Detalle'!$H407,O$9&gt;='Detalle'!$G407),1,"")</x:f>
      </x:c>
      <x:c r="P834" s="32" t="str">
        <x:f>IF(AND(P$8&lt;='Detalle'!$H407,P$9&gt;='Detalle'!$G407),1,"")</x:f>
      </x:c>
      <x:c r="Q834" s="68"/>
      <x:c r="R834" s="67" t="str">
        <x:f>IF('Detalle'!M407="","",'Detalle'!M407)</x:f>
      </x:c>
      <x:c r="S834" s="67" t="str">
        <x:f>IF('Detalle'!N407="","",'Detalle'!N407)</x:f>
      </x:c>
    </x:row>
    <x:row r="835" ht="16" customHeight="1">
      <x:c r="A835" s="56" t="str">
        <x:v>SOC04.008</x:v>
      </x:c>
      <x:c r="B835" s="57" t="str">
        <x:v>Limpiar controlador al cerrar sesión</x:v>
      </x:c>
      <x:c r="C835" s="63" t="str">
        <x:v>R</x:v>
      </x:c>
      <x:c r="D835" s="65" t="str">
        <x:f>IF('Detalle'!L407="","",'Detalle'!L407)</x:f>
      </x:c>
      <x:c r="E835" s="60" t="str"/>
      <x:c r="F835" s="32" t="str">
        <x:f>IF(OR('Detalle'!$J407="",'Detalle'!$K407="",'Detalle'!$L407=""),"",IF(AND(F$8&lt;='Detalle'!$K407,F$9&gt;='Detalle'!$J407),1,""))</x:f>
      </x:c>
      <x:c r="G835" s="32" t="str">
        <x:f>IF(OR('Detalle'!$J407="",'Detalle'!$K407="",'Detalle'!$L407=""),"",IF(AND(G$8&lt;='Detalle'!$K407,G$9&gt;='Detalle'!$J407),1,""))</x:f>
      </x:c>
      <x:c r="H835" s="32" t="str">
        <x:f>IF(OR('Detalle'!$J407="",'Detalle'!$K407="",'Detalle'!$L407=""),"",IF(AND(H$8&lt;='Detalle'!$K407,H$9&gt;='Detalle'!$J407),1,""))</x:f>
      </x:c>
      <x:c r="I835" s="32" t="str">
        <x:f>IF(OR('Detalle'!$J407="",'Detalle'!$K407="",'Detalle'!$L407=""),"",IF(AND(I$8&lt;='Detalle'!$K407,I$9&gt;='Detalle'!$J407),1,""))</x:f>
      </x:c>
      <x:c r="J835" s="32" t="str">
        <x:f>IF(OR('Detalle'!$J407="",'Detalle'!$K407="",'Detalle'!$L407=""),"",IF(AND(J$8&lt;='Detalle'!$K407,J$9&gt;='Detalle'!$J407),1,""))</x:f>
      </x:c>
      <x:c r="K835" s="32" t="str">
        <x:f>IF(OR('Detalle'!$J407="",'Detalle'!$K407="",'Detalle'!$L407=""),"",IF(AND(K$8&lt;='Detalle'!$K407,K$9&gt;='Detalle'!$J407),1,""))</x:f>
      </x:c>
      <x:c r="L835" s="32" t="str">
        <x:f>IF(OR('Detalle'!$J407="",'Detalle'!$K407="",'Detalle'!$L407=""),"",IF(AND(L$8&lt;='Detalle'!$K407,L$9&gt;='Detalle'!$J407),1,""))</x:f>
      </x:c>
      <x:c r="M835" s="32" t="str">
        <x:f>IF(OR('Detalle'!$J407="",'Detalle'!$K407="",'Detalle'!$L407=""),"",IF(AND(M$8&lt;='Detalle'!$K407,M$9&gt;='Detalle'!$J407),1,""))</x:f>
      </x:c>
      <x:c r="N835" s="32" t="str">
        <x:f>IF(OR('Detalle'!$J407="",'Detalle'!$K407="",'Detalle'!$L407=""),"",IF(AND(N$8&lt;='Detalle'!$K407,N$9&gt;='Detalle'!$J407),1,""))</x:f>
      </x:c>
      <x:c r="O835" s="32" t="str">
        <x:f>IF(OR('Detalle'!$J407="",'Detalle'!$K407="",'Detalle'!$L407=""),"",IF(AND(O$8&lt;='Detalle'!$K407,O$9&gt;='Detalle'!$J407),1,""))</x:f>
      </x:c>
      <x:c r="P835" s="32" t="str">
        <x:f>IF(OR('Detalle'!$J407="",'Detalle'!$K407="",'Detalle'!$L407=""),"",IF(AND(P$8&lt;='Detalle'!$K407,P$9&gt;='Detalle'!$J407),1,""))</x:f>
      </x:c>
      <x:c r="Q835" s="68"/>
      <x:c r="R835" s="67" t="str"/>
      <x:c r="S835" s="67" t="str"/>
    </x:row>
    <x:row r="836" ht="16" customHeight="1">
      <x:c r="A836" s="56" t="str">
        <x:v>SOC04.009</x:v>
      </x:c>
      <x:c r="B836" s="57" t="str">
        <x:v>Evitar autonotificaciones</x:v>
      </x:c>
      <x:c r="C836" s="62" t="str">
        <x:v>E</x:v>
      </x:c>
      <x:c r="D836" s="64" t="n">
        <x:f>'Detalle'!I408</x:f>
        <x:v>1</x:v>
      </x:c>
      <x:c r="E836" s="60" t="str">
        <x:f>'Detalle'!F408</x:f>
        <x:v>Completado</x:v>
      </x:c>
      <x:c r="F836" s="32" t="str">
        <x:f>IF(AND(F$8&lt;='Detalle'!$H408,F$9&gt;='Detalle'!$G408),1,"")</x:f>
      </x:c>
      <x:c r="G836" s="32" t="str">
        <x:f>IF(AND(G$8&lt;='Detalle'!$H408,G$9&gt;='Detalle'!$G408),1,"")</x:f>
      </x:c>
      <x:c r="H836" s="32" t="str">
        <x:f>IF(AND(H$8&lt;='Detalle'!$H408,H$9&gt;='Detalle'!$G408),1,"")</x:f>
      </x:c>
      <x:c r="I836" s="32" t="n">
        <x:f>IF(AND(I$8&lt;='Detalle'!$H408,I$9&gt;='Detalle'!$G408),1,"")</x:f>
        <x:v>1</x:v>
      </x:c>
      <x:c r="J836" s="32" t="str">
        <x:f>IF(AND(J$8&lt;='Detalle'!$H408,J$9&gt;='Detalle'!$G408),1,"")</x:f>
      </x:c>
      <x:c r="K836" s="32" t="str">
        <x:f>IF(AND(K$8&lt;='Detalle'!$H408,K$9&gt;='Detalle'!$G408),1,"")</x:f>
      </x:c>
      <x:c r="L836" s="32" t="str">
        <x:f>IF(AND(L$8&lt;='Detalle'!$H408,L$9&gt;='Detalle'!$G408),1,"")</x:f>
      </x:c>
      <x:c r="M836" s="32" t="str">
        <x:f>IF(AND(M$8&lt;='Detalle'!$H408,M$9&gt;='Detalle'!$G408),1,"")</x:f>
      </x:c>
      <x:c r="N836" s="32" t="str">
        <x:f>IF(AND(N$8&lt;='Detalle'!$H408,N$9&gt;='Detalle'!$G408),1,"")</x:f>
      </x:c>
      <x:c r="O836" s="32" t="str">
        <x:f>IF(AND(O$8&lt;='Detalle'!$H408,O$9&gt;='Detalle'!$G408),1,"")</x:f>
      </x:c>
      <x:c r="P836" s="32" t="str">
        <x:f>IF(AND(P$8&lt;='Detalle'!$H408,P$9&gt;='Detalle'!$G408),1,"")</x:f>
      </x:c>
      <x:c r="Q836" s="68"/>
      <x:c r="R836" s="67" t="str">
        <x:f>IF('Detalle'!M408="","",'Detalle'!M408)</x:f>
      </x:c>
      <x:c r="S836" s="67" t="str">
        <x:f>IF('Detalle'!N408="","",'Detalle'!N408)</x:f>
      </x:c>
    </x:row>
    <x:row r="837" ht="16" customHeight="1">
      <x:c r="A837" s="56" t="str">
        <x:v>SOC04.009</x:v>
      </x:c>
      <x:c r="B837" s="57" t="str">
        <x:v>Evitar autonotificaciones</x:v>
      </x:c>
      <x:c r="C837" s="63" t="str">
        <x:v>R</x:v>
      </x:c>
      <x:c r="D837" s="65" t="str">
        <x:f>IF('Detalle'!L408="","",'Detalle'!L408)</x:f>
      </x:c>
      <x:c r="E837" s="60" t="str"/>
      <x:c r="F837" s="32" t="str">
        <x:f>IF(OR('Detalle'!$J408="",'Detalle'!$K408="",'Detalle'!$L408=""),"",IF(AND(F$8&lt;='Detalle'!$K408,F$9&gt;='Detalle'!$J408),1,""))</x:f>
      </x:c>
      <x:c r="G837" s="32" t="str">
        <x:f>IF(OR('Detalle'!$J408="",'Detalle'!$K408="",'Detalle'!$L408=""),"",IF(AND(G$8&lt;='Detalle'!$K408,G$9&gt;='Detalle'!$J408),1,""))</x:f>
      </x:c>
      <x:c r="H837" s="32" t="str">
        <x:f>IF(OR('Detalle'!$J408="",'Detalle'!$K408="",'Detalle'!$L408=""),"",IF(AND(H$8&lt;='Detalle'!$K408,H$9&gt;='Detalle'!$J408),1,""))</x:f>
      </x:c>
      <x:c r="I837" s="32" t="str">
        <x:f>IF(OR('Detalle'!$J408="",'Detalle'!$K408="",'Detalle'!$L408=""),"",IF(AND(I$8&lt;='Detalle'!$K408,I$9&gt;='Detalle'!$J408),1,""))</x:f>
      </x:c>
      <x:c r="J837" s="32" t="str">
        <x:f>IF(OR('Detalle'!$J408="",'Detalle'!$K408="",'Detalle'!$L408=""),"",IF(AND(J$8&lt;='Detalle'!$K408,J$9&gt;='Detalle'!$J408),1,""))</x:f>
      </x:c>
      <x:c r="K837" s="32" t="str">
        <x:f>IF(OR('Detalle'!$J408="",'Detalle'!$K408="",'Detalle'!$L408=""),"",IF(AND(K$8&lt;='Detalle'!$K408,K$9&gt;='Detalle'!$J408),1,""))</x:f>
      </x:c>
      <x:c r="L837" s="32" t="str">
        <x:f>IF(OR('Detalle'!$J408="",'Detalle'!$K408="",'Detalle'!$L408=""),"",IF(AND(L$8&lt;='Detalle'!$K408,L$9&gt;='Detalle'!$J408),1,""))</x:f>
      </x:c>
      <x:c r="M837" s="32" t="str">
        <x:f>IF(OR('Detalle'!$J408="",'Detalle'!$K408="",'Detalle'!$L408=""),"",IF(AND(M$8&lt;='Detalle'!$K408,M$9&gt;='Detalle'!$J408),1,""))</x:f>
      </x:c>
      <x:c r="N837" s="32" t="str">
        <x:f>IF(OR('Detalle'!$J408="",'Detalle'!$K408="",'Detalle'!$L408=""),"",IF(AND(N$8&lt;='Detalle'!$K408,N$9&gt;='Detalle'!$J408),1,""))</x:f>
      </x:c>
      <x:c r="O837" s="32" t="str">
        <x:f>IF(OR('Detalle'!$J408="",'Detalle'!$K408="",'Detalle'!$L408=""),"",IF(AND(O$8&lt;='Detalle'!$K408,O$9&gt;='Detalle'!$J408),1,""))</x:f>
      </x:c>
      <x:c r="P837" s="32" t="str">
        <x:f>IF(OR('Detalle'!$J408="",'Detalle'!$K408="",'Detalle'!$L408=""),"",IF(AND(P$8&lt;='Detalle'!$K408,P$9&gt;='Detalle'!$J408),1,""))</x:f>
      </x:c>
      <x:c r="Q837" s="68"/>
      <x:c r="R837" s="67" t="str"/>
      <x:c r="S837" s="67" t="str"/>
    </x:row>
    <x:row r="838" ht="16" customHeight="1">
      <x:c r="A838" s="56" t="str">
        <x:v>SOC04.010</x:v>
      </x:c>
      <x:c r="B838" s="57" t="str">
        <x:v>Actualizar evento al cambiar reacción</x:v>
      </x:c>
      <x:c r="C838" s="62" t="str">
        <x:v>E</x:v>
      </x:c>
      <x:c r="D838" s="64" t="n">
        <x:f>'Detalle'!I409</x:f>
        <x:v>1</x:v>
      </x:c>
      <x:c r="E838" s="60" t="str">
        <x:f>'Detalle'!F409</x:f>
        <x:v>Completado</x:v>
      </x:c>
      <x:c r="F838" s="32" t="str">
        <x:f>IF(AND(F$8&lt;='Detalle'!$H409,F$9&gt;='Detalle'!$G409),1,"")</x:f>
      </x:c>
      <x:c r="G838" s="32" t="str">
        <x:f>IF(AND(G$8&lt;='Detalle'!$H409,G$9&gt;='Detalle'!$G409),1,"")</x:f>
      </x:c>
      <x:c r="H838" s="32" t="str">
        <x:f>IF(AND(H$8&lt;='Detalle'!$H409,H$9&gt;='Detalle'!$G409),1,"")</x:f>
      </x:c>
      <x:c r="I838" s="32" t="n">
        <x:f>IF(AND(I$8&lt;='Detalle'!$H409,I$9&gt;='Detalle'!$G409),1,"")</x:f>
        <x:v>1</x:v>
      </x:c>
      <x:c r="J838" s="32" t="str">
        <x:f>IF(AND(J$8&lt;='Detalle'!$H409,J$9&gt;='Detalle'!$G409),1,"")</x:f>
      </x:c>
      <x:c r="K838" s="32" t="str">
        <x:f>IF(AND(K$8&lt;='Detalle'!$H409,K$9&gt;='Detalle'!$G409),1,"")</x:f>
      </x:c>
      <x:c r="L838" s="32" t="str">
        <x:f>IF(AND(L$8&lt;='Detalle'!$H409,L$9&gt;='Detalle'!$G409),1,"")</x:f>
      </x:c>
      <x:c r="M838" s="32" t="str">
        <x:f>IF(AND(M$8&lt;='Detalle'!$H409,M$9&gt;='Detalle'!$G409),1,"")</x:f>
      </x:c>
      <x:c r="N838" s="32" t="str">
        <x:f>IF(AND(N$8&lt;='Detalle'!$H409,N$9&gt;='Detalle'!$G409),1,"")</x:f>
      </x:c>
      <x:c r="O838" s="32" t="str">
        <x:f>IF(AND(O$8&lt;='Detalle'!$H409,O$9&gt;='Detalle'!$G409),1,"")</x:f>
      </x:c>
      <x:c r="P838" s="32" t="str">
        <x:f>IF(AND(P$8&lt;='Detalle'!$H409,P$9&gt;='Detalle'!$G409),1,"")</x:f>
      </x:c>
      <x:c r="Q838" s="68"/>
      <x:c r="R838" s="67" t="str">
        <x:f>IF('Detalle'!M409="","",'Detalle'!M409)</x:f>
      </x:c>
      <x:c r="S838" s="67" t="str">
        <x:f>IF('Detalle'!N409="","",'Detalle'!N409)</x:f>
      </x:c>
    </x:row>
    <x:row r="839" ht="16" customHeight="1">
      <x:c r="A839" s="56" t="str">
        <x:v>SOC04.010</x:v>
      </x:c>
      <x:c r="B839" s="57" t="str">
        <x:v>Actualizar evento al cambiar reacción</x:v>
      </x:c>
      <x:c r="C839" s="63" t="str">
        <x:v>R</x:v>
      </x:c>
      <x:c r="D839" s="65" t="str">
        <x:f>IF('Detalle'!L409="","",'Detalle'!L409)</x:f>
      </x:c>
      <x:c r="E839" s="60" t="str"/>
      <x:c r="F839" s="32" t="str">
        <x:f>IF(OR('Detalle'!$J409="",'Detalle'!$K409="",'Detalle'!$L409=""),"",IF(AND(F$8&lt;='Detalle'!$K409,F$9&gt;='Detalle'!$J409),1,""))</x:f>
      </x:c>
      <x:c r="G839" s="32" t="str">
        <x:f>IF(OR('Detalle'!$J409="",'Detalle'!$K409="",'Detalle'!$L409=""),"",IF(AND(G$8&lt;='Detalle'!$K409,G$9&gt;='Detalle'!$J409),1,""))</x:f>
      </x:c>
      <x:c r="H839" s="32" t="str">
        <x:f>IF(OR('Detalle'!$J409="",'Detalle'!$K409="",'Detalle'!$L409=""),"",IF(AND(H$8&lt;='Detalle'!$K409,H$9&gt;='Detalle'!$J409),1,""))</x:f>
      </x:c>
      <x:c r="I839" s="32" t="str">
        <x:f>IF(OR('Detalle'!$J409="",'Detalle'!$K409="",'Detalle'!$L409=""),"",IF(AND(I$8&lt;='Detalle'!$K409,I$9&gt;='Detalle'!$J409),1,""))</x:f>
      </x:c>
      <x:c r="J839" s="32" t="str">
        <x:f>IF(OR('Detalle'!$J409="",'Detalle'!$K409="",'Detalle'!$L409=""),"",IF(AND(J$8&lt;='Detalle'!$K409,J$9&gt;='Detalle'!$J409),1,""))</x:f>
      </x:c>
      <x:c r="K839" s="32" t="str">
        <x:f>IF(OR('Detalle'!$J409="",'Detalle'!$K409="",'Detalle'!$L409=""),"",IF(AND(K$8&lt;='Detalle'!$K409,K$9&gt;='Detalle'!$J409),1,""))</x:f>
      </x:c>
      <x:c r="L839" s="32" t="str">
        <x:f>IF(OR('Detalle'!$J409="",'Detalle'!$K409="",'Detalle'!$L409=""),"",IF(AND(L$8&lt;='Detalle'!$K409,L$9&gt;='Detalle'!$J409),1,""))</x:f>
      </x:c>
      <x:c r="M839" s="32" t="str">
        <x:f>IF(OR('Detalle'!$J409="",'Detalle'!$K409="",'Detalle'!$L409=""),"",IF(AND(M$8&lt;='Detalle'!$K409,M$9&gt;='Detalle'!$J409),1,""))</x:f>
      </x:c>
      <x:c r="N839" s="32" t="str">
        <x:f>IF(OR('Detalle'!$J409="",'Detalle'!$K409="",'Detalle'!$L409=""),"",IF(AND(N$8&lt;='Detalle'!$K409,N$9&gt;='Detalle'!$J409),1,""))</x:f>
      </x:c>
      <x:c r="O839" s="32" t="str">
        <x:f>IF(OR('Detalle'!$J409="",'Detalle'!$K409="",'Detalle'!$L409=""),"",IF(AND(O$8&lt;='Detalle'!$K409,O$9&gt;='Detalle'!$J409),1,""))</x:f>
      </x:c>
      <x:c r="P839" s="32" t="str">
        <x:f>IF(OR('Detalle'!$J409="",'Detalle'!$K409="",'Detalle'!$L409=""),"",IF(AND(P$8&lt;='Detalle'!$K409,P$9&gt;='Detalle'!$J409),1,""))</x:f>
      </x:c>
      <x:c r="Q839" s="68"/>
      <x:c r="R839" s="67" t="str"/>
      <x:c r="S839" s="67" t="str"/>
    </x:row>
    <x:row r="840" ht="16" customHeight="1">
      <x:c r="A840" s="56" t="str">
        <x:v>SOC04.011</x:v>
      </x:c>
      <x:c r="B840" s="57" t="str">
        <x:v>Eliminar evento al retirar reacción</x:v>
      </x:c>
      <x:c r="C840" s="62" t="str">
        <x:v>E</x:v>
      </x:c>
      <x:c r="D840" s="64" t="n">
        <x:f>'Detalle'!I410</x:f>
        <x:v>1</x:v>
      </x:c>
      <x:c r="E840" s="60" t="str">
        <x:f>'Detalle'!F410</x:f>
        <x:v>Completado</x:v>
      </x:c>
      <x:c r="F840" s="32" t="str">
        <x:f>IF(AND(F$8&lt;='Detalle'!$H410,F$9&gt;='Detalle'!$G410),1,"")</x:f>
      </x:c>
      <x:c r="G840" s="32" t="str">
        <x:f>IF(AND(G$8&lt;='Detalle'!$H410,G$9&gt;='Detalle'!$G410),1,"")</x:f>
      </x:c>
      <x:c r="H840" s="32" t="str">
        <x:f>IF(AND(H$8&lt;='Detalle'!$H410,H$9&gt;='Detalle'!$G410),1,"")</x:f>
      </x:c>
      <x:c r="I840" s="32" t="n">
        <x:f>IF(AND(I$8&lt;='Detalle'!$H410,I$9&gt;='Detalle'!$G410),1,"")</x:f>
        <x:v>1</x:v>
      </x:c>
      <x:c r="J840" s="32" t="str">
        <x:f>IF(AND(J$8&lt;='Detalle'!$H410,J$9&gt;='Detalle'!$G410),1,"")</x:f>
      </x:c>
      <x:c r="K840" s="32" t="str">
        <x:f>IF(AND(K$8&lt;='Detalle'!$H410,K$9&gt;='Detalle'!$G410),1,"")</x:f>
      </x:c>
      <x:c r="L840" s="32" t="str">
        <x:f>IF(AND(L$8&lt;='Detalle'!$H410,L$9&gt;='Detalle'!$G410),1,"")</x:f>
      </x:c>
      <x:c r="M840" s="32" t="str">
        <x:f>IF(AND(M$8&lt;='Detalle'!$H410,M$9&gt;='Detalle'!$G410),1,"")</x:f>
      </x:c>
      <x:c r="N840" s="32" t="str">
        <x:f>IF(AND(N$8&lt;='Detalle'!$H410,N$9&gt;='Detalle'!$G410),1,"")</x:f>
      </x:c>
      <x:c r="O840" s="32" t="str">
        <x:f>IF(AND(O$8&lt;='Detalle'!$H410,O$9&gt;='Detalle'!$G410),1,"")</x:f>
      </x:c>
      <x:c r="P840" s="32" t="str">
        <x:f>IF(AND(P$8&lt;='Detalle'!$H410,P$9&gt;='Detalle'!$G410),1,"")</x:f>
      </x:c>
      <x:c r="Q840" s="68"/>
      <x:c r="R840" s="67" t="str">
        <x:f>IF('Detalle'!M410="","",'Detalle'!M410)</x:f>
      </x:c>
      <x:c r="S840" s="67" t="str">
        <x:f>IF('Detalle'!N410="","",'Detalle'!N410)</x:f>
      </x:c>
    </x:row>
    <x:row r="841" ht="16" customHeight="1">
      <x:c r="A841" s="56" t="str">
        <x:v>SOC04.011</x:v>
      </x:c>
      <x:c r="B841" s="57" t="str">
        <x:v>Eliminar evento al retirar reacción</x:v>
      </x:c>
      <x:c r="C841" s="63" t="str">
        <x:v>R</x:v>
      </x:c>
      <x:c r="D841" s="65" t="str">
        <x:f>IF('Detalle'!L410="","",'Detalle'!L410)</x:f>
      </x:c>
      <x:c r="E841" s="60" t="str"/>
      <x:c r="F841" s="32" t="str">
        <x:f>IF(OR('Detalle'!$J410="",'Detalle'!$K410="",'Detalle'!$L410=""),"",IF(AND(F$8&lt;='Detalle'!$K410,F$9&gt;='Detalle'!$J410),1,""))</x:f>
      </x:c>
      <x:c r="G841" s="32" t="str">
        <x:f>IF(OR('Detalle'!$J410="",'Detalle'!$K410="",'Detalle'!$L410=""),"",IF(AND(G$8&lt;='Detalle'!$K410,G$9&gt;='Detalle'!$J410),1,""))</x:f>
      </x:c>
      <x:c r="H841" s="32" t="str">
        <x:f>IF(OR('Detalle'!$J410="",'Detalle'!$K410="",'Detalle'!$L410=""),"",IF(AND(H$8&lt;='Detalle'!$K410,H$9&gt;='Detalle'!$J410),1,""))</x:f>
      </x:c>
      <x:c r="I841" s="32" t="str">
        <x:f>IF(OR('Detalle'!$J410="",'Detalle'!$K410="",'Detalle'!$L410=""),"",IF(AND(I$8&lt;='Detalle'!$K410,I$9&gt;='Detalle'!$J410),1,""))</x:f>
      </x:c>
      <x:c r="J841" s="32" t="str">
        <x:f>IF(OR('Detalle'!$J410="",'Detalle'!$K410="",'Detalle'!$L410=""),"",IF(AND(J$8&lt;='Detalle'!$K410,J$9&gt;='Detalle'!$J410),1,""))</x:f>
      </x:c>
      <x:c r="K841" s="32" t="str">
        <x:f>IF(OR('Detalle'!$J410="",'Detalle'!$K410="",'Detalle'!$L410=""),"",IF(AND(K$8&lt;='Detalle'!$K410,K$9&gt;='Detalle'!$J410),1,""))</x:f>
      </x:c>
      <x:c r="L841" s="32" t="str">
        <x:f>IF(OR('Detalle'!$J410="",'Detalle'!$K410="",'Detalle'!$L410=""),"",IF(AND(L$8&lt;='Detalle'!$K410,L$9&gt;='Detalle'!$J410),1,""))</x:f>
      </x:c>
      <x:c r="M841" s="32" t="str">
        <x:f>IF(OR('Detalle'!$J410="",'Detalle'!$K410="",'Detalle'!$L410=""),"",IF(AND(M$8&lt;='Detalle'!$K410,M$9&gt;='Detalle'!$J410),1,""))</x:f>
      </x:c>
      <x:c r="N841" s="32" t="str">
        <x:f>IF(OR('Detalle'!$J410="",'Detalle'!$K410="",'Detalle'!$L410=""),"",IF(AND(N$8&lt;='Detalle'!$K410,N$9&gt;='Detalle'!$J410),1,""))</x:f>
      </x:c>
      <x:c r="O841" s="32" t="str">
        <x:f>IF(OR('Detalle'!$J410="",'Detalle'!$K410="",'Detalle'!$L410=""),"",IF(AND(O$8&lt;='Detalle'!$K410,O$9&gt;='Detalle'!$J410),1,""))</x:f>
      </x:c>
      <x:c r="P841" s="32" t="str">
        <x:f>IF(OR('Detalle'!$J410="",'Detalle'!$K410="",'Detalle'!$L410=""),"",IF(AND(P$8&lt;='Detalle'!$K410,P$9&gt;='Detalle'!$J410),1,""))</x:f>
      </x:c>
      <x:c r="Q841" s="68"/>
      <x:c r="R841" s="67" t="str"/>
      <x:c r="S841" s="67" t="str"/>
    </x:row>
    <x:row r="842" ht="16" customHeight="1">
      <x:c r="A842" s="56" t="str">
        <x:v>SOC04.012</x:v>
      </x:c>
      <x:c r="B842" s="57" t="str">
        <x:v>Proteger destinos después de autenticación</x:v>
      </x:c>
      <x:c r="C842" s="62" t="str">
        <x:v>E</x:v>
      </x:c>
      <x:c r="D842" s="64" t="n">
        <x:f>'Detalle'!I411</x:f>
        <x:v>1</x:v>
      </x:c>
      <x:c r="E842" s="60" t="str">
        <x:f>'Detalle'!F411</x:f>
        <x:v>Completado</x:v>
      </x:c>
      <x:c r="F842" s="32" t="str">
        <x:f>IF(AND(F$8&lt;='Detalle'!$H411,F$9&gt;='Detalle'!$G411),1,"")</x:f>
      </x:c>
      <x:c r="G842" s="32" t="str">
        <x:f>IF(AND(G$8&lt;='Detalle'!$H411,G$9&gt;='Detalle'!$G411),1,"")</x:f>
      </x:c>
      <x:c r="H842" s="32" t="str">
        <x:f>IF(AND(H$8&lt;='Detalle'!$H411,H$9&gt;='Detalle'!$G411),1,"")</x:f>
      </x:c>
      <x:c r="I842" s="32" t="n">
        <x:f>IF(AND(I$8&lt;='Detalle'!$H411,I$9&gt;='Detalle'!$G411),1,"")</x:f>
        <x:v>1</x:v>
      </x:c>
      <x:c r="J842" s="32" t="str">
        <x:f>IF(AND(J$8&lt;='Detalle'!$H411,J$9&gt;='Detalle'!$G411),1,"")</x:f>
      </x:c>
      <x:c r="K842" s="32" t="str">
        <x:f>IF(AND(K$8&lt;='Detalle'!$H411,K$9&gt;='Detalle'!$G411),1,"")</x:f>
      </x:c>
      <x:c r="L842" s="32" t="str">
        <x:f>IF(AND(L$8&lt;='Detalle'!$H411,L$9&gt;='Detalle'!$G411),1,"")</x:f>
      </x:c>
      <x:c r="M842" s="32" t="str">
        <x:f>IF(AND(M$8&lt;='Detalle'!$H411,M$9&gt;='Detalle'!$G411),1,"")</x:f>
      </x:c>
      <x:c r="N842" s="32" t="str">
        <x:f>IF(AND(N$8&lt;='Detalle'!$H411,N$9&gt;='Detalle'!$G411),1,"")</x:f>
      </x:c>
      <x:c r="O842" s="32" t="str">
        <x:f>IF(AND(O$8&lt;='Detalle'!$H411,O$9&gt;='Detalle'!$G411),1,"")</x:f>
      </x:c>
      <x:c r="P842" s="32" t="str">
        <x:f>IF(AND(P$8&lt;='Detalle'!$H411,P$9&gt;='Detalle'!$G411),1,"")</x:f>
      </x:c>
      <x:c r="Q842" s="68"/>
      <x:c r="R842" s="67" t="str">
        <x:f>IF('Detalle'!M411="","",'Detalle'!M411)</x:f>
      </x:c>
      <x:c r="S842" s="67" t="str">
        <x:f>IF('Detalle'!N411="","",'Detalle'!N411)</x:f>
      </x:c>
    </x:row>
    <x:row r="843" ht="16" customHeight="1">
      <x:c r="A843" s="56" t="str">
        <x:v>SOC04.012</x:v>
      </x:c>
      <x:c r="B843" s="57" t="str">
        <x:v>Proteger destinos después de autenticación</x:v>
      </x:c>
      <x:c r="C843" s="63" t="str">
        <x:v>R</x:v>
      </x:c>
      <x:c r="D843" s="65" t="str">
        <x:f>IF('Detalle'!L411="","",'Detalle'!L411)</x:f>
      </x:c>
      <x:c r="E843" s="60" t="str"/>
      <x:c r="F843" s="32" t="str">
        <x:f>IF(OR('Detalle'!$J411="",'Detalle'!$K411="",'Detalle'!$L411=""),"",IF(AND(F$8&lt;='Detalle'!$K411,F$9&gt;='Detalle'!$J411),1,""))</x:f>
      </x:c>
      <x:c r="G843" s="32" t="str">
        <x:f>IF(OR('Detalle'!$J411="",'Detalle'!$K411="",'Detalle'!$L411=""),"",IF(AND(G$8&lt;='Detalle'!$K411,G$9&gt;='Detalle'!$J411),1,""))</x:f>
      </x:c>
      <x:c r="H843" s="32" t="str">
        <x:f>IF(OR('Detalle'!$J411="",'Detalle'!$K411="",'Detalle'!$L411=""),"",IF(AND(H$8&lt;='Detalle'!$K411,H$9&gt;='Detalle'!$J411),1,""))</x:f>
      </x:c>
      <x:c r="I843" s="32" t="str">
        <x:f>IF(OR('Detalle'!$J411="",'Detalle'!$K411="",'Detalle'!$L411=""),"",IF(AND(I$8&lt;='Detalle'!$K411,I$9&gt;='Detalle'!$J411),1,""))</x:f>
      </x:c>
      <x:c r="J843" s="32" t="str">
        <x:f>IF(OR('Detalle'!$J411="",'Detalle'!$K411="",'Detalle'!$L411=""),"",IF(AND(J$8&lt;='Detalle'!$K411,J$9&gt;='Detalle'!$J411),1,""))</x:f>
      </x:c>
      <x:c r="K843" s="32" t="str">
        <x:f>IF(OR('Detalle'!$J411="",'Detalle'!$K411="",'Detalle'!$L411=""),"",IF(AND(K$8&lt;='Detalle'!$K411,K$9&gt;='Detalle'!$J411),1,""))</x:f>
      </x:c>
      <x:c r="L843" s="32" t="str">
        <x:f>IF(OR('Detalle'!$J411="",'Detalle'!$K411="",'Detalle'!$L411=""),"",IF(AND(L$8&lt;='Detalle'!$K411,L$9&gt;='Detalle'!$J411),1,""))</x:f>
      </x:c>
      <x:c r="M843" s="32" t="str">
        <x:f>IF(OR('Detalle'!$J411="",'Detalle'!$K411="",'Detalle'!$L411=""),"",IF(AND(M$8&lt;='Detalle'!$K411,M$9&gt;='Detalle'!$J411),1,""))</x:f>
      </x:c>
      <x:c r="N843" s="32" t="str">
        <x:f>IF(OR('Detalle'!$J411="",'Detalle'!$K411="",'Detalle'!$L411=""),"",IF(AND(N$8&lt;='Detalle'!$K411,N$9&gt;='Detalle'!$J411),1,""))</x:f>
      </x:c>
      <x:c r="O843" s="32" t="str">
        <x:f>IF(OR('Detalle'!$J411="",'Detalle'!$K411="",'Detalle'!$L411=""),"",IF(AND(O$8&lt;='Detalle'!$K411,O$9&gt;='Detalle'!$J411),1,""))</x:f>
      </x:c>
      <x:c r="P843" s="32" t="str">
        <x:f>IF(OR('Detalle'!$J411="",'Detalle'!$K411="",'Detalle'!$L411=""),"",IF(AND(P$8&lt;='Detalle'!$K411,P$9&gt;='Detalle'!$J411),1,""))</x:f>
      </x:c>
      <x:c r="Q843" s="68"/>
      <x:c r="R843" s="67" t="str"/>
      <x:c r="S843" s="67" t="str"/>
    </x:row>
    <x:row r="844" ht="16" customHeight="1">
      <x:c r="A844" s="56" t="str">
        <x:v>SOC04.013</x:v>
      </x:c>
      <x:c r="B844" s="57" t="str">
        <x:v>Rechazar destinos externos o inválidos</x:v>
      </x:c>
      <x:c r="C844" s="62" t="str">
        <x:v>E</x:v>
      </x:c>
      <x:c r="D844" s="64" t="n">
        <x:f>'Detalle'!I412</x:f>
        <x:v>1</x:v>
      </x:c>
      <x:c r="E844" s="60" t="str">
        <x:f>'Detalle'!F412</x:f>
        <x:v>Completado</x:v>
      </x:c>
      <x:c r="F844" s="32" t="str">
        <x:f>IF(AND(F$8&lt;='Detalle'!$H412,F$9&gt;='Detalle'!$G412),1,"")</x:f>
      </x:c>
      <x:c r="G844" s="32" t="str">
        <x:f>IF(AND(G$8&lt;='Detalle'!$H412,G$9&gt;='Detalle'!$G412),1,"")</x:f>
      </x:c>
      <x:c r="H844" s="32" t="str">
        <x:f>IF(AND(H$8&lt;='Detalle'!$H412,H$9&gt;='Detalle'!$G412),1,"")</x:f>
      </x:c>
      <x:c r="I844" s="32" t="n">
        <x:f>IF(AND(I$8&lt;='Detalle'!$H412,I$9&gt;='Detalle'!$G412),1,"")</x:f>
        <x:v>1</x:v>
      </x:c>
      <x:c r="J844" s="32" t="str">
        <x:f>IF(AND(J$8&lt;='Detalle'!$H412,J$9&gt;='Detalle'!$G412),1,"")</x:f>
      </x:c>
      <x:c r="K844" s="32" t="str">
        <x:f>IF(AND(K$8&lt;='Detalle'!$H412,K$9&gt;='Detalle'!$G412),1,"")</x:f>
      </x:c>
      <x:c r="L844" s="32" t="str">
        <x:f>IF(AND(L$8&lt;='Detalle'!$H412,L$9&gt;='Detalle'!$G412),1,"")</x:f>
      </x:c>
      <x:c r="M844" s="32" t="str">
        <x:f>IF(AND(M$8&lt;='Detalle'!$H412,M$9&gt;='Detalle'!$G412),1,"")</x:f>
      </x:c>
      <x:c r="N844" s="32" t="str">
        <x:f>IF(AND(N$8&lt;='Detalle'!$H412,N$9&gt;='Detalle'!$G412),1,"")</x:f>
      </x:c>
      <x:c r="O844" s="32" t="str">
        <x:f>IF(AND(O$8&lt;='Detalle'!$H412,O$9&gt;='Detalle'!$G412),1,"")</x:f>
      </x:c>
      <x:c r="P844" s="32" t="str">
        <x:f>IF(AND(P$8&lt;='Detalle'!$H412,P$9&gt;='Detalle'!$G412),1,"")</x:f>
      </x:c>
      <x:c r="Q844" s="68"/>
      <x:c r="R844" s="67" t="str">
        <x:f>IF('Detalle'!M412="","",'Detalle'!M412)</x:f>
      </x:c>
      <x:c r="S844" s="67" t="str">
        <x:f>IF('Detalle'!N412="","",'Detalle'!N412)</x:f>
      </x:c>
    </x:row>
    <x:row r="845" ht="16" customHeight="1">
      <x:c r="A845" s="56" t="str">
        <x:v>SOC04.013</x:v>
      </x:c>
      <x:c r="B845" s="57" t="str">
        <x:v>Rechazar destinos externos o inválidos</x:v>
      </x:c>
      <x:c r="C845" s="63" t="str">
        <x:v>R</x:v>
      </x:c>
      <x:c r="D845" s="65" t="str">
        <x:f>IF('Detalle'!L412="","",'Detalle'!L412)</x:f>
      </x:c>
      <x:c r="E845" s="60" t="str"/>
      <x:c r="F845" s="32" t="str">
        <x:f>IF(OR('Detalle'!$J412="",'Detalle'!$K412="",'Detalle'!$L412=""),"",IF(AND(F$8&lt;='Detalle'!$K412,F$9&gt;='Detalle'!$J412),1,""))</x:f>
      </x:c>
      <x:c r="G845" s="32" t="str">
        <x:f>IF(OR('Detalle'!$J412="",'Detalle'!$K412="",'Detalle'!$L412=""),"",IF(AND(G$8&lt;='Detalle'!$K412,G$9&gt;='Detalle'!$J412),1,""))</x:f>
      </x:c>
      <x:c r="H845" s="32" t="str">
        <x:f>IF(OR('Detalle'!$J412="",'Detalle'!$K412="",'Detalle'!$L412=""),"",IF(AND(H$8&lt;='Detalle'!$K412,H$9&gt;='Detalle'!$J412),1,""))</x:f>
      </x:c>
      <x:c r="I845" s="32" t="str">
        <x:f>IF(OR('Detalle'!$J412="",'Detalle'!$K412="",'Detalle'!$L412=""),"",IF(AND(I$8&lt;='Detalle'!$K412,I$9&gt;='Detalle'!$J412),1,""))</x:f>
      </x:c>
      <x:c r="J845" s="32" t="str">
        <x:f>IF(OR('Detalle'!$J412="",'Detalle'!$K412="",'Detalle'!$L412=""),"",IF(AND(J$8&lt;='Detalle'!$K412,J$9&gt;='Detalle'!$J412),1,""))</x:f>
      </x:c>
      <x:c r="K845" s="32" t="str">
        <x:f>IF(OR('Detalle'!$J412="",'Detalle'!$K412="",'Detalle'!$L412=""),"",IF(AND(K$8&lt;='Detalle'!$K412,K$9&gt;='Detalle'!$J412),1,""))</x:f>
      </x:c>
      <x:c r="L845" s="32" t="str">
        <x:f>IF(OR('Detalle'!$J412="",'Detalle'!$K412="",'Detalle'!$L412=""),"",IF(AND(L$8&lt;='Detalle'!$K412,L$9&gt;='Detalle'!$J412),1,""))</x:f>
      </x:c>
      <x:c r="M845" s="32" t="str">
        <x:f>IF(OR('Detalle'!$J412="",'Detalle'!$K412="",'Detalle'!$L412=""),"",IF(AND(M$8&lt;='Detalle'!$K412,M$9&gt;='Detalle'!$J412),1,""))</x:f>
      </x:c>
      <x:c r="N845" s="32" t="str">
        <x:f>IF(OR('Detalle'!$J412="",'Detalle'!$K412="",'Detalle'!$L412=""),"",IF(AND(N$8&lt;='Detalle'!$K412,N$9&gt;='Detalle'!$J412),1,""))</x:f>
      </x:c>
      <x:c r="O845" s="32" t="str">
        <x:f>IF(OR('Detalle'!$J412="",'Detalle'!$K412="",'Detalle'!$L412=""),"",IF(AND(O$8&lt;='Detalle'!$K412,O$9&gt;='Detalle'!$J412),1,""))</x:f>
      </x:c>
      <x:c r="P845" s="32" t="str">
        <x:f>IF(OR('Detalle'!$J412="",'Detalle'!$K412="",'Detalle'!$L412=""),"",IF(AND(P$8&lt;='Detalle'!$K412,P$9&gt;='Detalle'!$J412),1,""))</x:f>
      </x:c>
      <x:c r="Q845" s="68"/>
      <x:c r="R845" s="67" t="str"/>
      <x:c r="S845" s="67" t="str"/>
    </x:row>
    <x:row r="846" ht="16" customHeight="1">
      <x:c r="A846" s="56" t="str">
        <x:v>SOC04.014</x:v>
      </x:c>
      <x:c r="B846" s="57" t="str">
        <x:v>Resolver contenido retirado</x:v>
      </x:c>
      <x:c r="C846" s="62" t="str">
        <x:v>E</x:v>
      </x:c>
      <x:c r="D846" s="64" t="n">
        <x:f>'Detalle'!I413</x:f>
        <x:v>1</x:v>
      </x:c>
      <x:c r="E846" s="60" t="str">
        <x:f>'Detalle'!F413</x:f>
        <x:v>Completado</x:v>
      </x:c>
      <x:c r="F846" s="32" t="str">
        <x:f>IF(AND(F$8&lt;='Detalle'!$H413,F$9&gt;='Detalle'!$G413),1,"")</x:f>
      </x:c>
      <x:c r="G846" s="32" t="str">
        <x:f>IF(AND(G$8&lt;='Detalle'!$H413,G$9&gt;='Detalle'!$G413),1,"")</x:f>
      </x:c>
      <x:c r="H846" s="32" t="str">
        <x:f>IF(AND(H$8&lt;='Detalle'!$H413,H$9&gt;='Detalle'!$G413),1,"")</x:f>
      </x:c>
      <x:c r="I846" s="32" t="n">
        <x:f>IF(AND(I$8&lt;='Detalle'!$H413,I$9&gt;='Detalle'!$G413),1,"")</x:f>
        <x:v>1</x:v>
      </x:c>
      <x:c r="J846" s="32" t="str">
        <x:f>IF(AND(J$8&lt;='Detalle'!$H413,J$9&gt;='Detalle'!$G413),1,"")</x:f>
      </x:c>
      <x:c r="K846" s="32" t="str">
        <x:f>IF(AND(K$8&lt;='Detalle'!$H413,K$9&gt;='Detalle'!$G413),1,"")</x:f>
      </x:c>
      <x:c r="L846" s="32" t="str">
        <x:f>IF(AND(L$8&lt;='Detalle'!$H413,L$9&gt;='Detalle'!$G413),1,"")</x:f>
      </x:c>
      <x:c r="M846" s="32" t="str">
        <x:f>IF(AND(M$8&lt;='Detalle'!$H413,M$9&gt;='Detalle'!$G413),1,"")</x:f>
      </x:c>
      <x:c r="N846" s="32" t="str">
        <x:f>IF(AND(N$8&lt;='Detalle'!$H413,N$9&gt;='Detalle'!$G413),1,"")</x:f>
      </x:c>
      <x:c r="O846" s="32" t="str">
        <x:f>IF(AND(O$8&lt;='Detalle'!$H413,O$9&gt;='Detalle'!$G413),1,"")</x:f>
      </x:c>
      <x:c r="P846" s="32" t="str">
        <x:f>IF(AND(P$8&lt;='Detalle'!$H413,P$9&gt;='Detalle'!$G413),1,"")</x:f>
      </x:c>
      <x:c r="Q846" s="68"/>
      <x:c r="R846" s="67" t="str">
        <x:f>IF('Detalle'!M413="","",'Detalle'!M413)</x:f>
      </x:c>
      <x:c r="S846" s="67" t="str">
        <x:f>IF('Detalle'!N413="","",'Detalle'!N413)</x:f>
      </x:c>
    </x:row>
    <x:row r="847" ht="16" customHeight="1">
      <x:c r="A847" s="56" t="str">
        <x:v>SOC04.014</x:v>
      </x:c>
      <x:c r="B847" s="57" t="str">
        <x:v>Resolver contenido retirado</x:v>
      </x:c>
      <x:c r="C847" s="63" t="str">
        <x:v>R</x:v>
      </x:c>
      <x:c r="D847" s="65" t="str">
        <x:f>IF('Detalle'!L413="","",'Detalle'!L413)</x:f>
      </x:c>
      <x:c r="E847" s="60" t="str"/>
      <x:c r="F847" s="32" t="str">
        <x:f>IF(OR('Detalle'!$J413="",'Detalle'!$K413="",'Detalle'!$L413=""),"",IF(AND(F$8&lt;='Detalle'!$K413,F$9&gt;='Detalle'!$J413),1,""))</x:f>
      </x:c>
      <x:c r="G847" s="32" t="str">
        <x:f>IF(OR('Detalle'!$J413="",'Detalle'!$K413="",'Detalle'!$L413=""),"",IF(AND(G$8&lt;='Detalle'!$K413,G$9&gt;='Detalle'!$J413),1,""))</x:f>
      </x:c>
      <x:c r="H847" s="32" t="str">
        <x:f>IF(OR('Detalle'!$J413="",'Detalle'!$K413="",'Detalle'!$L413=""),"",IF(AND(H$8&lt;='Detalle'!$K413,H$9&gt;='Detalle'!$J413),1,""))</x:f>
      </x:c>
      <x:c r="I847" s="32" t="str">
        <x:f>IF(OR('Detalle'!$J413="",'Detalle'!$K413="",'Detalle'!$L413=""),"",IF(AND(I$8&lt;='Detalle'!$K413,I$9&gt;='Detalle'!$J413),1,""))</x:f>
      </x:c>
      <x:c r="J847" s="32" t="str">
        <x:f>IF(OR('Detalle'!$J413="",'Detalle'!$K413="",'Detalle'!$L413=""),"",IF(AND(J$8&lt;='Detalle'!$K413,J$9&gt;='Detalle'!$J413),1,""))</x:f>
      </x:c>
      <x:c r="K847" s="32" t="str">
        <x:f>IF(OR('Detalle'!$J413="",'Detalle'!$K413="",'Detalle'!$L413=""),"",IF(AND(K$8&lt;='Detalle'!$K413,K$9&gt;='Detalle'!$J413),1,""))</x:f>
      </x:c>
      <x:c r="L847" s="32" t="str">
        <x:f>IF(OR('Detalle'!$J413="",'Detalle'!$K413="",'Detalle'!$L413=""),"",IF(AND(L$8&lt;='Detalle'!$K413,L$9&gt;='Detalle'!$J413),1,""))</x:f>
      </x:c>
      <x:c r="M847" s="32" t="str">
        <x:f>IF(OR('Detalle'!$J413="",'Detalle'!$K413="",'Detalle'!$L413=""),"",IF(AND(M$8&lt;='Detalle'!$K413,M$9&gt;='Detalle'!$J413),1,""))</x:f>
      </x:c>
      <x:c r="N847" s="32" t="str">
        <x:f>IF(OR('Detalle'!$J413="",'Detalle'!$K413="",'Detalle'!$L413=""),"",IF(AND(N$8&lt;='Detalle'!$K413,N$9&gt;='Detalle'!$J413),1,""))</x:f>
      </x:c>
      <x:c r="O847" s="32" t="str">
        <x:f>IF(OR('Detalle'!$J413="",'Detalle'!$K413="",'Detalle'!$L413=""),"",IF(AND(O$8&lt;='Detalle'!$K413,O$9&gt;='Detalle'!$J413),1,""))</x:f>
      </x:c>
      <x:c r="P847" s="32" t="str">
        <x:f>IF(OR('Detalle'!$J413="",'Detalle'!$K413="",'Detalle'!$L413=""),"",IF(AND(P$8&lt;='Detalle'!$K413,P$9&gt;='Detalle'!$J413),1,""))</x:f>
      </x:c>
      <x:c r="Q847" s="68"/>
      <x:c r="R847" s="67" t="str"/>
      <x:c r="S847" s="67" t="str"/>
    </x:row>
    <x:row r="848" ht="16" customHeight="1">
      <x:c r="A848" s="56" t="str">
        <x:v>SOC04.015</x:v>
      </x:c>
      <x:c r="B848" s="57" t="str">
        <x:v>Mantener un panel modal activo</x:v>
      </x:c>
      <x:c r="C848" s="62" t="str">
        <x:v>E</x:v>
      </x:c>
      <x:c r="D848" s="64" t="n">
        <x:f>'Detalle'!I414</x:f>
        <x:v>1</x:v>
      </x:c>
      <x:c r="E848" s="60" t="str">
        <x:f>'Detalle'!F414</x:f>
        <x:v>Completado</x:v>
      </x:c>
      <x:c r="F848" s="32" t="str">
        <x:f>IF(AND(F$8&lt;='Detalle'!$H414,F$9&gt;='Detalle'!$G414),1,"")</x:f>
      </x:c>
      <x:c r="G848" s="32" t="str">
        <x:f>IF(AND(G$8&lt;='Detalle'!$H414,G$9&gt;='Detalle'!$G414),1,"")</x:f>
      </x:c>
      <x:c r="H848" s="32" t="str">
        <x:f>IF(AND(H$8&lt;='Detalle'!$H414,H$9&gt;='Detalle'!$G414),1,"")</x:f>
      </x:c>
      <x:c r="I848" s="32" t="n">
        <x:f>IF(AND(I$8&lt;='Detalle'!$H414,I$9&gt;='Detalle'!$G414),1,"")</x:f>
        <x:v>1</x:v>
      </x:c>
      <x:c r="J848" s="32" t="str">
        <x:f>IF(AND(J$8&lt;='Detalle'!$H414,J$9&gt;='Detalle'!$G414),1,"")</x:f>
      </x:c>
      <x:c r="K848" s="32" t="str">
        <x:f>IF(AND(K$8&lt;='Detalle'!$H414,K$9&gt;='Detalle'!$G414),1,"")</x:f>
      </x:c>
      <x:c r="L848" s="32" t="str">
        <x:f>IF(AND(L$8&lt;='Detalle'!$H414,L$9&gt;='Detalle'!$G414),1,"")</x:f>
      </x:c>
      <x:c r="M848" s="32" t="str">
        <x:f>IF(AND(M$8&lt;='Detalle'!$H414,M$9&gt;='Detalle'!$G414),1,"")</x:f>
      </x:c>
      <x:c r="N848" s="32" t="str">
        <x:f>IF(AND(N$8&lt;='Detalle'!$H414,N$9&gt;='Detalle'!$G414),1,"")</x:f>
      </x:c>
      <x:c r="O848" s="32" t="str">
        <x:f>IF(AND(O$8&lt;='Detalle'!$H414,O$9&gt;='Detalle'!$G414),1,"")</x:f>
      </x:c>
      <x:c r="P848" s="32" t="str">
        <x:f>IF(AND(P$8&lt;='Detalle'!$H414,P$9&gt;='Detalle'!$G414),1,"")</x:f>
      </x:c>
      <x:c r="Q848" s="68"/>
      <x:c r="R848" s="67" t="str">
        <x:f>IF('Detalle'!M414="","",'Detalle'!M414)</x:f>
      </x:c>
      <x:c r="S848" s="67" t="str">
        <x:f>IF('Detalle'!N414="","",'Detalle'!N414)</x:f>
      </x:c>
    </x:row>
    <x:row r="849" ht="16" customHeight="1">
      <x:c r="A849" s="56" t="str">
        <x:v>SOC04.015</x:v>
      </x:c>
      <x:c r="B849" s="57" t="str">
        <x:v>Mantener un panel modal activo</x:v>
      </x:c>
      <x:c r="C849" s="63" t="str">
        <x:v>R</x:v>
      </x:c>
      <x:c r="D849" s="65" t="str">
        <x:f>IF('Detalle'!L414="","",'Detalle'!L414)</x:f>
      </x:c>
      <x:c r="E849" s="60" t="str"/>
      <x:c r="F849" s="32" t="str">
        <x:f>IF(OR('Detalle'!$J414="",'Detalle'!$K414="",'Detalle'!$L414=""),"",IF(AND(F$8&lt;='Detalle'!$K414,F$9&gt;='Detalle'!$J414),1,""))</x:f>
      </x:c>
      <x:c r="G849" s="32" t="str">
        <x:f>IF(OR('Detalle'!$J414="",'Detalle'!$K414="",'Detalle'!$L414=""),"",IF(AND(G$8&lt;='Detalle'!$K414,G$9&gt;='Detalle'!$J414),1,""))</x:f>
      </x:c>
      <x:c r="H849" s="32" t="str">
        <x:f>IF(OR('Detalle'!$J414="",'Detalle'!$K414="",'Detalle'!$L414=""),"",IF(AND(H$8&lt;='Detalle'!$K414,H$9&gt;='Detalle'!$J414),1,""))</x:f>
      </x:c>
      <x:c r="I849" s="32" t="str">
        <x:f>IF(OR('Detalle'!$J414="",'Detalle'!$K414="",'Detalle'!$L414=""),"",IF(AND(I$8&lt;='Detalle'!$K414,I$9&gt;='Detalle'!$J414),1,""))</x:f>
      </x:c>
      <x:c r="J849" s="32" t="str">
        <x:f>IF(OR('Detalle'!$J414="",'Detalle'!$K414="",'Detalle'!$L414=""),"",IF(AND(J$8&lt;='Detalle'!$K414,J$9&gt;='Detalle'!$J414),1,""))</x:f>
      </x:c>
      <x:c r="K849" s="32" t="str">
        <x:f>IF(OR('Detalle'!$J414="",'Detalle'!$K414="",'Detalle'!$L414=""),"",IF(AND(K$8&lt;='Detalle'!$K414,K$9&gt;='Detalle'!$J414),1,""))</x:f>
      </x:c>
      <x:c r="L849" s="32" t="str">
        <x:f>IF(OR('Detalle'!$J414="",'Detalle'!$K414="",'Detalle'!$L414=""),"",IF(AND(L$8&lt;='Detalle'!$K414,L$9&gt;='Detalle'!$J414),1,""))</x:f>
      </x:c>
      <x:c r="M849" s="32" t="str">
        <x:f>IF(OR('Detalle'!$J414="",'Detalle'!$K414="",'Detalle'!$L414=""),"",IF(AND(M$8&lt;='Detalle'!$K414,M$9&gt;='Detalle'!$J414),1,""))</x:f>
      </x:c>
      <x:c r="N849" s="32" t="str">
        <x:f>IF(OR('Detalle'!$J414="",'Detalle'!$K414="",'Detalle'!$L414=""),"",IF(AND(N$8&lt;='Detalle'!$K414,N$9&gt;='Detalle'!$J414),1,""))</x:f>
      </x:c>
      <x:c r="O849" s="32" t="str">
        <x:f>IF(OR('Detalle'!$J414="",'Detalle'!$K414="",'Detalle'!$L414=""),"",IF(AND(O$8&lt;='Detalle'!$K414,O$9&gt;='Detalle'!$J414),1,""))</x:f>
      </x:c>
      <x:c r="P849" s="32" t="str">
        <x:f>IF(OR('Detalle'!$J414="",'Detalle'!$K414="",'Detalle'!$L414=""),"",IF(AND(P$8&lt;='Detalle'!$K414,P$9&gt;='Detalle'!$J414),1,""))</x:f>
      </x:c>
      <x:c r="Q849" s="68"/>
      <x:c r="R849" s="67" t="str"/>
      <x:c r="S849" s="67" t="str"/>
    </x:row>
    <x:row r="850" ht="20" customHeight="1">
      <x:c r="A850" s="52" t="str">
        <x:v>SOC05 · Validación y correcciones de la experiencia social</x:v>
      </x:c>
      <x:c r="B850" s="52" t="str">
        <x:v>SOC05 · Validación y correcciones de la experiencia social</x:v>
      </x:c>
      <x:c r="C850" s="52" t="str">
        <x:v>SOC05 · Validación y correcciones de la experiencia social</x:v>
      </x:c>
      <x:c r="D850" s="52" t="str">
        <x:v>SOC05 · Validación y correcciones de la experiencia social</x:v>
      </x:c>
      <x:c r="E850" s="52" t="str">
        <x:v>SOC05 · Validación y correcciones de la experiencia social</x:v>
      </x:c>
      <x:c r="F850" s="53" t="str">
        <x:v>SOC05 · Validación y correcciones de la experiencia social</x:v>
      </x:c>
      <x:c r="G850" s="53" t="str">
        <x:v>SOC05 · Validación y correcciones de la experiencia social</x:v>
      </x:c>
      <x:c r="H850" s="53" t="str">
        <x:v>SOC05 · Validación y correcciones de la experiencia social</x:v>
      </x:c>
      <x:c r="I850" s="53" t="str">
        <x:v>SOC05 · Validación y correcciones de la experiencia social</x:v>
      </x:c>
      <x:c r="J850" s="53" t="str">
        <x:v>SOC05 · Validación y correcciones de la experiencia social</x:v>
      </x:c>
      <x:c r="K850" s="53" t="str">
        <x:v>SOC05 · Validación y correcciones de la experiencia social</x:v>
      </x:c>
      <x:c r="L850" s="53" t="str">
        <x:v>SOC05 · Validación y correcciones de la experiencia social</x:v>
      </x:c>
      <x:c r="M850" s="53" t="str">
        <x:v>SOC05 · Validación y correcciones de la experiencia social</x:v>
      </x:c>
      <x:c r="N850" s="53" t="str">
        <x:v>SOC05 · Validación y correcciones de la experiencia social</x:v>
      </x:c>
      <x:c r="O850" s="53" t="str">
        <x:v>SOC05 · Validación y correcciones de la experiencia social</x:v>
      </x:c>
      <x:c r="P850" s="53" t="str">
        <x:v>SOC05 · Validación y correcciones de la experiencia social</x:v>
      </x:c>
      <x:c r="Q850" s="52" t="str">
        <x:v>SOC05 · Validación y correcciones de la experiencia social</x:v>
      </x:c>
      <x:c r="R850" s="52" t="str">
        <x:v>SOC05 · Validación y correcciones de la experiencia social</x:v>
      </x:c>
      <x:c r="S850" s="52" t="str">
        <x:v>SOC05 · Validación y correcciones de la experiencia social</x:v>
      </x:c>
    </x:row>
    <x:row r="851" ht="16" customHeight="1">
      <x:c r="A851" s="56" t="str">
        <x:v>SOC05.001</x:v>
      </x:c>
      <x:c r="B851" s="57" t="str">
        <x:v>Aplicar migraciones sociales 009 a 011</x:v>
      </x:c>
      <x:c r="C851" s="62" t="str">
        <x:v>E</x:v>
      </x:c>
      <x:c r="D851" s="64" t="n">
        <x:f>'Detalle'!I415</x:f>
        <x:v>1</x:v>
      </x:c>
      <x:c r="E851" s="60" t="str">
        <x:f>'Detalle'!F415</x:f>
        <x:v>Completado</x:v>
      </x:c>
      <x:c r="F851" s="32" t="str">
        <x:f>IF(AND(F$8&lt;='Detalle'!$H415,F$9&gt;='Detalle'!$G415),1,"")</x:f>
      </x:c>
      <x:c r="G851" s="32" t="str">
        <x:f>IF(AND(G$8&lt;='Detalle'!$H415,G$9&gt;='Detalle'!$G415),1,"")</x:f>
      </x:c>
      <x:c r="H851" s="32" t="str">
        <x:f>IF(AND(H$8&lt;='Detalle'!$H415,H$9&gt;='Detalle'!$G415),1,"")</x:f>
      </x:c>
      <x:c r="I851" s="32" t="n">
        <x:f>IF(AND(I$8&lt;='Detalle'!$H415,I$9&gt;='Detalle'!$G415),1,"")</x:f>
        <x:v>1</x:v>
      </x:c>
      <x:c r="J851" s="32" t="str">
        <x:f>IF(AND(J$8&lt;='Detalle'!$H415,J$9&gt;='Detalle'!$G415),1,"")</x:f>
      </x:c>
      <x:c r="K851" s="32" t="str">
        <x:f>IF(AND(K$8&lt;='Detalle'!$H415,K$9&gt;='Detalle'!$G415),1,"")</x:f>
      </x:c>
      <x:c r="L851" s="32" t="str">
        <x:f>IF(AND(L$8&lt;='Detalle'!$H415,L$9&gt;='Detalle'!$G415),1,"")</x:f>
      </x:c>
      <x:c r="M851" s="32" t="str">
        <x:f>IF(AND(M$8&lt;='Detalle'!$H415,M$9&gt;='Detalle'!$G415),1,"")</x:f>
      </x:c>
      <x:c r="N851" s="32" t="str">
        <x:f>IF(AND(N$8&lt;='Detalle'!$H415,N$9&gt;='Detalle'!$G415),1,"")</x:f>
      </x:c>
      <x:c r="O851" s="32" t="str">
        <x:f>IF(AND(O$8&lt;='Detalle'!$H415,O$9&gt;='Detalle'!$G415),1,"")</x:f>
      </x:c>
      <x:c r="P851" s="32" t="str">
        <x:f>IF(AND(P$8&lt;='Detalle'!$H415,P$9&gt;='Detalle'!$G415),1,"")</x:f>
      </x:c>
      <x:c r="Q851" s="68"/>
      <x:c r="R851" s="67" t="str">
        <x:f>IF('Detalle'!M415="","",'Detalle'!M415)</x:f>
      </x:c>
      <x:c r="S851" s="67" t="str">
        <x:f>IF('Detalle'!N415="","",'Detalle'!N415)</x:f>
      </x:c>
    </x:row>
    <x:row r="852" ht="16" customHeight="1">
      <x:c r="A852" s="56" t="str">
        <x:v>SOC05.001</x:v>
      </x:c>
      <x:c r="B852" s="57" t="str">
        <x:v>Aplicar migraciones sociales 009 a 011</x:v>
      </x:c>
      <x:c r="C852" s="63" t="str">
        <x:v>R</x:v>
      </x:c>
      <x:c r="D852" s="65" t="str">
        <x:f>IF('Detalle'!L415="","",'Detalle'!L415)</x:f>
      </x:c>
      <x:c r="E852" s="60" t="str"/>
      <x:c r="F852" s="32" t="str">
        <x:f>IF(OR('Detalle'!$J415="",'Detalle'!$K415="",'Detalle'!$L415=""),"",IF(AND(F$8&lt;='Detalle'!$K415,F$9&gt;='Detalle'!$J415),1,""))</x:f>
      </x:c>
      <x:c r="G852" s="32" t="str">
        <x:f>IF(OR('Detalle'!$J415="",'Detalle'!$K415="",'Detalle'!$L415=""),"",IF(AND(G$8&lt;='Detalle'!$K415,G$9&gt;='Detalle'!$J415),1,""))</x:f>
      </x:c>
      <x:c r="H852" s="32" t="str">
        <x:f>IF(OR('Detalle'!$J415="",'Detalle'!$K415="",'Detalle'!$L415=""),"",IF(AND(H$8&lt;='Detalle'!$K415,H$9&gt;='Detalle'!$J415),1,""))</x:f>
      </x:c>
      <x:c r="I852" s="32" t="str">
        <x:f>IF(OR('Detalle'!$J415="",'Detalle'!$K415="",'Detalle'!$L415=""),"",IF(AND(I$8&lt;='Detalle'!$K415,I$9&gt;='Detalle'!$J415),1,""))</x:f>
      </x:c>
      <x:c r="J852" s="32" t="str">
        <x:f>IF(OR('Detalle'!$J415="",'Detalle'!$K415="",'Detalle'!$L415=""),"",IF(AND(J$8&lt;='Detalle'!$K415,J$9&gt;='Detalle'!$J415),1,""))</x:f>
      </x:c>
      <x:c r="K852" s="32" t="str">
        <x:f>IF(OR('Detalle'!$J415="",'Detalle'!$K415="",'Detalle'!$L415=""),"",IF(AND(K$8&lt;='Detalle'!$K415,K$9&gt;='Detalle'!$J415),1,""))</x:f>
      </x:c>
      <x:c r="L852" s="32" t="str">
        <x:f>IF(OR('Detalle'!$J415="",'Detalle'!$K415="",'Detalle'!$L415=""),"",IF(AND(L$8&lt;='Detalle'!$K415,L$9&gt;='Detalle'!$J415),1,""))</x:f>
      </x:c>
      <x:c r="M852" s="32" t="str">
        <x:f>IF(OR('Detalle'!$J415="",'Detalle'!$K415="",'Detalle'!$L415=""),"",IF(AND(M$8&lt;='Detalle'!$K415,M$9&gt;='Detalle'!$J415),1,""))</x:f>
      </x:c>
      <x:c r="N852" s="32" t="str">
        <x:f>IF(OR('Detalle'!$J415="",'Detalle'!$K415="",'Detalle'!$L415=""),"",IF(AND(N$8&lt;='Detalle'!$K415,N$9&gt;='Detalle'!$J415),1,""))</x:f>
      </x:c>
      <x:c r="O852" s="32" t="str">
        <x:f>IF(OR('Detalle'!$J415="",'Detalle'!$K415="",'Detalle'!$L415=""),"",IF(AND(O$8&lt;='Detalle'!$K415,O$9&gt;='Detalle'!$J415),1,""))</x:f>
      </x:c>
      <x:c r="P852" s="32" t="str">
        <x:f>IF(OR('Detalle'!$J415="",'Detalle'!$K415="",'Detalle'!$L415=""),"",IF(AND(P$8&lt;='Detalle'!$K415,P$9&gt;='Detalle'!$J415),1,""))</x:f>
      </x:c>
      <x:c r="Q852" s="68"/>
      <x:c r="R852" s="67" t="str"/>
      <x:c r="S852" s="67" t="str"/>
    </x:row>
    <x:row r="853" ht="16" customHeight="1">
      <x:c r="A853" s="56" t="str">
        <x:v>SOC05.002</x:v>
      </x:c>
      <x:c r="B853" s="57" t="str">
        <x:v>Validar idempotencia y privacidad social</x:v>
      </x:c>
      <x:c r="C853" s="62" t="str">
        <x:v>E</x:v>
      </x:c>
      <x:c r="D853" s="64" t="n">
        <x:f>'Detalle'!I416</x:f>
        <x:v>1</x:v>
      </x:c>
      <x:c r="E853" s="60" t="str">
        <x:f>'Detalle'!F416</x:f>
        <x:v>Completado</x:v>
      </x:c>
      <x:c r="F853" s="32" t="str">
        <x:f>IF(AND(F$8&lt;='Detalle'!$H416,F$9&gt;='Detalle'!$G416),1,"")</x:f>
      </x:c>
      <x:c r="G853" s="32" t="str">
        <x:f>IF(AND(G$8&lt;='Detalle'!$H416,G$9&gt;='Detalle'!$G416),1,"")</x:f>
      </x:c>
      <x:c r="H853" s="32" t="str">
        <x:f>IF(AND(H$8&lt;='Detalle'!$H416,H$9&gt;='Detalle'!$G416),1,"")</x:f>
      </x:c>
      <x:c r="I853" s="32" t="n">
        <x:f>IF(AND(I$8&lt;='Detalle'!$H416,I$9&gt;='Detalle'!$G416),1,"")</x:f>
        <x:v>1</x:v>
      </x:c>
      <x:c r="J853" s="32" t="str">
        <x:f>IF(AND(J$8&lt;='Detalle'!$H416,J$9&gt;='Detalle'!$G416),1,"")</x:f>
      </x:c>
      <x:c r="K853" s="32" t="str">
        <x:f>IF(AND(K$8&lt;='Detalle'!$H416,K$9&gt;='Detalle'!$G416),1,"")</x:f>
      </x:c>
      <x:c r="L853" s="32" t="str">
        <x:f>IF(AND(L$8&lt;='Detalle'!$H416,L$9&gt;='Detalle'!$G416),1,"")</x:f>
      </x:c>
      <x:c r="M853" s="32" t="str">
        <x:f>IF(AND(M$8&lt;='Detalle'!$H416,M$9&gt;='Detalle'!$G416),1,"")</x:f>
      </x:c>
      <x:c r="N853" s="32" t="str">
        <x:f>IF(AND(N$8&lt;='Detalle'!$H416,N$9&gt;='Detalle'!$G416),1,"")</x:f>
      </x:c>
      <x:c r="O853" s="32" t="str">
        <x:f>IF(AND(O$8&lt;='Detalle'!$H416,O$9&gt;='Detalle'!$G416),1,"")</x:f>
      </x:c>
      <x:c r="P853" s="32" t="str">
        <x:f>IF(AND(P$8&lt;='Detalle'!$H416,P$9&gt;='Detalle'!$G416),1,"")</x:f>
      </x:c>
      <x:c r="Q853" s="68"/>
      <x:c r="R853" s="67" t="str">
        <x:f>IF('Detalle'!M416="","",'Detalle'!M416)</x:f>
      </x:c>
      <x:c r="S853" s="67" t="str">
        <x:f>IF('Detalle'!N416="","",'Detalle'!N416)</x:f>
      </x:c>
    </x:row>
    <x:row r="854" ht="16" customHeight="1">
      <x:c r="A854" s="56" t="str">
        <x:v>SOC05.002</x:v>
      </x:c>
      <x:c r="B854" s="57" t="str">
        <x:v>Validar idempotencia y privacidad social</x:v>
      </x:c>
      <x:c r="C854" s="63" t="str">
        <x:v>R</x:v>
      </x:c>
      <x:c r="D854" s="65" t="str">
        <x:f>IF('Detalle'!L416="","",'Detalle'!L416)</x:f>
      </x:c>
      <x:c r="E854" s="60" t="str"/>
      <x:c r="F854" s="32" t="str">
        <x:f>IF(OR('Detalle'!$J416="",'Detalle'!$K416="",'Detalle'!$L416=""),"",IF(AND(F$8&lt;='Detalle'!$K416,F$9&gt;='Detalle'!$J416),1,""))</x:f>
      </x:c>
      <x:c r="G854" s="32" t="str">
        <x:f>IF(OR('Detalle'!$J416="",'Detalle'!$K416="",'Detalle'!$L416=""),"",IF(AND(G$8&lt;='Detalle'!$K416,G$9&gt;='Detalle'!$J416),1,""))</x:f>
      </x:c>
      <x:c r="H854" s="32" t="str">
        <x:f>IF(OR('Detalle'!$J416="",'Detalle'!$K416="",'Detalle'!$L416=""),"",IF(AND(H$8&lt;='Detalle'!$K416,H$9&gt;='Detalle'!$J416),1,""))</x:f>
      </x:c>
      <x:c r="I854" s="32" t="str">
        <x:f>IF(OR('Detalle'!$J416="",'Detalle'!$K416="",'Detalle'!$L416=""),"",IF(AND(I$8&lt;='Detalle'!$K416,I$9&gt;='Detalle'!$J416),1,""))</x:f>
      </x:c>
      <x:c r="J854" s="32" t="str">
        <x:f>IF(OR('Detalle'!$J416="",'Detalle'!$K416="",'Detalle'!$L416=""),"",IF(AND(J$8&lt;='Detalle'!$K416,J$9&gt;='Detalle'!$J416),1,""))</x:f>
      </x:c>
      <x:c r="K854" s="32" t="str">
        <x:f>IF(OR('Detalle'!$J416="",'Detalle'!$K416="",'Detalle'!$L416=""),"",IF(AND(K$8&lt;='Detalle'!$K416,K$9&gt;='Detalle'!$J416),1,""))</x:f>
      </x:c>
      <x:c r="L854" s="32" t="str">
        <x:f>IF(OR('Detalle'!$J416="",'Detalle'!$K416="",'Detalle'!$L416=""),"",IF(AND(L$8&lt;='Detalle'!$K416,L$9&gt;='Detalle'!$J416),1,""))</x:f>
      </x:c>
      <x:c r="M854" s="32" t="str">
        <x:f>IF(OR('Detalle'!$J416="",'Detalle'!$K416="",'Detalle'!$L416=""),"",IF(AND(M$8&lt;='Detalle'!$K416,M$9&gt;='Detalle'!$J416),1,""))</x:f>
      </x:c>
      <x:c r="N854" s="32" t="str">
        <x:f>IF(OR('Detalle'!$J416="",'Detalle'!$K416="",'Detalle'!$L416=""),"",IF(AND(N$8&lt;='Detalle'!$K416,N$9&gt;='Detalle'!$J416),1,""))</x:f>
      </x:c>
      <x:c r="O854" s="32" t="str">
        <x:f>IF(OR('Detalle'!$J416="",'Detalle'!$K416="",'Detalle'!$L416=""),"",IF(AND(O$8&lt;='Detalle'!$K416,O$9&gt;='Detalle'!$J416),1,""))</x:f>
      </x:c>
      <x:c r="P854" s="32" t="str">
        <x:f>IF(OR('Detalle'!$J416="",'Detalle'!$K416="",'Detalle'!$L416=""),"",IF(AND(P$8&lt;='Detalle'!$K416,P$9&gt;='Detalle'!$J416),1,""))</x:f>
      </x:c>
      <x:c r="Q854" s="68"/>
      <x:c r="R854" s="67" t="str"/>
      <x:c r="S854" s="67" t="str"/>
    </x:row>
    <x:row r="855" ht="16" customHeight="1">
      <x:c r="A855" s="56" t="str">
        <x:v>SOC05.003</x:v>
      </x:c>
      <x:c r="B855" s="57" t="str">
        <x:v>Verificar publicación Realtime</x:v>
      </x:c>
      <x:c r="C855" s="62" t="str">
        <x:v>E</x:v>
      </x:c>
      <x:c r="D855" s="64" t="n">
        <x:f>'Detalle'!I417</x:f>
        <x:v>1</x:v>
      </x:c>
      <x:c r="E855" s="60" t="str">
        <x:f>'Detalle'!F417</x:f>
        <x:v>Completado</x:v>
      </x:c>
      <x:c r="F855" s="32" t="str">
        <x:f>IF(AND(F$8&lt;='Detalle'!$H417,F$9&gt;='Detalle'!$G417),1,"")</x:f>
      </x:c>
      <x:c r="G855" s="32" t="str">
        <x:f>IF(AND(G$8&lt;='Detalle'!$H417,G$9&gt;='Detalle'!$G417),1,"")</x:f>
      </x:c>
      <x:c r="H855" s="32" t="str">
        <x:f>IF(AND(H$8&lt;='Detalle'!$H417,H$9&gt;='Detalle'!$G417),1,"")</x:f>
      </x:c>
      <x:c r="I855" s="32" t="n">
        <x:f>IF(AND(I$8&lt;='Detalle'!$H417,I$9&gt;='Detalle'!$G417),1,"")</x:f>
        <x:v>1</x:v>
      </x:c>
      <x:c r="J855" s="32" t="str">
        <x:f>IF(AND(J$8&lt;='Detalle'!$H417,J$9&gt;='Detalle'!$G417),1,"")</x:f>
      </x:c>
      <x:c r="K855" s="32" t="str">
        <x:f>IF(AND(K$8&lt;='Detalle'!$H417,K$9&gt;='Detalle'!$G417),1,"")</x:f>
      </x:c>
      <x:c r="L855" s="32" t="str">
        <x:f>IF(AND(L$8&lt;='Detalle'!$H417,L$9&gt;='Detalle'!$G417),1,"")</x:f>
      </x:c>
      <x:c r="M855" s="32" t="str">
        <x:f>IF(AND(M$8&lt;='Detalle'!$H417,M$9&gt;='Detalle'!$G417),1,"")</x:f>
      </x:c>
      <x:c r="N855" s="32" t="str">
        <x:f>IF(AND(N$8&lt;='Detalle'!$H417,N$9&gt;='Detalle'!$G417),1,"")</x:f>
      </x:c>
      <x:c r="O855" s="32" t="str">
        <x:f>IF(AND(O$8&lt;='Detalle'!$H417,O$9&gt;='Detalle'!$G417),1,"")</x:f>
      </x:c>
      <x:c r="P855" s="32" t="str">
        <x:f>IF(AND(P$8&lt;='Detalle'!$H417,P$9&gt;='Detalle'!$G417),1,"")</x:f>
      </x:c>
      <x:c r="Q855" s="68"/>
      <x:c r="R855" s="67" t="str">
        <x:f>IF('Detalle'!M417="","",'Detalle'!M417)</x:f>
      </x:c>
      <x:c r="S855" s="67" t="str">
        <x:f>IF('Detalle'!N417="","",'Detalle'!N417)</x:f>
      </x:c>
    </x:row>
    <x:row r="856" ht="16" customHeight="1">
      <x:c r="A856" s="56" t="str">
        <x:v>SOC05.003</x:v>
      </x:c>
      <x:c r="B856" s="57" t="str">
        <x:v>Verificar publicación Realtime</x:v>
      </x:c>
      <x:c r="C856" s="63" t="str">
        <x:v>R</x:v>
      </x:c>
      <x:c r="D856" s="65" t="str">
        <x:f>IF('Detalle'!L417="","",'Detalle'!L417)</x:f>
      </x:c>
      <x:c r="E856" s="60" t="str"/>
      <x:c r="F856" s="32" t="str">
        <x:f>IF(OR('Detalle'!$J417="",'Detalle'!$K417="",'Detalle'!$L417=""),"",IF(AND(F$8&lt;='Detalle'!$K417,F$9&gt;='Detalle'!$J417),1,""))</x:f>
      </x:c>
      <x:c r="G856" s="32" t="str">
        <x:f>IF(OR('Detalle'!$J417="",'Detalle'!$K417="",'Detalle'!$L417=""),"",IF(AND(G$8&lt;='Detalle'!$K417,G$9&gt;='Detalle'!$J417),1,""))</x:f>
      </x:c>
      <x:c r="H856" s="32" t="str">
        <x:f>IF(OR('Detalle'!$J417="",'Detalle'!$K417="",'Detalle'!$L417=""),"",IF(AND(H$8&lt;='Detalle'!$K417,H$9&gt;='Detalle'!$J417),1,""))</x:f>
      </x:c>
      <x:c r="I856" s="32" t="str">
        <x:f>IF(OR('Detalle'!$J417="",'Detalle'!$K417="",'Detalle'!$L417=""),"",IF(AND(I$8&lt;='Detalle'!$K417,I$9&gt;='Detalle'!$J417),1,""))</x:f>
      </x:c>
      <x:c r="J856" s="32" t="str">
        <x:f>IF(OR('Detalle'!$J417="",'Detalle'!$K417="",'Detalle'!$L417=""),"",IF(AND(J$8&lt;='Detalle'!$K417,J$9&gt;='Detalle'!$J417),1,""))</x:f>
      </x:c>
      <x:c r="K856" s="32" t="str">
        <x:f>IF(OR('Detalle'!$J417="",'Detalle'!$K417="",'Detalle'!$L417=""),"",IF(AND(K$8&lt;='Detalle'!$K417,K$9&gt;='Detalle'!$J417),1,""))</x:f>
      </x:c>
      <x:c r="L856" s="32" t="str">
        <x:f>IF(OR('Detalle'!$J417="",'Detalle'!$K417="",'Detalle'!$L417=""),"",IF(AND(L$8&lt;='Detalle'!$K417,L$9&gt;='Detalle'!$J417),1,""))</x:f>
      </x:c>
      <x:c r="M856" s="32" t="str">
        <x:f>IF(OR('Detalle'!$J417="",'Detalle'!$K417="",'Detalle'!$L417=""),"",IF(AND(M$8&lt;='Detalle'!$K417,M$9&gt;='Detalle'!$J417),1,""))</x:f>
      </x:c>
      <x:c r="N856" s="32" t="str">
        <x:f>IF(OR('Detalle'!$J417="",'Detalle'!$K417="",'Detalle'!$L417=""),"",IF(AND(N$8&lt;='Detalle'!$K417,N$9&gt;='Detalle'!$J417),1,""))</x:f>
      </x:c>
      <x:c r="O856" s="32" t="str">
        <x:f>IF(OR('Detalle'!$J417="",'Detalle'!$K417="",'Detalle'!$L417=""),"",IF(AND(O$8&lt;='Detalle'!$K417,O$9&gt;='Detalle'!$J417),1,""))</x:f>
      </x:c>
      <x:c r="P856" s="32" t="str">
        <x:f>IF(OR('Detalle'!$J417="",'Detalle'!$K417="",'Detalle'!$L417=""),"",IF(AND(P$8&lt;='Detalle'!$K417,P$9&gt;='Detalle'!$J417),1,""))</x:f>
      </x:c>
      <x:c r="Q856" s="68"/>
      <x:c r="R856" s="67" t="str"/>
      <x:c r="S856" s="67" t="str"/>
    </x:row>
    <x:row r="857" ht="16" customHeight="1">
      <x:c r="A857" s="56" t="str">
        <x:v>SOC05.004</x:v>
      </x:c>
      <x:c r="B857" s="57" t="str">
        <x:v>Verificar cascadas de contenido social</x:v>
      </x:c>
      <x:c r="C857" s="62" t="str">
        <x:v>E</x:v>
      </x:c>
      <x:c r="D857" s="64" t="n">
        <x:f>'Detalle'!I418</x:f>
        <x:v>1</x:v>
      </x:c>
      <x:c r="E857" s="60" t="str">
        <x:f>'Detalle'!F418</x:f>
        <x:v>Completado</x:v>
      </x:c>
      <x:c r="F857" s="32" t="str">
        <x:f>IF(AND(F$8&lt;='Detalle'!$H418,F$9&gt;='Detalle'!$G418),1,"")</x:f>
      </x:c>
      <x:c r="G857" s="32" t="str">
        <x:f>IF(AND(G$8&lt;='Detalle'!$H418,G$9&gt;='Detalle'!$G418),1,"")</x:f>
      </x:c>
      <x:c r="H857" s="32" t="str">
        <x:f>IF(AND(H$8&lt;='Detalle'!$H418,H$9&gt;='Detalle'!$G418),1,"")</x:f>
      </x:c>
      <x:c r="I857" s="32" t="n">
        <x:f>IF(AND(I$8&lt;='Detalle'!$H418,I$9&gt;='Detalle'!$G418),1,"")</x:f>
        <x:v>1</x:v>
      </x:c>
      <x:c r="J857" s="32" t="str">
        <x:f>IF(AND(J$8&lt;='Detalle'!$H418,J$9&gt;='Detalle'!$G418),1,"")</x:f>
      </x:c>
      <x:c r="K857" s="32" t="str">
        <x:f>IF(AND(K$8&lt;='Detalle'!$H418,K$9&gt;='Detalle'!$G418),1,"")</x:f>
      </x:c>
      <x:c r="L857" s="32" t="str">
        <x:f>IF(AND(L$8&lt;='Detalle'!$H418,L$9&gt;='Detalle'!$G418),1,"")</x:f>
      </x:c>
      <x:c r="M857" s="32" t="str">
        <x:f>IF(AND(M$8&lt;='Detalle'!$H418,M$9&gt;='Detalle'!$G418),1,"")</x:f>
      </x:c>
      <x:c r="N857" s="32" t="str">
        <x:f>IF(AND(N$8&lt;='Detalle'!$H418,N$9&gt;='Detalle'!$G418),1,"")</x:f>
      </x:c>
      <x:c r="O857" s="32" t="str">
        <x:f>IF(AND(O$8&lt;='Detalle'!$H418,O$9&gt;='Detalle'!$G418),1,"")</x:f>
      </x:c>
      <x:c r="P857" s="32" t="str">
        <x:f>IF(AND(P$8&lt;='Detalle'!$H418,P$9&gt;='Detalle'!$G418),1,"")</x:f>
      </x:c>
      <x:c r="Q857" s="68"/>
      <x:c r="R857" s="67" t="str">
        <x:f>IF('Detalle'!M418="","",'Detalle'!M418)</x:f>
      </x:c>
      <x:c r="S857" s="67" t="str">
        <x:f>IF('Detalle'!N418="","",'Detalle'!N418)</x:f>
      </x:c>
    </x:row>
    <x:row r="858" ht="16" customHeight="1">
      <x:c r="A858" s="56" t="str">
        <x:v>SOC05.004</x:v>
      </x:c>
      <x:c r="B858" s="57" t="str">
        <x:v>Verificar cascadas de contenido social</x:v>
      </x:c>
      <x:c r="C858" s="63" t="str">
        <x:v>R</x:v>
      </x:c>
      <x:c r="D858" s="65" t="str">
        <x:f>IF('Detalle'!L418="","",'Detalle'!L418)</x:f>
      </x:c>
      <x:c r="E858" s="60" t="str"/>
      <x:c r="F858" s="32" t="str">
        <x:f>IF(OR('Detalle'!$J418="",'Detalle'!$K418="",'Detalle'!$L418=""),"",IF(AND(F$8&lt;='Detalle'!$K418,F$9&gt;='Detalle'!$J418),1,""))</x:f>
      </x:c>
      <x:c r="G858" s="32" t="str">
        <x:f>IF(OR('Detalle'!$J418="",'Detalle'!$K418="",'Detalle'!$L418=""),"",IF(AND(G$8&lt;='Detalle'!$K418,G$9&gt;='Detalle'!$J418),1,""))</x:f>
      </x:c>
      <x:c r="H858" s="32" t="str">
        <x:f>IF(OR('Detalle'!$J418="",'Detalle'!$K418="",'Detalle'!$L418=""),"",IF(AND(H$8&lt;='Detalle'!$K418,H$9&gt;='Detalle'!$J418),1,""))</x:f>
      </x:c>
      <x:c r="I858" s="32" t="str">
        <x:f>IF(OR('Detalle'!$J418="",'Detalle'!$K418="",'Detalle'!$L418=""),"",IF(AND(I$8&lt;='Detalle'!$K418,I$9&gt;='Detalle'!$J418),1,""))</x:f>
      </x:c>
      <x:c r="J858" s="32" t="str">
        <x:f>IF(OR('Detalle'!$J418="",'Detalle'!$K418="",'Detalle'!$L418=""),"",IF(AND(J$8&lt;='Detalle'!$K418,J$9&gt;='Detalle'!$J418),1,""))</x:f>
      </x:c>
      <x:c r="K858" s="32" t="str">
        <x:f>IF(OR('Detalle'!$J418="",'Detalle'!$K418="",'Detalle'!$L418=""),"",IF(AND(K$8&lt;='Detalle'!$K418,K$9&gt;='Detalle'!$J418),1,""))</x:f>
      </x:c>
      <x:c r="L858" s="32" t="str">
        <x:f>IF(OR('Detalle'!$J418="",'Detalle'!$K418="",'Detalle'!$L418=""),"",IF(AND(L$8&lt;='Detalle'!$K418,L$9&gt;='Detalle'!$J418),1,""))</x:f>
      </x:c>
      <x:c r="M858" s="32" t="str">
        <x:f>IF(OR('Detalle'!$J418="",'Detalle'!$K418="",'Detalle'!$L418=""),"",IF(AND(M$8&lt;='Detalle'!$K418,M$9&gt;='Detalle'!$J418),1,""))</x:f>
      </x:c>
      <x:c r="N858" s="32" t="str">
        <x:f>IF(OR('Detalle'!$J418="",'Detalle'!$K418="",'Detalle'!$L418=""),"",IF(AND(N$8&lt;='Detalle'!$K418,N$9&gt;='Detalle'!$J418),1,""))</x:f>
      </x:c>
      <x:c r="O858" s="32" t="str">
        <x:f>IF(OR('Detalle'!$J418="",'Detalle'!$K418="",'Detalle'!$L418=""),"",IF(AND(O$8&lt;='Detalle'!$K418,O$9&gt;='Detalle'!$J418),1,""))</x:f>
      </x:c>
      <x:c r="P858" s="32" t="str">
        <x:f>IF(OR('Detalle'!$J418="",'Detalle'!$K418="",'Detalle'!$L418=""),"",IF(AND(P$8&lt;='Detalle'!$K418,P$9&gt;='Detalle'!$J418),1,""))</x:f>
      </x:c>
      <x:c r="Q858" s="68"/>
      <x:c r="R858" s="67" t="str"/>
      <x:c r="S858" s="67" t="str"/>
    </x:row>
    <x:row r="859" ht="16" customHeight="1">
      <x:c r="A859" s="56" t="str">
        <x:v>SOC05.005</x:v>
      </x:c>
      <x:c r="B859" s="57" t="str">
        <x:v>Actualizar gate histórico de migraciones</x:v>
      </x:c>
      <x:c r="C859" s="62" t="str">
        <x:v>E</x:v>
      </x:c>
      <x:c r="D859" s="64" t="n">
        <x:f>'Detalle'!I419</x:f>
        <x:v>1</x:v>
      </x:c>
      <x:c r="E859" s="60" t="str">
        <x:f>'Detalle'!F419</x:f>
        <x:v>Completado</x:v>
      </x:c>
      <x:c r="F859" s="32" t="str">
        <x:f>IF(AND(F$8&lt;='Detalle'!$H419,F$9&gt;='Detalle'!$G419),1,"")</x:f>
      </x:c>
      <x:c r="G859" s="32" t="str">
        <x:f>IF(AND(G$8&lt;='Detalle'!$H419,G$9&gt;='Detalle'!$G419),1,"")</x:f>
      </x:c>
      <x:c r="H859" s="32" t="str">
        <x:f>IF(AND(H$8&lt;='Detalle'!$H419,H$9&gt;='Detalle'!$G419),1,"")</x:f>
      </x:c>
      <x:c r="I859" s="32" t="n">
        <x:f>IF(AND(I$8&lt;='Detalle'!$H419,I$9&gt;='Detalle'!$G419),1,"")</x:f>
        <x:v>1</x:v>
      </x:c>
      <x:c r="J859" s="32" t="str">
        <x:f>IF(AND(J$8&lt;='Detalle'!$H419,J$9&gt;='Detalle'!$G419),1,"")</x:f>
      </x:c>
      <x:c r="K859" s="32" t="str">
        <x:f>IF(AND(K$8&lt;='Detalle'!$H419,K$9&gt;='Detalle'!$G419),1,"")</x:f>
      </x:c>
      <x:c r="L859" s="32" t="str">
        <x:f>IF(AND(L$8&lt;='Detalle'!$H419,L$9&gt;='Detalle'!$G419),1,"")</x:f>
      </x:c>
      <x:c r="M859" s="32" t="str">
        <x:f>IF(AND(M$8&lt;='Detalle'!$H419,M$9&gt;='Detalle'!$G419),1,"")</x:f>
      </x:c>
      <x:c r="N859" s="32" t="str">
        <x:f>IF(AND(N$8&lt;='Detalle'!$H419,N$9&gt;='Detalle'!$G419),1,"")</x:f>
      </x:c>
      <x:c r="O859" s="32" t="str">
        <x:f>IF(AND(O$8&lt;='Detalle'!$H419,O$9&gt;='Detalle'!$G419),1,"")</x:f>
      </x:c>
      <x:c r="P859" s="32" t="str">
        <x:f>IF(AND(P$8&lt;='Detalle'!$H419,P$9&gt;='Detalle'!$G419),1,"")</x:f>
      </x:c>
      <x:c r="Q859" s="68"/>
      <x:c r="R859" s="67" t="str">
        <x:f>IF('Detalle'!M419="","",'Detalle'!M419)</x:f>
      </x:c>
      <x:c r="S859" s="67" t="str">
        <x:f>IF('Detalle'!N419="","",'Detalle'!N419)</x:f>
      </x:c>
    </x:row>
    <x:row r="860" ht="16" customHeight="1">
      <x:c r="A860" s="56" t="str">
        <x:v>SOC05.005</x:v>
      </x:c>
      <x:c r="B860" s="57" t="str">
        <x:v>Actualizar gate histórico de migraciones</x:v>
      </x:c>
      <x:c r="C860" s="63" t="str">
        <x:v>R</x:v>
      </x:c>
      <x:c r="D860" s="65" t="str">
        <x:f>IF('Detalle'!L419="","",'Detalle'!L419)</x:f>
      </x:c>
      <x:c r="E860" s="60" t="str"/>
      <x:c r="F860" s="32" t="str">
        <x:f>IF(OR('Detalle'!$J419="",'Detalle'!$K419="",'Detalle'!$L419=""),"",IF(AND(F$8&lt;='Detalle'!$K419,F$9&gt;='Detalle'!$J419),1,""))</x:f>
      </x:c>
      <x:c r="G860" s="32" t="str">
        <x:f>IF(OR('Detalle'!$J419="",'Detalle'!$K419="",'Detalle'!$L419=""),"",IF(AND(G$8&lt;='Detalle'!$K419,G$9&gt;='Detalle'!$J419),1,""))</x:f>
      </x:c>
      <x:c r="H860" s="32" t="str">
        <x:f>IF(OR('Detalle'!$J419="",'Detalle'!$K419="",'Detalle'!$L419=""),"",IF(AND(H$8&lt;='Detalle'!$K419,H$9&gt;='Detalle'!$J419),1,""))</x:f>
      </x:c>
      <x:c r="I860" s="32" t="str">
        <x:f>IF(OR('Detalle'!$J419="",'Detalle'!$K419="",'Detalle'!$L419=""),"",IF(AND(I$8&lt;='Detalle'!$K419,I$9&gt;='Detalle'!$J419),1,""))</x:f>
      </x:c>
      <x:c r="J860" s="32" t="str">
        <x:f>IF(OR('Detalle'!$J419="",'Detalle'!$K419="",'Detalle'!$L419=""),"",IF(AND(J$8&lt;='Detalle'!$K419,J$9&gt;='Detalle'!$J419),1,""))</x:f>
      </x:c>
      <x:c r="K860" s="32" t="str">
        <x:f>IF(OR('Detalle'!$J419="",'Detalle'!$K419="",'Detalle'!$L419=""),"",IF(AND(K$8&lt;='Detalle'!$K419,K$9&gt;='Detalle'!$J419),1,""))</x:f>
      </x:c>
      <x:c r="L860" s="32" t="str">
        <x:f>IF(OR('Detalle'!$J419="",'Detalle'!$K419="",'Detalle'!$L419=""),"",IF(AND(L$8&lt;='Detalle'!$K419,L$9&gt;='Detalle'!$J419),1,""))</x:f>
      </x:c>
      <x:c r="M860" s="32" t="str">
        <x:f>IF(OR('Detalle'!$J419="",'Detalle'!$K419="",'Detalle'!$L419=""),"",IF(AND(M$8&lt;='Detalle'!$K419,M$9&gt;='Detalle'!$J419),1,""))</x:f>
      </x:c>
      <x:c r="N860" s="32" t="str">
        <x:f>IF(OR('Detalle'!$J419="",'Detalle'!$K419="",'Detalle'!$L419=""),"",IF(AND(N$8&lt;='Detalle'!$K419,N$9&gt;='Detalle'!$J419),1,""))</x:f>
      </x:c>
      <x:c r="O860" s="32" t="str">
        <x:f>IF(OR('Detalle'!$J419="",'Detalle'!$K419="",'Detalle'!$L419=""),"",IF(AND(O$8&lt;='Detalle'!$K419,O$9&gt;='Detalle'!$J419),1,""))</x:f>
      </x:c>
      <x:c r="P860" s="32" t="str">
        <x:f>IF(OR('Detalle'!$J419="",'Detalle'!$K419="",'Detalle'!$L419=""),"",IF(AND(P$8&lt;='Detalle'!$K419,P$9&gt;='Detalle'!$J419),1,""))</x:f>
      </x:c>
      <x:c r="Q860" s="68"/>
      <x:c r="R860" s="67" t="str"/>
      <x:c r="S860" s="67" t="str"/>
    </x:row>
    <x:row r="861" ht="16" customHeight="1">
      <x:c r="A861" s="56" t="str">
        <x:v>SOC05.006</x:v>
      </x:c>
      <x:c r="B861" s="57" t="str">
        <x:v>Corregir pie con teclado y texto ampliado</x:v>
      </x:c>
      <x:c r="C861" s="62" t="str">
        <x:v>E</x:v>
      </x:c>
      <x:c r="D861" s="64" t="n">
        <x:f>'Detalle'!I420</x:f>
        <x:v>1</x:v>
      </x:c>
      <x:c r="E861" s="60" t="str">
        <x:f>'Detalle'!F420</x:f>
        <x:v>Completado</x:v>
      </x:c>
      <x:c r="F861" s="32" t="str">
        <x:f>IF(AND(F$8&lt;='Detalle'!$H420,F$9&gt;='Detalle'!$G420),1,"")</x:f>
      </x:c>
      <x:c r="G861" s="32" t="str">
        <x:f>IF(AND(G$8&lt;='Detalle'!$H420,G$9&gt;='Detalle'!$G420),1,"")</x:f>
      </x:c>
      <x:c r="H861" s="32" t="str">
        <x:f>IF(AND(H$8&lt;='Detalle'!$H420,H$9&gt;='Detalle'!$G420),1,"")</x:f>
      </x:c>
      <x:c r="I861" s="32" t="n">
        <x:f>IF(AND(I$8&lt;='Detalle'!$H420,I$9&gt;='Detalle'!$G420),1,"")</x:f>
        <x:v>1</x:v>
      </x:c>
      <x:c r="J861" s="32" t="str">
        <x:f>IF(AND(J$8&lt;='Detalle'!$H420,J$9&gt;='Detalle'!$G420),1,"")</x:f>
      </x:c>
      <x:c r="K861" s="32" t="str">
        <x:f>IF(AND(K$8&lt;='Detalle'!$H420,K$9&gt;='Detalle'!$G420),1,"")</x:f>
      </x:c>
      <x:c r="L861" s="32" t="str">
        <x:f>IF(AND(L$8&lt;='Detalle'!$H420,L$9&gt;='Detalle'!$G420),1,"")</x:f>
      </x:c>
      <x:c r="M861" s="32" t="str">
        <x:f>IF(AND(M$8&lt;='Detalle'!$H420,M$9&gt;='Detalle'!$G420),1,"")</x:f>
      </x:c>
      <x:c r="N861" s="32" t="str">
        <x:f>IF(AND(N$8&lt;='Detalle'!$H420,N$9&gt;='Detalle'!$G420),1,"")</x:f>
      </x:c>
      <x:c r="O861" s="32" t="str">
        <x:f>IF(AND(O$8&lt;='Detalle'!$H420,O$9&gt;='Detalle'!$G420),1,"")</x:f>
      </x:c>
      <x:c r="P861" s="32" t="str">
        <x:f>IF(AND(P$8&lt;='Detalle'!$H420,P$9&gt;='Detalle'!$G420),1,"")</x:f>
      </x:c>
      <x:c r="Q861" s="68"/>
      <x:c r="R861" s="67" t="str">
        <x:f>IF('Detalle'!M420="","",'Detalle'!M420)</x:f>
      </x:c>
      <x:c r="S861" s="67" t="str">
        <x:f>IF('Detalle'!N420="","",'Detalle'!N420)</x:f>
      </x:c>
    </x:row>
    <x:row r="862" ht="16" customHeight="1">
      <x:c r="A862" s="56" t="str">
        <x:v>SOC05.006</x:v>
      </x:c>
      <x:c r="B862" s="57" t="str">
        <x:v>Corregir pie con teclado y texto ampliado</x:v>
      </x:c>
      <x:c r="C862" s="63" t="str">
        <x:v>R</x:v>
      </x:c>
      <x:c r="D862" s="65" t="str">
        <x:f>IF('Detalle'!L420="","",'Detalle'!L420)</x:f>
      </x:c>
      <x:c r="E862" s="60" t="str"/>
      <x:c r="F862" s="32" t="str">
        <x:f>IF(OR('Detalle'!$J420="",'Detalle'!$K420="",'Detalle'!$L420=""),"",IF(AND(F$8&lt;='Detalle'!$K420,F$9&gt;='Detalle'!$J420),1,""))</x:f>
      </x:c>
      <x:c r="G862" s="32" t="str">
        <x:f>IF(OR('Detalle'!$J420="",'Detalle'!$K420="",'Detalle'!$L420=""),"",IF(AND(G$8&lt;='Detalle'!$K420,G$9&gt;='Detalle'!$J420),1,""))</x:f>
      </x:c>
      <x:c r="H862" s="32" t="str">
        <x:f>IF(OR('Detalle'!$J420="",'Detalle'!$K420="",'Detalle'!$L420=""),"",IF(AND(H$8&lt;='Detalle'!$K420,H$9&gt;='Detalle'!$J420),1,""))</x:f>
      </x:c>
      <x:c r="I862" s="32" t="str">
        <x:f>IF(OR('Detalle'!$J420="",'Detalle'!$K420="",'Detalle'!$L420=""),"",IF(AND(I$8&lt;='Detalle'!$K420,I$9&gt;='Detalle'!$J420),1,""))</x:f>
      </x:c>
      <x:c r="J862" s="32" t="str">
        <x:f>IF(OR('Detalle'!$J420="",'Detalle'!$K420="",'Detalle'!$L420=""),"",IF(AND(J$8&lt;='Detalle'!$K420,J$9&gt;='Detalle'!$J420),1,""))</x:f>
      </x:c>
      <x:c r="K862" s="32" t="str">
        <x:f>IF(OR('Detalle'!$J420="",'Detalle'!$K420="",'Detalle'!$L420=""),"",IF(AND(K$8&lt;='Detalle'!$K420,K$9&gt;='Detalle'!$J420),1,""))</x:f>
      </x:c>
      <x:c r="L862" s="32" t="str">
        <x:f>IF(OR('Detalle'!$J420="",'Detalle'!$K420="",'Detalle'!$L420=""),"",IF(AND(L$8&lt;='Detalle'!$K420,L$9&gt;='Detalle'!$J420),1,""))</x:f>
      </x:c>
      <x:c r="M862" s="32" t="str">
        <x:f>IF(OR('Detalle'!$J420="",'Detalle'!$K420="",'Detalle'!$L420=""),"",IF(AND(M$8&lt;='Detalle'!$K420,M$9&gt;='Detalle'!$J420),1,""))</x:f>
      </x:c>
      <x:c r="N862" s="32" t="str">
        <x:f>IF(OR('Detalle'!$J420="",'Detalle'!$K420="",'Detalle'!$L420=""),"",IF(AND(N$8&lt;='Detalle'!$K420,N$9&gt;='Detalle'!$J420),1,""))</x:f>
      </x:c>
      <x:c r="O862" s="32" t="str">
        <x:f>IF(OR('Detalle'!$J420="",'Detalle'!$K420="",'Detalle'!$L420=""),"",IF(AND(O$8&lt;='Detalle'!$K420,O$9&gt;='Detalle'!$J420),1,""))</x:f>
      </x:c>
      <x:c r="P862" s="32" t="str">
        <x:f>IF(OR('Detalle'!$J420="",'Detalle'!$K420="",'Detalle'!$L420=""),"",IF(AND(P$8&lt;='Detalle'!$K420,P$9&gt;='Detalle'!$J420),1,""))</x:f>
      </x:c>
      <x:c r="Q862" s="68"/>
      <x:c r="R862" s="67" t="str"/>
      <x:c r="S862" s="67" t="str"/>
    </x:row>
    <x:row r="863" ht="16" customHeight="1">
      <x:c r="A863" s="56" t="str">
        <x:v>SOC05.007</x:v>
      </x:c>
      <x:c r="B863" s="57" t="str">
        <x:v>Corregir límite semántico de Navigator</x:v>
      </x:c>
      <x:c r="C863" s="62" t="str">
        <x:v>E</x:v>
      </x:c>
      <x:c r="D863" s="64" t="n">
        <x:f>'Detalle'!I421</x:f>
        <x:v>1</x:v>
      </x:c>
      <x:c r="E863" s="60" t="str">
        <x:f>'Detalle'!F421</x:f>
        <x:v>Completado</x:v>
      </x:c>
      <x:c r="F863" s="32" t="str">
        <x:f>IF(AND(F$8&lt;='Detalle'!$H421,F$9&gt;='Detalle'!$G421),1,"")</x:f>
      </x:c>
      <x:c r="G863" s="32" t="str">
        <x:f>IF(AND(G$8&lt;='Detalle'!$H421,G$9&gt;='Detalle'!$G421),1,"")</x:f>
      </x:c>
      <x:c r="H863" s="32" t="str">
        <x:f>IF(AND(H$8&lt;='Detalle'!$H421,H$9&gt;='Detalle'!$G421),1,"")</x:f>
      </x:c>
      <x:c r="I863" s="32" t="n">
        <x:f>IF(AND(I$8&lt;='Detalle'!$H421,I$9&gt;='Detalle'!$G421),1,"")</x:f>
        <x:v>1</x:v>
      </x:c>
      <x:c r="J863" s="32" t="str">
        <x:f>IF(AND(J$8&lt;='Detalle'!$H421,J$9&gt;='Detalle'!$G421),1,"")</x:f>
      </x:c>
      <x:c r="K863" s="32" t="str">
        <x:f>IF(AND(K$8&lt;='Detalle'!$H421,K$9&gt;='Detalle'!$G421),1,"")</x:f>
      </x:c>
      <x:c r="L863" s="32" t="str">
        <x:f>IF(AND(L$8&lt;='Detalle'!$H421,L$9&gt;='Detalle'!$G421),1,"")</x:f>
      </x:c>
      <x:c r="M863" s="32" t="str">
        <x:f>IF(AND(M$8&lt;='Detalle'!$H421,M$9&gt;='Detalle'!$G421),1,"")</x:f>
      </x:c>
      <x:c r="N863" s="32" t="str">
        <x:f>IF(AND(N$8&lt;='Detalle'!$H421,N$9&gt;='Detalle'!$G421),1,"")</x:f>
      </x:c>
      <x:c r="O863" s="32" t="str">
        <x:f>IF(AND(O$8&lt;='Detalle'!$H421,O$9&gt;='Detalle'!$G421),1,"")</x:f>
      </x:c>
      <x:c r="P863" s="32" t="str">
        <x:f>IF(AND(P$8&lt;='Detalle'!$H421,P$9&gt;='Detalle'!$G421),1,"")</x:f>
      </x:c>
      <x:c r="Q863" s="68"/>
      <x:c r="R863" s="67" t="str">
        <x:f>IF('Detalle'!M421="","",'Detalle'!M421)</x:f>
      </x:c>
      <x:c r="S863" s="67" t="str">
        <x:f>IF('Detalle'!N421="","",'Detalle'!N421)</x:f>
      </x:c>
    </x:row>
    <x:row r="864" ht="16" customHeight="1">
      <x:c r="A864" s="56" t="str">
        <x:v>SOC05.007</x:v>
      </x:c>
      <x:c r="B864" s="57" t="str">
        <x:v>Corregir límite semántico de Navigator</x:v>
      </x:c>
      <x:c r="C864" s="63" t="str">
        <x:v>R</x:v>
      </x:c>
      <x:c r="D864" s="65" t="str">
        <x:f>IF('Detalle'!L421="","",'Detalle'!L421)</x:f>
      </x:c>
      <x:c r="E864" s="60" t="str"/>
      <x:c r="F864" s="32" t="str">
        <x:f>IF(OR('Detalle'!$J421="",'Detalle'!$K421="",'Detalle'!$L421=""),"",IF(AND(F$8&lt;='Detalle'!$K421,F$9&gt;='Detalle'!$J421),1,""))</x:f>
      </x:c>
      <x:c r="G864" s="32" t="str">
        <x:f>IF(OR('Detalle'!$J421="",'Detalle'!$K421="",'Detalle'!$L421=""),"",IF(AND(G$8&lt;='Detalle'!$K421,G$9&gt;='Detalle'!$J421),1,""))</x:f>
      </x:c>
      <x:c r="H864" s="32" t="str">
        <x:f>IF(OR('Detalle'!$J421="",'Detalle'!$K421="",'Detalle'!$L421=""),"",IF(AND(H$8&lt;='Detalle'!$K421,H$9&gt;='Detalle'!$J421),1,""))</x:f>
      </x:c>
      <x:c r="I864" s="32" t="str">
        <x:f>IF(OR('Detalle'!$J421="",'Detalle'!$K421="",'Detalle'!$L421=""),"",IF(AND(I$8&lt;='Detalle'!$K421,I$9&gt;='Detalle'!$J421),1,""))</x:f>
      </x:c>
      <x:c r="J864" s="32" t="str">
        <x:f>IF(OR('Detalle'!$J421="",'Detalle'!$K421="",'Detalle'!$L421=""),"",IF(AND(J$8&lt;='Detalle'!$K421,J$9&gt;='Detalle'!$J421),1,""))</x:f>
      </x:c>
      <x:c r="K864" s="32" t="str">
        <x:f>IF(OR('Detalle'!$J421="",'Detalle'!$K421="",'Detalle'!$L421=""),"",IF(AND(K$8&lt;='Detalle'!$K421,K$9&gt;='Detalle'!$J421),1,""))</x:f>
      </x:c>
      <x:c r="L864" s="32" t="str">
        <x:f>IF(OR('Detalle'!$J421="",'Detalle'!$K421="",'Detalle'!$L421=""),"",IF(AND(L$8&lt;='Detalle'!$K421,L$9&gt;='Detalle'!$J421),1,""))</x:f>
      </x:c>
      <x:c r="M864" s="32" t="str">
        <x:f>IF(OR('Detalle'!$J421="",'Detalle'!$K421="",'Detalle'!$L421=""),"",IF(AND(M$8&lt;='Detalle'!$K421,M$9&gt;='Detalle'!$J421),1,""))</x:f>
      </x:c>
      <x:c r="N864" s="32" t="str">
        <x:f>IF(OR('Detalle'!$J421="",'Detalle'!$K421="",'Detalle'!$L421=""),"",IF(AND(N$8&lt;='Detalle'!$K421,N$9&gt;='Detalle'!$J421),1,""))</x:f>
      </x:c>
      <x:c r="O864" s="32" t="str">
        <x:f>IF(OR('Detalle'!$J421="",'Detalle'!$K421="",'Detalle'!$L421=""),"",IF(AND(O$8&lt;='Detalle'!$K421,O$9&gt;='Detalle'!$J421),1,""))</x:f>
      </x:c>
      <x:c r="P864" s="32" t="str">
        <x:f>IF(OR('Detalle'!$J421="",'Detalle'!$K421="",'Detalle'!$L421=""),"",IF(AND(P$8&lt;='Detalle'!$K421,P$9&gt;='Detalle'!$J421),1,""))</x:f>
      </x:c>
      <x:c r="Q864" s="68"/>
      <x:c r="R864" s="67" t="str"/>
      <x:c r="S864" s="67" t="str"/>
    </x:row>
    <x:row r="865" ht="16" customHeight="1">
      <x:c r="A865" s="56" t="str">
        <x:v>SOC05.008</x:v>
      </x:c>
      <x:c r="B865" s="57" t="str">
        <x:v>Retirar refresco aislado de Inicio</x:v>
      </x:c>
      <x:c r="C865" s="62" t="str">
        <x:v>E</x:v>
      </x:c>
      <x:c r="D865" s="64" t="n">
        <x:f>'Detalle'!I422</x:f>
        <x:v>1</x:v>
      </x:c>
      <x:c r="E865" s="60" t="str">
        <x:f>'Detalle'!F422</x:f>
        <x:v>Completado</x:v>
      </x:c>
      <x:c r="F865" s="32" t="str">
        <x:f>IF(AND(F$8&lt;='Detalle'!$H422,F$9&gt;='Detalle'!$G422),1,"")</x:f>
      </x:c>
      <x:c r="G865" s="32" t="str">
        <x:f>IF(AND(G$8&lt;='Detalle'!$H422,G$9&gt;='Detalle'!$G422),1,"")</x:f>
      </x:c>
      <x:c r="H865" s="32" t="str">
        <x:f>IF(AND(H$8&lt;='Detalle'!$H422,H$9&gt;='Detalle'!$G422),1,"")</x:f>
      </x:c>
      <x:c r="I865" s="32" t="n">
        <x:f>IF(AND(I$8&lt;='Detalle'!$H422,I$9&gt;='Detalle'!$G422),1,"")</x:f>
        <x:v>1</x:v>
      </x:c>
      <x:c r="J865" s="32" t="str">
        <x:f>IF(AND(J$8&lt;='Detalle'!$H422,J$9&gt;='Detalle'!$G422),1,"")</x:f>
      </x:c>
      <x:c r="K865" s="32" t="str">
        <x:f>IF(AND(K$8&lt;='Detalle'!$H422,K$9&gt;='Detalle'!$G422),1,"")</x:f>
      </x:c>
      <x:c r="L865" s="32" t="str">
        <x:f>IF(AND(L$8&lt;='Detalle'!$H422,L$9&gt;='Detalle'!$G422),1,"")</x:f>
      </x:c>
      <x:c r="M865" s="32" t="str">
        <x:f>IF(AND(M$8&lt;='Detalle'!$H422,M$9&gt;='Detalle'!$G422),1,"")</x:f>
      </x:c>
      <x:c r="N865" s="32" t="str">
        <x:f>IF(AND(N$8&lt;='Detalle'!$H422,N$9&gt;='Detalle'!$G422),1,"")</x:f>
      </x:c>
      <x:c r="O865" s="32" t="str">
        <x:f>IF(AND(O$8&lt;='Detalle'!$H422,O$9&gt;='Detalle'!$G422),1,"")</x:f>
      </x:c>
      <x:c r="P865" s="32" t="str">
        <x:f>IF(AND(P$8&lt;='Detalle'!$H422,P$9&gt;='Detalle'!$G422),1,"")</x:f>
      </x:c>
      <x:c r="Q865" s="68"/>
      <x:c r="R865" s="67" t="str">
        <x:f>IF('Detalle'!M422="","",'Detalle'!M422)</x:f>
      </x:c>
      <x:c r="S865" s="67" t="str">
        <x:f>IF('Detalle'!N422="","",'Detalle'!N422)</x:f>
      </x:c>
    </x:row>
    <x:row r="866" ht="16" customHeight="1">
      <x:c r="A866" s="56" t="str">
        <x:v>SOC05.008</x:v>
      </x:c>
      <x:c r="B866" s="57" t="str">
        <x:v>Retirar refresco aislado de Inicio</x:v>
      </x:c>
      <x:c r="C866" s="63" t="str">
        <x:v>R</x:v>
      </x:c>
      <x:c r="D866" s="65" t="str">
        <x:f>IF('Detalle'!L422="","",'Detalle'!L422)</x:f>
      </x:c>
      <x:c r="E866" s="60" t="str"/>
      <x:c r="F866" s="32" t="str">
        <x:f>IF(OR('Detalle'!$J422="",'Detalle'!$K422="",'Detalle'!$L422=""),"",IF(AND(F$8&lt;='Detalle'!$K422,F$9&gt;='Detalle'!$J422),1,""))</x:f>
      </x:c>
      <x:c r="G866" s="32" t="str">
        <x:f>IF(OR('Detalle'!$J422="",'Detalle'!$K422="",'Detalle'!$L422=""),"",IF(AND(G$8&lt;='Detalle'!$K422,G$9&gt;='Detalle'!$J422),1,""))</x:f>
      </x:c>
      <x:c r="H866" s="32" t="str">
        <x:f>IF(OR('Detalle'!$J422="",'Detalle'!$K422="",'Detalle'!$L422=""),"",IF(AND(H$8&lt;='Detalle'!$K422,H$9&gt;='Detalle'!$J422),1,""))</x:f>
      </x:c>
      <x:c r="I866" s="32" t="str">
        <x:f>IF(OR('Detalle'!$J422="",'Detalle'!$K422="",'Detalle'!$L422=""),"",IF(AND(I$8&lt;='Detalle'!$K422,I$9&gt;='Detalle'!$J422),1,""))</x:f>
      </x:c>
      <x:c r="J866" s="32" t="str">
        <x:f>IF(OR('Detalle'!$J422="",'Detalle'!$K422="",'Detalle'!$L422=""),"",IF(AND(J$8&lt;='Detalle'!$K422,J$9&gt;='Detalle'!$J422),1,""))</x:f>
      </x:c>
      <x:c r="K866" s="32" t="str">
        <x:f>IF(OR('Detalle'!$J422="",'Detalle'!$K422="",'Detalle'!$L422=""),"",IF(AND(K$8&lt;='Detalle'!$K422,K$9&gt;='Detalle'!$J422),1,""))</x:f>
      </x:c>
      <x:c r="L866" s="32" t="str">
        <x:f>IF(OR('Detalle'!$J422="",'Detalle'!$K422="",'Detalle'!$L422=""),"",IF(AND(L$8&lt;='Detalle'!$K422,L$9&gt;='Detalle'!$J422),1,""))</x:f>
      </x:c>
      <x:c r="M866" s="32" t="str">
        <x:f>IF(OR('Detalle'!$J422="",'Detalle'!$K422="",'Detalle'!$L422=""),"",IF(AND(M$8&lt;='Detalle'!$K422,M$9&gt;='Detalle'!$J422),1,""))</x:f>
      </x:c>
      <x:c r="N866" s="32" t="str">
        <x:f>IF(OR('Detalle'!$J422="",'Detalle'!$K422="",'Detalle'!$L422=""),"",IF(AND(N$8&lt;='Detalle'!$K422,N$9&gt;='Detalle'!$J422),1,""))</x:f>
      </x:c>
      <x:c r="O866" s="32" t="str">
        <x:f>IF(OR('Detalle'!$J422="",'Detalle'!$K422="",'Detalle'!$L422=""),"",IF(AND(O$8&lt;='Detalle'!$K422,O$9&gt;='Detalle'!$J422),1,""))</x:f>
      </x:c>
      <x:c r="P866" s="32" t="str">
        <x:f>IF(OR('Detalle'!$J422="",'Detalle'!$K422="",'Detalle'!$L422=""),"",IF(AND(P$8&lt;='Detalle'!$K422,P$9&gt;='Detalle'!$J422),1,""))</x:f>
      </x:c>
      <x:c r="Q866" s="68"/>
      <x:c r="R866" s="67" t="str"/>
      <x:c r="S866" s="67" t="str"/>
    </x:row>
    <x:row r="867" ht="16" customHeight="1">
      <x:c r="A867" s="56" t="str">
        <x:v>SOC05.009</x:v>
      </x:c>
      <x:c r="B867" s="57" t="str">
        <x:v>Validar layouts entre 360 y 1440 px</x:v>
      </x:c>
      <x:c r="C867" s="62" t="str">
        <x:v>E</x:v>
      </x:c>
      <x:c r="D867" s="64" t="n">
        <x:f>'Detalle'!I423</x:f>
        <x:v>1</x:v>
      </x:c>
      <x:c r="E867" s="60" t="str">
        <x:f>'Detalle'!F423</x:f>
        <x:v>Completado</x:v>
      </x:c>
      <x:c r="F867" s="32" t="str">
        <x:f>IF(AND(F$8&lt;='Detalle'!$H423,F$9&gt;='Detalle'!$G423),1,"")</x:f>
      </x:c>
      <x:c r="G867" s="32" t="str">
        <x:f>IF(AND(G$8&lt;='Detalle'!$H423,G$9&gt;='Detalle'!$G423),1,"")</x:f>
      </x:c>
      <x:c r="H867" s="32" t="str">
        <x:f>IF(AND(H$8&lt;='Detalle'!$H423,H$9&gt;='Detalle'!$G423),1,"")</x:f>
      </x:c>
      <x:c r="I867" s="32" t="n">
        <x:f>IF(AND(I$8&lt;='Detalle'!$H423,I$9&gt;='Detalle'!$G423),1,"")</x:f>
        <x:v>1</x:v>
      </x:c>
      <x:c r="J867" s="32" t="str">
        <x:f>IF(AND(J$8&lt;='Detalle'!$H423,J$9&gt;='Detalle'!$G423),1,"")</x:f>
      </x:c>
      <x:c r="K867" s="32" t="str">
        <x:f>IF(AND(K$8&lt;='Detalle'!$H423,K$9&gt;='Detalle'!$G423),1,"")</x:f>
      </x:c>
      <x:c r="L867" s="32" t="str">
        <x:f>IF(AND(L$8&lt;='Detalle'!$H423,L$9&gt;='Detalle'!$G423),1,"")</x:f>
      </x:c>
      <x:c r="M867" s="32" t="str">
        <x:f>IF(AND(M$8&lt;='Detalle'!$H423,M$9&gt;='Detalle'!$G423),1,"")</x:f>
      </x:c>
      <x:c r="N867" s="32" t="str">
        <x:f>IF(AND(N$8&lt;='Detalle'!$H423,N$9&gt;='Detalle'!$G423),1,"")</x:f>
      </x:c>
      <x:c r="O867" s="32" t="str">
        <x:f>IF(AND(O$8&lt;='Detalle'!$H423,O$9&gt;='Detalle'!$G423),1,"")</x:f>
      </x:c>
      <x:c r="P867" s="32" t="str">
        <x:f>IF(AND(P$8&lt;='Detalle'!$H423,P$9&gt;='Detalle'!$G423),1,"")</x:f>
      </x:c>
      <x:c r="Q867" s="68"/>
      <x:c r="R867" s="67" t="str">
        <x:f>IF('Detalle'!M423="","",'Detalle'!M423)</x:f>
      </x:c>
      <x:c r="S867" s="67" t="str">
        <x:f>IF('Detalle'!N423="","",'Detalle'!N423)</x:f>
      </x:c>
    </x:row>
    <x:row r="868" ht="16" customHeight="1">
      <x:c r="A868" s="56" t="str">
        <x:v>SOC05.009</x:v>
      </x:c>
      <x:c r="B868" s="57" t="str">
        <x:v>Validar layouts entre 360 y 1440 px</x:v>
      </x:c>
      <x:c r="C868" s="63" t="str">
        <x:v>R</x:v>
      </x:c>
      <x:c r="D868" s="65" t="str">
        <x:f>IF('Detalle'!L423="","",'Detalle'!L423)</x:f>
      </x:c>
      <x:c r="E868" s="60" t="str"/>
      <x:c r="F868" s="32" t="str">
        <x:f>IF(OR('Detalle'!$J423="",'Detalle'!$K423="",'Detalle'!$L423=""),"",IF(AND(F$8&lt;='Detalle'!$K423,F$9&gt;='Detalle'!$J423),1,""))</x:f>
      </x:c>
      <x:c r="G868" s="32" t="str">
        <x:f>IF(OR('Detalle'!$J423="",'Detalle'!$K423="",'Detalle'!$L423=""),"",IF(AND(G$8&lt;='Detalle'!$K423,G$9&gt;='Detalle'!$J423),1,""))</x:f>
      </x:c>
      <x:c r="H868" s="32" t="str">
        <x:f>IF(OR('Detalle'!$J423="",'Detalle'!$K423="",'Detalle'!$L423=""),"",IF(AND(H$8&lt;='Detalle'!$K423,H$9&gt;='Detalle'!$J423),1,""))</x:f>
      </x:c>
      <x:c r="I868" s="32" t="str">
        <x:f>IF(OR('Detalle'!$J423="",'Detalle'!$K423="",'Detalle'!$L423=""),"",IF(AND(I$8&lt;='Detalle'!$K423,I$9&gt;='Detalle'!$J423),1,""))</x:f>
      </x:c>
      <x:c r="J868" s="32" t="str">
        <x:f>IF(OR('Detalle'!$J423="",'Detalle'!$K423="",'Detalle'!$L423=""),"",IF(AND(J$8&lt;='Detalle'!$K423,J$9&gt;='Detalle'!$J423),1,""))</x:f>
      </x:c>
      <x:c r="K868" s="32" t="str">
        <x:f>IF(OR('Detalle'!$J423="",'Detalle'!$K423="",'Detalle'!$L423=""),"",IF(AND(K$8&lt;='Detalle'!$K423,K$9&gt;='Detalle'!$J423),1,""))</x:f>
      </x:c>
      <x:c r="L868" s="32" t="str">
        <x:f>IF(OR('Detalle'!$J423="",'Detalle'!$K423="",'Detalle'!$L423=""),"",IF(AND(L$8&lt;='Detalle'!$K423,L$9&gt;='Detalle'!$J423),1,""))</x:f>
      </x:c>
      <x:c r="M868" s="32" t="str">
        <x:f>IF(OR('Detalle'!$J423="",'Detalle'!$K423="",'Detalle'!$L423=""),"",IF(AND(M$8&lt;='Detalle'!$K423,M$9&gt;='Detalle'!$J423),1,""))</x:f>
      </x:c>
      <x:c r="N868" s="32" t="str">
        <x:f>IF(OR('Detalle'!$J423="",'Detalle'!$K423="",'Detalle'!$L423=""),"",IF(AND(N$8&lt;='Detalle'!$K423,N$9&gt;='Detalle'!$J423),1,""))</x:f>
      </x:c>
      <x:c r="O868" s="32" t="str">
        <x:f>IF(OR('Detalle'!$J423="",'Detalle'!$K423="",'Detalle'!$L423=""),"",IF(AND(O$8&lt;='Detalle'!$K423,O$9&gt;='Detalle'!$J423),1,""))</x:f>
      </x:c>
      <x:c r="P868" s="32" t="str">
        <x:f>IF(OR('Detalle'!$J423="",'Detalle'!$K423="",'Detalle'!$L423=""),"",IF(AND(P$8&lt;='Detalle'!$K423,P$9&gt;='Detalle'!$J423),1,""))</x:f>
      </x:c>
      <x:c r="Q868" s="68"/>
      <x:c r="R868" s="67" t="str"/>
      <x:c r="S868" s="67" t="str"/>
    </x:row>
    <x:row r="869" ht="16" customHeight="1">
      <x:c r="A869" s="56" t="str">
        <x:v>SOC05.010</x:v>
      </x:c>
      <x:c r="B869" s="57" t="str">
        <x:v>Validar compartir cancelado y Deshacer</x:v>
      </x:c>
      <x:c r="C869" s="62" t="str">
        <x:v>E</x:v>
      </x:c>
      <x:c r="D869" s="64" t="n">
        <x:f>'Detalle'!I424</x:f>
        <x:v>1</x:v>
      </x:c>
      <x:c r="E869" s="60" t="str">
        <x:f>'Detalle'!F424</x:f>
        <x:v>Completado</x:v>
      </x:c>
      <x:c r="F869" s="32" t="str">
        <x:f>IF(AND(F$8&lt;='Detalle'!$H424,F$9&gt;='Detalle'!$G424),1,"")</x:f>
      </x:c>
      <x:c r="G869" s="32" t="str">
        <x:f>IF(AND(G$8&lt;='Detalle'!$H424,G$9&gt;='Detalle'!$G424),1,"")</x:f>
      </x:c>
      <x:c r="H869" s="32" t="str">
        <x:f>IF(AND(H$8&lt;='Detalle'!$H424,H$9&gt;='Detalle'!$G424),1,"")</x:f>
      </x:c>
      <x:c r="I869" s="32" t="n">
        <x:f>IF(AND(I$8&lt;='Detalle'!$H424,I$9&gt;='Detalle'!$G424),1,"")</x:f>
        <x:v>1</x:v>
      </x:c>
      <x:c r="J869" s="32" t="str">
        <x:f>IF(AND(J$8&lt;='Detalle'!$H424,J$9&gt;='Detalle'!$G424),1,"")</x:f>
      </x:c>
      <x:c r="K869" s="32" t="str">
        <x:f>IF(AND(K$8&lt;='Detalle'!$H424,K$9&gt;='Detalle'!$G424),1,"")</x:f>
      </x:c>
      <x:c r="L869" s="32" t="str">
        <x:f>IF(AND(L$8&lt;='Detalle'!$H424,L$9&gt;='Detalle'!$G424),1,"")</x:f>
      </x:c>
      <x:c r="M869" s="32" t="str">
        <x:f>IF(AND(M$8&lt;='Detalle'!$H424,M$9&gt;='Detalle'!$G424),1,"")</x:f>
      </x:c>
      <x:c r="N869" s="32" t="str">
        <x:f>IF(AND(N$8&lt;='Detalle'!$H424,N$9&gt;='Detalle'!$G424),1,"")</x:f>
      </x:c>
      <x:c r="O869" s="32" t="str">
        <x:f>IF(AND(O$8&lt;='Detalle'!$H424,O$9&gt;='Detalle'!$G424),1,"")</x:f>
      </x:c>
      <x:c r="P869" s="32" t="str">
        <x:f>IF(AND(P$8&lt;='Detalle'!$H424,P$9&gt;='Detalle'!$G424),1,"")</x:f>
      </x:c>
      <x:c r="Q869" s="68"/>
      <x:c r="R869" s="67" t="str">
        <x:f>IF('Detalle'!M424="","",'Detalle'!M424)</x:f>
      </x:c>
      <x:c r="S869" s="67" t="str">
        <x:f>IF('Detalle'!N424="","",'Detalle'!N424)</x:f>
      </x:c>
    </x:row>
    <x:row r="870" ht="16" customHeight="1">
      <x:c r="A870" s="56" t="str">
        <x:v>SOC05.010</x:v>
      </x:c>
      <x:c r="B870" s="57" t="str">
        <x:v>Validar compartir cancelado y Deshacer</x:v>
      </x:c>
      <x:c r="C870" s="63" t="str">
        <x:v>R</x:v>
      </x:c>
      <x:c r="D870" s="65" t="str">
        <x:f>IF('Detalle'!L424="","",'Detalle'!L424)</x:f>
      </x:c>
      <x:c r="E870" s="60" t="str"/>
      <x:c r="F870" s="32" t="str">
        <x:f>IF(OR('Detalle'!$J424="",'Detalle'!$K424="",'Detalle'!$L424=""),"",IF(AND(F$8&lt;='Detalle'!$K424,F$9&gt;='Detalle'!$J424),1,""))</x:f>
      </x:c>
      <x:c r="G870" s="32" t="str">
        <x:f>IF(OR('Detalle'!$J424="",'Detalle'!$K424="",'Detalle'!$L424=""),"",IF(AND(G$8&lt;='Detalle'!$K424,G$9&gt;='Detalle'!$J424),1,""))</x:f>
      </x:c>
      <x:c r="H870" s="32" t="str">
        <x:f>IF(OR('Detalle'!$J424="",'Detalle'!$K424="",'Detalle'!$L424=""),"",IF(AND(H$8&lt;='Detalle'!$K424,H$9&gt;='Detalle'!$J424),1,""))</x:f>
      </x:c>
      <x:c r="I870" s="32" t="str">
        <x:f>IF(OR('Detalle'!$J424="",'Detalle'!$K424="",'Detalle'!$L424=""),"",IF(AND(I$8&lt;='Detalle'!$K424,I$9&gt;='Detalle'!$J424),1,""))</x:f>
      </x:c>
      <x:c r="J870" s="32" t="str">
        <x:f>IF(OR('Detalle'!$J424="",'Detalle'!$K424="",'Detalle'!$L424=""),"",IF(AND(J$8&lt;='Detalle'!$K424,J$9&gt;='Detalle'!$J424),1,""))</x:f>
      </x:c>
      <x:c r="K870" s="32" t="str">
        <x:f>IF(OR('Detalle'!$J424="",'Detalle'!$K424="",'Detalle'!$L424=""),"",IF(AND(K$8&lt;='Detalle'!$K424,K$9&gt;='Detalle'!$J424),1,""))</x:f>
      </x:c>
      <x:c r="L870" s="32" t="str">
        <x:f>IF(OR('Detalle'!$J424="",'Detalle'!$K424="",'Detalle'!$L424=""),"",IF(AND(L$8&lt;='Detalle'!$K424,L$9&gt;='Detalle'!$J424),1,""))</x:f>
      </x:c>
      <x:c r="M870" s="32" t="str">
        <x:f>IF(OR('Detalle'!$J424="",'Detalle'!$K424="",'Detalle'!$L424=""),"",IF(AND(M$8&lt;='Detalle'!$K424,M$9&gt;='Detalle'!$J424),1,""))</x:f>
      </x:c>
      <x:c r="N870" s="32" t="str">
        <x:f>IF(OR('Detalle'!$J424="",'Detalle'!$K424="",'Detalle'!$L424=""),"",IF(AND(N$8&lt;='Detalle'!$K424,N$9&gt;='Detalle'!$J424),1,""))</x:f>
      </x:c>
      <x:c r="O870" s="32" t="str">
        <x:f>IF(OR('Detalle'!$J424="",'Detalle'!$K424="",'Detalle'!$L424=""),"",IF(AND(O$8&lt;='Detalle'!$K424,O$9&gt;='Detalle'!$J424),1,""))</x:f>
      </x:c>
      <x:c r="P870" s="32" t="str">
        <x:f>IF(OR('Detalle'!$J424="",'Detalle'!$K424="",'Detalle'!$L424=""),"",IF(AND(P$8&lt;='Detalle'!$K424,P$9&gt;='Detalle'!$J424),1,""))</x:f>
      </x:c>
      <x:c r="Q870" s="68"/>
      <x:c r="R870" s="67" t="str"/>
      <x:c r="S870" s="67" t="str"/>
    </x:row>
    <x:row r="871" ht="16" customHeight="1">
      <x:c r="A871" s="56" t="str">
        <x:v>SOC05.011</x:v>
      </x:c>
      <x:c r="B871" s="57" t="str">
        <x:v>Verificar recarga directa del enlace de post</x:v>
      </x:c>
      <x:c r="C871" s="62" t="str">
        <x:v>E</x:v>
      </x:c>
      <x:c r="D871" s="64" t="n">
        <x:f>'Detalle'!I425</x:f>
        <x:v>1</x:v>
      </x:c>
      <x:c r="E871" s="60" t="str">
        <x:f>'Detalle'!F425</x:f>
        <x:v>Completado</x:v>
      </x:c>
      <x:c r="F871" s="32" t="str">
        <x:f>IF(AND(F$8&lt;='Detalle'!$H425,F$9&gt;='Detalle'!$G425),1,"")</x:f>
      </x:c>
      <x:c r="G871" s="32" t="str">
        <x:f>IF(AND(G$8&lt;='Detalle'!$H425,G$9&gt;='Detalle'!$G425),1,"")</x:f>
      </x:c>
      <x:c r="H871" s="32" t="str">
        <x:f>IF(AND(H$8&lt;='Detalle'!$H425,H$9&gt;='Detalle'!$G425),1,"")</x:f>
      </x:c>
      <x:c r="I871" s="32" t="n">
        <x:f>IF(AND(I$8&lt;='Detalle'!$H425,I$9&gt;='Detalle'!$G425),1,"")</x:f>
        <x:v>1</x:v>
      </x:c>
      <x:c r="J871" s="32" t="str">
        <x:f>IF(AND(J$8&lt;='Detalle'!$H425,J$9&gt;='Detalle'!$G425),1,"")</x:f>
      </x:c>
      <x:c r="K871" s="32" t="str">
        <x:f>IF(AND(K$8&lt;='Detalle'!$H425,K$9&gt;='Detalle'!$G425),1,"")</x:f>
      </x:c>
      <x:c r="L871" s="32" t="str">
        <x:f>IF(AND(L$8&lt;='Detalle'!$H425,L$9&gt;='Detalle'!$G425),1,"")</x:f>
      </x:c>
      <x:c r="M871" s="32" t="str">
        <x:f>IF(AND(M$8&lt;='Detalle'!$H425,M$9&gt;='Detalle'!$G425),1,"")</x:f>
      </x:c>
      <x:c r="N871" s="32" t="str">
        <x:f>IF(AND(N$8&lt;='Detalle'!$H425,N$9&gt;='Detalle'!$G425),1,"")</x:f>
      </x:c>
      <x:c r="O871" s="32" t="str">
        <x:f>IF(AND(O$8&lt;='Detalle'!$H425,O$9&gt;='Detalle'!$G425),1,"")</x:f>
      </x:c>
      <x:c r="P871" s="32" t="str">
        <x:f>IF(AND(P$8&lt;='Detalle'!$H425,P$9&gt;='Detalle'!$G425),1,"")</x:f>
      </x:c>
      <x:c r="Q871" s="68"/>
      <x:c r="R871" s="67" t="str">
        <x:f>IF('Detalle'!M425="","",'Detalle'!M425)</x:f>
      </x:c>
      <x:c r="S871" s="67" t="str">
        <x:f>IF('Detalle'!N425="","",'Detalle'!N425)</x:f>
      </x:c>
    </x:row>
    <x:row r="872" ht="16" customHeight="1">
      <x:c r="A872" s="56" t="str">
        <x:v>SOC05.011</x:v>
      </x:c>
      <x:c r="B872" s="57" t="str">
        <x:v>Verificar recarga directa del enlace de post</x:v>
      </x:c>
      <x:c r="C872" s="63" t="str">
        <x:v>R</x:v>
      </x:c>
      <x:c r="D872" s="65" t="str">
        <x:f>IF('Detalle'!L425="","",'Detalle'!L425)</x:f>
      </x:c>
      <x:c r="E872" s="60" t="str"/>
      <x:c r="F872" s="32" t="str">
        <x:f>IF(OR('Detalle'!$J425="",'Detalle'!$K425="",'Detalle'!$L425=""),"",IF(AND(F$8&lt;='Detalle'!$K425,F$9&gt;='Detalle'!$J425),1,""))</x:f>
      </x:c>
      <x:c r="G872" s="32" t="str">
        <x:f>IF(OR('Detalle'!$J425="",'Detalle'!$K425="",'Detalle'!$L425=""),"",IF(AND(G$8&lt;='Detalle'!$K425,G$9&gt;='Detalle'!$J425),1,""))</x:f>
      </x:c>
      <x:c r="H872" s="32" t="str">
        <x:f>IF(OR('Detalle'!$J425="",'Detalle'!$K425="",'Detalle'!$L425=""),"",IF(AND(H$8&lt;='Detalle'!$K425,H$9&gt;='Detalle'!$J425),1,""))</x:f>
      </x:c>
      <x:c r="I872" s="32" t="str">
        <x:f>IF(OR('Detalle'!$J425="",'Detalle'!$K425="",'Detalle'!$L425=""),"",IF(AND(I$8&lt;='Detalle'!$K425,I$9&gt;='Detalle'!$J425),1,""))</x:f>
      </x:c>
      <x:c r="J872" s="32" t="str">
        <x:f>IF(OR('Detalle'!$J425="",'Detalle'!$K425="",'Detalle'!$L425=""),"",IF(AND(J$8&lt;='Detalle'!$K425,J$9&gt;='Detalle'!$J425),1,""))</x:f>
      </x:c>
      <x:c r="K872" s="32" t="str">
        <x:f>IF(OR('Detalle'!$J425="",'Detalle'!$K425="",'Detalle'!$L425=""),"",IF(AND(K$8&lt;='Detalle'!$K425,K$9&gt;='Detalle'!$J425),1,""))</x:f>
      </x:c>
      <x:c r="L872" s="32" t="str">
        <x:f>IF(OR('Detalle'!$J425="",'Detalle'!$K425="",'Detalle'!$L425=""),"",IF(AND(L$8&lt;='Detalle'!$K425,L$9&gt;='Detalle'!$J425),1,""))</x:f>
      </x:c>
      <x:c r="M872" s="32" t="str">
        <x:f>IF(OR('Detalle'!$J425="",'Detalle'!$K425="",'Detalle'!$L425=""),"",IF(AND(M$8&lt;='Detalle'!$K425,M$9&gt;='Detalle'!$J425),1,""))</x:f>
      </x:c>
      <x:c r="N872" s="32" t="str">
        <x:f>IF(OR('Detalle'!$J425="",'Detalle'!$K425="",'Detalle'!$L425=""),"",IF(AND(N$8&lt;='Detalle'!$K425,N$9&gt;='Detalle'!$J425),1,""))</x:f>
      </x:c>
      <x:c r="O872" s="32" t="str">
        <x:f>IF(OR('Detalle'!$J425="",'Detalle'!$K425="",'Detalle'!$L425=""),"",IF(AND(O$8&lt;='Detalle'!$K425,O$9&gt;='Detalle'!$J425),1,""))</x:f>
      </x:c>
      <x:c r="P872" s="32" t="str">
        <x:f>IF(OR('Detalle'!$J425="",'Detalle'!$K425="",'Detalle'!$L425=""),"",IF(AND(P$8&lt;='Detalle'!$K425,P$9&gt;='Detalle'!$J425),1,""))</x:f>
      </x:c>
      <x:c r="Q872" s="68"/>
      <x:c r="R872" s="67" t="str"/>
      <x:c r="S872" s="67" t="str"/>
    </x:row>
    <x:row r="873" ht="16" customHeight="1">
      <x:c r="A873" s="56" t="str">
        <x:v>SOC05.012</x:v>
      </x:c>
      <x:c r="B873" s="57" t="str">
        <x:v>Compilar Web, Android e iOS sin firma</x:v>
      </x:c>
      <x:c r="C873" s="62" t="str">
        <x:v>E</x:v>
      </x:c>
      <x:c r="D873" s="64" t="n">
        <x:f>'Detalle'!I426</x:f>
        <x:v>1</x:v>
      </x:c>
      <x:c r="E873" s="60" t="str">
        <x:f>'Detalle'!F426</x:f>
        <x:v>Completado</x:v>
      </x:c>
      <x:c r="F873" s="32" t="str">
        <x:f>IF(AND(F$8&lt;='Detalle'!$H426,F$9&gt;='Detalle'!$G426),1,"")</x:f>
      </x:c>
      <x:c r="G873" s="32" t="str">
        <x:f>IF(AND(G$8&lt;='Detalle'!$H426,G$9&gt;='Detalle'!$G426),1,"")</x:f>
      </x:c>
      <x:c r="H873" s="32" t="str">
        <x:f>IF(AND(H$8&lt;='Detalle'!$H426,H$9&gt;='Detalle'!$G426),1,"")</x:f>
      </x:c>
      <x:c r="I873" s="32" t="n">
        <x:f>IF(AND(I$8&lt;='Detalle'!$H426,I$9&gt;='Detalle'!$G426),1,"")</x:f>
        <x:v>1</x:v>
      </x:c>
      <x:c r="J873" s="32" t="str">
        <x:f>IF(AND(J$8&lt;='Detalle'!$H426,J$9&gt;='Detalle'!$G426),1,"")</x:f>
      </x:c>
      <x:c r="K873" s="32" t="str">
        <x:f>IF(AND(K$8&lt;='Detalle'!$H426,K$9&gt;='Detalle'!$G426),1,"")</x:f>
      </x:c>
      <x:c r="L873" s="32" t="str">
        <x:f>IF(AND(L$8&lt;='Detalle'!$H426,L$9&gt;='Detalle'!$G426),1,"")</x:f>
      </x:c>
      <x:c r="M873" s="32" t="str">
        <x:f>IF(AND(M$8&lt;='Detalle'!$H426,M$9&gt;='Detalle'!$G426),1,"")</x:f>
      </x:c>
      <x:c r="N873" s="32" t="str">
        <x:f>IF(AND(N$8&lt;='Detalle'!$H426,N$9&gt;='Detalle'!$G426),1,"")</x:f>
      </x:c>
      <x:c r="O873" s="32" t="str">
        <x:f>IF(AND(O$8&lt;='Detalle'!$H426,O$9&gt;='Detalle'!$G426),1,"")</x:f>
      </x:c>
      <x:c r="P873" s="32" t="str">
        <x:f>IF(AND(P$8&lt;='Detalle'!$H426,P$9&gt;='Detalle'!$G426),1,"")</x:f>
      </x:c>
      <x:c r="Q873" s="68"/>
      <x:c r="R873" s="67" t="str">
        <x:f>IF('Detalle'!M426="","",'Detalle'!M426)</x:f>
      </x:c>
      <x:c r="S873" s="67" t="str">
        <x:f>IF('Detalle'!N426="","",'Detalle'!N426)</x:f>
      </x:c>
    </x:row>
    <x:row r="874" ht="16" customHeight="1">
      <x:c r="A874" s="56" t="str">
        <x:v>SOC05.012</x:v>
      </x:c>
      <x:c r="B874" s="57" t="str">
        <x:v>Compilar Web, Android e iOS sin firma</x:v>
      </x:c>
      <x:c r="C874" s="63" t="str">
        <x:v>R</x:v>
      </x:c>
      <x:c r="D874" s="65" t="str">
        <x:f>IF('Detalle'!L426="","",'Detalle'!L426)</x:f>
      </x:c>
      <x:c r="E874" s="60" t="str"/>
      <x:c r="F874" s="32" t="str">
        <x:f>IF(OR('Detalle'!$J426="",'Detalle'!$K426="",'Detalle'!$L426=""),"",IF(AND(F$8&lt;='Detalle'!$K426,F$9&gt;='Detalle'!$J426),1,""))</x:f>
      </x:c>
      <x:c r="G874" s="32" t="str">
        <x:f>IF(OR('Detalle'!$J426="",'Detalle'!$K426="",'Detalle'!$L426=""),"",IF(AND(G$8&lt;='Detalle'!$K426,G$9&gt;='Detalle'!$J426),1,""))</x:f>
      </x:c>
      <x:c r="H874" s="32" t="str">
        <x:f>IF(OR('Detalle'!$J426="",'Detalle'!$K426="",'Detalle'!$L426=""),"",IF(AND(H$8&lt;='Detalle'!$K426,H$9&gt;='Detalle'!$J426),1,""))</x:f>
      </x:c>
      <x:c r="I874" s="32" t="str">
        <x:f>IF(OR('Detalle'!$J426="",'Detalle'!$K426="",'Detalle'!$L426=""),"",IF(AND(I$8&lt;='Detalle'!$K426,I$9&gt;='Detalle'!$J426),1,""))</x:f>
      </x:c>
      <x:c r="J874" s="32" t="str">
        <x:f>IF(OR('Detalle'!$J426="",'Detalle'!$K426="",'Detalle'!$L426=""),"",IF(AND(J$8&lt;='Detalle'!$K426,J$9&gt;='Detalle'!$J426),1,""))</x:f>
      </x:c>
      <x:c r="K874" s="32" t="str">
        <x:f>IF(OR('Detalle'!$J426="",'Detalle'!$K426="",'Detalle'!$L426=""),"",IF(AND(K$8&lt;='Detalle'!$K426,K$9&gt;='Detalle'!$J426),1,""))</x:f>
      </x:c>
      <x:c r="L874" s="32" t="str">
        <x:f>IF(OR('Detalle'!$J426="",'Detalle'!$K426="",'Detalle'!$L426=""),"",IF(AND(L$8&lt;='Detalle'!$K426,L$9&gt;='Detalle'!$J426),1,""))</x:f>
      </x:c>
      <x:c r="M874" s="32" t="str">
        <x:f>IF(OR('Detalle'!$J426="",'Detalle'!$K426="",'Detalle'!$L426=""),"",IF(AND(M$8&lt;='Detalle'!$K426,M$9&gt;='Detalle'!$J426),1,""))</x:f>
      </x:c>
      <x:c r="N874" s="32" t="str">
        <x:f>IF(OR('Detalle'!$J426="",'Detalle'!$K426="",'Detalle'!$L426=""),"",IF(AND(N$8&lt;='Detalle'!$K426,N$9&gt;='Detalle'!$J426),1,""))</x:f>
      </x:c>
      <x:c r="O874" s="32" t="str">
        <x:f>IF(OR('Detalle'!$J426="",'Detalle'!$K426="",'Detalle'!$L426=""),"",IF(AND(O$8&lt;='Detalle'!$K426,O$9&gt;='Detalle'!$J426),1,""))</x:f>
      </x:c>
      <x:c r="P874" s="32" t="str">
        <x:f>IF(OR('Detalle'!$J426="",'Detalle'!$K426="",'Detalle'!$L426=""),"",IF(AND(P$8&lt;='Detalle'!$K426,P$9&gt;='Detalle'!$J426),1,""))</x:f>
      </x:c>
      <x:c r="Q874" s="68"/>
      <x:c r="R874" s="67" t="str"/>
      <x:c r="S874" s="67" t="str"/>
    </x:row>
    <x:row r="875" ht="16" customHeight="1">
      <x:c r="A875" s="56" t="str">
        <x:v>SOC05.013</x:v>
      </x:c>
      <x:c r="B875" s="57" t="str">
        <x:v>Registrar suite social integrada</x:v>
      </x:c>
      <x:c r="C875" s="62" t="str">
        <x:v>E</x:v>
      </x:c>
      <x:c r="D875" s="64" t="n">
        <x:f>'Detalle'!I427</x:f>
        <x:v>1</x:v>
      </x:c>
      <x:c r="E875" s="60" t="str">
        <x:f>'Detalle'!F427</x:f>
        <x:v>Completado</x:v>
      </x:c>
      <x:c r="F875" s="32" t="str">
        <x:f>IF(AND(F$8&lt;='Detalle'!$H427,F$9&gt;='Detalle'!$G427),1,"")</x:f>
      </x:c>
      <x:c r="G875" s="32" t="str">
        <x:f>IF(AND(G$8&lt;='Detalle'!$H427,G$9&gt;='Detalle'!$G427),1,"")</x:f>
      </x:c>
      <x:c r="H875" s="32" t="str">
        <x:f>IF(AND(H$8&lt;='Detalle'!$H427,H$9&gt;='Detalle'!$G427),1,"")</x:f>
      </x:c>
      <x:c r="I875" s="32" t="n">
        <x:f>IF(AND(I$8&lt;='Detalle'!$H427,I$9&gt;='Detalle'!$G427),1,"")</x:f>
        <x:v>1</x:v>
      </x:c>
      <x:c r="J875" s="32" t="str">
        <x:f>IF(AND(J$8&lt;='Detalle'!$H427,J$9&gt;='Detalle'!$G427),1,"")</x:f>
      </x:c>
      <x:c r="K875" s="32" t="str">
        <x:f>IF(AND(K$8&lt;='Detalle'!$H427,K$9&gt;='Detalle'!$G427),1,"")</x:f>
      </x:c>
      <x:c r="L875" s="32" t="str">
        <x:f>IF(AND(L$8&lt;='Detalle'!$H427,L$9&gt;='Detalle'!$G427),1,"")</x:f>
      </x:c>
      <x:c r="M875" s="32" t="str">
        <x:f>IF(AND(M$8&lt;='Detalle'!$H427,M$9&gt;='Detalle'!$G427),1,"")</x:f>
      </x:c>
      <x:c r="N875" s="32" t="str">
        <x:f>IF(AND(N$8&lt;='Detalle'!$H427,N$9&gt;='Detalle'!$G427),1,"")</x:f>
      </x:c>
      <x:c r="O875" s="32" t="str">
        <x:f>IF(AND(O$8&lt;='Detalle'!$H427,O$9&gt;='Detalle'!$G427),1,"")</x:f>
      </x:c>
      <x:c r="P875" s="32" t="str">
        <x:f>IF(AND(P$8&lt;='Detalle'!$H427,P$9&gt;='Detalle'!$G427),1,"")</x:f>
      </x:c>
      <x:c r="Q875" s="68"/>
      <x:c r="R875" s="67" t="str">
        <x:f>IF('Detalle'!M427="","",'Detalle'!M427)</x:f>
      </x:c>
      <x:c r="S875" s="67" t="str">
        <x:f>IF('Detalle'!N427="","",'Detalle'!N427)</x:f>
      </x:c>
    </x:row>
    <x:row r="876" ht="16" customHeight="1">
      <x:c r="A876" s="56" t="str">
        <x:v>SOC05.013</x:v>
      </x:c>
      <x:c r="B876" s="57" t="str">
        <x:v>Registrar suite social integrada</x:v>
      </x:c>
      <x:c r="C876" s="63" t="str">
        <x:v>R</x:v>
      </x:c>
      <x:c r="D876" s="65" t="str">
        <x:f>IF('Detalle'!L427="","",'Detalle'!L427)</x:f>
      </x:c>
      <x:c r="E876" s="60" t="str"/>
      <x:c r="F876" s="32" t="str">
        <x:f>IF(OR('Detalle'!$J427="",'Detalle'!$K427="",'Detalle'!$L427=""),"",IF(AND(F$8&lt;='Detalle'!$K427,F$9&gt;='Detalle'!$J427),1,""))</x:f>
      </x:c>
      <x:c r="G876" s="32" t="str">
        <x:f>IF(OR('Detalle'!$J427="",'Detalle'!$K427="",'Detalle'!$L427=""),"",IF(AND(G$8&lt;='Detalle'!$K427,G$9&gt;='Detalle'!$J427),1,""))</x:f>
      </x:c>
      <x:c r="H876" s="32" t="str">
        <x:f>IF(OR('Detalle'!$J427="",'Detalle'!$K427="",'Detalle'!$L427=""),"",IF(AND(H$8&lt;='Detalle'!$K427,H$9&gt;='Detalle'!$J427),1,""))</x:f>
      </x:c>
      <x:c r="I876" s="32" t="str">
        <x:f>IF(OR('Detalle'!$J427="",'Detalle'!$K427="",'Detalle'!$L427=""),"",IF(AND(I$8&lt;='Detalle'!$K427,I$9&gt;='Detalle'!$J427),1,""))</x:f>
      </x:c>
      <x:c r="J876" s="32" t="str">
        <x:f>IF(OR('Detalle'!$J427="",'Detalle'!$K427="",'Detalle'!$L427=""),"",IF(AND(J$8&lt;='Detalle'!$K427,J$9&gt;='Detalle'!$J427),1,""))</x:f>
      </x:c>
      <x:c r="K876" s="32" t="str">
        <x:f>IF(OR('Detalle'!$J427="",'Detalle'!$K427="",'Detalle'!$L427=""),"",IF(AND(K$8&lt;='Detalle'!$K427,K$9&gt;='Detalle'!$J427),1,""))</x:f>
      </x:c>
      <x:c r="L876" s="32" t="str">
        <x:f>IF(OR('Detalle'!$J427="",'Detalle'!$K427="",'Detalle'!$L427=""),"",IF(AND(L$8&lt;='Detalle'!$K427,L$9&gt;='Detalle'!$J427),1,""))</x:f>
      </x:c>
      <x:c r="M876" s="32" t="str">
        <x:f>IF(OR('Detalle'!$J427="",'Detalle'!$K427="",'Detalle'!$L427=""),"",IF(AND(M$8&lt;='Detalle'!$K427,M$9&gt;='Detalle'!$J427),1,""))</x:f>
      </x:c>
      <x:c r="N876" s="32" t="str">
        <x:f>IF(OR('Detalle'!$J427="",'Detalle'!$K427="",'Detalle'!$L427=""),"",IF(AND(N$8&lt;='Detalle'!$K427,N$9&gt;='Detalle'!$J427),1,""))</x:f>
      </x:c>
      <x:c r="O876" s="32" t="str">
        <x:f>IF(OR('Detalle'!$J427="",'Detalle'!$K427="",'Detalle'!$L427=""),"",IF(AND(O$8&lt;='Detalle'!$K427,O$9&gt;='Detalle'!$J427),1,""))</x:f>
      </x:c>
      <x:c r="P876" s="32" t="str">
        <x:f>IF(OR('Detalle'!$J427="",'Detalle'!$K427="",'Detalle'!$L427=""),"",IF(AND(P$8&lt;='Detalle'!$K427,P$9&gt;='Detalle'!$J427),1,""))</x:f>
      </x:c>
      <x:c r="Q876" s="68"/>
      <x:c r="R876" s="67" t="str"/>
      <x:c r="S876" s="67" t="str"/>
    </x:row>
    <x:row r="877" ht="16" customHeight="1">
      <x:c r="A877" s="56" t="str">
        <x:v>SOC05.014</x:v>
      </x:c>
      <x:c r="B877" s="57" t="str">
        <x:v>Limpiar datos temporales de validación</x:v>
      </x:c>
      <x:c r="C877" s="62" t="str">
        <x:v>E</x:v>
      </x:c>
      <x:c r="D877" s="64" t="n">
        <x:f>'Detalle'!I428</x:f>
        <x:v>1</x:v>
      </x:c>
      <x:c r="E877" s="60" t="str">
        <x:f>'Detalle'!F428</x:f>
        <x:v>Completado</x:v>
      </x:c>
      <x:c r="F877" s="32" t="str">
        <x:f>IF(AND(F$8&lt;='Detalle'!$H428,F$9&gt;='Detalle'!$G428),1,"")</x:f>
      </x:c>
      <x:c r="G877" s="32" t="str">
        <x:f>IF(AND(G$8&lt;='Detalle'!$H428,G$9&gt;='Detalle'!$G428),1,"")</x:f>
      </x:c>
      <x:c r="H877" s="32" t="str">
        <x:f>IF(AND(H$8&lt;='Detalle'!$H428,H$9&gt;='Detalle'!$G428),1,"")</x:f>
      </x:c>
      <x:c r="I877" s="32" t="n">
        <x:f>IF(AND(I$8&lt;='Detalle'!$H428,I$9&gt;='Detalle'!$G428),1,"")</x:f>
        <x:v>1</x:v>
      </x:c>
      <x:c r="J877" s="32" t="str">
        <x:f>IF(AND(J$8&lt;='Detalle'!$H428,J$9&gt;='Detalle'!$G428),1,"")</x:f>
      </x:c>
      <x:c r="K877" s="32" t="str">
        <x:f>IF(AND(K$8&lt;='Detalle'!$H428,K$9&gt;='Detalle'!$G428),1,"")</x:f>
      </x:c>
      <x:c r="L877" s="32" t="str">
        <x:f>IF(AND(L$8&lt;='Detalle'!$H428,L$9&gt;='Detalle'!$G428),1,"")</x:f>
      </x:c>
      <x:c r="M877" s="32" t="str">
        <x:f>IF(AND(M$8&lt;='Detalle'!$H428,M$9&gt;='Detalle'!$G428),1,"")</x:f>
      </x:c>
      <x:c r="N877" s="32" t="str">
        <x:f>IF(AND(N$8&lt;='Detalle'!$H428,N$9&gt;='Detalle'!$G428),1,"")</x:f>
      </x:c>
      <x:c r="O877" s="32" t="str">
        <x:f>IF(AND(O$8&lt;='Detalle'!$H428,O$9&gt;='Detalle'!$G428),1,"")</x:f>
      </x:c>
      <x:c r="P877" s="32" t="str">
        <x:f>IF(AND(P$8&lt;='Detalle'!$H428,P$9&gt;='Detalle'!$G428),1,"")</x:f>
      </x:c>
      <x:c r="Q877" s="68"/>
      <x:c r="R877" s="67" t="str">
        <x:f>IF('Detalle'!M428="","",'Detalle'!M428)</x:f>
      </x:c>
      <x:c r="S877" s="67" t="str">
        <x:f>IF('Detalle'!N428="","",'Detalle'!N428)</x:f>
      </x:c>
    </x:row>
    <x:row r="878" ht="16" customHeight="1">
      <x:c r="A878" s="56" t="str">
        <x:v>SOC05.014</x:v>
      </x:c>
      <x:c r="B878" s="57" t="str">
        <x:v>Limpiar datos temporales de validación</x:v>
      </x:c>
      <x:c r="C878" s="63" t="str">
        <x:v>R</x:v>
      </x:c>
      <x:c r="D878" s="65" t="str">
        <x:f>IF('Detalle'!L428="","",'Detalle'!L428)</x:f>
      </x:c>
      <x:c r="E878" s="60" t="str"/>
      <x:c r="F878" s="32" t="str">
        <x:f>IF(OR('Detalle'!$J428="",'Detalle'!$K428="",'Detalle'!$L428=""),"",IF(AND(F$8&lt;='Detalle'!$K428,F$9&gt;='Detalle'!$J428),1,""))</x:f>
      </x:c>
      <x:c r="G878" s="32" t="str">
        <x:f>IF(OR('Detalle'!$J428="",'Detalle'!$K428="",'Detalle'!$L428=""),"",IF(AND(G$8&lt;='Detalle'!$K428,G$9&gt;='Detalle'!$J428),1,""))</x:f>
      </x:c>
      <x:c r="H878" s="32" t="str">
        <x:f>IF(OR('Detalle'!$J428="",'Detalle'!$K428="",'Detalle'!$L428=""),"",IF(AND(H$8&lt;='Detalle'!$K428,H$9&gt;='Detalle'!$J428),1,""))</x:f>
      </x:c>
      <x:c r="I878" s="32" t="str">
        <x:f>IF(OR('Detalle'!$J428="",'Detalle'!$K428="",'Detalle'!$L428=""),"",IF(AND(I$8&lt;='Detalle'!$K428,I$9&gt;='Detalle'!$J428),1,""))</x:f>
      </x:c>
      <x:c r="J878" s="32" t="str">
        <x:f>IF(OR('Detalle'!$J428="",'Detalle'!$K428="",'Detalle'!$L428=""),"",IF(AND(J$8&lt;='Detalle'!$K428,J$9&gt;='Detalle'!$J428),1,""))</x:f>
      </x:c>
      <x:c r="K878" s="32" t="str">
        <x:f>IF(OR('Detalle'!$J428="",'Detalle'!$K428="",'Detalle'!$L428=""),"",IF(AND(K$8&lt;='Detalle'!$K428,K$9&gt;='Detalle'!$J428),1,""))</x:f>
      </x:c>
      <x:c r="L878" s="32" t="str">
        <x:f>IF(OR('Detalle'!$J428="",'Detalle'!$K428="",'Detalle'!$L428=""),"",IF(AND(L$8&lt;='Detalle'!$K428,L$9&gt;='Detalle'!$J428),1,""))</x:f>
      </x:c>
      <x:c r="M878" s="32" t="str">
        <x:f>IF(OR('Detalle'!$J428="",'Detalle'!$K428="",'Detalle'!$L428=""),"",IF(AND(M$8&lt;='Detalle'!$K428,M$9&gt;='Detalle'!$J428),1,""))</x:f>
      </x:c>
      <x:c r="N878" s="32" t="str">
        <x:f>IF(OR('Detalle'!$J428="",'Detalle'!$K428="",'Detalle'!$L428=""),"",IF(AND(N$8&lt;='Detalle'!$K428,N$9&gt;='Detalle'!$J428),1,""))</x:f>
      </x:c>
      <x:c r="O878" s="32" t="str">
        <x:f>IF(OR('Detalle'!$J428="",'Detalle'!$K428="",'Detalle'!$L428=""),"",IF(AND(O$8&lt;='Detalle'!$K428,O$9&gt;='Detalle'!$J428),1,""))</x:f>
      </x:c>
      <x:c r="P878" s="32" t="str">
        <x:f>IF(OR('Detalle'!$J428="",'Detalle'!$K428="",'Detalle'!$L428=""),"",IF(AND(P$8&lt;='Detalle'!$K428,P$9&gt;='Detalle'!$J428),1,""))</x:f>
      </x:c>
      <x:c r="Q878" s="68"/>
      <x:c r="R878" s="67" t="str"/>
      <x:c r="S878" s="67" t="str"/>
    </x:row>
    <x:row r="879" ht="20" customHeight="1">
      <x:c r="A879" s="52" t="str">
        <x:v>DIS03 · Implementaciones experimentales archivadas</x:v>
      </x:c>
      <x:c r="B879" s="52" t="str">
        <x:v>DIS03 · Implementaciones experimentales archivadas</x:v>
      </x:c>
      <x:c r="C879" s="52" t="str">
        <x:v>DIS03 · Implementaciones experimentales archivadas</x:v>
      </x:c>
      <x:c r="D879" s="52" t="str">
        <x:v>DIS03 · Implementaciones experimentales archivadas</x:v>
      </x:c>
      <x:c r="E879" s="52" t="str">
        <x:v>DIS03 · Implementaciones experimentales archivadas</x:v>
      </x:c>
      <x:c r="F879" s="53" t="str">
        <x:v>DIS03 · Implementaciones experimentales archivadas</x:v>
      </x:c>
      <x:c r="G879" s="53" t="str">
        <x:v>DIS03 · Implementaciones experimentales archivadas</x:v>
      </x:c>
      <x:c r="H879" s="53" t="str">
        <x:v>DIS03 · Implementaciones experimentales archivadas</x:v>
      </x:c>
      <x:c r="I879" s="53" t="str">
        <x:v>DIS03 · Implementaciones experimentales archivadas</x:v>
      </x:c>
      <x:c r="J879" s="53" t="str">
        <x:v>DIS03 · Implementaciones experimentales archivadas</x:v>
      </x:c>
      <x:c r="K879" s="53" t="str">
        <x:v>DIS03 · Implementaciones experimentales archivadas</x:v>
      </x:c>
      <x:c r="L879" s="53" t="str">
        <x:v>DIS03 · Implementaciones experimentales archivadas</x:v>
      </x:c>
      <x:c r="M879" s="53" t="str">
        <x:v>DIS03 · Implementaciones experimentales archivadas</x:v>
      </x:c>
      <x:c r="N879" s="53" t="str">
        <x:v>DIS03 · Implementaciones experimentales archivadas</x:v>
      </x:c>
      <x:c r="O879" s="53" t="str">
        <x:v>DIS03 · Implementaciones experimentales archivadas</x:v>
      </x:c>
      <x:c r="P879" s="53" t="str">
        <x:v>DIS03 · Implementaciones experimentales archivadas</x:v>
      </x:c>
      <x:c r="Q879" s="52" t="str">
        <x:v>DIS03 · Implementaciones experimentales archivadas</x:v>
      </x:c>
      <x:c r="R879" s="52" t="str">
        <x:v>DIS03 · Implementaciones experimentales archivadas</x:v>
      </x:c>
      <x:c r="S879" s="52" t="str">
        <x:v>DIS03 · Implementaciones experimentales archivadas</x:v>
      </x:c>
    </x:row>
    <x:row r="880" ht="16" customHeight="1">
      <x:c r="A880" s="56" t="str">
        <x:v>DIS03.001</x:v>
      </x:c>
      <x:c r="B880" s="57" t="str">
        <x:v>Probar shell de navegación Corrientes locales</x:v>
      </x:c>
      <x:c r="C880" s="62" t="str">
        <x:v>E</x:v>
      </x:c>
      <x:c r="D880" s="64" t="n">
        <x:f>'Detalle'!I429</x:f>
        <x:v>1</x:v>
      </x:c>
      <x:c r="E880" s="60" t="str">
        <x:f>'Detalle'!F429</x:f>
        <x:v>Sustituido</x:v>
      </x:c>
      <x:c r="F880" s="32" t="str">
        <x:f>IF(AND(F$8&lt;='Detalle'!$H429,F$9&gt;='Detalle'!$G429),1,"")</x:f>
      </x:c>
      <x:c r="G880" s="32" t="str">
        <x:f>IF(AND(G$8&lt;='Detalle'!$H429,G$9&gt;='Detalle'!$G429),1,"")</x:f>
      </x:c>
      <x:c r="H880" s="32" t="str">
        <x:f>IF(AND(H$8&lt;='Detalle'!$H429,H$9&gt;='Detalle'!$G429),1,"")</x:f>
      </x:c>
      <x:c r="I880" s="32" t="n">
        <x:f>IF(AND(I$8&lt;='Detalle'!$H429,I$9&gt;='Detalle'!$G429),1,"")</x:f>
        <x:v>1</x:v>
      </x:c>
      <x:c r="J880" s="32" t="str">
        <x:f>IF(AND(J$8&lt;='Detalle'!$H429,J$9&gt;='Detalle'!$G429),1,"")</x:f>
      </x:c>
      <x:c r="K880" s="32" t="str">
        <x:f>IF(AND(K$8&lt;='Detalle'!$H429,K$9&gt;='Detalle'!$G429),1,"")</x:f>
      </x:c>
      <x:c r="L880" s="32" t="str">
        <x:f>IF(AND(L$8&lt;='Detalle'!$H429,L$9&gt;='Detalle'!$G429),1,"")</x:f>
      </x:c>
      <x:c r="M880" s="32" t="str">
        <x:f>IF(AND(M$8&lt;='Detalle'!$H429,M$9&gt;='Detalle'!$G429),1,"")</x:f>
      </x:c>
      <x:c r="N880" s="32" t="str">
        <x:f>IF(AND(N$8&lt;='Detalle'!$H429,N$9&gt;='Detalle'!$G429),1,"")</x:f>
      </x:c>
      <x:c r="O880" s="32" t="str">
        <x:f>IF(AND(O$8&lt;='Detalle'!$H429,O$9&gt;='Detalle'!$G429),1,"")</x:f>
      </x:c>
      <x:c r="P880" s="32" t="str">
        <x:f>IF(AND(P$8&lt;='Detalle'!$H429,P$9&gt;='Detalle'!$G429),1,"")</x:f>
      </x:c>
      <x:c r="Q880" s="68"/>
      <x:c r="R880" s="67" t="str">
        <x:f>IF('Detalle'!M429="","",'Detalle'!M429)</x:f>
      </x:c>
      <x:c r="S880" s="67" t="str">
        <x:f>IF('Detalle'!N429="","",'Detalle'!N429)</x:f>
      </x:c>
    </x:row>
    <x:row r="881" ht="16" customHeight="1">
      <x:c r="A881" s="56" t="str">
        <x:v>DIS03.001</x:v>
      </x:c>
      <x:c r="B881" s="57" t="str">
        <x:v>Probar shell de navegación Corrientes locales</x:v>
      </x:c>
      <x:c r="C881" s="63" t="str">
        <x:v>R</x:v>
      </x:c>
      <x:c r="D881" s="65" t="str">
        <x:f>IF('Detalle'!L429="","",'Detalle'!L429)</x:f>
      </x:c>
      <x:c r="E881" s="60" t="str"/>
      <x:c r="F881" s="32" t="str">
        <x:f>IF(OR('Detalle'!$J429="",'Detalle'!$K429="",'Detalle'!$L429=""),"",IF(AND(F$8&lt;='Detalle'!$K429,F$9&gt;='Detalle'!$J429),1,""))</x:f>
      </x:c>
      <x:c r="G881" s="32" t="str">
        <x:f>IF(OR('Detalle'!$J429="",'Detalle'!$K429="",'Detalle'!$L429=""),"",IF(AND(G$8&lt;='Detalle'!$K429,G$9&gt;='Detalle'!$J429),1,""))</x:f>
      </x:c>
      <x:c r="H881" s="32" t="str">
        <x:f>IF(OR('Detalle'!$J429="",'Detalle'!$K429="",'Detalle'!$L429=""),"",IF(AND(H$8&lt;='Detalle'!$K429,H$9&gt;='Detalle'!$J429),1,""))</x:f>
      </x:c>
      <x:c r="I881" s="32" t="str">
        <x:f>IF(OR('Detalle'!$J429="",'Detalle'!$K429="",'Detalle'!$L429=""),"",IF(AND(I$8&lt;='Detalle'!$K429,I$9&gt;='Detalle'!$J429),1,""))</x:f>
      </x:c>
      <x:c r="J881" s="32" t="str">
        <x:f>IF(OR('Detalle'!$J429="",'Detalle'!$K429="",'Detalle'!$L429=""),"",IF(AND(J$8&lt;='Detalle'!$K429,J$9&gt;='Detalle'!$J429),1,""))</x:f>
      </x:c>
      <x:c r="K881" s="32" t="str">
        <x:f>IF(OR('Detalle'!$J429="",'Detalle'!$K429="",'Detalle'!$L429=""),"",IF(AND(K$8&lt;='Detalle'!$K429,K$9&gt;='Detalle'!$J429),1,""))</x:f>
      </x:c>
      <x:c r="L881" s="32" t="str">
        <x:f>IF(OR('Detalle'!$J429="",'Detalle'!$K429="",'Detalle'!$L429=""),"",IF(AND(L$8&lt;='Detalle'!$K429,L$9&gt;='Detalle'!$J429),1,""))</x:f>
      </x:c>
      <x:c r="M881" s="32" t="str">
        <x:f>IF(OR('Detalle'!$J429="",'Detalle'!$K429="",'Detalle'!$L429=""),"",IF(AND(M$8&lt;='Detalle'!$K429,M$9&gt;='Detalle'!$J429),1,""))</x:f>
      </x:c>
      <x:c r="N881" s="32" t="str">
        <x:f>IF(OR('Detalle'!$J429="",'Detalle'!$K429="",'Detalle'!$L429=""),"",IF(AND(N$8&lt;='Detalle'!$K429,N$9&gt;='Detalle'!$J429),1,""))</x:f>
      </x:c>
      <x:c r="O881" s="32" t="str">
        <x:f>IF(OR('Detalle'!$J429="",'Detalle'!$K429="",'Detalle'!$L429=""),"",IF(AND(O$8&lt;='Detalle'!$K429,O$9&gt;='Detalle'!$J429),1,""))</x:f>
      </x:c>
      <x:c r="P881" s="32" t="str">
        <x:f>IF(OR('Detalle'!$J429="",'Detalle'!$K429="",'Detalle'!$L429=""),"",IF(AND(P$8&lt;='Detalle'!$K429,P$9&gt;='Detalle'!$J429),1,""))</x:f>
      </x:c>
      <x:c r="Q881" s="68"/>
      <x:c r="R881" s="67" t="str"/>
      <x:c r="S881" s="67" t="str"/>
    </x:row>
    <x:row r="882" ht="16" customHeight="1">
      <x:c r="A882" s="56" t="str">
        <x:v>DIS03.002</x:v>
      </x:c>
      <x:c r="B882" s="57" t="str">
        <x:v>Probar superficies Paper y acentos mint</x:v>
      </x:c>
      <x:c r="C882" s="62" t="str">
        <x:v>E</x:v>
      </x:c>
      <x:c r="D882" s="64" t="n">
        <x:f>'Detalle'!I430</x:f>
        <x:v>1</x:v>
      </x:c>
      <x:c r="E882" s="60" t="str">
        <x:f>'Detalle'!F430</x:f>
        <x:v>Sustituido</x:v>
      </x:c>
      <x:c r="F882" s="32" t="str">
        <x:f>IF(AND(F$8&lt;='Detalle'!$H430,F$9&gt;='Detalle'!$G430),1,"")</x:f>
      </x:c>
      <x:c r="G882" s="32" t="str">
        <x:f>IF(AND(G$8&lt;='Detalle'!$H430,G$9&gt;='Detalle'!$G430),1,"")</x:f>
      </x:c>
      <x:c r="H882" s="32" t="str">
        <x:f>IF(AND(H$8&lt;='Detalle'!$H430,H$9&gt;='Detalle'!$G430),1,"")</x:f>
      </x:c>
      <x:c r="I882" s="32" t="n">
        <x:f>IF(AND(I$8&lt;='Detalle'!$H430,I$9&gt;='Detalle'!$G430),1,"")</x:f>
        <x:v>1</x:v>
      </x:c>
      <x:c r="J882" s="32" t="str">
        <x:f>IF(AND(J$8&lt;='Detalle'!$H430,J$9&gt;='Detalle'!$G430),1,"")</x:f>
      </x:c>
      <x:c r="K882" s="32" t="str">
        <x:f>IF(AND(K$8&lt;='Detalle'!$H430,K$9&gt;='Detalle'!$G430),1,"")</x:f>
      </x:c>
      <x:c r="L882" s="32" t="str">
        <x:f>IF(AND(L$8&lt;='Detalle'!$H430,L$9&gt;='Detalle'!$G430),1,"")</x:f>
      </x:c>
      <x:c r="M882" s="32" t="str">
        <x:f>IF(AND(M$8&lt;='Detalle'!$H430,M$9&gt;='Detalle'!$G430),1,"")</x:f>
      </x:c>
      <x:c r="N882" s="32" t="str">
        <x:f>IF(AND(N$8&lt;='Detalle'!$H430,N$9&gt;='Detalle'!$G430),1,"")</x:f>
      </x:c>
      <x:c r="O882" s="32" t="str">
        <x:f>IF(AND(O$8&lt;='Detalle'!$H430,O$9&gt;='Detalle'!$G430),1,"")</x:f>
      </x:c>
      <x:c r="P882" s="32" t="str">
        <x:f>IF(AND(P$8&lt;='Detalle'!$H430,P$9&gt;='Detalle'!$G430),1,"")</x:f>
      </x:c>
      <x:c r="Q882" s="68"/>
      <x:c r="R882" s="67" t="str">
        <x:f>IF('Detalle'!M430="","",'Detalle'!M430)</x:f>
      </x:c>
      <x:c r="S882" s="67" t="str">
        <x:f>IF('Detalle'!N430="","",'Detalle'!N430)</x:f>
      </x:c>
    </x:row>
    <x:row r="883" ht="16" customHeight="1">
      <x:c r="A883" s="56" t="str">
        <x:v>DIS03.002</x:v>
      </x:c>
      <x:c r="B883" s="57" t="str">
        <x:v>Probar superficies Paper y acentos mint</x:v>
      </x:c>
      <x:c r="C883" s="63" t="str">
        <x:v>R</x:v>
      </x:c>
      <x:c r="D883" s="65" t="str">
        <x:f>IF('Detalle'!L430="","",'Detalle'!L430)</x:f>
      </x:c>
      <x:c r="E883" s="60" t="str"/>
      <x:c r="F883" s="32" t="str">
        <x:f>IF(OR('Detalle'!$J430="",'Detalle'!$K430="",'Detalle'!$L430=""),"",IF(AND(F$8&lt;='Detalle'!$K430,F$9&gt;='Detalle'!$J430),1,""))</x:f>
      </x:c>
      <x:c r="G883" s="32" t="str">
        <x:f>IF(OR('Detalle'!$J430="",'Detalle'!$K430="",'Detalle'!$L430=""),"",IF(AND(G$8&lt;='Detalle'!$K430,G$9&gt;='Detalle'!$J430),1,""))</x:f>
      </x:c>
      <x:c r="H883" s="32" t="str">
        <x:f>IF(OR('Detalle'!$J430="",'Detalle'!$K430="",'Detalle'!$L430=""),"",IF(AND(H$8&lt;='Detalle'!$K430,H$9&gt;='Detalle'!$J430),1,""))</x:f>
      </x:c>
      <x:c r="I883" s="32" t="str">
        <x:f>IF(OR('Detalle'!$J430="",'Detalle'!$K430="",'Detalle'!$L430=""),"",IF(AND(I$8&lt;='Detalle'!$K430,I$9&gt;='Detalle'!$J430),1,""))</x:f>
      </x:c>
      <x:c r="J883" s="32" t="str">
        <x:f>IF(OR('Detalle'!$J430="",'Detalle'!$K430="",'Detalle'!$L430=""),"",IF(AND(J$8&lt;='Detalle'!$K430,J$9&gt;='Detalle'!$J430),1,""))</x:f>
      </x:c>
      <x:c r="K883" s="32" t="str">
        <x:f>IF(OR('Detalle'!$J430="",'Detalle'!$K430="",'Detalle'!$L430=""),"",IF(AND(K$8&lt;='Detalle'!$K430,K$9&gt;='Detalle'!$J430),1,""))</x:f>
      </x:c>
      <x:c r="L883" s="32" t="str">
        <x:f>IF(OR('Detalle'!$J430="",'Detalle'!$K430="",'Detalle'!$L430=""),"",IF(AND(L$8&lt;='Detalle'!$K430,L$9&gt;='Detalle'!$J430),1,""))</x:f>
      </x:c>
      <x:c r="M883" s="32" t="str">
        <x:f>IF(OR('Detalle'!$J430="",'Detalle'!$K430="",'Detalle'!$L430=""),"",IF(AND(M$8&lt;='Detalle'!$K430,M$9&gt;='Detalle'!$J430),1,""))</x:f>
      </x:c>
      <x:c r="N883" s="32" t="str">
        <x:f>IF(OR('Detalle'!$J430="",'Detalle'!$K430="",'Detalle'!$L430=""),"",IF(AND(N$8&lt;='Detalle'!$K430,N$9&gt;='Detalle'!$J430),1,""))</x:f>
      </x:c>
      <x:c r="O883" s="32" t="str">
        <x:f>IF(OR('Detalle'!$J430="",'Detalle'!$K430="",'Detalle'!$L430=""),"",IF(AND(O$8&lt;='Detalle'!$K430,O$9&gt;='Detalle'!$J430),1,""))</x:f>
      </x:c>
      <x:c r="P883" s="32" t="str">
        <x:f>IF(OR('Detalle'!$J430="",'Detalle'!$K430="",'Detalle'!$L430=""),"",IF(AND(P$8&lt;='Detalle'!$K430,P$9&gt;='Detalle'!$J430),1,""))</x:f>
      </x:c>
      <x:c r="Q883" s="68"/>
      <x:c r="R883" s="67" t="str"/>
      <x:c r="S883" s="67" t="str"/>
    </x:row>
    <x:row r="884" ht="16" customHeight="1">
      <x:c r="A884" s="56" t="str">
        <x:v>DIS03.003</x:v>
      </x:c>
      <x:c r="B884" s="57" t="str">
        <x:v>Probar encabezados de comunidad experimentales</x:v>
      </x:c>
      <x:c r="C884" s="62" t="str">
        <x:v>E</x:v>
      </x:c>
      <x:c r="D884" s="64" t="n">
        <x:f>'Detalle'!I431</x:f>
        <x:v>1</x:v>
      </x:c>
      <x:c r="E884" s="60" t="str">
        <x:f>'Detalle'!F431</x:f>
        <x:v>Sustituido</x:v>
      </x:c>
      <x:c r="F884" s="32" t="str">
        <x:f>IF(AND(F$8&lt;='Detalle'!$H431,F$9&gt;='Detalle'!$G431),1,"")</x:f>
      </x:c>
      <x:c r="G884" s="32" t="str">
        <x:f>IF(AND(G$8&lt;='Detalle'!$H431,G$9&gt;='Detalle'!$G431),1,"")</x:f>
      </x:c>
      <x:c r="H884" s="32" t="str">
        <x:f>IF(AND(H$8&lt;='Detalle'!$H431,H$9&gt;='Detalle'!$G431),1,"")</x:f>
      </x:c>
      <x:c r="I884" s="32" t="n">
        <x:f>IF(AND(I$8&lt;='Detalle'!$H431,I$9&gt;='Detalle'!$G431),1,"")</x:f>
        <x:v>1</x:v>
      </x:c>
      <x:c r="J884" s="32" t="str">
        <x:f>IF(AND(J$8&lt;='Detalle'!$H431,J$9&gt;='Detalle'!$G431),1,"")</x:f>
      </x:c>
      <x:c r="K884" s="32" t="str">
        <x:f>IF(AND(K$8&lt;='Detalle'!$H431,K$9&gt;='Detalle'!$G431),1,"")</x:f>
      </x:c>
      <x:c r="L884" s="32" t="str">
        <x:f>IF(AND(L$8&lt;='Detalle'!$H431,L$9&gt;='Detalle'!$G431),1,"")</x:f>
      </x:c>
      <x:c r="M884" s="32" t="str">
        <x:f>IF(AND(M$8&lt;='Detalle'!$H431,M$9&gt;='Detalle'!$G431),1,"")</x:f>
      </x:c>
      <x:c r="N884" s="32" t="str">
        <x:f>IF(AND(N$8&lt;='Detalle'!$H431,N$9&gt;='Detalle'!$G431),1,"")</x:f>
      </x:c>
      <x:c r="O884" s="32" t="str">
        <x:f>IF(AND(O$8&lt;='Detalle'!$H431,O$9&gt;='Detalle'!$G431),1,"")</x:f>
      </x:c>
      <x:c r="P884" s="32" t="str">
        <x:f>IF(AND(P$8&lt;='Detalle'!$H431,P$9&gt;='Detalle'!$G431),1,"")</x:f>
      </x:c>
      <x:c r="Q884" s="68"/>
      <x:c r="R884" s="67" t="str">
        <x:f>IF('Detalle'!M431="","",'Detalle'!M431)</x:f>
      </x:c>
      <x:c r="S884" s="67" t="str">
        <x:f>IF('Detalle'!N431="","",'Detalle'!N431)</x:f>
      </x:c>
    </x:row>
    <x:row r="885" ht="16" customHeight="1">
      <x:c r="A885" s="56" t="str">
        <x:v>DIS03.003</x:v>
      </x:c>
      <x:c r="B885" s="57" t="str">
        <x:v>Probar encabezados de comunidad experimentales</x:v>
      </x:c>
      <x:c r="C885" s="63" t="str">
        <x:v>R</x:v>
      </x:c>
      <x:c r="D885" s="65" t="str">
        <x:f>IF('Detalle'!L431="","",'Detalle'!L431)</x:f>
      </x:c>
      <x:c r="E885" s="60" t="str"/>
      <x:c r="F885" s="32" t="str">
        <x:f>IF(OR('Detalle'!$J431="",'Detalle'!$K431="",'Detalle'!$L431=""),"",IF(AND(F$8&lt;='Detalle'!$K431,F$9&gt;='Detalle'!$J431),1,""))</x:f>
      </x:c>
      <x:c r="G885" s="32" t="str">
        <x:f>IF(OR('Detalle'!$J431="",'Detalle'!$K431="",'Detalle'!$L431=""),"",IF(AND(G$8&lt;='Detalle'!$K431,G$9&gt;='Detalle'!$J431),1,""))</x:f>
      </x:c>
      <x:c r="H885" s="32" t="str">
        <x:f>IF(OR('Detalle'!$J431="",'Detalle'!$K431="",'Detalle'!$L431=""),"",IF(AND(H$8&lt;='Detalle'!$K431,H$9&gt;='Detalle'!$J431),1,""))</x:f>
      </x:c>
      <x:c r="I885" s="32" t="str">
        <x:f>IF(OR('Detalle'!$J431="",'Detalle'!$K431="",'Detalle'!$L431=""),"",IF(AND(I$8&lt;='Detalle'!$K431,I$9&gt;='Detalle'!$J431),1,""))</x:f>
      </x:c>
      <x:c r="J885" s="32" t="str">
        <x:f>IF(OR('Detalle'!$J431="",'Detalle'!$K431="",'Detalle'!$L431=""),"",IF(AND(J$8&lt;='Detalle'!$K431,J$9&gt;='Detalle'!$J431),1,""))</x:f>
      </x:c>
      <x:c r="K885" s="32" t="str">
        <x:f>IF(OR('Detalle'!$J431="",'Detalle'!$K431="",'Detalle'!$L431=""),"",IF(AND(K$8&lt;='Detalle'!$K431,K$9&gt;='Detalle'!$J431),1,""))</x:f>
      </x:c>
      <x:c r="L885" s="32" t="str">
        <x:f>IF(OR('Detalle'!$J431="",'Detalle'!$K431="",'Detalle'!$L431=""),"",IF(AND(L$8&lt;='Detalle'!$K431,L$9&gt;='Detalle'!$J431),1,""))</x:f>
      </x:c>
      <x:c r="M885" s="32" t="str">
        <x:f>IF(OR('Detalle'!$J431="",'Detalle'!$K431="",'Detalle'!$L431=""),"",IF(AND(M$8&lt;='Detalle'!$K431,M$9&gt;='Detalle'!$J431),1,""))</x:f>
      </x:c>
      <x:c r="N885" s="32" t="str">
        <x:f>IF(OR('Detalle'!$J431="",'Detalle'!$K431="",'Detalle'!$L431=""),"",IF(AND(N$8&lt;='Detalle'!$K431,N$9&gt;='Detalle'!$J431),1,""))</x:f>
      </x:c>
      <x:c r="O885" s="32" t="str">
        <x:f>IF(OR('Detalle'!$J431="",'Detalle'!$K431="",'Detalle'!$L431=""),"",IF(AND(O$8&lt;='Detalle'!$K431,O$9&gt;='Detalle'!$J431),1,""))</x:f>
      </x:c>
      <x:c r="P885" s="32" t="str">
        <x:f>IF(OR('Detalle'!$J431="",'Detalle'!$K431="",'Detalle'!$L431=""),"",IF(AND(P$8&lt;='Detalle'!$K431,P$9&gt;='Detalle'!$J431),1,""))</x:f>
      </x:c>
      <x:c r="Q885" s="68"/>
      <x:c r="R885" s="67" t="str"/>
      <x:c r="S885" s="67" t="str"/>
    </x:row>
    <x:row r="886" ht="16" customHeight="1">
      <x:c r="A886" s="56" t="str">
        <x:v>DIS03.004</x:v>
      </x:c>
      <x:c r="B886" s="57" t="str">
        <x:v>Probar reorganización experimental de perfil</x:v>
      </x:c>
      <x:c r="C886" s="62" t="str">
        <x:v>E</x:v>
      </x:c>
      <x:c r="D886" s="64" t="n">
        <x:f>'Detalle'!I432</x:f>
        <x:v>1</x:v>
      </x:c>
      <x:c r="E886" s="60" t="str">
        <x:f>'Detalle'!F432</x:f>
        <x:v>Sustituido</x:v>
      </x:c>
      <x:c r="F886" s="32" t="str">
        <x:f>IF(AND(F$8&lt;='Detalle'!$H432,F$9&gt;='Detalle'!$G432),1,"")</x:f>
      </x:c>
      <x:c r="G886" s="32" t="str">
        <x:f>IF(AND(G$8&lt;='Detalle'!$H432,G$9&gt;='Detalle'!$G432),1,"")</x:f>
      </x:c>
      <x:c r="H886" s="32" t="str">
        <x:f>IF(AND(H$8&lt;='Detalle'!$H432,H$9&gt;='Detalle'!$G432),1,"")</x:f>
      </x:c>
      <x:c r="I886" s="32" t="n">
        <x:f>IF(AND(I$8&lt;='Detalle'!$H432,I$9&gt;='Detalle'!$G432),1,"")</x:f>
        <x:v>1</x:v>
      </x:c>
      <x:c r="J886" s="32" t="str">
        <x:f>IF(AND(J$8&lt;='Detalle'!$H432,J$9&gt;='Detalle'!$G432),1,"")</x:f>
      </x:c>
      <x:c r="K886" s="32" t="str">
        <x:f>IF(AND(K$8&lt;='Detalle'!$H432,K$9&gt;='Detalle'!$G432),1,"")</x:f>
      </x:c>
      <x:c r="L886" s="32" t="str">
        <x:f>IF(AND(L$8&lt;='Detalle'!$H432,L$9&gt;='Detalle'!$G432),1,"")</x:f>
      </x:c>
      <x:c r="M886" s="32" t="str">
        <x:f>IF(AND(M$8&lt;='Detalle'!$H432,M$9&gt;='Detalle'!$G432),1,"")</x:f>
      </x:c>
      <x:c r="N886" s="32" t="str">
        <x:f>IF(AND(N$8&lt;='Detalle'!$H432,N$9&gt;='Detalle'!$G432),1,"")</x:f>
      </x:c>
      <x:c r="O886" s="32" t="str">
        <x:f>IF(AND(O$8&lt;='Detalle'!$H432,O$9&gt;='Detalle'!$G432),1,"")</x:f>
      </x:c>
      <x:c r="P886" s="32" t="str">
        <x:f>IF(AND(P$8&lt;='Detalle'!$H432,P$9&gt;='Detalle'!$G432),1,"")</x:f>
      </x:c>
      <x:c r="Q886" s="68"/>
      <x:c r="R886" s="67" t="str">
        <x:f>IF('Detalle'!M432="","",'Detalle'!M432)</x:f>
      </x:c>
      <x:c r="S886" s="67" t="str">
        <x:f>IF('Detalle'!N432="","",'Detalle'!N432)</x:f>
      </x:c>
    </x:row>
    <x:row r="887" ht="16" customHeight="1">
      <x:c r="A887" s="56" t="str">
        <x:v>DIS03.004</x:v>
      </x:c>
      <x:c r="B887" s="57" t="str">
        <x:v>Probar reorganización experimental de perfil</x:v>
      </x:c>
      <x:c r="C887" s="63" t="str">
        <x:v>R</x:v>
      </x:c>
      <x:c r="D887" s="65" t="str">
        <x:f>IF('Detalle'!L432="","",'Detalle'!L432)</x:f>
      </x:c>
      <x:c r="E887" s="60" t="str"/>
      <x:c r="F887" s="32" t="str">
        <x:f>IF(OR('Detalle'!$J432="",'Detalle'!$K432="",'Detalle'!$L432=""),"",IF(AND(F$8&lt;='Detalle'!$K432,F$9&gt;='Detalle'!$J432),1,""))</x:f>
      </x:c>
      <x:c r="G887" s="32" t="str">
        <x:f>IF(OR('Detalle'!$J432="",'Detalle'!$K432="",'Detalle'!$L432=""),"",IF(AND(G$8&lt;='Detalle'!$K432,G$9&gt;='Detalle'!$J432),1,""))</x:f>
      </x:c>
      <x:c r="H887" s="32" t="str">
        <x:f>IF(OR('Detalle'!$J432="",'Detalle'!$K432="",'Detalle'!$L432=""),"",IF(AND(H$8&lt;='Detalle'!$K432,H$9&gt;='Detalle'!$J432),1,""))</x:f>
      </x:c>
      <x:c r="I887" s="32" t="str">
        <x:f>IF(OR('Detalle'!$J432="",'Detalle'!$K432="",'Detalle'!$L432=""),"",IF(AND(I$8&lt;='Detalle'!$K432,I$9&gt;='Detalle'!$J432),1,""))</x:f>
      </x:c>
      <x:c r="J887" s="32" t="str">
        <x:f>IF(OR('Detalle'!$J432="",'Detalle'!$K432="",'Detalle'!$L432=""),"",IF(AND(J$8&lt;='Detalle'!$K432,J$9&gt;='Detalle'!$J432),1,""))</x:f>
      </x:c>
      <x:c r="K887" s="32" t="str">
        <x:f>IF(OR('Detalle'!$J432="",'Detalle'!$K432="",'Detalle'!$L432=""),"",IF(AND(K$8&lt;='Detalle'!$K432,K$9&gt;='Detalle'!$J432),1,""))</x:f>
      </x:c>
      <x:c r="L887" s="32" t="str">
        <x:f>IF(OR('Detalle'!$J432="",'Detalle'!$K432="",'Detalle'!$L432=""),"",IF(AND(L$8&lt;='Detalle'!$K432,L$9&gt;='Detalle'!$J432),1,""))</x:f>
      </x:c>
      <x:c r="M887" s="32" t="str">
        <x:f>IF(OR('Detalle'!$J432="",'Detalle'!$K432="",'Detalle'!$L432=""),"",IF(AND(M$8&lt;='Detalle'!$K432,M$9&gt;='Detalle'!$J432),1,""))</x:f>
      </x:c>
      <x:c r="N887" s="32" t="str">
        <x:f>IF(OR('Detalle'!$J432="",'Detalle'!$K432="",'Detalle'!$L432=""),"",IF(AND(N$8&lt;='Detalle'!$K432,N$9&gt;='Detalle'!$J432),1,""))</x:f>
      </x:c>
      <x:c r="O887" s="32" t="str">
        <x:f>IF(OR('Detalle'!$J432="",'Detalle'!$K432="",'Detalle'!$L432=""),"",IF(AND(O$8&lt;='Detalle'!$K432,O$9&gt;='Detalle'!$J432),1,""))</x:f>
      </x:c>
      <x:c r="P887" s="32" t="str">
        <x:f>IF(OR('Detalle'!$J432="",'Detalle'!$K432="",'Detalle'!$L432=""),"",IF(AND(P$8&lt;='Detalle'!$K432,P$9&gt;='Detalle'!$J432),1,""))</x:f>
      </x:c>
      <x:c r="Q887" s="68"/>
      <x:c r="R887" s="67" t="str"/>
      <x:c r="S887" s="67" t="str"/>
    </x:row>
    <x:row r="888" ht="16" customHeight="1">
      <x:c r="A888" s="56" t="str">
        <x:v>DIS03.005</x:v>
      </x:c>
      <x:c r="B888" s="57" t="str">
        <x:v>Probar rail adaptable a 600 y 1024 px</x:v>
      </x:c>
      <x:c r="C888" s="62" t="str">
        <x:v>E</x:v>
      </x:c>
      <x:c r="D888" s="64" t="n">
        <x:f>'Detalle'!I433</x:f>
        <x:v>1</x:v>
      </x:c>
      <x:c r="E888" s="60" t="str">
        <x:f>'Detalle'!F433</x:f>
        <x:v>Sustituido</x:v>
      </x:c>
      <x:c r="F888" s="32" t="str">
        <x:f>IF(AND(F$8&lt;='Detalle'!$H433,F$9&gt;='Detalle'!$G433),1,"")</x:f>
      </x:c>
      <x:c r="G888" s="32" t="str">
        <x:f>IF(AND(G$8&lt;='Detalle'!$H433,G$9&gt;='Detalle'!$G433),1,"")</x:f>
      </x:c>
      <x:c r="H888" s="32" t="str">
        <x:f>IF(AND(H$8&lt;='Detalle'!$H433,H$9&gt;='Detalle'!$G433),1,"")</x:f>
      </x:c>
      <x:c r="I888" s="32" t="n">
        <x:f>IF(AND(I$8&lt;='Detalle'!$H433,I$9&gt;='Detalle'!$G433),1,"")</x:f>
        <x:v>1</x:v>
      </x:c>
      <x:c r="J888" s="32" t="str">
        <x:f>IF(AND(J$8&lt;='Detalle'!$H433,J$9&gt;='Detalle'!$G433),1,"")</x:f>
      </x:c>
      <x:c r="K888" s="32" t="str">
        <x:f>IF(AND(K$8&lt;='Detalle'!$H433,K$9&gt;='Detalle'!$G433),1,"")</x:f>
      </x:c>
      <x:c r="L888" s="32" t="str">
        <x:f>IF(AND(L$8&lt;='Detalle'!$H433,L$9&gt;='Detalle'!$G433),1,"")</x:f>
      </x:c>
      <x:c r="M888" s="32" t="str">
        <x:f>IF(AND(M$8&lt;='Detalle'!$H433,M$9&gt;='Detalle'!$G433),1,"")</x:f>
      </x:c>
      <x:c r="N888" s="32" t="str">
        <x:f>IF(AND(N$8&lt;='Detalle'!$H433,N$9&gt;='Detalle'!$G433),1,"")</x:f>
      </x:c>
      <x:c r="O888" s="32" t="str">
        <x:f>IF(AND(O$8&lt;='Detalle'!$H433,O$9&gt;='Detalle'!$G433),1,"")</x:f>
      </x:c>
      <x:c r="P888" s="32" t="str">
        <x:f>IF(AND(P$8&lt;='Detalle'!$H433,P$9&gt;='Detalle'!$G433),1,"")</x:f>
      </x:c>
      <x:c r="Q888" s="68"/>
      <x:c r="R888" s="67" t="str">
        <x:f>IF('Detalle'!M433="","",'Detalle'!M433)</x:f>
      </x:c>
      <x:c r="S888" s="67" t="str">
        <x:f>IF('Detalle'!N433="","",'Detalle'!N433)</x:f>
      </x:c>
    </x:row>
    <x:row r="889" ht="16" customHeight="1">
      <x:c r="A889" s="56" t="str">
        <x:v>DIS03.005</x:v>
      </x:c>
      <x:c r="B889" s="57" t="str">
        <x:v>Probar rail adaptable a 600 y 1024 px</x:v>
      </x:c>
      <x:c r="C889" s="63" t="str">
        <x:v>R</x:v>
      </x:c>
      <x:c r="D889" s="65" t="str">
        <x:f>IF('Detalle'!L433="","",'Detalle'!L433)</x:f>
      </x:c>
      <x:c r="E889" s="60" t="str"/>
      <x:c r="F889" s="32" t="str">
        <x:f>IF(OR('Detalle'!$J433="",'Detalle'!$K433="",'Detalle'!$L433=""),"",IF(AND(F$8&lt;='Detalle'!$K433,F$9&gt;='Detalle'!$J433),1,""))</x:f>
      </x:c>
      <x:c r="G889" s="32" t="str">
        <x:f>IF(OR('Detalle'!$J433="",'Detalle'!$K433="",'Detalle'!$L433=""),"",IF(AND(G$8&lt;='Detalle'!$K433,G$9&gt;='Detalle'!$J433),1,""))</x:f>
      </x:c>
      <x:c r="H889" s="32" t="str">
        <x:f>IF(OR('Detalle'!$J433="",'Detalle'!$K433="",'Detalle'!$L433=""),"",IF(AND(H$8&lt;='Detalle'!$K433,H$9&gt;='Detalle'!$J433),1,""))</x:f>
      </x:c>
      <x:c r="I889" s="32" t="str">
        <x:f>IF(OR('Detalle'!$J433="",'Detalle'!$K433="",'Detalle'!$L433=""),"",IF(AND(I$8&lt;='Detalle'!$K433,I$9&gt;='Detalle'!$J433),1,""))</x:f>
      </x:c>
      <x:c r="J889" s="32" t="str">
        <x:f>IF(OR('Detalle'!$J433="",'Detalle'!$K433="",'Detalle'!$L433=""),"",IF(AND(J$8&lt;='Detalle'!$K433,J$9&gt;='Detalle'!$J433),1,""))</x:f>
      </x:c>
      <x:c r="K889" s="32" t="str">
        <x:f>IF(OR('Detalle'!$J433="",'Detalle'!$K433="",'Detalle'!$L433=""),"",IF(AND(K$8&lt;='Detalle'!$K433,K$9&gt;='Detalle'!$J433),1,""))</x:f>
      </x:c>
      <x:c r="L889" s="32" t="str">
        <x:f>IF(OR('Detalle'!$J433="",'Detalle'!$K433="",'Detalle'!$L433=""),"",IF(AND(L$8&lt;='Detalle'!$K433,L$9&gt;='Detalle'!$J433),1,""))</x:f>
      </x:c>
      <x:c r="M889" s="32" t="str">
        <x:f>IF(OR('Detalle'!$J433="",'Detalle'!$K433="",'Detalle'!$L433=""),"",IF(AND(M$8&lt;='Detalle'!$K433,M$9&gt;='Detalle'!$J433),1,""))</x:f>
      </x:c>
      <x:c r="N889" s="32" t="str">
        <x:f>IF(OR('Detalle'!$J433="",'Detalle'!$K433="",'Detalle'!$L433=""),"",IF(AND(N$8&lt;='Detalle'!$K433,N$9&gt;='Detalle'!$J433),1,""))</x:f>
      </x:c>
      <x:c r="O889" s="32" t="str">
        <x:f>IF(OR('Detalle'!$J433="",'Detalle'!$K433="",'Detalle'!$L433=""),"",IF(AND(O$8&lt;='Detalle'!$K433,O$9&gt;='Detalle'!$J433),1,""))</x:f>
      </x:c>
      <x:c r="P889" s="32" t="str">
        <x:f>IF(OR('Detalle'!$J433="",'Detalle'!$K433="",'Detalle'!$L433=""),"",IF(AND(P$8&lt;='Detalle'!$K433,P$9&gt;='Detalle'!$J433),1,""))</x:f>
      </x:c>
      <x:c r="Q889" s="68"/>
      <x:c r="R889" s="67" t="str"/>
      <x:c r="S889" s="67" t="str"/>
    </x:row>
    <x:row r="890" ht="16" customHeight="1">
      <x:c r="A890" s="56" t="str">
        <x:v>DIS03.006</x:v>
      </x:c>
      <x:c r="B890" s="57" t="str">
        <x:v>Probar anillos aqua de avatar</x:v>
      </x:c>
      <x:c r="C890" s="62" t="str">
        <x:v>E</x:v>
      </x:c>
      <x:c r="D890" s="64" t="n">
        <x:f>'Detalle'!I434</x:f>
        <x:v>1</x:v>
      </x:c>
      <x:c r="E890" s="60" t="str">
        <x:f>'Detalle'!F434</x:f>
        <x:v>Sustituido</x:v>
      </x:c>
      <x:c r="F890" s="32" t="str">
        <x:f>IF(AND(F$8&lt;='Detalle'!$H434,F$9&gt;='Detalle'!$G434),1,"")</x:f>
      </x:c>
      <x:c r="G890" s="32" t="str">
        <x:f>IF(AND(G$8&lt;='Detalle'!$H434,G$9&gt;='Detalle'!$G434),1,"")</x:f>
      </x:c>
      <x:c r="H890" s="32" t="str">
        <x:f>IF(AND(H$8&lt;='Detalle'!$H434,H$9&gt;='Detalle'!$G434),1,"")</x:f>
      </x:c>
      <x:c r="I890" s="32" t="n">
        <x:f>IF(AND(I$8&lt;='Detalle'!$H434,I$9&gt;='Detalle'!$G434),1,"")</x:f>
        <x:v>1</x:v>
      </x:c>
      <x:c r="J890" s="32" t="str">
        <x:f>IF(AND(J$8&lt;='Detalle'!$H434,J$9&gt;='Detalle'!$G434),1,"")</x:f>
      </x:c>
      <x:c r="K890" s="32" t="str">
        <x:f>IF(AND(K$8&lt;='Detalle'!$H434,K$9&gt;='Detalle'!$G434),1,"")</x:f>
      </x:c>
      <x:c r="L890" s="32" t="str">
        <x:f>IF(AND(L$8&lt;='Detalle'!$H434,L$9&gt;='Detalle'!$G434),1,"")</x:f>
      </x:c>
      <x:c r="M890" s="32" t="str">
        <x:f>IF(AND(M$8&lt;='Detalle'!$H434,M$9&gt;='Detalle'!$G434),1,"")</x:f>
      </x:c>
      <x:c r="N890" s="32" t="str">
        <x:f>IF(AND(N$8&lt;='Detalle'!$H434,N$9&gt;='Detalle'!$G434),1,"")</x:f>
      </x:c>
      <x:c r="O890" s="32" t="str">
        <x:f>IF(AND(O$8&lt;='Detalle'!$H434,O$9&gt;='Detalle'!$G434),1,"")</x:f>
      </x:c>
      <x:c r="P890" s="32" t="str">
        <x:f>IF(AND(P$8&lt;='Detalle'!$H434,P$9&gt;='Detalle'!$G434),1,"")</x:f>
      </x:c>
      <x:c r="Q890" s="68"/>
      <x:c r="R890" s="67" t="str">
        <x:f>IF('Detalle'!M434="","",'Detalle'!M434)</x:f>
      </x:c>
      <x:c r="S890" s="67" t="str">
        <x:f>IF('Detalle'!N434="","",'Detalle'!N434)</x:f>
      </x:c>
    </x:row>
    <x:row r="891" ht="16" customHeight="1">
      <x:c r="A891" s="56" t="str">
        <x:v>DIS03.006</x:v>
      </x:c>
      <x:c r="B891" s="57" t="str">
        <x:v>Probar anillos aqua de avatar</x:v>
      </x:c>
      <x:c r="C891" s="63" t="str">
        <x:v>R</x:v>
      </x:c>
      <x:c r="D891" s="65" t="str">
        <x:f>IF('Detalle'!L434="","",'Detalle'!L434)</x:f>
      </x:c>
      <x:c r="E891" s="60" t="str"/>
      <x:c r="F891" s="32" t="str">
        <x:f>IF(OR('Detalle'!$J434="",'Detalle'!$K434="",'Detalle'!$L434=""),"",IF(AND(F$8&lt;='Detalle'!$K434,F$9&gt;='Detalle'!$J434),1,""))</x:f>
      </x:c>
      <x:c r="G891" s="32" t="str">
        <x:f>IF(OR('Detalle'!$J434="",'Detalle'!$K434="",'Detalle'!$L434=""),"",IF(AND(G$8&lt;='Detalle'!$K434,G$9&gt;='Detalle'!$J434),1,""))</x:f>
      </x:c>
      <x:c r="H891" s="32" t="str">
        <x:f>IF(OR('Detalle'!$J434="",'Detalle'!$K434="",'Detalle'!$L434=""),"",IF(AND(H$8&lt;='Detalle'!$K434,H$9&gt;='Detalle'!$J434),1,""))</x:f>
      </x:c>
      <x:c r="I891" s="32" t="str">
        <x:f>IF(OR('Detalle'!$J434="",'Detalle'!$K434="",'Detalle'!$L434=""),"",IF(AND(I$8&lt;='Detalle'!$K434,I$9&gt;='Detalle'!$J434),1,""))</x:f>
      </x:c>
      <x:c r="J891" s="32" t="str">
        <x:f>IF(OR('Detalle'!$J434="",'Detalle'!$K434="",'Detalle'!$L434=""),"",IF(AND(J$8&lt;='Detalle'!$K434,J$9&gt;='Detalle'!$J434),1,""))</x:f>
      </x:c>
      <x:c r="K891" s="32" t="str">
        <x:f>IF(OR('Detalle'!$J434="",'Detalle'!$K434="",'Detalle'!$L434=""),"",IF(AND(K$8&lt;='Detalle'!$K434,K$9&gt;='Detalle'!$J434),1,""))</x:f>
      </x:c>
      <x:c r="L891" s="32" t="str">
        <x:f>IF(OR('Detalle'!$J434="",'Detalle'!$K434="",'Detalle'!$L434=""),"",IF(AND(L$8&lt;='Detalle'!$K434,L$9&gt;='Detalle'!$J434),1,""))</x:f>
      </x:c>
      <x:c r="M891" s="32" t="str">
        <x:f>IF(OR('Detalle'!$J434="",'Detalle'!$K434="",'Detalle'!$L434=""),"",IF(AND(M$8&lt;='Detalle'!$K434,M$9&gt;='Detalle'!$J434),1,""))</x:f>
      </x:c>
      <x:c r="N891" s="32" t="str">
        <x:f>IF(OR('Detalle'!$J434="",'Detalle'!$K434="",'Detalle'!$L434=""),"",IF(AND(N$8&lt;='Detalle'!$K434,N$9&gt;='Detalle'!$J434),1,""))</x:f>
      </x:c>
      <x:c r="O891" s="32" t="str">
        <x:f>IF(OR('Detalle'!$J434="",'Detalle'!$K434="",'Detalle'!$L434=""),"",IF(AND(O$8&lt;='Detalle'!$K434,O$9&gt;='Detalle'!$J434),1,""))</x:f>
      </x:c>
      <x:c r="P891" s="32" t="str">
        <x:f>IF(OR('Detalle'!$J434="",'Detalle'!$K434="",'Detalle'!$L434=""),"",IF(AND(P$8&lt;='Detalle'!$K434,P$9&gt;='Detalle'!$J434),1,""))</x:f>
      </x:c>
      <x:c r="Q891" s="68"/>
      <x:c r="R891" s="67" t="str"/>
      <x:c r="S891" s="67" t="str"/>
    </x:row>
    <x:row r="892" ht="16" customHeight="1">
      <x:c r="A892" s="56" t="str">
        <x:v>DIS03.007</x:v>
      </x:c>
      <x:c r="B892" s="57" t="str">
        <x:v>Archivar código de ambos experimentos</x:v>
      </x:c>
      <x:c r="C892" s="62" t="str">
        <x:v>E</x:v>
      </x:c>
      <x:c r="D892" s="64" t="n">
        <x:f>'Detalle'!I435</x:f>
        <x:v>1</x:v>
      </x:c>
      <x:c r="E892" s="60" t="str">
        <x:f>'Detalle'!F435</x:f>
        <x:v>Sustituido</x:v>
      </x:c>
      <x:c r="F892" s="32" t="str">
        <x:f>IF(AND(F$8&lt;='Detalle'!$H435,F$9&gt;='Detalle'!$G435),1,"")</x:f>
      </x:c>
      <x:c r="G892" s="32" t="str">
        <x:f>IF(AND(G$8&lt;='Detalle'!$H435,G$9&gt;='Detalle'!$G435),1,"")</x:f>
      </x:c>
      <x:c r="H892" s="32" t="str">
        <x:f>IF(AND(H$8&lt;='Detalle'!$H435,H$9&gt;='Detalle'!$G435),1,"")</x:f>
      </x:c>
      <x:c r="I892" s="32" t="n">
        <x:f>IF(AND(I$8&lt;='Detalle'!$H435,I$9&gt;='Detalle'!$G435),1,"")</x:f>
        <x:v>1</x:v>
      </x:c>
      <x:c r="J892" s="32" t="str">
        <x:f>IF(AND(J$8&lt;='Detalle'!$H435,J$9&gt;='Detalle'!$G435),1,"")</x:f>
      </x:c>
      <x:c r="K892" s="32" t="str">
        <x:f>IF(AND(K$8&lt;='Detalle'!$H435,K$9&gt;='Detalle'!$G435),1,"")</x:f>
      </x:c>
      <x:c r="L892" s="32" t="str">
        <x:f>IF(AND(L$8&lt;='Detalle'!$H435,L$9&gt;='Detalle'!$G435),1,"")</x:f>
      </x:c>
      <x:c r="M892" s="32" t="str">
        <x:f>IF(AND(M$8&lt;='Detalle'!$H435,M$9&gt;='Detalle'!$G435),1,"")</x:f>
      </x:c>
      <x:c r="N892" s="32" t="str">
        <x:f>IF(AND(N$8&lt;='Detalle'!$H435,N$9&gt;='Detalle'!$G435),1,"")</x:f>
      </x:c>
      <x:c r="O892" s="32" t="str">
        <x:f>IF(AND(O$8&lt;='Detalle'!$H435,O$9&gt;='Detalle'!$G435),1,"")</x:f>
      </x:c>
      <x:c r="P892" s="32" t="str">
        <x:f>IF(AND(P$8&lt;='Detalle'!$H435,P$9&gt;='Detalle'!$G435),1,"")</x:f>
      </x:c>
      <x:c r="Q892" s="68"/>
      <x:c r="R892" s="67" t="str">
        <x:f>IF('Detalle'!M435="","",'Detalle'!M435)</x:f>
      </x:c>
      <x:c r="S892" s="67" t="str">
        <x:f>IF('Detalle'!N435="","",'Detalle'!N435)</x:f>
      </x:c>
    </x:row>
    <x:row r="893" ht="16" customHeight="1">
      <x:c r="A893" s="56" t="str">
        <x:v>DIS03.007</x:v>
      </x:c>
      <x:c r="B893" s="57" t="str">
        <x:v>Archivar código de ambos experimentos</x:v>
      </x:c>
      <x:c r="C893" s="63" t="str">
        <x:v>R</x:v>
      </x:c>
      <x:c r="D893" s="65" t="str">
        <x:f>IF('Detalle'!L435="","",'Detalle'!L435)</x:f>
      </x:c>
      <x:c r="E893" s="60" t="str"/>
      <x:c r="F893" s="32" t="str">
        <x:f>IF(OR('Detalle'!$J435="",'Detalle'!$K435="",'Detalle'!$L435=""),"",IF(AND(F$8&lt;='Detalle'!$K435,F$9&gt;='Detalle'!$J435),1,""))</x:f>
      </x:c>
      <x:c r="G893" s="32" t="str">
        <x:f>IF(OR('Detalle'!$J435="",'Detalle'!$K435="",'Detalle'!$L435=""),"",IF(AND(G$8&lt;='Detalle'!$K435,G$9&gt;='Detalle'!$J435),1,""))</x:f>
      </x:c>
      <x:c r="H893" s="32" t="str">
        <x:f>IF(OR('Detalle'!$J435="",'Detalle'!$K435="",'Detalle'!$L435=""),"",IF(AND(H$8&lt;='Detalle'!$K435,H$9&gt;='Detalle'!$J435),1,""))</x:f>
      </x:c>
      <x:c r="I893" s="32" t="str">
        <x:f>IF(OR('Detalle'!$J435="",'Detalle'!$K435="",'Detalle'!$L435=""),"",IF(AND(I$8&lt;='Detalle'!$K435,I$9&gt;='Detalle'!$J435),1,""))</x:f>
      </x:c>
      <x:c r="J893" s="32" t="str">
        <x:f>IF(OR('Detalle'!$J435="",'Detalle'!$K435="",'Detalle'!$L435=""),"",IF(AND(J$8&lt;='Detalle'!$K435,J$9&gt;='Detalle'!$J435),1,""))</x:f>
      </x:c>
      <x:c r="K893" s="32" t="str">
        <x:f>IF(OR('Detalle'!$J435="",'Detalle'!$K435="",'Detalle'!$L435=""),"",IF(AND(K$8&lt;='Detalle'!$K435,K$9&gt;='Detalle'!$J435),1,""))</x:f>
      </x:c>
      <x:c r="L893" s="32" t="str">
        <x:f>IF(OR('Detalle'!$J435="",'Detalle'!$K435="",'Detalle'!$L435=""),"",IF(AND(L$8&lt;='Detalle'!$K435,L$9&gt;='Detalle'!$J435),1,""))</x:f>
      </x:c>
      <x:c r="M893" s="32" t="str">
        <x:f>IF(OR('Detalle'!$J435="",'Detalle'!$K435="",'Detalle'!$L435=""),"",IF(AND(M$8&lt;='Detalle'!$K435,M$9&gt;='Detalle'!$J435),1,""))</x:f>
      </x:c>
      <x:c r="N893" s="32" t="str">
        <x:f>IF(OR('Detalle'!$J435="",'Detalle'!$K435="",'Detalle'!$L435=""),"",IF(AND(N$8&lt;='Detalle'!$K435,N$9&gt;='Detalle'!$J435),1,""))</x:f>
      </x:c>
      <x:c r="O893" s="32" t="str">
        <x:f>IF(OR('Detalle'!$J435="",'Detalle'!$K435="",'Detalle'!$L435=""),"",IF(AND(O$8&lt;='Detalle'!$K435,O$9&gt;='Detalle'!$J435),1,""))</x:f>
      </x:c>
      <x:c r="P893" s="32" t="str">
        <x:f>IF(OR('Detalle'!$J435="",'Detalle'!$K435="",'Detalle'!$L435=""),"",IF(AND(P$8&lt;='Detalle'!$K435,P$9&gt;='Detalle'!$J435),1,""))</x:f>
      </x:c>
      <x:c r="Q893" s="68"/>
      <x:c r="R893" s="67" t="str"/>
      <x:c r="S893" s="67" t="str"/>
    </x:row>
    <x:row r="894" ht="20" customHeight="1">
      <x:c r="A894" s="52" t="str">
        <x:v>MIS02 · Rediseño del compositor y borradores de misión</x:v>
      </x:c>
      <x:c r="B894" s="52" t="str">
        <x:v>MIS02 · Rediseño del compositor y borradores de misión</x:v>
      </x:c>
      <x:c r="C894" s="52" t="str">
        <x:v>MIS02 · Rediseño del compositor y borradores de misión</x:v>
      </x:c>
      <x:c r="D894" s="52" t="str">
        <x:v>MIS02 · Rediseño del compositor y borradores de misión</x:v>
      </x:c>
      <x:c r="E894" s="52" t="str">
        <x:v>MIS02 · Rediseño del compositor y borradores de misión</x:v>
      </x:c>
      <x:c r="F894" s="53" t="str">
        <x:v>MIS02 · Rediseño del compositor y borradores de misión</x:v>
      </x:c>
      <x:c r="G894" s="53" t="str">
        <x:v>MIS02 · Rediseño del compositor y borradores de misión</x:v>
      </x:c>
      <x:c r="H894" s="53" t="str">
        <x:v>MIS02 · Rediseño del compositor y borradores de misión</x:v>
      </x:c>
      <x:c r="I894" s="53" t="str">
        <x:v>MIS02 · Rediseño del compositor y borradores de misión</x:v>
      </x:c>
      <x:c r="J894" s="53" t="str">
        <x:v>MIS02 · Rediseño del compositor y borradores de misión</x:v>
      </x:c>
      <x:c r="K894" s="53" t="str">
        <x:v>MIS02 · Rediseño del compositor y borradores de misión</x:v>
      </x:c>
      <x:c r="L894" s="53" t="str">
        <x:v>MIS02 · Rediseño del compositor y borradores de misión</x:v>
      </x:c>
      <x:c r="M894" s="53" t="str">
        <x:v>MIS02 · Rediseño del compositor y borradores de misión</x:v>
      </x:c>
      <x:c r="N894" s="53" t="str">
        <x:v>MIS02 · Rediseño del compositor y borradores de misión</x:v>
      </x:c>
      <x:c r="O894" s="53" t="str">
        <x:v>MIS02 · Rediseño del compositor y borradores de misión</x:v>
      </x:c>
      <x:c r="P894" s="53" t="str">
        <x:v>MIS02 · Rediseño del compositor y borradores de misión</x:v>
      </x:c>
      <x:c r="Q894" s="52" t="str">
        <x:v>MIS02 · Rediseño del compositor y borradores de misión</x:v>
      </x:c>
      <x:c r="R894" s="52" t="str">
        <x:v>MIS02 · Rediseño del compositor y borradores de misión</x:v>
      </x:c>
      <x:c r="S894" s="52" t="str">
        <x:v>MIS02 · Rediseño del compositor y borradores de misión</x:v>
      </x:c>
    </x:row>
    <x:row r="895" ht="16" customHeight="1">
      <x:c r="A895" s="56" t="str">
        <x:v>MIS02.001</x:v>
      </x:c>
      <x:c r="B895" s="57" t="str">
        <x:v>Dividir compositor en cuatro pasos</x:v>
      </x:c>
      <x:c r="C895" s="62" t="str">
        <x:v>E</x:v>
      </x:c>
      <x:c r="D895" s="64" t="n">
        <x:f>'Detalle'!I436</x:f>
        <x:v>1</x:v>
      </x:c>
      <x:c r="E895" s="60" t="str">
        <x:f>'Detalle'!F436</x:f>
        <x:v>Completado</x:v>
      </x:c>
      <x:c r="F895" s="32" t="str">
        <x:f>IF(AND(F$8&lt;='Detalle'!$H436,F$9&gt;='Detalle'!$G436),1,"")</x:f>
      </x:c>
      <x:c r="G895" s="32" t="str">
        <x:f>IF(AND(G$8&lt;='Detalle'!$H436,G$9&gt;='Detalle'!$G436),1,"")</x:f>
      </x:c>
      <x:c r="H895" s="32" t="str">
        <x:f>IF(AND(H$8&lt;='Detalle'!$H436,H$9&gt;='Detalle'!$G436),1,"")</x:f>
      </x:c>
      <x:c r="I895" s="32" t="n">
        <x:f>IF(AND(I$8&lt;='Detalle'!$H436,I$9&gt;='Detalle'!$G436),1,"")</x:f>
        <x:v>1</x:v>
      </x:c>
      <x:c r="J895" s="32" t="str">
        <x:f>IF(AND(J$8&lt;='Detalle'!$H436,J$9&gt;='Detalle'!$G436),1,"")</x:f>
      </x:c>
      <x:c r="K895" s="32" t="str">
        <x:f>IF(AND(K$8&lt;='Detalle'!$H436,K$9&gt;='Detalle'!$G436),1,"")</x:f>
      </x:c>
      <x:c r="L895" s="32" t="str">
        <x:f>IF(AND(L$8&lt;='Detalle'!$H436,L$9&gt;='Detalle'!$G436),1,"")</x:f>
      </x:c>
      <x:c r="M895" s="32" t="str">
        <x:f>IF(AND(M$8&lt;='Detalle'!$H436,M$9&gt;='Detalle'!$G436),1,"")</x:f>
      </x:c>
      <x:c r="N895" s="32" t="str">
        <x:f>IF(AND(N$8&lt;='Detalle'!$H436,N$9&gt;='Detalle'!$G436),1,"")</x:f>
      </x:c>
      <x:c r="O895" s="32" t="str">
        <x:f>IF(AND(O$8&lt;='Detalle'!$H436,O$9&gt;='Detalle'!$G436),1,"")</x:f>
      </x:c>
      <x:c r="P895" s="32" t="str">
        <x:f>IF(AND(P$8&lt;='Detalle'!$H436,P$9&gt;='Detalle'!$G436),1,"")</x:f>
      </x:c>
      <x:c r="Q895" s="68"/>
      <x:c r="R895" s="67" t="str">
        <x:f>IF('Detalle'!M436="","",'Detalle'!M436)</x:f>
      </x:c>
      <x:c r="S895" s="67" t="str">
        <x:f>IF('Detalle'!N436="","",'Detalle'!N436)</x:f>
      </x:c>
    </x:row>
    <x:row r="896" ht="16" customHeight="1">
      <x:c r="A896" s="56" t="str">
        <x:v>MIS02.001</x:v>
      </x:c>
      <x:c r="B896" s="57" t="str">
        <x:v>Dividir compositor en cuatro pasos</x:v>
      </x:c>
      <x:c r="C896" s="63" t="str">
        <x:v>R</x:v>
      </x:c>
      <x:c r="D896" s="65" t="str">
        <x:f>IF('Detalle'!L436="","",'Detalle'!L436)</x:f>
      </x:c>
      <x:c r="E896" s="60" t="str"/>
      <x:c r="F896" s="32" t="str">
        <x:f>IF(OR('Detalle'!$J436="",'Detalle'!$K436="",'Detalle'!$L436=""),"",IF(AND(F$8&lt;='Detalle'!$K436,F$9&gt;='Detalle'!$J436),1,""))</x:f>
      </x:c>
      <x:c r="G896" s="32" t="str">
        <x:f>IF(OR('Detalle'!$J436="",'Detalle'!$K436="",'Detalle'!$L436=""),"",IF(AND(G$8&lt;='Detalle'!$K436,G$9&gt;='Detalle'!$J436),1,""))</x:f>
      </x:c>
      <x:c r="H896" s="32" t="str">
        <x:f>IF(OR('Detalle'!$J436="",'Detalle'!$K436="",'Detalle'!$L436=""),"",IF(AND(H$8&lt;='Detalle'!$K436,H$9&gt;='Detalle'!$J436),1,""))</x:f>
      </x:c>
      <x:c r="I896" s="32" t="str">
        <x:f>IF(OR('Detalle'!$J436="",'Detalle'!$K436="",'Detalle'!$L436=""),"",IF(AND(I$8&lt;='Detalle'!$K436,I$9&gt;='Detalle'!$J436),1,""))</x:f>
      </x:c>
      <x:c r="J896" s="32" t="str">
        <x:f>IF(OR('Detalle'!$J436="",'Detalle'!$K436="",'Detalle'!$L436=""),"",IF(AND(J$8&lt;='Detalle'!$K436,J$9&gt;='Detalle'!$J436),1,""))</x:f>
      </x:c>
      <x:c r="K896" s="32" t="str">
        <x:f>IF(OR('Detalle'!$J436="",'Detalle'!$K436="",'Detalle'!$L436=""),"",IF(AND(K$8&lt;='Detalle'!$K436,K$9&gt;='Detalle'!$J436),1,""))</x:f>
      </x:c>
      <x:c r="L896" s="32" t="str">
        <x:f>IF(OR('Detalle'!$J436="",'Detalle'!$K436="",'Detalle'!$L436=""),"",IF(AND(L$8&lt;='Detalle'!$K436,L$9&gt;='Detalle'!$J436),1,""))</x:f>
      </x:c>
      <x:c r="M896" s="32" t="str">
        <x:f>IF(OR('Detalle'!$J436="",'Detalle'!$K436="",'Detalle'!$L436=""),"",IF(AND(M$8&lt;='Detalle'!$K436,M$9&gt;='Detalle'!$J436),1,""))</x:f>
      </x:c>
      <x:c r="N896" s="32" t="str">
        <x:f>IF(OR('Detalle'!$J436="",'Detalle'!$K436="",'Detalle'!$L436=""),"",IF(AND(N$8&lt;='Detalle'!$K436,N$9&gt;='Detalle'!$J436),1,""))</x:f>
      </x:c>
      <x:c r="O896" s="32" t="str">
        <x:f>IF(OR('Detalle'!$J436="",'Detalle'!$K436="",'Detalle'!$L436=""),"",IF(AND(O$8&lt;='Detalle'!$K436,O$9&gt;='Detalle'!$J436),1,""))</x:f>
      </x:c>
      <x:c r="P896" s="32" t="str">
        <x:f>IF(OR('Detalle'!$J436="",'Detalle'!$K436="",'Detalle'!$L436=""),"",IF(AND(P$8&lt;='Detalle'!$K436,P$9&gt;='Detalle'!$J436),1,""))</x:f>
      </x:c>
      <x:c r="Q896" s="68"/>
      <x:c r="R896" s="67" t="str"/>
      <x:c r="S896" s="67" t="str"/>
    </x:row>
    <x:row r="897" ht="16" customHeight="1">
      <x:c r="A897" s="56" t="str">
        <x:v>MIS02.002</x:v>
      </x:c>
      <x:c r="B897" s="57" t="str">
        <x:v>Compartir flujo entre crear y editar</x:v>
      </x:c>
      <x:c r="C897" s="62" t="str">
        <x:v>E</x:v>
      </x:c>
      <x:c r="D897" s="64" t="n">
        <x:f>'Detalle'!I437</x:f>
        <x:v>1</x:v>
      </x:c>
      <x:c r="E897" s="60" t="str">
        <x:f>'Detalle'!F437</x:f>
        <x:v>Completado</x:v>
      </x:c>
      <x:c r="F897" s="32" t="str">
        <x:f>IF(AND(F$8&lt;='Detalle'!$H437,F$9&gt;='Detalle'!$G437),1,"")</x:f>
      </x:c>
      <x:c r="G897" s="32" t="str">
        <x:f>IF(AND(G$8&lt;='Detalle'!$H437,G$9&gt;='Detalle'!$G437),1,"")</x:f>
      </x:c>
      <x:c r="H897" s="32" t="str">
        <x:f>IF(AND(H$8&lt;='Detalle'!$H437,H$9&gt;='Detalle'!$G437),1,"")</x:f>
      </x:c>
      <x:c r="I897" s="32" t="n">
        <x:f>IF(AND(I$8&lt;='Detalle'!$H437,I$9&gt;='Detalle'!$G437),1,"")</x:f>
        <x:v>1</x:v>
      </x:c>
      <x:c r="J897" s="32" t="str">
        <x:f>IF(AND(J$8&lt;='Detalle'!$H437,J$9&gt;='Detalle'!$G437),1,"")</x:f>
      </x:c>
      <x:c r="K897" s="32" t="str">
        <x:f>IF(AND(K$8&lt;='Detalle'!$H437,K$9&gt;='Detalle'!$G437),1,"")</x:f>
      </x:c>
      <x:c r="L897" s="32" t="str">
        <x:f>IF(AND(L$8&lt;='Detalle'!$H437,L$9&gt;='Detalle'!$G437),1,"")</x:f>
      </x:c>
      <x:c r="M897" s="32" t="str">
        <x:f>IF(AND(M$8&lt;='Detalle'!$H437,M$9&gt;='Detalle'!$G437),1,"")</x:f>
      </x:c>
      <x:c r="N897" s="32" t="str">
        <x:f>IF(AND(N$8&lt;='Detalle'!$H437,N$9&gt;='Detalle'!$G437),1,"")</x:f>
      </x:c>
      <x:c r="O897" s="32" t="str">
        <x:f>IF(AND(O$8&lt;='Detalle'!$H437,O$9&gt;='Detalle'!$G437),1,"")</x:f>
      </x:c>
      <x:c r="P897" s="32" t="str">
        <x:f>IF(AND(P$8&lt;='Detalle'!$H437,P$9&gt;='Detalle'!$G437),1,"")</x:f>
      </x:c>
      <x:c r="Q897" s="68"/>
      <x:c r="R897" s="67" t="str">
        <x:f>IF('Detalle'!M437="","",'Detalle'!M437)</x:f>
      </x:c>
      <x:c r="S897" s="67" t="str">
        <x:f>IF('Detalle'!N437="","",'Detalle'!N437)</x:f>
      </x:c>
    </x:row>
    <x:row r="898" ht="16" customHeight="1">
      <x:c r="A898" s="56" t="str">
        <x:v>MIS02.002</x:v>
      </x:c>
      <x:c r="B898" s="57" t="str">
        <x:v>Compartir flujo entre crear y editar</x:v>
      </x:c>
      <x:c r="C898" s="63" t="str">
        <x:v>R</x:v>
      </x:c>
      <x:c r="D898" s="65" t="str">
        <x:f>IF('Detalle'!L437="","",'Detalle'!L437)</x:f>
      </x:c>
      <x:c r="E898" s="60" t="str"/>
      <x:c r="F898" s="32" t="str">
        <x:f>IF(OR('Detalle'!$J437="",'Detalle'!$K437="",'Detalle'!$L437=""),"",IF(AND(F$8&lt;='Detalle'!$K437,F$9&gt;='Detalle'!$J437),1,""))</x:f>
      </x:c>
      <x:c r="G898" s="32" t="str">
        <x:f>IF(OR('Detalle'!$J437="",'Detalle'!$K437="",'Detalle'!$L437=""),"",IF(AND(G$8&lt;='Detalle'!$K437,G$9&gt;='Detalle'!$J437),1,""))</x:f>
      </x:c>
      <x:c r="H898" s="32" t="str">
        <x:f>IF(OR('Detalle'!$J437="",'Detalle'!$K437="",'Detalle'!$L437=""),"",IF(AND(H$8&lt;='Detalle'!$K437,H$9&gt;='Detalle'!$J437),1,""))</x:f>
      </x:c>
      <x:c r="I898" s="32" t="str">
        <x:f>IF(OR('Detalle'!$J437="",'Detalle'!$K437="",'Detalle'!$L437=""),"",IF(AND(I$8&lt;='Detalle'!$K437,I$9&gt;='Detalle'!$J437),1,""))</x:f>
      </x:c>
      <x:c r="J898" s="32" t="str">
        <x:f>IF(OR('Detalle'!$J437="",'Detalle'!$K437="",'Detalle'!$L437=""),"",IF(AND(J$8&lt;='Detalle'!$K437,J$9&gt;='Detalle'!$J437),1,""))</x:f>
      </x:c>
      <x:c r="K898" s="32" t="str">
        <x:f>IF(OR('Detalle'!$J437="",'Detalle'!$K437="",'Detalle'!$L437=""),"",IF(AND(K$8&lt;='Detalle'!$K437,K$9&gt;='Detalle'!$J437),1,""))</x:f>
      </x:c>
      <x:c r="L898" s="32" t="str">
        <x:f>IF(OR('Detalle'!$J437="",'Detalle'!$K437="",'Detalle'!$L437=""),"",IF(AND(L$8&lt;='Detalle'!$K437,L$9&gt;='Detalle'!$J437),1,""))</x:f>
      </x:c>
      <x:c r="M898" s="32" t="str">
        <x:f>IF(OR('Detalle'!$J437="",'Detalle'!$K437="",'Detalle'!$L437=""),"",IF(AND(M$8&lt;='Detalle'!$K437,M$9&gt;='Detalle'!$J437),1,""))</x:f>
      </x:c>
      <x:c r="N898" s="32" t="str">
        <x:f>IF(OR('Detalle'!$J437="",'Detalle'!$K437="",'Detalle'!$L437=""),"",IF(AND(N$8&lt;='Detalle'!$K437,N$9&gt;='Detalle'!$J437),1,""))</x:f>
      </x:c>
      <x:c r="O898" s="32" t="str">
        <x:f>IF(OR('Detalle'!$J437="",'Detalle'!$K437="",'Detalle'!$L437=""),"",IF(AND(O$8&lt;='Detalle'!$K437,O$9&gt;='Detalle'!$J437),1,""))</x:f>
      </x:c>
      <x:c r="P898" s="32" t="str">
        <x:f>IF(OR('Detalle'!$J437="",'Detalle'!$K437="",'Detalle'!$L437=""),"",IF(AND(P$8&lt;='Detalle'!$K437,P$9&gt;='Detalle'!$J437),1,""))</x:f>
      </x:c>
      <x:c r="Q898" s="68"/>
      <x:c r="R898" s="67" t="str"/>
      <x:c r="S898" s="67" t="str"/>
    </x:row>
    <x:row r="899" ht="16" customHeight="1">
      <x:c r="A899" s="56" t="str">
        <x:v>MIS02.003</x:v>
      </x:c>
      <x:c r="B899" s="57" t="str">
        <x:v>Agregar portada opcional de misión</x:v>
      </x:c>
      <x:c r="C899" s="62" t="str">
        <x:v>E</x:v>
      </x:c>
      <x:c r="D899" s="64" t="n">
        <x:f>'Detalle'!I438</x:f>
        <x:v>1</x:v>
      </x:c>
      <x:c r="E899" s="60" t="str">
        <x:f>'Detalle'!F438</x:f>
        <x:v>Completado</x:v>
      </x:c>
      <x:c r="F899" s="32" t="str">
        <x:f>IF(AND(F$8&lt;='Detalle'!$H438,F$9&gt;='Detalle'!$G438),1,"")</x:f>
      </x:c>
      <x:c r="G899" s="32" t="str">
        <x:f>IF(AND(G$8&lt;='Detalle'!$H438,G$9&gt;='Detalle'!$G438),1,"")</x:f>
      </x:c>
      <x:c r="H899" s="32" t="str">
        <x:f>IF(AND(H$8&lt;='Detalle'!$H438,H$9&gt;='Detalle'!$G438),1,"")</x:f>
      </x:c>
      <x:c r="I899" s="32" t="n">
        <x:f>IF(AND(I$8&lt;='Detalle'!$H438,I$9&gt;='Detalle'!$G438),1,"")</x:f>
        <x:v>1</x:v>
      </x:c>
      <x:c r="J899" s="32" t="str">
        <x:f>IF(AND(J$8&lt;='Detalle'!$H438,J$9&gt;='Detalle'!$G438),1,"")</x:f>
      </x:c>
      <x:c r="K899" s="32" t="str">
        <x:f>IF(AND(K$8&lt;='Detalle'!$H438,K$9&gt;='Detalle'!$G438),1,"")</x:f>
      </x:c>
      <x:c r="L899" s="32" t="str">
        <x:f>IF(AND(L$8&lt;='Detalle'!$H438,L$9&gt;='Detalle'!$G438),1,"")</x:f>
      </x:c>
      <x:c r="M899" s="32" t="str">
        <x:f>IF(AND(M$8&lt;='Detalle'!$H438,M$9&gt;='Detalle'!$G438),1,"")</x:f>
      </x:c>
      <x:c r="N899" s="32" t="str">
        <x:f>IF(AND(N$8&lt;='Detalle'!$H438,N$9&gt;='Detalle'!$G438),1,"")</x:f>
      </x:c>
      <x:c r="O899" s="32" t="str">
        <x:f>IF(AND(O$8&lt;='Detalle'!$H438,O$9&gt;='Detalle'!$G438),1,"")</x:f>
      </x:c>
      <x:c r="P899" s="32" t="str">
        <x:f>IF(AND(P$8&lt;='Detalle'!$H438,P$9&gt;='Detalle'!$G438),1,"")</x:f>
      </x:c>
      <x:c r="Q899" s="68"/>
      <x:c r="R899" s="67" t="str">
        <x:f>IF('Detalle'!M438="","",'Detalle'!M438)</x:f>
      </x:c>
      <x:c r="S899" s="67" t="str">
        <x:f>IF('Detalle'!N438="","",'Detalle'!N438)</x:f>
      </x:c>
    </x:row>
    <x:row r="900" ht="16" customHeight="1">
      <x:c r="A900" s="56" t="str">
        <x:v>MIS02.003</x:v>
      </x:c>
      <x:c r="B900" s="57" t="str">
        <x:v>Agregar portada opcional de misión</x:v>
      </x:c>
      <x:c r="C900" s="63" t="str">
        <x:v>R</x:v>
      </x:c>
      <x:c r="D900" s="65" t="str">
        <x:f>IF('Detalle'!L438="","",'Detalle'!L438)</x:f>
      </x:c>
      <x:c r="E900" s="60" t="str"/>
      <x:c r="F900" s="32" t="str">
        <x:f>IF(OR('Detalle'!$J438="",'Detalle'!$K438="",'Detalle'!$L438=""),"",IF(AND(F$8&lt;='Detalle'!$K438,F$9&gt;='Detalle'!$J438),1,""))</x:f>
      </x:c>
      <x:c r="G900" s="32" t="str">
        <x:f>IF(OR('Detalle'!$J438="",'Detalle'!$K438="",'Detalle'!$L438=""),"",IF(AND(G$8&lt;='Detalle'!$K438,G$9&gt;='Detalle'!$J438),1,""))</x:f>
      </x:c>
      <x:c r="H900" s="32" t="str">
        <x:f>IF(OR('Detalle'!$J438="",'Detalle'!$K438="",'Detalle'!$L438=""),"",IF(AND(H$8&lt;='Detalle'!$K438,H$9&gt;='Detalle'!$J438),1,""))</x:f>
      </x:c>
      <x:c r="I900" s="32" t="str">
        <x:f>IF(OR('Detalle'!$J438="",'Detalle'!$K438="",'Detalle'!$L438=""),"",IF(AND(I$8&lt;='Detalle'!$K438,I$9&gt;='Detalle'!$J438),1,""))</x:f>
      </x:c>
      <x:c r="J900" s="32" t="str">
        <x:f>IF(OR('Detalle'!$J438="",'Detalle'!$K438="",'Detalle'!$L438=""),"",IF(AND(J$8&lt;='Detalle'!$K438,J$9&gt;='Detalle'!$J438),1,""))</x:f>
      </x:c>
      <x:c r="K900" s="32" t="str">
        <x:f>IF(OR('Detalle'!$J438="",'Detalle'!$K438="",'Detalle'!$L438=""),"",IF(AND(K$8&lt;='Detalle'!$K438,K$9&gt;='Detalle'!$J438),1,""))</x:f>
      </x:c>
      <x:c r="L900" s="32" t="str">
        <x:f>IF(OR('Detalle'!$J438="",'Detalle'!$K438="",'Detalle'!$L438=""),"",IF(AND(L$8&lt;='Detalle'!$K438,L$9&gt;='Detalle'!$J438),1,""))</x:f>
      </x:c>
      <x:c r="M900" s="32" t="str">
        <x:f>IF(OR('Detalle'!$J438="",'Detalle'!$K438="",'Detalle'!$L438=""),"",IF(AND(M$8&lt;='Detalle'!$K438,M$9&gt;='Detalle'!$J438),1,""))</x:f>
      </x:c>
      <x:c r="N900" s="32" t="str">
        <x:f>IF(OR('Detalle'!$J438="",'Detalle'!$K438="",'Detalle'!$L438=""),"",IF(AND(N$8&lt;='Detalle'!$K438,N$9&gt;='Detalle'!$J438),1,""))</x:f>
      </x:c>
      <x:c r="O900" s="32" t="str">
        <x:f>IF(OR('Detalle'!$J438="",'Detalle'!$K438="",'Detalle'!$L438=""),"",IF(AND(O$8&lt;='Detalle'!$K438,O$9&gt;='Detalle'!$J438),1,""))</x:f>
      </x:c>
      <x:c r="P900" s="32" t="str">
        <x:f>IF(OR('Detalle'!$J438="",'Detalle'!$K438="",'Detalle'!$L438=""),"",IF(AND(P$8&lt;='Detalle'!$K438,P$9&gt;='Detalle'!$J438),1,""))</x:f>
      </x:c>
      <x:c r="Q900" s="68"/>
      <x:c r="R900" s="67" t="str"/>
      <x:c r="S900" s="67" t="str"/>
    </x:row>
    <x:row r="901" ht="16" customHeight="1">
      <x:c r="A901" s="56" t="str">
        <x:v>MIS02.004</x:v>
      </x:c>
      <x:c r="B901" s="57" t="str">
        <x:v>Capturar requisitos de participación</x:v>
      </x:c>
      <x:c r="C901" s="62" t="str">
        <x:v>E</x:v>
      </x:c>
      <x:c r="D901" s="64" t="n">
        <x:f>'Detalle'!I439</x:f>
        <x:v>1</x:v>
      </x:c>
      <x:c r="E901" s="60" t="str">
        <x:f>'Detalle'!F439</x:f>
        <x:v>Completado</x:v>
      </x:c>
      <x:c r="F901" s="32" t="str">
        <x:f>IF(AND(F$8&lt;='Detalle'!$H439,F$9&gt;='Detalle'!$G439),1,"")</x:f>
      </x:c>
      <x:c r="G901" s="32" t="str">
        <x:f>IF(AND(G$8&lt;='Detalle'!$H439,G$9&gt;='Detalle'!$G439),1,"")</x:f>
      </x:c>
      <x:c r="H901" s="32" t="str">
        <x:f>IF(AND(H$8&lt;='Detalle'!$H439,H$9&gt;='Detalle'!$G439),1,"")</x:f>
      </x:c>
      <x:c r="I901" s="32" t="n">
        <x:f>IF(AND(I$8&lt;='Detalle'!$H439,I$9&gt;='Detalle'!$G439),1,"")</x:f>
        <x:v>1</x:v>
      </x:c>
      <x:c r="J901" s="32" t="str">
        <x:f>IF(AND(J$8&lt;='Detalle'!$H439,J$9&gt;='Detalle'!$G439),1,"")</x:f>
      </x:c>
      <x:c r="K901" s="32" t="str">
        <x:f>IF(AND(K$8&lt;='Detalle'!$H439,K$9&gt;='Detalle'!$G439),1,"")</x:f>
      </x:c>
      <x:c r="L901" s="32" t="str">
        <x:f>IF(AND(L$8&lt;='Detalle'!$H439,L$9&gt;='Detalle'!$G439),1,"")</x:f>
      </x:c>
      <x:c r="M901" s="32" t="str">
        <x:f>IF(AND(M$8&lt;='Detalle'!$H439,M$9&gt;='Detalle'!$G439),1,"")</x:f>
      </x:c>
      <x:c r="N901" s="32" t="str">
        <x:f>IF(AND(N$8&lt;='Detalle'!$H439,N$9&gt;='Detalle'!$G439),1,"")</x:f>
      </x:c>
      <x:c r="O901" s="32" t="str">
        <x:f>IF(AND(O$8&lt;='Detalle'!$H439,O$9&gt;='Detalle'!$G439),1,"")</x:f>
      </x:c>
      <x:c r="P901" s="32" t="str">
        <x:f>IF(AND(P$8&lt;='Detalle'!$H439,P$9&gt;='Detalle'!$G439),1,"")</x:f>
      </x:c>
      <x:c r="Q901" s="68"/>
      <x:c r="R901" s="67" t="str">
        <x:f>IF('Detalle'!M439="","",'Detalle'!M439)</x:f>
      </x:c>
      <x:c r="S901" s="67" t="str">
        <x:f>IF('Detalle'!N439="","",'Detalle'!N439)</x:f>
      </x:c>
    </x:row>
    <x:row r="902" ht="16" customHeight="1">
      <x:c r="A902" s="56" t="str">
        <x:v>MIS02.004</x:v>
      </x:c>
      <x:c r="B902" s="57" t="str">
        <x:v>Capturar requisitos de participación</x:v>
      </x:c>
      <x:c r="C902" s="63" t="str">
        <x:v>R</x:v>
      </x:c>
      <x:c r="D902" s="65" t="str">
        <x:f>IF('Detalle'!L439="","",'Detalle'!L439)</x:f>
      </x:c>
      <x:c r="E902" s="60" t="str"/>
      <x:c r="F902" s="32" t="str">
        <x:f>IF(OR('Detalle'!$J439="",'Detalle'!$K439="",'Detalle'!$L439=""),"",IF(AND(F$8&lt;='Detalle'!$K439,F$9&gt;='Detalle'!$J439),1,""))</x:f>
      </x:c>
      <x:c r="G902" s="32" t="str">
        <x:f>IF(OR('Detalle'!$J439="",'Detalle'!$K439="",'Detalle'!$L439=""),"",IF(AND(G$8&lt;='Detalle'!$K439,G$9&gt;='Detalle'!$J439),1,""))</x:f>
      </x:c>
      <x:c r="H902" s="32" t="str">
        <x:f>IF(OR('Detalle'!$J439="",'Detalle'!$K439="",'Detalle'!$L439=""),"",IF(AND(H$8&lt;='Detalle'!$K439,H$9&gt;='Detalle'!$J439),1,""))</x:f>
      </x:c>
      <x:c r="I902" s="32" t="str">
        <x:f>IF(OR('Detalle'!$J439="",'Detalle'!$K439="",'Detalle'!$L439=""),"",IF(AND(I$8&lt;='Detalle'!$K439,I$9&gt;='Detalle'!$J439),1,""))</x:f>
      </x:c>
      <x:c r="J902" s="32" t="str">
        <x:f>IF(OR('Detalle'!$J439="",'Detalle'!$K439="",'Detalle'!$L439=""),"",IF(AND(J$8&lt;='Detalle'!$K439,J$9&gt;='Detalle'!$J439),1,""))</x:f>
      </x:c>
      <x:c r="K902" s="32" t="str">
        <x:f>IF(OR('Detalle'!$J439="",'Detalle'!$K439="",'Detalle'!$L439=""),"",IF(AND(K$8&lt;='Detalle'!$K439,K$9&gt;='Detalle'!$J439),1,""))</x:f>
      </x:c>
      <x:c r="L902" s="32" t="str">
        <x:f>IF(OR('Detalle'!$J439="",'Detalle'!$K439="",'Detalle'!$L439=""),"",IF(AND(L$8&lt;='Detalle'!$K439,L$9&gt;='Detalle'!$J439),1,""))</x:f>
      </x:c>
      <x:c r="M902" s="32" t="str">
        <x:f>IF(OR('Detalle'!$J439="",'Detalle'!$K439="",'Detalle'!$L439=""),"",IF(AND(M$8&lt;='Detalle'!$K439,M$9&gt;='Detalle'!$J439),1,""))</x:f>
      </x:c>
      <x:c r="N902" s="32" t="str">
        <x:f>IF(OR('Detalle'!$J439="",'Detalle'!$K439="",'Detalle'!$L439=""),"",IF(AND(N$8&lt;='Detalle'!$K439,N$9&gt;='Detalle'!$J439),1,""))</x:f>
      </x:c>
      <x:c r="O902" s="32" t="str">
        <x:f>IF(OR('Detalle'!$J439="",'Detalle'!$K439="",'Detalle'!$L439=""),"",IF(AND(O$8&lt;='Detalle'!$K439,O$9&gt;='Detalle'!$J439),1,""))</x:f>
      </x:c>
      <x:c r="P902" s="32" t="str">
        <x:f>IF(OR('Detalle'!$J439="",'Detalle'!$K439="",'Detalle'!$L439=""),"",IF(AND(P$8&lt;='Detalle'!$K439,P$9&gt;='Detalle'!$J439),1,""))</x:f>
      </x:c>
      <x:c r="Q902" s="68"/>
      <x:c r="R902" s="67" t="str"/>
      <x:c r="S902" s="67" t="str"/>
    </x:row>
    <x:row r="903" ht="16" customHeight="1">
      <x:c r="A903" s="56" t="str">
        <x:v>MIS02.005</x:v>
      </x:c>
      <x:c r="B903" s="57" t="str">
        <x:v>Capturar condiciones de colaboración</x:v>
      </x:c>
      <x:c r="C903" s="62" t="str">
        <x:v>E</x:v>
      </x:c>
      <x:c r="D903" s="64" t="n">
        <x:f>'Detalle'!I440</x:f>
        <x:v>1</x:v>
      </x:c>
      <x:c r="E903" s="60" t="str">
        <x:f>'Detalle'!F440</x:f>
        <x:v>Completado</x:v>
      </x:c>
      <x:c r="F903" s="32" t="str">
        <x:f>IF(AND(F$8&lt;='Detalle'!$H440,F$9&gt;='Detalle'!$G440),1,"")</x:f>
      </x:c>
      <x:c r="G903" s="32" t="str">
        <x:f>IF(AND(G$8&lt;='Detalle'!$H440,G$9&gt;='Detalle'!$G440),1,"")</x:f>
      </x:c>
      <x:c r="H903" s="32" t="str">
        <x:f>IF(AND(H$8&lt;='Detalle'!$H440,H$9&gt;='Detalle'!$G440),1,"")</x:f>
      </x:c>
      <x:c r="I903" s="32" t="n">
        <x:f>IF(AND(I$8&lt;='Detalle'!$H440,I$9&gt;='Detalle'!$G440),1,"")</x:f>
        <x:v>1</x:v>
      </x:c>
      <x:c r="J903" s="32" t="str">
        <x:f>IF(AND(J$8&lt;='Detalle'!$H440,J$9&gt;='Detalle'!$G440),1,"")</x:f>
      </x:c>
      <x:c r="K903" s="32" t="str">
        <x:f>IF(AND(K$8&lt;='Detalle'!$H440,K$9&gt;='Detalle'!$G440),1,"")</x:f>
      </x:c>
      <x:c r="L903" s="32" t="str">
        <x:f>IF(AND(L$8&lt;='Detalle'!$H440,L$9&gt;='Detalle'!$G440),1,"")</x:f>
      </x:c>
      <x:c r="M903" s="32" t="str">
        <x:f>IF(AND(M$8&lt;='Detalle'!$H440,M$9&gt;='Detalle'!$G440),1,"")</x:f>
      </x:c>
      <x:c r="N903" s="32" t="str">
        <x:f>IF(AND(N$8&lt;='Detalle'!$H440,N$9&gt;='Detalle'!$G440),1,"")</x:f>
      </x:c>
      <x:c r="O903" s="32" t="str">
        <x:f>IF(AND(O$8&lt;='Detalle'!$H440,O$9&gt;='Detalle'!$G440),1,"")</x:f>
      </x:c>
      <x:c r="P903" s="32" t="str">
        <x:f>IF(AND(P$8&lt;='Detalle'!$H440,P$9&gt;='Detalle'!$G440),1,"")</x:f>
      </x:c>
      <x:c r="Q903" s="68"/>
      <x:c r="R903" s="67" t="str">
        <x:f>IF('Detalle'!M440="","",'Detalle'!M440)</x:f>
      </x:c>
      <x:c r="S903" s="67" t="str">
        <x:f>IF('Detalle'!N440="","",'Detalle'!N440)</x:f>
      </x:c>
    </x:row>
    <x:row r="904" ht="16" customHeight="1">
      <x:c r="A904" s="56" t="str">
        <x:v>MIS02.005</x:v>
      </x:c>
      <x:c r="B904" s="57" t="str">
        <x:v>Capturar condiciones de colaboración</x:v>
      </x:c>
      <x:c r="C904" s="63" t="str">
        <x:v>R</x:v>
      </x:c>
      <x:c r="D904" s="65" t="str">
        <x:f>IF('Detalle'!L440="","",'Detalle'!L440)</x:f>
      </x:c>
      <x:c r="E904" s="60" t="str"/>
      <x:c r="F904" s="32" t="str">
        <x:f>IF(OR('Detalle'!$J440="",'Detalle'!$K440="",'Detalle'!$L440=""),"",IF(AND(F$8&lt;='Detalle'!$K440,F$9&gt;='Detalle'!$J440),1,""))</x:f>
      </x:c>
      <x:c r="G904" s="32" t="str">
        <x:f>IF(OR('Detalle'!$J440="",'Detalle'!$K440="",'Detalle'!$L440=""),"",IF(AND(G$8&lt;='Detalle'!$K440,G$9&gt;='Detalle'!$J440),1,""))</x:f>
      </x:c>
      <x:c r="H904" s="32" t="str">
        <x:f>IF(OR('Detalle'!$J440="",'Detalle'!$K440="",'Detalle'!$L440=""),"",IF(AND(H$8&lt;='Detalle'!$K440,H$9&gt;='Detalle'!$J440),1,""))</x:f>
      </x:c>
      <x:c r="I904" s="32" t="str">
        <x:f>IF(OR('Detalle'!$J440="",'Detalle'!$K440="",'Detalle'!$L440=""),"",IF(AND(I$8&lt;='Detalle'!$K440,I$9&gt;='Detalle'!$J440),1,""))</x:f>
      </x:c>
      <x:c r="J904" s="32" t="str">
        <x:f>IF(OR('Detalle'!$J440="",'Detalle'!$K440="",'Detalle'!$L440=""),"",IF(AND(J$8&lt;='Detalle'!$K440,J$9&gt;='Detalle'!$J440),1,""))</x:f>
      </x:c>
      <x:c r="K904" s="32" t="str">
        <x:f>IF(OR('Detalle'!$J440="",'Detalle'!$K440="",'Detalle'!$L440=""),"",IF(AND(K$8&lt;='Detalle'!$K440,K$9&gt;='Detalle'!$J440),1,""))</x:f>
      </x:c>
      <x:c r="L904" s="32" t="str">
        <x:f>IF(OR('Detalle'!$J440="",'Detalle'!$K440="",'Detalle'!$L440=""),"",IF(AND(L$8&lt;='Detalle'!$K440,L$9&gt;='Detalle'!$J440),1,""))</x:f>
      </x:c>
      <x:c r="M904" s="32" t="str">
        <x:f>IF(OR('Detalle'!$J440="",'Detalle'!$K440="",'Detalle'!$L440=""),"",IF(AND(M$8&lt;='Detalle'!$K440,M$9&gt;='Detalle'!$J440),1,""))</x:f>
      </x:c>
      <x:c r="N904" s="32" t="str">
        <x:f>IF(OR('Detalle'!$J440="",'Detalle'!$K440="",'Detalle'!$L440=""),"",IF(AND(N$8&lt;='Detalle'!$K440,N$9&gt;='Detalle'!$J440),1,""))</x:f>
      </x:c>
      <x:c r="O904" s="32" t="str">
        <x:f>IF(OR('Detalle'!$J440="",'Detalle'!$K440="",'Detalle'!$L440=""),"",IF(AND(O$8&lt;='Detalle'!$K440,O$9&gt;='Detalle'!$J440),1,""))</x:f>
      </x:c>
      <x:c r="P904" s="32" t="str">
        <x:f>IF(OR('Detalle'!$J440="",'Detalle'!$K440="",'Detalle'!$L440=""),"",IF(AND(P$8&lt;='Detalle'!$K440,P$9&gt;='Detalle'!$J440),1,""))</x:f>
      </x:c>
      <x:c r="Q904" s="68"/>
      <x:c r="R904" s="67" t="str"/>
      <x:c r="S904" s="67" t="str"/>
    </x:row>
    <x:row r="905" ht="16" customHeight="1">
      <x:c r="A905" s="56" t="str">
        <x:v>MIS02.006</x:v>
      </x:c>
      <x:c r="B905" s="57" t="str">
        <x:v>Agregar compensación sin pago</x:v>
      </x:c>
      <x:c r="C905" s="62" t="str">
        <x:v>E</x:v>
      </x:c>
      <x:c r="D905" s="64" t="n">
        <x:f>'Detalle'!I441</x:f>
        <x:v>1</x:v>
      </x:c>
      <x:c r="E905" s="60" t="str">
        <x:f>'Detalle'!F441</x:f>
        <x:v>Completado</x:v>
      </x:c>
      <x:c r="F905" s="32" t="str">
        <x:f>IF(AND(F$8&lt;='Detalle'!$H441,F$9&gt;='Detalle'!$G441),1,"")</x:f>
      </x:c>
      <x:c r="G905" s="32" t="str">
        <x:f>IF(AND(G$8&lt;='Detalle'!$H441,G$9&gt;='Detalle'!$G441),1,"")</x:f>
      </x:c>
      <x:c r="H905" s="32" t="str">
        <x:f>IF(AND(H$8&lt;='Detalle'!$H441,H$9&gt;='Detalle'!$G441),1,"")</x:f>
      </x:c>
      <x:c r="I905" s="32" t="n">
        <x:f>IF(AND(I$8&lt;='Detalle'!$H441,I$9&gt;='Detalle'!$G441),1,"")</x:f>
        <x:v>1</x:v>
      </x:c>
      <x:c r="J905" s="32" t="str">
        <x:f>IF(AND(J$8&lt;='Detalle'!$H441,J$9&gt;='Detalle'!$G441),1,"")</x:f>
      </x:c>
      <x:c r="K905" s="32" t="str">
        <x:f>IF(AND(K$8&lt;='Detalle'!$H441,K$9&gt;='Detalle'!$G441),1,"")</x:f>
      </x:c>
      <x:c r="L905" s="32" t="str">
        <x:f>IF(AND(L$8&lt;='Detalle'!$H441,L$9&gt;='Detalle'!$G441),1,"")</x:f>
      </x:c>
      <x:c r="M905" s="32" t="str">
        <x:f>IF(AND(M$8&lt;='Detalle'!$H441,M$9&gt;='Detalle'!$G441),1,"")</x:f>
      </x:c>
      <x:c r="N905" s="32" t="str">
        <x:f>IF(AND(N$8&lt;='Detalle'!$H441,N$9&gt;='Detalle'!$G441),1,"")</x:f>
      </x:c>
      <x:c r="O905" s="32" t="str">
        <x:f>IF(AND(O$8&lt;='Detalle'!$H441,O$9&gt;='Detalle'!$G441),1,"")</x:f>
      </x:c>
      <x:c r="P905" s="32" t="str">
        <x:f>IF(AND(P$8&lt;='Detalle'!$H441,P$9&gt;='Detalle'!$G441),1,"")</x:f>
      </x:c>
      <x:c r="Q905" s="68"/>
      <x:c r="R905" s="67" t="str">
        <x:f>IF('Detalle'!M441="","",'Detalle'!M441)</x:f>
      </x:c>
      <x:c r="S905" s="67" t="str">
        <x:f>IF('Detalle'!N441="","",'Detalle'!N441)</x:f>
      </x:c>
    </x:row>
    <x:row r="906" ht="16" customHeight="1">
      <x:c r="A906" s="56" t="str">
        <x:v>MIS02.006</x:v>
      </x:c>
      <x:c r="B906" s="57" t="str">
        <x:v>Agregar compensación sin pago</x:v>
      </x:c>
      <x:c r="C906" s="63" t="str">
        <x:v>R</x:v>
      </x:c>
      <x:c r="D906" s="65" t="str">
        <x:f>IF('Detalle'!L441="","",'Detalle'!L441)</x:f>
      </x:c>
      <x:c r="E906" s="60" t="str"/>
      <x:c r="F906" s="32" t="str">
        <x:f>IF(OR('Detalle'!$J441="",'Detalle'!$K441="",'Detalle'!$L441=""),"",IF(AND(F$8&lt;='Detalle'!$K441,F$9&gt;='Detalle'!$J441),1,""))</x:f>
      </x:c>
      <x:c r="G906" s="32" t="str">
        <x:f>IF(OR('Detalle'!$J441="",'Detalle'!$K441="",'Detalle'!$L441=""),"",IF(AND(G$8&lt;='Detalle'!$K441,G$9&gt;='Detalle'!$J441),1,""))</x:f>
      </x:c>
      <x:c r="H906" s="32" t="str">
        <x:f>IF(OR('Detalle'!$J441="",'Detalle'!$K441="",'Detalle'!$L441=""),"",IF(AND(H$8&lt;='Detalle'!$K441,H$9&gt;='Detalle'!$J441),1,""))</x:f>
      </x:c>
      <x:c r="I906" s="32" t="str">
        <x:f>IF(OR('Detalle'!$J441="",'Detalle'!$K441="",'Detalle'!$L441=""),"",IF(AND(I$8&lt;='Detalle'!$K441,I$9&gt;='Detalle'!$J441),1,""))</x:f>
      </x:c>
      <x:c r="J906" s="32" t="str">
        <x:f>IF(OR('Detalle'!$J441="",'Detalle'!$K441="",'Detalle'!$L441=""),"",IF(AND(J$8&lt;='Detalle'!$K441,J$9&gt;='Detalle'!$J441),1,""))</x:f>
      </x:c>
      <x:c r="K906" s="32" t="str">
        <x:f>IF(OR('Detalle'!$J441="",'Detalle'!$K441="",'Detalle'!$L441=""),"",IF(AND(K$8&lt;='Detalle'!$K441,K$9&gt;='Detalle'!$J441),1,""))</x:f>
      </x:c>
      <x:c r="L906" s="32" t="str">
        <x:f>IF(OR('Detalle'!$J441="",'Detalle'!$K441="",'Detalle'!$L441=""),"",IF(AND(L$8&lt;='Detalle'!$K441,L$9&gt;='Detalle'!$J441),1,""))</x:f>
      </x:c>
      <x:c r="M906" s="32" t="str">
        <x:f>IF(OR('Detalle'!$J441="",'Detalle'!$K441="",'Detalle'!$L441=""),"",IF(AND(M$8&lt;='Detalle'!$K441,M$9&gt;='Detalle'!$J441),1,""))</x:f>
      </x:c>
      <x:c r="N906" s="32" t="str">
        <x:f>IF(OR('Detalle'!$J441="",'Detalle'!$K441="",'Detalle'!$L441=""),"",IF(AND(N$8&lt;='Detalle'!$K441,N$9&gt;='Detalle'!$J441),1,""))</x:f>
      </x:c>
      <x:c r="O906" s="32" t="str">
        <x:f>IF(OR('Detalle'!$J441="",'Detalle'!$K441="",'Detalle'!$L441=""),"",IF(AND(O$8&lt;='Detalle'!$K441,O$9&gt;='Detalle'!$J441),1,""))</x:f>
      </x:c>
      <x:c r="P906" s="32" t="str">
        <x:f>IF(OR('Detalle'!$J441="",'Detalle'!$K441="",'Detalle'!$L441=""),"",IF(AND(P$8&lt;='Detalle'!$K441,P$9&gt;='Detalle'!$J441),1,""))</x:f>
      </x:c>
      <x:c r="Q906" s="68"/>
      <x:c r="R906" s="67" t="str"/>
      <x:c r="S906" s="67" t="str"/>
    </x:row>
    <x:row r="907" ht="16" customHeight="1">
      <x:c r="A907" s="56" t="str">
        <x:v>MIS02.007</x:v>
      </x:c>
      <x:c r="B907" s="57" t="str">
        <x:v>Agregar compensación por acordar</x:v>
      </x:c>
      <x:c r="C907" s="62" t="str">
        <x:v>E</x:v>
      </x:c>
      <x:c r="D907" s="64" t="n">
        <x:f>'Detalle'!I442</x:f>
        <x:v>1</x:v>
      </x:c>
      <x:c r="E907" s="60" t="str">
        <x:f>'Detalle'!F442</x:f>
        <x:v>Completado</x:v>
      </x:c>
      <x:c r="F907" s="32" t="str">
        <x:f>IF(AND(F$8&lt;='Detalle'!$H442,F$9&gt;='Detalle'!$G442),1,"")</x:f>
      </x:c>
      <x:c r="G907" s="32" t="str">
        <x:f>IF(AND(G$8&lt;='Detalle'!$H442,G$9&gt;='Detalle'!$G442),1,"")</x:f>
      </x:c>
      <x:c r="H907" s="32" t="str">
        <x:f>IF(AND(H$8&lt;='Detalle'!$H442,H$9&gt;='Detalle'!$G442),1,"")</x:f>
      </x:c>
      <x:c r="I907" s="32" t="n">
        <x:f>IF(AND(I$8&lt;='Detalle'!$H442,I$9&gt;='Detalle'!$G442),1,"")</x:f>
        <x:v>1</x:v>
      </x:c>
      <x:c r="J907" s="32" t="str">
        <x:f>IF(AND(J$8&lt;='Detalle'!$H442,J$9&gt;='Detalle'!$G442),1,"")</x:f>
      </x:c>
      <x:c r="K907" s="32" t="str">
        <x:f>IF(AND(K$8&lt;='Detalle'!$H442,K$9&gt;='Detalle'!$G442),1,"")</x:f>
      </x:c>
      <x:c r="L907" s="32" t="str">
        <x:f>IF(AND(L$8&lt;='Detalle'!$H442,L$9&gt;='Detalle'!$G442),1,"")</x:f>
      </x:c>
      <x:c r="M907" s="32" t="str">
        <x:f>IF(AND(M$8&lt;='Detalle'!$H442,M$9&gt;='Detalle'!$G442),1,"")</x:f>
      </x:c>
      <x:c r="N907" s="32" t="str">
        <x:f>IF(AND(N$8&lt;='Detalle'!$H442,N$9&gt;='Detalle'!$G442),1,"")</x:f>
      </x:c>
      <x:c r="O907" s="32" t="str">
        <x:f>IF(AND(O$8&lt;='Detalle'!$H442,O$9&gt;='Detalle'!$G442),1,"")</x:f>
      </x:c>
      <x:c r="P907" s="32" t="str">
        <x:f>IF(AND(P$8&lt;='Detalle'!$H442,P$9&gt;='Detalle'!$G442),1,"")</x:f>
      </x:c>
      <x:c r="Q907" s="68"/>
      <x:c r="R907" s="67" t="str">
        <x:f>IF('Detalle'!M442="","",'Detalle'!M442)</x:f>
      </x:c>
      <x:c r="S907" s="67" t="str">
        <x:f>IF('Detalle'!N442="","",'Detalle'!N442)</x:f>
      </x:c>
    </x:row>
    <x:row r="908" ht="16" customHeight="1">
      <x:c r="A908" s="56" t="str">
        <x:v>MIS02.007</x:v>
      </x:c>
      <x:c r="B908" s="57" t="str">
        <x:v>Agregar compensación por acordar</x:v>
      </x:c>
      <x:c r="C908" s="63" t="str">
        <x:v>R</x:v>
      </x:c>
      <x:c r="D908" s="65" t="str">
        <x:f>IF('Detalle'!L442="","",'Detalle'!L442)</x:f>
      </x:c>
      <x:c r="E908" s="60" t="str"/>
      <x:c r="F908" s="32" t="str">
        <x:f>IF(OR('Detalle'!$J442="",'Detalle'!$K442="",'Detalle'!$L442=""),"",IF(AND(F$8&lt;='Detalle'!$K442,F$9&gt;='Detalle'!$J442),1,""))</x:f>
      </x:c>
      <x:c r="G908" s="32" t="str">
        <x:f>IF(OR('Detalle'!$J442="",'Detalle'!$K442="",'Detalle'!$L442=""),"",IF(AND(G$8&lt;='Detalle'!$K442,G$9&gt;='Detalle'!$J442),1,""))</x:f>
      </x:c>
      <x:c r="H908" s="32" t="str">
        <x:f>IF(OR('Detalle'!$J442="",'Detalle'!$K442="",'Detalle'!$L442=""),"",IF(AND(H$8&lt;='Detalle'!$K442,H$9&gt;='Detalle'!$J442),1,""))</x:f>
      </x:c>
      <x:c r="I908" s="32" t="str">
        <x:f>IF(OR('Detalle'!$J442="",'Detalle'!$K442="",'Detalle'!$L442=""),"",IF(AND(I$8&lt;='Detalle'!$K442,I$9&gt;='Detalle'!$J442),1,""))</x:f>
      </x:c>
      <x:c r="J908" s="32" t="str">
        <x:f>IF(OR('Detalle'!$J442="",'Detalle'!$K442="",'Detalle'!$L442=""),"",IF(AND(J$8&lt;='Detalle'!$K442,J$9&gt;='Detalle'!$J442),1,""))</x:f>
      </x:c>
      <x:c r="K908" s="32" t="str">
        <x:f>IF(OR('Detalle'!$J442="",'Detalle'!$K442="",'Detalle'!$L442=""),"",IF(AND(K$8&lt;='Detalle'!$K442,K$9&gt;='Detalle'!$J442),1,""))</x:f>
      </x:c>
      <x:c r="L908" s="32" t="str">
        <x:f>IF(OR('Detalle'!$J442="",'Detalle'!$K442="",'Detalle'!$L442=""),"",IF(AND(L$8&lt;='Detalle'!$K442,L$9&gt;='Detalle'!$J442),1,""))</x:f>
      </x:c>
      <x:c r="M908" s="32" t="str">
        <x:f>IF(OR('Detalle'!$J442="",'Detalle'!$K442="",'Detalle'!$L442=""),"",IF(AND(M$8&lt;='Detalle'!$K442,M$9&gt;='Detalle'!$J442),1,""))</x:f>
      </x:c>
      <x:c r="N908" s="32" t="str">
        <x:f>IF(OR('Detalle'!$J442="",'Detalle'!$K442="",'Detalle'!$L442=""),"",IF(AND(N$8&lt;='Detalle'!$K442,N$9&gt;='Detalle'!$J442),1,""))</x:f>
      </x:c>
      <x:c r="O908" s="32" t="str">
        <x:f>IF(OR('Detalle'!$J442="",'Detalle'!$K442="",'Detalle'!$L442=""),"",IF(AND(O$8&lt;='Detalle'!$K442,O$9&gt;='Detalle'!$J442),1,""))</x:f>
      </x:c>
      <x:c r="P908" s="32" t="str">
        <x:f>IF(OR('Detalle'!$J442="",'Detalle'!$K442="",'Detalle'!$L442=""),"",IF(AND(P$8&lt;='Detalle'!$K442,P$9&gt;='Detalle'!$J442),1,""))</x:f>
      </x:c>
      <x:c r="Q908" s="68"/>
      <x:c r="R908" s="67" t="str"/>
      <x:c r="S908" s="67" t="str"/>
    </x:row>
    <x:row r="909" ht="16" customHeight="1">
      <x:c r="A909" s="56" t="str">
        <x:v>MIS02.008</x:v>
      </x:c>
      <x:c r="B909" s="57" t="str">
        <x:v>Agregar importe fijo en céntimos MXN</x:v>
      </x:c>
      <x:c r="C909" s="62" t="str">
        <x:v>E</x:v>
      </x:c>
      <x:c r="D909" s="64" t="n">
        <x:f>'Detalle'!I443</x:f>
        <x:v>1</x:v>
      </x:c>
      <x:c r="E909" s="60" t="str">
        <x:f>'Detalle'!F443</x:f>
        <x:v>Completado</x:v>
      </x:c>
      <x:c r="F909" s="32" t="str">
        <x:f>IF(AND(F$8&lt;='Detalle'!$H443,F$9&gt;='Detalle'!$G443),1,"")</x:f>
      </x:c>
      <x:c r="G909" s="32" t="str">
        <x:f>IF(AND(G$8&lt;='Detalle'!$H443,G$9&gt;='Detalle'!$G443),1,"")</x:f>
      </x:c>
      <x:c r="H909" s="32" t="str">
        <x:f>IF(AND(H$8&lt;='Detalle'!$H443,H$9&gt;='Detalle'!$G443),1,"")</x:f>
      </x:c>
      <x:c r="I909" s="32" t="n">
        <x:f>IF(AND(I$8&lt;='Detalle'!$H443,I$9&gt;='Detalle'!$G443),1,"")</x:f>
        <x:v>1</x:v>
      </x:c>
      <x:c r="J909" s="32" t="str">
        <x:f>IF(AND(J$8&lt;='Detalle'!$H443,J$9&gt;='Detalle'!$G443),1,"")</x:f>
      </x:c>
      <x:c r="K909" s="32" t="str">
        <x:f>IF(AND(K$8&lt;='Detalle'!$H443,K$9&gt;='Detalle'!$G443),1,"")</x:f>
      </x:c>
      <x:c r="L909" s="32" t="str">
        <x:f>IF(AND(L$8&lt;='Detalle'!$H443,L$9&gt;='Detalle'!$G443),1,"")</x:f>
      </x:c>
      <x:c r="M909" s="32" t="str">
        <x:f>IF(AND(M$8&lt;='Detalle'!$H443,M$9&gt;='Detalle'!$G443),1,"")</x:f>
      </x:c>
      <x:c r="N909" s="32" t="str">
        <x:f>IF(AND(N$8&lt;='Detalle'!$H443,N$9&gt;='Detalle'!$G443),1,"")</x:f>
      </x:c>
      <x:c r="O909" s="32" t="str">
        <x:f>IF(AND(O$8&lt;='Detalle'!$H443,O$9&gt;='Detalle'!$G443),1,"")</x:f>
      </x:c>
      <x:c r="P909" s="32" t="str">
        <x:f>IF(AND(P$8&lt;='Detalle'!$H443,P$9&gt;='Detalle'!$G443),1,"")</x:f>
      </x:c>
      <x:c r="Q909" s="68"/>
      <x:c r="R909" s="67" t="str">
        <x:f>IF('Detalle'!M443="","",'Detalle'!M443)</x:f>
      </x:c>
      <x:c r="S909" s="67" t="str">
        <x:f>IF('Detalle'!N443="","",'Detalle'!N443)</x:f>
      </x:c>
    </x:row>
    <x:row r="910" ht="16" customHeight="1">
      <x:c r="A910" s="56" t="str">
        <x:v>MIS02.008</x:v>
      </x:c>
      <x:c r="B910" s="57" t="str">
        <x:v>Agregar importe fijo en céntimos MXN</x:v>
      </x:c>
      <x:c r="C910" s="63" t="str">
        <x:v>R</x:v>
      </x:c>
      <x:c r="D910" s="65" t="str">
        <x:f>IF('Detalle'!L443="","",'Detalle'!L443)</x:f>
      </x:c>
      <x:c r="E910" s="60" t="str"/>
      <x:c r="F910" s="32" t="str">
        <x:f>IF(OR('Detalle'!$J443="",'Detalle'!$K443="",'Detalle'!$L443=""),"",IF(AND(F$8&lt;='Detalle'!$K443,F$9&gt;='Detalle'!$J443),1,""))</x:f>
      </x:c>
      <x:c r="G910" s="32" t="str">
        <x:f>IF(OR('Detalle'!$J443="",'Detalle'!$K443="",'Detalle'!$L443=""),"",IF(AND(G$8&lt;='Detalle'!$K443,G$9&gt;='Detalle'!$J443),1,""))</x:f>
      </x:c>
      <x:c r="H910" s="32" t="str">
        <x:f>IF(OR('Detalle'!$J443="",'Detalle'!$K443="",'Detalle'!$L443=""),"",IF(AND(H$8&lt;='Detalle'!$K443,H$9&gt;='Detalle'!$J443),1,""))</x:f>
      </x:c>
      <x:c r="I910" s="32" t="str">
        <x:f>IF(OR('Detalle'!$J443="",'Detalle'!$K443="",'Detalle'!$L443=""),"",IF(AND(I$8&lt;='Detalle'!$K443,I$9&gt;='Detalle'!$J443),1,""))</x:f>
      </x:c>
      <x:c r="J910" s="32" t="str">
        <x:f>IF(OR('Detalle'!$J443="",'Detalle'!$K443="",'Detalle'!$L443=""),"",IF(AND(J$8&lt;='Detalle'!$K443,J$9&gt;='Detalle'!$J443),1,""))</x:f>
      </x:c>
      <x:c r="K910" s="32" t="str">
        <x:f>IF(OR('Detalle'!$J443="",'Detalle'!$K443="",'Detalle'!$L443=""),"",IF(AND(K$8&lt;='Detalle'!$K443,K$9&gt;='Detalle'!$J443),1,""))</x:f>
      </x:c>
      <x:c r="L910" s="32" t="str">
        <x:f>IF(OR('Detalle'!$J443="",'Detalle'!$K443="",'Detalle'!$L443=""),"",IF(AND(L$8&lt;='Detalle'!$K443,L$9&gt;='Detalle'!$J443),1,""))</x:f>
      </x:c>
      <x:c r="M910" s="32" t="str">
        <x:f>IF(OR('Detalle'!$J443="",'Detalle'!$K443="",'Detalle'!$L443=""),"",IF(AND(M$8&lt;='Detalle'!$K443,M$9&gt;='Detalle'!$J443),1,""))</x:f>
      </x:c>
      <x:c r="N910" s="32" t="str">
        <x:f>IF(OR('Detalle'!$J443="",'Detalle'!$K443="",'Detalle'!$L443=""),"",IF(AND(N$8&lt;='Detalle'!$K443,N$9&gt;='Detalle'!$J443),1,""))</x:f>
      </x:c>
      <x:c r="O910" s="32" t="str">
        <x:f>IF(OR('Detalle'!$J443="",'Detalle'!$K443="",'Detalle'!$L443=""),"",IF(AND(O$8&lt;='Detalle'!$K443,O$9&gt;='Detalle'!$J443),1,""))</x:f>
      </x:c>
      <x:c r="P910" s="32" t="str">
        <x:f>IF(OR('Detalle'!$J443="",'Detalle'!$K443="",'Detalle'!$L443=""),"",IF(AND(P$8&lt;='Detalle'!$K443,P$9&gt;='Detalle'!$J443),1,""))</x:f>
      </x:c>
      <x:c r="Q910" s="68"/>
      <x:c r="R910" s="67" t="str"/>
      <x:c r="S910" s="67" t="str"/>
    </x:row>
    <x:row r="911" ht="16" customHeight="1">
      <x:c r="A911" s="56" t="str">
        <x:v>MIS02.009</x:v>
      </x:c>
      <x:c r="B911" s="57" t="str">
        <x:v>Mostrar compensación histórica no indicada</x:v>
      </x:c>
      <x:c r="C911" s="62" t="str">
        <x:v>E</x:v>
      </x:c>
      <x:c r="D911" s="64" t="n">
        <x:f>'Detalle'!I444</x:f>
        <x:v>1</x:v>
      </x:c>
      <x:c r="E911" s="60" t="str">
        <x:f>'Detalle'!F444</x:f>
        <x:v>Completado</x:v>
      </x:c>
      <x:c r="F911" s="32" t="str">
        <x:f>IF(AND(F$8&lt;='Detalle'!$H444,F$9&gt;='Detalle'!$G444),1,"")</x:f>
      </x:c>
      <x:c r="G911" s="32" t="str">
        <x:f>IF(AND(G$8&lt;='Detalle'!$H444,G$9&gt;='Detalle'!$G444),1,"")</x:f>
      </x:c>
      <x:c r="H911" s="32" t="str">
        <x:f>IF(AND(H$8&lt;='Detalle'!$H444,H$9&gt;='Detalle'!$G444),1,"")</x:f>
      </x:c>
      <x:c r="I911" s="32" t="n">
        <x:f>IF(AND(I$8&lt;='Detalle'!$H444,I$9&gt;='Detalle'!$G444),1,"")</x:f>
        <x:v>1</x:v>
      </x:c>
      <x:c r="J911" s="32" t="str">
        <x:f>IF(AND(J$8&lt;='Detalle'!$H444,J$9&gt;='Detalle'!$G444),1,"")</x:f>
      </x:c>
      <x:c r="K911" s="32" t="str">
        <x:f>IF(AND(K$8&lt;='Detalle'!$H444,K$9&gt;='Detalle'!$G444),1,"")</x:f>
      </x:c>
      <x:c r="L911" s="32" t="str">
        <x:f>IF(AND(L$8&lt;='Detalle'!$H444,L$9&gt;='Detalle'!$G444),1,"")</x:f>
      </x:c>
      <x:c r="M911" s="32" t="str">
        <x:f>IF(AND(M$8&lt;='Detalle'!$H444,M$9&gt;='Detalle'!$G444),1,"")</x:f>
      </x:c>
      <x:c r="N911" s="32" t="str">
        <x:f>IF(AND(N$8&lt;='Detalle'!$H444,N$9&gt;='Detalle'!$G444),1,"")</x:f>
      </x:c>
      <x:c r="O911" s="32" t="str">
        <x:f>IF(AND(O$8&lt;='Detalle'!$H444,O$9&gt;='Detalle'!$G444),1,"")</x:f>
      </x:c>
      <x:c r="P911" s="32" t="str">
        <x:f>IF(AND(P$8&lt;='Detalle'!$H444,P$9&gt;='Detalle'!$G444),1,"")</x:f>
      </x:c>
      <x:c r="Q911" s="68"/>
      <x:c r="R911" s="67" t="str">
        <x:f>IF('Detalle'!M444="","",'Detalle'!M444)</x:f>
      </x:c>
      <x:c r="S911" s="67" t="str">
        <x:f>IF('Detalle'!N444="","",'Detalle'!N444)</x:f>
      </x:c>
    </x:row>
    <x:row r="912" ht="16" customHeight="1">
      <x:c r="A912" s="56" t="str">
        <x:v>MIS02.009</x:v>
      </x:c>
      <x:c r="B912" s="57" t="str">
        <x:v>Mostrar compensación histórica no indicada</x:v>
      </x:c>
      <x:c r="C912" s="63" t="str">
        <x:v>R</x:v>
      </x:c>
      <x:c r="D912" s="65" t="str">
        <x:f>IF('Detalle'!L444="","",'Detalle'!L444)</x:f>
      </x:c>
      <x:c r="E912" s="60" t="str"/>
      <x:c r="F912" s="32" t="str">
        <x:f>IF(OR('Detalle'!$J444="",'Detalle'!$K444="",'Detalle'!$L444=""),"",IF(AND(F$8&lt;='Detalle'!$K444,F$9&gt;='Detalle'!$J444),1,""))</x:f>
      </x:c>
      <x:c r="G912" s="32" t="str">
        <x:f>IF(OR('Detalle'!$J444="",'Detalle'!$K444="",'Detalle'!$L444=""),"",IF(AND(G$8&lt;='Detalle'!$K444,G$9&gt;='Detalle'!$J444),1,""))</x:f>
      </x:c>
      <x:c r="H912" s="32" t="str">
        <x:f>IF(OR('Detalle'!$J444="",'Detalle'!$K444="",'Detalle'!$L444=""),"",IF(AND(H$8&lt;='Detalle'!$K444,H$9&gt;='Detalle'!$J444),1,""))</x:f>
      </x:c>
      <x:c r="I912" s="32" t="str">
        <x:f>IF(OR('Detalle'!$J444="",'Detalle'!$K444="",'Detalle'!$L444=""),"",IF(AND(I$8&lt;='Detalle'!$K444,I$9&gt;='Detalle'!$J444),1,""))</x:f>
      </x:c>
      <x:c r="J912" s="32" t="str">
        <x:f>IF(OR('Detalle'!$J444="",'Detalle'!$K444="",'Detalle'!$L444=""),"",IF(AND(J$8&lt;='Detalle'!$K444,J$9&gt;='Detalle'!$J444),1,""))</x:f>
      </x:c>
      <x:c r="K912" s="32" t="str">
        <x:f>IF(OR('Detalle'!$J444="",'Detalle'!$K444="",'Detalle'!$L444=""),"",IF(AND(K$8&lt;='Detalle'!$K444,K$9&gt;='Detalle'!$J444),1,""))</x:f>
      </x:c>
      <x:c r="L912" s="32" t="str">
        <x:f>IF(OR('Detalle'!$J444="",'Detalle'!$K444="",'Detalle'!$L444=""),"",IF(AND(L$8&lt;='Detalle'!$K444,L$9&gt;='Detalle'!$J444),1,""))</x:f>
      </x:c>
      <x:c r="M912" s="32" t="str">
        <x:f>IF(OR('Detalle'!$J444="",'Detalle'!$K444="",'Detalle'!$L444=""),"",IF(AND(M$8&lt;='Detalle'!$K444,M$9&gt;='Detalle'!$J444),1,""))</x:f>
      </x:c>
      <x:c r="N912" s="32" t="str">
        <x:f>IF(OR('Detalle'!$J444="",'Detalle'!$K444="",'Detalle'!$L444=""),"",IF(AND(N$8&lt;='Detalle'!$K444,N$9&gt;='Detalle'!$J444),1,""))</x:f>
      </x:c>
      <x:c r="O912" s="32" t="str">
        <x:f>IF(OR('Detalle'!$J444="",'Detalle'!$K444="",'Detalle'!$L444=""),"",IF(AND(O$8&lt;='Detalle'!$K444,O$9&gt;='Detalle'!$J444),1,""))</x:f>
      </x:c>
      <x:c r="P912" s="32" t="str">
        <x:f>IF(OR('Detalle'!$J444="",'Detalle'!$K444="",'Detalle'!$L444=""),"",IF(AND(P$8&lt;='Detalle'!$K444,P$9&gt;='Detalle'!$J444),1,""))</x:f>
      </x:c>
      <x:c r="Q912" s="68"/>
      <x:c r="R912" s="67" t="str"/>
      <x:c r="S912" s="67" t="str"/>
    </x:row>
    <x:row r="913" ht="16" customHeight="1">
      <x:c r="A913" s="56" t="str">
        <x:v>MIS02.010</x:v>
      </x:c>
      <x:c r="B913" s="57" t="str">
        <x:v>Bloquear compensación tras candidatura</x:v>
      </x:c>
      <x:c r="C913" s="62" t="str">
        <x:v>E</x:v>
      </x:c>
      <x:c r="D913" s="64" t="n">
        <x:f>'Detalle'!I445</x:f>
        <x:v>1</x:v>
      </x:c>
      <x:c r="E913" s="60" t="str">
        <x:f>'Detalle'!F445</x:f>
        <x:v>Completado</x:v>
      </x:c>
      <x:c r="F913" s="32" t="str">
        <x:f>IF(AND(F$8&lt;='Detalle'!$H445,F$9&gt;='Detalle'!$G445),1,"")</x:f>
      </x:c>
      <x:c r="G913" s="32" t="str">
        <x:f>IF(AND(G$8&lt;='Detalle'!$H445,G$9&gt;='Detalle'!$G445),1,"")</x:f>
      </x:c>
      <x:c r="H913" s="32" t="str">
        <x:f>IF(AND(H$8&lt;='Detalle'!$H445,H$9&gt;='Detalle'!$G445),1,"")</x:f>
      </x:c>
      <x:c r="I913" s="32" t="n">
        <x:f>IF(AND(I$8&lt;='Detalle'!$H445,I$9&gt;='Detalle'!$G445),1,"")</x:f>
        <x:v>1</x:v>
      </x:c>
      <x:c r="J913" s="32" t="str">
        <x:f>IF(AND(J$8&lt;='Detalle'!$H445,J$9&gt;='Detalle'!$G445),1,"")</x:f>
      </x:c>
      <x:c r="K913" s="32" t="str">
        <x:f>IF(AND(K$8&lt;='Detalle'!$H445,K$9&gt;='Detalle'!$G445),1,"")</x:f>
      </x:c>
      <x:c r="L913" s="32" t="str">
        <x:f>IF(AND(L$8&lt;='Detalle'!$H445,L$9&gt;='Detalle'!$G445),1,"")</x:f>
      </x:c>
      <x:c r="M913" s="32" t="str">
        <x:f>IF(AND(M$8&lt;='Detalle'!$H445,M$9&gt;='Detalle'!$G445),1,"")</x:f>
      </x:c>
      <x:c r="N913" s="32" t="str">
        <x:f>IF(AND(N$8&lt;='Detalle'!$H445,N$9&gt;='Detalle'!$G445),1,"")</x:f>
      </x:c>
      <x:c r="O913" s="32" t="str">
        <x:f>IF(AND(O$8&lt;='Detalle'!$H445,O$9&gt;='Detalle'!$G445),1,"")</x:f>
      </x:c>
      <x:c r="P913" s="32" t="str">
        <x:f>IF(AND(P$8&lt;='Detalle'!$H445,P$9&gt;='Detalle'!$G445),1,"")</x:f>
      </x:c>
      <x:c r="Q913" s="68"/>
      <x:c r="R913" s="67" t="str">
        <x:f>IF('Detalle'!M445="","",'Detalle'!M445)</x:f>
      </x:c>
      <x:c r="S913" s="67" t="str">
        <x:f>IF('Detalle'!N445="","",'Detalle'!N445)</x:f>
      </x:c>
    </x:row>
    <x:row r="914" ht="16" customHeight="1">
      <x:c r="A914" s="56" t="str">
        <x:v>MIS02.010</x:v>
      </x:c>
      <x:c r="B914" s="57" t="str">
        <x:v>Bloquear compensación tras candidatura</x:v>
      </x:c>
      <x:c r="C914" s="63" t="str">
        <x:v>R</x:v>
      </x:c>
      <x:c r="D914" s="65" t="str">
        <x:f>IF('Detalle'!L445="","",'Detalle'!L445)</x:f>
      </x:c>
      <x:c r="E914" s="60" t="str"/>
      <x:c r="F914" s="32" t="str">
        <x:f>IF(OR('Detalle'!$J445="",'Detalle'!$K445="",'Detalle'!$L445=""),"",IF(AND(F$8&lt;='Detalle'!$K445,F$9&gt;='Detalle'!$J445),1,""))</x:f>
      </x:c>
      <x:c r="G914" s="32" t="str">
        <x:f>IF(OR('Detalle'!$J445="",'Detalle'!$K445="",'Detalle'!$L445=""),"",IF(AND(G$8&lt;='Detalle'!$K445,G$9&gt;='Detalle'!$J445),1,""))</x:f>
      </x:c>
      <x:c r="H914" s="32" t="str">
        <x:f>IF(OR('Detalle'!$J445="",'Detalle'!$K445="",'Detalle'!$L445=""),"",IF(AND(H$8&lt;='Detalle'!$K445,H$9&gt;='Detalle'!$J445),1,""))</x:f>
      </x:c>
      <x:c r="I914" s="32" t="str">
        <x:f>IF(OR('Detalle'!$J445="",'Detalle'!$K445="",'Detalle'!$L445=""),"",IF(AND(I$8&lt;='Detalle'!$K445,I$9&gt;='Detalle'!$J445),1,""))</x:f>
      </x:c>
      <x:c r="J914" s="32" t="str">
        <x:f>IF(OR('Detalle'!$J445="",'Detalle'!$K445="",'Detalle'!$L445=""),"",IF(AND(J$8&lt;='Detalle'!$K445,J$9&gt;='Detalle'!$J445),1,""))</x:f>
      </x:c>
      <x:c r="K914" s="32" t="str">
        <x:f>IF(OR('Detalle'!$J445="",'Detalle'!$K445="",'Detalle'!$L445=""),"",IF(AND(K$8&lt;='Detalle'!$K445,K$9&gt;='Detalle'!$J445),1,""))</x:f>
      </x:c>
      <x:c r="L914" s="32" t="str">
        <x:f>IF(OR('Detalle'!$J445="",'Detalle'!$K445="",'Detalle'!$L445=""),"",IF(AND(L$8&lt;='Detalle'!$K445,L$9&gt;='Detalle'!$J445),1,""))</x:f>
      </x:c>
      <x:c r="M914" s="32" t="str">
        <x:f>IF(OR('Detalle'!$J445="",'Detalle'!$K445="",'Detalle'!$L445=""),"",IF(AND(M$8&lt;='Detalle'!$K445,M$9&gt;='Detalle'!$J445),1,""))</x:f>
      </x:c>
      <x:c r="N914" s="32" t="str">
        <x:f>IF(OR('Detalle'!$J445="",'Detalle'!$K445="",'Detalle'!$L445=""),"",IF(AND(N$8&lt;='Detalle'!$K445,N$9&gt;='Detalle'!$J445),1,""))</x:f>
      </x:c>
      <x:c r="O914" s="32" t="str">
        <x:f>IF(OR('Detalle'!$J445="",'Detalle'!$K445="",'Detalle'!$L445=""),"",IF(AND(O$8&lt;='Detalle'!$K445,O$9&gt;='Detalle'!$J445),1,""))</x:f>
      </x:c>
      <x:c r="P914" s="32" t="str">
        <x:f>IF(OR('Detalle'!$J445="",'Detalle'!$K445="",'Detalle'!$L445=""),"",IF(AND(P$8&lt;='Detalle'!$K445,P$9&gt;='Detalle'!$J445),1,""))</x:f>
      </x:c>
      <x:c r="Q914" s="68"/>
      <x:c r="R914" s="67" t="str"/>
      <x:c r="S914" s="67" t="str"/>
    </x:row>
    <x:row r="915" ht="16" customHeight="1">
      <x:c r="A915" s="56" t="str">
        <x:v>MIS02.011</x:v>
      </x:c>
      <x:c r="B915" s="57" t="str">
        <x:v>Crear tabla de borradores privados</x:v>
      </x:c>
      <x:c r="C915" s="62" t="str">
        <x:v>E</x:v>
      </x:c>
      <x:c r="D915" s="64" t="n">
        <x:f>'Detalle'!I446</x:f>
        <x:v>1</x:v>
      </x:c>
      <x:c r="E915" s="60" t="str">
        <x:f>'Detalle'!F446</x:f>
        <x:v>Completado</x:v>
      </x:c>
      <x:c r="F915" s="32" t="str">
        <x:f>IF(AND(F$8&lt;='Detalle'!$H446,F$9&gt;='Detalle'!$G446),1,"")</x:f>
      </x:c>
      <x:c r="G915" s="32" t="str">
        <x:f>IF(AND(G$8&lt;='Detalle'!$H446,G$9&gt;='Detalle'!$G446),1,"")</x:f>
      </x:c>
      <x:c r="H915" s="32" t="str">
        <x:f>IF(AND(H$8&lt;='Detalle'!$H446,H$9&gt;='Detalle'!$G446),1,"")</x:f>
      </x:c>
      <x:c r="I915" s="32" t="n">
        <x:f>IF(AND(I$8&lt;='Detalle'!$H446,I$9&gt;='Detalle'!$G446),1,"")</x:f>
        <x:v>1</x:v>
      </x:c>
      <x:c r="J915" s="32" t="str">
        <x:f>IF(AND(J$8&lt;='Detalle'!$H446,J$9&gt;='Detalle'!$G446),1,"")</x:f>
      </x:c>
      <x:c r="K915" s="32" t="str">
        <x:f>IF(AND(K$8&lt;='Detalle'!$H446,K$9&gt;='Detalle'!$G446),1,"")</x:f>
      </x:c>
      <x:c r="L915" s="32" t="str">
        <x:f>IF(AND(L$8&lt;='Detalle'!$H446,L$9&gt;='Detalle'!$G446),1,"")</x:f>
      </x:c>
      <x:c r="M915" s="32" t="str">
        <x:f>IF(AND(M$8&lt;='Detalle'!$H446,M$9&gt;='Detalle'!$G446),1,"")</x:f>
      </x:c>
      <x:c r="N915" s="32" t="str">
        <x:f>IF(AND(N$8&lt;='Detalle'!$H446,N$9&gt;='Detalle'!$G446),1,"")</x:f>
      </x:c>
      <x:c r="O915" s="32" t="str">
        <x:f>IF(AND(O$8&lt;='Detalle'!$H446,O$9&gt;='Detalle'!$G446),1,"")</x:f>
      </x:c>
      <x:c r="P915" s="32" t="str">
        <x:f>IF(AND(P$8&lt;='Detalle'!$H446,P$9&gt;='Detalle'!$G446),1,"")</x:f>
      </x:c>
      <x:c r="Q915" s="68"/>
      <x:c r="R915" s="67" t="str">
        <x:f>IF('Detalle'!M446="","",'Detalle'!M446)</x:f>
      </x:c>
      <x:c r="S915" s="67" t="str">
        <x:f>IF('Detalle'!N446="","",'Detalle'!N446)</x:f>
      </x:c>
    </x:row>
    <x:row r="916" ht="16" customHeight="1">
      <x:c r="A916" s="56" t="str">
        <x:v>MIS02.011</x:v>
      </x:c>
      <x:c r="B916" s="57" t="str">
        <x:v>Crear tabla de borradores privados</x:v>
      </x:c>
      <x:c r="C916" s="63" t="str">
        <x:v>R</x:v>
      </x:c>
      <x:c r="D916" s="65" t="str">
        <x:f>IF('Detalle'!L446="","",'Detalle'!L446)</x:f>
      </x:c>
      <x:c r="E916" s="60" t="str"/>
      <x:c r="F916" s="32" t="str">
        <x:f>IF(OR('Detalle'!$J446="",'Detalle'!$K446="",'Detalle'!$L446=""),"",IF(AND(F$8&lt;='Detalle'!$K446,F$9&gt;='Detalle'!$J446),1,""))</x:f>
      </x:c>
      <x:c r="G916" s="32" t="str">
        <x:f>IF(OR('Detalle'!$J446="",'Detalle'!$K446="",'Detalle'!$L446=""),"",IF(AND(G$8&lt;='Detalle'!$K446,G$9&gt;='Detalle'!$J446),1,""))</x:f>
      </x:c>
      <x:c r="H916" s="32" t="str">
        <x:f>IF(OR('Detalle'!$J446="",'Detalle'!$K446="",'Detalle'!$L446=""),"",IF(AND(H$8&lt;='Detalle'!$K446,H$9&gt;='Detalle'!$J446),1,""))</x:f>
      </x:c>
      <x:c r="I916" s="32" t="str">
        <x:f>IF(OR('Detalle'!$J446="",'Detalle'!$K446="",'Detalle'!$L446=""),"",IF(AND(I$8&lt;='Detalle'!$K446,I$9&gt;='Detalle'!$J446),1,""))</x:f>
      </x:c>
      <x:c r="J916" s="32" t="str">
        <x:f>IF(OR('Detalle'!$J446="",'Detalle'!$K446="",'Detalle'!$L446=""),"",IF(AND(J$8&lt;='Detalle'!$K446,J$9&gt;='Detalle'!$J446),1,""))</x:f>
      </x:c>
      <x:c r="K916" s="32" t="str">
        <x:f>IF(OR('Detalle'!$J446="",'Detalle'!$K446="",'Detalle'!$L446=""),"",IF(AND(K$8&lt;='Detalle'!$K446,K$9&gt;='Detalle'!$J446),1,""))</x:f>
      </x:c>
      <x:c r="L916" s="32" t="str">
        <x:f>IF(OR('Detalle'!$J446="",'Detalle'!$K446="",'Detalle'!$L446=""),"",IF(AND(L$8&lt;='Detalle'!$K446,L$9&gt;='Detalle'!$J446),1,""))</x:f>
      </x:c>
      <x:c r="M916" s="32" t="str">
        <x:f>IF(OR('Detalle'!$J446="",'Detalle'!$K446="",'Detalle'!$L446=""),"",IF(AND(M$8&lt;='Detalle'!$K446,M$9&gt;='Detalle'!$J446),1,""))</x:f>
      </x:c>
      <x:c r="N916" s="32" t="str">
        <x:f>IF(OR('Detalle'!$J446="",'Detalle'!$K446="",'Detalle'!$L446=""),"",IF(AND(N$8&lt;='Detalle'!$K446,N$9&gt;='Detalle'!$J446),1,""))</x:f>
      </x:c>
      <x:c r="O916" s="32" t="str">
        <x:f>IF(OR('Detalle'!$J446="",'Detalle'!$K446="",'Detalle'!$L446=""),"",IF(AND(O$8&lt;='Detalle'!$K446,O$9&gt;='Detalle'!$J446),1,""))</x:f>
      </x:c>
      <x:c r="P916" s="32" t="str">
        <x:f>IF(OR('Detalle'!$J446="",'Detalle'!$K446="",'Detalle'!$L446=""),"",IF(AND(P$8&lt;='Detalle'!$K446,P$9&gt;='Detalle'!$J446),1,""))</x:f>
      </x:c>
      <x:c r="Q916" s="68"/>
      <x:c r="R916" s="67" t="str"/>
      <x:c r="S916" s="67" t="str"/>
    </x:row>
    <x:row r="917" ht="16" customHeight="1">
      <x:c r="A917" s="56" t="str">
        <x:v>MIS02.012</x:v>
      </x:c>
      <x:c r="B917" s="57" t="str">
        <x:v>Guardar borradores incompletos</x:v>
      </x:c>
      <x:c r="C917" s="62" t="str">
        <x:v>E</x:v>
      </x:c>
      <x:c r="D917" s="64" t="n">
        <x:f>'Detalle'!I447</x:f>
        <x:v>1</x:v>
      </x:c>
      <x:c r="E917" s="60" t="str">
        <x:f>'Detalle'!F447</x:f>
        <x:v>Completado</x:v>
      </x:c>
      <x:c r="F917" s="32" t="str">
        <x:f>IF(AND(F$8&lt;='Detalle'!$H447,F$9&gt;='Detalle'!$G447),1,"")</x:f>
      </x:c>
      <x:c r="G917" s="32" t="str">
        <x:f>IF(AND(G$8&lt;='Detalle'!$H447,G$9&gt;='Detalle'!$G447),1,"")</x:f>
      </x:c>
      <x:c r="H917" s="32" t="str">
        <x:f>IF(AND(H$8&lt;='Detalle'!$H447,H$9&gt;='Detalle'!$G447),1,"")</x:f>
      </x:c>
      <x:c r="I917" s="32" t="n">
        <x:f>IF(AND(I$8&lt;='Detalle'!$H447,I$9&gt;='Detalle'!$G447),1,"")</x:f>
        <x:v>1</x:v>
      </x:c>
      <x:c r="J917" s="32" t="str">
        <x:f>IF(AND(J$8&lt;='Detalle'!$H447,J$9&gt;='Detalle'!$G447),1,"")</x:f>
      </x:c>
      <x:c r="K917" s="32" t="str">
        <x:f>IF(AND(K$8&lt;='Detalle'!$H447,K$9&gt;='Detalle'!$G447),1,"")</x:f>
      </x:c>
      <x:c r="L917" s="32" t="str">
        <x:f>IF(AND(L$8&lt;='Detalle'!$H447,L$9&gt;='Detalle'!$G447),1,"")</x:f>
      </x:c>
      <x:c r="M917" s="32" t="str">
        <x:f>IF(AND(M$8&lt;='Detalle'!$H447,M$9&gt;='Detalle'!$G447),1,"")</x:f>
      </x:c>
      <x:c r="N917" s="32" t="str">
        <x:f>IF(AND(N$8&lt;='Detalle'!$H447,N$9&gt;='Detalle'!$G447),1,"")</x:f>
      </x:c>
      <x:c r="O917" s="32" t="str">
        <x:f>IF(AND(O$8&lt;='Detalle'!$H447,O$9&gt;='Detalle'!$G447),1,"")</x:f>
      </x:c>
      <x:c r="P917" s="32" t="str">
        <x:f>IF(AND(P$8&lt;='Detalle'!$H447,P$9&gt;='Detalle'!$G447),1,"")</x:f>
      </x:c>
      <x:c r="Q917" s="68"/>
      <x:c r="R917" s="67" t="str">
        <x:f>IF('Detalle'!M447="","",'Detalle'!M447)</x:f>
      </x:c>
      <x:c r="S917" s="67" t="str">
        <x:f>IF('Detalle'!N447="","",'Detalle'!N447)</x:f>
      </x:c>
    </x:row>
    <x:row r="918" ht="16" customHeight="1">
      <x:c r="A918" s="56" t="str">
        <x:v>MIS02.012</x:v>
      </x:c>
      <x:c r="B918" s="57" t="str">
        <x:v>Guardar borradores incompletos</x:v>
      </x:c>
      <x:c r="C918" s="63" t="str">
        <x:v>R</x:v>
      </x:c>
      <x:c r="D918" s="65" t="str">
        <x:f>IF('Detalle'!L447="","",'Detalle'!L447)</x:f>
      </x:c>
      <x:c r="E918" s="60" t="str"/>
      <x:c r="F918" s="32" t="str">
        <x:f>IF(OR('Detalle'!$J447="",'Detalle'!$K447="",'Detalle'!$L447=""),"",IF(AND(F$8&lt;='Detalle'!$K447,F$9&gt;='Detalle'!$J447),1,""))</x:f>
      </x:c>
      <x:c r="G918" s="32" t="str">
        <x:f>IF(OR('Detalle'!$J447="",'Detalle'!$K447="",'Detalle'!$L447=""),"",IF(AND(G$8&lt;='Detalle'!$K447,G$9&gt;='Detalle'!$J447),1,""))</x:f>
      </x:c>
      <x:c r="H918" s="32" t="str">
        <x:f>IF(OR('Detalle'!$J447="",'Detalle'!$K447="",'Detalle'!$L447=""),"",IF(AND(H$8&lt;='Detalle'!$K447,H$9&gt;='Detalle'!$J447),1,""))</x:f>
      </x:c>
      <x:c r="I918" s="32" t="str">
        <x:f>IF(OR('Detalle'!$J447="",'Detalle'!$K447="",'Detalle'!$L447=""),"",IF(AND(I$8&lt;='Detalle'!$K447,I$9&gt;='Detalle'!$J447),1,""))</x:f>
      </x:c>
      <x:c r="J918" s="32" t="str">
        <x:f>IF(OR('Detalle'!$J447="",'Detalle'!$K447="",'Detalle'!$L447=""),"",IF(AND(J$8&lt;='Detalle'!$K447,J$9&gt;='Detalle'!$J447),1,""))</x:f>
      </x:c>
      <x:c r="K918" s="32" t="str">
        <x:f>IF(OR('Detalle'!$J447="",'Detalle'!$K447="",'Detalle'!$L447=""),"",IF(AND(K$8&lt;='Detalle'!$K447,K$9&gt;='Detalle'!$J447),1,""))</x:f>
      </x:c>
      <x:c r="L918" s="32" t="str">
        <x:f>IF(OR('Detalle'!$J447="",'Detalle'!$K447="",'Detalle'!$L447=""),"",IF(AND(L$8&lt;='Detalle'!$K447,L$9&gt;='Detalle'!$J447),1,""))</x:f>
      </x:c>
      <x:c r="M918" s="32" t="str">
        <x:f>IF(OR('Detalle'!$J447="",'Detalle'!$K447="",'Detalle'!$L447=""),"",IF(AND(M$8&lt;='Detalle'!$K447,M$9&gt;='Detalle'!$J447),1,""))</x:f>
      </x:c>
      <x:c r="N918" s="32" t="str">
        <x:f>IF(OR('Detalle'!$J447="",'Detalle'!$K447="",'Detalle'!$L447=""),"",IF(AND(N$8&lt;='Detalle'!$K447,N$9&gt;='Detalle'!$J447),1,""))</x:f>
      </x:c>
      <x:c r="O918" s="32" t="str">
        <x:f>IF(OR('Detalle'!$J447="",'Detalle'!$K447="",'Detalle'!$L447=""),"",IF(AND(O$8&lt;='Detalle'!$K447,O$9&gt;='Detalle'!$J447),1,""))</x:f>
      </x:c>
      <x:c r="P918" s="32" t="str">
        <x:f>IF(OR('Detalle'!$J447="",'Detalle'!$K447="",'Detalle'!$L447=""),"",IF(AND(P$8&lt;='Detalle'!$K447,P$9&gt;='Detalle'!$J447),1,""))</x:f>
      </x:c>
      <x:c r="Q918" s="68"/>
      <x:c r="R918" s="67" t="str"/>
      <x:c r="S918" s="67" t="str"/>
    </x:row>
    <x:row r="919" ht="16" customHeight="1">
      <x:c r="A919" s="56" t="str">
        <x:v>MIS02.013</x:v>
      </x:c>
      <x:c r="B919" s="57" t="str">
        <x:v>Recuperar borrador desde Mis misiones</x:v>
      </x:c>
      <x:c r="C919" s="62" t="str">
        <x:v>E</x:v>
      </x:c>
      <x:c r="D919" s="64" t="n">
        <x:f>'Detalle'!I448</x:f>
        <x:v>1</x:v>
      </x:c>
      <x:c r="E919" s="60" t="str">
        <x:f>'Detalle'!F448</x:f>
        <x:v>Completado</x:v>
      </x:c>
      <x:c r="F919" s="32" t="str">
        <x:f>IF(AND(F$8&lt;='Detalle'!$H448,F$9&gt;='Detalle'!$G448),1,"")</x:f>
      </x:c>
      <x:c r="G919" s="32" t="str">
        <x:f>IF(AND(G$8&lt;='Detalle'!$H448,G$9&gt;='Detalle'!$G448),1,"")</x:f>
      </x:c>
      <x:c r="H919" s="32" t="str">
        <x:f>IF(AND(H$8&lt;='Detalle'!$H448,H$9&gt;='Detalle'!$G448),1,"")</x:f>
      </x:c>
      <x:c r="I919" s="32" t="n">
        <x:f>IF(AND(I$8&lt;='Detalle'!$H448,I$9&gt;='Detalle'!$G448),1,"")</x:f>
        <x:v>1</x:v>
      </x:c>
      <x:c r="J919" s="32" t="str">
        <x:f>IF(AND(J$8&lt;='Detalle'!$H448,J$9&gt;='Detalle'!$G448),1,"")</x:f>
      </x:c>
      <x:c r="K919" s="32" t="str">
        <x:f>IF(AND(K$8&lt;='Detalle'!$H448,K$9&gt;='Detalle'!$G448),1,"")</x:f>
      </x:c>
      <x:c r="L919" s="32" t="str">
        <x:f>IF(AND(L$8&lt;='Detalle'!$H448,L$9&gt;='Detalle'!$G448),1,"")</x:f>
      </x:c>
      <x:c r="M919" s="32" t="str">
        <x:f>IF(AND(M$8&lt;='Detalle'!$H448,M$9&gt;='Detalle'!$G448),1,"")</x:f>
      </x:c>
      <x:c r="N919" s="32" t="str">
        <x:f>IF(AND(N$8&lt;='Detalle'!$H448,N$9&gt;='Detalle'!$G448),1,"")</x:f>
      </x:c>
      <x:c r="O919" s="32" t="str">
        <x:f>IF(AND(O$8&lt;='Detalle'!$H448,O$9&gt;='Detalle'!$G448),1,"")</x:f>
      </x:c>
      <x:c r="P919" s="32" t="str">
        <x:f>IF(AND(P$8&lt;='Detalle'!$H448,P$9&gt;='Detalle'!$G448),1,"")</x:f>
      </x:c>
      <x:c r="Q919" s="68"/>
      <x:c r="R919" s="67" t="str">
        <x:f>IF('Detalle'!M448="","",'Detalle'!M448)</x:f>
      </x:c>
      <x:c r="S919" s="67" t="str">
        <x:f>IF('Detalle'!N448="","",'Detalle'!N448)</x:f>
      </x:c>
    </x:row>
    <x:row r="920" ht="16" customHeight="1">
      <x:c r="A920" s="56" t="str">
        <x:v>MIS02.013</x:v>
      </x:c>
      <x:c r="B920" s="57" t="str">
        <x:v>Recuperar borrador desde Mis misiones</x:v>
      </x:c>
      <x:c r="C920" s="63" t="str">
        <x:v>R</x:v>
      </x:c>
      <x:c r="D920" s="65" t="str">
        <x:f>IF('Detalle'!L448="","",'Detalle'!L448)</x:f>
      </x:c>
      <x:c r="E920" s="60" t="str"/>
      <x:c r="F920" s="32" t="str">
        <x:f>IF(OR('Detalle'!$J448="",'Detalle'!$K448="",'Detalle'!$L448=""),"",IF(AND(F$8&lt;='Detalle'!$K448,F$9&gt;='Detalle'!$J448),1,""))</x:f>
      </x:c>
      <x:c r="G920" s="32" t="str">
        <x:f>IF(OR('Detalle'!$J448="",'Detalle'!$K448="",'Detalle'!$L448=""),"",IF(AND(G$8&lt;='Detalle'!$K448,G$9&gt;='Detalle'!$J448),1,""))</x:f>
      </x:c>
      <x:c r="H920" s="32" t="str">
        <x:f>IF(OR('Detalle'!$J448="",'Detalle'!$K448="",'Detalle'!$L448=""),"",IF(AND(H$8&lt;='Detalle'!$K448,H$9&gt;='Detalle'!$J448),1,""))</x:f>
      </x:c>
      <x:c r="I920" s="32" t="str">
        <x:f>IF(OR('Detalle'!$J448="",'Detalle'!$K448="",'Detalle'!$L448=""),"",IF(AND(I$8&lt;='Detalle'!$K448,I$9&gt;='Detalle'!$J448),1,""))</x:f>
      </x:c>
      <x:c r="J920" s="32" t="str">
        <x:f>IF(OR('Detalle'!$J448="",'Detalle'!$K448="",'Detalle'!$L448=""),"",IF(AND(J$8&lt;='Detalle'!$K448,J$9&gt;='Detalle'!$J448),1,""))</x:f>
      </x:c>
      <x:c r="K920" s="32" t="str">
        <x:f>IF(OR('Detalle'!$J448="",'Detalle'!$K448="",'Detalle'!$L448=""),"",IF(AND(K$8&lt;='Detalle'!$K448,K$9&gt;='Detalle'!$J448),1,""))</x:f>
      </x:c>
      <x:c r="L920" s="32" t="str">
        <x:f>IF(OR('Detalle'!$J448="",'Detalle'!$K448="",'Detalle'!$L448=""),"",IF(AND(L$8&lt;='Detalle'!$K448,L$9&gt;='Detalle'!$J448),1,""))</x:f>
      </x:c>
      <x:c r="M920" s="32" t="str">
        <x:f>IF(OR('Detalle'!$J448="",'Detalle'!$K448="",'Detalle'!$L448=""),"",IF(AND(M$8&lt;='Detalle'!$K448,M$9&gt;='Detalle'!$J448),1,""))</x:f>
      </x:c>
      <x:c r="N920" s="32" t="str">
        <x:f>IF(OR('Detalle'!$J448="",'Detalle'!$K448="",'Detalle'!$L448=""),"",IF(AND(N$8&lt;='Detalle'!$K448,N$9&gt;='Detalle'!$J448),1,""))</x:f>
      </x:c>
      <x:c r="O920" s="32" t="str">
        <x:f>IF(OR('Detalle'!$J448="",'Detalle'!$K448="",'Detalle'!$L448=""),"",IF(AND(O$8&lt;='Detalle'!$K448,O$9&gt;='Detalle'!$J448),1,""))</x:f>
      </x:c>
      <x:c r="P920" s="32" t="str">
        <x:f>IF(OR('Detalle'!$J448="",'Detalle'!$K448="",'Detalle'!$L448=""),"",IF(AND(P$8&lt;='Detalle'!$K448,P$9&gt;='Detalle'!$J448),1,""))</x:f>
      </x:c>
      <x:c r="Q920" s="68"/>
      <x:c r="R920" s="67" t="str"/>
      <x:c r="S920" s="67" t="str"/>
    </x:row>
    <x:row r="921" ht="16" customHeight="1">
      <x:c r="A921" s="56" t="str">
        <x:v>MIS02.014</x:v>
      </x:c>
      <x:c r="B921" s="57" t="str">
        <x:v>Ofrecer guardar, descartar o continuar al salir</x:v>
      </x:c>
      <x:c r="C921" s="62" t="str">
        <x:v>E</x:v>
      </x:c>
      <x:c r="D921" s="64" t="n">
        <x:f>'Detalle'!I449</x:f>
        <x:v>1</x:v>
      </x:c>
      <x:c r="E921" s="60" t="str">
        <x:f>'Detalle'!F449</x:f>
        <x:v>Completado</x:v>
      </x:c>
      <x:c r="F921" s="32" t="str">
        <x:f>IF(AND(F$8&lt;='Detalle'!$H449,F$9&gt;='Detalle'!$G449),1,"")</x:f>
      </x:c>
      <x:c r="G921" s="32" t="str">
        <x:f>IF(AND(G$8&lt;='Detalle'!$H449,G$9&gt;='Detalle'!$G449),1,"")</x:f>
      </x:c>
      <x:c r="H921" s="32" t="str">
        <x:f>IF(AND(H$8&lt;='Detalle'!$H449,H$9&gt;='Detalle'!$G449),1,"")</x:f>
      </x:c>
      <x:c r="I921" s="32" t="n">
        <x:f>IF(AND(I$8&lt;='Detalle'!$H449,I$9&gt;='Detalle'!$G449),1,"")</x:f>
        <x:v>1</x:v>
      </x:c>
      <x:c r="J921" s="32" t="str">
        <x:f>IF(AND(J$8&lt;='Detalle'!$H449,J$9&gt;='Detalle'!$G449),1,"")</x:f>
      </x:c>
      <x:c r="K921" s="32" t="str">
        <x:f>IF(AND(K$8&lt;='Detalle'!$H449,K$9&gt;='Detalle'!$G449),1,"")</x:f>
      </x:c>
      <x:c r="L921" s="32" t="str">
        <x:f>IF(AND(L$8&lt;='Detalle'!$H449,L$9&gt;='Detalle'!$G449),1,"")</x:f>
      </x:c>
      <x:c r="M921" s="32" t="str">
        <x:f>IF(AND(M$8&lt;='Detalle'!$H449,M$9&gt;='Detalle'!$G449),1,"")</x:f>
      </x:c>
      <x:c r="N921" s="32" t="str">
        <x:f>IF(AND(N$8&lt;='Detalle'!$H449,N$9&gt;='Detalle'!$G449),1,"")</x:f>
      </x:c>
      <x:c r="O921" s="32" t="str">
        <x:f>IF(AND(O$8&lt;='Detalle'!$H449,O$9&gt;='Detalle'!$G449),1,"")</x:f>
      </x:c>
      <x:c r="P921" s="32" t="str">
        <x:f>IF(AND(P$8&lt;='Detalle'!$H449,P$9&gt;='Detalle'!$G449),1,"")</x:f>
      </x:c>
      <x:c r="Q921" s="68"/>
      <x:c r="R921" s="67" t="str">
        <x:f>IF('Detalle'!M449="","",'Detalle'!M449)</x:f>
      </x:c>
      <x:c r="S921" s="67" t="str">
        <x:f>IF('Detalle'!N449="","",'Detalle'!N449)</x:f>
      </x:c>
    </x:row>
    <x:row r="922" ht="16" customHeight="1">
      <x:c r="A922" s="56" t="str">
        <x:v>MIS02.014</x:v>
      </x:c>
      <x:c r="B922" s="57" t="str">
        <x:v>Ofrecer guardar, descartar o continuar al salir</x:v>
      </x:c>
      <x:c r="C922" s="63" t="str">
        <x:v>R</x:v>
      </x:c>
      <x:c r="D922" s="65" t="str">
        <x:f>IF('Detalle'!L449="","",'Detalle'!L449)</x:f>
      </x:c>
      <x:c r="E922" s="60" t="str"/>
      <x:c r="F922" s="32" t="str">
        <x:f>IF(OR('Detalle'!$J449="",'Detalle'!$K449="",'Detalle'!$L449=""),"",IF(AND(F$8&lt;='Detalle'!$K449,F$9&gt;='Detalle'!$J449),1,""))</x:f>
      </x:c>
      <x:c r="G922" s="32" t="str">
        <x:f>IF(OR('Detalle'!$J449="",'Detalle'!$K449="",'Detalle'!$L449=""),"",IF(AND(G$8&lt;='Detalle'!$K449,G$9&gt;='Detalle'!$J449),1,""))</x:f>
      </x:c>
      <x:c r="H922" s="32" t="str">
        <x:f>IF(OR('Detalle'!$J449="",'Detalle'!$K449="",'Detalle'!$L449=""),"",IF(AND(H$8&lt;='Detalle'!$K449,H$9&gt;='Detalle'!$J449),1,""))</x:f>
      </x:c>
      <x:c r="I922" s="32" t="str">
        <x:f>IF(OR('Detalle'!$J449="",'Detalle'!$K449="",'Detalle'!$L449=""),"",IF(AND(I$8&lt;='Detalle'!$K449,I$9&gt;='Detalle'!$J449),1,""))</x:f>
      </x:c>
      <x:c r="J922" s="32" t="str">
        <x:f>IF(OR('Detalle'!$J449="",'Detalle'!$K449="",'Detalle'!$L449=""),"",IF(AND(J$8&lt;='Detalle'!$K449,J$9&gt;='Detalle'!$J449),1,""))</x:f>
      </x:c>
      <x:c r="K922" s="32" t="str">
        <x:f>IF(OR('Detalle'!$J449="",'Detalle'!$K449="",'Detalle'!$L449=""),"",IF(AND(K$8&lt;='Detalle'!$K449,K$9&gt;='Detalle'!$J449),1,""))</x:f>
      </x:c>
      <x:c r="L922" s="32" t="str">
        <x:f>IF(OR('Detalle'!$J449="",'Detalle'!$K449="",'Detalle'!$L449=""),"",IF(AND(L$8&lt;='Detalle'!$K449,L$9&gt;='Detalle'!$J449),1,""))</x:f>
      </x:c>
      <x:c r="M922" s="32" t="str">
        <x:f>IF(OR('Detalle'!$J449="",'Detalle'!$K449="",'Detalle'!$L449=""),"",IF(AND(M$8&lt;='Detalle'!$K449,M$9&gt;='Detalle'!$J449),1,""))</x:f>
      </x:c>
      <x:c r="N922" s="32" t="str">
        <x:f>IF(OR('Detalle'!$J449="",'Detalle'!$K449="",'Detalle'!$L449=""),"",IF(AND(N$8&lt;='Detalle'!$K449,N$9&gt;='Detalle'!$J449),1,""))</x:f>
      </x:c>
      <x:c r="O922" s="32" t="str">
        <x:f>IF(OR('Detalle'!$J449="",'Detalle'!$K449="",'Detalle'!$L449=""),"",IF(AND(O$8&lt;='Detalle'!$K449,O$9&gt;='Detalle'!$J449),1,""))</x:f>
      </x:c>
      <x:c r="P922" s="32" t="str">
        <x:f>IF(OR('Detalle'!$J449="",'Detalle'!$K449="",'Detalle'!$L449=""),"",IF(AND(P$8&lt;='Detalle'!$K449,P$9&gt;='Detalle'!$J449),1,""))</x:f>
      </x:c>
      <x:c r="Q922" s="68"/>
      <x:c r="R922" s="67" t="str"/>
      <x:c r="S922" s="67" t="str"/>
    </x:row>
    <x:row r="923" ht="16" customHeight="1">
      <x:c r="A923" s="56" t="str">
        <x:v>MIS02.015</x:v>
      </x:c>
      <x:c r="B923" s="57" t="str">
        <x:v>Publicar borrador con UUID estable</x:v>
      </x:c>
      <x:c r="C923" s="62" t="str">
        <x:v>E</x:v>
      </x:c>
      <x:c r="D923" s="64" t="n">
        <x:f>'Detalle'!I450</x:f>
        <x:v>1</x:v>
      </x:c>
      <x:c r="E923" s="60" t="str">
        <x:f>'Detalle'!F450</x:f>
        <x:v>Completado</x:v>
      </x:c>
      <x:c r="F923" s="32" t="str">
        <x:f>IF(AND(F$8&lt;='Detalle'!$H450,F$9&gt;='Detalle'!$G450),1,"")</x:f>
      </x:c>
      <x:c r="G923" s="32" t="str">
        <x:f>IF(AND(G$8&lt;='Detalle'!$H450,G$9&gt;='Detalle'!$G450),1,"")</x:f>
      </x:c>
      <x:c r="H923" s="32" t="str">
        <x:f>IF(AND(H$8&lt;='Detalle'!$H450,H$9&gt;='Detalle'!$G450),1,"")</x:f>
      </x:c>
      <x:c r="I923" s="32" t="n">
        <x:f>IF(AND(I$8&lt;='Detalle'!$H450,I$9&gt;='Detalle'!$G450),1,"")</x:f>
        <x:v>1</x:v>
      </x:c>
      <x:c r="J923" s="32" t="str">
        <x:f>IF(AND(J$8&lt;='Detalle'!$H450,J$9&gt;='Detalle'!$G450),1,"")</x:f>
      </x:c>
      <x:c r="K923" s="32" t="str">
        <x:f>IF(AND(K$8&lt;='Detalle'!$H450,K$9&gt;='Detalle'!$G450),1,"")</x:f>
      </x:c>
      <x:c r="L923" s="32" t="str">
        <x:f>IF(AND(L$8&lt;='Detalle'!$H450,L$9&gt;='Detalle'!$G450),1,"")</x:f>
      </x:c>
      <x:c r="M923" s="32" t="str">
        <x:f>IF(AND(M$8&lt;='Detalle'!$H450,M$9&gt;='Detalle'!$G450),1,"")</x:f>
      </x:c>
      <x:c r="N923" s="32" t="str">
        <x:f>IF(AND(N$8&lt;='Detalle'!$H450,N$9&gt;='Detalle'!$G450),1,"")</x:f>
      </x:c>
      <x:c r="O923" s="32" t="str">
        <x:f>IF(AND(O$8&lt;='Detalle'!$H450,O$9&gt;='Detalle'!$G450),1,"")</x:f>
      </x:c>
      <x:c r="P923" s="32" t="str">
        <x:f>IF(AND(P$8&lt;='Detalle'!$H450,P$9&gt;='Detalle'!$G450),1,"")</x:f>
      </x:c>
      <x:c r="Q923" s="68"/>
      <x:c r="R923" s="67" t="str">
        <x:f>IF('Detalle'!M450="","",'Detalle'!M450)</x:f>
      </x:c>
      <x:c r="S923" s="67" t="str">
        <x:f>IF('Detalle'!N450="","",'Detalle'!N450)</x:f>
      </x:c>
    </x:row>
    <x:row r="924" ht="16" customHeight="1">
      <x:c r="A924" s="56" t="str">
        <x:v>MIS02.015</x:v>
      </x:c>
      <x:c r="B924" s="57" t="str">
        <x:v>Publicar borrador con UUID estable</x:v>
      </x:c>
      <x:c r="C924" s="63" t="str">
        <x:v>R</x:v>
      </x:c>
      <x:c r="D924" s="65" t="str">
        <x:f>IF('Detalle'!L450="","",'Detalle'!L450)</x:f>
      </x:c>
      <x:c r="E924" s="60" t="str"/>
      <x:c r="F924" s="32" t="str">
        <x:f>IF(OR('Detalle'!$J450="",'Detalle'!$K450="",'Detalle'!$L450=""),"",IF(AND(F$8&lt;='Detalle'!$K450,F$9&gt;='Detalle'!$J450),1,""))</x:f>
      </x:c>
      <x:c r="G924" s="32" t="str">
        <x:f>IF(OR('Detalle'!$J450="",'Detalle'!$K450="",'Detalle'!$L450=""),"",IF(AND(G$8&lt;='Detalle'!$K450,G$9&gt;='Detalle'!$J450),1,""))</x:f>
      </x:c>
      <x:c r="H924" s="32" t="str">
        <x:f>IF(OR('Detalle'!$J450="",'Detalle'!$K450="",'Detalle'!$L450=""),"",IF(AND(H$8&lt;='Detalle'!$K450,H$9&gt;='Detalle'!$J450),1,""))</x:f>
      </x:c>
      <x:c r="I924" s="32" t="str">
        <x:f>IF(OR('Detalle'!$J450="",'Detalle'!$K450="",'Detalle'!$L450=""),"",IF(AND(I$8&lt;='Detalle'!$K450,I$9&gt;='Detalle'!$J450),1,""))</x:f>
      </x:c>
      <x:c r="J924" s="32" t="str">
        <x:f>IF(OR('Detalle'!$J450="",'Detalle'!$K450="",'Detalle'!$L450=""),"",IF(AND(J$8&lt;='Detalle'!$K450,J$9&gt;='Detalle'!$J450),1,""))</x:f>
      </x:c>
      <x:c r="K924" s="32" t="str">
        <x:f>IF(OR('Detalle'!$J450="",'Detalle'!$K450="",'Detalle'!$L450=""),"",IF(AND(K$8&lt;='Detalle'!$K450,K$9&gt;='Detalle'!$J450),1,""))</x:f>
      </x:c>
      <x:c r="L924" s="32" t="str">
        <x:f>IF(OR('Detalle'!$J450="",'Detalle'!$K450="",'Detalle'!$L450=""),"",IF(AND(L$8&lt;='Detalle'!$K450,L$9&gt;='Detalle'!$J450),1,""))</x:f>
      </x:c>
      <x:c r="M924" s="32" t="str">
        <x:f>IF(OR('Detalle'!$J450="",'Detalle'!$K450="",'Detalle'!$L450=""),"",IF(AND(M$8&lt;='Detalle'!$K450,M$9&gt;='Detalle'!$J450),1,""))</x:f>
      </x:c>
      <x:c r="N924" s="32" t="str">
        <x:f>IF(OR('Detalle'!$J450="",'Detalle'!$K450="",'Detalle'!$L450=""),"",IF(AND(N$8&lt;='Detalle'!$K450,N$9&gt;='Detalle'!$J450),1,""))</x:f>
      </x:c>
      <x:c r="O924" s="32" t="str">
        <x:f>IF(OR('Detalle'!$J450="",'Detalle'!$K450="",'Detalle'!$L450=""),"",IF(AND(O$8&lt;='Detalle'!$K450,O$9&gt;='Detalle'!$J450),1,""))</x:f>
      </x:c>
      <x:c r="P924" s="32" t="str">
        <x:f>IF(OR('Detalle'!$J450="",'Detalle'!$K450="",'Detalle'!$L450=""),"",IF(AND(P$8&lt;='Detalle'!$K450,P$9&gt;='Detalle'!$J450),1,""))</x:f>
      </x:c>
      <x:c r="Q924" s="68"/>
      <x:c r="R924" s="67" t="str"/>
      <x:c r="S924" s="67" t="str"/>
    </x:row>
    <x:row r="925" ht="16" customHeight="1">
      <x:c r="A925" s="56" t="str">
        <x:v>MIS02.016</x:v>
      </x:c>
      <x:c r="B925" s="57" t="str">
        <x:v>Registrar journal de publicación</x:v>
      </x:c>
      <x:c r="C925" s="62" t="str">
        <x:v>E</x:v>
      </x:c>
      <x:c r="D925" s="64" t="n">
        <x:f>'Detalle'!I451</x:f>
        <x:v>1</x:v>
      </x:c>
      <x:c r="E925" s="60" t="str">
        <x:f>'Detalle'!F451</x:f>
        <x:v>Completado</x:v>
      </x:c>
      <x:c r="F925" s="32" t="str">
        <x:f>IF(AND(F$8&lt;='Detalle'!$H451,F$9&gt;='Detalle'!$G451),1,"")</x:f>
      </x:c>
      <x:c r="G925" s="32" t="str">
        <x:f>IF(AND(G$8&lt;='Detalle'!$H451,G$9&gt;='Detalle'!$G451),1,"")</x:f>
      </x:c>
      <x:c r="H925" s="32" t="str">
        <x:f>IF(AND(H$8&lt;='Detalle'!$H451,H$9&gt;='Detalle'!$G451),1,"")</x:f>
      </x:c>
      <x:c r="I925" s="32" t="n">
        <x:f>IF(AND(I$8&lt;='Detalle'!$H451,I$9&gt;='Detalle'!$G451),1,"")</x:f>
        <x:v>1</x:v>
      </x:c>
      <x:c r="J925" s="32" t="str">
        <x:f>IF(AND(J$8&lt;='Detalle'!$H451,J$9&gt;='Detalle'!$G451),1,"")</x:f>
      </x:c>
      <x:c r="K925" s="32" t="str">
        <x:f>IF(AND(K$8&lt;='Detalle'!$H451,K$9&gt;='Detalle'!$G451),1,"")</x:f>
      </x:c>
      <x:c r="L925" s="32" t="str">
        <x:f>IF(AND(L$8&lt;='Detalle'!$H451,L$9&gt;='Detalle'!$G451),1,"")</x:f>
      </x:c>
      <x:c r="M925" s="32" t="str">
        <x:f>IF(AND(M$8&lt;='Detalle'!$H451,M$9&gt;='Detalle'!$G451),1,"")</x:f>
      </x:c>
      <x:c r="N925" s="32" t="str">
        <x:f>IF(AND(N$8&lt;='Detalle'!$H451,N$9&gt;='Detalle'!$G451),1,"")</x:f>
      </x:c>
      <x:c r="O925" s="32" t="str">
        <x:f>IF(AND(O$8&lt;='Detalle'!$H451,O$9&gt;='Detalle'!$G451),1,"")</x:f>
      </x:c>
      <x:c r="P925" s="32" t="str">
        <x:f>IF(AND(P$8&lt;='Detalle'!$H451,P$9&gt;='Detalle'!$G451),1,"")</x:f>
      </x:c>
      <x:c r="Q925" s="68"/>
      <x:c r="R925" s="67" t="str">
        <x:f>IF('Detalle'!M451="","",'Detalle'!M451)</x:f>
      </x:c>
      <x:c r="S925" s="67" t="str">
        <x:f>IF('Detalle'!N451="","",'Detalle'!N451)</x:f>
      </x:c>
    </x:row>
    <x:row r="926" ht="16" customHeight="1">
      <x:c r="A926" s="56" t="str">
        <x:v>MIS02.016</x:v>
      </x:c>
      <x:c r="B926" s="57" t="str">
        <x:v>Registrar journal de publicación</x:v>
      </x:c>
      <x:c r="C926" s="63" t="str">
        <x:v>R</x:v>
      </x:c>
      <x:c r="D926" s="65" t="str">
        <x:f>IF('Detalle'!L451="","",'Detalle'!L451)</x:f>
      </x:c>
      <x:c r="E926" s="60" t="str"/>
      <x:c r="F926" s="32" t="str">
        <x:f>IF(OR('Detalle'!$J451="",'Detalle'!$K451="",'Detalle'!$L451=""),"",IF(AND(F$8&lt;='Detalle'!$K451,F$9&gt;='Detalle'!$J451),1,""))</x:f>
      </x:c>
      <x:c r="G926" s="32" t="str">
        <x:f>IF(OR('Detalle'!$J451="",'Detalle'!$K451="",'Detalle'!$L451=""),"",IF(AND(G$8&lt;='Detalle'!$K451,G$9&gt;='Detalle'!$J451),1,""))</x:f>
      </x:c>
      <x:c r="H926" s="32" t="str">
        <x:f>IF(OR('Detalle'!$J451="",'Detalle'!$K451="",'Detalle'!$L451=""),"",IF(AND(H$8&lt;='Detalle'!$K451,H$9&gt;='Detalle'!$J451),1,""))</x:f>
      </x:c>
      <x:c r="I926" s="32" t="str">
        <x:f>IF(OR('Detalle'!$J451="",'Detalle'!$K451="",'Detalle'!$L451=""),"",IF(AND(I$8&lt;='Detalle'!$K451,I$9&gt;='Detalle'!$J451),1,""))</x:f>
      </x:c>
      <x:c r="J926" s="32" t="str">
        <x:f>IF(OR('Detalle'!$J451="",'Detalle'!$K451="",'Detalle'!$L451=""),"",IF(AND(J$8&lt;='Detalle'!$K451,J$9&gt;='Detalle'!$J451),1,""))</x:f>
      </x:c>
      <x:c r="K926" s="32" t="str">
        <x:f>IF(OR('Detalle'!$J451="",'Detalle'!$K451="",'Detalle'!$L451=""),"",IF(AND(K$8&lt;='Detalle'!$K451,K$9&gt;='Detalle'!$J451),1,""))</x:f>
      </x:c>
      <x:c r="L926" s="32" t="str">
        <x:f>IF(OR('Detalle'!$J451="",'Detalle'!$K451="",'Detalle'!$L451=""),"",IF(AND(L$8&lt;='Detalle'!$K451,L$9&gt;='Detalle'!$J451),1,""))</x:f>
      </x:c>
      <x:c r="M926" s="32" t="str">
        <x:f>IF(OR('Detalle'!$J451="",'Detalle'!$K451="",'Detalle'!$L451=""),"",IF(AND(M$8&lt;='Detalle'!$K451,M$9&gt;='Detalle'!$J451),1,""))</x:f>
      </x:c>
      <x:c r="N926" s="32" t="str">
        <x:f>IF(OR('Detalle'!$J451="",'Detalle'!$K451="",'Detalle'!$L451=""),"",IF(AND(N$8&lt;='Detalle'!$K451,N$9&gt;='Detalle'!$J451),1,""))</x:f>
      </x:c>
      <x:c r="O926" s="32" t="str">
        <x:f>IF(OR('Detalle'!$J451="",'Detalle'!$K451="",'Detalle'!$L451=""),"",IF(AND(O$8&lt;='Detalle'!$K451,O$9&gt;='Detalle'!$J451),1,""))</x:f>
      </x:c>
      <x:c r="P926" s="32" t="str">
        <x:f>IF(OR('Detalle'!$J451="",'Detalle'!$K451="",'Detalle'!$L451=""),"",IF(AND(P$8&lt;='Detalle'!$K451,P$9&gt;='Detalle'!$J451),1,""))</x:f>
      </x:c>
      <x:c r="Q926" s="68"/>
      <x:c r="R926" s="67" t="str"/>
      <x:c r="S926" s="67" t="str"/>
    </x:row>
    <x:row r="927" ht="16" customHeight="1">
      <x:c r="A927" s="56" t="str">
        <x:v>MIS02.017</x:v>
      </x:c>
      <x:c r="B927" s="57" t="str">
        <x:v>Evitar resurrección de misión eliminada</x:v>
      </x:c>
      <x:c r="C927" s="62" t="str">
        <x:v>E</x:v>
      </x:c>
      <x:c r="D927" s="64" t="n">
        <x:f>'Detalle'!I452</x:f>
        <x:v>1</x:v>
      </x:c>
      <x:c r="E927" s="60" t="str">
        <x:f>'Detalle'!F452</x:f>
        <x:v>Completado</x:v>
      </x:c>
      <x:c r="F927" s="32" t="str">
        <x:f>IF(AND(F$8&lt;='Detalle'!$H452,F$9&gt;='Detalle'!$G452),1,"")</x:f>
      </x:c>
      <x:c r="G927" s="32" t="str">
        <x:f>IF(AND(G$8&lt;='Detalle'!$H452,G$9&gt;='Detalle'!$G452),1,"")</x:f>
      </x:c>
      <x:c r="H927" s="32" t="str">
        <x:f>IF(AND(H$8&lt;='Detalle'!$H452,H$9&gt;='Detalle'!$G452),1,"")</x:f>
      </x:c>
      <x:c r="I927" s="32" t="n">
        <x:f>IF(AND(I$8&lt;='Detalle'!$H452,I$9&gt;='Detalle'!$G452),1,"")</x:f>
        <x:v>1</x:v>
      </x:c>
      <x:c r="J927" s="32" t="str">
        <x:f>IF(AND(J$8&lt;='Detalle'!$H452,J$9&gt;='Detalle'!$G452),1,"")</x:f>
      </x:c>
      <x:c r="K927" s="32" t="str">
        <x:f>IF(AND(K$8&lt;='Detalle'!$H452,K$9&gt;='Detalle'!$G452),1,"")</x:f>
      </x:c>
      <x:c r="L927" s="32" t="str">
        <x:f>IF(AND(L$8&lt;='Detalle'!$H452,L$9&gt;='Detalle'!$G452),1,"")</x:f>
      </x:c>
      <x:c r="M927" s="32" t="str">
        <x:f>IF(AND(M$8&lt;='Detalle'!$H452,M$9&gt;='Detalle'!$G452),1,"")</x:f>
      </x:c>
      <x:c r="N927" s="32" t="str">
        <x:f>IF(AND(N$8&lt;='Detalle'!$H452,N$9&gt;='Detalle'!$G452),1,"")</x:f>
      </x:c>
      <x:c r="O927" s="32" t="str">
        <x:f>IF(AND(O$8&lt;='Detalle'!$H452,O$9&gt;='Detalle'!$G452),1,"")</x:f>
      </x:c>
      <x:c r="P927" s="32" t="str">
        <x:f>IF(AND(P$8&lt;='Detalle'!$H452,P$9&gt;='Detalle'!$G452),1,"")</x:f>
      </x:c>
      <x:c r="Q927" s="68"/>
      <x:c r="R927" s="67" t="str">
        <x:f>IF('Detalle'!M452="","",'Detalle'!M452)</x:f>
      </x:c>
      <x:c r="S927" s="67" t="str">
        <x:f>IF('Detalle'!N452="","",'Detalle'!N452)</x:f>
      </x:c>
    </x:row>
    <x:row r="928" ht="16" customHeight="1">
      <x:c r="A928" s="56" t="str">
        <x:v>MIS02.017</x:v>
      </x:c>
      <x:c r="B928" s="57" t="str">
        <x:v>Evitar resurrección de misión eliminada</x:v>
      </x:c>
      <x:c r="C928" s="63" t="str">
        <x:v>R</x:v>
      </x:c>
      <x:c r="D928" s="65" t="str">
        <x:f>IF('Detalle'!L452="","",'Detalle'!L452)</x:f>
      </x:c>
      <x:c r="E928" s="60" t="str"/>
      <x:c r="F928" s="32" t="str">
        <x:f>IF(OR('Detalle'!$J452="",'Detalle'!$K452="",'Detalle'!$L452=""),"",IF(AND(F$8&lt;='Detalle'!$K452,F$9&gt;='Detalle'!$J452),1,""))</x:f>
      </x:c>
      <x:c r="G928" s="32" t="str">
        <x:f>IF(OR('Detalle'!$J452="",'Detalle'!$K452="",'Detalle'!$L452=""),"",IF(AND(G$8&lt;='Detalle'!$K452,G$9&gt;='Detalle'!$J452),1,""))</x:f>
      </x:c>
      <x:c r="H928" s="32" t="str">
        <x:f>IF(OR('Detalle'!$J452="",'Detalle'!$K452="",'Detalle'!$L452=""),"",IF(AND(H$8&lt;='Detalle'!$K452,H$9&gt;='Detalle'!$J452),1,""))</x:f>
      </x:c>
      <x:c r="I928" s="32" t="str">
        <x:f>IF(OR('Detalle'!$J452="",'Detalle'!$K452="",'Detalle'!$L452=""),"",IF(AND(I$8&lt;='Detalle'!$K452,I$9&gt;='Detalle'!$J452),1,""))</x:f>
      </x:c>
      <x:c r="J928" s="32" t="str">
        <x:f>IF(OR('Detalle'!$J452="",'Detalle'!$K452="",'Detalle'!$L452=""),"",IF(AND(J$8&lt;='Detalle'!$K452,J$9&gt;='Detalle'!$J452),1,""))</x:f>
      </x:c>
      <x:c r="K928" s="32" t="str">
        <x:f>IF(OR('Detalle'!$J452="",'Detalle'!$K452="",'Detalle'!$L452=""),"",IF(AND(K$8&lt;='Detalle'!$K452,K$9&gt;='Detalle'!$J452),1,""))</x:f>
      </x:c>
      <x:c r="L928" s="32" t="str">
        <x:f>IF(OR('Detalle'!$J452="",'Detalle'!$K452="",'Detalle'!$L452=""),"",IF(AND(L$8&lt;='Detalle'!$K452,L$9&gt;='Detalle'!$J452),1,""))</x:f>
      </x:c>
      <x:c r="M928" s="32" t="str">
        <x:f>IF(OR('Detalle'!$J452="",'Detalle'!$K452="",'Detalle'!$L452=""),"",IF(AND(M$8&lt;='Detalle'!$K452,M$9&gt;='Detalle'!$J452),1,""))</x:f>
      </x:c>
      <x:c r="N928" s="32" t="str">
        <x:f>IF(OR('Detalle'!$J452="",'Detalle'!$K452="",'Detalle'!$L452=""),"",IF(AND(N$8&lt;='Detalle'!$K452,N$9&gt;='Detalle'!$J452),1,""))</x:f>
      </x:c>
      <x:c r="O928" s="32" t="str">
        <x:f>IF(OR('Detalle'!$J452="",'Detalle'!$K452="",'Detalle'!$L452=""),"",IF(AND(O$8&lt;='Detalle'!$K452,O$9&gt;='Detalle'!$J452),1,""))</x:f>
      </x:c>
      <x:c r="P928" s="32" t="str">
        <x:f>IF(OR('Detalle'!$J452="",'Detalle'!$K452="",'Detalle'!$L452=""),"",IF(AND(P$8&lt;='Detalle'!$K452,P$9&gt;='Detalle'!$J452),1,""))</x:f>
      </x:c>
      <x:c r="Q928" s="68"/>
      <x:c r="R928" s="67" t="str"/>
      <x:c r="S928" s="67" t="str"/>
    </x:row>
    <x:row r="929" ht="16" customHeight="1">
      <x:c r="A929" s="56" t="str">
        <x:v>MIS02.018</x:v>
      </x:c>
      <x:c r="B929" s="57" t="str">
        <x:v>Limpiar portadas sin referencias</x:v>
      </x:c>
      <x:c r="C929" s="62" t="str">
        <x:v>E</x:v>
      </x:c>
      <x:c r="D929" s="64" t="n">
        <x:f>'Detalle'!I453</x:f>
        <x:v>1</x:v>
      </x:c>
      <x:c r="E929" s="60" t="str">
        <x:f>'Detalle'!F453</x:f>
        <x:v>Completado</x:v>
      </x:c>
      <x:c r="F929" s="32" t="str">
        <x:f>IF(AND(F$8&lt;='Detalle'!$H453,F$9&gt;='Detalle'!$G453),1,"")</x:f>
      </x:c>
      <x:c r="G929" s="32" t="str">
        <x:f>IF(AND(G$8&lt;='Detalle'!$H453,G$9&gt;='Detalle'!$G453),1,"")</x:f>
      </x:c>
      <x:c r="H929" s="32" t="str">
        <x:f>IF(AND(H$8&lt;='Detalle'!$H453,H$9&gt;='Detalle'!$G453),1,"")</x:f>
      </x:c>
      <x:c r="I929" s="32" t="n">
        <x:f>IF(AND(I$8&lt;='Detalle'!$H453,I$9&gt;='Detalle'!$G453),1,"")</x:f>
        <x:v>1</x:v>
      </x:c>
      <x:c r="J929" s="32" t="str">
        <x:f>IF(AND(J$8&lt;='Detalle'!$H453,J$9&gt;='Detalle'!$G453),1,"")</x:f>
      </x:c>
      <x:c r="K929" s="32" t="str">
        <x:f>IF(AND(K$8&lt;='Detalle'!$H453,K$9&gt;='Detalle'!$G453),1,"")</x:f>
      </x:c>
      <x:c r="L929" s="32" t="str">
        <x:f>IF(AND(L$8&lt;='Detalle'!$H453,L$9&gt;='Detalle'!$G453),1,"")</x:f>
      </x:c>
      <x:c r="M929" s="32" t="str">
        <x:f>IF(AND(M$8&lt;='Detalle'!$H453,M$9&gt;='Detalle'!$G453),1,"")</x:f>
      </x:c>
      <x:c r="N929" s="32" t="str">
        <x:f>IF(AND(N$8&lt;='Detalle'!$H453,N$9&gt;='Detalle'!$G453),1,"")</x:f>
      </x:c>
      <x:c r="O929" s="32" t="str">
        <x:f>IF(AND(O$8&lt;='Detalle'!$H453,O$9&gt;='Detalle'!$G453),1,"")</x:f>
      </x:c>
      <x:c r="P929" s="32" t="str">
        <x:f>IF(AND(P$8&lt;='Detalle'!$H453,P$9&gt;='Detalle'!$G453),1,"")</x:f>
      </x:c>
      <x:c r="Q929" s="68"/>
      <x:c r="R929" s="67" t="str">
        <x:f>IF('Detalle'!M453="","",'Detalle'!M453)</x:f>
      </x:c>
      <x:c r="S929" s="67" t="str">
        <x:f>IF('Detalle'!N453="","",'Detalle'!N453)</x:f>
      </x:c>
    </x:row>
    <x:row r="930" ht="16" customHeight="1">
      <x:c r="A930" s="56" t="str">
        <x:v>MIS02.018</x:v>
      </x:c>
      <x:c r="B930" s="57" t="str">
        <x:v>Limpiar portadas sin referencias</x:v>
      </x:c>
      <x:c r="C930" s="63" t="str">
        <x:v>R</x:v>
      </x:c>
      <x:c r="D930" s="65" t="str">
        <x:f>IF('Detalle'!L453="","",'Detalle'!L453)</x:f>
      </x:c>
      <x:c r="E930" s="60" t="str"/>
      <x:c r="F930" s="32" t="str">
        <x:f>IF(OR('Detalle'!$J453="",'Detalle'!$K453="",'Detalle'!$L453=""),"",IF(AND(F$8&lt;='Detalle'!$K453,F$9&gt;='Detalle'!$J453),1,""))</x:f>
      </x:c>
      <x:c r="G930" s="32" t="str">
        <x:f>IF(OR('Detalle'!$J453="",'Detalle'!$K453="",'Detalle'!$L453=""),"",IF(AND(G$8&lt;='Detalle'!$K453,G$9&gt;='Detalle'!$J453),1,""))</x:f>
      </x:c>
      <x:c r="H930" s="32" t="str">
        <x:f>IF(OR('Detalle'!$J453="",'Detalle'!$K453="",'Detalle'!$L453=""),"",IF(AND(H$8&lt;='Detalle'!$K453,H$9&gt;='Detalle'!$J453),1,""))</x:f>
      </x:c>
      <x:c r="I930" s="32" t="str">
        <x:f>IF(OR('Detalle'!$J453="",'Detalle'!$K453="",'Detalle'!$L453=""),"",IF(AND(I$8&lt;='Detalle'!$K453,I$9&gt;='Detalle'!$J453),1,""))</x:f>
      </x:c>
      <x:c r="J930" s="32" t="str">
        <x:f>IF(OR('Detalle'!$J453="",'Detalle'!$K453="",'Detalle'!$L453=""),"",IF(AND(J$8&lt;='Detalle'!$K453,J$9&gt;='Detalle'!$J453),1,""))</x:f>
      </x:c>
      <x:c r="K930" s="32" t="str">
        <x:f>IF(OR('Detalle'!$J453="",'Detalle'!$K453="",'Detalle'!$L453=""),"",IF(AND(K$8&lt;='Detalle'!$K453,K$9&gt;='Detalle'!$J453),1,""))</x:f>
      </x:c>
      <x:c r="L930" s="32" t="str">
        <x:f>IF(OR('Detalle'!$J453="",'Detalle'!$K453="",'Detalle'!$L453=""),"",IF(AND(L$8&lt;='Detalle'!$K453,L$9&gt;='Detalle'!$J453),1,""))</x:f>
      </x:c>
      <x:c r="M930" s="32" t="str">
        <x:f>IF(OR('Detalle'!$J453="",'Detalle'!$K453="",'Detalle'!$L453=""),"",IF(AND(M$8&lt;='Detalle'!$K453,M$9&gt;='Detalle'!$J453),1,""))</x:f>
      </x:c>
      <x:c r="N930" s="32" t="str">
        <x:f>IF(OR('Detalle'!$J453="",'Detalle'!$K453="",'Detalle'!$L453=""),"",IF(AND(N$8&lt;='Detalle'!$K453,N$9&gt;='Detalle'!$J453),1,""))</x:f>
      </x:c>
      <x:c r="O930" s="32" t="str">
        <x:f>IF(OR('Detalle'!$J453="",'Detalle'!$K453="",'Detalle'!$L453=""),"",IF(AND(O$8&lt;='Detalle'!$K453,O$9&gt;='Detalle'!$J453),1,""))</x:f>
      </x:c>
      <x:c r="P930" s="32" t="str">
        <x:f>IF(OR('Detalle'!$J453="",'Detalle'!$K453="",'Detalle'!$L453=""),"",IF(AND(P$8&lt;='Detalle'!$K453,P$9&gt;='Detalle'!$J453),1,""))</x:f>
      </x:c>
      <x:c r="Q930" s="68"/>
      <x:c r="R930" s="67" t="str"/>
      <x:c r="S930" s="67" t="str"/>
    </x:row>
    <x:row r="931" ht="20" customHeight="1">
      <x:c r="A931" s="52" t="str">
        <x:v>MIS03 · Candidatura estructurada y seguimiento</x:v>
      </x:c>
      <x:c r="B931" s="52" t="str">
        <x:v>MIS03 · Candidatura estructurada y seguimiento</x:v>
      </x:c>
      <x:c r="C931" s="52" t="str">
        <x:v>MIS03 · Candidatura estructurada y seguimiento</x:v>
      </x:c>
      <x:c r="D931" s="52" t="str">
        <x:v>MIS03 · Candidatura estructurada y seguimiento</x:v>
      </x:c>
      <x:c r="E931" s="52" t="str">
        <x:v>MIS03 · Candidatura estructurada y seguimiento</x:v>
      </x:c>
      <x:c r="F931" s="53" t="str">
        <x:v>MIS03 · Candidatura estructurada y seguimiento</x:v>
      </x:c>
      <x:c r="G931" s="53" t="str">
        <x:v>MIS03 · Candidatura estructurada y seguimiento</x:v>
      </x:c>
      <x:c r="H931" s="53" t="str">
        <x:v>MIS03 · Candidatura estructurada y seguimiento</x:v>
      </x:c>
      <x:c r="I931" s="53" t="str">
        <x:v>MIS03 · Candidatura estructurada y seguimiento</x:v>
      </x:c>
      <x:c r="J931" s="53" t="str">
        <x:v>MIS03 · Candidatura estructurada y seguimiento</x:v>
      </x:c>
      <x:c r="K931" s="53" t="str">
        <x:v>MIS03 · Candidatura estructurada y seguimiento</x:v>
      </x:c>
      <x:c r="L931" s="53" t="str">
        <x:v>MIS03 · Candidatura estructurada y seguimiento</x:v>
      </x:c>
      <x:c r="M931" s="53" t="str">
        <x:v>MIS03 · Candidatura estructurada y seguimiento</x:v>
      </x:c>
      <x:c r="N931" s="53" t="str">
        <x:v>MIS03 · Candidatura estructurada y seguimiento</x:v>
      </x:c>
      <x:c r="O931" s="53" t="str">
        <x:v>MIS03 · Candidatura estructurada y seguimiento</x:v>
      </x:c>
      <x:c r="P931" s="53" t="str">
        <x:v>MIS03 · Candidatura estructurada y seguimiento</x:v>
      </x:c>
      <x:c r="Q931" s="52" t="str">
        <x:v>MIS03 · Candidatura estructurada y seguimiento</x:v>
      </x:c>
      <x:c r="R931" s="52" t="str">
        <x:v>MIS03 · Candidatura estructurada y seguimiento</x:v>
      </x:c>
      <x:c r="S931" s="52" t="str">
        <x:v>MIS03 · Candidatura estructurada y seguimiento</x:v>
      </x:c>
    </x:row>
    <x:row r="932" ht="16" customHeight="1">
      <x:c r="A932" s="56" t="str">
        <x:v>MIS03.001</x:v>
      </x:c>
      <x:c r="B932" s="57" t="str">
        <x:v>Crear pantalla de candidatura en tres pasos</x:v>
      </x:c>
      <x:c r="C932" s="62" t="str">
        <x:v>E</x:v>
      </x:c>
      <x:c r="D932" s="64" t="n">
        <x:f>'Detalle'!I454</x:f>
        <x:v>1</x:v>
      </x:c>
      <x:c r="E932" s="60" t="str">
        <x:f>'Detalle'!F454</x:f>
        <x:v>Completado</x:v>
      </x:c>
      <x:c r="F932" s="32" t="str">
        <x:f>IF(AND(F$8&lt;='Detalle'!$H454,F$9&gt;='Detalle'!$G454),1,"")</x:f>
      </x:c>
      <x:c r="G932" s="32" t="str">
        <x:f>IF(AND(G$8&lt;='Detalle'!$H454,G$9&gt;='Detalle'!$G454),1,"")</x:f>
      </x:c>
      <x:c r="H932" s="32" t="str">
        <x:f>IF(AND(H$8&lt;='Detalle'!$H454,H$9&gt;='Detalle'!$G454),1,"")</x:f>
      </x:c>
      <x:c r="I932" s="32" t="n">
        <x:f>IF(AND(I$8&lt;='Detalle'!$H454,I$9&gt;='Detalle'!$G454),1,"")</x:f>
        <x:v>1</x:v>
      </x:c>
      <x:c r="J932" s="32" t="str">
        <x:f>IF(AND(J$8&lt;='Detalle'!$H454,J$9&gt;='Detalle'!$G454),1,"")</x:f>
      </x:c>
      <x:c r="K932" s="32" t="str">
        <x:f>IF(AND(K$8&lt;='Detalle'!$H454,K$9&gt;='Detalle'!$G454),1,"")</x:f>
      </x:c>
      <x:c r="L932" s="32" t="str">
        <x:f>IF(AND(L$8&lt;='Detalle'!$H454,L$9&gt;='Detalle'!$G454),1,"")</x:f>
      </x:c>
      <x:c r="M932" s="32" t="str">
        <x:f>IF(AND(M$8&lt;='Detalle'!$H454,M$9&gt;='Detalle'!$G454),1,"")</x:f>
      </x:c>
      <x:c r="N932" s="32" t="str">
        <x:f>IF(AND(N$8&lt;='Detalle'!$H454,N$9&gt;='Detalle'!$G454),1,"")</x:f>
      </x:c>
      <x:c r="O932" s="32" t="str">
        <x:f>IF(AND(O$8&lt;='Detalle'!$H454,O$9&gt;='Detalle'!$G454),1,"")</x:f>
      </x:c>
      <x:c r="P932" s="32" t="str">
        <x:f>IF(AND(P$8&lt;='Detalle'!$H454,P$9&gt;='Detalle'!$G454),1,"")</x:f>
      </x:c>
      <x:c r="Q932" s="68"/>
      <x:c r="R932" s="67" t="str">
        <x:f>IF('Detalle'!M454="","",'Detalle'!M454)</x:f>
      </x:c>
      <x:c r="S932" s="67" t="str">
        <x:f>IF('Detalle'!N454="","",'Detalle'!N454)</x:f>
      </x:c>
    </x:row>
    <x:row r="933" ht="16" customHeight="1">
      <x:c r="A933" s="56" t="str">
        <x:v>MIS03.001</x:v>
      </x:c>
      <x:c r="B933" s="57" t="str">
        <x:v>Crear pantalla de candidatura en tres pasos</x:v>
      </x:c>
      <x:c r="C933" s="63" t="str">
        <x:v>R</x:v>
      </x:c>
      <x:c r="D933" s="65" t="str">
        <x:f>IF('Detalle'!L454="","",'Detalle'!L454)</x:f>
      </x:c>
      <x:c r="E933" s="60" t="str"/>
      <x:c r="F933" s="32" t="str">
        <x:f>IF(OR('Detalle'!$J454="",'Detalle'!$K454="",'Detalle'!$L454=""),"",IF(AND(F$8&lt;='Detalle'!$K454,F$9&gt;='Detalle'!$J454),1,""))</x:f>
      </x:c>
      <x:c r="G933" s="32" t="str">
        <x:f>IF(OR('Detalle'!$J454="",'Detalle'!$K454="",'Detalle'!$L454=""),"",IF(AND(G$8&lt;='Detalle'!$K454,G$9&gt;='Detalle'!$J454),1,""))</x:f>
      </x:c>
      <x:c r="H933" s="32" t="str">
        <x:f>IF(OR('Detalle'!$J454="",'Detalle'!$K454="",'Detalle'!$L454=""),"",IF(AND(H$8&lt;='Detalle'!$K454,H$9&gt;='Detalle'!$J454),1,""))</x:f>
      </x:c>
      <x:c r="I933" s="32" t="str">
        <x:f>IF(OR('Detalle'!$J454="",'Detalle'!$K454="",'Detalle'!$L454=""),"",IF(AND(I$8&lt;='Detalle'!$K454,I$9&gt;='Detalle'!$J454),1,""))</x:f>
      </x:c>
      <x:c r="J933" s="32" t="str">
        <x:f>IF(OR('Detalle'!$J454="",'Detalle'!$K454="",'Detalle'!$L454=""),"",IF(AND(J$8&lt;='Detalle'!$K454,J$9&gt;='Detalle'!$J454),1,""))</x:f>
      </x:c>
      <x:c r="K933" s="32" t="str">
        <x:f>IF(OR('Detalle'!$J454="",'Detalle'!$K454="",'Detalle'!$L454=""),"",IF(AND(K$8&lt;='Detalle'!$K454,K$9&gt;='Detalle'!$J454),1,""))</x:f>
      </x:c>
      <x:c r="L933" s="32" t="str">
        <x:f>IF(OR('Detalle'!$J454="",'Detalle'!$K454="",'Detalle'!$L454=""),"",IF(AND(L$8&lt;='Detalle'!$K454,L$9&gt;='Detalle'!$J454),1,""))</x:f>
      </x:c>
      <x:c r="M933" s="32" t="str">
        <x:f>IF(OR('Detalle'!$J454="",'Detalle'!$K454="",'Detalle'!$L454=""),"",IF(AND(M$8&lt;='Detalle'!$K454,M$9&gt;='Detalle'!$J454),1,""))</x:f>
      </x:c>
      <x:c r="N933" s="32" t="str">
        <x:f>IF(OR('Detalle'!$J454="",'Detalle'!$K454="",'Detalle'!$L454=""),"",IF(AND(N$8&lt;='Detalle'!$K454,N$9&gt;='Detalle'!$J454),1,""))</x:f>
      </x:c>
      <x:c r="O933" s="32" t="str">
        <x:f>IF(OR('Detalle'!$J454="",'Detalle'!$K454="",'Detalle'!$L454=""),"",IF(AND(O$8&lt;='Detalle'!$K454,O$9&gt;='Detalle'!$J454),1,""))</x:f>
      </x:c>
      <x:c r="P933" s="32" t="str">
        <x:f>IF(OR('Detalle'!$J454="",'Detalle'!$K454="",'Detalle'!$L454=""),"",IF(AND(P$8&lt;='Detalle'!$K454,P$9&gt;='Detalle'!$J454),1,""))</x:f>
      </x:c>
      <x:c r="Q933" s="68"/>
      <x:c r="R933" s="67" t="str"/>
      <x:c r="S933" s="67" t="str"/>
    </x:row>
    <x:row r="934" ht="16" customHeight="1">
      <x:c r="A934" s="56" t="str">
        <x:v>MIS03.002</x:v>
      </x:c>
      <x:c r="B934" s="57" t="str">
        <x:v>Mostrar revisión inicial de misión</x:v>
      </x:c>
      <x:c r="C934" s="62" t="str">
        <x:v>E</x:v>
      </x:c>
      <x:c r="D934" s="64" t="n">
        <x:f>'Detalle'!I455</x:f>
        <x:v>1</x:v>
      </x:c>
      <x:c r="E934" s="60" t="str">
        <x:f>'Detalle'!F455</x:f>
        <x:v>Completado</x:v>
      </x:c>
      <x:c r="F934" s="32" t="str">
        <x:f>IF(AND(F$8&lt;='Detalle'!$H455,F$9&gt;='Detalle'!$G455),1,"")</x:f>
      </x:c>
      <x:c r="G934" s="32" t="str">
        <x:f>IF(AND(G$8&lt;='Detalle'!$H455,G$9&gt;='Detalle'!$G455),1,"")</x:f>
      </x:c>
      <x:c r="H934" s="32" t="str">
        <x:f>IF(AND(H$8&lt;='Detalle'!$H455,H$9&gt;='Detalle'!$G455),1,"")</x:f>
      </x:c>
      <x:c r="I934" s="32" t="n">
        <x:f>IF(AND(I$8&lt;='Detalle'!$H455,I$9&gt;='Detalle'!$G455),1,"")</x:f>
        <x:v>1</x:v>
      </x:c>
      <x:c r="J934" s="32" t="str">
        <x:f>IF(AND(J$8&lt;='Detalle'!$H455,J$9&gt;='Detalle'!$G455),1,"")</x:f>
      </x:c>
      <x:c r="K934" s="32" t="str">
        <x:f>IF(AND(K$8&lt;='Detalle'!$H455,K$9&gt;='Detalle'!$G455),1,"")</x:f>
      </x:c>
      <x:c r="L934" s="32" t="str">
        <x:f>IF(AND(L$8&lt;='Detalle'!$H455,L$9&gt;='Detalle'!$G455),1,"")</x:f>
      </x:c>
      <x:c r="M934" s="32" t="str">
        <x:f>IF(AND(M$8&lt;='Detalle'!$H455,M$9&gt;='Detalle'!$G455),1,"")</x:f>
      </x:c>
      <x:c r="N934" s="32" t="str">
        <x:f>IF(AND(N$8&lt;='Detalle'!$H455,N$9&gt;='Detalle'!$G455),1,"")</x:f>
      </x:c>
      <x:c r="O934" s="32" t="str">
        <x:f>IF(AND(O$8&lt;='Detalle'!$H455,O$9&gt;='Detalle'!$G455),1,"")</x:f>
      </x:c>
      <x:c r="P934" s="32" t="str">
        <x:f>IF(AND(P$8&lt;='Detalle'!$H455,P$9&gt;='Detalle'!$G455),1,"")</x:f>
      </x:c>
      <x:c r="Q934" s="68"/>
      <x:c r="R934" s="67" t="str">
        <x:f>IF('Detalle'!M455="","",'Detalle'!M455)</x:f>
      </x:c>
      <x:c r="S934" s="67" t="str">
        <x:f>IF('Detalle'!N455="","",'Detalle'!N455)</x:f>
      </x:c>
    </x:row>
    <x:row r="935" ht="16" customHeight="1">
      <x:c r="A935" s="56" t="str">
        <x:v>MIS03.002</x:v>
      </x:c>
      <x:c r="B935" s="57" t="str">
        <x:v>Mostrar revisión inicial de misión</x:v>
      </x:c>
      <x:c r="C935" s="63" t="str">
        <x:v>R</x:v>
      </x:c>
      <x:c r="D935" s="65" t="str">
        <x:f>IF('Detalle'!L455="","",'Detalle'!L455)</x:f>
      </x:c>
      <x:c r="E935" s="60" t="str"/>
      <x:c r="F935" s="32" t="str">
        <x:f>IF(OR('Detalle'!$J455="",'Detalle'!$K455="",'Detalle'!$L455=""),"",IF(AND(F$8&lt;='Detalle'!$K455,F$9&gt;='Detalle'!$J455),1,""))</x:f>
      </x:c>
      <x:c r="G935" s="32" t="str">
        <x:f>IF(OR('Detalle'!$J455="",'Detalle'!$K455="",'Detalle'!$L455=""),"",IF(AND(G$8&lt;='Detalle'!$K455,G$9&gt;='Detalle'!$J455),1,""))</x:f>
      </x:c>
      <x:c r="H935" s="32" t="str">
        <x:f>IF(OR('Detalle'!$J455="",'Detalle'!$K455="",'Detalle'!$L455=""),"",IF(AND(H$8&lt;='Detalle'!$K455,H$9&gt;='Detalle'!$J455),1,""))</x:f>
      </x:c>
      <x:c r="I935" s="32" t="str">
        <x:f>IF(OR('Detalle'!$J455="",'Detalle'!$K455="",'Detalle'!$L455=""),"",IF(AND(I$8&lt;='Detalle'!$K455,I$9&gt;='Detalle'!$J455),1,""))</x:f>
      </x:c>
      <x:c r="J935" s="32" t="str">
        <x:f>IF(OR('Detalle'!$J455="",'Detalle'!$K455="",'Detalle'!$L455=""),"",IF(AND(J$8&lt;='Detalle'!$K455,J$9&gt;='Detalle'!$J455),1,""))</x:f>
      </x:c>
      <x:c r="K935" s="32" t="str">
        <x:f>IF(OR('Detalle'!$J455="",'Detalle'!$K455="",'Detalle'!$L455=""),"",IF(AND(K$8&lt;='Detalle'!$K455,K$9&gt;='Detalle'!$J455),1,""))</x:f>
      </x:c>
      <x:c r="L935" s="32" t="str">
        <x:f>IF(OR('Detalle'!$J455="",'Detalle'!$K455="",'Detalle'!$L455=""),"",IF(AND(L$8&lt;='Detalle'!$K455,L$9&gt;='Detalle'!$J455),1,""))</x:f>
      </x:c>
      <x:c r="M935" s="32" t="str">
        <x:f>IF(OR('Detalle'!$J455="",'Detalle'!$K455="",'Detalle'!$L455=""),"",IF(AND(M$8&lt;='Detalle'!$K455,M$9&gt;='Detalle'!$J455),1,""))</x:f>
      </x:c>
      <x:c r="N935" s="32" t="str">
        <x:f>IF(OR('Detalle'!$J455="",'Detalle'!$K455="",'Detalle'!$L455=""),"",IF(AND(N$8&lt;='Detalle'!$K455,N$9&gt;='Detalle'!$J455),1,""))</x:f>
      </x:c>
      <x:c r="O935" s="32" t="str">
        <x:f>IF(OR('Detalle'!$J455="",'Detalle'!$K455="",'Detalle'!$L455=""),"",IF(AND(O$8&lt;='Detalle'!$K455,O$9&gt;='Detalle'!$J455),1,""))</x:f>
      </x:c>
      <x:c r="P935" s="32" t="str">
        <x:f>IF(OR('Detalle'!$J455="",'Detalle'!$K455="",'Detalle'!$L455=""),"",IF(AND(P$8&lt;='Detalle'!$K455,P$9&gt;='Detalle'!$J455),1,""))</x:f>
      </x:c>
      <x:c r="Q935" s="68"/>
      <x:c r="R935" s="67" t="str"/>
      <x:c r="S935" s="67" t="str"/>
    </x:row>
    <x:row r="936" ht="16" customHeight="1">
      <x:c r="A936" s="56" t="str">
        <x:v>MIS03.003</x:v>
      </x:c>
      <x:c r="B936" s="57" t="str">
        <x:v>Capturar motivación de candidatura</x:v>
      </x:c>
      <x:c r="C936" s="62" t="str">
        <x:v>E</x:v>
      </x:c>
      <x:c r="D936" s="64" t="n">
        <x:f>'Detalle'!I456</x:f>
        <x:v>1</x:v>
      </x:c>
      <x:c r="E936" s="60" t="str">
        <x:f>'Detalle'!F456</x:f>
        <x:v>Completado</x:v>
      </x:c>
      <x:c r="F936" s="32" t="str">
        <x:f>IF(AND(F$8&lt;='Detalle'!$H456,F$9&gt;='Detalle'!$G456),1,"")</x:f>
      </x:c>
      <x:c r="G936" s="32" t="str">
        <x:f>IF(AND(G$8&lt;='Detalle'!$H456,G$9&gt;='Detalle'!$G456),1,"")</x:f>
      </x:c>
      <x:c r="H936" s="32" t="str">
        <x:f>IF(AND(H$8&lt;='Detalle'!$H456,H$9&gt;='Detalle'!$G456),1,"")</x:f>
      </x:c>
      <x:c r="I936" s="32" t="n">
        <x:f>IF(AND(I$8&lt;='Detalle'!$H456,I$9&gt;='Detalle'!$G456),1,"")</x:f>
        <x:v>1</x:v>
      </x:c>
      <x:c r="J936" s="32" t="str">
        <x:f>IF(AND(J$8&lt;='Detalle'!$H456,J$9&gt;='Detalle'!$G456),1,"")</x:f>
      </x:c>
      <x:c r="K936" s="32" t="str">
        <x:f>IF(AND(K$8&lt;='Detalle'!$H456,K$9&gt;='Detalle'!$G456),1,"")</x:f>
      </x:c>
      <x:c r="L936" s="32" t="str">
        <x:f>IF(AND(L$8&lt;='Detalle'!$H456,L$9&gt;='Detalle'!$G456),1,"")</x:f>
      </x:c>
      <x:c r="M936" s="32" t="str">
        <x:f>IF(AND(M$8&lt;='Detalle'!$H456,M$9&gt;='Detalle'!$G456),1,"")</x:f>
      </x:c>
      <x:c r="N936" s="32" t="str">
        <x:f>IF(AND(N$8&lt;='Detalle'!$H456,N$9&gt;='Detalle'!$G456),1,"")</x:f>
      </x:c>
      <x:c r="O936" s="32" t="str">
        <x:f>IF(AND(O$8&lt;='Detalle'!$H456,O$9&gt;='Detalle'!$G456),1,"")</x:f>
      </x:c>
      <x:c r="P936" s="32" t="str">
        <x:f>IF(AND(P$8&lt;='Detalle'!$H456,P$9&gt;='Detalle'!$G456),1,"")</x:f>
      </x:c>
      <x:c r="Q936" s="68"/>
      <x:c r="R936" s="67" t="str">
        <x:f>IF('Detalle'!M456="","",'Detalle'!M456)</x:f>
      </x:c>
      <x:c r="S936" s="67" t="str">
        <x:f>IF('Detalle'!N456="","",'Detalle'!N456)</x:f>
      </x:c>
    </x:row>
    <x:row r="937" ht="16" customHeight="1">
      <x:c r="A937" s="56" t="str">
        <x:v>MIS03.003</x:v>
      </x:c>
      <x:c r="B937" s="57" t="str">
        <x:v>Capturar motivación de candidatura</x:v>
      </x:c>
      <x:c r="C937" s="63" t="str">
        <x:v>R</x:v>
      </x:c>
      <x:c r="D937" s="65" t="str">
        <x:f>IF('Detalle'!L456="","",'Detalle'!L456)</x:f>
      </x:c>
      <x:c r="E937" s="60" t="str"/>
      <x:c r="F937" s="32" t="str">
        <x:f>IF(OR('Detalle'!$J456="",'Detalle'!$K456="",'Detalle'!$L456=""),"",IF(AND(F$8&lt;='Detalle'!$K456,F$9&gt;='Detalle'!$J456),1,""))</x:f>
      </x:c>
      <x:c r="G937" s="32" t="str">
        <x:f>IF(OR('Detalle'!$J456="",'Detalle'!$K456="",'Detalle'!$L456=""),"",IF(AND(G$8&lt;='Detalle'!$K456,G$9&gt;='Detalle'!$J456),1,""))</x:f>
      </x:c>
      <x:c r="H937" s="32" t="str">
        <x:f>IF(OR('Detalle'!$J456="",'Detalle'!$K456="",'Detalle'!$L456=""),"",IF(AND(H$8&lt;='Detalle'!$K456,H$9&gt;='Detalle'!$J456),1,""))</x:f>
      </x:c>
      <x:c r="I937" s="32" t="str">
        <x:f>IF(OR('Detalle'!$J456="",'Detalle'!$K456="",'Detalle'!$L456=""),"",IF(AND(I$8&lt;='Detalle'!$K456,I$9&gt;='Detalle'!$J456),1,""))</x:f>
      </x:c>
      <x:c r="J937" s="32" t="str">
        <x:f>IF(OR('Detalle'!$J456="",'Detalle'!$K456="",'Detalle'!$L456=""),"",IF(AND(J$8&lt;='Detalle'!$K456,J$9&gt;='Detalle'!$J456),1,""))</x:f>
      </x:c>
      <x:c r="K937" s="32" t="str">
        <x:f>IF(OR('Detalle'!$J456="",'Detalle'!$K456="",'Detalle'!$L456=""),"",IF(AND(K$8&lt;='Detalle'!$K456,K$9&gt;='Detalle'!$J456),1,""))</x:f>
      </x:c>
      <x:c r="L937" s="32" t="str">
        <x:f>IF(OR('Detalle'!$J456="",'Detalle'!$K456="",'Detalle'!$L456=""),"",IF(AND(L$8&lt;='Detalle'!$K456,L$9&gt;='Detalle'!$J456),1,""))</x:f>
      </x:c>
      <x:c r="M937" s="32" t="str">
        <x:f>IF(OR('Detalle'!$J456="",'Detalle'!$K456="",'Detalle'!$L456=""),"",IF(AND(M$8&lt;='Detalle'!$K456,M$9&gt;='Detalle'!$J456),1,""))</x:f>
      </x:c>
      <x:c r="N937" s="32" t="str">
        <x:f>IF(OR('Detalle'!$J456="",'Detalle'!$K456="",'Detalle'!$L456=""),"",IF(AND(N$8&lt;='Detalle'!$K456,N$9&gt;='Detalle'!$J456),1,""))</x:f>
      </x:c>
      <x:c r="O937" s="32" t="str">
        <x:f>IF(OR('Detalle'!$J456="",'Detalle'!$K456="",'Detalle'!$L456=""),"",IF(AND(O$8&lt;='Detalle'!$K456,O$9&gt;='Detalle'!$J456),1,""))</x:f>
      </x:c>
      <x:c r="P937" s="32" t="str">
        <x:f>IF(OR('Detalle'!$J456="",'Detalle'!$K456="",'Detalle'!$L456=""),"",IF(AND(P$8&lt;='Detalle'!$K456,P$9&gt;='Detalle'!$J456),1,""))</x:f>
      </x:c>
      <x:c r="Q937" s="68"/>
      <x:c r="R937" s="67" t="str"/>
      <x:c r="S937" s="67" t="str"/>
    </x:row>
    <x:row r="938" ht="16" customHeight="1">
      <x:c r="A938" s="56" t="str">
        <x:v>MIS03.004</x:v>
      </x:c>
      <x:c r="B938" s="57" t="str">
        <x:v>Exigir confirmación de disponibilidad</x:v>
      </x:c>
      <x:c r="C938" s="62" t="str">
        <x:v>E</x:v>
      </x:c>
      <x:c r="D938" s="64" t="n">
        <x:f>'Detalle'!I457</x:f>
        <x:v>1</x:v>
      </x:c>
      <x:c r="E938" s="60" t="str">
        <x:f>'Detalle'!F457</x:f>
        <x:v>Completado</x:v>
      </x:c>
      <x:c r="F938" s="32" t="str">
        <x:f>IF(AND(F$8&lt;='Detalle'!$H457,F$9&gt;='Detalle'!$G457),1,"")</x:f>
      </x:c>
      <x:c r="G938" s="32" t="str">
        <x:f>IF(AND(G$8&lt;='Detalle'!$H457,G$9&gt;='Detalle'!$G457),1,"")</x:f>
      </x:c>
      <x:c r="H938" s="32" t="str">
        <x:f>IF(AND(H$8&lt;='Detalle'!$H457,H$9&gt;='Detalle'!$G457),1,"")</x:f>
      </x:c>
      <x:c r="I938" s="32" t="n">
        <x:f>IF(AND(I$8&lt;='Detalle'!$H457,I$9&gt;='Detalle'!$G457),1,"")</x:f>
        <x:v>1</x:v>
      </x:c>
      <x:c r="J938" s="32" t="str">
        <x:f>IF(AND(J$8&lt;='Detalle'!$H457,J$9&gt;='Detalle'!$G457),1,"")</x:f>
      </x:c>
      <x:c r="K938" s="32" t="str">
        <x:f>IF(AND(K$8&lt;='Detalle'!$H457,K$9&gt;='Detalle'!$G457),1,"")</x:f>
      </x:c>
      <x:c r="L938" s="32" t="str">
        <x:f>IF(AND(L$8&lt;='Detalle'!$H457,L$9&gt;='Detalle'!$G457),1,"")</x:f>
      </x:c>
      <x:c r="M938" s="32" t="str">
        <x:f>IF(AND(M$8&lt;='Detalle'!$H457,M$9&gt;='Detalle'!$G457),1,"")</x:f>
      </x:c>
      <x:c r="N938" s="32" t="str">
        <x:f>IF(AND(N$8&lt;='Detalle'!$H457,N$9&gt;='Detalle'!$G457),1,"")</x:f>
      </x:c>
      <x:c r="O938" s="32" t="str">
        <x:f>IF(AND(O$8&lt;='Detalle'!$H457,O$9&gt;='Detalle'!$G457),1,"")</x:f>
      </x:c>
      <x:c r="P938" s="32" t="str">
        <x:f>IF(AND(P$8&lt;='Detalle'!$H457,P$9&gt;='Detalle'!$G457),1,"")</x:f>
      </x:c>
      <x:c r="Q938" s="68"/>
      <x:c r="R938" s="67" t="str">
        <x:f>IF('Detalle'!M457="","",'Detalle'!M457)</x:f>
      </x:c>
      <x:c r="S938" s="67" t="str">
        <x:f>IF('Detalle'!N457="","",'Detalle'!N457)</x:f>
      </x:c>
    </x:row>
    <x:row r="939" ht="16" customHeight="1">
      <x:c r="A939" s="56" t="str">
        <x:v>MIS03.004</x:v>
      </x:c>
      <x:c r="B939" s="57" t="str">
        <x:v>Exigir confirmación de disponibilidad</x:v>
      </x:c>
      <x:c r="C939" s="63" t="str">
        <x:v>R</x:v>
      </x:c>
      <x:c r="D939" s="65" t="str">
        <x:f>IF('Detalle'!L457="","",'Detalle'!L457)</x:f>
      </x:c>
      <x:c r="E939" s="60" t="str"/>
      <x:c r="F939" s="32" t="str">
        <x:f>IF(OR('Detalle'!$J457="",'Detalle'!$K457="",'Detalle'!$L457=""),"",IF(AND(F$8&lt;='Detalle'!$K457,F$9&gt;='Detalle'!$J457),1,""))</x:f>
      </x:c>
      <x:c r="G939" s="32" t="str">
        <x:f>IF(OR('Detalle'!$J457="",'Detalle'!$K457="",'Detalle'!$L457=""),"",IF(AND(G$8&lt;='Detalle'!$K457,G$9&gt;='Detalle'!$J457),1,""))</x:f>
      </x:c>
      <x:c r="H939" s="32" t="str">
        <x:f>IF(OR('Detalle'!$J457="",'Detalle'!$K457="",'Detalle'!$L457=""),"",IF(AND(H$8&lt;='Detalle'!$K457,H$9&gt;='Detalle'!$J457),1,""))</x:f>
      </x:c>
      <x:c r="I939" s="32" t="str">
        <x:f>IF(OR('Detalle'!$J457="",'Detalle'!$K457="",'Detalle'!$L457=""),"",IF(AND(I$8&lt;='Detalle'!$K457,I$9&gt;='Detalle'!$J457),1,""))</x:f>
      </x:c>
      <x:c r="J939" s="32" t="str">
        <x:f>IF(OR('Detalle'!$J457="",'Detalle'!$K457="",'Detalle'!$L457=""),"",IF(AND(J$8&lt;='Detalle'!$K457,J$9&gt;='Detalle'!$J457),1,""))</x:f>
      </x:c>
      <x:c r="K939" s="32" t="str">
        <x:f>IF(OR('Detalle'!$J457="",'Detalle'!$K457="",'Detalle'!$L457=""),"",IF(AND(K$8&lt;='Detalle'!$K457,K$9&gt;='Detalle'!$J457),1,""))</x:f>
      </x:c>
      <x:c r="L939" s="32" t="str">
        <x:f>IF(OR('Detalle'!$J457="",'Detalle'!$K457="",'Detalle'!$L457=""),"",IF(AND(L$8&lt;='Detalle'!$K457,L$9&gt;='Detalle'!$J457),1,""))</x:f>
      </x:c>
      <x:c r="M939" s="32" t="str">
        <x:f>IF(OR('Detalle'!$J457="",'Detalle'!$K457="",'Detalle'!$L457=""),"",IF(AND(M$8&lt;='Detalle'!$K457,M$9&gt;='Detalle'!$J457),1,""))</x:f>
      </x:c>
      <x:c r="N939" s="32" t="str">
        <x:f>IF(OR('Detalle'!$J457="",'Detalle'!$K457="",'Detalle'!$L457=""),"",IF(AND(N$8&lt;='Detalle'!$K457,N$9&gt;='Detalle'!$J457),1,""))</x:f>
      </x:c>
      <x:c r="O939" s="32" t="str">
        <x:f>IF(OR('Detalle'!$J457="",'Detalle'!$K457="",'Detalle'!$L457=""),"",IF(AND(O$8&lt;='Detalle'!$K457,O$9&gt;='Detalle'!$J457),1,""))</x:f>
      </x:c>
      <x:c r="P939" s="32" t="str">
        <x:f>IF(OR('Detalle'!$J457="",'Detalle'!$K457="",'Detalle'!$L457=""),"",IF(AND(P$8&lt;='Detalle'!$K457,P$9&gt;='Detalle'!$J457),1,""))</x:f>
      </x:c>
      <x:c r="Q939" s="68"/>
      <x:c r="R939" s="67" t="str"/>
      <x:c r="S939" s="67" t="str"/>
    </x:row>
    <x:row r="940" ht="16" customHeight="1">
      <x:c r="A940" s="56" t="str">
        <x:v>MIS03.005</x:v>
      </x:c>
      <x:c r="B940" s="57" t="str">
        <x:v>Agregar hasta tres muestras opcionales</x:v>
      </x:c>
      <x:c r="C940" s="62" t="str">
        <x:v>E</x:v>
      </x:c>
      <x:c r="D940" s="64" t="n">
        <x:f>'Detalle'!I458</x:f>
        <x:v>1</x:v>
      </x:c>
      <x:c r="E940" s="60" t="str">
        <x:f>'Detalle'!F458</x:f>
        <x:v>Completado</x:v>
      </x:c>
      <x:c r="F940" s="32" t="str">
        <x:f>IF(AND(F$8&lt;='Detalle'!$H458,F$9&gt;='Detalle'!$G458),1,"")</x:f>
      </x:c>
      <x:c r="G940" s="32" t="str">
        <x:f>IF(AND(G$8&lt;='Detalle'!$H458,G$9&gt;='Detalle'!$G458),1,"")</x:f>
      </x:c>
      <x:c r="H940" s="32" t="str">
        <x:f>IF(AND(H$8&lt;='Detalle'!$H458,H$9&gt;='Detalle'!$G458),1,"")</x:f>
      </x:c>
      <x:c r="I940" s="32" t="n">
        <x:f>IF(AND(I$8&lt;='Detalle'!$H458,I$9&gt;='Detalle'!$G458),1,"")</x:f>
        <x:v>1</x:v>
      </x:c>
      <x:c r="J940" s="32" t="str">
        <x:f>IF(AND(J$8&lt;='Detalle'!$H458,J$9&gt;='Detalle'!$G458),1,"")</x:f>
      </x:c>
      <x:c r="K940" s="32" t="str">
        <x:f>IF(AND(K$8&lt;='Detalle'!$H458,K$9&gt;='Detalle'!$G458),1,"")</x:f>
      </x:c>
      <x:c r="L940" s="32" t="str">
        <x:f>IF(AND(L$8&lt;='Detalle'!$H458,L$9&gt;='Detalle'!$G458),1,"")</x:f>
      </x:c>
      <x:c r="M940" s="32" t="str">
        <x:f>IF(AND(M$8&lt;='Detalle'!$H458,M$9&gt;='Detalle'!$G458),1,"")</x:f>
      </x:c>
      <x:c r="N940" s="32" t="str">
        <x:f>IF(AND(N$8&lt;='Detalle'!$H458,N$9&gt;='Detalle'!$G458),1,"")</x:f>
      </x:c>
      <x:c r="O940" s="32" t="str">
        <x:f>IF(AND(O$8&lt;='Detalle'!$H458,O$9&gt;='Detalle'!$G458),1,"")</x:f>
      </x:c>
      <x:c r="P940" s="32" t="str">
        <x:f>IF(AND(P$8&lt;='Detalle'!$H458,P$9&gt;='Detalle'!$G458),1,"")</x:f>
      </x:c>
      <x:c r="Q940" s="68"/>
      <x:c r="R940" s="67" t="str">
        <x:f>IF('Detalle'!M458="","",'Detalle'!M458)</x:f>
      </x:c>
      <x:c r="S940" s="67" t="str">
        <x:f>IF('Detalle'!N458="","",'Detalle'!N458)</x:f>
      </x:c>
    </x:row>
    <x:row r="941" ht="16" customHeight="1">
      <x:c r="A941" s="56" t="str">
        <x:v>MIS03.005</x:v>
      </x:c>
      <x:c r="B941" s="57" t="str">
        <x:v>Agregar hasta tres muestras opcionales</x:v>
      </x:c>
      <x:c r="C941" s="63" t="str">
        <x:v>R</x:v>
      </x:c>
      <x:c r="D941" s="65" t="str">
        <x:f>IF('Detalle'!L458="","",'Detalle'!L458)</x:f>
      </x:c>
      <x:c r="E941" s="60" t="str"/>
      <x:c r="F941" s="32" t="str">
        <x:f>IF(OR('Detalle'!$J458="",'Detalle'!$K458="",'Detalle'!$L458=""),"",IF(AND(F$8&lt;='Detalle'!$K458,F$9&gt;='Detalle'!$J458),1,""))</x:f>
      </x:c>
      <x:c r="G941" s="32" t="str">
        <x:f>IF(OR('Detalle'!$J458="",'Detalle'!$K458="",'Detalle'!$L458=""),"",IF(AND(G$8&lt;='Detalle'!$K458,G$9&gt;='Detalle'!$J458),1,""))</x:f>
      </x:c>
      <x:c r="H941" s="32" t="str">
        <x:f>IF(OR('Detalle'!$J458="",'Detalle'!$K458="",'Detalle'!$L458=""),"",IF(AND(H$8&lt;='Detalle'!$K458,H$9&gt;='Detalle'!$J458),1,""))</x:f>
      </x:c>
      <x:c r="I941" s="32" t="str">
        <x:f>IF(OR('Detalle'!$J458="",'Detalle'!$K458="",'Detalle'!$L458=""),"",IF(AND(I$8&lt;='Detalle'!$K458,I$9&gt;='Detalle'!$J458),1,""))</x:f>
      </x:c>
      <x:c r="J941" s="32" t="str">
        <x:f>IF(OR('Detalle'!$J458="",'Detalle'!$K458="",'Detalle'!$L458=""),"",IF(AND(J$8&lt;='Detalle'!$K458,J$9&gt;='Detalle'!$J458),1,""))</x:f>
      </x:c>
      <x:c r="K941" s="32" t="str">
        <x:f>IF(OR('Detalle'!$J458="",'Detalle'!$K458="",'Detalle'!$L458=""),"",IF(AND(K$8&lt;='Detalle'!$K458,K$9&gt;='Detalle'!$J458),1,""))</x:f>
      </x:c>
      <x:c r="L941" s="32" t="str">
        <x:f>IF(OR('Detalle'!$J458="",'Detalle'!$K458="",'Detalle'!$L458=""),"",IF(AND(L$8&lt;='Detalle'!$K458,L$9&gt;='Detalle'!$J458),1,""))</x:f>
      </x:c>
      <x:c r="M941" s="32" t="str">
        <x:f>IF(OR('Detalle'!$J458="",'Detalle'!$K458="",'Detalle'!$L458=""),"",IF(AND(M$8&lt;='Detalle'!$K458,M$9&gt;='Detalle'!$J458),1,""))</x:f>
      </x:c>
      <x:c r="N941" s="32" t="str">
        <x:f>IF(OR('Detalle'!$J458="",'Detalle'!$K458="",'Detalle'!$L458=""),"",IF(AND(N$8&lt;='Detalle'!$K458,N$9&gt;='Detalle'!$J458),1,""))</x:f>
      </x:c>
      <x:c r="O941" s="32" t="str">
        <x:f>IF(OR('Detalle'!$J458="",'Detalle'!$K458="",'Detalle'!$L458=""),"",IF(AND(O$8&lt;='Detalle'!$K458,O$9&gt;='Detalle'!$J458),1,""))</x:f>
      </x:c>
      <x:c r="P941" s="32" t="str">
        <x:f>IF(OR('Detalle'!$J458="",'Detalle'!$K458="",'Detalle'!$L458=""),"",IF(AND(P$8&lt;='Detalle'!$K458,P$9&gt;='Detalle'!$J458),1,""))</x:f>
      </x:c>
      <x:c r="Q941" s="68"/>
      <x:c r="R941" s="67" t="str"/>
      <x:c r="S941" s="67" t="str"/>
    </x:row>
    <x:row r="942" ht="16" customHeight="1">
      <x:c r="A942" s="56" t="str">
        <x:v>MIS03.006</x:v>
      </x:c>
      <x:c r="B942" s="57" t="str">
        <x:v>Seleccionar fichas propias publicadas</x:v>
      </x:c>
      <x:c r="C942" s="62" t="str">
        <x:v>E</x:v>
      </x:c>
      <x:c r="D942" s="64" t="n">
        <x:f>'Detalle'!I459</x:f>
        <x:v>1</x:v>
      </x:c>
      <x:c r="E942" s="60" t="str">
        <x:f>'Detalle'!F459</x:f>
        <x:v>Completado</x:v>
      </x:c>
      <x:c r="F942" s="32" t="str">
        <x:f>IF(AND(F$8&lt;='Detalle'!$H459,F$9&gt;='Detalle'!$G459),1,"")</x:f>
      </x:c>
      <x:c r="G942" s="32" t="str">
        <x:f>IF(AND(G$8&lt;='Detalle'!$H459,G$9&gt;='Detalle'!$G459),1,"")</x:f>
      </x:c>
      <x:c r="H942" s="32" t="str">
        <x:f>IF(AND(H$8&lt;='Detalle'!$H459,H$9&gt;='Detalle'!$G459),1,"")</x:f>
      </x:c>
      <x:c r="I942" s="32" t="n">
        <x:f>IF(AND(I$8&lt;='Detalle'!$H459,I$9&gt;='Detalle'!$G459),1,"")</x:f>
        <x:v>1</x:v>
      </x:c>
      <x:c r="J942" s="32" t="str">
        <x:f>IF(AND(J$8&lt;='Detalle'!$H459,J$9&gt;='Detalle'!$G459),1,"")</x:f>
      </x:c>
      <x:c r="K942" s="32" t="str">
        <x:f>IF(AND(K$8&lt;='Detalle'!$H459,K$9&gt;='Detalle'!$G459),1,"")</x:f>
      </x:c>
      <x:c r="L942" s="32" t="str">
        <x:f>IF(AND(L$8&lt;='Detalle'!$H459,L$9&gt;='Detalle'!$G459),1,"")</x:f>
      </x:c>
      <x:c r="M942" s="32" t="str">
        <x:f>IF(AND(M$8&lt;='Detalle'!$H459,M$9&gt;='Detalle'!$G459),1,"")</x:f>
      </x:c>
      <x:c r="N942" s="32" t="str">
        <x:f>IF(AND(N$8&lt;='Detalle'!$H459,N$9&gt;='Detalle'!$G459),1,"")</x:f>
      </x:c>
      <x:c r="O942" s="32" t="str">
        <x:f>IF(AND(O$8&lt;='Detalle'!$H459,O$9&gt;='Detalle'!$G459),1,"")</x:f>
      </x:c>
      <x:c r="P942" s="32" t="str">
        <x:f>IF(AND(P$8&lt;='Detalle'!$H459,P$9&gt;='Detalle'!$G459),1,"")</x:f>
      </x:c>
      <x:c r="Q942" s="68"/>
      <x:c r="R942" s="67" t="str">
        <x:f>IF('Detalle'!M459="","",'Detalle'!M459)</x:f>
      </x:c>
      <x:c r="S942" s="67" t="str">
        <x:f>IF('Detalle'!N459="","",'Detalle'!N459)</x:f>
      </x:c>
    </x:row>
    <x:row r="943" ht="16" customHeight="1">
      <x:c r="A943" s="56" t="str">
        <x:v>MIS03.006</x:v>
      </x:c>
      <x:c r="B943" s="57" t="str">
        <x:v>Seleccionar fichas propias publicadas</x:v>
      </x:c>
      <x:c r="C943" s="63" t="str">
        <x:v>R</x:v>
      </x:c>
      <x:c r="D943" s="65" t="str">
        <x:f>IF('Detalle'!L459="","",'Detalle'!L459)</x:f>
      </x:c>
      <x:c r="E943" s="60" t="str"/>
      <x:c r="F943" s="32" t="str">
        <x:f>IF(OR('Detalle'!$J459="",'Detalle'!$K459="",'Detalle'!$L459=""),"",IF(AND(F$8&lt;='Detalle'!$K459,F$9&gt;='Detalle'!$J459),1,""))</x:f>
      </x:c>
      <x:c r="G943" s="32" t="str">
        <x:f>IF(OR('Detalle'!$J459="",'Detalle'!$K459="",'Detalle'!$L459=""),"",IF(AND(G$8&lt;='Detalle'!$K459,G$9&gt;='Detalle'!$J459),1,""))</x:f>
      </x:c>
      <x:c r="H943" s="32" t="str">
        <x:f>IF(OR('Detalle'!$J459="",'Detalle'!$K459="",'Detalle'!$L459=""),"",IF(AND(H$8&lt;='Detalle'!$K459,H$9&gt;='Detalle'!$J459),1,""))</x:f>
      </x:c>
      <x:c r="I943" s="32" t="str">
        <x:f>IF(OR('Detalle'!$J459="",'Detalle'!$K459="",'Detalle'!$L459=""),"",IF(AND(I$8&lt;='Detalle'!$K459,I$9&gt;='Detalle'!$J459),1,""))</x:f>
      </x:c>
      <x:c r="J943" s="32" t="str">
        <x:f>IF(OR('Detalle'!$J459="",'Detalle'!$K459="",'Detalle'!$L459=""),"",IF(AND(J$8&lt;='Detalle'!$K459,J$9&gt;='Detalle'!$J459),1,""))</x:f>
      </x:c>
      <x:c r="K943" s="32" t="str">
        <x:f>IF(OR('Detalle'!$J459="",'Detalle'!$K459="",'Detalle'!$L459=""),"",IF(AND(K$8&lt;='Detalle'!$K459,K$9&gt;='Detalle'!$J459),1,""))</x:f>
      </x:c>
      <x:c r="L943" s="32" t="str">
        <x:f>IF(OR('Detalle'!$J459="",'Detalle'!$K459="",'Detalle'!$L459=""),"",IF(AND(L$8&lt;='Detalle'!$K459,L$9&gt;='Detalle'!$J459),1,""))</x:f>
      </x:c>
      <x:c r="M943" s="32" t="str">
        <x:f>IF(OR('Detalle'!$J459="",'Detalle'!$K459="",'Detalle'!$L459=""),"",IF(AND(M$8&lt;='Detalle'!$K459,M$9&gt;='Detalle'!$J459),1,""))</x:f>
      </x:c>
      <x:c r="N943" s="32" t="str">
        <x:f>IF(OR('Detalle'!$J459="",'Detalle'!$K459="",'Detalle'!$L459=""),"",IF(AND(N$8&lt;='Detalle'!$K459,N$9&gt;='Detalle'!$J459),1,""))</x:f>
      </x:c>
      <x:c r="O943" s="32" t="str">
        <x:f>IF(OR('Detalle'!$J459="",'Detalle'!$K459="",'Detalle'!$L459=""),"",IF(AND(O$8&lt;='Detalle'!$K459,O$9&gt;='Detalle'!$J459),1,""))</x:f>
      </x:c>
      <x:c r="P943" s="32" t="str">
        <x:f>IF(OR('Detalle'!$J459="",'Detalle'!$K459="",'Detalle'!$L459=""),"",IF(AND(P$8&lt;='Detalle'!$K459,P$9&gt;='Detalle'!$J459),1,""))</x:f>
      </x:c>
      <x:c r="Q943" s="68"/>
      <x:c r="R943" s="67" t="str"/>
      <x:c r="S943" s="67" t="str"/>
    </x:row>
    <x:row r="944" ht="16" customHeight="1">
      <x:c r="A944" s="56" t="str">
        <x:v>MIS03.007</x:v>
      </x:c>
      <x:c r="B944" s="57" t="str">
        <x:v>Agregar enlaces HTTPS con título</x:v>
      </x:c>
      <x:c r="C944" s="62" t="str">
        <x:v>E</x:v>
      </x:c>
      <x:c r="D944" s="64" t="n">
        <x:f>'Detalle'!I460</x:f>
        <x:v>1</x:v>
      </x:c>
      <x:c r="E944" s="60" t="str">
        <x:f>'Detalle'!F460</x:f>
        <x:v>Completado</x:v>
      </x:c>
      <x:c r="F944" s="32" t="str">
        <x:f>IF(AND(F$8&lt;='Detalle'!$H460,F$9&gt;='Detalle'!$G460),1,"")</x:f>
      </x:c>
      <x:c r="G944" s="32" t="str">
        <x:f>IF(AND(G$8&lt;='Detalle'!$H460,G$9&gt;='Detalle'!$G460),1,"")</x:f>
      </x:c>
      <x:c r="H944" s="32" t="str">
        <x:f>IF(AND(H$8&lt;='Detalle'!$H460,H$9&gt;='Detalle'!$G460),1,"")</x:f>
      </x:c>
      <x:c r="I944" s="32" t="n">
        <x:f>IF(AND(I$8&lt;='Detalle'!$H460,I$9&gt;='Detalle'!$G460),1,"")</x:f>
        <x:v>1</x:v>
      </x:c>
      <x:c r="J944" s="32" t="str">
        <x:f>IF(AND(J$8&lt;='Detalle'!$H460,J$9&gt;='Detalle'!$G460),1,"")</x:f>
      </x:c>
      <x:c r="K944" s="32" t="str">
        <x:f>IF(AND(K$8&lt;='Detalle'!$H460,K$9&gt;='Detalle'!$G460),1,"")</x:f>
      </x:c>
      <x:c r="L944" s="32" t="str">
        <x:f>IF(AND(L$8&lt;='Detalle'!$H460,L$9&gt;='Detalle'!$G460),1,"")</x:f>
      </x:c>
      <x:c r="M944" s="32" t="str">
        <x:f>IF(AND(M$8&lt;='Detalle'!$H460,M$9&gt;='Detalle'!$G460),1,"")</x:f>
      </x:c>
      <x:c r="N944" s="32" t="str">
        <x:f>IF(AND(N$8&lt;='Detalle'!$H460,N$9&gt;='Detalle'!$G460),1,"")</x:f>
      </x:c>
      <x:c r="O944" s="32" t="str">
        <x:f>IF(AND(O$8&lt;='Detalle'!$H460,O$9&gt;='Detalle'!$G460),1,"")</x:f>
      </x:c>
      <x:c r="P944" s="32" t="str">
        <x:f>IF(AND(P$8&lt;='Detalle'!$H460,P$9&gt;='Detalle'!$G460),1,"")</x:f>
      </x:c>
      <x:c r="Q944" s="68"/>
      <x:c r="R944" s="67" t="str">
        <x:f>IF('Detalle'!M460="","",'Detalle'!M460)</x:f>
      </x:c>
      <x:c r="S944" s="67" t="str">
        <x:f>IF('Detalle'!N460="","",'Detalle'!N460)</x:f>
      </x:c>
    </x:row>
    <x:row r="945" ht="16" customHeight="1">
      <x:c r="A945" s="56" t="str">
        <x:v>MIS03.007</x:v>
      </x:c>
      <x:c r="B945" s="57" t="str">
        <x:v>Agregar enlaces HTTPS con título</x:v>
      </x:c>
      <x:c r="C945" s="63" t="str">
        <x:v>R</x:v>
      </x:c>
      <x:c r="D945" s="65" t="str">
        <x:f>IF('Detalle'!L460="","",'Detalle'!L460)</x:f>
      </x:c>
      <x:c r="E945" s="60" t="str"/>
      <x:c r="F945" s="32" t="str">
        <x:f>IF(OR('Detalle'!$J460="",'Detalle'!$K460="",'Detalle'!$L460=""),"",IF(AND(F$8&lt;='Detalle'!$K460,F$9&gt;='Detalle'!$J460),1,""))</x:f>
      </x:c>
      <x:c r="G945" s="32" t="str">
        <x:f>IF(OR('Detalle'!$J460="",'Detalle'!$K460="",'Detalle'!$L460=""),"",IF(AND(G$8&lt;='Detalle'!$K460,G$9&gt;='Detalle'!$J460),1,""))</x:f>
      </x:c>
      <x:c r="H945" s="32" t="str">
        <x:f>IF(OR('Detalle'!$J460="",'Detalle'!$K460="",'Detalle'!$L460=""),"",IF(AND(H$8&lt;='Detalle'!$K460,H$9&gt;='Detalle'!$J460),1,""))</x:f>
      </x:c>
      <x:c r="I945" s="32" t="str">
        <x:f>IF(OR('Detalle'!$J460="",'Detalle'!$K460="",'Detalle'!$L460=""),"",IF(AND(I$8&lt;='Detalle'!$K460,I$9&gt;='Detalle'!$J460),1,""))</x:f>
      </x:c>
      <x:c r="J945" s="32" t="str">
        <x:f>IF(OR('Detalle'!$J460="",'Detalle'!$K460="",'Detalle'!$L460=""),"",IF(AND(J$8&lt;='Detalle'!$K460,J$9&gt;='Detalle'!$J460),1,""))</x:f>
      </x:c>
      <x:c r="K945" s="32" t="str">
        <x:f>IF(OR('Detalle'!$J460="",'Detalle'!$K460="",'Detalle'!$L460=""),"",IF(AND(K$8&lt;='Detalle'!$K460,K$9&gt;='Detalle'!$J460),1,""))</x:f>
      </x:c>
      <x:c r="L945" s="32" t="str">
        <x:f>IF(OR('Detalle'!$J460="",'Detalle'!$K460="",'Detalle'!$L460=""),"",IF(AND(L$8&lt;='Detalle'!$K460,L$9&gt;='Detalle'!$J460),1,""))</x:f>
      </x:c>
      <x:c r="M945" s="32" t="str">
        <x:f>IF(OR('Detalle'!$J460="",'Detalle'!$K460="",'Detalle'!$L460=""),"",IF(AND(M$8&lt;='Detalle'!$K460,M$9&gt;='Detalle'!$J460),1,""))</x:f>
      </x:c>
      <x:c r="N945" s="32" t="str">
        <x:f>IF(OR('Detalle'!$J460="",'Detalle'!$K460="",'Detalle'!$L460=""),"",IF(AND(N$8&lt;='Detalle'!$K460,N$9&gt;='Detalle'!$J460),1,""))</x:f>
      </x:c>
      <x:c r="O945" s="32" t="str">
        <x:f>IF(OR('Detalle'!$J460="",'Detalle'!$K460="",'Detalle'!$L460=""),"",IF(AND(O$8&lt;='Detalle'!$K460,O$9&gt;='Detalle'!$J460),1,""))</x:f>
      </x:c>
      <x:c r="P945" s="32" t="str">
        <x:f>IF(OR('Detalle'!$J460="",'Detalle'!$K460="",'Detalle'!$L460=""),"",IF(AND(P$8&lt;='Detalle'!$K460,P$9&gt;='Detalle'!$J460),1,""))</x:f>
      </x:c>
      <x:c r="Q945" s="68"/>
      <x:c r="R945" s="67" t="str"/>
      <x:c r="S945" s="67" t="str"/>
    </x:row>
    <x:row r="946" ht="16" customHeight="1">
      <x:c r="A946" s="56" t="str">
        <x:v>MIS03.008</x:v>
      </x:c>
      <x:c r="B946" s="57" t="str">
        <x:v>Mostrar muestra no disponible</x:v>
      </x:c>
      <x:c r="C946" s="62" t="str">
        <x:v>E</x:v>
      </x:c>
      <x:c r="D946" s="64" t="n">
        <x:f>'Detalle'!I461</x:f>
        <x:v>1</x:v>
      </x:c>
      <x:c r="E946" s="60" t="str">
        <x:f>'Detalle'!F461</x:f>
        <x:v>Completado</x:v>
      </x:c>
      <x:c r="F946" s="32" t="str">
        <x:f>IF(AND(F$8&lt;='Detalle'!$H461,F$9&gt;='Detalle'!$G461),1,"")</x:f>
      </x:c>
      <x:c r="G946" s="32" t="str">
        <x:f>IF(AND(G$8&lt;='Detalle'!$H461,G$9&gt;='Detalle'!$G461),1,"")</x:f>
      </x:c>
      <x:c r="H946" s="32" t="str">
        <x:f>IF(AND(H$8&lt;='Detalle'!$H461,H$9&gt;='Detalle'!$G461),1,"")</x:f>
      </x:c>
      <x:c r="I946" s="32" t="n">
        <x:f>IF(AND(I$8&lt;='Detalle'!$H461,I$9&gt;='Detalle'!$G461),1,"")</x:f>
        <x:v>1</x:v>
      </x:c>
      <x:c r="J946" s="32" t="str">
        <x:f>IF(AND(J$8&lt;='Detalle'!$H461,J$9&gt;='Detalle'!$G461),1,"")</x:f>
      </x:c>
      <x:c r="K946" s="32" t="str">
        <x:f>IF(AND(K$8&lt;='Detalle'!$H461,K$9&gt;='Detalle'!$G461),1,"")</x:f>
      </x:c>
      <x:c r="L946" s="32" t="str">
        <x:f>IF(AND(L$8&lt;='Detalle'!$H461,L$9&gt;='Detalle'!$G461),1,"")</x:f>
      </x:c>
      <x:c r="M946" s="32" t="str">
        <x:f>IF(AND(M$8&lt;='Detalle'!$H461,M$9&gt;='Detalle'!$G461),1,"")</x:f>
      </x:c>
      <x:c r="N946" s="32" t="str">
        <x:f>IF(AND(N$8&lt;='Detalle'!$H461,N$9&gt;='Detalle'!$G461),1,"")</x:f>
      </x:c>
      <x:c r="O946" s="32" t="str">
        <x:f>IF(AND(O$8&lt;='Detalle'!$H461,O$9&gt;='Detalle'!$G461),1,"")</x:f>
      </x:c>
      <x:c r="P946" s="32" t="str">
        <x:f>IF(AND(P$8&lt;='Detalle'!$H461,P$9&gt;='Detalle'!$G461),1,"")</x:f>
      </x:c>
      <x:c r="Q946" s="68"/>
      <x:c r="R946" s="67" t="str">
        <x:f>IF('Detalle'!M461="","",'Detalle'!M461)</x:f>
      </x:c>
      <x:c r="S946" s="67" t="str">
        <x:f>IF('Detalle'!N461="","",'Detalle'!N461)</x:f>
      </x:c>
    </x:row>
    <x:row r="947" ht="16" customHeight="1">
      <x:c r="A947" s="56" t="str">
        <x:v>MIS03.008</x:v>
      </x:c>
      <x:c r="B947" s="57" t="str">
        <x:v>Mostrar muestra no disponible</x:v>
      </x:c>
      <x:c r="C947" s="63" t="str">
        <x:v>R</x:v>
      </x:c>
      <x:c r="D947" s="65" t="str">
        <x:f>IF('Detalle'!L461="","",'Detalle'!L461)</x:f>
      </x:c>
      <x:c r="E947" s="60" t="str"/>
      <x:c r="F947" s="32" t="str">
        <x:f>IF(OR('Detalle'!$J461="",'Detalle'!$K461="",'Detalle'!$L461=""),"",IF(AND(F$8&lt;='Detalle'!$K461,F$9&gt;='Detalle'!$J461),1,""))</x:f>
      </x:c>
      <x:c r="G947" s="32" t="str">
        <x:f>IF(OR('Detalle'!$J461="",'Detalle'!$K461="",'Detalle'!$L461=""),"",IF(AND(G$8&lt;='Detalle'!$K461,G$9&gt;='Detalle'!$J461),1,""))</x:f>
      </x:c>
      <x:c r="H947" s="32" t="str">
        <x:f>IF(OR('Detalle'!$J461="",'Detalle'!$K461="",'Detalle'!$L461=""),"",IF(AND(H$8&lt;='Detalle'!$K461,H$9&gt;='Detalle'!$J461),1,""))</x:f>
      </x:c>
      <x:c r="I947" s="32" t="str">
        <x:f>IF(OR('Detalle'!$J461="",'Detalle'!$K461="",'Detalle'!$L461=""),"",IF(AND(I$8&lt;='Detalle'!$K461,I$9&gt;='Detalle'!$J461),1,""))</x:f>
      </x:c>
      <x:c r="J947" s="32" t="str">
        <x:f>IF(OR('Detalle'!$J461="",'Detalle'!$K461="",'Detalle'!$L461=""),"",IF(AND(J$8&lt;='Detalle'!$K461,J$9&gt;='Detalle'!$J461),1,""))</x:f>
      </x:c>
      <x:c r="K947" s="32" t="str">
        <x:f>IF(OR('Detalle'!$J461="",'Detalle'!$K461="",'Detalle'!$L461=""),"",IF(AND(K$8&lt;='Detalle'!$K461,K$9&gt;='Detalle'!$J461),1,""))</x:f>
      </x:c>
      <x:c r="L947" s="32" t="str">
        <x:f>IF(OR('Detalle'!$J461="",'Detalle'!$K461="",'Detalle'!$L461=""),"",IF(AND(L$8&lt;='Detalle'!$K461,L$9&gt;='Detalle'!$J461),1,""))</x:f>
      </x:c>
      <x:c r="M947" s="32" t="str">
        <x:f>IF(OR('Detalle'!$J461="",'Detalle'!$K461="",'Detalle'!$L461=""),"",IF(AND(M$8&lt;='Detalle'!$K461,M$9&gt;='Detalle'!$J461),1,""))</x:f>
      </x:c>
      <x:c r="N947" s="32" t="str">
        <x:f>IF(OR('Detalle'!$J461="",'Detalle'!$K461="",'Detalle'!$L461=""),"",IF(AND(N$8&lt;='Detalle'!$K461,N$9&gt;='Detalle'!$J461),1,""))</x:f>
      </x:c>
      <x:c r="O947" s="32" t="str">
        <x:f>IF(OR('Detalle'!$J461="",'Detalle'!$K461="",'Detalle'!$L461=""),"",IF(AND(O$8&lt;='Detalle'!$K461,O$9&gt;='Detalle'!$J461),1,""))</x:f>
      </x:c>
      <x:c r="P947" s="32" t="str">
        <x:f>IF(OR('Detalle'!$J461="",'Detalle'!$K461="",'Detalle'!$L461=""),"",IF(AND(P$8&lt;='Detalle'!$K461,P$9&gt;='Detalle'!$J461),1,""))</x:f>
      </x:c>
      <x:c r="Q947" s="68"/>
      <x:c r="R947" s="67" t="str"/>
      <x:c r="S947" s="67" t="str"/>
    </x:row>
    <x:row r="948" ht="16" customHeight="1">
      <x:c r="A948" s="56" t="str">
        <x:v>MIS03.009</x:v>
      </x:c>
      <x:c r="B948" s="57" t="str">
        <x:v>Mostrar revisión antes de enviar</x:v>
      </x:c>
      <x:c r="C948" s="62" t="str">
        <x:v>E</x:v>
      </x:c>
      <x:c r="D948" s="64" t="n">
        <x:f>'Detalle'!I462</x:f>
        <x:v>1</x:v>
      </x:c>
      <x:c r="E948" s="60" t="str">
        <x:f>'Detalle'!F462</x:f>
        <x:v>Completado</x:v>
      </x:c>
      <x:c r="F948" s="32" t="str">
        <x:f>IF(AND(F$8&lt;='Detalle'!$H462,F$9&gt;='Detalle'!$G462),1,"")</x:f>
      </x:c>
      <x:c r="G948" s="32" t="str">
        <x:f>IF(AND(G$8&lt;='Detalle'!$H462,G$9&gt;='Detalle'!$G462),1,"")</x:f>
      </x:c>
      <x:c r="H948" s="32" t="str">
        <x:f>IF(AND(H$8&lt;='Detalle'!$H462,H$9&gt;='Detalle'!$G462),1,"")</x:f>
      </x:c>
      <x:c r="I948" s="32" t="n">
        <x:f>IF(AND(I$8&lt;='Detalle'!$H462,I$9&gt;='Detalle'!$G462),1,"")</x:f>
        <x:v>1</x:v>
      </x:c>
      <x:c r="J948" s="32" t="str">
        <x:f>IF(AND(J$8&lt;='Detalle'!$H462,J$9&gt;='Detalle'!$G462),1,"")</x:f>
      </x:c>
      <x:c r="K948" s="32" t="str">
        <x:f>IF(AND(K$8&lt;='Detalle'!$H462,K$9&gt;='Detalle'!$G462),1,"")</x:f>
      </x:c>
      <x:c r="L948" s="32" t="str">
        <x:f>IF(AND(L$8&lt;='Detalle'!$H462,L$9&gt;='Detalle'!$G462),1,"")</x:f>
      </x:c>
      <x:c r="M948" s="32" t="str">
        <x:f>IF(AND(M$8&lt;='Detalle'!$H462,M$9&gt;='Detalle'!$G462),1,"")</x:f>
      </x:c>
      <x:c r="N948" s="32" t="str">
        <x:f>IF(AND(N$8&lt;='Detalle'!$H462,N$9&gt;='Detalle'!$G462),1,"")</x:f>
      </x:c>
      <x:c r="O948" s="32" t="str">
        <x:f>IF(AND(O$8&lt;='Detalle'!$H462,O$9&gt;='Detalle'!$G462),1,"")</x:f>
      </x:c>
      <x:c r="P948" s="32" t="str">
        <x:f>IF(AND(P$8&lt;='Detalle'!$H462,P$9&gt;='Detalle'!$G462),1,"")</x:f>
      </x:c>
      <x:c r="Q948" s="68"/>
      <x:c r="R948" s="67" t="str">
        <x:f>IF('Detalle'!M462="","",'Detalle'!M462)</x:f>
      </x:c>
      <x:c r="S948" s="67" t="str">
        <x:f>IF('Detalle'!N462="","",'Detalle'!N462)</x:f>
      </x:c>
    </x:row>
    <x:row r="949" ht="16" customHeight="1">
      <x:c r="A949" s="56" t="str">
        <x:v>MIS03.009</x:v>
      </x:c>
      <x:c r="B949" s="57" t="str">
        <x:v>Mostrar revisión antes de enviar</x:v>
      </x:c>
      <x:c r="C949" s="63" t="str">
        <x:v>R</x:v>
      </x:c>
      <x:c r="D949" s="65" t="str">
        <x:f>IF('Detalle'!L462="","",'Detalle'!L462)</x:f>
      </x:c>
      <x:c r="E949" s="60" t="str"/>
      <x:c r="F949" s="32" t="str">
        <x:f>IF(OR('Detalle'!$J462="",'Detalle'!$K462="",'Detalle'!$L462=""),"",IF(AND(F$8&lt;='Detalle'!$K462,F$9&gt;='Detalle'!$J462),1,""))</x:f>
      </x:c>
      <x:c r="G949" s="32" t="str">
        <x:f>IF(OR('Detalle'!$J462="",'Detalle'!$K462="",'Detalle'!$L462=""),"",IF(AND(G$8&lt;='Detalle'!$K462,G$9&gt;='Detalle'!$J462),1,""))</x:f>
      </x:c>
      <x:c r="H949" s="32" t="str">
        <x:f>IF(OR('Detalle'!$J462="",'Detalle'!$K462="",'Detalle'!$L462=""),"",IF(AND(H$8&lt;='Detalle'!$K462,H$9&gt;='Detalle'!$J462),1,""))</x:f>
      </x:c>
      <x:c r="I949" s="32" t="str">
        <x:f>IF(OR('Detalle'!$J462="",'Detalle'!$K462="",'Detalle'!$L462=""),"",IF(AND(I$8&lt;='Detalle'!$K462,I$9&gt;='Detalle'!$J462),1,""))</x:f>
      </x:c>
      <x:c r="J949" s="32" t="str">
        <x:f>IF(OR('Detalle'!$J462="",'Detalle'!$K462="",'Detalle'!$L462=""),"",IF(AND(J$8&lt;='Detalle'!$K462,J$9&gt;='Detalle'!$J462),1,""))</x:f>
      </x:c>
      <x:c r="K949" s="32" t="str">
        <x:f>IF(OR('Detalle'!$J462="",'Detalle'!$K462="",'Detalle'!$L462=""),"",IF(AND(K$8&lt;='Detalle'!$K462,K$9&gt;='Detalle'!$J462),1,""))</x:f>
      </x:c>
      <x:c r="L949" s="32" t="str">
        <x:f>IF(OR('Detalle'!$J462="",'Detalle'!$K462="",'Detalle'!$L462=""),"",IF(AND(L$8&lt;='Detalle'!$K462,L$9&gt;='Detalle'!$J462),1,""))</x:f>
      </x:c>
      <x:c r="M949" s="32" t="str">
        <x:f>IF(OR('Detalle'!$J462="",'Detalle'!$K462="",'Detalle'!$L462=""),"",IF(AND(M$8&lt;='Detalle'!$K462,M$9&gt;='Detalle'!$J462),1,""))</x:f>
      </x:c>
      <x:c r="N949" s="32" t="str">
        <x:f>IF(OR('Detalle'!$J462="",'Detalle'!$K462="",'Detalle'!$L462=""),"",IF(AND(N$8&lt;='Detalle'!$K462,N$9&gt;='Detalle'!$J462),1,""))</x:f>
      </x:c>
      <x:c r="O949" s="32" t="str">
        <x:f>IF(OR('Detalle'!$J462="",'Detalle'!$K462="",'Detalle'!$L462=""),"",IF(AND(O$8&lt;='Detalle'!$K462,O$9&gt;='Detalle'!$J462),1,""))</x:f>
      </x:c>
      <x:c r="P949" s="32" t="str">
        <x:f>IF(OR('Detalle'!$J462="",'Detalle'!$K462="",'Detalle'!$L462=""),"",IF(AND(P$8&lt;='Detalle'!$K462,P$9&gt;='Detalle'!$J462),1,""))</x:f>
      </x:c>
      <x:c r="Q949" s="68"/>
      <x:c r="R949" s="67" t="str"/>
      <x:c r="S949" s="67" t="str"/>
    </x:row>
    <x:row r="950" ht="16" customHeight="1">
      <x:c r="A950" s="56" t="str">
        <x:v>MIS03.010</x:v>
      </x:c>
      <x:c r="B950" s="57" t="str">
        <x:v>Enviar con ID estable de candidatura</x:v>
      </x:c>
      <x:c r="C950" s="62" t="str">
        <x:v>E</x:v>
      </x:c>
      <x:c r="D950" s="64" t="n">
        <x:f>'Detalle'!I463</x:f>
        <x:v>1</x:v>
      </x:c>
      <x:c r="E950" s="60" t="str">
        <x:f>'Detalle'!F463</x:f>
        <x:v>Completado</x:v>
      </x:c>
      <x:c r="F950" s="32" t="str">
        <x:f>IF(AND(F$8&lt;='Detalle'!$H463,F$9&gt;='Detalle'!$G463),1,"")</x:f>
      </x:c>
      <x:c r="G950" s="32" t="str">
        <x:f>IF(AND(G$8&lt;='Detalle'!$H463,G$9&gt;='Detalle'!$G463),1,"")</x:f>
      </x:c>
      <x:c r="H950" s="32" t="str">
        <x:f>IF(AND(H$8&lt;='Detalle'!$H463,H$9&gt;='Detalle'!$G463),1,"")</x:f>
      </x:c>
      <x:c r="I950" s="32" t="n">
        <x:f>IF(AND(I$8&lt;='Detalle'!$H463,I$9&gt;='Detalle'!$G463),1,"")</x:f>
        <x:v>1</x:v>
      </x:c>
      <x:c r="J950" s="32" t="str">
        <x:f>IF(AND(J$8&lt;='Detalle'!$H463,J$9&gt;='Detalle'!$G463),1,"")</x:f>
      </x:c>
      <x:c r="K950" s="32" t="str">
        <x:f>IF(AND(K$8&lt;='Detalle'!$H463,K$9&gt;='Detalle'!$G463),1,"")</x:f>
      </x:c>
      <x:c r="L950" s="32" t="str">
        <x:f>IF(AND(L$8&lt;='Detalle'!$H463,L$9&gt;='Detalle'!$G463),1,"")</x:f>
      </x:c>
      <x:c r="M950" s="32" t="str">
        <x:f>IF(AND(M$8&lt;='Detalle'!$H463,M$9&gt;='Detalle'!$G463),1,"")</x:f>
      </x:c>
      <x:c r="N950" s="32" t="str">
        <x:f>IF(AND(N$8&lt;='Detalle'!$H463,N$9&gt;='Detalle'!$G463),1,"")</x:f>
      </x:c>
      <x:c r="O950" s="32" t="str">
        <x:f>IF(AND(O$8&lt;='Detalle'!$H463,O$9&gt;='Detalle'!$G463),1,"")</x:f>
      </x:c>
      <x:c r="P950" s="32" t="str">
        <x:f>IF(AND(P$8&lt;='Detalle'!$H463,P$9&gt;='Detalle'!$G463),1,"")</x:f>
      </x:c>
      <x:c r="Q950" s="68"/>
      <x:c r="R950" s="67" t="str">
        <x:f>IF('Detalle'!M463="","",'Detalle'!M463)</x:f>
      </x:c>
      <x:c r="S950" s="67" t="str">
        <x:f>IF('Detalle'!N463="","",'Detalle'!N463)</x:f>
      </x:c>
    </x:row>
    <x:row r="951" ht="16" customHeight="1">
      <x:c r="A951" s="56" t="str">
        <x:v>MIS03.010</x:v>
      </x:c>
      <x:c r="B951" s="57" t="str">
        <x:v>Enviar con ID estable de candidatura</x:v>
      </x:c>
      <x:c r="C951" s="63" t="str">
        <x:v>R</x:v>
      </x:c>
      <x:c r="D951" s="65" t="str">
        <x:f>IF('Detalle'!L463="","",'Detalle'!L463)</x:f>
      </x:c>
      <x:c r="E951" s="60" t="str"/>
      <x:c r="F951" s="32" t="str">
        <x:f>IF(OR('Detalle'!$J463="",'Detalle'!$K463="",'Detalle'!$L463=""),"",IF(AND(F$8&lt;='Detalle'!$K463,F$9&gt;='Detalle'!$J463),1,""))</x:f>
      </x:c>
      <x:c r="G951" s="32" t="str">
        <x:f>IF(OR('Detalle'!$J463="",'Detalle'!$K463="",'Detalle'!$L463=""),"",IF(AND(G$8&lt;='Detalle'!$K463,G$9&gt;='Detalle'!$J463),1,""))</x:f>
      </x:c>
      <x:c r="H951" s="32" t="str">
        <x:f>IF(OR('Detalle'!$J463="",'Detalle'!$K463="",'Detalle'!$L463=""),"",IF(AND(H$8&lt;='Detalle'!$K463,H$9&gt;='Detalle'!$J463),1,""))</x:f>
      </x:c>
      <x:c r="I951" s="32" t="str">
        <x:f>IF(OR('Detalle'!$J463="",'Detalle'!$K463="",'Detalle'!$L463=""),"",IF(AND(I$8&lt;='Detalle'!$K463,I$9&gt;='Detalle'!$J463),1,""))</x:f>
      </x:c>
      <x:c r="J951" s="32" t="str">
        <x:f>IF(OR('Detalle'!$J463="",'Detalle'!$K463="",'Detalle'!$L463=""),"",IF(AND(J$8&lt;='Detalle'!$K463,J$9&gt;='Detalle'!$J463),1,""))</x:f>
      </x:c>
      <x:c r="K951" s="32" t="str">
        <x:f>IF(OR('Detalle'!$J463="",'Detalle'!$K463="",'Detalle'!$L463=""),"",IF(AND(K$8&lt;='Detalle'!$K463,K$9&gt;='Detalle'!$J463),1,""))</x:f>
      </x:c>
      <x:c r="L951" s="32" t="str">
        <x:f>IF(OR('Detalle'!$J463="",'Detalle'!$K463="",'Detalle'!$L463=""),"",IF(AND(L$8&lt;='Detalle'!$K463,L$9&gt;='Detalle'!$J463),1,""))</x:f>
      </x:c>
      <x:c r="M951" s="32" t="str">
        <x:f>IF(OR('Detalle'!$J463="",'Detalle'!$K463="",'Detalle'!$L463=""),"",IF(AND(M$8&lt;='Detalle'!$K463,M$9&gt;='Detalle'!$J463),1,""))</x:f>
      </x:c>
      <x:c r="N951" s="32" t="str">
        <x:f>IF(OR('Detalle'!$J463="",'Detalle'!$K463="",'Detalle'!$L463=""),"",IF(AND(N$8&lt;='Detalle'!$K463,N$9&gt;='Detalle'!$J463),1,""))</x:f>
      </x:c>
      <x:c r="O951" s="32" t="str">
        <x:f>IF(OR('Detalle'!$J463="",'Detalle'!$K463="",'Detalle'!$L463=""),"",IF(AND(O$8&lt;='Detalle'!$K463,O$9&gt;='Detalle'!$J463),1,""))</x:f>
      </x:c>
      <x:c r="P951" s="32" t="str">
        <x:f>IF(OR('Detalle'!$J463="",'Detalle'!$K463="",'Detalle'!$L463=""),"",IF(AND(P$8&lt;='Detalle'!$K463,P$9&gt;='Detalle'!$J463),1,""))</x:f>
      </x:c>
      <x:c r="Q951" s="68"/>
      <x:c r="R951" s="67" t="str"/>
      <x:c r="S951" s="67" t="str"/>
    </x:row>
    <x:row r="952" ht="16" customHeight="1">
      <x:c r="A952" s="56" t="str">
        <x:v>MIS03.011</x:v>
      </x:c>
      <x:c r="B952" s="57" t="str">
        <x:v>Detectar conflicto de payload</x:v>
      </x:c>
      <x:c r="C952" s="62" t="str">
        <x:v>E</x:v>
      </x:c>
      <x:c r="D952" s="64" t="n">
        <x:f>'Detalle'!I464</x:f>
        <x:v>1</x:v>
      </x:c>
      <x:c r="E952" s="60" t="str">
        <x:f>'Detalle'!F464</x:f>
        <x:v>Completado</x:v>
      </x:c>
      <x:c r="F952" s="32" t="str">
        <x:f>IF(AND(F$8&lt;='Detalle'!$H464,F$9&gt;='Detalle'!$G464),1,"")</x:f>
      </x:c>
      <x:c r="G952" s="32" t="str">
        <x:f>IF(AND(G$8&lt;='Detalle'!$H464,G$9&gt;='Detalle'!$G464),1,"")</x:f>
      </x:c>
      <x:c r="H952" s="32" t="str">
        <x:f>IF(AND(H$8&lt;='Detalle'!$H464,H$9&gt;='Detalle'!$G464),1,"")</x:f>
      </x:c>
      <x:c r="I952" s="32" t="n">
        <x:f>IF(AND(I$8&lt;='Detalle'!$H464,I$9&gt;='Detalle'!$G464),1,"")</x:f>
        <x:v>1</x:v>
      </x:c>
      <x:c r="J952" s="32" t="str">
        <x:f>IF(AND(J$8&lt;='Detalle'!$H464,J$9&gt;='Detalle'!$G464),1,"")</x:f>
      </x:c>
      <x:c r="K952" s="32" t="str">
        <x:f>IF(AND(K$8&lt;='Detalle'!$H464,K$9&gt;='Detalle'!$G464),1,"")</x:f>
      </x:c>
      <x:c r="L952" s="32" t="str">
        <x:f>IF(AND(L$8&lt;='Detalle'!$H464,L$9&gt;='Detalle'!$G464),1,"")</x:f>
      </x:c>
      <x:c r="M952" s="32" t="str">
        <x:f>IF(AND(M$8&lt;='Detalle'!$H464,M$9&gt;='Detalle'!$G464),1,"")</x:f>
      </x:c>
      <x:c r="N952" s="32" t="str">
        <x:f>IF(AND(N$8&lt;='Detalle'!$H464,N$9&gt;='Detalle'!$G464),1,"")</x:f>
      </x:c>
      <x:c r="O952" s="32" t="str">
        <x:f>IF(AND(O$8&lt;='Detalle'!$H464,O$9&gt;='Detalle'!$G464),1,"")</x:f>
      </x:c>
      <x:c r="P952" s="32" t="str">
        <x:f>IF(AND(P$8&lt;='Detalle'!$H464,P$9&gt;='Detalle'!$G464),1,"")</x:f>
      </x:c>
      <x:c r="Q952" s="68"/>
      <x:c r="R952" s="67" t="str">
        <x:f>IF('Detalle'!M464="","",'Detalle'!M464)</x:f>
      </x:c>
      <x:c r="S952" s="67" t="str">
        <x:f>IF('Detalle'!N464="","",'Detalle'!N464)</x:f>
      </x:c>
    </x:row>
    <x:row r="953" ht="16" customHeight="1">
      <x:c r="A953" s="56" t="str">
        <x:v>MIS03.011</x:v>
      </x:c>
      <x:c r="B953" s="57" t="str">
        <x:v>Detectar conflicto de payload</x:v>
      </x:c>
      <x:c r="C953" s="63" t="str">
        <x:v>R</x:v>
      </x:c>
      <x:c r="D953" s="65" t="str">
        <x:f>IF('Detalle'!L464="","",'Detalle'!L464)</x:f>
      </x:c>
      <x:c r="E953" s="60" t="str"/>
      <x:c r="F953" s="32" t="str">
        <x:f>IF(OR('Detalle'!$J464="",'Detalle'!$K464="",'Detalle'!$L464=""),"",IF(AND(F$8&lt;='Detalle'!$K464,F$9&gt;='Detalle'!$J464),1,""))</x:f>
      </x:c>
      <x:c r="G953" s="32" t="str">
        <x:f>IF(OR('Detalle'!$J464="",'Detalle'!$K464="",'Detalle'!$L464=""),"",IF(AND(G$8&lt;='Detalle'!$K464,G$9&gt;='Detalle'!$J464),1,""))</x:f>
      </x:c>
      <x:c r="H953" s="32" t="str">
        <x:f>IF(OR('Detalle'!$J464="",'Detalle'!$K464="",'Detalle'!$L464=""),"",IF(AND(H$8&lt;='Detalle'!$K464,H$9&gt;='Detalle'!$J464),1,""))</x:f>
      </x:c>
      <x:c r="I953" s="32" t="str">
        <x:f>IF(OR('Detalle'!$J464="",'Detalle'!$K464="",'Detalle'!$L464=""),"",IF(AND(I$8&lt;='Detalle'!$K464,I$9&gt;='Detalle'!$J464),1,""))</x:f>
      </x:c>
      <x:c r="J953" s="32" t="str">
        <x:f>IF(OR('Detalle'!$J464="",'Detalle'!$K464="",'Detalle'!$L464=""),"",IF(AND(J$8&lt;='Detalle'!$K464,J$9&gt;='Detalle'!$J464),1,""))</x:f>
      </x:c>
      <x:c r="K953" s="32" t="str">
        <x:f>IF(OR('Detalle'!$J464="",'Detalle'!$K464="",'Detalle'!$L464=""),"",IF(AND(K$8&lt;='Detalle'!$K464,K$9&gt;='Detalle'!$J464),1,""))</x:f>
      </x:c>
      <x:c r="L953" s="32" t="str">
        <x:f>IF(OR('Detalle'!$J464="",'Detalle'!$K464="",'Detalle'!$L464=""),"",IF(AND(L$8&lt;='Detalle'!$K464,L$9&gt;='Detalle'!$J464),1,""))</x:f>
      </x:c>
      <x:c r="M953" s="32" t="str">
        <x:f>IF(OR('Detalle'!$J464="",'Detalle'!$K464="",'Detalle'!$L464=""),"",IF(AND(M$8&lt;='Detalle'!$K464,M$9&gt;='Detalle'!$J464),1,""))</x:f>
      </x:c>
      <x:c r="N953" s="32" t="str">
        <x:f>IF(OR('Detalle'!$J464="",'Detalle'!$K464="",'Detalle'!$L464=""),"",IF(AND(N$8&lt;='Detalle'!$K464,N$9&gt;='Detalle'!$J464),1,""))</x:f>
      </x:c>
      <x:c r="O953" s="32" t="str">
        <x:f>IF(OR('Detalle'!$J464="",'Detalle'!$K464="",'Detalle'!$L464=""),"",IF(AND(O$8&lt;='Detalle'!$K464,O$9&gt;='Detalle'!$J464),1,""))</x:f>
      </x:c>
      <x:c r="P953" s="32" t="str">
        <x:f>IF(OR('Detalle'!$J464="",'Detalle'!$K464="",'Detalle'!$L464=""),"",IF(AND(P$8&lt;='Detalle'!$K464,P$9&gt;='Detalle'!$J464),1,""))</x:f>
      </x:c>
      <x:c r="Q953" s="68"/>
      <x:c r="R953" s="67" t="str"/>
      <x:c r="S953" s="67" t="str"/>
    </x:row>
    <x:row r="954" ht="16" customHeight="1">
      <x:c r="A954" s="56" t="str">
        <x:v>MIS03.012</x:v>
      </x:c>
      <x:c r="B954" s="57" t="str">
        <x:v>Conservar formulario tras fallo</x:v>
      </x:c>
      <x:c r="C954" s="62" t="str">
        <x:v>E</x:v>
      </x:c>
      <x:c r="D954" s="64" t="n">
        <x:f>'Detalle'!I465</x:f>
        <x:v>1</x:v>
      </x:c>
      <x:c r="E954" s="60" t="str">
        <x:f>'Detalle'!F465</x:f>
        <x:v>Completado</x:v>
      </x:c>
      <x:c r="F954" s="32" t="str">
        <x:f>IF(AND(F$8&lt;='Detalle'!$H465,F$9&gt;='Detalle'!$G465),1,"")</x:f>
      </x:c>
      <x:c r="G954" s="32" t="str">
        <x:f>IF(AND(G$8&lt;='Detalle'!$H465,G$9&gt;='Detalle'!$G465),1,"")</x:f>
      </x:c>
      <x:c r="H954" s="32" t="str">
        <x:f>IF(AND(H$8&lt;='Detalle'!$H465,H$9&gt;='Detalle'!$G465),1,"")</x:f>
      </x:c>
      <x:c r="I954" s="32" t="n">
        <x:f>IF(AND(I$8&lt;='Detalle'!$H465,I$9&gt;='Detalle'!$G465),1,"")</x:f>
        <x:v>1</x:v>
      </x:c>
      <x:c r="J954" s="32" t="str">
        <x:f>IF(AND(J$8&lt;='Detalle'!$H465,J$9&gt;='Detalle'!$G465),1,"")</x:f>
      </x:c>
      <x:c r="K954" s="32" t="str">
        <x:f>IF(AND(K$8&lt;='Detalle'!$H465,K$9&gt;='Detalle'!$G465),1,"")</x:f>
      </x:c>
      <x:c r="L954" s="32" t="str">
        <x:f>IF(AND(L$8&lt;='Detalle'!$H465,L$9&gt;='Detalle'!$G465),1,"")</x:f>
      </x:c>
      <x:c r="M954" s="32" t="str">
        <x:f>IF(AND(M$8&lt;='Detalle'!$H465,M$9&gt;='Detalle'!$G465),1,"")</x:f>
      </x:c>
      <x:c r="N954" s="32" t="str">
        <x:f>IF(AND(N$8&lt;='Detalle'!$H465,N$9&gt;='Detalle'!$G465),1,"")</x:f>
      </x:c>
      <x:c r="O954" s="32" t="str">
        <x:f>IF(AND(O$8&lt;='Detalle'!$H465,O$9&gt;='Detalle'!$G465),1,"")</x:f>
      </x:c>
      <x:c r="P954" s="32" t="str">
        <x:f>IF(AND(P$8&lt;='Detalle'!$H465,P$9&gt;='Detalle'!$G465),1,"")</x:f>
      </x:c>
      <x:c r="Q954" s="68"/>
      <x:c r="R954" s="67" t="str">
        <x:f>IF('Detalle'!M465="","",'Detalle'!M465)</x:f>
      </x:c>
      <x:c r="S954" s="67" t="str">
        <x:f>IF('Detalle'!N465="","",'Detalle'!N465)</x:f>
      </x:c>
    </x:row>
    <x:row r="955" ht="16" customHeight="1">
      <x:c r="A955" s="56" t="str">
        <x:v>MIS03.012</x:v>
      </x:c>
      <x:c r="B955" s="57" t="str">
        <x:v>Conservar formulario tras fallo</x:v>
      </x:c>
      <x:c r="C955" s="63" t="str">
        <x:v>R</x:v>
      </x:c>
      <x:c r="D955" s="65" t="str">
        <x:f>IF('Detalle'!L465="","",'Detalle'!L465)</x:f>
      </x:c>
      <x:c r="E955" s="60" t="str"/>
      <x:c r="F955" s="32" t="str">
        <x:f>IF(OR('Detalle'!$J465="",'Detalle'!$K465="",'Detalle'!$L465=""),"",IF(AND(F$8&lt;='Detalle'!$K465,F$9&gt;='Detalle'!$J465),1,""))</x:f>
      </x:c>
      <x:c r="G955" s="32" t="str">
        <x:f>IF(OR('Detalle'!$J465="",'Detalle'!$K465="",'Detalle'!$L465=""),"",IF(AND(G$8&lt;='Detalle'!$K465,G$9&gt;='Detalle'!$J465),1,""))</x:f>
      </x:c>
      <x:c r="H955" s="32" t="str">
        <x:f>IF(OR('Detalle'!$J465="",'Detalle'!$K465="",'Detalle'!$L465=""),"",IF(AND(H$8&lt;='Detalle'!$K465,H$9&gt;='Detalle'!$J465),1,""))</x:f>
      </x:c>
      <x:c r="I955" s="32" t="str">
        <x:f>IF(OR('Detalle'!$J465="",'Detalle'!$K465="",'Detalle'!$L465=""),"",IF(AND(I$8&lt;='Detalle'!$K465,I$9&gt;='Detalle'!$J465),1,""))</x:f>
      </x:c>
      <x:c r="J955" s="32" t="str">
        <x:f>IF(OR('Detalle'!$J465="",'Detalle'!$K465="",'Detalle'!$L465=""),"",IF(AND(J$8&lt;='Detalle'!$K465,J$9&gt;='Detalle'!$J465),1,""))</x:f>
      </x:c>
      <x:c r="K955" s="32" t="str">
        <x:f>IF(OR('Detalle'!$J465="",'Detalle'!$K465="",'Detalle'!$L465=""),"",IF(AND(K$8&lt;='Detalle'!$K465,K$9&gt;='Detalle'!$J465),1,""))</x:f>
      </x:c>
      <x:c r="L955" s="32" t="str">
        <x:f>IF(OR('Detalle'!$J465="",'Detalle'!$K465="",'Detalle'!$L465=""),"",IF(AND(L$8&lt;='Detalle'!$K465,L$9&gt;='Detalle'!$J465),1,""))</x:f>
      </x:c>
      <x:c r="M955" s="32" t="str">
        <x:f>IF(OR('Detalle'!$J465="",'Detalle'!$K465="",'Detalle'!$L465=""),"",IF(AND(M$8&lt;='Detalle'!$K465,M$9&gt;='Detalle'!$J465),1,""))</x:f>
      </x:c>
      <x:c r="N955" s="32" t="str">
        <x:f>IF(OR('Detalle'!$J465="",'Detalle'!$K465="",'Detalle'!$L465=""),"",IF(AND(N$8&lt;='Detalle'!$K465,N$9&gt;='Detalle'!$J465),1,""))</x:f>
      </x:c>
      <x:c r="O955" s="32" t="str">
        <x:f>IF(OR('Detalle'!$J465="",'Detalle'!$K465="",'Detalle'!$L465=""),"",IF(AND(O$8&lt;='Detalle'!$K465,O$9&gt;='Detalle'!$J465),1,""))</x:f>
      </x:c>
      <x:c r="P955" s="32" t="str">
        <x:f>IF(OR('Detalle'!$J465="",'Detalle'!$K465="",'Detalle'!$L465=""),"",IF(AND(P$8&lt;='Detalle'!$K465,P$9&gt;='Detalle'!$J465),1,""))</x:f>
      </x:c>
      <x:c r="Q955" s="68"/>
      <x:c r="R955" s="67" t="str"/>
      <x:c r="S955" s="67" t="str"/>
    </x:row>
    <x:row r="956" ht="16" customHeight="1">
      <x:c r="A956" s="56" t="str">
        <x:v>MIS03.013</x:v>
      </x:c>
      <x:c r="B956" s="57" t="str">
        <x:v>Refrescar elegibilidad al fallar</x:v>
      </x:c>
      <x:c r="C956" s="62" t="str">
        <x:v>E</x:v>
      </x:c>
      <x:c r="D956" s="64" t="n">
        <x:f>'Detalle'!I466</x:f>
        <x:v>1</x:v>
      </x:c>
      <x:c r="E956" s="60" t="str">
        <x:f>'Detalle'!F466</x:f>
        <x:v>Completado</x:v>
      </x:c>
      <x:c r="F956" s="32" t="str">
        <x:f>IF(AND(F$8&lt;='Detalle'!$H466,F$9&gt;='Detalle'!$G466),1,"")</x:f>
      </x:c>
      <x:c r="G956" s="32" t="str">
        <x:f>IF(AND(G$8&lt;='Detalle'!$H466,G$9&gt;='Detalle'!$G466),1,"")</x:f>
      </x:c>
      <x:c r="H956" s="32" t="str">
        <x:f>IF(AND(H$8&lt;='Detalle'!$H466,H$9&gt;='Detalle'!$G466),1,"")</x:f>
      </x:c>
      <x:c r="I956" s="32" t="n">
        <x:f>IF(AND(I$8&lt;='Detalle'!$H466,I$9&gt;='Detalle'!$G466),1,"")</x:f>
        <x:v>1</x:v>
      </x:c>
      <x:c r="J956" s="32" t="str">
        <x:f>IF(AND(J$8&lt;='Detalle'!$H466,J$9&gt;='Detalle'!$G466),1,"")</x:f>
      </x:c>
      <x:c r="K956" s="32" t="str">
        <x:f>IF(AND(K$8&lt;='Detalle'!$H466,K$9&gt;='Detalle'!$G466),1,"")</x:f>
      </x:c>
      <x:c r="L956" s="32" t="str">
        <x:f>IF(AND(L$8&lt;='Detalle'!$H466,L$9&gt;='Detalle'!$G466),1,"")</x:f>
      </x:c>
      <x:c r="M956" s="32" t="str">
        <x:f>IF(AND(M$8&lt;='Detalle'!$H466,M$9&gt;='Detalle'!$G466),1,"")</x:f>
      </x:c>
      <x:c r="N956" s="32" t="str">
        <x:f>IF(AND(N$8&lt;='Detalle'!$H466,N$9&gt;='Detalle'!$G466),1,"")</x:f>
      </x:c>
      <x:c r="O956" s="32" t="str">
        <x:f>IF(AND(O$8&lt;='Detalle'!$H466,O$9&gt;='Detalle'!$G466),1,"")</x:f>
      </x:c>
      <x:c r="P956" s="32" t="str">
        <x:f>IF(AND(P$8&lt;='Detalle'!$H466,P$9&gt;='Detalle'!$G466),1,"")</x:f>
      </x:c>
      <x:c r="Q956" s="68"/>
      <x:c r="R956" s="67" t="str">
        <x:f>IF('Detalle'!M466="","",'Detalle'!M466)</x:f>
      </x:c>
      <x:c r="S956" s="67" t="str">
        <x:f>IF('Detalle'!N466="","",'Detalle'!N466)</x:f>
      </x:c>
    </x:row>
    <x:row r="957" ht="16" customHeight="1">
      <x:c r="A957" s="56" t="str">
        <x:v>MIS03.013</x:v>
      </x:c>
      <x:c r="B957" s="57" t="str">
        <x:v>Refrescar elegibilidad al fallar</x:v>
      </x:c>
      <x:c r="C957" s="63" t="str">
        <x:v>R</x:v>
      </x:c>
      <x:c r="D957" s="65" t="str">
        <x:f>IF('Detalle'!L466="","",'Detalle'!L466)</x:f>
      </x:c>
      <x:c r="E957" s="60" t="str"/>
      <x:c r="F957" s="32" t="str">
        <x:f>IF(OR('Detalle'!$J466="",'Detalle'!$K466="",'Detalle'!$L466=""),"",IF(AND(F$8&lt;='Detalle'!$K466,F$9&gt;='Detalle'!$J466),1,""))</x:f>
      </x:c>
      <x:c r="G957" s="32" t="str">
        <x:f>IF(OR('Detalle'!$J466="",'Detalle'!$K466="",'Detalle'!$L466=""),"",IF(AND(G$8&lt;='Detalle'!$K466,G$9&gt;='Detalle'!$J466),1,""))</x:f>
      </x:c>
      <x:c r="H957" s="32" t="str">
        <x:f>IF(OR('Detalle'!$J466="",'Detalle'!$K466="",'Detalle'!$L466=""),"",IF(AND(H$8&lt;='Detalle'!$K466,H$9&gt;='Detalle'!$J466),1,""))</x:f>
      </x:c>
      <x:c r="I957" s="32" t="str">
        <x:f>IF(OR('Detalle'!$J466="",'Detalle'!$K466="",'Detalle'!$L466=""),"",IF(AND(I$8&lt;='Detalle'!$K466,I$9&gt;='Detalle'!$J466),1,""))</x:f>
      </x:c>
      <x:c r="J957" s="32" t="str">
        <x:f>IF(OR('Detalle'!$J466="",'Detalle'!$K466="",'Detalle'!$L466=""),"",IF(AND(J$8&lt;='Detalle'!$K466,J$9&gt;='Detalle'!$J466),1,""))</x:f>
      </x:c>
      <x:c r="K957" s="32" t="str">
        <x:f>IF(OR('Detalle'!$J466="",'Detalle'!$K466="",'Detalle'!$L466=""),"",IF(AND(K$8&lt;='Detalle'!$K466,K$9&gt;='Detalle'!$J466),1,""))</x:f>
      </x:c>
      <x:c r="L957" s="32" t="str">
        <x:f>IF(OR('Detalle'!$J466="",'Detalle'!$K466="",'Detalle'!$L466=""),"",IF(AND(L$8&lt;='Detalle'!$K466,L$9&gt;='Detalle'!$J466),1,""))</x:f>
      </x:c>
      <x:c r="M957" s="32" t="str">
        <x:f>IF(OR('Detalle'!$J466="",'Detalle'!$K466="",'Detalle'!$L466=""),"",IF(AND(M$8&lt;='Detalle'!$K466,M$9&gt;='Detalle'!$J466),1,""))</x:f>
      </x:c>
      <x:c r="N957" s="32" t="str">
        <x:f>IF(OR('Detalle'!$J466="",'Detalle'!$K466="",'Detalle'!$L466=""),"",IF(AND(N$8&lt;='Detalle'!$K466,N$9&gt;='Detalle'!$J466),1,""))</x:f>
      </x:c>
      <x:c r="O957" s="32" t="str">
        <x:f>IF(OR('Detalle'!$J466="",'Detalle'!$K466="",'Detalle'!$L466=""),"",IF(AND(O$8&lt;='Detalle'!$K466,O$9&gt;='Detalle'!$J466),1,""))</x:f>
      </x:c>
      <x:c r="P957" s="32" t="str">
        <x:f>IF(OR('Detalle'!$J466="",'Detalle'!$K466="",'Detalle'!$L466=""),"",IF(AND(P$8&lt;='Detalle'!$K466,P$9&gt;='Detalle'!$J466),1,""))</x:f>
      </x:c>
      <x:c r="Q957" s="68"/>
      <x:c r="R957" s="67" t="str"/>
      <x:c r="S957" s="67" t="str"/>
    </x:row>
    <x:row r="958" ht="16" customHeight="1">
      <x:c r="A958" s="56" t="str">
        <x:v>MIS03.014</x:v>
      </x:c>
      <x:c r="B958" s="57" t="str">
        <x:v>Mostrar confirmación con misión real</x:v>
      </x:c>
      <x:c r="C958" s="62" t="str">
        <x:v>E</x:v>
      </x:c>
      <x:c r="D958" s="64" t="n">
        <x:f>'Detalle'!I467</x:f>
        <x:v>1</x:v>
      </x:c>
      <x:c r="E958" s="60" t="str">
        <x:f>'Detalle'!F467</x:f>
        <x:v>Completado</x:v>
      </x:c>
      <x:c r="F958" s="32" t="str">
        <x:f>IF(AND(F$8&lt;='Detalle'!$H467,F$9&gt;='Detalle'!$G467),1,"")</x:f>
      </x:c>
      <x:c r="G958" s="32" t="str">
        <x:f>IF(AND(G$8&lt;='Detalle'!$H467,G$9&gt;='Detalle'!$G467),1,"")</x:f>
      </x:c>
      <x:c r="H958" s="32" t="str">
        <x:f>IF(AND(H$8&lt;='Detalle'!$H467,H$9&gt;='Detalle'!$G467),1,"")</x:f>
      </x:c>
      <x:c r="I958" s="32" t="n">
        <x:f>IF(AND(I$8&lt;='Detalle'!$H467,I$9&gt;='Detalle'!$G467),1,"")</x:f>
        <x:v>1</x:v>
      </x:c>
      <x:c r="J958" s="32" t="str">
        <x:f>IF(AND(J$8&lt;='Detalle'!$H467,J$9&gt;='Detalle'!$G467),1,"")</x:f>
      </x:c>
      <x:c r="K958" s="32" t="str">
        <x:f>IF(AND(K$8&lt;='Detalle'!$H467,K$9&gt;='Detalle'!$G467),1,"")</x:f>
      </x:c>
      <x:c r="L958" s="32" t="str">
        <x:f>IF(AND(L$8&lt;='Detalle'!$H467,L$9&gt;='Detalle'!$G467),1,"")</x:f>
      </x:c>
      <x:c r="M958" s="32" t="str">
        <x:f>IF(AND(M$8&lt;='Detalle'!$H467,M$9&gt;='Detalle'!$G467),1,"")</x:f>
      </x:c>
      <x:c r="N958" s="32" t="str">
        <x:f>IF(AND(N$8&lt;='Detalle'!$H467,N$9&gt;='Detalle'!$G467),1,"")</x:f>
      </x:c>
      <x:c r="O958" s="32" t="str">
        <x:f>IF(AND(O$8&lt;='Detalle'!$H467,O$9&gt;='Detalle'!$G467),1,"")</x:f>
      </x:c>
      <x:c r="P958" s="32" t="str">
        <x:f>IF(AND(P$8&lt;='Detalle'!$H467,P$9&gt;='Detalle'!$G467),1,"")</x:f>
      </x:c>
      <x:c r="Q958" s="68"/>
      <x:c r="R958" s="67" t="str">
        <x:f>IF('Detalle'!M467="","",'Detalle'!M467)</x:f>
      </x:c>
      <x:c r="S958" s="67" t="str">
        <x:f>IF('Detalle'!N467="","",'Detalle'!N467)</x:f>
      </x:c>
    </x:row>
    <x:row r="959" ht="16" customHeight="1">
      <x:c r="A959" s="56" t="str">
        <x:v>MIS03.014</x:v>
      </x:c>
      <x:c r="B959" s="57" t="str">
        <x:v>Mostrar confirmación con misión real</x:v>
      </x:c>
      <x:c r="C959" s="63" t="str">
        <x:v>R</x:v>
      </x:c>
      <x:c r="D959" s="65" t="str">
        <x:f>IF('Detalle'!L467="","",'Detalle'!L467)</x:f>
      </x:c>
      <x:c r="E959" s="60" t="str"/>
      <x:c r="F959" s="32" t="str">
        <x:f>IF(OR('Detalle'!$J467="",'Detalle'!$K467="",'Detalle'!$L467=""),"",IF(AND(F$8&lt;='Detalle'!$K467,F$9&gt;='Detalle'!$J467),1,""))</x:f>
      </x:c>
      <x:c r="G959" s="32" t="str">
        <x:f>IF(OR('Detalle'!$J467="",'Detalle'!$K467="",'Detalle'!$L467=""),"",IF(AND(G$8&lt;='Detalle'!$K467,G$9&gt;='Detalle'!$J467),1,""))</x:f>
      </x:c>
      <x:c r="H959" s="32" t="str">
        <x:f>IF(OR('Detalle'!$J467="",'Detalle'!$K467="",'Detalle'!$L467=""),"",IF(AND(H$8&lt;='Detalle'!$K467,H$9&gt;='Detalle'!$J467),1,""))</x:f>
      </x:c>
      <x:c r="I959" s="32" t="str">
        <x:f>IF(OR('Detalle'!$J467="",'Detalle'!$K467="",'Detalle'!$L467=""),"",IF(AND(I$8&lt;='Detalle'!$K467,I$9&gt;='Detalle'!$J467),1,""))</x:f>
      </x:c>
      <x:c r="J959" s="32" t="str">
        <x:f>IF(OR('Detalle'!$J467="",'Detalle'!$K467="",'Detalle'!$L467=""),"",IF(AND(J$8&lt;='Detalle'!$K467,J$9&gt;='Detalle'!$J467),1,""))</x:f>
      </x:c>
      <x:c r="K959" s="32" t="str">
        <x:f>IF(OR('Detalle'!$J467="",'Detalle'!$K467="",'Detalle'!$L467=""),"",IF(AND(K$8&lt;='Detalle'!$K467,K$9&gt;='Detalle'!$J467),1,""))</x:f>
      </x:c>
      <x:c r="L959" s="32" t="str">
        <x:f>IF(OR('Detalle'!$J467="",'Detalle'!$K467="",'Detalle'!$L467=""),"",IF(AND(L$8&lt;='Detalle'!$K467,L$9&gt;='Detalle'!$J467),1,""))</x:f>
      </x:c>
      <x:c r="M959" s="32" t="str">
        <x:f>IF(OR('Detalle'!$J467="",'Detalle'!$K467="",'Detalle'!$L467=""),"",IF(AND(M$8&lt;='Detalle'!$K467,M$9&gt;='Detalle'!$J467),1,""))</x:f>
      </x:c>
      <x:c r="N959" s="32" t="str">
        <x:f>IF(OR('Detalle'!$J467="",'Detalle'!$K467="",'Detalle'!$L467=""),"",IF(AND(N$8&lt;='Detalle'!$K467,N$9&gt;='Detalle'!$J467),1,""))</x:f>
      </x:c>
      <x:c r="O959" s="32" t="str">
        <x:f>IF(OR('Detalle'!$J467="",'Detalle'!$K467="",'Detalle'!$L467=""),"",IF(AND(O$8&lt;='Detalle'!$K467,O$9&gt;='Detalle'!$J467),1,""))</x:f>
      </x:c>
      <x:c r="P959" s="32" t="str">
        <x:f>IF(OR('Detalle'!$J467="",'Detalle'!$K467="",'Detalle'!$L467=""),"",IF(AND(P$8&lt;='Detalle'!$K467,P$9&gt;='Detalle'!$J467),1,""))</x:f>
      </x:c>
      <x:c r="Q959" s="68"/>
      <x:c r="R959" s="67" t="str"/>
      <x:c r="S959" s="67" t="str"/>
    </x:row>
    <x:row r="960" ht="16" customHeight="1">
      <x:c r="A960" s="56" t="str">
        <x:v>MIS03.015</x:v>
      </x:c>
      <x:c r="B960" s="57" t="str">
        <x:v>Filtrar Mis candidaturas por estado</x:v>
      </x:c>
      <x:c r="C960" s="62" t="str">
        <x:v>E</x:v>
      </x:c>
      <x:c r="D960" s="64" t="n">
        <x:f>'Detalle'!I468</x:f>
        <x:v>1</x:v>
      </x:c>
      <x:c r="E960" s="60" t="str">
        <x:f>'Detalle'!F468</x:f>
        <x:v>Completado</x:v>
      </x:c>
      <x:c r="F960" s="32" t="str">
        <x:f>IF(AND(F$8&lt;='Detalle'!$H468,F$9&gt;='Detalle'!$G468),1,"")</x:f>
      </x:c>
      <x:c r="G960" s="32" t="str">
        <x:f>IF(AND(G$8&lt;='Detalle'!$H468,G$9&gt;='Detalle'!$G468),1,"")</x:f>
      </x:c>
      <x:c r="H960" s="32" t="str">
        <x:f>IF(AND(H$8&lt;='Detalle'!$H468,H$9&gt;='Detalle'!$G468),1,"")</x:f>
      </x:c>
      <x:c r="I960" s="32" t="n">
        <x:f>IF(AND(I$8&lt;='Detalle'!$H468,I$9&gt;='Detalle'!$G468),1,"")</x:f>
        <x:v>1</x:v>
      </x:c>
      <x:c r="J960" s="32" t="str">
        <x:f>IF(AND(J$8&lt;='Detalle'!$H468,J$9&gt;='Detalle'!$G468),1,"")</x:f>
      </x:c>
      <x:c r="K960" s="32" t="str">
        <x:f>IF(AND(K$8&lt;='Detalle'!$H468,K$9&gt;='Detalle'!$G468),1,"")</x:f>
      </x:c>
      <x:c r="L960" s="32" t="str">
        <x:f>IF(AND(L$8&lt;='Detalle'!$H468,L$9&gt;='Detalle'!$G468),1,"")</x:f>
      </x:c>
      <x:c r="M960" s="32" t="str">
        <x:f>IF(AND(M$8&lt;='Detalle'!$H468,M$9&gt;='Detalle'!$G468),1,"")</x:f>
      </x:c>
      <x:c r="N960" s="32" t="str">
        <x:f>IF(AND(N$8&lt;='Detalle'!$H468,N$9&gt;='Detalle'!$G468),1,"")</x:f>
      </x:c>
      <x:c r="O960" s="32" t="str">
        <x:f>IF(AND(O$8&lt;='Detalle'!$H468,O$9&gt;='Detalle'!$G468),1,"")</x:f>
      </x:c>
      <x:c r="P960" s="32" t="str">
        <x:f>IF(AND(P$8&lt;='Detalle'!$H468,P$9&gt;='Detalle'!$G468),1,"")</x:f>
      </x:c>
      <x:c r="Q960" s="68"/>
      <x:c r="R960" s="67" t="str">
        <x:f>IF('Detalle'!M468="","",'Detalle'!M468)</x:f>
      </x:c>
      <x:c r="S960" s="67" t="str">
        <x:f>IF('Detalle'!N468="","",'Detalle'!N468)</x:f>
      </x:c>
    </x:row>
    <x:row r="961" ht="16" customHeight="1">
      <x:c r="A961" s="56" t="str">
        <x:v>MIS03.015</x:v>
      </x:c>
      <x:c r="B961" s="57" t="str">
        <x:v>Filtrar Mis candidaturas por estado</x:v>
      </x:c>
      <x:c r="C961" s="63" t="str">
        <x:v>R</x:v>
      </x:c>
      <x:c r="D961" s="65" t="str">
        <x:f>IF('Detalle'!L468="","",'Detalle'!L468)</x:f>
      </x:c>
      <x:c r="E961" s="60" t="str"/>
      <x:c r="F961" s="32" t="str">
        <x:f>IF(OR('Detalle'!$J468="",'Detalle'!$K468="",'Detalle'!$L468=""),"",IF(AND(F$8&lt;='Detalle'!$K468,F$9&gt;='Detalle'!$J468),1,""))</x:f>
      </x:c>
      <x:c r="G961" s="32" t="str">
        <x:f>IF(OR('Detalle'!$J468="",'Detalle'!$K468="",'Detalle'!$L468=""),"",IF(AND(G$8&lt;='Detalle'!$K468,G$9&gt;='Detalle'!$J468),1,""))</x:f>
      </x:c>
      <x:c r="H961" s="32" t="str">
        <x:f>IF(OR('Detalle'!$J468="",'Detalle'!$K468="",'Detalle'!$L468=""),"",IF(AND(H$8&lt;='Detalle'!$K468,H$9&gt;='Detalle'!$J468),1,""))</x:f>
      </x:c>
      <x:c r="I961" s="32" t="str">
        <x:f>IF(OR('Detalle'!$J468="",'Detalle'!$K468="",'Detalle'!$L468=""),"",IF(AND(I$8&lt;='Detalle'!$K468,I$9&gt;='Detalle'!$J468),1,""))</x:f>
      </x:c>
      <x:c r="J961" s="32" t="str">
        <x:f>IF(OR('Detalle'!$J468="",'Detalle'!$K468="",'Detalle'!$L468=""),"",IF(AND(J$8&lt;='Detalle'!$K468,J$9&gt;='Detalle'!$J468),1,""))</x:f>
      </x:c>
      <x:c r="K961" s="32" t="str">
        <x:f>IF(OR('Detalle'!$J468="",'Detalle'!$K468="",'Detalle'!$L468=""),"",IF(AND(K$8&lt;='Detalle'!$K468,K$9&gt;='Detalle'!$J468),1,""))</x:f>
      </x:c>
      <x:c r="L961" s="32" t="str">
        <x:f>IF(OR('Detalle'!$J468="",'Detalle'!$K468="",'Detalle'!$L468=""),"",IF(AND(L$8&lt;='Detalle'!$K468,L$9&gt;='Detalle'!$J468),1,""))</x:f>
      </x:c>
      <x:c r="M961" s="32" t="str">
        <x:f>IF(OR('Detalle'!$J468="",'Detalle'!$K468="",'Detalle'!$L468=""),"",IF(AND(M$8&lt;='Detalle'!$K468,M$9&gt;='Detalle'!$J468),1,""))</x:f>
      </x:c>
      <x:c r="N961" s="32" t="str">
        <x:f>IF(OR('Detalle'!$J468="",'Detalle'!$K468="",'Detalle'!$L468=""),"",IF(AND(N$8&lt;='Detalle'!$K468,N$9&gt;='Detalle'!$J468),1,""))</x:f>
      </x:c>
      <x:c r="O961" s="32" t="str">
        <x:f>IF(OR('Detalle'!$J468="",'Detalle'!$K468="",'Detalle'!$L468=""),"",IF(AND(O$8&lt;='Detalle'!$K468,O$9&gt;='Detalle'!$J468),1,""))</x:f>
      </x:c>
      <x:c r="P961" s="32" t="str">
        <x:f>IF(OR('Detalle'!$J468="",'Detalle'!$K468="",'Detalle'!$L468=""),"",IF(AND(P$8&lt;='Detalle'!$K468,P$9&gt;='Detalle'!$J468),1,""))</x:f>
      </x:c>
      <x:c r="Q961" s="68"/>
      <x:c r="R961" s="67" t="str"/>
      <x:c r="S961" s="67" t="str"/>
    </x:row>
    <x:row r="962" ht="16" customHeight="1">
      <x:c r="A962" s="56" t="str">
        <x:v>MIS03.016</x:v>
      </x:c>
      <x:c r="B962" s="57" t="str">
        <x:v>Permitir retirada y repostulación válida</x:v>
      </x:c>
      <x:c r="C962" s="62" t="str">
        <x:v>E</x:v>
      </x:c>
      <x:c r="D962" s="64" t="n">
        <x:f>'Detalle'!I469</x:f>
        <x:v>1</x:v>
      </x:c>
      <x:c r="E962" s="60" t="str">
        <x:f>'Detalle'!F469</x:f>
        <x:v>Completado</x:v>
      </x:c>
      <x:c r="F962" s="32" t="str">
        <x:f>IF(AND(F$8&lt;='Detalle'!$H469,F$9&gt;='Detalle'!$G469),1,"")</x:f>
      </x:c>
      <x:c r="G962" s="32" t="str">
        <x:f>IF(AND(G$8&lt;='Detalle'!$H469,G$9&gt;='Detalle'!$G469),1,"")</x:f>
      </x:c>
      <x:c r="H962" s="32" t="str">
        <x:f>IF(AND(H$8&lt;='Detalle'!$H469,H$9&gt;='Detalle'!$G469),1,"")</x:f>
      </x:c>
      <x:c r="I962" s="32" t="n">
        <x:f>IF(AND(I$8&lt;='Detalle'!$H469,I$9&gt;='Detalle'!$G469),1,"")</x:f>
        <x:v>1</x:v>
      </x:c>
      <x:c r="J962" s="32" t="str">
        <x:f>IF(AND(J$8&lt;='Detalle'!$H469,J$9&gt;='Detalle'!$G469),1,"")</x:f>
      </x:c>
      <x:c r="K962" s="32" t="str">
        <x:f>IF(AND(K$8&lt;='Detalle'!$H469,K$9&gt;='Detalle'!$G469),1,"")</x:f>
      </x:c>
      <x:c r="L962" s="32" t="str">
        <x:f>IF(AND(L$8&lt;='Detalle'!$H469,L$9&gt;='Detalle'!$G469),1,"")</x:f>
      </x:c>
      <x:c r="M962" s="32" t="str">
        <x:f>IF(AND(M$8&lt;='Detalle'!$H469,M$9&gt;='Detalle'!$G469),1,"")</x:f>
      </x:c>
      <x:c r="N962" s="32" t="str">
        <x:f>IF(AND(N$8&lt;='Detalle'!$H469,N$9&gt;='Detalle'!$G469),1,"")</x:f>
      </x:c>
      <x:c r="O962" s="32" t="str">
        <x:f>IF(AND(O$8&lt;='Detalle'!$H469,O$9&gt;='Detalle'!$G469),1,"")</x:f>
      </x:c>
      <x:c r="P962" s="32" t="str">
        <x:f>IF(AND(P$8&lt;='Detalle'!$H469,P$9&gt;='Detalle'!$G469),1,"")</x:f>
      </x:c>
      <x:c r="Q962" s="68"/>
      <x:c r="R962" s="67" t="str">
        <x:f>IF('Detalle'!M469="","",'Detalle'!M469)</x:f>
      </x:c>
      <x:c r="S962" s="67" t="str">
        <x:f>IF('Detalle'!N469="","",'Detalle'!N469)</x:f>
      </x:c>
    </x:row>
    <x:row r="963" ht="16" customHeight="1">
      <x:c r="A963" s="56" t="str">
        <x:v>MIS03.016</x:v>
      </x:c>
      <x:c r="B963" s="57" t="str">
        <x:v>Permitir retirada y repostulación válida</x:v>
      </x:c>
      <x:c r="C963" s="63" t="str">
        <x:v>R</x:v>
      </x:c>
      <x:c r="D963" s="65" t="str">
        <x:f>IF('Detalle'!L469="","",'Detalle'!L469)</x:f>
      </x:c>
      <x:c r="E963" s="60" t="str"/>
      <x:c r="F963" s="32" t="str">
        <x:f>IF(OR('Detalle'!$J469="",'Detalle'!$K469="",'Detalle'!$L469=""),"",IF(AND(F$8&lt;='Detalle'!$K469,F$9&gt;='Detalle'!$J469),1,""))</x:f>
      </x:c>
      <x:c r="G963" s="32" t="str">
        <x:f>IF(OR('Detalle'!$J469="",'Detalle'!$K469="",'Detalle'!$L469=""),"",IF(AND(G$8&lt;='Detalle'!$K469,G$9&gt;='Detalle'!$J469),1,""))</x:f>
      </x:c>
      <x:c r="H963" s="32" t="str">
        <x:f>IF(OR('Detalle'!$J469="",'Detalle'!$K469="",'Detalle'!$L469=""),"",IF(AND(H$8&lt;='Detalle'!$K469,H$9&gt;='Detalle'!$J469),1,""))</x:f>
      </x:c>
      <x:c r="I963" s="32" t="str">
        <x:f>IF(OR('Detalle'!$J469="",'Detalle'!$K469="",'Detalle'!$L469=""),"",IF(AND(I$8&lt;='Detalle'!$K469,I$9&gt;='Detalle'!$J469),1,""))</x:f>
      </x:c>
      <x:c r="J963" s="32" t="str">
        <x:f>IF(OR('Detalle'!$J469="",'Detalle'!$K469="",'Detalle'!$L469=""),"",IF(AND(J$8&lt;='Detalle'!$K469,J$9&gt;='Detalle'!$J469),1,""))</x:f>
      </x:c>
      <x:c r="K963" s="32" t="str">
        <x:f>IF(OR('Detalle'!$J469="",'Detalle'!$K469="",'Detalle'!$L469=""),"",IF(AND(K$8&lt;='Detalle'!$K469,K$9&gt;='Detalle'!$J469),1,""))</x:f>
      </x:c>
      <x:c r="L963" s="32" t="str">
        <x:f>IF(OR('Detalle'!$J469="",'Detalle'!$K469="",'Detalle'!$L469=""),"",IF(AND(L$8&lt;='Detalle'!$K469,L$9&gt;='Detalle'!$J469),1,""))</x:f>
      </x:c>
      <x:c r="M963" s="32" t="str">
        <x:f>IF(OR('Detalle'!$J469="",'Detalle'!$K469="",'Detalle'!$L469=""),"",IF(AND(M$8&lt;='Detalle'!$K469,M$9&gt;='Detalle'!$J469),1,""))</x:f>
      </x:c>
      <x:c r="N963" s="32" t="str">
        <x:f>IF(OR('Detalle'!$J469="",'Detalle'!$K469="",'Detalle'!$L469=""),"",IF(AND(N$8&lt;='Detalle'!$K469,N$9&gt;='Detalle'!$J469),1,""))</x:f>
      </x:c>
      <x:c r="O963" s="32" t="str">
        <x:f>IF(OR('Detalle'!$J469="",'Detalle'!$K469="",'Detalle'!$L469=""),"",IF(AND(O$8&lt;='Detalle'!$K469,O$9&gt;='Detalle'!$J469),1,""))</x:f>
      </x:c>
      <x:c r="P963" s="32" t="str">
        <x:f>IF(OR('Detalle'!$J469="",'Detalle'!$K469="",'Detalle'!$L469=""),"",IF(AND(P$8&lt;='Detalle'!$K469,P$9&gt;='Detalle'!$J469),1,""))</x:f>
      </x:c>
      <x:c r="Q963" s="68"/>
      <x:c r="R963" s="67" t="str"/>
      <x:c r="S963" s="67" t="str"/>
    </x:row>
    <x:row r="964" ht="20" customHeight="1">
      <x:c r="A964" s="52" t="str">
        <x:v>MIS04 · Gestión privada y avisos del ciclo de misión</x:v>
      </x:c>
      <x:c r="B964" s="52" t="str">
        <x:v>MIS04 · Gestión privada y avisos del ciclo de misión</x:v>
      </x:c>
      <x:c r="C964" s="52" t="str">
        <x:v>MIS04 · Gestión privada y avisos del ciclo de misión</x:v>
      </x:c>
      <x:c r="D964" s="52" t="str">
        <x:v>MIS04 · Gestión privada y avisos del ciclo de misión</x:v>
      </x:c>
      <x:c r="E964" s="52" t="str">
        <x:v>MIS04 · Gestión privada y avisos del ciclo de misión</x:v>
      </x:c>
      <x:c r="F964" s="53" t="str">
        <x:v>MIS04 · Gestión privada y avisos del ciclo de misión</x:v>
      </x:c>
      <x:c r="G964" s="53" t="str">
        <x:v>MIS04 · Gestión privada y avisos del ciclo de misión</x:v>
      </x:c>
      <x:c r="H964" s="53" t="str">
        <x:v>MIS04 · Gestión privada y avisos del ciclo de misión</x:v>
      </x:c>
      <x:c r="I964" s="53" t="str">
        <x:v>MIS04 · Gestión privada y avisos del ciclo de misión</x:v>
      </x:c>
      <x:c r="J964" s="53" t="str">
        <x:v>MIS04 · Gestión privada y avisos del ciclo de misión</x:v>
      </x:c>
      <x:c r="K964" s="53" t="str">
        <x:v>MIS04 · Gestión privada y avisos del ciclo de misión</x:v>
      </x:c>
      <x:c r="L964" s="53" t="str">
        <x:v>MIS04 · Gestión privada y avisos del ciclo de misión</x:v>
      </x:c>
      <x:c r="M964" s="53" t="str">
        <x:v>MIS04 · Gestión privada y avisos del ciclo de misión</x:v>
      </x:c>
      <x:c r="N964" s="53" t="str">
        <x:v>MIS04 · Gestión privada y avisos del ciclo de misión</x:v>
      </x:c>
      <x:c r="O964" s="53" t="str">
        <x:v>MIS04 · Gestión privada y avisos del ciclo de misión</x:v>
      </x:c>
      <x:c r="P964" s="53" t="str">
        <x:v>MIS04 · Gestión privada y avisos del ciclo de misión</x:v>
      </x:c>
      <x:c r="Q964" s="52" t="str">
        <x:v>MIS04 · Gestión privada y avisos del ciclo de misión</x:v>
      </x:c>
      <x:c r="R964" s="52" t="str">
        <x:v>MIS04 · Gestión privada y avisos del ciclo de misión</x:v>
      </x:c>
      <x:c r="S964" s="52" t="str">
        <x:v>MIS04 · Gestión privada y avisos del ciclo de misión</x:v>
      </x:c>
    </x:row>
    <x:row r="965" ht="16" customHeight="1">
      <x:c r="A965" s="56" t="str">
        <x:v>MIS04.001</x:v>
      </x:c>
      <x:c r="B965" s="57" t="str">
        <x:v>Crear pantalla privada del organizador</x:v>
      </x:c>
      <x:c r="C965" s="62" t="str">
        <x:v>E</x:v>
      </x:c>
      <x:c r="D965" s="64" t="n">
        <x:f>'Detalle'!I470</x:f>
        <x:v>1</x:v>
      </x:c>
      <x:c r="E965" s="60" t="str">
        <x:f>'Detalle'!F470</x:f>
        <x:v>Completado</x:v>
      </x:c>
      <x:c r="F965" s="32" t="str">
        <x:f>IF(AND(F$8&lt;='Detalle'!$H470,F$9&gt;='Detalle'!$G470),1,"")</x:f>
      </x:c>
      <x:c r="G965" s="32" t="str">
        <x:f>IF(AND(G$8&lt;='Detalle'!$H470,G$9&gt;='Detalle'!$G470),1,"")</x:f>
      </x:c>
      <x:c r="H965" s="32" t="str">
        <x:f>IF(AND(H$8&lt;='Detalle'!$H470,H$9&gt;='Detalle'!$G470),1,"")</x:f>
      </x:c>
      <x:c r="I965" s="32" t="n">
        <x:f>IF(AND(I$8&lt;='Detalle'!$H470,I$9&gt;='Detalle'!$G470),1,"")</x:f>
        <x:v>1</x:v>
      </x:c>
      <x:c r="J965" s="32" t="str">
        <x:f>IF(AND(J$8&lt;='Detalle'!$H470,J$9&gt;='Detalle'!$G470),1,"")</x:f>
      </x:c>
      <x:c r="K965" s="32" t="str">
        <x:f>IF(AND(K$8&lt;='Detalle'!$H470,K$9&gt;='Detalle'!$G470),1,"")</x:f>
      </x:c>
      <x:c r="L965" s="32" t="str">
        <x:f>IF(AND(L$8&lt;='Detalle'!$H470,L$9&gt;='Detalle'!$G470),1,"")</x:f>
      </x:c>
      <x:c r="M965" s="32" t="str">
        <x:f>IF(AND(M$8&lt;='Detalle'!$H470,M$9&gt;='Detalle'!$G470),1,"")</x:f>
      </x:c>
      <x:c r="N965" s="32" t="str">
        <x:f>IF(AND(N$8&lt;='Detalle'!$H470,N$9&gt;='Detalle'!$G470),1,"")</x:f>
      </x:c>
      <x:c r="O965" s="32" t="str">
        <x:f>IF(AND(O$8&lt;='Detalle'!$H470,O$9&gt;='Detalle'!$G470),1,"")</x:f>
      </x:c>
      <x:c r="P965" s="32" t="str">
        <x:f>IF(AND(P$8&lt;='Detalle'!$H470,P$9&gt;='Detalle'!$G470),1,"")</x:f>
      </x:c>
      <x:c r="Q965" s="68"/>
      <x:c r="R965" s="67" t="str">
        <x:f>IF('Detalle'!M470="","",'Detalle'!M470)</x:f>
      </x:c>
      <x:c r="S965" s="67" t="str">
        <x:f>IF('Detalle'!N470="","",'Detalle'!N470)</x:f>
      </x:c>
    </x:row>
    <x:row r="966" ht="16" customHeight="1">
      <x:c r="A966" s="56" t="str">
        <x:v>MIS04.001</x:v>
      </x:c>
      <x:c r="B966" s="57" t="str">
        <x:v>Crear pantalla privada del organizador</x:v>
      </x:c>
      <x:c r="C966" s="63" t="str">
        <x:v>R</x:v>
      </x:c>
      <x:c r="D966" s="65" t="str">
        <x:f>IF('Detalle'!L470="","",'Detalle'!L470)</x:f>
      </x:c>
      <x:c r="E966" s="60" t="str"/>
      <x:c r="F966" s="32" t="str">
        <x:f>IF(OR('Detalle'!$J470="",'Detalle'!$K470="",'Detalle'!$L470=""),"",IF(AND(F$8&lt;='Detalle'!$K470,F$9&gt;='Detalle'!$J470),1,""))</x:f>
      </x:c>
      <x:c r="G966" s="32" t="str">
        <x:f>IF(OR('Detalle'!$J470="",'Detalle'!$K470="",'Detalle'!$L470=""),"",IF(AND(G$8&lt;='Detalle'!$K470,G$9&gt;='Detalle'!$J470),1,""))</x:f>
      </x:c>
      <x:c r="H966" s="32" t="str">
        <x:f>IF(OR('Detalle'!$J470="",'Detalle'!$K470="",'Detalle'!$L470=""),"",IF(AND(H$8&lt;='Detalle'!$K470,H$9&gt;='Detalle'!$J470),1,""))</x:f>
      </x:c>
      <x:c r="I966" s="32" t="str">
        <x:f>IF(OR('Detalle'!$J470="",'Detalle'!$K470="",'Detalle'!$L470=""),"",IF(AND(I$8&lt;='Detalle'!$K470,I$9&gt;='Detalle'!$J470),1,""))</x:f>
      </x:c>
      <x:c r="J966" s="32" t="str">
        <x:f>IF(OR('Detalle'!$J470="",'Detalle'!$K470="",'Detalle'!$L470=""),"",IF(AND(J$8&lt;='Detalle'!$K470,J$9&gt;='Detalle'!$J470),1,""))</x:f>
      </x:c>
      <x:c r="K966" s="32" t="str">
        <x:f>IF(OR('Detalle'!$J470="",'Detalle'!$K470="",'Detalle'!$L470=""),"",IF(AND(K$8&lt;='Detalle'!$K470,K$9&gt;='Detalle'!$J470),1,""))</x:f>
      </x:c>
      <x:c r="L966" s="32" t="str">
        <x:f>IF(OR('Detalle'!$J470="",'Detalle'!$K470="",'Detalle'!$L470=""),"",IF(AND(L$8&lt;='Detalle'!$K470,L$9&gt;='Detalle'!$J470),1,""))</x:f>
      </x:c>
      <x:c r="M966" s="32" t="str">
        <x:f>IF(OR('Detalle'!$J470="",'Detalle'!$K470="",'Detalle'!$L470=""),"",IF(AND(M$8&lt;='Detalle'!$K470,M$9&gt;='Detalle'!$J470),1,""))</x:f>
      </x:c>
      <x:c r="N966" s="32" t="str">
        <x:f>IF(OR('Detalle'!$J470="",'Detalle'!$K470="",'Detalle'!$L470=""),"",IF(AND(N$8&lt;='Detalle'!$K470,N$9&gt;='Detalle'!$J470),1,""))</x:f>
      </x:c>
      <x:c r="O966" s="32" t="str">
        <x:f>IF(OR('Detalle'!$J470="",'Detalle'!$K470="",'Detalle'!$L470=""),"",IF(AND(O$8&lt;='Detalle'!$K470,O$9&gt;='Detalle'!$J470),1,""))</x:f>
      </x:c>
      <x:c r="P966" s="32" t="str">
        <x:f>IF(OR('Detalle'!$J470="",'Detalle'!$K470="",'Detalle'!$L470=""),"",IF(AND(P$8&lt;='Detalle'!$K470,P$9&gt;='Detalle'!$J470),1,""))</x:f>
      </x:c>
      <x:c r="Q966" s="68"/>
      <x:c r="R966" s="67" t="str"/>
      <x:c r="S966" s="67" t="str"/>
    </x:row>
    <x:row r="967" ht="16" customHeight="1">
      <x:c r="A967" s="56" t="str">
        <x:v>MIS04.002</x:v>
      </x:c>
      <x:c r="B967" s="57" t="str">
        <x:v>Mostrar contadores reales de candidaturas</x:v>
      </x:c>
      <x:c r="C967" s="62" t="str">
        <x:v>E</x:v>
      </x:c>
      <x:c r="D967" s="64" t="n">
        <x:f>'Detalle'!I471</x:f>
        <x:v>1</x:v>
      </x:c>
      <x:c r="E967" s="60" t="str">
        <x:f>'Detalle'!F471</x:f>
        <x:v>Completado</x:v>
      </x:c>
      <x:c r="F967" s="32" t="str">
        <x:f>IF(AND(F$8&lt;='Detalle'!$H471,F$9&gt;='Detalle'!$G471),1,"")</x:f>
      </x:c>
      <x:c r="G967" s="32" t="str">
        <x:f>IF(AND(G$8&lt;='Detalle'!$H471,G$9&gt;='Detalle'!$G471),1,"")</x:f>
      </x:c>
      <x:c r="H967" s="32" t="str">
        <x:f>IF(AND(H$8&lt;='Detalle'!$H471,H$9&gt;='Detalle'!$G471),1,"")</x:f>
      </x:c>
      <x:c r="I967" s="32" t="n">
        <x:f>IF(AND(I$8&lt;='Detalle'!$H471,I$9&gt;='Detalle'!$G471),1,"")</x:f>
        <x:v>1</x:v>
      </x:c>
      <x:c r="J967" s="32" t="str">
        <x:f>IF(AND(J$8&lt;='Detalle'!$H471,J$9&gt;='Detalle'!$G471),1,"")</x:f>
      </x:c>
      <x:c r="K967" s="32" t="str">
        <x:f>IF(AND(K$8&lt;='Detalle'!$H471,K$9&gt;='Detalle'!$G471),1,"")</x:f>
      </x:c>
      <x:c r="L967" s="32" t="str">
        <x:f>IF(AND(L$8&lt;='Detalle'!$H471,L$9&gt;='Detalle'!$G471),1,"")</x:f>
      </x:c>
      <x:c r="M967" s="32" t="str">
        <x:f>IF(AND(M$8&lt;='Detalle'!$H471,M$9&gt;='Detalle'!$G471),1,"")</x:f>
      </x:c>
      <x:c r="N967" s="32" t="str">
        <x:f>IF(AND(N$8&lt;='Detalle'!$H471,N$9&gt;='Detalle'!$G471),1,"")</x:f>
      </x:c>
      <x:c r="O967" s="32" t="str">
        <x:f>IF(AND(O$8&lt;='Detalle'!$H471,O$9&gt;='Detalle'!$G471),1,"")</x:f>
      </x:c>
      <x:c r="P967" s="32" t="str">
        <x:f>IF(AND(P$8&lt;='Detalle'!$H471,P$9&gt;='Detalle'!$G471),1,"")</x:f>
      </x:c>
      <x:c r="Q967" s="68"/>
      <x:c r="R967" s="67" t="str">
        <x:f>IF('Detalle'!M471="","",'Detalle'!M471)</x:f>
      </x:c>
      <x:c r="S967" s="67" t="str">
        <x:f>IF('Detalle'!N471="","",'Detalle'!N471)</x:f>
      </x:c>
    </x:row>
    <x:row r="968" ht="16" customHeight="1">
      <x:c r="A968" s="56" t="str">
        <x:v>MIS04.002</x:v>
      </x:c>
      <x:c r="B968" s="57" t="str">
        <x:v>Mostrar contadores reales de candidaturas</x:v>
      </x:c>
      <x:c r="C968" s="63" t="str">
        <x:v>R</x:v>
      </x:c>
      <x:c r="D968" s="65" t="str">
        <x:f>IF('Detalle'!L471="","",'Detalle'!L471)</x:f>
      </x:c>
      <x:c r="E968" s="60" t="str"/>
      <x:c r="F968" s="32" t="str">
        <x:f>IF(OR('Detalle'!$J471="",'Detalle'!$K471="",'Detalle'!$L471=""),"",IF(AND(F$8&lt;='Detalle'!$K471,F$9&gt;='Detalle'!$J471),1,""))</x:f>
      </x:c>
      <x:c r="G968" s="32" t="str">
        <x:f>IF(OR('Detalle'!$J471="",'Detalle'!$K471="",'Detalle'!$L471=""),"",IF(AND(G$8&lt;='Detalle'!$K471,G$9&gt;='Detalle'!$J471),1,""))</x:f>
      </x:c>
      <x:c r="H968" s="32" t="str">
        <x:f>IF(OR('Detalle'!$J471="",'Detalle'!$K471="",'Detalle'!$L471=""),"",IF(AND(H$8&lt;='Detalle'!$K471,H$9&gt;='Detalle'!$J471),1,""))</x:f>
      </x:c>
      <x:c r="I968" s="32" t="str">
        <x:f>IF(OR('Detalle'!$J471="",'Detalle'!$K471="",'Detalle'!$L471=""),"",IF(AND(I$8&lt;='Detalle'!$K471,I$9&gt;='Detalle'!$J471),1,""))</x:f>
      </x:c>
      <x:c r="J968" s="32" t="str">
        <x:f>IF(OR('Detalle'!$J471="",'Detalle'!$K471="",'Detalle'!$L471=""),"",IF(AND(J$8&lt;='Detalle'!$K471,J$9&gt;='Detalle'!$J471),1,""))</x:f>
      </x:c>
      <x:c r="K968" s="32" t="str">
        <x:f>IF(OR('Detalle'!$J471="",'Detalle'!$K471="",'Detalle'!$L471=""),"",IF(AND(K$8&lt;='Detalle'!$K471,K$9&gt;='Detalle'!$J471),1,""))</x:f>
      </x:c>
      <x:c r="L968" s="32" t="str">
        <x:f>IF(OR('Detalle'!$J471="",'Detalle'!$K471="",'Detalle'!$L471=""),"",IF(AND(L$8&lt;='Detalle'!$K471,L$9&gt;='Detalle'!$J471),1,""))</x:f>
      </x:c>
      <x:c r="M968" s="32" t="str">
        <x:f>IF(OR('Detalle'!$J471="",'Detalle'!$K471="",'Detalle'!$L471=""),"",IF(AND(M$8&lt;='Detalle'!$K471,M$9&gt;='Detalle'!$J471),1,""))</x:f>
      </x:c>
      <x:c r="N968" s="32" t="str">
        <x:f>IF(OR('Detalle'!$J471="",'Detalle'!$K471="",'Detalle'!$L471=""),"",IF(AND(N$8&lt;='Detalle'!$K471,N$9&gt;='Detalle'!$J471),1,""))</x:f>
      </x:c>
      <x:c r="O968" s="32" t="str">
        <x:f>IF(OR('Detalle'!$J471="",'Detalle'!$K471="",'Detalle'!$L471=""),"",IF(AND(O$8&lt;='Detalle'!$K471,O$9&gt;='Detalle'!$J471),1,""))</x:f>
      </x:c>
      <x:c r="P968" s="32" t="str">
        <x:f>IF(OR('Detalle'!$J471="",'Detalle'!$K471="",'Detalle'!$L471=""),"",IF(AND(P$8&lt;='Detalle'!$K471,P$9&gt;='Detalle'!$J471),1,""))</x:f>
      </x:c>
      <x:c r="Q968" s="68"/>
      <x:c r="R968" s="67" t="str"/>
      <x:c r="S968" s="67" t="str"/>
    </x:row>
    <x:row r="969" ht="16" customHeight="1">
      <x:c r="A969" s="56" t="str">
        <x:v>MIS04.003</x:v>
      </x:c>
      <x:c r="B969" s="57" t="str">
        <x:v>Filtrar candidatos de gestión</x:v>
      </x:c>
      <x:c r="C969" s="62" t="str">
        <x:v>E</x:v>
      </x:c>
      <x:c r="D969" s="64" t="n">
        <x:f>'Detalle'!I472</x:f>
        <x:v>1</x:v>
      </x:c>
      <x:c r="E969" s="60" t="str">
        <x:f>'Detalle'!F472</x:f>
        <x:v>Completado</x:v>
      </x:c>
      <x:c r="F969" s="32" t="str">
        <x:f>IF(AND(F$8&lt;='Detalle'!$H472,F$9&gt;='Detalle'!$G472),1,"")</x:f>
      </x:c>
      <x:c r="G969" s="32" t="str">
        <x:f>IF(AND(G$8&lt;='Detalle'!$H472,G$9&gt;='Detalle'!$G472),1,"")</x:f>
      </x:c>
      <x:c r="H969" s="32" t="str">
        <x:f>IF(AND(H$8&lt;='Detalle'!$H472,H$9&gt;='Detalle'!$G472),1,"")</x:f>
      </x:c>
      <x:c r="I969" s="32" t="n">
        <x:f>IF(AND(I$8&lt;='Detalle'!$H472,I$9&gt;='Detalle'!$G472),1,"")</x:f>
        <x:v>1</x:v>
      </x:c>
      <x:c r="J969" s="32" t="str">
        <x:f>IF(AND(J$8&lt;='Detalle'!$H472,J$9&gt;='Detalle'!$G472),1,"")</x:f>
      </x:c>
      <x:c r="K969" s="32" t="str">
        <x:f>IF(AND(K$8&lt;='Detalle'!$H472,K$9&gt;='Detalle'!$G472),1,"")</x:f>
      </x:c>
      <x:c r="L969" s="32" t="str">
        <x:f>IF(AND(L$8&lt;='Detalle'!$H472,L$9&gt;='Detalle'!$G472),1,"")</x:f>
      </x:c>
      <x:c r="M969" s="32" t="str">
        <x:f>IF(AND(M$8&lt;='Detalle'!$H472,M$9&gt;='Detalle'!$G472),1,"")</x:f>
      </x:c>
      <x:c r="N969" s="32" t="str">
        <x:f>IF(AND(N$8&lt;='Detalle'!$H472,N$9&gt;='Detalle'!$G472),1,"")</x:f>
      </x:c>
      <x:c r="O969" s="32" t="str">
        <x:f>IF(AND(O$8&lt;='Detalle'!$H472,O$9&gt;='Detalle'!$G472),1,"")</x:f>
      </x:c>
      <x:c r="P969" s="32" t="str">
        <x:f>IF(AND(P$8&lt;='Detalle'!$H472,P$9&gt;='Detalle'!$G472),1,"")</x:f>
      </x:c>
      <x:c r="Q969" s="68"/>
      <x:c r="R969" s="67" t="str">
        <x:f>IF('Detalle'!M472="","",'Detalle'!M472)</x:f>
      </x:c>
      <x:c r="S969" s="67" t="str">
        <x:f>IF('Detalle'!N472="","",'Detalle'!N472)</x:f>
      </x:c>
    </x:row>
    <x:row r="970" ht="16" customHeight="1">
      <x:c r="A970" s="56" t="str">
        <x:v>MIS04.003</x:v>
      </x:c>
      <x:c r="B970" s="57" t="str">
        <x:v>Filtrar candidatos de gestión</x:v>
      </x:c>
      <x:c r="C970" s="63" t="str">
        <x:v>R</x:v>
      </x:c>
      <x:c r="D970" s="65" t="str">
        <x:f>IF('Detalle'!L472="","",'Detalle'!L472)</x:f>
      </x:c>
      <x:c r="E970" s="60" t="str"/>
      <x:c r="F970" s="32" t="str">
        <x:f>IF(OR('Detalle'!$J472="",'Detalle'!$K472="",'Detalle'!$L472=""),"",IF(AND(F$8&lt;='Detalle'!$K472,F$9&gt;='Detalle'!$J472),1,""))</x:f>
      </x:c>
      <x:c r="G970" s="32" t="str">
        <x:f>IF(OR('Detalle'!$J472="",'Detalle'!$K472="",'Detalle'!$L472=""),"",IF(AND(G$8&lt;='Detalle'!$K472,G$9&gt;='Detalle'!$J472),1,""))</x:f>
      </x:c>
      <x:c r="H970" s="32" t="str">
        <x:f>IF(OR('Detalle'!$J472="",'Detalle'!$K472="",'Detalle'!$L472=""),"",IF(AND(H$8&lt;='Detalle'!$K472,H$9&gt;='Detalle'!$J472),1,""))</x:f>
      </x:c>
      <x:c r="I970" s="32" t="str">
        <x:f>IF(OR('Detalle'!$J472="",'Detalle'!$K472="",'Detalle'!$L472=""),"",IF(AND(I$8&lt;='Detalle'!$K472,I$9&gt;='Detalle'!$J472),1,""))</x:f>
      </x:c>
      <x:c r="J970" s="32" t="str">
        <x:f>IF(OR('Detalle'!$J472="",'Detalle'!$K472="",'Detalle'!$L472=""),"",IF(AND(J$8&lt;='Detalle'!$K472,J$9&gt;='Detalle'!$J472),1,""))</x:f>
      </x:c>
      <x:c r="K970" s="32" t="str">
        <x:f>IF(OR('Detalle'!$J472="",'Detalle'!$K472="",'Detalle'!$L472=""),"",IF(AND(K$8&lt;='Detalle'!$K472,K$9&gt;='Detalle'!$J472),1,""))</x:f>
      </x:c>
      <x:c r="L970" s="32" t="str">
        <x:f>IF(OR('Detalle'!$J472="",'Detalle'!$K472="",'Detalle'!$L472=""),"",IF(AND(L$8&lt;='Detalle'!$K472,L$9&gt;='Detalle'!$J472),1,""))</x:f>
      </x:c>
      <x:c r="M970" s="32" t="str">
        <x:f>IF(OR('Detalle'!$J472="",'Detalle'!$K472="",'Detalle'!$L472=""),"",IF(AND(M$8&lt;='Detalle'!$K472,M$9&gt;='Detalle'!$J472),1,""))</x:f>
      </x:c>
      <x:c r="N970" s="32" t="str">
        <x:f>IF(OR('Detalle'!$J472="",'Detalle'!$K472="",'Detalle'!$L472=""),"",IF(AND(N$8&lt;='Detalle'!$K472,N$9&gt;='Detalle'!$J472),1,""))</x:f>
      </x:c>
      <x:c r="O970" s="32" t="str">
        <x:f>IF(OR('Detalle'!$J472="",'Detalle'!$K472="",'Detalle'!$L472=""),"",IF(AND(O$8&lt;='Detalle'!$K472,O$9&gt;='Detalle'!$J472),1,""))</x:f>
      </x:c>
      <x:c r="P970" s="32" t="str">
        <x:f>IF(OR('Detalle'!$J472="",'Detalle'!$K472="",'Detalle'!$L472=""),"",IF(AND(P$8&lt;='Detalle'!$K472,P$9&gt;='Detalle'!$J472),1,""))</x:f>
      </x:c>
      <x:c r="Q970" s="68"/>
      <x:c r="R970" s="67" t="str"/>
      <x:c r="S970" s="67" t="str"/>
    </x:row>
    <x:row r="971" ht="16" customHeight="1">
      <x:c r="A971" s="56" t="str">
        <x:v>MIS04.004</x:v>
      </x:c>
      <x:c r="B971" s="57" t="str">
        <x:v>Consultar perfil y muestras del candidato</x:v>
      </x:c>
      <x:c r="C971" s="62" t="str">
        <x:v>E</x:v>
      </x:c>
      <x:c r="D971" s="64" t="n">
        <x:f>'Detalle'!I473</x:f>
        <x:v>1</x:v>
      </x:c>
      <x:c r="E971" s="60" t="str">
        <x:f>'Detalle'!F473</x:f>
        <x:v>Completado</x:v>
      </x:c>
      <x:c r="F971" s="32" t="str">
        <x:f>IF(AND(F$8&lt;='Detalle'!$H473,F$9&gt;='Detalle'!$G473),1,"")</x:f>
      </x:c>
      <x:c r="G971" s="32" t="str">
        <x:f>IF(AND(G$8&lt;='Detalle'!$H473,G$9&gt;='Detalle'!$G473),1,"")</x:f>
      </x:c>
      <x:c r="H971" s="32" t="str">
        <x:f>IF(AND(H$8&lt;='Detalle'!$H473,H$9&gt;='Detalle'!$G473),1,"")</x:f>
      </x:c>
      <x:c r="I971" s="32" t="n">
        <x:f>IF(AND(I$8&lt;='Detalle'!$H473,I$9&gt;='Detalle'!$G473),1,"")</x:f>
        <x:v>1</x:v>
      </x:c>
      <x:c r="J971" s="32" t="str">
        <x:f>IF(AND(J$8&lt;='Detalle'!$H473,J$9&gt;='Detalle'!$G473),1,"")</x:f>
      </x:c>
      <x:c r="K971" s="32" t="str">
        <x:f>IF(AND(K$8&lt;='Detalle'!$H473,K$9&gt;='Detalle'!$G473),1,"")</x:f>
      </x:c>
      <x:c r="L971" s="32" t="str">
        <x:f>IF(AND(L$8&lt;='Detalle'!$H473,L$9&gt;='Detalle'!$G473),1,"")</x:f>
      </x:c>
      <x:c r="M971" s="32" t="str">
        <x:f>IF(AND(M$8&lt;='Detalle'!$H473,M$9&gt;='Detalle'!$G473),1,"")</x:f>
      </x:c>
      <x:c r="N971" s="32" t="str">
        <x:f>IF(AND(N$8&lt;='Detalle'!$H473,N$9&gt;='Detalle'!$G473),1,"")</x:f>
      </x:c>
      <x:c r="O971" s="32" t="str">
        <x:f>IF(AND(O$8&lt;='Detalle'!$H473,O$9&gt;='Detalle'!$G473),1,"")</x:f>
      </x:c>
      <x:c r="P971" s="32" t="str">
        <x:f>IF(AND(P$8&lt;='Detalle'!$H473,P$9&gt;='Detalle'!$G473),1,"")</x:f>
      </x:c>
      <x:c r="Q971" s="68"/>
      <x:c r="R971" s="67" t="str">
        <x:f>IF('Detalle'!M473="","",'Detalle'!M473)</x:f>
      </x:c>
      <x:c r="S971" s="67" t="str">
        <x:f>IF('Detalle'!N473="","",'Detalle'!N473)</x:f>
      </x:c>
    </x:row>
    <x:row r="972" ht="16" customHeight="1">
      <x:c r="A972" s="56" t="str">
        <x:v>MIS04.004</x:v>
      </x:c>
      <x:c r="B972" s="57" t="str">
        <x:v>Consultar perfil y muestras del candidato</x:v>
      </x:c>
      <x:c r="C972" s="63" t="str">
        <x:v>R</x:v>
      </x:c>
      <x:c r="D972" s="65" t="str">
        <x:f>IF('Detalle'!L473="","",'Detalle'!L473)</x:f>
      </x:c>
      <x:c r="E972" s="60" t="str"/>
      <x:c r="F972" s="32" t="str">
        <x:f>IF(OR('Detalle'!$J473="",'Detalle'!$K473="",'Detalle'!$L473=""),"",IF(AND(F$8&lt;='Detalle'!$K473,F$9&gt;='Detalle'!$J473),1,""))</x:f>
      </x:c>
      <x:c r="G972" s="32" t="str">
        <x:f>IF(OR('Detalle'!$J473="",'Detalle'!$K473="",'Detalle'!$L473=""),"",IF(AND(G$8&lt;='Detalle'!$K473,G$9&gt;='Detalle'!$J473),1,""))</x:f>
      </x:c>
      <x:c r="H972" s="32" t="str">
        <x:f>IF(OR('Detalle'!$J473="",'Detalle'!$K473="",'Detalle'!$L473=""),"",IF(AND(H$8&lt;='Detalle'!$K473,H$9&gt;='Detalle'!$J473),1,""))</x:f>
      </x:c>
      <x:c r="I972" s="32" t="str">
        <x:f>IF(OR('Detalle'!$J473="",'Detalle'!$K473="",'Detalle'!$L473=""),"",IF(AND(I$8&lt;='Detalle'!$K473,I$9&gt;='Detalle'!$J473),1,""))</x:f>
      </x:c>
      <x:c r="J972" s="32" t="str">
        <x:f>IF(OR('Detalle'!$J473="",'Detalle'!$K473="",'Detalle'!$L473=""),"",IF(AND(J$8&lt;='Detalle'!$K473,J$9&gt;='Detalle'!$J473),1,""))</x:f>
      </x:c>
      <x:c r="K972" s="32" t="str">
        <x:f>IF(OR('Detalle'!$J473="",'Detalle'!$K473="",'Detalle'!$L473=""),"",IF(AND(K$8&lt;='Detalle'!$K473,K$9&gt;='Detalle'!$J473),1,""))</x:f>
      </x:c>
      <x:c r="L972" s="32" t="str">
        <x:f>IF(OR('Detalle'!$J473="",'Detalle'!$K473="",'Detalle'!$L473=""),"",IF(AND(L$8&lt;='Detalle'!$K473,L$9&gt;='Detalle'!$J473),1,""))</x:f>
      </x:c>
      <x:c r="M972" s="32" t="str">
        <x:f>IF(OR('Detalle'!$J473="",'Detalle'!$K473="",'Detalle'!$L473=""),"",IF(AND(M$8&lt;='Detalle'!$K473,M$9&gt;='Detalle'!$J473),1,""))</x:f>
      </x:c>
      <x:c r="N972" s="32" t="str">
        <x:f>IF(OR('Detalle'!$J473="",'Detalle'!$K473="",'Detalle'!$L473=""),"",IF(AND(N$8&lt;='Detalle'!$K473,N$9&gt;='Detalle'!$J473),1,""))</x:f>
      </x:c>
      <x:c r="O972" s="32" t="str">
        <x:f>IF(OR('Detalle'!$J473="",'Detalle'!$K473="",'Detalle'!$L473=""),"",IF(AND(O$8&lt;='Detalle'!$K473,O$9&gt;='Detalle'!$J473),1,""))</x:f>
      </x:c>
      <x:c r="P972" s="32" t="str">
        <x:f>IF(OR('Detalle'!$J473="",'Detalle'!$K473="",'Detalle'!$L473=""),"",IF(AND(P$8&lt;='Detalle'!$K473,P$9&gt;='Detalle'!$J473),1,""))</x:f>
      </x:c>
      <x:c r="Q972" s="68"/>
      <x:c r="R972" s="67" t="str"/>
      <x:c r="S972" s="67" t="str"/>
    </x:row>
    <x:row r="973" ht="16" customHeight="1">
      <x:c r="A973" s="56" t="str">
        <x:v>MIS04.005</x:v>
      </x:c>
      <x:c r="B973" s="57" t="str">
        <x:v>Marcar finalistas internos</x:v>
      </x:c>
      <x:c r="C973" s="62" t="str">
        <x:v>E</x:v>
      </x:c>
      <x:c r="D973" s="64" t="n">
        <x:f>'Detalle'!I474</x:f>
        <x:v>1</x:v>
      </x:c>
      <x:c r="E973" s="60" t="str">
        <x:f>'Detalle'!F474</x:f>
        <x:v>Completado</x:v>
      </x:c>
      <x:c r="F973" s="32" t="str">
        <x:f>IF(AND(F$8&lt;='Detalle'!$H474,F$9&gt;='Detalle'!$G474),1,"")</x:f>
      </x:c>
      <x:c r="G973" s="32" t="str">
        <x:f>IF(AND(G$8&lt;='Detalle'!$H474,G$9&gt;='Detalle'!$G474),1,"")</x:f>
      </x:c>
      <x:c r="H973" s="32" t="str">
        <x:f>IF(AND(H$8&lt;='Detalle'!$H474,H$9&gt;='Detalle'!$G474),1,"")</x:f>
      </x:c>
      <x:c r="I973" s="32" t="n">
        <x:f>IF(AND(I$8&lt;='Detalle'!$H474,I$9&gt;='Detalle'!$G474),1,"")</x:f>
        <x:v>1</x:v>
      </x:c>
      <x:c r="J973" s="32" t="str">
        <x:f>IF(AND(J$8&lt;='Detalle'!$H474,J$9&gt;='Detalle'!$G474),1,"")</x:f>
      </x:c>
      <x:c r="K973" s="32" t="str">
        <x:f>IF(AND(K$8&lt;='Detalle'!$H474,K$9&gt;='Detalle'!$G474),1,"")</x:f>
      </x:c>
      <x:c r="L973" s="32" t="str">
        <x:f>IF(AND(L$8&lt;='Detalle'!$H474,L$9&gt;='Detalle'!$G474),1,"")</x:f>
      </x:c>
      <x:c r="M973" s="32" t="str">
        <x:f>IF(AND(M$8&lt;='Detalle'!$H474,M$9&gt;='Detalle'!$G474),1,"")</x:f>
      </x:c>
      <x:c r="N973" s="32" t="str">
        <x:f>IF(AND(N$8&lt;='Detalle'!$H474,N$9&gt;='Detalle'!$G474),1,"")</x:f>
      </x:c>
      <x:c r="O973" s="32" t="str">
        <x:f>IF(AND(O$8&lt;='Detalle'!$H474,O$9&gt;='Detalle'!$G474),1,"")</x:f>
      </x:c>
      <x:c r="P973" s="32" t="str">
        <x:f>IF(AND(P$8&lt;='Detalle'!$H474,P$9&gt;='Detalle'!$G474),1,"")</x:f>
      </x:c>
      <x:c r="Q973" s="68"/>
      <x:c r="R973" s="67" t="str">
        <x:f>IF('Detalle'!M474="","",'Detalle'!M474)</x:f>
      </x:c>
      <x:c r="S973" s="67" t="str">
        <x:f>IF('Detalle'!N474="","",'Detalle'!N474)</x:f>
      </x:c>
    </x:row>
    <x:row r="974" ht="16" customHeight="1">
      <x:c r="A974" s="56" t="str">
        <x:v>MIS04.005</x:v>
      </x:c>
      <x:c r="B974" s="57" t="str">
        <x:v>Marcar finalistas internos</x:v>
      </x:c>
      <x:c r="C974" s="63" t="str">
        <x:v>R</x:v>
      </x:c>
      <x:c r="D974" s="65" t="str">
        <x:f>IF('Detalle'!L474="","",'Detalle'!L474)</x:f>
      </x:c>
      <x:c r="E974" s="60" t="str"/>
      <x:c r="F974" s="32" t="str">
        <x:f>IF(OR('Detalle'!$J474="",'Detalle'!$K474="",'Detalle'!$L474=""),"",IF(AND(F$8&lt;='Detalle'!$K474,F$9&gt;='Detalle'!$J474),1,""))</x:f>
      </x:c>
      <x:c r="G974" s="32" t="str">
        <x:f>IF(OR('Detalle'!$J474="",'Detalle'!$K474="",'Detalle'!$L474=""),"",IF(AND(G$8&lt;='Detalle'!$K474,G$9&gt;='Detalle'!$J474),1,""))</x:f>
      </x:c>
      <x:c r="H974" s="32" t="str">
        <x:f>IF(OR('Detalle'!$J474="",'Detalle'!$K474="",'Detalle'!$L474=""),"",IF(AND(H$8&lt;='Detalle'!$K474,H$9&gt;='Detalle'!$J474),1,""))</x:f>
      </x:c>
      <x:c r="I974" s="32" t="str">
        <x:f>IF(OR('Detalle'!$J474="",'Detalle'!$K474="",'Detalle'!$L474=""),"",IF(AND(I$8&lt;='Detalle'!$K474,I$9&gt;='Detalle'!$J474),1,""))</x:f>
      </x:c>
      <x:c r="J974" s="32" t="str">
        <x:f>IF(OR('Detalle'!$J474="",'Detalle'!$K474="",'Detalle'!$L474=""),"",IF(AND(J$8&lt;='Detalle'!$K474,J$9&gt;='Detalle'!$J474),1,""))</x:f>
      </x:c>
      <x:c r="K974" s="32" t="str">
        <x:f>IF(OR('Detalle'!$J474="",'Detalle'!$K474="",'Detalle'!$L474=""),"",IF(AND(K$8&lt;='Detalle'!$K474,K$9&gt;='Detalle'!$J474),1,""))</x:f>
      </x:c>
      <x:c r="L974" s="32" t="str">
        <x:f>IF(OR('Detalle'!$J474="",'Detalle'!$K474="",'Detalle'!$L474=""),"",IF(AND(L$8&lt;='Detalle'!$K474,L$9&gt;='Detalle'!$J474),1,""))</x:f>
      </x:c>
      <x:c r="M974" s="32" t="str">
        <x:f>IF(OR('Detalle'!$J474="",'Detalle'!$K474="",'Detalle'!$L474=""),"",IF(AND(M$8&lt;='Detalle'!$K474,M$9&gt;='Detalle'!$J474),1,""))</x:f>
      </x:c>
      <x:c r="N974" s="32" t="str">
        <x:f>IF(OR('Detalle'!$J474="",'Detalle'!$K474="",'Detalle'!$L474=""),"",IF(AND(N$8&lt;='Detalle'!$K474,N$9&gt;='Detalle'!$J474),1,""))</x:f>
      </x:c>
      <x:c r="O974" s="32" t="str">
        <x:f>IF(OR('Detalle'!$J474="",'Detalle'!$K474="",'Detalle'!$L474=""),"",IF(AND(O$8&lt;='Detalle'!$K474,O$9&gt;='Detalle'!$J474),1,""))</x:f>
      </x:c>
      <x:c r="P974" s="32" t="str">
        <x:f>IF(OR('Detalle'!$J474="",'Detalle'!$K474="",'Detalle'!$L474=""),"",IF(AND(P$8&lt;='Detalle'!$K474,P$9&gt;='Detalle'!$J474),1,""))</x:f>
      </x:c>
      <x:c r="Q974" s="68"/>
      <x:c r="R974" s="67" t="str"/>
      <x:c r="S974" s="67" t="str"/>
    </x:row>
    <x:row r="975" ht="16" customHeight="1">
      <x:c r="A975" s="56" t="str">
        <x:v>MIS04.006</x:v>
      </x:c>
      <x:c r="B975" s="57" t="str">
        <x:v>Crear selección provisional de grupo</x:v>
      </x:c>
      <x:c r="C975" s="62" t="str">
        <x:v>E</x:v>
      </x:c>
      <x:c r="D975" s="64" t="n">
        <x:f>'Detalle'!I475</x:f>
        <x:v>1</x:v>
      </x:c>
      <x:c r="E975" s="60" t="str">
        <x:f>'Detalle'!F475</x:f>
        <x:v>Completado</x:v>
      </x:c>
      <x:c r="F975" s="32" t="str">
        <x:f>IF(AND(F$8&lt;='Detalle'!$H475,F$9&gt;='Detalle'!$G475),1,"")</x:f>
      </x:c>
      <x:c r="G975" s="32" t="str">
        <x:f>IF(AND(G$8&lt;='Detalle'!$H475,G$9&gt;='Detalle'!$G475),1,"")</x:f>
      </x:c>
      <x:c r="H975" s="32" t="str">
        <x:f>IF(AND(H$8&lt;='Detalle'!$H475,H$9&gt;='Detalle'!$G475),1,"")</x:f>
      </x:c>
      <x:c r="I975" s="32" t="n">
        <x:f>IF(AND(I$8&lt;='Detalle'!$H475,I$9&gt;='Detalle'!$G475),1,"")</x:f>
        <x:v>1</x:v>
      </x:c>
      <x:c r="J975" s="32" t="str">
        <x:f>IF(AND(J$8&lt;='Detalle'!$H475,J$9&gt;='Detalle'!$G475),1,"")</x:f>
      </x:c>
      <x:c r="K975" s="32" t="str">
        <x:f>IF(AND(K$8&lt;='Detalle'!$H475,K$9&gt;='Detalle'!$G475),1,"")</x:f>
      </x:c>
      <x:c r="L975" s="32" t="str">
        <x:f>IF(AND(L$8&lt;='Detalle'!$H475,L$9&gt;='Detalle'!$G475),1,"")</x:f>
      </x:c>
      <x:c r="M975" s="32" t="str">
        <x:f>IF(AND(M$8&lt;='Detalle'!$H475,M$9&gt;='Detalle'!$G475),1,"")</x:f>
      </x:c>
      <x:c r="N975" s="32" t="str">
        <x:f>IF(AND(N$8&lt;='Detalle'!$H475,N$9&gt;='Detalle'!$G475),1,"")</x:f>
      </x:c>
      <x:c r="O975" s="32" t="str">
        <x:f>IF(AND(O$8&lt;='Detalle'!$H475,O$9&gt;='Detalle'!$G475),1,"")</x:f>
      </x:c>
      <x:c r="P975" s="32" t="str">
        <x:f>IF(AND(P$8&lt;='Detalle'!$H475,P$9&gt;='Detalle'!$G475),1,"")</x:f>
      </x:c>
      <x:c r="Q975" s="68"/>
      <x:c r="R975" s="67" t="str">
        <x:f>IF('Detalle'!M475="","",'Detalle'!M475)</x:f>
      </x:c>
      <x:c r="S975" s="67" t="str">
        <x:f>IF('Detalle'!N475="","",'Detalle'!N475)</x:f>
      </x:c>
    </x:row>
    <x:row r="976" ht="16" customHeight="1">
      <x:c r="A976" s="56" t="str">
        <x:v>MIS04.006</x:v>
      </x:c>
      <x:c r="B976" s="57" t="str">
        <x:v>Crear selección provisional de grupo</x:v>
      </x:c>
      <x:c r="C976" s="63" t="str">
        <x:v>R</x:v>
      </x:c>
      <x:c r="D976" s="65" t="str">
        <x:f>IF('Detalle'!L475="","",'Detalle'!L475)</x:f>
      </x:c>
      <x:c r="E976" s="60" t="str"/>
      <x:c r="F976" s="32" t="str">
        <x:f>IF(OR('Detalle'!$J475="",'Detalle'!$K475="",'Detalle'!$L475=""),"",IF(AND(F$8&lt;='Detalle'!$K475,F$9&gt;='Detalle'!$J475),1,""))</x:f>
      </x:c>
      <x:c r="G976" s="32" t="str">
        <x:f>IF(OR('Detalle'!$J475="",'Detalle'!$K475="",'Detalle'!$L475=""),"",IF(AND(G$8&lt;='Detalle'!$K475,G$9&gt;='Detalle'!$J475),1,""))</x:f>
      </x:c>
      <x:c r="H976" s="32" t="str">
        <x:f>IF(OR('Detalle'!$J475="",'Detalle'!$K475="",'Detalle'!$L475=""),"",IF(AND(H$8&lt;='Detalle'!$K475,H$9&gt;='Detalle'!$J475),1,""))</x:f>
      </x:c>
      <x:c r="I976" s="32" t="str">
        <x:f>IF(OR('Detalle'!$J475="",'Detalle'!$K475="",'Detalle'!$L475=""),"",IF(AND(I$8&lt;='Detalle'!$K475,I$9&gt;='Detalle'!$J475),1,""))</x:f>
      </x:c>
      <x:c r="J976" s="32" t="str">
        <x:f>IF(OR('Detalle'!$J475="",'Detalle'!$K475="",'Detalle'!$L475=""),"",IF(AND(J$8&lt;='Detalle'!$K475,J$9&gt;='Detalle'!$J475),1,""))</x:f>
      </x:c>
      <x:c r="K976" s="32" t="str">
        <x:f>IF(OR('Detalle'!$J475="",'Detalle'!$K475="",'Detalle'!$L475=""),"",IF(AND(K$8&lt;='Detalle'!$K475,K$9&gt;='Detalle'!$J475),1,""))</x:f>
      </x:c>
      <x:c r="L976" s="32" t="str">
        <x:f>IF(OR('Detalle'!$J475="",'Detalle'!$K475="",'Detalle'!$L475=""),"",IF(AND(L$8&lt;='Detalle'!$K475,L$9&gt;='Detalle'!$J475),1,""))</x:f>
      </x:c>
      <x:c r="M976" s="32" t="str">
        <x:f>IF(OR('Detalle'!$J475="",'Detalle'!$K475="",'Detalle'!$L475=""),"",IF(AND(M$8&lt;='Detalle'!$K475,M$9&gt;='Detalle'!$J475),1,""))</x:f>
      </x:c>
      <x:c r="N976" s="32" t="str">
        <x:f>IF(OR('Detalle'!$J475="",'Detalle'!$K475="",'Detalle'!$L475=""),"",IF(AND(N$8&lt;='Detalle'!$K475,N$9&gt;='Detalle'!$J475),1,""))</x:f>
      </x:c>
      <x:c r="O976" s="32" t="str">
        <x:f>IF(OR('Detalle'!$J475="",'Detalle'!$K475="",'Detalle'!$L475=""),"",IF(AND(O$8&lt;='Detalle'!$K475,O$9&gt;='Detalle'!$J475),1,""))</x:f>
      </x:c>
      <x:c r="P976" s="32" t="str">
        <x:f>IF(OR('Detalle'!$J475="",'Detalle'!$K475="",'Detalle'!$L475=""),"",IF(AND(P$8&lt;='Detalle'!$K475,P$9&gt;='Detalle'!$J475),1,""))</x:f>
      </x:c>
      <x:c r="Q976" s="68"/>
      <x:c r="R976" s="67" t="str"/>
      <x:c r="S976" s="67" t="str"/>
    </x:row>
    <x:row r="977" ht="16" customHeight="1">
      <x:c r="A977" s="56" t="str">
        <x:v>MIS04.007</x:v>
      </x:c>
      <x:c r="B977" s="57" t="str">
        <x:v>Confirmar selección atómica</x:v>
      </x:c>
      <x:c r="C977" s="62" t="str">
        <x:v>E</x:v>
      </x:c>
      <x:c r="D977" s="64" t="n">
        <x:f>'Detalle'!I476</x:f>
        <x:v>1</x:v>
      </x:c>
      <x:c r="E977" s="60" t="str">
        <x:f>'Detalle'!F476</x:f>
        <x:v>Completado</x:v>
      </x:c>
      <x:c r="F977" s="32" t="str">
        <x:f>IF(AND(F$8&lt;='Detalle'!$H476,F$9&gt;='Detalle'!$G476),1,"")</x:f>
      </x:c>
      <x:c r="G977" s="32" t="str">
        <x:f>IF(AND(G$8&lt;='Detalle'!$H476,G$9&gt;='Detalle'!$G476),1,"")</x:f>
      </x:c>
      <x:c r="H977" s="32" t="str">
        <x:f>IF(AND(H$8&lt;='Detalle'!$H476,H$9&gt;='Detalle'!$G476),1,"")</x:f>
      </x:c>
      <x:c r="I977" s="32" t="n">
        <x:f>IF(AND(I$8&lt;='Detalle'!$H476,I$9&gt;='Detalle'!$G476),1,"")</x:f>
        <x:v>1</x:v>
      </x:c>
      <x:c r="J977" s="32" t="str">
        <x:f>IF(AND(J$8&lt;='Detalle'!$H476,J$9&gt;='Detalle'!$G476),1,"")</x:f>
      </x:c>
      <x:c r="K977" s="32" t="str">
        <x:f>IF(AND(K$8&lt;='Detalle'!$H476,K$9&gt;='Detalle'!$G476),1,"")</x:f>
      </x:c>
      <x:c r="L977" s="32" t="str">
        <x:f>IF(AND(L$8&lt;='Detalle'!$H476,L$9&gt;='Detalle'!$G476),1,"")</x:f>
      </x:c>
      <x:c r="M977" s="32" t="str">
        <x:f>IF(AND(M$8&lt;='Detalle'!$H476,M$9&gt;='Detalle'!$G476),1,"")</x:f>
      </x:c>
      <x:c r="N977" s="32" t="str">
        <x:f>IF(AND(N$8&lt;='Detalle'!$H476,N$9&gt;='Detalle'!$G476),1,"")</x:f>
      </x:c>
      <x:c r="O977" s="32" t="str">
        <x:f>IF(AND(O$8&lt;='Detalle'!$H476,O$9&gt;='Detalle'!$G476),1,"")</x:f>
      </x:c>
      <x:c r="P977" s="32" t="str">
        <x:f>IF(AND(P$8&lt;='Detalle'!$H476,P$9&gt;='Detalle'!$G476),1,"")</x:f>
      </x:c>
      <x:c r="Q977" s="68"/>
      <x:c r="R977" s="67" t="str">
        <x:f>IF('Detalle'!M476="","",'Detalle'!M476)</x:f>
      </x:c>
      <x:c r="S977" s="67" t="str">
        <x:f>IF('Detalle'!N476="","",'Detalle'!N476)</x:f>
      </x:c>
    </x:row>
    <x:row r="978" ht="16" customHeight="1">
      <x:c r="A978" s="56" t="str">
        <x:v>MIS04.007</x:v>
      </x:c>
      <x:c r="B978" s="57" t="str">
        <x:v>Confirmar selección atómica</x:v>
      </x:c>
      <x:c r="C978" s="63" t="str">
        <x:v>R</x:v>
      </x:c>
      <x:c r="D978" s="65" t="str">
        <x:f>IF('Detalle'!L476="","",'Detalle'!L476)</x:f>
      </x:c>
      <x:c r="E978" s="60" t="str"/>
      <x:c r="F978" s="32" t="str">
        <x:f>IF(OR('Detalle'!$J476="",'Detalle'!$K476="",'Detalle'!$L476=""),"",IF(AND(F$8&lt;='Detalle'!$K476,F$9&gt;='Detalle'!$J476),1,""))</x:f>
      </x:c>
      <x:c r="G978" s="32" t="str">
        <x:f>IF(OR('Detalle'!$J476="",'Detalle'!$K476="",'Detalle'!$L476=""),"",IF(AND(G$8&lt;='Detalle'!$K476,G$9&gt;='Detalle'!$J476),1,""))</x:f>
      </x:c>
      <x:c r="H978" s="32" t="str">
        <x:f>IF(OR('Detalle'!$J476="",'Detalle'!$K476="",'Detalle'!$L476=""),"",IF(AND(H$8&lt;='Detalle'!$K476,H$9&gt;='Detalle'!$J476),1,""))</x:f>
      </x:c>
      <x:c r="I978" s="32" t="str">
        <x:f>IF(OR('Detalle'!$J476="",'Detalle'!$K476="",'Detalle'!$L476=""),"",IF(AND(I$8&lt;='Detalle'!$K476,I$9&gt;='Detalle'!$J476),1,""))</x:f>
      </x:c>
      <x:c r="J978" s="32" t="str">
        <x:f>IF(OR('Detalle'!$J476="",'Detalle'!$K476="",'Detalle'!$L476=""),"",IF(AND(J$8&lt;='Detalle'!$K476,J$9&gt;='Detalle'!$J476),1,""))</x:f>
      </x:c>
      <x:c r="K978" s="32" t="str">
        <x:f>IF(OR('Detalle'!$J476="",'Detalle'!$K476="",'Detalle'!$L476=""),"",IF(AND(K$8&lt;='Detalle'!$K476,K$9&gt;='Detalle'!$J476),1,""))</x:f>
      </x:c>
      <x:c r="L978" s="32" t="str">
        <x:f>IF(OR('Detalle'!$J476="",'Detalle'!$K476="",'Detalle'!$L476=""),"",IF(AND(L$8&lt;='Detalle'!$K476,L$9&gt;='Detalle'!$J476),1,""))</x:f>
      </x:c>
      <x:c r="M978" s="32" t="str">
        <x:f>IF(OR('Detalle'!$J476="",'Detalle'!$K476="",'Detalle'!$L476=""),"",IF(AND(M$8&lt;='Detalle'!$K476,M$9&gt;='Detalle'!$J476),1,""))</x:f>
      </x:c>
      <x:c r="N978" s="32" t="str">
        <x:f>IF(OR('Detalle'!$J476="",'Detalle'!$K476="",'Detalle'!$L476=""),"",IF(AND(N$8&lt;='Detalle'!$K476,N$9&gt;='Detalle'!$J476),1,""))</x:f>
      </x:c>
      <x:c r="O978" s="32" t="str">
        <x:f>IF(OR('Detalle'!$J476="",'Detalle'!$K476="",'Detalle'!$L476=""),"",IF(AND(O$8&lt;='Detalle'!$K476,O$9&gt;='Detalle'!$J476),1,""))</x:f>
      </x:c>
      <x:c r="P978" s="32" t="str">
        <x:f>IF(OR('Detalle'!$J476="",'Detalle'!$K476="",'Detalle'!$L476=""),"",IF(AND(P$8&lt;='Detalle'!$K476,P$9&gt;='Detalle'!$J476),1,""))</x:f>
      </x:c>
      <x:c r="Q978" s="68"/>
      <x:c r="R978" s="67" t="str"/>
      <x:c r="S978" s="67" t="str"/>
    </x:row>
    <x:row r="979" ht="16" customHeight="1">
      <x:c r="A979" s="56" t="str">
        <x:v>MIS04.008</x:v>
      </x:c>
      <x:c r="B979" s="57" t="str">
        <x:v>Conservar rechazo individual</x:v>
      </x:c>
      <x:c r="C979" s="62" t="str">
        <x:v>E</x:v>
      </x:c>
      <x:c r="D979" s="64" t="n">
        <x:f>'Detalle'!I477</x:f>
        <x:v>1</x:v>
      </x:c>
      <x:c r="E979" s="60" t="str">
        <x:f>'Detalle'!F477</x:f>
        <x:v>Completado</x:v>
      </x:c>
      <x:c r="F979" s="32" t="str">
        <x:f>IF(AND(F$8&lt;='Detalle'!$H477,F$9&gt;='Detalle'!$G477),1,"")</x:f>
      </x:c>
      <x:c r="G979" s="32" t="str">
        <x:f>IF(AND(G$8&lt;='Detalle'!$H477,G$9&gt;='Detalle'!$G477),1,"")</x:f>
      </x:c>
      <x:c r="H979" s="32" t="str">
        <x:f>IF(AND(H$8&lt;='Detalle'!$H477,H$9&gt;='Detalle'!$G477),1,"")</x:f>
      </x:c>
      <x:c r="I979" s="32" t="n">
        <x:f>IF(AND(I$8&lt;='Detalle'!$H477,I$9&gt;='Detalle'!$G477),1,"")</x:f>
        <x:v>1</x:v>
      </x:c>
      <x:c r="J979" s="32" t="str">
        <x:f>IF(AND(J$8&lt;='Detalle'!$H477,J$9&gt;='Detalle'!$G477),1,"")</x:f>
      </x:c>
      <x:c r="K979" s="32" t="str">
        <x:f>IF(AND(K$8&lt;='Detalle'!$H477,K$9&gt;='Detalle'!$G477),1,"")</x:f>
      </x:c>
      <x:c r="L979" s="32" t="str">
        <x:f>IF(AND(L$8&lt;='Detalle'!$H477,L$9&gt;='Detalle'!$G477),1,"")</x:f>
      </x:c>
      <x:c r="M979" s="32" t="str">
        <x:f>IF(AND(M$8&lt;='Detalle'!$H477,M$9&gt;='Detalle'!$G477),1,"")</x:f>
      </x:c>
      <x:c r="N979" s="32" t="str">
        <x:f>IF(AND(N$8&lt;='Detalle'!$H477,N$9&gt;='Detalle'!$G477),1,"")</x:f>
      </x:c>
      <x:c r="O979" s="32" t="str">
        <x:f>IF(AND(O$8&lt;='Detalle'!$H477,O$9&gt;='Detalle'!$G477),1,"")</x:f>
      </x:c>
      <x:c r="P979" s="32" t="str">
        <x:f>IF(AND(P$8&lt;='Detalle'!$H477,P$9&gt;='Detalle'!$G477),1,"")</x:f>
      </x:c>
      <x:c r="Q979" s="68"/>
      <x:c r="R979" s="67" t="str">
        <x:f>IF('Detalle'!M477="","",'Detalle'!M477)</x:f>
      </x:c>
      <x:c r="S979" s="67" t="str">
        <x:f>IF('Detalle'!N477="","",'Detalle'!N477)</x:f>
      </x:c>
    </x:row>
    <x:row r="980" ht="16" customHeight="1">
      <x:c r="A980" s="56" t="str">
        <x:v>MIS04.008</x:v>
      </x:c>
      <x:c r="B980" s="57" t="str">
        <x:v>Conservar rechazo individual</x:v>
      </x:c>
      <x:c r="C980" s="63" t="str">
        <x:v>R</x:v>
      </x:c>
      <x:c r="D980" s="65" t="str">
        <x:f>IF('Detalle'!L477="","",'Detalle'!L477)</x:f>
      </x:c>
      <x:c r="E980" s="60" t="str"/>
      <x:c r="F980" s="32" t="str">
        <x:f>IF(OR('Detalle'!$J477="",'Detalle'!$K477="",'Detalle'!$L477=""),"",IF(AND(F$8&lt;='Detalle'!$K477,F$9&gt;='Detalle'!$J477),1,""))</x:f>
      </x:c>
      <x:c r="G980" s="32" t="str">
        <x:f>IF(OR('Detalle'!$J477="",'Detalle'!$K477="",'Detalle'!$L477=""),"",IF(AND(G$8&lt;='Detalle'!$K477,G$9&gt;='Detalle'!$J477),1,""))</x:f>
      </x:c>
      <x:c r="H980" s="32" t="str">
        <x:f>IF(OR('Detalle'!$J477="",'Detalle'!$K477="",'Detalle'!$L477=""),"",IF(AND(H$8&lt;='Detalle'!$K477,H$9&gt;='Detalle'!$J477),1,""))</x:f>
      </x:c>
      <x:c r="I980" s="32" t="str">
        <x:f>IF(OR('Detalle'!$J477="",'Detalle'!$K477="",'Detalle'!$L477=""),"",IF(AND(I$8&lt;='Detalle'!$K477,I$9&gt;='Detalle'!$J477),1,""))</x:f>
      </x:c>
      <x:c r="J980" s="32" t="str">
        <x:f>IF(OR('Detalle'!$J477="",'Detalle'!$K477="",'Detalle'!$L477=""),"",IF(AND(J$8&lt;='Detalle'!$K477,J$9&gt;='Detalle'!$J477),1,""))</x:f>
      </x:c>
      <x:c r="K980" s="32" t="str">
        <x:f>IF(OR('Detalle'!$J477="",'Detalle'!$K477="",'Detalle'!$L477=""),"",IF(AND(K$8&lt;='Detalle'!$K477,K$9&gt;='Detalle'!$J477),1,""))</x:f>
      </x:c>
      <x:c r="L980" s="32" t="str">
        <x:f>IF(OR('Detalle'!$J477="",'Detalle'!$K477="",'Detalle'!$L477=""),"",IF(AND(L$8&lt;='Detalle'!$K477,L$9&gt;='Detalle'!$J477),1,""))</x:f>
      </x:c>
      <x:c r="M980" s="32" t="str">
        <x:f>IF(OR('Detalle'!$J477="",'Detalle'!$K477="",'Detalle'!$L477=""),"",IF(AND(M$8&lt;='Detalle'!$K477,M$9&gt;='Detalle'!$J477),1,""))</x:f>
      </x:c>
      <x:c r="N980" s="32" t="str">
        <x:f>IF(OR('Detalle'!$J477="",'Detalle'!$K477="",'Detalle'!$L477=""),"",IF(AND(N$8&lt;='Detalle'!$K477,N$9&gt;='Detalle'!$J477),1,""))</x:f>
      </x:c>
      <x:c r="O980" s="32" t="str">
        <x:f>IF(OR('Detalle'!$J477="",'Detalle'!$K477="",'Detalle'!$L477=""),"",IF(AND(O$8&lt;='Detalle'!$K477,O$9&gt;='Detalle'!$J477),1,""))</x:f>
      </x:c>
      <x:c r="P980" s="32" t="str">
        <x:f>IF(OR('Detalle'!$J477="",'Detalle'!$K477="",'Detalle'!$L477=""),"",IF(AND(P$8&lt;='Detalle'!$K477,P$9&gt;='Detalle'!$J477),1,""))</x:f>
      </x:c>
      <x:c r="Q980" s="68"/>
      <x:c r="R980" s="67" t="str"/>
      <x:c r="S980" s="67" t="str"/>
    </x:row>
    <x:row r="981" ht="16" customHeight="1">
      <x:c r="A981" s="56" t="str">
        <x:v>MIS04.009</x:v>
      </x:c>
      <x:c r="B981" s="57" t="str">
        <x:v>Cerrar y reabrir sin selección automática</x:v>
      </x:c>
      <x:c r="C981" s="62" t="str">
        <x:v>E</x:v>
      </x:c>
      <x:c r="D981" s="64" t="n">
        <x:f>'Detalle'!I478</x:f>
        <x:v>1</x:v>
      </x:c>
      <x:c r="E981" s="60" t="str">
        <x:f>'Detalle'!F478</x:f>
        <x:v>Completado</x:v>
      </x:c>
      <x:c r="F981" s="32" t="str">
        <x:f>IF(AND(F$8&lt;='Detalle'!$H478,F$9&gt;='Detalle'!$G478),1,"")</x:f>
      </x:c>
      <x:c r="G981" s="32" t="str">
        <x:f>IF(AND(G$8&lt;='Detalle'!$H478,G$9&gt;='Detalle'!$G478),1,"")</x:f>
      </x:c>
      <x:c r="H981" s="32" t="str">
        <x:f>IF(AND(H$8&lt;='Detalle'!$H478,H$9&gt;='Detalle'!$G478),1,"")</x:f>
      </x:c>
      <x:c r="I981" s="32" t="n">
        <x:f>IF(AND(I$8&lt;='Detalle'!$H478,I$9&gt;='Detalle'!$G478),1,"")</x:f>
        <x:v>1</x:v>
      </x:c>
      <x:c r="J981" s="32" t="str">
        <x:f>IF(AND(J$8&lt;='Detalle'!$H478,J$9&gt;='Detalle'!$G478),1,"")</x:f>
      </x:c>
      <x:c r="K981" s="32" t="str">
        <x:f>IF(AND(K$8&lt;='Detalle'!$H478,K$9&gt;='Detalle'!$G478),1,"")</x:f>
      </x:c>
      <x:c r="L981" s="32" t="str">
        <x:f>IF(AND(L$8&lt;='Detalle'!$H478,L$9&gt;='Detalle'!$G478),1,"")</x:f>
      </x:c>
      <x:c r="M981" s="32" t="str">
        <x:f>IF(AND(M$8&lt;='Detalle'!$H478,M$9&gt;='Detalle'!$G478),1,"")</x:f>
      </x:c>
      <x:c r="N981" s="32" t="str">
        <x:f>IF(AND(N$8&lt;='Detalle'!$H478,N$9&gt;='Detalle'!$G478),1,"")</x:f>
      </x:c>
      <x:c r="O981" s="32" t="str">
        <x:f>IF(AND(O$8&lt;='Detalle'!$H478,O$9&gt;='Detalle'!$G478),1,"")</x:f>
      </x:c>
      <x:c r="P981" s="32" t="str">
        <x:f>IF(AND(P$8&lt;='Detalle'!$H478,P$9&gt;='Detalle'!$G478),1,"")</x:f>
      </x:c>
      <x:c r="Q981" s="68"/>
      <x:c r="R981" s="67" t="str">
        <x:f>IF('Detalle'!M478="","",'Detalle'!M478)</x:f>
      </x:c>
      <x:c r="S981" s="67" t="str">
        <x:f>IF('Detalle'!N478="","",'Detalle'!N478)</x:f>
      </x:c>
    </x:row>
    <x:row r="982" ht="16" customHeight="1">
      <x:c r="A982" s="56" t="str">
        <x:v>MIS04.009</x:v>
      </x:c>
      <x:c r="B982" s="57" t="str">
        <x:v>Cerrar y reabrir sin selección automática</x:v>
      </x:c>
      <x:c r="C982" s="63" t="str">
        <x:v>R</x:v>
      </x:c>
      <x:c r="D982" s="65" t="str">
        <x:f>IF('Detalle'!L478="","",'Detalle'!L478)</x:f>
      </x:c>
      <x:c r="E982" s="60" t="str"/>
      <x:c r="F982" s="32" t="str">
        <x:f>IF(OR('Detalle'!$J478="",'Detalle'!$K478="",'Detalle'!$L478=""),"",IF(AND(F$8&lt;='Detalle'!$K478,F$9&gt;='Detalle'!$J478),1,""))</x:f>
      </x:c>
      <x:c r="G982" s="32" t="str">
        <x:f>IF(OR('Detalle'!$J478="",'Detalle'!$K478="",'Detalle'!$L478=""),"",IF(AND(G$8&lt;='Detalle'!$K478,G$9&gt;='Detalle'!$J478),1,""))</x:f>
      </x:c>
      <x:c r="H982" s="32" t="str">
        <x:f>IF(OR('Detalle'!$J478="",'Detalle'!$K478="",'Detalle'!$L478=""),"",IF(AND(H$8&lt;='Detalle'!$K478,H$9&gt;='Detalle'!$J478),1,""))</x:f>
      </x:c>
      <x:c r="I982" s="32" t="str">
        <x:f>IF(OR('Detalle'!$J478="",'Detalle'!$K478="",'Detalle'!$L478=""),"",IF(AND(I$8&lt;='Detalle'!$K478,I$9&gt;='Detalle'!$J478),1,""))</x:f>
      </x:c>
      <x:c r="J982" s="32" t="str">
        <x:f>IF(OR('Detalle'!$J478="",'Detalle'!$K478="",'Detalle'!$L478=""),"",IF(AND(J$8&lt;='Detalle'!$K478,J$9&gt;='Detalle'!$J478),1,""))</x:f>
      </x:c>
      <x:c r="K982" s="32" t="str">
        <x:f>IF(OR('Detalle'!$J478="",'Detalle'!$K478="",'Detalle'!$L478=""),"",IF(AND(K$8&lt;='Detalle'!$K478,K$9&gt;='Detalle'!$J478),1,""))</x:f>
      </x:c>
      <x:c r="L982" s="32" t="str">
        <x:f>IF(OR('Detalle'!$J478="",'Detalle'!$K478="",'Detalle'!$L478=""),"",IF(AND(L$8&lt;='Detalle'!$K478,L$9&gt;='Detalle'!$J478),1,""))</x:f>
      </x:c>
      <x:c r="M982" s="32" t="str">
        <x:f>IF(OR('Detalle'!$J478="",'Detalle'!$K478="",'Detalle'!$L478=""),"",IF(AND(M$8&lt;='Detalle'!$K478,M$9&gt;='Detalle'!$J478),1,""))</x:f>
      </x:c>
      <x:c r="N982" s="32" t="str">
        <x:f>IF(OR('Detalle'!$J478="",'Detalle'!$K478="",'Detalle'!$L478=""),"",IF(AND(N$8&lt;='Detalle'!$K478,N$9&gt;='Detalle'!$J478),1,""))</x:f>
      </x:c>
      <x:c r="O982" s="32" t="str">
        <x:f>IF(OR('Detalle'!$J478="",'Detalle'!$K478="",'Detalle'!$L478=""),"",IF(AND(O$8&lt;='Detalle'!$K478,O$9&gt;='Detalle'!$J478),1,""))</x:f>
      </x:c>
      <x:c r="P982" s="32" t="str">
        <x:f>IF(OR('Detalle'!$J478="",'Detalle'!$K478="",'Detalle'!$L478=""),"",IF(AND(P$8&lt;='Detalle'!$K478,P$9&gt;='Detalle'!$J478),1,""))</x:f>
      </x:c>
      <x:c r="Q982" s="68"/>
      <x:c r="R982" s="67" t="str"/>
      <x:c r="S982" s="67" t="str"/>
    </x:row>
    <x:row r="983" ht="16" customHeight="1">
      <x:c r="A983" s="56" t="str">
        <x:v>MIS04.010</x:v>
      </x:c>
      <x:c r="B983" s="57" t="str">
        <x:v>Avisar candidatura recibida</x:v>
      </x:c>
      <x:c r="C983" s="62" t="str">
        <x:v>E</x:v>
      </x:c>
      <x:c r="D983" s="64" t="n">
        <x:f>'Detalle'!I479</x:f>
        <x:v>1</x:v>
      </x:c>
      <x:c r="E983" s="60" t="str">
        <x:f>'Detalle'!F479</x:f>
        <x:v>Completado</x:v>
      </x:c>
      <x:c r="F983" s="32" t="str">
        <x:f>IF(AND(F$8&lt;='Detalle'!$H479,F$9&gt;='Detalle'!$G479),1,"")</x:f>
      </x:c>
      <x:c r="G983" s="32" t="str">
        <x:f>IF(AND(G$8&lt;='Detalle'!$H479,G$9&gt;='Detalle'!$G479),1,"")</x:f>
      </x:c>
      <x:c r="H983" s="32" t="str">
        <x:f>IF(AND(H$8&lt;='Detalle'!$H479,H$9&gt;='Detalle'!$G479),1,"")</x:f>
      </x:c>
      <x:c r="I983" s="32" t="n">
        <x:f>IF(AND(I$8&lt;='Detalle'!$H479,I$9&gt;='Detalle'!$G479),1,"")</x:f>
        <x:v>1</x:v>
      </x:c>
      <x:c r="J983" s="32" t="str">
        <x:f>IF(AND(J$8&lt;='Detalle'!$H479,J$9&gt;='Detalle'!$G479),1,"")</x:f>
      </x:c>
      <x:c r="K983" s="32" t="str">
        <x:f>IF(AND(K$8&lt;='Detalle'!$H479,K$9&gt;='Detalle'!$G479),1,"")</x:f>
      </x:c>
      <x:c r="L983" s="32" t="str">
        <x:f>IF(AND(L$8&lt;='Detalle'!$H479,L$9&gt;='Detalle'!$G479),1,"")</x:f>
      </x:c>
      <x:c r="M983" s="32" t="str">
        <x:f>IF(AND(M$8&lt;='Detalle'!$H479,M$9&gt;='Detalle'!$G479),1,"")</x:f>
      </x:c>
      <x:c r="N983" s="32" t="str">
        <x:f>IF(AND(N$8&lt;='Detalle'!$H479,N$9&gt;='Detalle'!$G479),1,"")</x:f>
      </x:c>
      <x:c r="O983" s="32" t="str">
        <x:f>IF(AND(O$8&lt;='Detalle'!$H479,O$9&gt;='Detalle'!$G479),1,"")</x:f>
      </x:c>
      <x:c r="P983" s="32" t="str">
        <x:f>IF(AND(P$8&lt;='Detalle'!$H479,P$9&gt;='Detalle'!$G479),1,"")</x:f>
      </x:c>
      <x:c r="Q983" s="68"/>
      <x:c r="R983" s="67" t="str">
        <x:f>IF('Detalle'!M479="","",'Detalle'!M479)</x:f>
      </x:c>
      <x:c r="S983" s="67" t="str">
        <x:f>IF('Detalle'!N479="","",'Detalle'!N479)</x:f>
      </x:c>
    </x:row>
    <x:row r="984" ht="16" customHeight="1">
      <x:c r="A984" s="56" t="str">
        <x:v>MIS04.010</x:v>
      </x:c>
      <x:c r="B984" s="57" t="str">
        <x:v>Avisar candidatura recibida</x:v>
      </x:c>
      <x:c r="C984" s="63" t="str">
        <x:v>R</x:v>
      </x:c>
      <x:c r="D984" s="65" t="str">
        <x:f>IF('Detalle'!L479="","",'Detalle'!L479)</x:f>
      </x:c>
      <x:c r="E984" s="60" t="str"/>
      <x:c r="F984" s="32" t="str">
        <x:f>IF(OR('Detalle'!$J479="",'Detalle'!$K479="",'Detalle'!$L479=""),"",IF(AND(F$8&lt;='Detalle'!$K479,F$9&gt;='Detalle'!$J479),1,""))</x:f>
      </x:c>
      <x:c r="G984" s="32" t="str">
        <x:f>IF(OR('Detalle'!$J479="",'Detalle'!$K479="",'Detalle'!$L479=""),"",IF(AND(G$8&lt;='Detalle'!$K479,G$9&gt;='Detalle'!$J479),1,""))</x:f>
      </x:c>
      <x:c r="H984" s="32" t="str">
        <x:f>IF(OR('Detalle'!$J479="",'Detalle'!$K479="",'Detalle'!$L479=""),"",IF(AND(H$8&lt;='Detalle'!$K479,H$9&gt;='Detalle'!$J479),1,""))</x:f>
      </x:c>
      <x:c r="I984" s="32" t="str">
        <x:f>IF(OR('Detalle'!$J479="",'Detalle'!$K479="",'Detalle'!$L479=""),"",IF(AND(I$8&lt;='Detalle'!$K479,I$9&gt;='Detalle'!$J479),1,""))</x:f>
      </x:c>
      <x:c r="J984" s="32" t="str">
        <x:f>IF(OR('Detalle'!$J479="",'Detalle'!$K479="",'Detalle'!$L479=""),"",IF(AND(J$8&lt;='Detalle'!$K479,J$9&gt;='Detalle'!$J479),1,""))</x:f>
      </x:c>
      <x:c r="K984" s="32" t="str">
        <x:f>IF(OR('Detalle'!$J479="",'Detalle'!$K479="",'Detalle'!$L479=""),"",IF(AND(K$8&lt;='Detalle'!$K479,K$9&gt;='Detalle'!$J479),1,""))</x:f>
      </x:c>
      <x:c r="L984" s="32" t="str">
        <x:f>IF(OR('Detalle'!$J479="",'Detalle'!$K479="",'Detalle'!$L479=""),"",IF(AND(L$8&lt;='Detalle'!$K479,L$9&gt;='Detalle'!$J479),1,""))</x:f>
      </x:c>
      <x:c r="M984" s="32" t="str">
        <x:f>IF(OR('Detalle'!$J479="",'Detalle'!$K479="",'Detalle'!$L479=""),"",IF(AND(M$8&lt;='Detalle'!$K479,M$9&gt;='Detalle'!$J479),1,""))</x:f>
      </x:c>
      <x:c r="N984" s="32" t="str">
        <x:f>IF(OR('Detalle'!$J479="",'Detalle'!$K479="",'Detalle'!$L479=""),"",IF(AND(N$8&lt;='Detalle'!$K479,N$9&gt;='Detalle'!$J479),1,""))</x:f>
      </x:c>
      <x:c r="O984" s="32" t="str">
        <x:f>IF(OR('Detalle'!$J479="",'Detalle'!$K479="",'Detalle'!$L479=""),"",IF(AND(O$8&lt;='Detalle'!$K479,O$9&gt;='Detalle'!$J479),1,""))</x:f>
      </x:c>
      <x:c r="P984" s="32" t="str">
        <x:f>IF(OR('Detalle'!$J479="",'Detalle'!$K479="",'Detalle'!$L479=""),"",IF(AND(P$8&lt;='Detalle'!$K479,P$9&gt;='Detalle'!$J479),1,""))</x:f>
      </x:c>
      <x:c r="Q984" s="68"/>
      <x:c r="R984" s="67" t="str"/>
      <x:c r="S984" s="67" t="str"/>
    </x:row>
    <x:row r="985" ht="16" customHeight="1">
      <x:c r="A985" s="56" t="str">
        <x:v>MIS04.011</x:v>
      </x:c>
      <x:c r="B985" s="57" t="str">
        <x:v>Avisar aceptación y rechazo</x:v>
      </x:c>
      <x:c r="C985" s="62" t="str">
        <x:v>E</x:v>
      </x:c>
      <x:c r="D985" s="64" t="n">
        <x:f>'Detalle'!I480</x:f>
        <x:v>1</x:v>
      </x:c>
      <x:c r="E985" s="60" t="str">
        <x:f>'Detalle'!F480</x:f>
        <x:v>Completado</x:v>
      </x:c>
      <x:c r="F985" s="32" t="str">
        <x:f>IF(AND(F$8&lt;='Detalle'!$H480,F$9&gt;='Detalle'!$G480),1,"")</x:f>
      </x:c>
      <x:c r="G985" s="32" t="str">
        <x:f>IF(AND(G$8&lt;='Detalle'!$H480,G$9&gt;='Detalle'!$G480),1,"")</x:f>
      </x:c>
      <x:c r="H985" s="32" t="str">
        <x:f>IF(AND(H$8&lt;='Detalle'!$H480,H$9&gt;='Detalle'!$G480),1,"")</x:f>
      </x:c>
      <x:c r="I985" s="32" t="n">
        <x:f>IF(AND(I$8&lt;='Detalle'!$H480,I$9&gt;='Detalle'!$G480),1,"")</x:f>
        <x:v>1</x:v>
      </x:c>
      <x:c r="J985" s="32" t="str">
        <x:f>IF(AND(J$8&lt;='Detalle'!$H480,J$9&gt;='Detalle'!$G480),1,"")</x:f>
      </x:c>
      <x:c r="K985" s="32" t="str">
        <x:f>IF(AND(K$8&lt;='Detalle'!$H480,K$9&gt;='Detalle'!$G480),1,"")</x:f>
      </x:c>
      <x:c r="L985" s="32" t="str">
        <x:f>IF(AND(L$8&lt;='Detalle'!$H480,L$9&gt;='Detalle'!$G480),1,"")</x:f>
      </x:c>
      <x:c r="M985" s="32" t="str">
        <x:f>IF(AND(M$8&lt;='Detalle'!$H480,M$9&gt;='Detalle'!$G480),1,"")</x:f>
      </x:c>
      <x:c r="N985" s="32" t="str">
        <x:f>IF(AND(N$8&lt;='Detalle'!$H480,N$9&gt;='Detalle'!$G480),1,"")</x:f>
      </x:c>
      <x:c r="O985" s="32" t="str">
        <x:f>IF(AND(O$8&lt;='Detalle'!$H480,O$9&gt;='Detalle'!$G480),1,"")</x:f>
      </x:c>
      <x:c r="P985" s="32" t="str">
        <x:f>IF(AND(P$8&lt;='Detalle'!$H480,P$9&gt;='Detalle'!$G480),1,"")</x:f>
      </x:c>
      <x:c r="Q985" s="68"/>
      <x:c r="R985" s="67" t="str">
        <x:f>IF('Detalle'!M480="","",'Detalle'!M480)</x:f>
      </x:c>
      <x:c r="S985" s="67" t="str">
        <x:f>IF('Detalle'!N480="","",'Detalle'!N480)</x:f>
      </x:c>
    </x:row>
    <x:row r="986" ht="16" customHeight="1">
      <x:c r="A986" s="56" t="str">
        <x:v>MIS04.011</x:v>
      </x:c>
      <x:c r="B986" s="57" t="str">
        <x:v>Avisar aceptación y rechazo</x:v>
      </x:c>
      <x:c r="C986" s="63" t="str">
        <x:v>R</x:v>
      </x:c>
      <x:c r="D986" s="65" t="str">
        <x:f>IF('Detalle'!L480="","",'Detalle'!L480)</x:f>
      </x:c>
      <x:c r="E986" s="60" t="str"/>
      <x:c r="F986" s="32" t="str">
        <x:f>IF(OR('Detalle'!$J480="",'Detalle'!$K480="",'Detalle'!$L480=""),"",IF(AND(F$8&lt;='Detalle'!$K480,F$9&gt;='Detalle'!$J480),1,""))</x:f>
      </x:c>
      <x:c r="G986" s="32" t="str">
        <x:f>IF(OR('Detalle'!$J480="",'Detalle'!$K480="",'Detalle'!$L480=""),"",IF(AND(G$8&lt;='Detalle'!$K480,G$9&gt;='Detalle'!$J480),1,""))</x:f>
      </x:c>
      <x:c r="H986" s="32" t="str">
        <x:f>IF(OR('Detalle'!$J480="",'Detalle'!$K480="",'Detalle'!$L480=""),"",IF(AND(H$8&lt;='Detalle'!$K480,H$9&gt;='Detalle'!$J480),1,""))</x:f>
      </x:c>
      <x:c r="I986" s="32" t="str">
        <x:f>IF(OR('Detalle'!$J480="",'Detalle'!$K480="",'Detalle'!$L480=""),"",IF(AND(I$8&lt;='Detalle'!$K480,I$9&gt;='Detalle'!$J480),1,""))</x:f>
      </x:c>
      <x:c r="J986" s="32" t="str">
        <x:f>IF(OR('Detalle'!$J480="",'Detalle'!$K480="",'Detalle'!$L480=""),"",IF(AND(J$8&lt;='Detalle'!$K480,J$9&gt;='Detalle'!$J480),1,""))</x:f>
      </x:c>
      <x:c r="K986" s="32" t="str">
        <x:f>IF(OR('Detalle'!$J480="",'Detalle'!$K480="",'Detalle'!$L480=""),"",IF(AND(K$8&lt;='Detalle'!$K480,K$9&gt;='Detalle'!$J480),1,""))</x:f>
      </x:c>
      <x:c r="L986" s="32" t="str">
        <x:f>IF(OR('Detalle'!$J480="",'Detalle'!$K480="",'Detalle'!$L480=""),"",IF(AND(L$8&lt;='Detalle'!$K480,L$9&gt;='Detalle'!$J480),1,""))</x:f>
      </x:c>
      <x:c r="M986" s="32" t="str">
        <x:f>IF(OR('Detalle'!$J480="",'Detalle'!$K480="",'Detalle'!$L480=""),"",IF(AND(M$8&lt;='Detalle'!$K480,M$9&gt;='Detalle'!$J480),1,""))</x:f>
      </x:c>
      <x:c r="N986" s="32" t="str">
        <x:f>IF(OR('Detalle'!$J480="",'Detalle'!$K480="",'Detalle'!$L480=""),"",IF(AND(N$8&lt;='Detalle'!$K480,N$9&gt;='Detalle'!$J480),1,""))</x:f>
      </x:c>
      <x:c r="O986" s="32" t="str">
        <x:f>IF(OR('Detalle'!$J480="",'Detalle'!$K480="",'Detalle'!$L480=""),"",IF(AND(O$8&lt;='Detalle'!$K480,O$9&gt;='Detalle'!$J480),1,""))</x:f>
      </x:c>
      <x:c r="P986" s="32" t="str">
        <x:f>IF(OR('Detalle'!$J480="",'Detalle'!$K480="",'Detalle'!$L480=""),"",IF(AND(P$8&lt;='Detalle'!$K480,P$9&gt;='Detalle'!$J480),1,""))</x:f>
      </x:c>
      <x:c r="Q986" s="68"/>
      <x:c r="R986" s="67" t="str"/>
      <x:c r="S986" s="67" t="str"/>
    </x:row>
    <x:row r="987" ht="16" customHeight="1">
      <x:c r="A987" s="56" t="str">
        <x:v>MIS04.012</x:v>
      </x:c>
      <x:c r="B987" s="57" t="str">
        <x:v>Avisar retirada de candidatura</x:v>
      </x:c>
      <x:c r="C987" s="62" t="str">
        <x:v>E</x:v>
      </x:c>
      <x:c r="D987" s="64" t="n">
        <x:f>'Detalle'!I481</x:f>
        <x:v>1</x:v>
      </x:c>
      <x:c r="E987" s="60" t="str">
        <x:f>'Detalle'!F481</x:f>
        <x:v>Completado</x:v>
      </x:c>
      <x:c r="F987" s="32" t="str">
        <x:f>IF(AND(F$8&lt;='Detalle'!$H481,F$9&gt;='Detalle'!$G481),1,"")</x:f>
      </x:c>
      <x:c r="G987" s="32" t="str">
        <x:f>IF(AND(G$8&lt;='Detalle'!$H481,G$9&gt;='Detalle'!$G481),1,"")</x:f>
      </x:c>
      <x:c r="H987" s="32" t="str">
        <x:f>IF(AND(H$8&lt;='Detalle'!$H481,H$9&gt;='Detalle'!$G481),1,"")</x:f>
      </x:c>
      <x:c r="I987" s="32" t="n">
        <x:f>IF(AND(I$8&lt;='Detalle'!$H481,I$9&gt;='Detalle'!$G481),1,"")</x:f>
        <x:v>1</x:v>
      </x:c>
      <x:c r="J987" s="32" t="str">
        <x:f>IF(AND(J$8&lt;='Detalle'!$H481,J$9&gt;='Detalle'!$G481),1,"")</x:f>
      </x:c>
      <x:c r="K987" s="32" t="str">
        <x:f>IF(AND(K$8&lt;='Detalle'!$H481,K$9&gt;='Detalle'!$G481),1,"")</x:f>
      </x:c>
      <x:c r="L987" s="32" t="str">
        <x:f>IF(AND(L$8&lt;='Detalle'!$H481,L$9&gt;='Detalle'!$G481),1,"")</x:f>
      </x:c>
      <x:c r="M987" s="32" t="str">
        <x:f>IF(AND(M$8&lt;='Detalle'!$H481,M$9&gt;='Detalle'!$G481),1,"")</x:f>
      </x:c>
      <x:c r="N987" s="32" t="str">
        <x:f>IF(AND(N$8&lt;='Detalle'!$H481,N$9&gt;='Detalle'!$G481),1,"")</x:f>
      </x:c>
      <x:c r="O987" s="32" t="str">
        <x:f>IF(AND(O$8&lt;='Detalle'!$H481,O$9&gt;='Detalle'!$G481),1,"")</x:f>
      </x:c>
      <x:c r="P987" s="32" t="str">
        <x:f>IF(AND(P$8&lt;='Detalle'!$H481,P$9&gt;='Detalle'!$G481),1,"")</x:f>
      </x:c>
      <x:c r="Q987" s="68"/>
      <x:c r="R987" s="67" t="str">
        <x:f>IF('Detalle'!M481="","",'Detalle'!M481)</x:f>
      </x:c>
      <x:c r="S987" s="67" t="str">
        <x:f>IF('Detalle'!N481="","",'Detalle'!N481)</x:f>
      </x:c>
    </x:row>
    <x:row r="988" ht="16" customHeight="1">
      <x:c r="A988" s="56" t="str">
        <x:v>MIS04.012</x:v>
      </x:c>
      <x:c r="B988" s="57" t="str">
        <x:v>Avisar retirada de candidatura</x:v>
      </x:c>
      <x:c r="C988" s="63" t="str">
        <x:v>R</x:v>
      </x:c>
      <x:c r="D988" s="65" t="str">
        <x:f>IF('Detalle'!L481="","",'Detalle'!L481)</x:f>
      </x:c>
      <x:c r="E988" s="60" t="str"/>
      <x:c r="F988" s="32" t="str">
        <x:f>IF(OR('Detalle'!$J481="",'Detalle'!$K481="",'Detalle'!$L481=""),"",IF(AND(F$8&lt;='Detalle'!$K481,F$9&gt;='Detalle'!$J481),1,""))</x:f>
      </x:c>
      <x:c r="G988" s="32" t="str">
        <x:f>IF(OR('Detalle'!$J481="",'Detalle'!$K481="",'Detalle'!$L481=""),"",IF(AND(G$8&lt;='Detalle'!$K481,G$9&gt;='Detalle'!$J481),1,""))</x:f>
      </x:c>
      <x:c r="H988" s="32" t="str">
        <x:f>IF(OR('Detalle'!$J481="",'Detalle'!$K481="",'Detalle'!$L481=""),"",IF(AND(H$8&lt;='Detalle'!$K481,H$9&gt;='Detalle'!$J481),1,""))</x:f>
      </x:c>
      <x:c r="I988" s="32" t="str">
        <x:f>IF(OR('Detalle'!$J481="",'Detalle'!$K481="",'Detalle'!$L481=""),"",IF(AND(I$8&lt;='Detalle'!$K481,I$9&gt;='Detalle'!$J481),1,""))</x:f>
      </x:c>
      <x:c r="J988" s="32" t="str">
        <x:f>IF(OR('Detalle'!$J481="",'Detalle'!$K481="",'Detalle'!$L481=""),"",IF(AND(J$8&lt;='Detalle'!$K481,J$9&gt;='Detalle'!$J481),1,""))</x:f>
      </x:c>
      <x:c r="K988" s="32" t="str">
        <x:f>IF(OR('Detalle'!$J481="",'Detalle'!$K481="",'Detalle'!$L481=""),"",IF(AND(K$8&lt;='Detalle'!$K481,K$9&gt;='Detalle'!$J481),1,""))</x:f>
      </x:c>
      <x:c r="L988" s="32" t="str">
        <x:f>IF(OR('Detalle'!$J481="",'Detalle'!$K481="",'Detalle'!$L481=""),"",IF(AND(L$8&lt;='Detalle'!$K481,L$9&gt;='Detalle'!$J481),1,""))</x:f>
      </x:c>
      <x:c r="M988" s="32" t="str">
        <x:f>IF(OR('Detalle'!$J481="",'Detalle'!$K481="",'Detalle'!$L481=""),"",IF(AND(M$8&lt;='Detalle'!$K481,M$9&gt;='Detalle'!$J481),1,""))</x:f>
      </x:c>
      <x:c r="N988" s="32" t="str">
        <x:f>IF(OR('Detalle'!$J481="",'Detalle'!$K481="",'Detalle'!$L481=""),"",IF(AND(N$8&lt;='Detalle'!$K481,N$9&gt;='Detalle'!$J481),1,""))</x:f>
      </x:c>
      <x:c r="O988" s="32" t="str">
        <x:f>IF(OR('Detalle'!$J481="",'Detalle'!$K481="",'Detalle'!$L481=""),"",IF(AND(O$8&lt;='Detalle'!$K481,O$9&gt;='Detalle'!$J481),1,""))</x:f>
      </x:c>
      <x:c r="P988" s="32" t="str">
        <x:f>IF(OR('Detalle'!$J481="",'Detalle'!$K481="",'Detalle'!$L481=""),"",IF(AND(P$8&lt;='Detalle'!$K481,P$9&gt;='Detalle'!$J481),1,""))</x:f>
      </x:c>
      <x:c r="Q988" s="68"/>
      <x:c r="R988" s="67" t="str"/>
      <x:c r="S988" s="67" t="str"/>
    </x:row>
    <x:row r="989" ht="16" customHeight="1">
      <x:c r="A989" s="56" t="str">
        <x:v>MIS04.013</x:v>
      </x:c>
      <x:c r="B989" s="57" t="str">
        <x:v>Avisar cierre, reapertura y cancelación</x:v>
      </x:c>
      <x:c r="C989" s="62" t="str">
        <x:v>E</x:v>
      </x:c>
      <x:c r="D989" s="64" t="n">
        <x:f>'Detalle'!I482</x:f>
        <x:v>1</x:v>
      </x:c>
      <x:c r="E989" s="60" t="str">
        <x:f>'Detalle'!F482</x:f>
        <x:v>Completado</x:v>
      </x:c>
      <x:c r="F989" s="32" t="str">
        <x:f>IF(AND(F$8&lt;='Detalle'!$H482,F$9&gt;='Detalle'!$G482),1,"")</x:f>
      </x:c>
      <x:c r="G989" s="32" t="str">
        <x:f>IF(AND(G$8&lt;='Detalle'!$H482,G$9&gt;='Detalle'!$G482),1,"")</x:f>
      </x:c>
      <x:c r="H989" s="32" t="str">
        <x:f>IF(AND(H$8&lt;='Detalle'!$H482,H$9&gt;='Detalle'!$G482),1,"")</x:f>
      </x:c>
      <x:c r="I989" s="32" t="n">
        <x:f>IF(AND(I$8&lt;='Detalle'!$H482,I$9&gt;='Detalle'!$G482),1,"")</x:f>
        <x:v>1</x:v>
      </x:c>
      <x:c r="J989" s="32" t="str">
        <x:f>IF(AND(J$8&lt;='Detalle'!$H482,J$9&gt;='Detalle'!$G482),1,"")</x:f>
      </x:c>
      <x:c r="K989" s="32" t="str">
        <x:f>IF(AND(K$8&lt;='Detalle'!$H482,K$9&gt;='Detalle'!$G482),1,"")</x:f>
      </x:c>
      <x:c r="L989" s="32" t="str">
        <x:f>IF(AND(L$8&lt;='Detalle'!$H482,L$9&gt;='Detalle'!$G482),1,"")</x:f>
      </x:c>
      <x:c r="M989" s="32" t="str">
        <x:f>IF(AND(M$8&lt;='Detalle'!$H482,M$9&gt;='Detalle'!$G482),1,"")</x:f>
      </x:c>
      <x:c r="N989" s="32" t="str">
        <x:f>IF(AND(N$8&lt;='Detalle'!$H482,N$9&gt;='Detalle'!$G482),1,"")</x:f>
      </x:c>
      <x:c r="O989" s="32" t="str">
        <x:f>IF(AND(O$8&lt;='Detalle'!$H482,O$9&gt;='Detalle'!$G482),1,"")</x:f>
      </x:c>
      <x:c r="P989" s="32" t="str">
        <x:f>IF(AND(P$8&lt;='Detalle'!$H482,P$9&gt;='Detalle'!$G482),1,"")</x:f>
      </x:c>
      <x:c r="Q989" s="68"/>
      <x:c r="R989" s="67" t="str">
        <x:f>IF('Detalle'!M482="","",'Detalle'!M482)</x:f>
      </x:c>
      <x:c r="S989" s="67" t="str">
        <x:f>IF('Detalle'!N482="","",'Detalle'!N482)</x:f>
      </x:c>
    </x:row>
    <x:row r="990" ht="16" customHeight="1">
      <x:c r="A990" s="56" t="str">
        <x:v>MIS04.013</x:v>
      </x:c>
      <x:c r="B990" s="57" t="str">
        <x:v>Avisar cierre, reapertura y cancelación</x:v>
      </x:c>
      <x:c r="C990" s="63" t="str">
        <x:v>R</x:v>
      </x:c>
      <x:c r="D990" s="65" t="str">
        <x:f>IF('Detalle'!L482="","",'Detalle'!L482)</x:f>
      </x:c>
      <x:c r="E990" s="60" t="str"/>
      <x:c r="F990" s="32" t="str">
        <x:f>IF(OR('Detalle'!$J482="",'Detalle'!$K482="",'Detalle'!$L482=""),"",IF(AND(F$8&lt;='Detalle'!$K482,F$9&gt;='Detalle'!$J482),1,""))</x:f>
      </x:c>
      <x:c r="G990" s="32" t="str">
        <x:f>IF(OR('Detalle'!$J482="",'Detalle'!$K482="",'Detalle'!$L482=""),"",IF(AND(G$8&lt;='Detalle'!$K482,G$9&gt;='Detalle'!$J482),1,""))</x:f>
      </x:c>
      <x:c r="H990" s="32" t="str">
        <x:f>IF(OR('Detalle'!$J482="",'Detalle'!$K482="",'Detalle'!$L482=""),"",IF(AND(H$8&lt;='Detalle'!$K482,H$9&gt;='Detalle'!$J482),1,""))</x:f>
      </x:c>
      <x:c r="I990" s="32" t="str">
        <x:f>IF(OR('Detalle'!$J482="",'Detalle'!$K482="",'Detalle'!$L482=""),"",IF(AND(I$8&lt;='Detalle'!$K482,I$9&gt;='Detalle'!$J482),1,""))</x:f>
      </x:c>
      <x:c r="J990" s="32" t="str">
        <x:f>IF(OR('Detalle'!$J482="",'Detalle'!$K482="",'Detalle'!$L482=""),"",IF(AND(J$8&lt;='Detalle'!$K482,J$9&gt;='Detalle'!$J482),1,""))</x:f>
      </x:c>
      <x:c r="K990" s="32" t="str">
        <x:f>IF(OR('Detalle'!$J482="",'Detalle'!$K482="",'Detalle'!$L482=""),"",IF(AND(K$8&lt;='Detalle'!$K482,K$9&gt;='Detalle'!$J482),1,""))</x:f>
      </x:c>
      <x:c r="L990" s="32" t="str">
        <x:f>IF(OR('Detalle'!$J482="",'Detalle'!$K482="",'Detalle'!$L482=""),"",IF(AND(L$8&lt;='Detalle'!$K482,L$9&gt;='Detalle'!$J482),1,""))</x:f>
      </x:c>
      <x:c r="M990" s="32" t="str">
        <x:f>IF(OR('Detalle'!$J482="",'Detalle'!$K482="",'Detalle'!$L482=""),"",IF(AND(M$8&lt;='Detalle'!$K482,M$9&gt;='Detalle'!$J482),1,""))</x:f>
      </x:c>
      <x:c r="N990" s="32" t="str">
        <x:f>IF(OR('Detalle'!$J482="",'Detalle'!$K482="",'Detalle'!$L482=""),"",IF(AND(N$8&lt;='Detalle'!$K482,N$9&gt;='Detalle'!$J482),1,""))</x:f>
      </x:c>
      <x:c r="O990" s="32" t="str">
        <x:f>IF(OR('Detalle'!$J482="",'Detalle'!$K482="",'Detalle'!$L482=""),"",IF(AND(O$8&lt;='Detalle'!$K482,O$9&gt;='Detalle'!$J482),1,""))</x:f>
      </x:c>
      <x:c r="P990" s="32" t="str">
        <x:f>IF(OR('Detalle'!$J482="",'Detalle'!$K482="",'Detalle'!$L482=""),"",IF(AND(P$8&lt;='Detalle'!$K482,P$9&gt;='Detalle'!$J482),1,""))</x:f>
      </x:c>
      <x:c r="Q990" s="68"/>
      <x:c r="R990" s="67" t="str"/>
      <x:c r="S990" s="67" t="str"/>
    </x:row>
    <x:row r="991" ht="16" customHeight="1">
      <x:c r="A991" s="56" t="str">
        <x:v>MIS04.014</x:v>
      </x:c>
      <x:c r="B991" s="57" t="str">
        <x:v>Avisar finalización de misión</x:v>
      </x:c>
      <x:c r="C991" s="62" t="str">
        <x:v>E</x:v>
      </x:c>
      <x:c r="D991" s="64" t="n">
        <x:f>'Detalle'!I483</x:f>
        <x:v>1</x:v>
      </x:c>
      <x:c r="E991" s="60" t="str">
        <x:f>'Detalle'!F483</x:f>
        <x:v>Completado</x:v>
      </x:c>
      <x:c r="F991" s="32" t="str">
        <x:f>IF(AND(F$8&lt;='Detalle'!$H483,F$9&gt;='Detalle'!$G483),1,"")</x:f>
      </x:c>
      <x:c r="G991" s="32" t="str">
        <x:f>IF(AND(G$8&lt;='Detalle'!$H483,G$9&gt;='Detalle'!$G483),1,"")</x:f>
      </x:c>
      <x:c r="H991" s="32" t="str">
        <x:f>IF(AND(H$8&lt;='Detalle'!$H483,H$9&gt;='Detalle'!$G483),1,"")</x:f>
      </x:c>
      <x:c r="I991" s="32" t="n">
        <x:f>IF(AND(I$8&lt;='Detalle'!$H483,I$9&gt;='Detalle'!$G483),1,"")</x:f>
        <x:v>1</x:v>
      </x:c>
      <x:c r="J991" s="32" t="str">
        <x:f>IF(AND(J$8&lt;='Detalle'!$H483,J$9&gt;='Detalle'!$G483),1,"")</x:f>
      </x:c>
      <x:c r="K991" s="32" t="str">
        <x:f>IF(AND(K$8&lt;='Detalle'!$H483,K$9&gt;='Detalle'!$G483),1,"")</x:f>
      </x:c>
      <x:c r="L991" s="32" t="str">
        <x:f>IF(AND(L$8&lt;='Detalle'!$H483,L$9&gt;='Detalle'!$G483),1,"")</x:f>
      </x:c>
      <x:c r="M991" s="32" t="str">
        <x:f>IF(AND(M$8&lt;='Detalle'!$H483,M$9&gt;='Detalle'!$G483),1,"")</x:f>
      </x:c>
      <x:c r="N991" s="32" t="str">
        <x:f>IF(AND(N$8&lt;='Detalle'!$H483,N$9&gt;='Detalle'!$G483),1,"")</x:f>
      </x:c>
      <x:c r="O991" s="32" t="str">
        <x:f>IF(AND(O$8&lt;='Detalle'!$H483,O$9&gt;='Detalle'!$G483),1,"")</x:f>
      </x:c>
      <x:c r="P991" s="32" t="str">
        <x:f>IF(AND(P$8&lt;='Detalle'!$H483,P$9&gt;='Detalle'!$G483),1,"")</x:f>
      </x:c>
      <x:c r="Q991" s="68"/>
      <x:c r="R991" s="67" t="str">
        <x:f>IF('Detalle'!M483="","",'Detalle'!M483)</x:f>
      </x:c>
      <x:c r="S991" s="67" t="str">
        <x:f>IF('Detalle'!N483="","",'Detalle'!N483)</x:f>
      </x:c>
    </x:row>
    <x:row r="992" ht="16" customHeight="1">
      <x:c r="A992" s="56" t="str">
        <x:v>MIS04.014</x:v>
      </x:c>
      <x:c r="B992" s="57" t="str">
        <x:v>Avisar finalización de misión</x:v>
      </x:c>
      <x:c r="C992" s="63" t="str">
        <x:v>R</x:v>
      </x:c>
      <x:c r="D992" s="65" t="str">
        <x:f>IF('Detalle'!L483="","",'Detalle'!L483)</x:f>
      </x:c>
      <x:c r="E992" s="60" t="str"/>
      <x:c r="F992" s="32" t="str">
        <x:f>IF(OR('Detalle'!$J483="",'Detalle'!$K483="",'Detalle'!$L483=""),"",IF(AND(F$8&lt;='Detalle'!$K483,F$9&gt;='Detalle'!$J483),1,""))</x:f>
      </x:c>
      <x:c r="G992" s="32" t="str">
        <x:f>IF(OR('Detalle'!$J483="",'Detalle'!$K483="",'Detalle'!$L483=""),"",IF(AND(G$8&lt;='Detalle'!$K483,G$9&gt;='Detalle'!$J483),1,""))</x:f>
      </x:c>
      <x:c r="H992" s="32" t="str">
        <x:f>IF(OR('Detalle'!$J483="",'Detalle'!$K483="",'Detalle'!$L483=""),"",IF(AND(H$8&lt;='Detalle'!$K483,H$9&gt;='Detalle'!$J483),1,""))</x:f>
      </x:c>
      <x:c r="I992" s="32" t="str">
        <x:f>IF(OR('Detalle'!$J483="",'Detalle'!$K483="",'Detalle'!$L483=""),"",IF(AND(I$8&lt;='Detalle'!$K483,I$9&gt;='Detalle'!$J483),1,""))</x:f>
      </x:c>
      <x:c r="J992" s="32" t="str">
        <x:f>IF(OR('Detalle'!$J483="",'Detalle'!$K483="",'Detalle'!$L483=""),"",IF(AND(J$8&lt;='Detalle'!$K483,J$9&gt;='Detalle'!$J483),1,""))</x:f>
      </x:c>
      <x:c r="K992" s="32" t="str">
        <x:f>IF(OR('Detalle'!$J483="",'Detalle'!$K483="",'Detalle'!$L483=""),"",IF(AND(K$8&lt;='Detalle'!$K483,K$9&gt;='Detalle'!$J483),1,""))</x:f>
      </x:c>
      <x:c r="L992" s="32" t="str">
        <x:f>IF(OR('Detalle'!$J483="",'Detalle'!$K483="",'Detalle'!$L483=""),"",IF(AND(L$8&lt;='Detalle'!$K483,L$9&gt;='Detalle'!$J483),1,""))</x:f>
      </x:c>
      <x:c r="M992" s="32" t="str">
        <x:f>IF(OR('Detalle'!$J483="",'Detalle'!$K483="",'Detalle'!$L483=""),"",IF(AND(M$8&lt;='Detalle'!$K483,M$9&gt;='Detalle'!$J483),1,""))</x:f>
      </x:c>
      <x:c r="N992" s="32" t="str">
        <x:f>IF(OR('Detalle'!$J483="",'Detalle'!$K483="",'Detalle'!$L483=""),"",IF(AND(N$8&lt;='Detalle'!$K483,N$9&gt;='Detalle'!$J483),1,""))</x:f>
      </x:c>
      <x:c r="O992" s="32" t="str">
        <x:f>IF(OR('Detalle'!$J483="",'Detalle'!$K483="",'Detalle'!$L483=""),"",IF(AND(O$8&lt;='Detalle'!$K483,O$9&gt;='Detalle'!$J483),1,""))</x:f>
      </x:c>
      <x:c r="P992" s="32" t="str">
        <x:f>IF(OR('Detalle'!$J483="",'Detalle'!$K483="",'Detalle'!$L483=""),"",IF(AND(P$8&lt;='Detalle'!$K483,P$9&gt;='Detalle'!$J483),1,""))</x:f>
      </x:c>
      <x:c r="Q992" s="68"/>
      <x:c r="R992" s="67" t="str"/>
      <x:c r="S992" s="67" t="str"/>
    </x:row>
    <x:row r="993" ht="16" customHeight="1">
      <x:c r="A993" s="56" t="str">
        <x:v>MIS04.015</x:v>
      </x:c>
      <x:c r="B993" s="57" t="str">
        <x:v>Conservar navegación si falla lectura de aviso</x:v>
      </x:c>
      <x:c r="C993" s="62" t="str">
        <x:v>E</x:v>
      </x:c>
      <x:c r="D993" s="64" t="n">
        <x:f>'Detalle'!I484</x:f>
        <x:v>1</x:v>
      </x:c>
      <x:c r="E993" s="60" t="str">
        <x:f>'Detalle'!F484</x:f>
        <x:v>Completado</x:v>
      </x:c>
      <x:c r="F993" s="32" t="str">
        <x:f>IF(AND(F$8&lt;='Detalle'!$H484,F$9&gt;='Detalle'!$G484),1,"")</x:f>
      </x:c>
      <x:c r="G993" s="32" t="str">
        <x:f>IF(AND(G$8&lt;='Detalle'!$H484,G$9&gt;='Detalle'!$G484),1,"")</x:f>
      </x:c>
      <x:c r="H993" s="32" t="str">
        <x:f>IF(AND(H$8&lt;='Detalle'!$H484,H$9&gt;='Detalle'!$G484),1,"")</x:f>
      </x:c>
      <x:c r="I993" s="32" t="n">
        <x:f>IF(AND(I$8&lt;='Detalle'!$H484,I$9&gt;='Detalle'!$G484),1,"")</x:f>
        <x:v>1</x:v>
      </x:c>
      <x:c r="J993" s="32" t="str">
        <x:f>IF(AND(J$8&lt;='Detalle'!$H484,J$9&gt;='Detalle'!$G484),1,"")</x:f>
      </x:c>
      <x:c r="K993" s="32" t="str">
        <x:f>IF(AND(K$8&lt;='Detalle'!$H484,K$9&gt;='Detalle'!$G484),1,"")</x:f>
      </x:c>
      <x:c r="L993" s="32" t="str">
        <x:f>IF(AND(L$8&lt;='Detalle'!$H484,L$9&gt;='Detalle'!$G484),1,"")</x:f>
      </x:c>
      <x:c r="M993" s="32" t="str">
        <x:f>IF(AND(M$8&lt;='Detalle'!$H484,M$9&gt;='Detalle'!$G484),1,"")</x:f>
      </x:c>
      <x:c r="N993" s="32" t="str">
        <x:f>IF(AND(N$8&lt;='Detalle'!$H484,N$9&gt;='Detalle'!$G484),1,"")</x:f>
      </x:c>
      <x:c r="O993" s="32" t="str">
        <x:f>IF(AND(O$8&lt;='Detalle'!$H484,O$9&gt;='Detalle'!$G484),1,"")</x:f>
      </x:c>
      <x:c r="P993" s="32" t="str">
        <x:f>IF(AND(P$8&lt;='Detalle'!$H484,P$9&gt;='Detalle'!$G484),1,"")</x:f>
      </x:c>
      <x:c r="Q993" s="68"/>
      <x:c r="R993" s="67" t="str">
        <x:f>IF('Detalle'!M484="","",'Detalle'!M484)</x:f>
      </x:c>
      <x:c r="S993" s="67" t="str">
        <x:f>IF('Detalle'!N484="","",'Detalle'!N484)</x:f>
      </x:c>
    </x:row>
    <x:row r="994" ht="16" customHeight="1">
      <x:c r="A994" s="56" t="str">
        <x:v>MIS04.015</x:v>
      </x:c>
      <x:c r="B994" s="57" t="str">
        <x:v>Conservar navegación si falla lectura de aviso</x:v>
      </x:c>
      <x:c r="C994" s="63" t="str">
        <x:v>R</x:v>
      </x:c>
      <x:c r="D994" s="65" t="str">
        <x:f>IF('Detalle'!L484="","",'Detalle'!L484)</x:f>
      </x:c>
      <x:c r="E994" s="60" t="str"/>
      <x:c r="F994" s="32" t="str">
        <x:f>IF(OR('Detalle'!$J484="",'Detalle'!$K484="",'Detalle'!$L484=""),"",IF(AND(F$8&lt;='Detalle'!$K484,F$9&gt;='Detalle'!$J484),1,""))</x:f>
      </x:c>
      <x:c r="G994" s="32" t="str">
        <x:f>IF(OR('Detalle'!$J484="",'Detalle'!$K484="",'Detalle'!$L484=""),"",IF(AND(G$8&lt;='Detalle'!$K484,G$9&gt;='Detalle'!$J484),1,""))</x:f>
      </x:c>
      <x:c r="H994" s="32" t="str">
        <x:f>IF(OR('Detalle'!$J484="",'Detalle'!$K484="",'Detalle'!$L484=""),"",IF(AND(H$8&lt;='Detalle'!$K484,H$9&gt;='Detalle'!$J484),1,""))</x:f>
      </x:c>
      <x:c r="I994" s="32" t="str">
        <x:f>IF(OR('Detalle'!$J484="",'Detalle'!$K484="",'Detalle'!$L484=""),"",IF(AND(I$8&lt;='Detalle'!$K484,I$9&gt;='Detalle'!$J484),1,""))</x:f>
      </x:c>
      <x:c r="J994" s="32" t="str">
        <x:f>IF(OR('Detalle'!$J484="",'Detalle'!$K484="",'Detalle'!$L484=""),"",IF(AND(J$8&lt;='Detalle'!$K484,J$9&gt;='Detalle'!$J484),1,""))</x:f>
      </x:c>
      <x:c r="K994" s="32" t="str">
        <x:f>IF(OR('Detalle'!$J484="",'Detalle'!$K484="",'Detalle'!$L484=""),"",IF(AND(K$8&lt;='Detalle'!$K484,K$9&gt;='Detalle'!$J484),1,""))</x:f>
      </x:c>
      <x:c r="L994" s="32" t="str">
        <x:f>IF(OR('Detalle'!$J484="",'Detalle'!$K484="",'Detalle'!$L484=""),"",IF(AND(L$8&lt;='Detalle'!$K484,L$9&gt;='Detalle'!$J484),1,""))</x:f>
      </x:c>
      <x:c r="M994" s="32" t="str">
        <x:f>IF(OR('Detalle'!$J484="",'Detalle'!$K484="",'Detalle'!$L484=""),"",IF(AND(M$8&lt;='Detalle'!$K484,M$9&gt;='Detalle'!$J484),1,""))</x:f>
      </x:c>
      <x:c r="N994" s="32" t="str">
        <x:f>IF(OR('Detalle'!$J484="",'Detalle'!$K484="",'Detalle'!$L484=""),"",IF(AND(N$8&lt;='Detalle'!$K484,N$9&gt;='Detalle'!$J484),1,""))</x:f>
      </x:c>
      <x:c r="O994" s="32" t="str">
        <x:f>IF(OR('Detalle'!$J484="",'Detalle'!$K484="",'Detalle'!$L484=""),"",IF(AND(O$8&lt;='Detalle'!$K484,O$9&gt;='Detalle'!$J484),1,""))</x:f>
      </x:c>
      <x:c r="P994" s="32" t="str">
        <x:f>IF(OR('Detalle'!$J484="",'Detalle'!$K484="",'Detalle'!$L484=""),"",IF(AND(P$8&lt;='Detalle'!$K484,P$9&gt;='Detalle'!$J484),1,""))</x:f>
      </x:c>
      <x:c r="Q994" s="68"/>
      <x:c r="R994" s="67" t="str"/>
      <x:c r="S994" s="67" t="str"/>
    </x:row>
    <x:row r="995" ht="16" customHeight="1">
      <x:c r="A995" s="56" t="str">
        <x:v>MIS04.016</x:v>
      </x:c>
      <x:c r="B995" s="57" t="str">
        <x:v>Integrar panel Crear por tipo de perfil</x:v>
      </x:c>
      <x:c r="C995" s="62" t="str">
        <x:v>E</x:v>
      </x:c>
      <x:c r="D995" s="64" t="n">
        <x:f>'Detalle'!I485</x:f>
        <x:v>1</x:v>
      </x:c>
      <x:c r="E995" s="60" t="str">
        <x:f>'Detalle'!F485</x:f>
        <x:v>Completado</x:v>
      </x:c>
      <x:c r="F995" s="32" t="str">
        <x:f>IF(AND(F$8&lt;='Detalle'!$H485,F$9&gt;='Detalle'!$G485),1,"")</x:f>
      </x:c>
      <x:c r="G995" s="32" t="str">
        <x:f>IF(AND(G$8&lt;='Detalle'!$H485,G$9&gt;='Detalle'!$G485),1,"")</x:f>
      </x:c>
      <x:c r="H995" s="32" t="str">
        <x:f>IF(AND(H$8&lt;='Detalle'!$H485,H$9&gt;='Detalle'!$G485),1,"")</x:f>
      </x:c>
      <x:c r="I995" s="32" t="n">
        <x:f>IF(AND(I$8&lt;='Detalle'!$H485,I$9&gt;='Detalle'!$G485),1,"")</x:f>
        <x:v>1</x:v>
      </x:c>
      <x:c r="J995" s="32" t="str">
        <x:f>IF(AND(J$8&lt;='Detalle'!$H485,J$9&gt;='Detalle'!$G485),1,"")</x:f>
      </x:c>
      <x:c r="K995" s="32" t="str">
        <x:f>IF(AND(K$8&lt;='Detalle'!$H485,K$9&gt;='Detalle'!$G485),1,"")</x:f>
      </x:c>
      <x:c r="L995" s="32" t="str">
        <x:f>IF(AND(L$8&lt;='Detalle'!$H485,L$9&gt;='Detalle'!$G485),1,"")</x:f>
      </x:c>
      <x:c r="M995" s="32" t="str">
        <x:f>IF(AND(M$8&lt;='Detalle'!$H485,M$9&gt;='Detalle'!$G485),1,"")</x:f>
      </x:c>
      <x:c r="N995" s="32" t="str">
        <x:f>IF(AND(N$8&lt;='Detalle'!$H485,N$9&gt;='Detalle'!$G485),1,"")</x:f>
      </x:c>
      <x:c r="O995" s="32" t="str">
        <x:f>IF(AND(O$8&lt;='Detalle'!$H485,O$9&gt;='Detalle'!$G485),1,"")</x:f>
      </x:c>
      <x:c r="P995" s="32" t="str">
        <x:f>IF(AND(P$8&lt;='Detalle'!$H485,P$9&gt;='Detalle'!$G485),1,"")</x:f>
      </x:c>
      <x:c r="Q995" s="68"/>
      <x:c r="R995" s="67" t="str">
        <x:f>IF('Detalle'!M485="","",'Detalle'!M485)</x:f>
      </x:c>
      <x:c r="S995" s="67" t="str">
        <x:f>IF('Detalle'!N485="","",'Detalle'!N485)</x:f>
      </x:c>
    </x:row>
    <x:row r="996" ht="16" customHeight="1">
      <x:c r="A996" s="56" t="str">
        <x:v>MIS04.016</x:v>
      </x:c>
      <x:c r="B996" s="57" t="str">
        <x:v>Integrar panel Crear por tipo de perfil</x:v>
      </x:c>
      <x:c r="C996" s="63" t="str">
        <x:v>R</x:v>
      </x:c>
      <x:c r="D996" s="65" t="str">
        <x:f>IF('Detalle'!L485="","",'Detalle'!L485)</x:f>
      </x:c>
      <x:c r="E996" s="60" t="str"/>
      <x:c r="F996" s="32" t="str">
        <x:f>IF(OR('Detalle'!$J485="",'Detalle'!$K485="",'Detalle'!$L485=""),"",IF(AND(F$8&lt;='Detalle'!$K485,F$9&gt;='Detalle'!$J485),1,""))</x:f>
      </x:c>
      <x:c r="G996" s="32" t="str">
        <x:f>IF(OR('Detalle'!$J485="",'Detalle'!$K485="",'Detalle'!$L485=""),"",IF(AND(G$8&lt;='Detalle'!$K485,G$9&gt;='Detalle'!$J485),1,""))</x:f>
      </x:c>
      <x:c r="H996" s="32" t="str">
        <x:f>IF(OR('Detalle'!$J485="",'Detalle'!$K485="",'Detalle'!$L485=""),"",IF(AND(H$8&lt;='Detalle'!$K485,H$9&gt;='Detalle'!$J485),1,""))</x:f>
      </x:c>
      <x:c r="I996" s="32" t="str">
        <x:f>IF(OR('Detalle'!$J485="",'Detalle'!$K485="",'Detalle'!$L485=""),"",IF(AND(I$8&lt;='Detalle'!$K485,I$9&gt;='Detalle'!$J485),1,""))</x:f>
      </x:c>
      <x:c r="J996" s="32" t="str">
        <x:f>IF(OR('Detalle'!$J485="",'Detalle'!$K485="",'Detalle'!$L485=""),"",IF(AND(J$8&lt;='Detalle'!$K485,J$9&gt;='Detalle'!$J485),1,""))</x:f>
      </x:c>
      <x:c r="K996" s="32" t="str">
        <x:f>IF(OR('Detalle'!$J485="",'Detalle'!$K485="",'Detalle'!$L485=""),"",IF(AND(K$8&lt;='Detalle'!$K485,K$9&gt;='Detalle'!$J485),1,""))</x:f>
      </x:c>
      <x:c r="L996" s="32" t="str">
        <x:f>IF(OR('Detalle'!$J485="",'Detalle'!$K485="",'Detalle'!$L485=""),"",IF(AND(L$8&lt;='Detalle'!$K485,L$9&gt;='Detalle'!$J485),1,""))</x:f>
      </x:c>
      <x:c r="M996" s="32" t="str">
        <x:f>IF(OR('Detalle'!$J485="",'Detalle'!$K485="",'Detalle'!$L485=""),"",IF(AND(M$8&lt;='Detalle'!$K485,M$9&gt;='Detalle'!$J485),1,""))</x:f>
      </x:c>
      <x:c r="N996" s="32" t="str">
        <x:f>IF(OR('Detalle'!$J485="",'Detalle'!$K485="",'Detalle'!$L485=""),"",IF(AND(N$8&lt;='Detalle'!$K485,N$9&gt;='Detalle'!$J485),1,""))</x:f>
      </x:c>
      <x:c r="O996" s="32" t="str">
        <x:f>IF(OR('Detalle'!$J485="",'Detalle'!$K485="",'Detalle'!$L485=""),"",IF(AND(O$8&lt;='Detalle'!$K485,O$9&gt;='Detalle'!$J485),1,""))</x:f>
      </x:c>
      <x:c r="P996" s="32" t="str">
        <x:f>IF(OR('Detalle'!$J485="",'Detalle'!$K485="",'Detalle'!$L485=""),"",IF(AND(P$8&lt;='Detalle'!$K485,P$9&gt;='Detalle'!$J485),1,""))</x:f>
      </x:c>
      <x:c r="Q996" s="68"/>
      <x:c r="R996" s="67" t="str"/>
      <x:c r="S996" s="67" t="str"/>
    </x:row>
    <x:row r="997" ht="16" customHeight="1">
      <x:c r="A997" s="56" t="str">
        <x:v>MIS04.017</x:v>
      </x:c>
      <x:c r="B997" s="57" t="str">
        <x:v>Guardar misiones en colección privada</x:v>
      </x:c>
      <x:c r="C997" s="62" t="str">
        <x:v>E</x:v>
      </x:c>
      <x:c r="D997" s="64" t="n">
        <x:f>'Detalle'!I486</x:f>
        <x:v>1</x:v>
      </x:c>
      <x:c r="E997" s="60" t="str">
        <x:f>'Detalle'!F486</x:f>
        <x:v>Completado</x:v>
      </x:c>
      <x:c r="F997" s="32" t="str">
        <x:f>IF(AND(F$8&lt;='Detalle'!$H486,F$9&gt;='Detalle'!$G486),1,"")</x:f>
      </x:c>
      <x:c r="G997" s="32" t="str">
        <x:f>IF(AND(G$8&lt;='Detalle'!$H486,G$9&gt;='Detalle'!$G486),1,"")</x:f>
      </x:c>
      <x:c r="H997" s="32" t="str">
        <x:f>IF(AND(H$8&lt;='Detalle'!$H486,H$9&gt;='Detalle'!$G486),1,"")</x:f>
      </x:c>
      <x:c r="I997" s="32" t="n">
        <x:f>IF(AND(I$8&lt;='Detalle'!$H486,I$9&gt;='Detalle'!$G486),1,"")</x:f>
        <x:v>1</x:v>
      </x:c>
      <x:c r="J997" s="32" t="str">
        <x:f>IF(AND(J$8&lt;='Detalle'!$H486,J$9&gt;='Detalle'!$G486),1,"")</x:f>
      </x:c>
      <x:c r="K997" s="32" t="str">
        <x:f>IF(AND(K$8&lt;='Detalle'!$H486,K$9&gt;='Detalle'!$G486),1,"")</x:f>
      </x:c>
      <x:c r="L997" s="32" t="str">
        <x:f>IF(AND(L$8&lt;='Detalle'!$H486,L$9&gt;='Detalle'!$G486),1,"")</x:f>
      </x:c>
      <x:c r="M997" s="32" t="str">
        <x:f>IF(AND(M$8&lt;='Detalle'!$H486,M$9&gt;='Detalle'!$G486),1,"")</x:f>
      </x:c>
      <x:c r="N997" s="32" t="str">
        <x:f>IF(AND(N$8&lt;='Detalle'!$H486,N$9&gt;='Detalle'!$G486),1,"")</x:f>
      </x:c>
      <x:c r="O997" s="32" t="str">
        <x:f>IF(AND(O$8&lt;='Detalle'!$H486,O$9&gt;='Detalle'!$G486),1,"")</x:f>
      </x:c>
      <x:c r="P997" s="32" t="str">
        <x:f>IF(AND(P$8&lt;='Detalle'!$H486,P$9&gt;='Detalle'!$G486),1,"")</x:f>
      </x:c>
      <x:c r="Q997" s="68"/>
      <x:c r="R997" s="67" t="str">
        <x:f>IF('Detalle'!M486="","",'Detalle'!M486)</x:f>
      </x:c>
      <x:c r="S997" s="67" t="str">
        <x:f>IF('Detalle'!N486="","",'Detalle'!N486)</x:f>
      </x:c>
    </x:row>
    <x:row r="998" ht="16" customHeight="1">
      <x:c r="A998" s="56" t="str">
        <x:v>MIS04.017</x:v>
      </x:c>
      <x:c r="B998" s="57" t="str">
        <x:v>Guardar misiones en colección privada</x:v>
      </x:c>
      <x:c r="C998" s="63" t="str">
        <x:v>R</x:v>
      </x:c>
      <x:c r="D998" s="65" t="str">
        <x:f>IF('Detalle'!L486="","",'Detalle'!L486)</x:f>
      </x:c>
      <x:c r="E998" s="60" t="str"/>
      <x:c r="F998" s="32" t="str">
        <x:f>IF(OR('Detalle'!$J486="",'Detalle'!$K486="",'Detalle'!$L486=""),"",IF(AND(F$8&lt;='Detalle'!$K486,F$9&gt;='Detalle'!$J486),1,""))</x:f>
      </x:c>
      <x:c r="G998" s="32" t="str">
        <x:f>IF(OR('Detalle'!$J486="",'Detalle'!$K486="",'Detalle'!$L486=""),"",IF(AND(G$8&lt;='Detalle'!$K486,G$9&gt;='Detalle'!$J486),1,""))</x:f>
      </x:c>
      <x:c r="H998" s="32" t="str">
        <x:f>IF(OR('Detalle'!$J486="",'Detalle'!$K486="",'Detalle'!$L486=""),"",IF(AND(H$8&lt;='Detalle'!$K486,H$9&gt;='Detalle'!$J486),1,""))</x:f>
      </x:c>
      <x:c r="I998" s="32" t="str">
        <x:f>IF(OR('Detalle'!$J486="",'Detalle'!$K486="",'Detalle'!$L486=""),"",IF(AND(I$8&lt;='Detalle'!$K486,I$9&gt;='Detalle'!$J486),1,""))</x:f>
      </x:c>
      <x:c r="J998" s="32" t="str">
        <x:f>IF(OR('Detalle'!$J486="",'Detalle'!$K486="",'Detalle'!$L486=""),"",IF(AND(J$8&lt;='Detalle'!$K486,J$9&gt;='Detalle'!$J486),1,""))</x:f>
      </x:c>
      <x:c r="K998" s="32" t="str">
        <x:f>IF(OR('Detalle'!$J486="",'Detalle'!$K486="",'Detalle'!$L486=""),"",IF(AND(K$8&lt;='Detalle'!$K486,K$9&gt;='Detalle'!$J486),1,""))</x:f>
      </x:c>
      <x:c r="L998" s="32" t="str">
        <x:f>IF(OR('Detalle'!$J486="",'Detalle'!$K486="",'Detalle'!$L486=""),"",IF(AND(L$8&lt;='Detalle'!$K486,L$9&gt;='Detalle'!$J486),1,""))</x:f>
      </x:c>
      <x:c r="M998" s="32" t="str">
        <x:f>IF(OR('Detalle'!$J486="",'Detalle'!$K486="",'Detalle'!$L486=""),"",IF(AND(M$8&lt;='Detalle'!$K486,M$9&gt;='Detalle'!$J486),1,""))</x:f>
      </x:c>
      <x:c r="N998" s="32" t="str">
        <x:f>IF(OR('Detalle'!$J486="",'Detalle'!$K486="",'Detalle'!$L486=""),"",IF(AND(N$8&lt;='Detalle'!$K486,N$9&gt;='Detalle'!$J486),1,""))</x:f>
      </x:c>
      <x:c r="O998" s="32" t="str">
        <x:f>IF(OR('Detalle'!$J486="",'Detalle'!$K486="",'Detalle'!$L486=""),"",IF(AND(O$8&lt;='Detalle'!$K486,O$9&gt;='Detalle'!$J486),1,""))</x:f>
      </x:c>
      <x:c r="P998" s="32" t="str">
        <x:f>IF(OR('Detalle'!$J486="",'Detalle'!$K486="",'Detalle'!$L486=""),"",IF(AND(P$8&lt;='Detalle'!$K486,P$9&gt;='Detalle'!$J486),1,""))</x:f>
      </x:c>
      <x:c r="Q998" s="68"/>
      <x:c r="R998" s="67" t="str"/>
      <x:c r="S998" s="67" t="str"/>
    </x:row>
    <x:row r="999" ht="16" customHeight="1">
      <x:c r="A999" s="56" t="str">
        <x:v>MIS04.018</x:v>
      </x:c>
      <x:c r="B999" s="57" t="str">
        <x:v>Conservar filtros y scroll del listado</x:v>
      </x:c>
      <x:c r="C999" s="62" t="str">
        <x:v>E</x:v>
      </x:c>
      <x:c r="D999" s="64" t="n">
        <x:f>'Detalle'!I487</x:f>
        <x:v>1</x:v>
      </x:c>
      <x:c r="E999" s="60" t="str">
        <x:f>'Detalle'!F487</x:f>
        <x:v>Completado</x:v>
      </x:c>
      <x:c r="F999" s="32" t="str">
        <x:f>IF(AND(F$8&lt;='Detalle'!$H487,F$9&gt;='Detalle'!$G487),1,"")</x:f>
      </x:c>
      <x:c r="G999" s="32" t="str">
        <x:f>IF(AND(G$8&lt;='Detalle'!$H487,G$9&gt;='Detalle'!$G487),1,"")</x:f>
      </x:c>
      <x:c r="H999" s="32" t="str">
        <x:f>IF(AND(H$8&lt;='Detalle'!$H487,H$9&gt;='Detalle'!$G487),1,"")</x:f>
      </x:c>
      <x:c r="I999" s="32" t="n">
        <x:f>IF(AND(I$8&lt;='Detalle'!$H487,I$9&gt;='Detalle'!$G487),1,"")</x:f>
        <x:v>1</x:v>
      </x:c>
      <x:c r="J999" s="32" t="str">
        <x:f>IF(AND(J$8&lt;='Detalle'!$H487,J$9&gt;='Detalle'!$G487),1,"")</x:f>
      </x:c>
      <x:c r="K999" s="32" t="str">
        <x:f>IF(AND(K$8&lt;='Detalle'!$H487,K$9&gt;='Detalle'!$G487),1,"")</x:f>
      </x:c>
      <x:c r="L999" s="32" t="str">
        <x:f>IF(AND(L$8&lt;='Detalle'!$H487,L$9&gt;='Detalle'!$G487),1,"")</x:f>
      </x:c>
      <x:c r="M999" s="32" t="str">
        <x:f>IF(AND(M$8&lt;='Detalle'!$H487,M$9&gt;='Detalle'!$G487),1,"")</x:f>
      </x:c>
      <x:c r="N999" s="32" t="str">
        <x:f>IF(AND(N$8&lt;='Detalle'!$H487,N$9&gt;='Detalle'!$G487),1,"")</x:f>
      </x:c>
      <x:c r="O999" s="32" t="str">
        <x:f>IF(AND(O$8&lt;='Detalle'!$H487,O$9&gt;='Detalle'!$G487),1,"")</x:f>
      </x:c>
      <x:c r="P999" s="32" t="str">
        <x:f>IF(AND(P$8&lt;='Detalle'!$H487,P$9&gt;='Detalle'!$G487),1,"")</x:f>
      </x:c>
      <x:c r="Q999" s="68"/>
      <x:c r="R999" s="67" t="str">
        <x:f>IF('Detalle'!M487="","",'Detalle'!M487)</x:f>
      </x:c>
      <x:c r="S999" s="67" t="str">
        <x:f>IF('Detalle'!N487="","",'Detalle'!N487)</x:f>
      </x:c>
    </x:row>
    <x:row r="1000" ht="16" customHeight="1">
      <x:c r="A1000" s="56" t="str">
        <x:v>MIS04.018</x:v>
      </x:c>
      <x:c r="B1000" s="57" t="str">
        <x:v>Conservar filtros y scroll del listado</x:v>
      </x:c>
      <x:c r="C1000" s="63" t="str">
        <x:v>R</x:v>
      </x:c>
      <x:c r="D1000" s="65" t="str">
        <x:f>IF('Detalle'!L487="","",'Detalle'!L487)</x:f>
      </x:c>
      <x:c r="E1000" s="60" t="str"/>
      <x:c r="F1000" s="32" t="str">
        <x:f>IF(OR('Detalle'!$J487="",'Detalle'!$K487="",'Detalle'!$L487=""),"",IF(AND(F$8&lt;='Detalle'!$K487,F$9&gt;='Detalle'!$J487),1,""))</x:f>
      </x:c>
      <x:c r="G1000" s="32" t="str">
        <x:f>IF(OR('Detalle'!$J487="",'Detalle'!$K487="",'Detalle'!$L487=""),"",IF(AND(G$8&lt;='Detalle'!$K487,G$9&gt;='Detalle'!$J487),1,""))</x:f>
      </x:c>
      <x:c r="H1000" s="32" t="str">
        <x:f>IF(OR('Detalle'!$J487="",'Detalle'!$K487="",'Detalle'!$L487=""),"",IF(AND(H$8&lt;='Detalle'!$K487,H$9&gt;='Detalle'!$J487),1,""))</x:f>
      </x:c>
      <x:c r="I1000" s="32" t="str">
        <x:f>IF(OR('Detalle'!$J487="",'Detalle'!$K487="",'Detalle'!$L487=""),"",IF(AND(I$8&lt;='Detalle'!$K487,I$9&gt;='Detalle'!$J487),1,""))</x:f>
      </x:c>
      <x:c r="J1000" s="32" t="str">
        <x:f>IF(OR('Detalle'!$J487="",'Detalle'!$K487="",'Detalle'!$L487=""),"",IF(AND(J$8&lt;='Detalle'!$K487,J$9&gt;='Detalle'!$J487),1,""))</x:f>
      </x:c>
      <x:c r="K1000" s="32" t="str">
        <x:f>IF(OR('Detalle'!$J487="",'Detalle'!$K487="",'Detalle'!$L487=""),"",IF(AND(K$8&lt;='Detalle'!$K487,K$9&gt;='Detalle'!$J487),1,""))</x:f>
      </x:c>
      <x:c r="L1000" s="32" t="str">
        <x:f>IF(OR('Detalle'!$J487="",'Detalle'!$K487="",'Detalle'!$L487=""),"",IF(AND(L$8&lt;='Detalle'!$K487,L$9&gt;='Detalle'!$J487),1,""))</x:f>
      </x:c>
      <x:c r="M1000" s="32" t="str">
        <x:f>IF(OR('Detalle'!$J487="",'Detalle'!$K487="",'Detalle'!$L487=""),"",IF(AND(M$8&lt;='Detalle'!$K487,M$9&gt;='Detalle'!$J487),1,""))</x:f>
      </x:c>
      <x:c r="N1000" s="32" t="str">
        <x:f>IF(OR('Detalle'!$J487="",'Detalle'!$K487="",'Detalle'!$L487=""),"",IF(AND(N$8&lt;='Detalle'!$K487,N$9&gt;='Detalle'!$J487),1,""))</x:f>
      </x:c>
      <x:c r="O1000" s="32" t="str">
        <x:f>IF(OR('Detalle'!$J487="",'Detalle'!$K487="",'Detalle'!$L487=""),"",IF(AND(O$8&lt;='Detalle'!$K487,O$9&gt;='Detalle'!$J487),1,""))</x:f>
      </x:c>
      <x:c r="P1000" s="32" t="str">
        <x:f>IF(OR('Detalle'!$J487="",'Detalle'!$K487="",'Detalle'!$L487=""),"",IF(AND(P$8&lt;='Detalle'!$K487,P$9&gt;='Detalle'!$J487),1,""))</x:f>
      </x:c>
      <x:c r="Q1000" s="68"/>
      <x:c r="R1000" s="67" t="str"/>
      <x:c r="S1000" s="67" t="str"/>
    </x:row>
    <x:row r="1001" ht="20" customHeight="1">
      <x:c r="A1001" s="52" t="str">
        <x:v>MIS05 · Verificación y despliegue del rediseño de misiones</x:v>
      </x:c>
      <x:c r="B1001" s="52" t="str">
        <x:v>MIS05 · Verificación y despliegue del rediseño de misiones</x:v>
      </x:c>
      <x:c r="C1001" s="52" t="str">
        <x:v>MIS05 · Verificación y despliegue del rediseño de misiones</x:v>
      </x:c>
      <x:c r="D1001" s="52" t="str">
        <x:v>MIS05 · Verificación y despliegue del rediseño de misiones</x:v>
      </x:c>
      <x:c r="E1001" s="52" t="str">
        <x:v>MIS05 · Verificación y despliegue del rediseño de misiones</x:v>
      </x:c>
      <x:c r="F1001" s="53" t="str">
        <x:v>MIS05 · Verificación y despliegue del rediseño de misiones</x:v>
      </x:c>
      <x:c r="G1001" s="53" t="str">
        <x:v>MIS05 · Verificación y despliegue del rediseño de misiones</x:v>
      </x:c>
      <x:c r="H1001" s="53" t="str">
        <x:v>MIS05 · Verificación y despliegue del rediseño de misiones</x:v>
      </x:c>
      <x:c r="I1001" s="53" t="str">
        <x:v>MIS05 · Verificación y despliegue del rediseño de misiones</x:v>
      </x:c>
      <x:c r="J1001" s="53" t="str">
        <x:v>MIS05 · Verificación y despliegue del rediseño de misiones</x:v>
      </x:c>
      <x:c r="K1001" s="53" t="str">
        <x:v>MIS05 · Verificación y despliegue del rediseño de misiones</x:v>
      </x:c>
      <x:c r="L1001" s="53" t="str">
        <x:v>MIS05 · Verificación y despliegue del rediseño de misiones</x:v>
      </x:c>
      <x:c r="M1001" s="53" t="str">
        <x:v>MIS05 · Verificación y despliegue del rediseño de misiones</x:v>
      </x:c>
      <x:c r="N1001" s="53" t="str">
        <x:v>MIS05 · Verificación y despliegue del rediseño de misiones</x:v>
      </x:c>
      <x:c r="O1001" s="53" t="str">
        <x:v>MIS05 · Verificación y despliegue del rediseño de misiones</x:v>
      </x:c>
      <x:c r="P1001" s="53" t="str">
        <x:v>MIS05 · Verificación y despliegue del rediseño de misiones</x:v>
      </x:c>
      <x:c r="Q1001" s="52" t="str">
        <x:v>MIS05 · Verificación y despliegue del rediseño de misiones</x:v>
      </x:c>
      <x:c r="R1001" s="52" t="str">
        <x:v>MIS05 · Verificación y despliegue del rediseño de misiones</x:v>
      </x:c>
      <x:c r="S1001" s="52" t="str">
        <x:v>MIS05 · Verificación y despliegue del rediseño de misiones</x:v>
      </x:c>
    </x:row>
    <x:row r="1002" ht="16" customHeight="1">
      <x:c r="A1002" s="56" t="str">
        <x:v>MIS05.001</x:v>
      </x:c>
      <x:c r="B1002" s="57" t="str">
        <x:v>Validar contrato 013 en aislamiento</x:v>
      </x:c>
      <x:c r="C1002" s="62" t="str">
        <x:v>E</x:v>
      </x:c>
      <x:c r="D1002" s="64" t="n">
        <x:f>'Detalle'!I488</x:f>
        <x:v>1</x:v>
      </x:c>
      <x:c r="E1002" s="60" t="str">
        <x:f>'Detalle'!F488</x:f>
        <x:v>Completado</x:v>
      </x:c>
      <x:c r="F1002" s="32" t="str">
        <x:f>IF(AND(F$8&lt;='Detalle'!$H488,F$9&gt;='Detalle'!$G488),1,"")</x:f>
      </x:c>
      <x:c r="G1002" s="32" t="str">
        <x:f>IF(AND(G$8&lt;='Detalle'!$H488,G$9&gt;='Detalle'!$G488),1,"")</x:f>
      </x:c>
      <x:c r="H1002" s="32" t="str">
        <x:f>IF(AND(H$8&lt;='Detalle'!$H488,H$9&gt;='Detalle'!$G488),1,"")</x:f>
      </x:c>
      <x:c r="I1002" s="32" t="n">
        <x:f>IF(AND(I$8&lt;='Detalle'!$H488,I$9&gt;='Detalle'!$G488),1,"")</x:f>
        <x:v>1</x:v>
      </x:c>
      <x:c r="J1002" s="32" t="str">
        <x:f>IF(AND(J$8&lt;='Detalle'!$H488,J$9&gt;='Detalle'!$G488),1,"")</x:f>
      </x:c>
      <x:c r="K1002" s="32" t="str">
        <x:f>IF(AND(K$8&lt;='Detalle'!$H488,K$9&gt;='Detalle'!$G488),1,"")</x:f>
      </x:c>
      <x:c r="L1002" s="32" t="str">
        <x:f>IF(AND(L$8&lt;='Detalle'!$H488,L$9&gt;='Detalle'!$G488),1,"")</x:f>
      </x:c>
      <x:c r="M1002" s="32" t="str">
        <x:f>IF(AND(M$8&lt;='Detalle'!$H488,M$9&gt;='Detalle'!$G488),1,"")</x:f>
      </x:c>
      <x:c r="N1002" s="32" t="str">
        <x:f>IF(AND(N$8&lt;='Detalle'!$H488,N$9&gt;='Detalle'!$G488),1,"")</x:f>
      </x:c>
      <x:c r="O1002" s="32" t="str">
        <x:f>IF(AND(O$8&lt;='Detalle'!$H488,O$9&gt;='Detalle'!$G488),1,"")</x:f>
      </x:c>
      <x:c r="P1002" s="32" t="str">
        <x:f>IF(AND(P$8&lt;='Detalle'!$H488,P$9&gt;='Detalle'!$G488),1,"")</x:f>
      </x:c>
      <x:c r="Q1002" s="68"/>
      <x:c r="R1002" s="67" t="str">
        <x:f>IF('Detalle'!M488="","",'Detalle'!M488)</x:f>
      </x:c>
      <x:c r="S1002" s="67" t="str">
        <x:f>IF('Detalle'!N488="","",'Detalle'!N488)</x:f>
      </x:c>
    </x:row>
    <x:row r="1003" ht="16" customHeight="1">
      <x:c r="A1003" s="56" t="str">
        <x:v>MIS05.001</x:v>
      </x:c>
      <x:c r="B1003" s="57" t="str">
        <x:v>Validar contrato 013 en aislamiento</x:v>
      </x:c>
      <x:c r="C1003" s="63" t="str">
        <x:v>R</x:v>
      </x:c>
      <x:c r="D1003" s="65" t="str">
        <x:f>IF('Detalle'!L488="","",'Detalle'!L488)</x:f>
      </x:c>
      <x:c r="E1003" s="60" t="str"/>
      <x:c r="F1003" s="32" t="str">
        <x:f>IF(OR('Detalle'!$J488="",'Detalle'!$K488="",'Detalle'!$L488=""),"",IF(AND(F$8&lt;='Detalle'!$K488,F$9&gt;='Detalle'!$J488),1,""))</x:f>
      </x:c>
      <x:c r="G1003" s="32" t="str">
        <x:f>IF(OR('Detalle'!$J488="",'Detalle'!$K488="",'Detalle'!$L488=""),"",IF(AND(G$8&lt;='Detalle'!$K488,G$9&gt;='Detalle'!$J488),1,""))</x:f>
      </x:c>
      <x:c r="H1003" s="32" t="str">
        <x:f>IF(OR('Detalle'!$J488="",'Detalle'!$K488="",'Detalle'!$L488=""),"",IF(AND(H$8&lt;='Detalle'!$K488,H$9&gt;='Detalle'!$J488),1,""))</x:f>
      </x:c>
      <x:c r="I1003" s="32" t="str">
        <x:f>IF(OR('Detalle'!$J488="",'Detalle'!$K488="",'Detalle'!$L488=""),"",IF(AND(I$8&lt;='Detalle'!$K488,I$9&gt;='Detalle'!$J488),1,""))</x:f>
      </x:c>
      <x:c r="J1003" s="32" t="str">
        <x:f>IF(OR('Detalle'!$J488="",'Detalle'!$K488="",'Detalle'!$L488=""),"",IF(AND(J$8&lt;='Detalle'!$K488,J$9&gt;='Detalle'!$J488),1,""))</x:f>
      </x:c>
      <x:c r="K1003" s="32" t="str">
        <x:f>IF(OR('Detalle'!$J488="",'Detalle'!$K488="",'Detalle'!$L488=""),"",IF(AND(K$8&lt;='Detalle'!$K488,K$9&gt;='Detalle'!$J488),1,""))</x:f>
      </x:c>
      <x:c r="L1003" s="32" t="str">
        <x:f>IF(OR('Detalle'!$J488="",'Detalle'!$K488="",'Detalle'!$L488=""),"",IF(AND(L$8&lt;='Detalle'!$K488,L$9&gt;='Detalle'!$J488),1,""))</x:f>
      </x:c>
      <x:c r="M1003" s="32" t="str">
        <x:f>IF(OR('Detalle'!$J488="",'Detalle'!$K488="",'Detalle'!$L488=""),"",IF(AND(M$8&lt;='Detalle'!$K488,M$9&gt;='Detalle'!$J488),1,""))</x:f>
      </x:c>
      <x:c r="N1003" s="32" t="str">
        <x:f>IF(OR('Detalle'!$J488="",'Detalle'!$K488="",'Detalle'!$L488=""),"",IF(AND(N$8&lt;='Detalle'!$K488,N$9&gt;='Detalle'!$J488),1,""))</x:f>
      </x:c>
      <x:c r="O1003" s="32" t="str">
        <x:f>IF(OR('Detalle'!$J488="",'Detalle'!$K488="",'Detalle'!$L488=""),"",IF(AND(O$8&lt;='Detalle'!$K488,O$9&gt;='Detalle'!$J488),1,""))</x:f>
      </x:c>
      <x:c r="P1003" s="32" t="str">
        <x:f>IF(OR('Detalle'!$J488="",'Detalle'!$K488="",'Detalle'!$L488=""),"",IF(AND(P$8&lt;='Detalle'!$K488,P$9&gt;='Detalle'!$J488),1,""))</x:f>
      </x:c>
      <x:c r="Q1003" s="68"/>
      <x:c r="R1003" s="67" t="str"/>
      <x:c r="S1003" s="67" t="str"/>
    </x:row>
    <x:row r="1004" ht="16" customHeight="1">
      <x:c r="A1004" s="56" t="str">
        <x:v>MIS05.002</x:v>
      </x:c>
      <x:c r="B1004" s="57" t="str">
        <x:v>Aplicar únicamente migración 013</x:v>
      </x:c>
      <x:c r="C1004" s="62" t="str">
        <x:v>E</x:v>
      </x:c>
      <x:c r="D1004" s="64" t="n">
        <x:f>'Detalle'!I489</x:f>
        <x:v>1</x:v>
      </x:c>
      <x:c r="E1004" s="60" t="str">
        <x:f>'Detalle'!F489</x:f>
        <x:v>Completado</x:v>
      </x:c>
      <x:c r="F1004" s="32" t="str">
        <x:f>IF(AND(F$8&lt;='Detalle'!$H489,F$9&gt;='Detalle'!$G489),1,"")</x:f>
      </x:c>
      <x:c r="G1004" s="32" t="str">
        <x:f>IF(AND(G$8&lt;='Detalle'!$H489,G$9&gt;='Detalle'!$G489),1,"")</x:f>
      </x:c>
      <x:c r="H1004" s="32" t="str">
        <x:f>IF(AND(H$8&lt;='Detalle'!$H489,H$9&gt;='Detalle'!$G489),1,"")</x:f>
      </x:c>
      <x:c r="I1004" s="32" t="n">
        <x:f>IF(AND(I$8&lt;='Detalle'!$H489,I$9&gt;='Detalle'!$G489),1,"")</x:f>
        <x:v>1</x:v>
      </x:c>
      <x:c r="J1004" s="32" t="str">
        <x:f>IF(AND(J$8&lt;='Detalle'!$H489,J$9&gt;='Detalle'!$G489),1,"")</x:f>
      </x:c>
      <x:c r="K1004" s="32" t="str">
        <x:f>IF(AND(K$8&lt;='Detalle'!$H489,K$9&gt;='Detalle'!$G489),1,"")</x:f>
      </x:c>
      <x:c r="L1004" s="32" t="str">
        <x:f>IF(AND(L$8&lt;='Detalle'!$H489,L$9&gt;='Detalle'!$G489),1,"")</x:f>
      </x:c>
      <x:c r="M1004" s="32" t="str">
        <x:f>IF(AND(M$8&lt;='Detalle'!$H489,M$9&gt;='Detalle'!$G489),1,"")</x:f>
      </x:c>
      <x:c r="N1004" s="32" t="str">
        <x:f>IF(AND(N$8&lt;='Detalle'!$H489,N$9&gt;='Detalle'!$G489),1,"")</x:f>
      </x:c>
      <x:c r="O1004" s="32" t="str">
        <x:f>IF(AND(O$8&lt;='Detalle'!$H489,O$9&gt;='Detalle'!$G489),1,"")</x:f>
      </x:c>
      <x:c r="P1004" s="32" t="str">
        <x:f>IF(AND(P$8&lt;='Detalle'!$H489,P$9&gt;='Detalle'!$G489),1,"")</x:f>
      </x:c>
      <x:c r="Q1004" s="68"/>
      <x:c r="R1004" s="67" t="str">
        <x:f>IF('Detalle'!M489="","",'Detalle'!M489)</x:f>
      </x:c>
      <x:c r="S1004" s="67" t="str">
        <x:f>IF('Detalle'!N489="","",'Detalle'!N489)</x:f>
      </x:c>
    </x:row>
    <x:row r="1005" ht="16" customHeight="1">
      <x:c r="A1005" s="56" t="str">
        <x:v>MIS05.002</x:v>
      </x:c>
      <x:c r="B1005" s="57" t="str">
        <x:v>Aplicar únicamente migración 013</x:v>
      </x:c>
      <x:c r="C1005" s="63" t="str">
        <x:v>R</x:v>
      </x:c>
      <x:c r="D1005" s="65" t="str">
        <x:f>IF('Detalle'!L489="","",'Detalle'!L489)</x:f>
      </x:c>
      <x:c r="E1005" s="60" t="str"/>
      <x:c r="F1005" s="32" t="str">
        <x:f>IF(OR('Detalle'!$J489="",'Detalle'!$K489="",'Detalle'!$L489=""),"",IF(AND(F$8&lt;='Detalle'!$K489,F$9&gt;='Detalle'!$J489),1,""))</x:f>
      </x:c>
      <x:c r="G1005" s="32" t="str">
        <x:f>IF(OR('Detalle'!$J489="",'Detalle'!$K489="",'Detalle'!$L489=""),"",IF(AND(G$8&lt;='Detalle'!$K489,G$9&gt;='Detalle'!$J489),1,""))</x:f>
      </x:c>
      <x:c r="H1005" s="32" t="str">
        <x:f>IF(OR('Detalle'!$J489="",'Detalle'!$K489="",'Detalle'!$L489=""),"",IF(AND(H$8&lt;='Detalle'!$K489,H$9&gt;='Detalle'!$J489),1,""))</x:f>
      </x:c>
      <x:c r="I1005" s="32" t="str">
        <x:f>IF(OR('Detalle'!$J489="",'Detalle'!$K489="",'Detalle'!$L489=""),"",IF(AND(I$8&lt;='Detalle'!$K489,I$9&gt;='Detalle'!$J489),1,""))</x:f>
      </x:c>
      <x:c r="J1005" s="32" t="str">
        <x:f>IF(OR('Detalle'!$J489="",'Detalle'!$K489="",'Detalle'!$L489=""),"",IF(AND(J$8&lt;='Detalle'!$K489,J$9&gt;='Detalle'!$J489),1,""))</x:f>
      </x:c>
      <x:c r="K1005" s="32" t="str">
        <x:f>IF(OR('Detalle'!$J489="",'Detalle'!$K489="",'Detalle'!$L489=""),"",IF(AND(K$8&lt;='Detalle'!$K489,K$9&gt;='Detalle'!$J489),1,""))</x:f>
      </x:c>
      <x:c r="L1005" s="32" t="str">
        <x:f>IF(OR('Detalle'!$J489="",'Detalle'!$K489="",'Detalle'!$L489=""),"",IF(AND(L$8&lt;='Detalle'!$K489,L$9&gt;='Detalle'!$J489),1,""))</x:f>
      </x:c>
      <x:c r="M1005" s="32" t="str">
        <x:f>IF(OR('Detalle'!$J489="",'Detalle'!$K489="",'Detalle'!$L489=""),"",IF(AND(M$8&lt;='Detalle'!$K489,M$9&gt;='Detalle'!$J489),1,""))</x:f>
      </x:c>
      <x:c r="N1005" s="32" t="str">
        <x:f>IF(OR('Detalle'!$J489="",'Detalle'!$K489="",'Detalle'!$L489=""),"",IF(AND(N$8&lt;='Detalle'!$K489,N$9&gt;='Detalle'!$J489),1,""))</x:f>
      </x:c>
      <x:c r="O1005" s="32" t="str">
        <x:f>IF(OR('Detalle'!$J489="",'Detalle'!$K489="",'Detalle'!$L489=""),"",IF(AND(O$8&lt;='Detalle'!$K489,O$9&gt;='Detalle'!$J489),1,""))</x:f>
      </x:c>
      <x:c r="P1005" s="32" t="str">
        <x:f>IF(OR('Detalle'!$J489="",'Detalle'!$K489="",'Detalle'!$L489=""),"",IF(AND(P$8&lt;='Detalle'!$K489,P$9&gt;='Detalle'!$J489),1,""))</x:f>
      </x:c>
      <x:c r="Q1005" s="68"/>
      <x:c r="R1005" s="67" t="str"/>
      <x:c r="S1005" s="67" t="str"/>
    </x:row>
    <x:row r="1006" ht="16" customHeight="1">
      <x:c r="A1006" s="56" t="str">
        <x:v>MIS05.003</x:v>
      </x:c>
      <x:c r="B1006" s="57" t="str">
        <x:v>Verificar gate y lint remotos</x:v>
      </x:c>
      <x:c r="C1006" s="62" t="str">
        <x:v>E</x:v>
      </x:c>
      <x:c r="D1006" s="64" t="n">
        <x:f>'Detalle'!I490</x:f>
        <x:v>1</x:v>
      </x:c>
      <x:c r="E1006" s="60" t="str">
        <x:f>'Detalle'!F490</x:f>
        <x:v>Completado</x:v>
      </x:c>
      <x:c r="F1006" s="32" t="str">
        <x:f>IF(AND(F$8&lt;='Detalle'!$H490,F$9&gt;='Detalle'!$G490),1,"")</x:f>
      </x:c>
      <x:c r="G1006" s="32" t="str">
        <x:f>IF(AND(G$8&lt;='Detalle'!$H490,G$9&gt;='Detalle'!$G490),1,"")</x:f>
      </x:c>
      <x:c r="H1006" s="32" t="str">
        <x:f>IF(AND(H$8&lt;='Detalle'!$H490,H$9&gt;='Detalle'!$G490),1,"")</x:f>
      </x:c>
      <x:c r="I1006" s="32" t="n">
        <x:f>IF(AND(I$8&lt;='Detalle'!$H490,I$9&gt;='Detalle'!$G490),1,"")</x:f>
        <x:v>1</x:v>
      </x:c>
      <x:c r="J1006" s="32" t="str">
        <x:f>IF(AND(J$8&lt;='Detalle'!$H490,J$9&gt;='Detalle'!$G490),1,"")</x:f>
      </x:c>
      <x:c r="K1006" s="32" t="str">
        <x:f>IF(AND(K$8&lt;='Detalle'!$H490,K$9&gt;='Detalle'!$G490),1,"")</x:f>
      </x:c>
      <x:c r="L1006" s="32" t="str">
        <x:f>IF(AND(L$8&lt;='Detalle'!$H490,L$9&gt;='Detalle'!$G490),1,"")</x:f>
      </x:c>
      <x:c r="M1006" s="32" t="str">
        <x:f>IF(AND(M$8&lt;='Detalle'!$H490,M$9&gt;='Detalle'!$G490),1,"")</x:f>
      </x:c>
      <x:c r="N1006" s="32" t="str">
        <x:f>IF(AND(N$8&lt;='Detalle'!$H490,N$9&gt;='Detalle'!$G490),1,"")</x:f>
      </x:c>
      <x:c r="O1006" s="32" t="str">
        <x:f>IF(AND(O$8&lt;='Detalle'!$H490,O$9&gt;='Detalle'!$G490),1,"")</x:f>
      </x:c>
      <x:c r="P1006" s="32" t="str">
        <x:f>IF(AND(P$8&lt;='Detalle'!$H490,P$9&gt;='Detalle'!$G490),1,"")</x:f>
      </x:c>
      <x:c r="Q1006" s="68"/>
      <x:c r="R1006" s="67" t="str">
        <x:f>IF('Detalle'!M490="","",'Detalle'!M490)</x:f>
      </x:c>
      <x:c r="S1006" s="67" t="str">
        <x:f>IF('Detalle'!N490="","",'Detalle'!N490)</x:f>
      </x:c>
    </x:row>
    <x:row r="1007" ht="16" customHeight="1">
      <x:c r="A1007" s="56" t="str">
        <x:v>MIS05.003</x:v>
      </x:c>
      <x:c r="B1007" s="57" t="str">
        <x:v>Verificar gate y lint remotos</x:v>
      </x:c>
      <x:c r="C1007" s="63" t="str">
        <x:v>R</x:v>
      </x:c>
      <x:c r="D1007" s="65" t="str">
        <x:f>IF('Detalle'!L490="","",'Detalle'!L490)</x:f>
      </x:c>
      <x:c r="E1007" s="60" t="str"/>
      <x:c r="F1007" s="32" t="str">
        <x:f>IF(OR('Detalle'!$J490="",'Detalle'!$K490="",'Detalle'!$L490=""),"",IF(AND(F$8&lt;='Detalle'!$K490,F$9&gt;='Detalle'!$J490),1,""))</x:f>
      </x:c>
      <x:c r="G1007" s="32" t="str">
        <x:f>IF(OR('Detalle'!$J490="",'Detalle'!$K490="",'Detalle'!$L490=""),"",IF(AND(G$8&lt;='Detalle'!$K490,G$9&gt;='Detalle'!$J490),1,""))</x:f>
      </x:c>
      <x:c r="H1007" s="32" t="str">
        <x:f>IF(OR('Detalle'!$J490="",'Detalle'!$K490="",'Detalle'!$L490=""),"",IF(AND(H$8&lt;='Detalle'!$K490,H$9&gt;='Detalle'!$J490),1,""))</x:f>
      </x:c>
      <x:c r="I1007" s="32" t="str">
        <x:f>IF(OR('Detalle'!$J490="",'Detalle'!$K490="",'Detalle'!$L490=""),"",IF(AND(I$8&lt;='Detalle'!$K490,I$9&gt;='Detalle'!$J490),1,""))</x:f>
      </x:c>
      <x:c r="J1007" s="32" t="str">
        <x:f>IF(OR('Detalle'!$J490="",'Detalle'!$K490="",'Detalle'!$L490=""),"",IF(AND(J$8&lt;='Detalle'!$K490,J$9&gt;='Detalle'!$J490),1,""))</x:f>
      </x:c>
      <x:c r="K1007" s="32" t="str">
        <x:f>IF(OR('Detalle'!$J490="",'Detalle'!$K490="",'Detalle'!$L490=""),"",IF(AND(K$8&lt;='Detalle'!$K490,K$9&gt;='Detalle'!$J490),1,""))</x:f>
      </x:c>
      <x:c r="L1007" s="32" t="str">
        <x:f>IF(OR('Detalle'!$J490="",'Detalle'!$K490="",'Detalle'!$L490=""),"",IF(AND(L$8&lt;='Detalle'!$K490,L$9&gt;='Detalle'!$J490),1,""))</x:f>
      </x:c>
      <x:c r="M1007" s="32" t="str">
        <x:f>IF(OR('Detalle'!$J490="",'Detalle'!$K490="",'Detalle'!$L490=""),"",IF(AND(M$8&lt;='Detalle'!$K490,M$9&gt;='Detalle'!$J490),1,""))</x:f>
      </x:c>
      <x:c r="N1007" s="32" t="str">
        <x:f>IF(OR('Detalle'!$J490="",'Detalle'!$K490="",'Detalle'!$L490=""),"",IF(AND(N$8&lt;='Detalle'!$K490,N$9&gt;='Detalle'!$J490),1,""))</x:f>
      </x:c>
      <x:c r="O1007" s="32" t="str">
        <x:f>IF(OR('Detalle'!$J490="",'Detalle'!$K490="",'Detalle'!$L490=""),"",IF(AND(O$8&lt;='Detalle'!$K490,O$9&gt;='Detalle'!$J490),1,""))</x:f>
      </x:c>
      <x:c r="P1007" s="32" t="str">
        <x:f>IF(OR('Detalle'!$J490="",'Detalle'!$K490="",'Detalle'!$L490=""),"",IF(AND(P$8&lt;='Detalle'!$K490,P$9&gt;='Detalle'!$J490),1,""))</x:f>
      </x:c>
      <x:c r="Q1007" s="68"/>
      <x:c r="R1007" s="67" t="str"/>
      <x:c r="S1007" s="67" t="str"/>
    </x:row>
    <x:row r="1008" ht="16" customHeight="1">
      <x:c r="A1008" s="56" t="str">
        <x:v>MIS05.004</x:v>
      </x:c>
      <x:c r="B1008" s="57" t="str">
        <x:v>Probar publicación y candidatura idempotentes</x:v>
      </x:c>
      <x:c r="C1008" s="62" t="str">
        <x:v>E</x:v>
      </x:c>
      <x:c r="D1008" s="64" t="n">
        <x:f>'Detalle'!I491</x:f>
        <x:v>1</x:v>
      </x:c>
      <x:c r="E1008" s="60" t="str">
        <x:f>'Detalle'!F491</x:f>
        <x:v>Completado</x:v>
      </x:c>
      <x:c r="F1008" s="32" t="str">
        <x:f>IF(AND(F$8&lt;='Detalle'!$H491,F$9&gt;='Detalle'!$G491),1,"")</x:f>
      </x:c>
      <x:c r="G1008" s="32" t="str">
        <x:f>IF(AND(G$8&lt;='Detalle'!$H491,G$9&gt;='Detalle'!$G491),1,"")</x:f>
      </x:c>
      <x:c r="H1008" s="32" t="str">
        <x:f>IF(AND(H$8&lt;='Detalle'!$H491,H$9&gt;='Detalle'!$G491),1,"")</x:f>
      </x:c>
      <x:c r="I1008" s="32" t="n">
        <x:f>IF(AND(I$8&lt;='Detalle'!$H491,I$9&gt;='Detalle'!$G491),1,"")</x:f>
        <x:v>1</x:v>
      </x:c>
      <x:c r="J1008" s="32" t="str">
        <x:f>IF(AND(J$8&lt;='Detalle'!$H491,J$9&gt;='Detalle'!$G491),1,"")</x:f>
      </x:c>
      <x:c r="K1008" s="32" t="str">
        <x:f>IF(AND(K$8&lt;='Detalle'!$H491,K$9&gt;='Detalle'!$G491),1,"")</x:f>
      </x:c>
      <x:c r="L1008" s="32" t="str">
        <x:f>IF(AND(L$8&lt;='Detalle'!$H491,L$9&gt;='Detalle'!$G491),1,"")</x:f>
      </x:c>
      <x:c r="M1008" s="32" t="str">
        <x:f>IF(AND(M$8&lt;='Detalle'!$H491,M$9&gt;='Detalle'!$G491),1,"")</x:f>
      </x:c>
      <x:c r="N1008" s="32" t="str">
        <x:f>IF(AND(N$8&lt;='Detalle'!$H491,N$9&gt;='Detalle'!$G491),1,"")</x:f>
      </x:c>
      <x:c r="O1008" s="32" t="str">
        <x:f>IF(AND(O$8&lt;='Detalle'!$H491,O$9&gt;='Detalle'!$G491),1,"")</x:f>
      </x:c>
      <x:c r="P1008" s="32" t="str">
        <x:f>IF(AND(P$8&lt;='Detalle'!$H491,P$9&gt;='Detalle'!$G491),1,"")</x:f>
      </x:c>
      <x:c r="Q1008" s="68"/>
      <x:c r="R1008" s="67" t="str">
        <x:f>IF('Detalle'!M491="","",'Detalle'!M491)</x:f>
      </x:c>
      <x:c r="S1008" s="67" t="str">
        <x:f>IF('Detalle'!N491="","",'Detalle'!N491)</x:f>
      </x:c>
    </x:row>
    <x:row r="1009" ht="16" customHeight="1">
      <x:c r="A1009" s="56" t="str">
        <x:v>MIS05.004</x:v>
      </x:c>
      <x:c r="B1009" s="57" t="str">
        <x:v>Probar publicación y candidatura idempotentes</x:v>
      </x:c>
      <x:c r="C1009" s="63" t="str">
        <x:v>R</x:v>
      </x:c>
      <x:c r="D1009" s="65" t="str">
        <x:f>IF('Detalle'!L491="","",'Detalle'!L491)</x:f>
      </x:c>
      <x:c r="E1009" s="60" t="str"/>
      <x:c r="F1009" s="32" t="str">
        <x:f>IF(OR('Detalle'!$J491="",'Detalle'!$K491="",'Detalle'!$L491=""),"",IF(AND(F$8&lt;='Detalle'!$K491,F$9&gt;='Detalle'!$J491),1,""))</x:f>
      </x:c>
      <x:c r="G1009" s="32" t="str">
        <x:f>IF(OR('Detalle'!$J491="",'Detalle'!$K491="",'Detalle'!$L491=""),"",IF(AND(G$8&lt;='Detalle'!$K491,G$9&gt;='Detalle'!$J491),1,""))</x:f>
      </x:c>
      <x:c r="H1009" s="32" t="str">
        <x:f>IF(OR('Detalle'!$J491="",'Detalle'!$K491="",'Detalle'!$L491=""),"",IF(AND(H$8&lt;='Detalle'!$K491,H$9&gt;='Detalle'!$J491),1,""))</x:f>
      </x:c>
      <x:c r="I1009" s="32" t="str">
        <x:f>IF(OR('Detalle'!$J491="",'Detalle'!$K491="",'Detalle'!$L491=""),"",IF(AND(I$8&lt;='Detalle'!$K491,I$9&gt;='Detalle'!$J491),1,""))</x:f>
      </x:c>
      <x:c r="J1009" s="32" t="str">
        <x:f>IF(OR('Detalle'!$J491="",'Detalle'!$K491="",'Detalle'!$L491=""),"",IF(AND(J$8&lt;='Detalle'!$K491,J$9&gt;='Detalle'!$J491),1,""))</x:f>
      </x:c>
      <x:c r="K1009" s="32" t="str">
        <x:f>IF(OR('Detalle'!$J491="",'Detalle'!$K491="",'Detalle'!$L491=""),"",IF(AND(K$8&lt;='Detalle'!$K491,K$9&gt;='Detalle'!$J491),1,""))</x:f>
      </x:c>
      <x:c r="L1009" s="32" t="str">
        <x:f>IF(OR('Detalle'!$J491="",'Detalle'!$K491="",'Detalle'!$L491=""),"",IF(AND(L$8&lt;='Detalle'!$K491,L$9&gt;='Detalle'!$J491),1,""))</x:f>
      </x:c>
      <x:c r="M1009" s="32" t="str">
        <x:f>IF(OR('Detalle'!$J491="",'Detalle'!$K491="",'Detalle'!$L491=""),"",IF(AND(M$8&lt;='Detalle'!$K491,M$9&gt;='Detalle'!$J491),1,""))</x:f>
      </x:c>
      <x:c r="N1009" s="32" t="str">
        <x:f>IF(OR('Detalle'!$J491="",'Detalle'!$K491="",'Detalle'!$L491=""),"",IF(AND(N$8&lt;='Detalle'!$K491,N$9&gt;='Detalle'!$J491),1,""))</x:f>
      </x:c>
      <x:c r="O1009" s="32" t="str">
        <x:f>IF(OR('Detalle'!$J491="",'Detalle'!$K491="",'Detalle'!$L491=""),"",IF(AND(O$8&lt;='Detalle'!$K491,O$9&gt;='Detalle'!$J491),1,""))</x:f>
      </x:c>
      <x:c r="P1009" s="32" t="str">
        <x:f>IF(OR('Detalle'!$J491="",'Detalle'!$K491="",'Detalle'!$L491=""),"",IF(AND(P$8&lt;='Detalle'!$K491,P$9&gt;='Detalle'!$J491),1,""))</x:f>
      </x:c>
      <x:c r="Q1009" s="68"/>
      <x:c r="R1009" s="67" t="str"/>
      <x:c r="S1009" s="67" t="str"/>
    </x:row>
    <x:row r="1010" ht="16" customHeight="1">
      <x:c r="A1010" s="56" t="str">
        <x:v>MIS05.005</x:v>
      </x:c>
      <x:c r="B1010" s="57" t="str">
        <x:v>Probar selección atómica con cupo uno</x:v>
      </x:c>
      <x:c r="C1010" s="62" t="str">
        <x:v>E</x:v>
      </x:c>
      <x:c r="D1010" s="64" t="n">
        <x:f>'Detalle'!I492</x:f>
        <x:v>1</x:v>
      </x:c>
      <x:c r="E1010" s="60" t="str">
        <x:f>'Detalle'!F492</x:f>
        <x:v>Completado</x:v>
      </x:c>
      <x:c r="F1010" s="32" t="str">
        <x:f>IF(AND(F$8&lt;='Detalle'!$H492,F$9&gt;='Detalle'!$G492),1,"")</x:f>
      </x:c>
      <x:c r="G1010" s="32" t="str">
        <x:f>IF(AND(G$8&lt;='Detalle'!$H492,G$9&gt;='Detalle'!$G492),1,"")</x:f>
      </x:c>
      <x:c r="H1010" s="32" t="str">
        <x:f>IF(AND(H$8&lt;='Detalle'!$H492,H$9&gt;='Detalle'!$G492),1,"")</x:f>
      </x:c>
      <x:c r="I1010" s="32" t="n">
        <x:f>IF(AND(I$8&lt;='Detalle'!$H492,I$9&gt;='Detalle'!$G492),1,"")</x:f>
        <x:v>1</x:v>
      </x:c>
      <x:c r="J1010" s="32" t="str">
        <x:f>IF(AND(J$8&lt;='Detalle'!$H492,J$9&gt;='Detalle'!$G492),1,"")</x:f>
      </x:c>
      <x:c r="K1010" s="32" t="str">
        <x:f>IF(AND(K$8&lt;='Detalle'!$H492,K$9&gt;='Detalle'!$G492),1,"")</x:f>
      </x:c>
      <x:c r="L1010" s="32" t="str">
        <x:f>IF(AND(L$8&lt;='Detalle'!$H492,L$9&gt;='Detalle'!$G492),1,"")</x:f>
      </x:c>
      <x:c r="M1010" s="32" t="str">
        <x:f>IF(AND(M$8&lt;='Detalle'!$H492,M$9&gt;='Detalle'!$G492),1,"")</x:f>
      </x:c>
      <x:c r="N1010" s="32" t="str">
        <x:f>IF(AND(N$8&lt;='Detalle'!$H492,N$9&gt;='Detalle'!$G492),1,"")</x:f>
      </x:c>
      <x:c r="O1010" s="32" t="str">
        <x:f>IF(AND(O$8&lt;='Detalle'!$H492,O$9&gt;='Detalle'!$G492),1,"")</x:f>
      </x:c>
      <x:c r="P1010" s="32" t="str">
        <x:f>IF(AND(P$8&lt;='Detalle'!$H492,P$9&gt;='Detalle'!$G492),1,"")</x:f>
      </x:c>
      <x:c r="Q1010" s="68"/>
      <x:c r="R1010" s="67" t="str">
        <x:f>IF('Detalle'!M492="","",'Detalle'!M492)</x:f>
      </x:c>
      <x:c r="S1010" s="67" t="str">
        <x:f>IF('Detalle'!N492="","",'Detalle'!N492)</x:f>
      </x:c>
    </x:row>
    <x:row r="1011" ht="16" customHeight="1">
      <x:c r="A1011" s="56" t="str">
        <x:v>MIS05.005</x:v>
      </x:c>
      <x:c r="B1011" s="57" t="str">
        <x:v>Probar selección atómica con cupo uno</x:v>
      </x:c>
      <x:c r="C1011" s="63" t="str">
        <x:v>R</x:v>
      </x:c>
      <x:c r="D1011" s="65" t="str">
        <x:f>IF('Detalle'!L492="","",'Detalle'!L492)</x:f>
      </x:c>
      <x:c r="E1011" s="60" t="str"/>
      <x:c r="F1011" s="32" t="str">
        <x:f>IF(OR('Detalle'!$J492="",'Detalle'!$K492="",'Detalle'!$L492=""),"",IF(AND(F$8&lt;='Detalle'!$K492,F$9&gt;='Detalle'!$J492),1,""))</x:f>
      </x:c>
      <x:c r="G1011" s="32" t="str">
        <x:f>IF(OR('Detalle'!$J492="",'Detalle'!$K492="",'Detalle'!$L492=""),"",IF(AND(G$8&lt;='Detalle'!$K492,G$9&gt;='Detalle'!$J492),1,""))</x:f>
      </x:c>
      <x:c r="H1011" s="32" t="str">
        <x:f>IF(OR('Detalle'!$J492="",'Detalle'!$K492="",'Detalle'!$L492=""),"",IF(AND(H$8&lt;='Detalle'!$K492,H$9&gt;='Detalle'!$J492),1,""))</x:f>
      </x:c>
      <x:c r="I1011" s="32" t="str">
        <x:f>IF(OR('Detalle'!$J492="",'Detalle'!$K492="",'Detalle'!$L492=""),"",IF(AND(I$8&lt;='Detalle'!$K492,I$9&gt;='Detalle'!$J492),1,""))</x:f>
      </x:c>
      <x:c r="J1011" s="32" t="str">
        <x:f>IF(OR('Detalle'!$J492="",'Detalle'!$K492="",'Detalle'!$L492=""),"",IF(AND(J$8&lt;='Detalle'!$K492,J$9&gt;='Detalle'!$J492),1,""))</x:f>
      </x:c>
      <x:c r="K1011" s="32" t="str">
        <x:f>IF(OR('Detalle'!$J492="",'Detalle'!$K492="",'Detalle'!$L492=""),"",IF(AND(K$8&lt;='Detalle'!$K492,K$9&gt;='Detalle'!$J492),1,""))</x:f>
      </x:c>
      <x:c r="L1011" s="32" t="str">
        <x:f>IF(OR('Detalle'!$J492="",'Detalle'!$K492="",'Detalle'!$L492=""),"",IF(AND(L$8&lt;='Detalle'!$K492,L$9&gt;='Detalle'!$J492),1,""))</x:f>
      </x:c>
      <x:c r="M1011" s="32" t="str">
        <x:f>IF(OR('Detalle'!$J492="",'Detalle'!$K492="",'Detalle'!$L492=""),"",IF(AND(M$8&lt;='Detalle'!$K492,M$9&gt;='Detalle'!$J492),1,""))</x:f>
      </x:c>
      <x:c r="N1011" s="32" t="str">
        <x:f>IF(OR('Detalle'!$J492="",'Detalle'!$K492="",'Detalle'!$L492=""),"",IF(AND(N$8&lt;='Detalle'!$K492,N$9&gt;='Detalle'!$J492),1,""))</x:f>
      </x:c>
      <x:c r="O1011" s="32" t="str">
        <x:f>IF(OR('Detalle'!$J492="",'Detalle'!$K492="",'Detalle'!$L492=""),"",IF(AND(O$8&lt;='Detalle'!$K492,O$9&gt;='Detalle'!$J492),1,""))</x:f>
      </x:c>
      <x:c r="P1011" s="32" t="str">
        <x:f>IF(OR('Detalle'!$J492="",'Detalle'!$K492="",'Detalle'!$L492=""),"",IF(AND(P$8&lt;='Detalle'!$K492,P$9&gt;='Detalle'!$J492),1,""))</x:f>
      </x:c>
      <x:c r="Q1011" s="68"/>
      <x:c r="R1011" s="67" t="str"/>
      <x:c r="S1011" s="67" t="str"/>
    </x:row>
    <x:row r="1012" ht="16" customHeight="1">
      <x:c r="A1012" s="56" t="str">
        <x:v>MIS05.006</x:v>
      </x:c>
      <x:c r="B1012" s="57" t="str">
        <x:v>Probar privacidad de borradores y finalistas</x:v>
      </x:c>
      <x:c r="C1012" s="62" t="str">
        <x:v>E</x:v>
      </x:c>
      <x:c r="D1012" s="64" t="n">
        <x:f>'Detalle'!I493</x:f>
        <x:v>1</x:v>
      </x:c>
      <x:c r="E1012" s="60" t="str">
        <x:f>'Detalle'!F493</x:f>
        <x:v>Completado</x:v>
      </x:c>
      <x:c r="F1012" s="32" t="str">
        <x:f>IF(AND(F$8&lt;='Detalle'!$H493,F$9&gt;='Detalle'!$G493),1,"")</x:f>
      </x:c>
      <x:c r="G1012" s="32" t="str">
        <x:f>IF(AND(G$8&lt;='Detalle'!$H493,G$9&gt;='Detalle'!$G493),1,"")</x:f>
      </x:c>
      <x:c r="H1012" s="32" t="str">
        <x:f>IF(AND(H$8&lt;='Detalle'!$H493,H$9&gt;='Detalle'!$G493),1,"")</x:f>
      </x:c>
      <x:c r="I1012" s="32" t="n">
        <x:f>IF(AND(I$8&lt;='Detalle'!$H493,I$9&gt;='Detalle'!$G493),1,"")</x:f>
        <x:v>1</x:v>
      </x:c>
      <x:c r="J1012" s="32" t="str">
        <x:f>IF(AND(J$8&lt;='Detalle'!$H493,J$9&gt;='Detalle'!$G493),1,"")</x:f>
      </x:c>
      <x:c r="K1012" s="32" t="str">
        <x:f>IF(AND(K$8&lt;='Detalle'!$H493,K$9&gt;='Detalle'!$G493),1,"")</x:f>
      </x:c>
      <x:c r="L1012" s="32" t="str">
        <x:f>IF(AND(L$8&lt;='Detalle'!$H493,L$9&gt;='Detalle'!$G493),1,"")</x:f>
      </x:c>
      <x:c r="M1012" s="32" t="str">
        <x:f>IF(AND(M$8&lt;='Detalle'!$H493,M$9&gt;='Detalle'!$G493),1,"")</x:f>
      </x:c>
      <x:c r="N1012" s="32" t="str">
        <x:f>IF(AND(N$8&lt;='Detalle'!$H493,N$9&gt;='Detalle'!$G493),1,"")</x:f>
      </x:c>
      <x:c r="O1012" s="32" t="str">
        <x:f>IF(AND(O$8&lt;='Detalle'!$H493,O$9&gt;='Detalle'!$G493),1,"")</x:f>
      </x:c>
      <x:c r="P1012" s="32" t="str">
        <x:f>IF(AND(P$8&lt;='Detalle'!$H493,P$9&gt;='Detalle'!$G493),1,"")</x:f>
      </x:c>
      <x:c r="Q1012" s="68"/>
      <x:c r="R1012" s="67" t="str">
        <x:f>IF('Detalle'!M493="","",'Detalle'!M493)</x:f>
      </x:c>
      <x:c r="S1012" s="67" t="str">
        <x:f>IF('Detalle'!N493="","",'Detalle'!N493)</x:f>
      </x:c>
    </x:row>
    <x:row r="1013" ht="16" customHeight="1">
      <x:c r="A1013" s="56" t="str">
        <x:v>MIS05.006</x:v>
      </x:c>
      <x:c r="B1013" s="57" t="str">
        <x:v>Probar privacidad de borradores y finalistas</x:v>
      </x:c>
      <x:c r="C1013" s="63" t="str">
        <x:v>R</x:v>
      </x:c>
      <x:c r="D1013" s="65" t="str">
        <x:f>IF('Detalle'!L493="","",'Detalle'!L493)</x:f>
      </x:c>
      <x:c r="E1013" s="60" t="str"/>
      <x:c r="F1013" s="32" t="str">
        <x:f>IF(OR('Detalle'!$J493="",'Detalle'!$K493="",'Detalle'!$L493=""),"",IF(AND(F$8&lt;='Detalle'!$K493,F$9&gt;='Detalle'!$J493),1,""))</x:f>
      </x:c>
      <x:c r="G1013" s="32" t="str">
        <x:f>IF(OR('Detalle'!$J493="",'Detalle'!$K493="",'Detalle'!$L493=""),"",IF(AND(G$8&lt;='Detalle'!$K493,G$9&gt;='Detalle'!$J493),1,""))</x:f>
      </x:c>
      <x:c r="H1013" s="32" t="str">
        <x:f>IF(OR('Detalle'!$J493="",'Detalle'!$K493="",'Detalle'!$L493=""),"",IF(AND(H$8&lt;='Detalle'!$K493,H$9&gt;='Detalle'!$J493),1,""))</x:f>
      </x:c>
      <x:c r="I1013" s="32" t="str">
        <x:f>IF(OR('Detalle'!$J493="",'Detalle'!$K493="",'Detalle'!$L493=""),"",IF(AND(I$8&lt;='Detalle'!$K493,I$9&gt;='Detalle'!$J493),1,""))</x:f>
      </x:c>
      <x:c r="J1013" s="32" t="str">
        <x:f>IF(OR('Detalle'!$J493="",'Detalle'!$K493="",'Detalle'!$L493=""),"",IF(AND(J$8&lt;='Detalle'!$K493,J$9&gt;='Detalle'!$J493),1,""))</x:f>
      </x:c>
      <x:c r="K1013" s="32" t="str">
        <x:f>IF(OR('Detalle'!$J493="",'Detalle'!$K493="",'Detalle'!$L493=""),"",IF(AND(K$8&lt;='Detalle'!$K493,K$9&gt;='Detalle'!$J493),1,""))</x:f>
      </x:c>
      <x:c r="L1013" s="32" t="str">
        <x:f>IF(OR('Detalle'!$J493="",'Detalle'!$K493="",'Detalle'!$L493=""),"",IF(AND(L$8&lt;='Detalle'!$K493,L$9&gt;='Detalle'!$J493),1,""))</x:f>
      </x:c>
      <x:c r="M1013" s="32" t="str">
        <x:f>IF(OR('Detalle'!$J493="",'Detalle'!$K493="",'Detalle'!$L493=""),"",IF(AND(M$8&lt;='Detalle'!$K493,M$9&gt;='Detalle'!$J493),1,""))</x:f>
      </x:c>
      <x:c r="N1013" s="32" t="str">
        <x:f>IF(OR('Detalle'!$J493="",'Detalle'!$K493="",'Detalle'!$L493=""),"",IF(AND(N$8&lt;='Detalle'!$K493,N$9&gt;='Detalle'!$J493),1,""))</x:f>
      </x:c>
      <x:c r="O1013" s="32" t="str">
        <x:f>IF(OR('Detalle'!$J493="",'Detalle'!$K493="",'Detalle'!$L493=""),"",IF(AND(O$8&lt;='Detalle'!$K493,O$9&gt;='Detalle'!$J493),1,""))</x:f>
      </x:c>
      <x:c r="P1013" s="32" t="str">
        <x:f>IF(OR('Detalle'!$J493="",'Detalle'!$K493="",'Detalle'!$L493=""),"",IF(AND(P$8&lt;='Detalle'!$K493,P$9&gt;='Detalle'!$J493),1,""))</x:f>
      </x:c>
      <x:c r="Q1013" s="68"/>
      <x:c r="R1013" s="67" t="str"/>
      <x:c r="S1013" s="67" t="str"/>
    </x:row>
    <x:row r="1014" ht="16" customHeight="1">
      <x:c r="A1014" s="56" t="str">
        <x:v>MIS05.007</x:v>
      </x:c>
      <x:c r="B1014" s="57" t="str">
        <x:v>Probar bloqueo de compensación y muestras</x:v>
      </x:c>
      <x:c r="C1014" s="62" t="str">
        <x:v>E</x:v>
      </x:c>
      <x:c r="D1014" s="64" t="n">
        <x:f>'Detalle'!I494</x:f>
        <x:v>1</x:v>
      </x:c>
      <x:c r="E1014" s="60" t="str">
        <x:f>'Detalle'!F494</x:f>
        <x:v>Completado</x:v>
      </x:c>
      <x:c r="F1014" s="32" t="str">
        <x:f>IF(AND(F$8&lt;='Detalle'!$H494,F$9&gt;='Detalle'!$G494),1,"")</x:f>
      </x:c>
      <x:c r="G1014" s="32" t="str">
        <x:f>IF(AND(G$8&lt;='Detalle'!$H494,G$9&gt;='Detalle'!$G494),1,"")</x:f>
      </x:c>
      <x:c r="H1014" s="32" t="str">
        <x:f>IF(AND(H$8&lt;='Detalle'!$H494,H$9&gt;='Detalle'!$G494),1,"")</x:f>
      </x:c>
      <x:c r="I1014" s="32" t="n">
        <x:f>IF(AND(I$8&lt;='Detalle'!$H494,I$9&gt;='Detalle'!$G494),1,"")</x:f>
        <x:v>1</x:v>
      </x:c>
      <x:c r="J1014" s="32" t="str">
        <x:f>IF(AND(J$8&lt;='Detalle'!$H494,J$9&gt;='Detalle'!$G494),1,"")</x:f>
      </x:c>
      <x:c r="K1014" s="32" t="str">
        <x:f>IF(AND(K$8&lt;='Detalle'!$H494,K$9&gt;='Detalle'!$G494),1,"")</x:f>
      </x:c>
      <x:c r="L1014" s="32" t="str">
        <x:f>IF(AND(L$8&lt;='Detalle'!$H494,L$9&gt;='Detalle'!$G494),1,"")</x:f>
      </x:c>
      <x:c r="M1014" s="32" t="str">
        <x:f>IF(AND(M$8&lt;='Detalle'!$H494,M$9&gt;='Detalle'!$G494),1,"")</x:f>
      </x:c>
      <x:c r="N1014" s="32" t="str">
        <x:f>IF(AND(N$8&lt;='Detalle'!$H494,N$9&gt;='Detalle'!$G494),1,"")</x:f>
      </x:c>
      <x:c r="O1014" s="32" t="str">
        <x:f>IF(AND(O$8&lt;='Detalle'!$H494,O$9&gt;='Detalle'!$G494),1,"")</x:f>
      </x:c>
      <x:c r="P1014" s="32" t="str">
        <x:f>IF(AND(P$8&lt;='Detalle'!$H494,P$9&gt;='Detalle'!$G494),1,"")</x:f>
      </x:c>
      <x:c r="Q1014" s="68"/>
      <x:c r="R1014" s="67" t="str">
        <x:f>IF('Detalle'!M494="","",'Detalle'!M494)</x:f>
      </x:c>
      <x:c r="S1014" s="67" t="str">
        <x:f>IF('Detalle'!N494="","",'Detalle'!N494)</x:f>
      </x:c>
    </x:row>
    <x:row r="1015" ht="16" customHeight="1">
      <x:c r="A1015" s="56" t="str">
        <x:v>MIS05.007</x:v>
      </x:c>
      <x:c r="B1015" s="57" t="str">
        <x:v>Probar bloqueo de compensación y muestras</x:v>
      </x:c>
      <x:c r="C1015" s="63" t="str">
        <x:v>R</x:v>
      </x:c>
      <x:c r="D1015" s="65" t="str">
        <x:f>IF('Detalle'!L494="","",'Detalle'!L494)</x:f>
      </x:c>
      <x:c r="E1015" s="60" t="str"/>
      <x:c r="F1015" s="32" t="str">
        <x:f>IF(OR('Detalle'!$J494="",'Detalle'!$K494="",'Detalle'!$L494=""),"",IF(AND(F$8&lt;='Detalle'!$K494,F$9&gt;='Detalle'!$J494),1,""))</x:f>
      </x:c>
      <x:c r="G1015" s="32" t="str">
        <x:f>IF(OR('Detalle'!$J494="",'Detalle'!$K494="",'Detalle'!$L494=""),"",IF(AND(G$8&lt;='Detalle'!$K494,G$9&gt;='Detalle'!$J494),1,""))</x:f>
      </x:c>
      <x:c r="H1015" s="32" t="str">
        <x:f>IF(OR('Detalle'!$J494="",'Detalle'!$K494="",'Detalle'!$L494=""),"",IF(AND(H$8&lt;='Detalle'!$K494,H$9&gt;='Detalle'!$J494),1,""))</x:f>
      </x:c>
      <x:c r="I1015" s="32" t="str">
        <x:f>IF(OR('Detalle'!$J494="",'Detalle'!$K494="",'Detalle'!$L494=""),"",IF(AND(I$8&lt;='Detalle'!$K494,I$9&gt;='Detalle'!$J494),1,""))</x:f>
      </x:c>
      <x:c r="J1015" s="32" t="str">
        <x:f>IF(OR('Detalle'!$J494="",'Detalle'!$K494="",'Detalle'!$L494=""),"",IF(AND(J$8&lt;='Detalle'!$K494,J$9&gt;='Detalle'!$J494),1,""))</x:f>
      </x:c>
      <x:c r="K1015" s="32" t="str">
        <x:f>IF(OR('Detalle'!$J494="",'Detalle'!$K494="",'Detalle'!$L494=""),"",IF(AND(K$8&lt;='Detalle'!$K494,K$9&gt;='Detalle'!$J494),1,""))</x:f>
      </x:c>
      <x:c r="L1015" s="32" t="str">
        <x:f>IF(OR('Detalle'!$J494="",'Detalle'!$K494="",'Detalle'!$L494=""),"",IF(AND(L$8&lt;='Detalle'!$K494,L$9&gt;='Detalle'!$J494),1,""))</x:f>
      </x:c>
      <x:c r="M1015" s="32" t="str">
        <x:f>IF(OR('Detalle'!$J494="",'Detalle'!$K494="",'Detalle'!$L494=""),"",IF(AND(M$8&lt;='Detalle'!$K494,M$9&gt;='Detalle'!$J494),1,""))</x:f>
      </x:c>
      <x:c r="N1015" s="32" t="str">
        <x:f>IF(OR('Detalle'!$J494="",'Detalle'!$K494="",'Detalle'!$L494=""),"",IF(AND(N$8&lt;='Detalle'!$K494,N$9&gt;='Detalle'!$J494),1,""))</x:f>
      </x:c>
      <x:c r="O1015" s="32" t="str">
        <x:f>IF(OR('Detalle'!$J494="",'Detalle'!$K494="",'Detalle'!$L494=""),"",IF(AND(O$8&lt;='Detalle'!$K494,O$9&gt;='Detalle'!$J494),1,""))</x:f>
      </x:c>
      <x:c r="P1015" s="32" t="str">
        <x:f>IF(OR('Detalle'!$J494="",'Detalle'!$K494="",'Detalle'!$L494=""),"",IF(AND(P$8&lt;='Detalle'!$K494,P$9&gt;='Detalle'!$J494),1,""))</x:f>
      </x:c>
      <x:c r="Q1015" s="68"/>
      <x:c r="R1015" s="67" t="str"/>
      <x:c r="S1015" s="67" t="str"/>
    </x:row>
    <x:row r="1016" ht="16" customHeight="1">
      <x:c r="A1016" s="56" t="str">
        <x:v>MIS05.008</x:v>
      </x:c>
      <x:c r="B1016" s="57" t="str">
        <x:v>Probar retirada, repostulación y avisos</x:v>
      </x:c>
      <x:c r="C1016" s="62" t="str">
        <x:v>E</x:v>
      </x:c>
      <x:c r="D1016" s="64" t="n">
        <x:f>'Detalle'!I495</x:f>
        <x:v>1</x:v>
      </x:c>
      <x:c r="E1016" s="60" t="str">
        <x:f>'Detalle'!F495</x:f>
        <x:v>Completado</x:v>
      </x:c>
      <x:c r="F1016" s="32" t="str">
        <x:f>IF(AND(F$8&lt;='Detalle'!$H495,F$9&gt;='Detalle'!$G495),1,"")</x:f>
      </x:c>
      <x:c r="G1016" s="32" t="str">
        <x:f>IF(AND(G$8&lt;='Detalle'!$H495,G$9&gt;='Detalle'!$G495),1,"")</x:f>
      </x:c>
      <x:c r="H1016" s="32" t="str">
        <x:f>IF(AND(H$8&lt;='Detalle'!$H495,H$9&gt;='Detalle'!$G495),1,"")</x:f>
      </x:c>
      <x:c r="I1016" s="32" t="n">
        <x:f>IF(AND(I$8&lt;='Detalle'!$H495,I$9&gt;='Detalle'!$G495),1,"")</x:f>
        <x:v>1</x:v>
      </x:c>
      <x:c r="J1016" s="32" t="str">
        <x:f>IF(AND(J$8&lt;='Detalle'!$H495,J$9&gt;='Detalle'!$G495),1,"")</x:f>
      </x:c>
      <x:c r="K1016" s="32" t="str">
        <x:f>IF(AND(K$8&lt;='Detalle'!$H495,K$9&gt;='Detalle'!$G495),1,"")</x:f>
      </x:c>
      <x:c r="L1016" s="32" t="str">
        <x:f>IF(AND(L$8&lt;='Detalle'!$H495,L$9&gt;='Detalle'!$G495),1,"")</x:f>
      </x:c>
      <x:c r="M1016" s="32" t="str">
        <x:f>IF(AND(M$8&lt;='Detalle'!$H495,M$9&gt;='Detalle'!$G495),1,"")</x:f>
      </x:c>
      <x:c r="N1016" s="32" t="str">
        <x:f>IF(AND(N$8&lt;='Detalle'!$H495,N$9&gt;='Detalle'!$G495),1,"")</x:f>
      </x:c>
      <x:c r="O1016" s="32" t="str">
        <x:f>IF(AND(O$8&lt;='Detalle'!$H495,O$9&gt;='Detalle'!$G495),1,"")</x:f>
      </x:c>
      <x:c r="P1016" s="32" t="str">
        <x:f>IF(AND(P$8&lt;='Detalle'!$H495,P$9&gt;='Detalle'!$G495),1,"")</x:f>
      </x:c>
      <x:c r="Q1016" s="68"/>
      <x:c r="R1016" s="67" t="str">
        <x:f>IF('Detalle'!M495="","",'Detalle'!M495)</x:f>
      </x:c>
      <x:c r="S1016" s="67" t="str">
        <x:f>IF('Detalle'!N495="","",'Detalle'!N495)</x:f>
      </x:c>
    </x:row>
    <x:row r="1017" ht="16" customHeight="1">
      <x:c r="A1017" s="56" t="str">
        <x:v>MIS05.008</x:v>
      </x:c>
      <x:c r="B1017" s="57" t="str">
        <x:v>Probar retirada, repostulación y avisos</x:v>
      </x:c>
      <x:c r="C1017" s="63" t="str">
        <x:v>R</x:v>
      </x:c>
      <x:c r="D1017" s="65" t="str">
        <x:f>IF('Detalle'!L495="","",'Detalle'!L495)</x:f>
      </x:c>
      <x:c r="E1017" s="60" t="str"/>
      <x:c r="F1017" s="32" t="str">
        <x:f>IF(OR('Detalle'!$J495="",'Detalle'!$K495="",'Detalle'!$L495=""),"",IF(AND(F$8&lt;='Detalle'!$K495,F$9&gt;='Detalle'!$J495),1,""))</x:f>
      </x:c>
      <x:c r="G1017" s="32" t="str">
        <x:f>IF(OR('Detalle'!$J495="",'Detalle'!$K495="",'Detalle'!$L495=""),"",IF(AND(G$8&lt;='Detalle'!$K495,G$9&gt;='Detalle'!$J495),1,""))</x:f>
      </x:c>
      <x:c r="H1017" s="32" t="str">
        <x:f>IF(OR('Detalle'!$J495="",'Detalle'!$K495="",'Detalle'!$L495=""),"",IF(AND(H$8&lt;='Detalle'!$K495,H$9&gt;='Detalle'!$J495),1,""))</x:f>
      </x:c>
      <x:c r="I1017" s="32" t="str">
        <x:f>IF(OR('Detalle'!$J495="",'Detalle'!$K495="",'Detalle'!$L495=""),"",IF(AND(I$8&lt;='Detalle'!$K495,I$9&gt;='Detalle'!$J495),1,""))</x:f>
      </x:c>
      <x:c r="J1017" s="32" t="str">
        <x:f>IF(OR('Detalle'!$J495="",'Detalle'!$K495="",'Detalle'!$L495=""),"",IF(AND(J$8&lt;='Detalle'!$K495,J$9&gt;='Detalle'!$J495),1,""))</x:f>
      </x:c>
      <x:c r="K1017" s="32" t="str">
        <x:f>IF(OR('Detalle'!$J495="",'Detalle'!$K495="",'Detalle'!$L495=""),"",IF(AND(K$8&lt;='Detalle'!$K495,K$9&gt;='Detalle'!$J495),1,""))</x:f>
      </x:c>
      <x:c r="L1017" s="32" t="str">
        <x:f>IF(OR('Detalle'!$J495="",'Detalle'!$K495="",'Detalle'!$L495=""),"",IF(AND(L$8&lt;='Detalle'!$K495,L$9&gt;='Detalle'!$J495),1,""))</x:f>
      </x:c>
      <x:c r="M1017" s="32" t="str">
        <x:f>IF(OR('Detalle'!$J495="",'Detalle'!$K495="",'Detalle'!$L495=""),"",IF(AND(M$8&lt;='Detalle'!$K495,M$9&gt;='Detalle'!$J495),1,""))</x:f>
      </x:c>
      <x:c r="N1017" s="32" t="str">
        <x:f>IF(OR('Detalle'!$J495="",'Detalle'!$K495="",'Detalle'!$L495=""),"",IF(AND(N$8&lt;='Detalle'!$K495,N$9&gt;='Detalle'!$J495),1,""))</x:f>
      </x:c>
      <x:c r="O1017" s="32" t="str">
        <x:f>IF(OR('Detalle'!$J495="",'Detalle'!$K495="",'Detalle'!$L495=""),"",IF(AND(O$8&lt;='Detalle'!$K495,O$9&gt;='Detalle'!$J495),1,""))</x:f>
      </x:c>
      <x:c r="P1017" s="32" t="str">
        <x:f>IF(OR('Detalle'!$J495="",'Detalle'!$K495="",'Detalle'!$L495=""),"",IF(AND(P$8&lt;='Detalle'!$K495,P$9&gt;='Detalle'!$J495),1,""))</x:f>
      </x:c>
      <x:c r="Q1017" s="68"/>
      <x:c r="R1017" s="67" t="str"/>
      <x:c r="S1017" s="67" t="str"/>
    </x:row>
    <x:row r="1018" ht="16" customHeight="1">
      <x:c r="A1018" s="56" t="str">
        <x:v>MIS05.009</x:v>
      </x:c>
      <x:c r="B1018" s="57" t="str">
        <x:v>Registrar validación real de misiones</x:v>
      </x:c>
      <x:c r="C1018" s="62" t="str">
        <x:v>E</x:v>
      </x:c>
      <x:c r="D1018" s="64" t="n">
        <x:f>'Detalle'!I496</x:f>
        <x:v>1</x:v>
      </x:c>
      <x:c r="E1018" s="60" t="str">
        <x:f>'Detalle'!F496</x:f>
        <x:v>Completado</x:v>
      </x:c>
      <x:c r="F1018" s="32" t="str">
        <x:f>IF(AND(F$8&lt;='Detalle'!$H496,F$9&gt;='Detalle'!$G496),1,"")</x:f>
      </x:c>
      <x:c r="G1018" s="32" t="str">
        <x:f>IF(AND(G$8&lt;='Detalle'!$H496,G$9&gt;='Detalle'!$G496),1,"")</x:f>
      </x:c>
      <x:c r="H1018" s="32" t="str">
        <x:f>IF(AND(H$8&lt;='Detalle'!$H496,H$9&gt;='Detalle'!$G496),1,"")</x:f>
      </x:c>
      <x:c r="I1018" s="32" t="n">
        <x:f>IF(AND(I$8&lt;='Detalle'!$H496,I$9&gt;='Detalle'!$G496),1,"")</x:f>
        <x:v>1</x:v>
      </x:c>
      <x:c r="J1018" s="32" t="str">
        <x:f>IF(AND(J$8&lt;='Detalle'!$H496,J$9&gt;='Detalle'!$G496),1,"")</x:f>
      </x:c>
      <x:c r="K1018" s="32" t="str">
        <x:f>IF(AND(K$8&lt;='Detalle'!$H496,K$9&gt;='Detalle'!$G496),1,"")</x:f>
      </x:c>
      <x:c r="L1018" s="32" t="str">
        <x:f>IF(AND(L$8&lt;='Detalle'!$H496,L$9&gt;='Detalle'!$G496),1,"")</x:f>
      </x:c>
      <x:c r="M1018" s="32" t="str">
        <x:f>IF(AND(M$8&lt;='Detalle'!$H496,M$9&gt;='Detalle'!$G496),1,"")</x:f>
      </x:c>
      <x:c r="N1018" s="32" t="str">
        <x:f>IF(AND(N$8&lt;='Detalle'!$H496,N$9&gt;='Detalle'!$G496),1,"")</x:f>
      </x:c>
      <x:c r="O1018" s="32" t="str">
        <x:f>IF(AND(O$8&lt;='Detalle'!$H496,O$9&gt;='Detalle'!$G496),1,"")</x:f>
      </x:c>
      <x:c r="P1018" s="32" t="str">
        <x:f>IF(AND(P$8&lt;='Detalle'!$H496,P$9&gt;='Detalle'!$G496),1,"")</x:f>
      </x:c>
      <x:c r="Q1018" s="68"/>
      <x:c r="R1018" s="67" t="str">
        <x:f>IF('Detalle'!M496="","",'Detalle'!M496)</x:f>
      </x:c>
      <x:c r="S1018" s="67" t="str">
        <x:f>IF('Detalle'!N496="","",'Detalle'!N496)</x:f>
      </x:c>
    </x:row>
    <x:row r="1019" ht="16" customHeight="1">
      <x:c r="A1019" s="56" t="str">
        <x:v>MIS05.009</x:v>
      </x:c>
      <x:c r="B1019" s="57" t="str">
        <x:v>Registrar validación real de misiones</x:v>
      </x:c>
      <x:c r="C1019" s="63" t="str">
        <x:v>R</x:v>
      </x:c>
      <x:c r="D1019" s="65" t="str">
        <x:f>IF('Detalle'!L496="","",'Detalle'!L496)</x:f>
      </x:c>
      <x:c r="E1019" s="60" t="str"/>
      <x:c r="F1019" s="32" t="str">
        <x:f>IF(OR('Detalle'!$J496="",'Detalle'!$K496="",'Detalle'!$L496=""),"",IF(AND(F$8&lt;='Detalle'!$K496,F$9&gt;='Detalle'!$J496),1,""))</x:f>
      </x:c>
      <x:c r="G1019" s="32" t="str">
        <x:f>IF(OR('Detalle'!$J496="",'Detalle'!$K496="",'Detalle'!$L496=""),"",IF(AND(G$8&lt;='Detalle'!$K496,G$9&gt;='Detalle'!$J496),1,""))</x:f>
      </x:c>
      <x:c r="H1019" s="32" t="str">
        <x:f>IF(OR('Detalle'!$J496="",'Detalle'!$K496="",'Detalle'!$L496=""),"",IF(AND(H$8&lt;='Detalle'!$K496,H$9&gt;='Detalle'!$J496),1,""))</x:f>
      </x:c>
      <x:c r="I1019" s="32" t="str">
        <x:f>IF(OR('Detalle'!$J496="",'Detalle'!$K496="",'Detalle'!$L496=""),"",IF(AND(I$8&lt;='Detalle'!$K496,I$9&gt;='Detalle'!$J496),1,""))</x:f>
      </x:c>
      <x:c r="J1019" s="32" t="str">
        <x:f>IF(OR('Detalle'!$J496="",'Detalle'!$K496="",'Detalle'!$L496=""),"",IF(AND(J$8&lt;='Detalle'!$K496,J$9&gt;='Detalle'!$J496),1,""))</x:f>
      </x:c>
      <x:c r="K1019" s="32" t="str">
        <x:f>IF(OR('Detalle'!$J496="",'Detalle'!$K496="",'Detalle'!$L496=""),"",IF(AND(K$8&lt;='Detalle'!$K496,K$9&gt;='Detalle'!$J496),1,""))</x:f>
      </x:c>
      <x:c r="L1019" s="32" t="str">
        <x:f>IF(OR('Detalle'!$J496="",'Detalle'!$K496="",'Detalle'!$L496=""),"",IF(AND(L$8&lt;='Detalle'!$K496,L$9&gt;='Detalle'!$J496),1,""))</x:f>
      </x:c>
      <x:c r="M1019" s="32" t="str">
        <x:f>IF(OR('Detalle'!$J496="",'Detalle'!$K496="",'Detalle'!$L496=""),"",IF(AND(M$8&lt;='Detalle'!$K496,M$9&gt;='Detalle'!$J496),1,""))</x:f>
      </x:c>
      <x:c r="N1019" s="32" t="str">
        <x:f>IF(OR('Detalle'!$J496="",'Detalle'!$K496="",'Detalle'!$L496=""),"",IF(AND(N$8&lt;='Detalle'!$K496,N$9&gt;='Detalle'!$J496),1,""))</x:f>
      </x:c>
      <x:c r="O1019" s="32" t="str">
        <x:f>IF(OR('Detalle'!$J496="",'Detalle'!$K496="",'Detalle'!$L496=""),"",IF(AND(O$8&lt;='Detalle'!$K496,O$9&gt;='Detalle'!$J496),1,""))</x:f>
      </x:c>
      <x:c r="P1019" s="32" t="str">
        <x:f>IF(OR('Detalle'!$J496="",'Detalle'!$K496="",'Detalle'!$L496=""),"",IF(AND(P$8&lt;='Detalle'!$K496,P$9&gt;='Detalle'!$J496),1,""))</x:f>
      </x:c>
      <x:c r="Q1019" s="68"/>
      <x:c r="R1019" s="67" t="str"/>
      <x:c r="S1019" s="67" t="str"/>
    </x:row>
    <x:row r="1020" ht="16" customHeight="1">
      <x:c r="A1020" s="56" t="str">
        <x:v>MIS05.010</x:v>
      </x:c>
      <x:c r="B1020" s="57" t="str">
        <x:v>Ejecutar regresión social del rediseño</x:v>
      </x:c>
      <x:c r="C1020" s="62" t="str">
        <x:v>E</x:v>
      </x:c>
      <x:c r="D1020" s="64" t="n">
        <x:f>'Detalle'!I497</x:f>
        <x:v>1</x:v>
      </x:c>
      <x:c r="E1020" s="60" t="str">
        <x:f>'Detalle'!F497</x:f>
        <x:v>Completado</x:v>
      </x:c>
      <x:c r="F1020" s="32" t="str">
        <x:f>IF(AND(F$8&lt;='Detalle'!$H497,F$9&gt;='Detalle'!$G497),1,"")</x:f>
      </x:c>
      <x:c r="G1020" s="32" t="str">
        <x:f>IF(AND(G$8&lt;='Detalle'!$H497,G$9&gt;='Detalle'!$G497),1,"")</x:f>
      </x:c>
      <x:c r="H1020" s="32" t="str">
        <x:f>IF(AND(H$8&lt;='Detalle'!$H497,H$9&gt;='Detalle'!$G497),1,"")</x:f>
      </x:c>
      <x:c r="I1020" s="32" t="n">
        <x:f>IF(AND(I$8&lt;='Detalle'!$H497,I$9&gt;='Detalle'!$G497),1,"")</x:f>
        <x:v>1</x:v>
      </x:c>
      <x:c r="J1020" s="32" t="str">
        <x:f>IF(AND(J$8&lt;='Detalle'!$H497,J$9&gt;='Detalle'!$G497),1,"")</x:f>
      </x:c>
      <x:c r="K1020" s="32" t="str">
        <x:f>IF(AND(K$8&lt;='Detalle'!$H497,K$9&gt;='Detalle'!$G497),1,"")</x:f>
      </x:c>
      <x:c r="L1020" s="32" t="str">
        <x:f>IF(AND(L$8&lt;='Detalle'!$H497,L$9&gt;='Detalle'!$G497),1,"")</x:f>
      </x:c>
      <x:c r="M1020" s="32" t="str">
        <x:f>IF(AND(M$8&lt;='Detalle'!$H497,M$9&gt;='Detalle'!$G497),1,"")</x:f>
      </x:c>
      <x:c r="N1020" s="32" t="str">
        <x:f>IF(AND(N$8&lt;='Detalle'!$H497,N$9&gt;='Detalle'!$G497),1,"")</x:f>
      </x:c>
      <x:c r="O1020" s="32" t="str">
        <x:f>IF(AND(O$8&lt;='Detalle'!$H497,O$9&gt;='Detalle'!$G497),1,"")</x:f>
      </x:c>
      <x:c r="P1020" s="32" t="str">
        <x:f>IF(AND(P$8&lt;='Detalle'!$H497,P$9&gt;='Detalle'!$G497),1,"")</x:f>
      </x:c>
      <x:c r="Q1020" s="68"/>
      <x:c r="R1020" s="67" t="str">
        <x:f>IF('Detalle'!M497="","",'Detalle'!M497)</x:f>
      </x:c>
      <x:c r="S1020" s="67" t="str">
        <x:f>IF('Detalle'!N497="","",'Detalle'!N497)</x:f>
      </x:c>
    </x:row>
    <x:row r="1021" ht="16" customHeight="1">
      <x:c r="A1021" s="56" t="str">
        <x:v>MIS05.010</x:v>
      </x:c>
      <x:c r="B1021" s="57" t="str">
        <x:v>Ejecutar regresión social del rediseño</x:v>
      </x:c>
      <x:c r="C1021" s="63" t="str">
        <x:v>R</x:v>
      </x:c>
      <x:c r="D1021" s="65" t="str">
        <x:f>IF('Detalle'!L497="","",'Detalle'!L497)</x:f>
      </x:c>
      <x:c r="E1021" s="60" t="str"/>
      <x:c r="F1021" s="32" t="str">
        <x:f>IF(OR('Detalle'!$J497="",'Detalle'!$K497="",'Detalle'!$L497=""),"",IF(AND(F$8&lt;='Detalle'!$K497,F$9&gt;='Detalle'!$J497),1,""))</x:f>
      </x:c>
      <x:c r="G1021" s="32" t="str">
        <x:f>IF(OR('Detalle'!$J497="",'Detalle'!$K497="",'Detalle'!$L497=""),"",IF(AND(G$8&lt;='Detalle'!$K497,G$9&gt;='Detalle'!$J497),1,""))</x:f>
      </x:c>
      <x:c r="H1021" s="32" t="str">
        <x:f>IF(OR('Detalle'!$J497="",'Detalle'!$K497="",'Detalle'!$L497=""),"",IF(AND(H$8&lt;='Detalle'!$K497,H$9&gt;='Detalle'!$J497),1,""))</x:f>
      </x:c>
      <x:c r="I1021" s="32" t="str">
        <x:f>IF(OR('Detalle'!$J497="",'Detalle'!$K497="",'Detalle'!$L497=""),"",IF(AND(I$8&lt;='Detalle'!$K497,I$9&gt;='Detalle'!$J497),1,""))</x:f>
      </x:c>
      <x:c r="J1021" s="32" t="str">
        <x:f>IF(OR('Detalle'!$J497="",'Detalle'!$K497="",'Detalle'!$L497=""),"",IF(AND(J$8&lt;='Detalle'!$K497,J$9&gt;='Detalle'!$J497),1,""))</x:f>
      </x:c>
      <x:c r="K1021" s="32" t="str">
        <x:f>IF(OR('Detalle'!$J497="",'Detalle'!$K497="",'Detalle'!$L497=""),"",IF(AND(K$8&lt;='Detalle'!$K497,K$9&gt;='Detalle'!$J497),1,""))</x:f>
      </x:c>
      <x:c r="L1021" s="32" t="str">
        <x:f>IF(OR('Detalle'!$J497="",'Detalle'!$K497="",'Detalle'!$L497=""),"",IF(AND(L$8&lt;='Detalle'!$K497,L$9&gt;='Detalle'!$J497),1,""))</x:f>
      </x:c>
      <x:c r="M1021" s="32" t="str">
        <x:f>IF(OR('Detalle'!$J497="",'Detalle'!$K497="",'Detalle'!$L497=""),"",IF(AND(M$8&lt;='Detalle'!$K497,M$9&gt;='Detalle'!$J497),1,""))</x:f>
      </x:c>
      <x:c r="N1021" s="32" t="str">
        <x:f>IF(OR('Detalle'!$J497="",'Detalle'!$K497="",'Detalle'!$L497=""),"",IF(AND(N$8&lt;='Detalle'!$K497,N$9&gt;='Detalle'!$J497),1,""))</x:f>
      </x:c>
      <x:c r="O1021" s="32" t="str">
        <x:f>IF(OR('Detalle'!$J497="",'Detalle'!$K497="",'Detalle'!$L497=""),"",IF(AND(O$8&lt;='Detalle'!$K497,O$9&gt;='Detalle'!$J497),1,""))</x:f>
      </x:c>
      <x:c r="P1021" s="32" t="str">
        <x:f>IF(OR('Detalle'!$J497="",'Detalle'!$K497="",'Detalle'!$L497=""),"",IF(AND(P$8&lt;='Detalle'!$K497,P$9&gt;='Detalle'!$J497),1,""))</x:f>
      </x:c>
      <x:c r="Q1021" s="68"/>
      <x:c r="R1021" s="67" t="str"/>
      <x:c r="S1021" s="67" t="str"/>
    </x:row>
    <x:row r="1022" ht="16" customHeight="1">
      <x:c r="A1022" s="56" t="str">
        <x:v>MIS05.011</x:v>
      </x:c>
      <x:c r="B1022" s="57" t="str">
        <x:v>Registrar suite integrada de misiones</x:v>
      </x:c>
      <x:c r="C1022" s="62" t="str">
        <x:v>E</x:v>
      </x:c>
      <x:c r="D1022" s="64" t="n">
        <x:f>'Detalle'!I498</x:f>
        <x:v>1</x:v>
      </x:c>
      <x:c r="E1022" s="60" t="str">
        <x:f>'Detalle'!F498</x:f>
        <x:v>Completado</x:v>
      </x:c>
      <x:c r="F1022" s="32" t="str">
        <x:f>IF(AND(F$8&lt;='Detalle'!$H498,F$9&gt;='Detalle'!$G498),1,"")</x:f>
      </x:c>
      <x:c r="G1022" s="32" t="str">
        <x:f>IF(AND(G$8&lt;='Detalle'!$H498,G$9&gt;='Detalle'!$G498),1,"")</x:f>
      </x:c>
      <x:c r="H1022" s="32" t="str">
        <x:f>IF(AND(H$8&lt;='Detalle'!$H498,H$9&gt;='Detalle'!$G498),1,"")</x:f>
      </x:c>
      <x:c r="I1022" s="32" t="n">
        <x:f>IF(AND(I$8&lt;='Detalle'!$H498,I$9&gt;='Detalle'!$G498),1,"")</x:f>
        <x:v>1</x:v>
      </x:c>
      <x:c r="J1022" s="32" t="str">
        <x:f>IF(AND(J$8&lt;='Detalle'!$H498,J$9&gt;='Detalle'!$G498),1,"")</x:f>
      </x:c>
      <x:c r="K1022" s="32" t="str">
        <x:f>IF(AND(K$8&lt;='Detalle'!$H498,K$9&gt;='Detalle'!$G498),1,"")</x:f>
      </x:c>
      <x:c r="L1022" s="32" t="str">
        <x:f>IF(AND(L$8&lt;='Detalle'!$H498,L$9&gt;='Detalle'!$G498),1,"")</x:f>
      </x:c>
      <x:c r="M1022" s="32" t="str">
        <x:f>IF(AND(M$8&lt;='Detalle'!$H498,M$9&gt;='Detalle'!$G498),1,"")</x:f>
      </x:c>
      <x:c r="N1022" s="32" t="str">
        <x:f>IF(AND(N$8&lt;='Detalle'!$H498,N$9&gt;='Detalle'!$G498),1,"")</x:f>
      </x:c>
      <x:c r="O1022" s="32" t="str">
        <x:f>IF(AND(O$8&lt;='Detalle'!$H498,O$9&gt;='Detalle'!$G498),1,"")</x:f>
      </x:c>
      <x:c r="P1022" s="32" t="str">
        <x:f>IF(AND(P$8&lt;='Detalle'!$H498,P$9&gt;='Detalle'!$G498),1,"")</x:f>
      </x:c>
      <x:c r="Q1022" s="68"/>
      <x:c r="R1022" s="67" t="str">
        <x:f>IF('Detalle'!M498="","",'Detalle'!M498)</x:f>
      </x:c>
      <x:c r="S1022" s="67" t="str">
        <x:f>IF('Detalle'!N498="","",'Detalle'!N498)</x:f>
      </x:c>
    </x:row>
    <x:row r="1023" ht="16" customHeight="1">
      <x:c r="A1023" s="56" t="str">
        <x:v>MIS05.011</x:v>
      </x:c>
      <x:c r="B1023" s="57" t="str">
        <x:v>Registrar suite integrada de misiones</x:v>
      </x:c>
      <x:c r="C1023" s="63" t="str">
        <x:v>R</x:v>
      </x:c>
      <x:c r="D1023" s="65" t="str">
        <x:f>IF('Detalle'!L498="","",'Detalle'!L498)</x:f>
      </x:c>
      <x:c r="E1023" s="60" t="str"/>
      <x:c r="F1023" s="32" t="str">
        <x:f>IF(OR('Detalle'!$J498="",'Detalle'!$K498="",'Detalle'!$L498=""),"",IF(AND(F$8&lt;='Detalle'!$K498,F$9&gt;='Detalle'!$J498),1,""))</x:f>
      </x:c>
      <x:c r="G1023" s="32" t="str">
        <x:f>IF(OR('Detalle'!$J498="",'Detalle'!$K498="",'Detalle'!$L498=""),"",IF(AND(G$8&lt;='Detalle'!$K498,G$9&gt;='Detalle'!$J498),1,""))</x:f>
      </x:c>
      <x:c r="H1023" s="32" t="str">
        <x:f>IF(OR('Detalle'!$J498="",'Detalle'!$K498="",'Detalle'!$L498=""),"",IF(AND(H$8&lt;='Detalle'!$K498,H$9&gt;='Detalle'!$J498),1,""))</x:f>
      </x:c>
      <x:c r="I1023" s="32" t="str">
        <x:f>IF(OR('Detalle'!$J498="",'Detalle'!$K498="",'Detalle'!$L498=""),"",IF(AND(I$8&lt;='Detalle'!$K498,I$9&gt;='Detalle'!$J498),1,""))</x:f>
      </x:c>
      <x:c r="J1023" s="32" t="str">
        <x:f>IF(OR('Detalle'!$J498="",'Detalle'!$K498="",'Detalle'!$L498=""),"",IF(AND(J$8&lt;='Detalle'!$K498,J$9&gt;='Detalle'!$J498),1,""))</x:f>
      </x:c>
      <x:c r="K1023" s="32" t="str">
        <x:f>IF(OR('Detalle'!$J498="",'Detalle'!$K498="",'Detalle'!$L498=""),"",IF(AND(K$8&lt;='Detalle'!$K498,K$9&gt;='Detalle'!$J498),1,""))</x:f>
      </x:c>
      <x:c r="L1023" s="32" t="str">
        <x:f>IF(OR('Detalle'!$J498="",'Detalle'!$K498="",'Detalle'!$L498=""),"",IF(AND(L$8&lt;='Detalle'!$K498,L$9&gt;='Detalle'!$J498),1,""))</x:f>
      </x:c>
      <x:c r="M1023" s="32" t="str">
        <x:f>IF(OR('Detalle'!$J498="",'Detalle'!$K498="",'Detalle'!$L498=""),"",IF(AND(M$8&lt;='Detalle'!$K498,M$9&gt;='Detalle'!$J498),1,""))</x:f>
      </x:c>
      <x:c r="N1023" s="32" t="str">
        <x:f>IF(OR('Detalle'!$J498="",'Detalle'!$K498="",'Detalle'!$L498=""),"",IF(AND(N$8&lt;='Detalle'!$K498,N$9&gt;='Detalle'!$J498),1,""))</x:f>
      </x:c>
      <x:c r="O1023" s="32" t="str">
        <x:f>IF(OR('Detalle'!$J498="",'Detalle'!$K498="",'Detalle'!$L498=""),"",IF(AND(O$8&lt;='Detalle'!$K498,O$9&gt;='Detalle'!$J498),1,""))</x:f>
      </x:c>
      <x:c r="P1023" s="32" t="str">
        <x:f>IF(OR('Detalle'!$J498="",'Detalle'!$K498="",'Detalle'!$L498=""),"",IF(AND(P$8&lt;='Detalle'!$K498,P$9&gt;='Detalle'!$J498),1,""))</x:f>
      </x:c>
      <x:c r="Q1023" s="68"/>
      <x:c r="R1023" s="67" t="str"/>
      <x:c r="S1023" s="67" t="str"/>
    </x:row>
    <x:row r="1024" ht="16" customHeight="1">
      <x:c r="A1024" s="56" t="str">
        <x:v>MIS05.012</x:v>
      </x:c>
      <x:c r="B1024" s="57" t="str">
        <x:v>Revisar móvil, tablet y escritorio</x:v>
      </x:c>
      <x:c r="C1024" s="62" t="str">
        <x:v>E</x:v>
      </x:c>
      <x:c r="D1024" s="64" t="n">
        <x:f>'Detalle'!I499</x:f>
        <x:v>1</x:v>
      </x:c>
      <x:c r="E1024" s="60" t="str">
        <x:f>'Detalle'!F499</x:f>
        <x:v>Completado</x:v>
      </x:c>
      <x:c r="F1024" s="32" t="str">
        <x:f>IF(AND(F$8&lt;='Detalle'!$H499,F$9&gt;='Detalle'!$G499),1,"")</x:f>
      </x:c>
      <x:c r="G1024" s="32" t="str">
        <x:f>IF(AND(G$8&lt;='Detalle'!$H499,G$9&gt;='Detalle'!$G499),1,"")</x:f>
      </x:c>
      <x:c r="H1024" s="32" t="str">
        <x:f>IF(AND(H$8&lt;='Detalle'!$H499,H$9&gt;='Detalle'!$G499),1,"")</x:f>
      </x:c>
      <x:c r="I1024" s="32" t="n">
        <x:f>IF(AND(I$8&lt;='Detalle'!$H499,I$9&gt;='Detalle'!$G499),1,"")</x:f>
        <x:v>1</x:v>
      </x:c>
      <x:c r="J1024" s="32" t="str">
        <x:f>IF(AND(J$8&lt;='Detalle'!$H499,J$9&gt;='Detalle'!$G499),1,"")</x:f>
      </x:c>
      <x:c r="K1024" s="32" t="str">
        <x:f>IF(AND(K$8&lt;='Detalle'!$H499,K$9&gt;='Detalle'!$G499),1,"")</x:f>
      </x:c>
      <x:c r="L1024" s="32" t="str">
        <x:f>IF(AND(L$8&lt;='Detalle'!$H499,L$9&gt;='Detalle'!$G499),1,"")</x:f>
      </x:c>
      <x:c r="M1024" s="32" t="str">
        <x:f>IF(AND(M$8&lt;='Detalle'!$H499,M$9&gt;='Detalle'!$G499),1,"")</x:f>
      </x:c>
      <x:c r="N1024" s="32" t="str">
        <x:f>IF(AND(N$8&lt;='Detalle'!$H499,N$9&gt;='Detalle'!$G499),1,"")</x:f>
      </x:c>
      <x:c r="O1024" s="32" t="str">
        <x:f>IF(AND(O$8&lt;='Detalle'!$H499,O$9&gt;='Detalle'!$G499),1,"")</x:f>
      </x:c>
      <x:c r="P1024" s="32" t="str">
        <x:f>IF(AND(P$8&lt;='Detalle'!$H499,P$9&gt;='Detalle'!$G499),1,"")</x:f>
      </x:c>
      <x:c r="Q1024" s="68"/>
      <x:c r="R1024" s="67" t="str">
        <x:f>IF('Detalle'!M499="","",'Detalle'!M499)</x:f>
      </x:c>
      <x:c r="S1024" s="67" t="str">
        <x:f>IF('Detalle'!N499="","",'Detalle'!N499)</x:f>
      </x:c>
    </x:row>
    <x:row r="1025" ht="16" customHeight="1">
      <x:c r="A1025" s="56" t="str">
        <x:v>MIS05.012</x:v>
      </x:c>
      <x:c r="B1025" s="57" t="str">
        <x:v>Revisar móvil, tablet y escritorio</x:v>
      </x:c>
      <x:c r="C1025" s="63" t="str">
        <x:v>R</x:v>
      </x:c>
      <x:c r="D1025" s="65" t="str">
        <x:f>IF('Detalle'!L499="","",'Detalle'!L499)</x:f>
      </x:c>
      <x:c r="E1025" s="60" t="str"/>
      <x:c r="F1025" s="32" t="str">
        <x:f>IF(OR('Detalle'!$J499="",'Detalle'!$K499="",'Detalle'!$L499=""),"",IF(AND(F$8&lt;='Detalle'!$K499,F$9&gt;='Detalle'!$J499),1,""))</x:f>
      </x:c>
      <x:c r="G1025" s="32" t="str">
        <x:f>IF(OR('Detalle'!$J499="",'Detalle'!$K499="",'Detalle'!$L499=""),"",IF(AND(G$8&lt;='Detalle'!$K499,G$9&gt;='Detalle'!$J499),1,""))</x:f>
      </x:c>
      <x:c r="H1025" s="32" t="str">
        <x:f>IF(OR('Detalle'!$J499="",'Detalle'!$K499="",'Detalle'!$L499=""),"",IF(AND(H$8&lt;='Detalle'!$K499,H$9&gt;='Detalle'!$J499),1,""))</x:f>
      </x:c>
      <x:c r="I1025" s="32" t="str">
        <x:f>IF(OR('Detalle'!$J499="",'Detalle'!$K499="",'Detalle'!$L499=""),"",IF(AND(I$8&lt;='Detalle'!$K499,I$9&gt;='Detalle'!$J499),1,""))</x:f>
      </x:c>
      <x:c r="J1025" s="32" t="str">
        <x:f>IF(OR('Detalle'!$J499="",'Detalle'!$K499="",'Detalle'!$L499=""),"",IF(AND(J$8&lt;='Detalle'!$K499,J$9&gt;='Detalle'!$J499),1,""))</x:f>
      </x:c>
      <x:c r="K1025" s="32" t="str">
        <x:f>IF(OR('Detalle'!$J499="",'Detalle'!$K499="",'Detalle'!$L499=""),"",IF(AND(K$8&lt;='Detalle'!$K499,K$9&gt;='Detalle'!$J499),1,""))</x:f>
      </x:c>
      <x:c r="L1025" s="32" t="str">
        <x:f>IF(OR('Detalle'!$J499="",'Detalle'!$K499="",'Detalle'!$L499=""),"",IF(AND(L$8&lt;='Detalle'!$K499,L$9&gt;='Detalle'!$J499),1,""))</x:f>
      </x:c>
      <x:c r="M1025" s="32" t="str">
        <x:f>IF(OR('Detalle'!$J499="",'Detalle'!$K499="",'Detalle'!$L499=""),"",IF(AND(M$8&lt;='Detalle'!$K499,M$9&gt;='Detalle'!$J499),1,""))</x:f>
      </x:c>
      <x:c r="N1025" s="32" t="str">
        <x:f>IF(OR('Detalle'!$J499="",'Detalle'!$K499="",'Detalle'!$L499=""),"",IF(AND(N$8&lt;='Detalle'!$K499,N$9&gt;='Detalle'!$J499),1,""))</x:f>
      </x:c>
      <x:c r="O1025" s="32" t="str">
        <x:f>IF(OR('Detalle'!$J499="",'Detalle'!$K499="",'Detalle'!$L499=""),"",IF(AND(O$8&lt;='Detalle'!$K499,O$9&gt;='Detalle'!$J499),1,""))</x:f>
      </x:c>
      <x:c r="P1025" s="32" t="str">
        <x:f>IF(OR('Detalle'!$J499="",'Detalle'!$K499="",'Detalle'!$L499=""),"",IF(AND(P$8&lt;='Detalle'!$K499,P$9&gt;='Detalle'!$J499),1,""))</x:f>
      </x:c>
      <x:c r="Q1025" s="68"/>
      <x:c r="R1025" s="67" t="str"/>
      <x:c r="S1025" s="67" t="str"/>
    </x:row>
    <x:row r="1026" ht="16" customHeight="1">
      <x:c r="A1026" s="56" t="str">
        <x:v>MIS05.013</x:v>
      </x:c>
      <x:c r="B1026" s="57" t="str">
        <x:v>Compilar clientes del rediseño</x:v>
      </x:c>
      <x:c r="C1026" s="62" t="str">
        <x:v>E</x:v>
      </x:c>
      <x:c r="D1026" s="64" t="n">
        <x:f>'Detalle'!I500</x:f>
        <x:v>1</x:v>
      </x:c>
      <x:c r="E1026" s="60" t="str">
        <x:f>'Detalle'!F500</x:f>
        <x:v>Completado</x:v>
      </x:c>
      <x:c r="F1026" s="32" t="str">
        <x:f>IF(AND(F$8&lt;='Detalle'!$H500,F$9&gt;='Detalle'!$G500),1,"")</x:f>
      </x:c>
      <x:c r="G1026" s="32" t="str">
        <x:f>IF(AND(G$8&lt;='Detalle'!$H500,G$9&gt;='Detalle'!$G500),1,"")</x:f>
      </x:c>
      <x:c r="H1026" s="32" t="str">
        <x:f>IF(AND(H$8&lt;='Detalle'!$H500,H$9&gt;='Detalle'!$G500),1,"")</x:f>
      </x:c>
      <x:c r="I1026" s="32" t="n">
        <x:f>IF(AND(I$8&lt;='Detalle'!$H500,I$9&gt;='Detalle'!$G500),1,"")</x:f>
        <x:v>1</x:v>
      </x:c>
      <x:c r="J1026" s="32" t="str">
        <x:f>IF(AND(J$8&lt;='Detalle'!$H500,J$9&gt;='Detalle'!$G500),1,"")</x:f>
      </x:c>
      <x:c r="K1026" s="32" t="str">
        <x:f>IF(AND(K$8&lt;='Detalle'!$H500,K$9&gt;='Detalle'!$G500),1,"")</x:f>
      </x:c>
      <x:c r="L1026" s="32" t="str">
        <x:f>IF(AND(L$8&lt;='Detalle'!$H500,L$9&gt;='Detalle'!$G500),1,"")</x:f>
      </x:c>
      <x:c r="M1026" s="32" t="str">
        <x:f>IF(AND(M$8&lt;='Detalle'!$H500,M$9&gt;='Detalle'!$G500),1,"")</x:f>
      </x:c>
      <x:c r="N1026" s="32" t="str">
        <x:f>IF(AND(N$8&lt;='Detalle'!$H500,N$9&gt;='Detalle'!$G500),1,"")</x:f>
      </x:c>
      <x:c r="O1026" s="32" t="str">
        <x:f>IF(AND(O$8&lt;='Detalle'!$H500,O$9&gt;='Detalle'!$G500),1,"")</x:f>
      </x:c>
      <x:c r="P1026" s="32" t="str">
        <x:f>IF(AND(P$8&lt;='Detalle'!$H500,P$9&gt;='Detalle'!$G500),1,"")</x:f>
      </x:c>
      <x:c r="Q1026" s="68"/>
      <x:c r="R1026" s="67" t="str">
        <x:f>IF('Detalle'!M500="","",'Detalle'!M500)</x:f>
      </x:c>
      <x:c r="S1026" s="67" t="str">
        <x:f>IF('Detalle'!N500="","",'Detalle'!N500)</x:f>
      </x:c>
    </x:row>
    <x:row r="1027" ht="16" customHeight="1">
      <x:c r="A1027" s="56" t="str">
        <x:v>MIS05.013</x:v>
      </x:c>
      <x:c r="B1027" s="57" t="str">
        <x:v>Compilar clientes del rediseño</x:v>
      </x:c>
      <x:c r="C1027" s="63" t="str">
        <x:v>R</x:v>
      </x:c>
      <x:c r="D1027" s="65" t="str">
        <x:f>IF('Detalle'!L500="","",'Detalle'!L500)</x:f>
      </x:c>
      <x:c r="E1027" s="60" t="str"/>
      <x:c r="F1027" s="32" t="str">
        <x:f>IF(OR('Detalle'!$J500="",'Detalle'!$K500="",'Detalle'!$L500=""),"",IF(AND(F$8&lt;='Detalle'!$K500,F$9&gt;='Detalle'!$J500),1,""))</x:f>
      </x:c>
      <x:c r="G1027" s="32" t="str">
        <x:f>IF(OR('Detalle'!$J500="",'Detalle'!$K500="",'Detalle'!$L500=""),"",IF(AND(G$8&lt;='Detalle'!$K500,G$9&gt;='Detalle'!$J500),1,""))</x:f>
      </x:c>
      <x:c r="H1027" s="32" t="str">
        <x:f>IF(OR('Detalle'!$J500="",'Detalle'!$K500="",'Detalle'!$L500=""),"",IF(AND(H$8&lt;='Detalle'!$K500,H$9&gt;='Detalle'!$J500),1,""))</x:f>
      </x:c>
      <x:c r="I1027" s="32" t="str">
        <x:f>IF(OR('Detalle'!$J500="",'Detalle'!$K500="",'Detalle'!$L500=""),"",IF(AND(I$8&lt;='Detalle'!$K500,I$9&gt;='Detalle'!$J500),1,""))</x:f>
      </x:c>
      <x:c r="J1027" s="32" t="str">
        <x:f>IF(OR('Detalle'!$J500="",'Detalle'!$K500="",'Detalle'!$L500=""),"",IF(AND(J$8&lt;='Detalle'!$K500,J$9&gt;='Detalle'!$J500),1,""))</x:f>
      </x:c>
      <x:c r="K1027" s="32" t="str">
        <x:f>IF(OR('Detalle'!$J500="",'Detalle'!$K500="",'Detalle'!$L500=""),"",IF(AND(K$8&lt;='Detalle'!$K500,K$9&gt;='Detalle'!$J500),1,""))</x:f>
      </x:c>
      <x:c r="L1027" s="32" t="str">
        <x:f>IF(OR('Detalle'!$J500="",'Detalle'!$K500="",'Detalle'!$L500=""),"",IF(AND(L$8&lt;='Detalle'!$K500,L$9&gt;='Detalle'!$J500),1,""))</x:f>
      </x:c>
      <x:c r="M1027" s="32" t="str">
        <x:f>IF(OR('Detalle'!$J500="",'Detalle'!$K500="",'Detalle'!$L500=""),"",IF(AND(M$8&lt;='Detalle'!$K500,M$9&gt;='Detalle'!$J500),1,""))</x:f>
      </x:c>
      <x:c r="N1027" s="32" t="str">
        <x:f>IF(OR('Detalle'!$J500="",'Detalle'!$K500="",'Detalle'!$L500=""),"",IF(AND(N$8&lt;='Detalle'!$K500,N$9&gt;='Detalle'!$J500),1,""))</x:f>
      </x:c>
      <x:c r="O1027" s="32" t="str">
        <x:f>IF(OR('Detalle'!$J500="",'Detalle'!$K500="",'Detalle'!$L500=""),"",IF(AND(O$8&lt;='Detalle'!$K500,O$9&gt;='Detalle'!$J500),1,""))</x:f>
      </x:c>
      <x:c r="P1027" s="32" t="str">
        <x:f>IF(OR('Detalle'!$J500="",'Detalle'!$K500="",'Detalle'!$L500=""),"",IF(AND(P$8&lt;='Detalle'!$K500,P$9&gt;='Detalle'!$J500),1,""))</x:f>
      </x:c>
      <x:c r="Q1027" s="68"/>
      <x:c r="R1027" s="67" t="str"/>
      <x:c r="S1027" s="67" t="str"/>
    </x:row>
    <x:row r="1028" ht="16" customHeight="1">
      <x:c r="A1028" s="56" t="str">
        <x:v>MIS05.014</x:v>
      </x:c>
      <x:c r="B1028" s="57" t="str">
        <x:v>Limpiar recursos temporales de misiones</x:v>
      </x:c>
      <x:c r="C1028" s="62" t="str">
        <x:v>E</x:v>
      </x:c>
      <x:c r="D1028" s="64" t="n">
        <x:f>'Detalle'!I501</x:f>
        <x:v>1</x:v>
      </x:c>
      <x:c r="E1028" s="60" t="str">
        <x:f>'Detalle'!F501</x:f>
        <x:v>Completado</x:v>
      </x:c>
      <x:c r="F1028" s="32" t="str">
        <x:f>IF(AND(F$8&lt;='Detalle'!$H501,F$9&gt;='Detalle'!$G501),1,"")</x:f>
      </x:c>
      <x:c r="G1028" s="32" t="str">
        <x:f>IF(AND(G$8&lt;='Detalle'!$H501,G$9&gt;='Detalle'!$G501),1,"")</x:f>
      </x:c>
      <x:c r="H1028" s="32" t="str">
        <x:f>IF(AND(H$8&lt;='Detalle'!$H501,H$9&gt;='Detalle'!$G501),1,"")</x:f>
      </x:c>
      <x:c r="I1028" s="32" t="n">
        <x:f>IF(AND(I$8&lt;='Detalle'!$H501,I$9&gt;='Detalle'!$G501),1,"")</x:f>
        <x:v>1</x:v>
      </x:c>
      <x:c r="J1028" s="32" t="str">
        <x:f>IF(AND(J$8&lt;='Detalle'!$H501,J$9&gt;='Detalle'!$G501),1,"")</x:f>
      </x:c>
      <x:c r="K1028" s="32" t="str">
        <x:f>IF(AND(K$8&lt;='Detalle'!$H501,K$9&gt;='Detalle'!$G501),1,"")</x:f>
      </x:c>
      <x:c r="L1028" s="32" t="str">
        <x:f>IF(AND(L$8&lt;='Detalle'!$H501,L$9&gt;='Detalle'!$G501),1,"")</x:f>
      </x:c>
      <x:c r="M1028" s="32" t="str">
        <x:f>IF(AND(M$8&lt;='Detalle'!$H501,M$9&gt;='Detalle'!$G501),1,"")</x:f>
      </x:c>
      <x:c r="N1028" s="32" t="str">
        <x:f>IF(AND(N$8&lt;='Detalle'!$H501,N$9&gt;='Detalle'!$G501),1,"")</x:f>
      </x:c>
      <x:c r="O1028" s="32" t="str">
        <x:f>IF(AND(O$8&lt;='Detalle'!$H501,O$9&gt;='Detalle'!$G501),1,"")</x:f>
      </x:c>
      <x:c r="P1028" s="32" t="str">
        <x:f>IF(AND(P$8&lt;='Detalle'!$H501,P$9&gt;='Detalle'!$G501),1,"")</x:f>
      </x:c>
      <x:c r="Q1028" s="68"/>
      <x:c r="R1028" s="67" t="str">
        <x:f>IF('Detalle'!M501="","",'Detalle'!M501)</x:f>
      </x:c>
      <x:c r="S1028" s="67" t="str">
        <x:f>IF('Detalle'!N501="","",'Detalle'!N501)</x:f>
      </x:c>
    </x:row>
    <x:row r="1029" ht="16" customHeight="1">
      <x:c r="A1029" s="56" t="str">
        <x:v>MIS05.014</x:v>
      </x:c>
      <x:c r="B1029" s="57" t="str">
        <x:v>Limpiar recursos temporales de misiones</x:v>
      </x:c>
      <x:c r="C1029" s="63" t="str">
        <x:v>R</x:v>
      </x:c>
      <x:c r="D1029" s="65" t="str">
        <x:f>IF('Detalle'!L501="","",'Detalle'!L501)</x:f>
      </x:c>
      <x:c r="E1029" s="60" t="str"/>
      <x:c r="F1029" s="32" t="str">
        <x:f>IF(OR('Detalle'!$J501="",'Detalle'!$K501="",'Detalle'!$L501=""),"",IF(AND(F$8&lt;='Detalle'!$K501,F$9&gt;='Detalle'!$J501),1,""))</x:f>
      </x:c>
      <x:c r="G1029" s="32" t="str">
        <x:f>IF(OR('Detalle'!$J501="",'Detalle'!$K501="",'Detalle'!$L501=""),"",IF(AND(G$8&lt;='Detalle'!$K501,G$9&gt;='Detalle'!$J501),1,""))</x:f>
      </x:c>
      <x:c r="H1029" s="32" t="str">
        <x:f>IF(OR('Detalle'!$J501="",'Detalle'!$K501="",'Detalle'!$L501=""),"",IF(AND(H$8&lt;='Detalle'!$K501,H$9&gt;='Detalle'!$J501),1,""))</x:f>
      </x:c>
      <x:c r="I1029" s="32" t="str">
        <x:f>IF(OR('Detalle'!$J501="",'Detalle'!$K501="",'Detalle'!$L501=""),"",IF(AND(I$8&lt;='Detalle'!$K501,I$9&gt;='Detalle'!$J501),1,""))</x:f>
      </x:c>
      <x:c r="J1029" s="32" t="str">
        <x:f>IF(OR('Detalle'!$J501="",'Detalle'!$K501="",'Detalle'!$L501=""),"",IF(AND(J$8&lt;='Detalle'!$K501,J$9&gt;='Detalle'!$J501),1,""))</x:f>
      </x:c>
      <x:c r="K1029" s="32" t="str">
        <x:f>IF(OR('Detalle'!$J501="",'Detalle'!$K501="",'Detalle'!$L501=""),"",IF(AND(K$8&lt;='Detalle'!$K501,K$9&gt;='Detalle'!$J501),1,""))</x:f>
      </x:c>
      <x:c r="L1029" s="32" t="str">
        <x:f>IF(OR('Detalle'!$J501="",'Detalle'!$K501="",'Detalle'!$L501=""),"",IF(AND(L$8&lt;='Detalle'!$K501,L$9&gt;='Detalle'!$J501),1,""))</x:f>
      </x:c>
      <x:c r="M1029" s="32" t="str">
        <x:f>IF(OR('Detalle'!$J501="",'Detalle'!$K501="",'Detalle'!$L501=""),"",IF(AND(M$8&lt;='Detalle'!$K501,M$9&gt;='Detalle'!$J501),1,""))</x:f>
      </x:c>
      <x:c r="N1029" s="32" t="str">
        <x:f>IF(OR('Detalle'!$J501="",'Detalle'!$K501="",'Detalle'!$L501=""),"",IF(AND(N$8&lt;='Detalle'!$K501,N$9&gt;='Detalle'!$J501),1,""))</x:f>
      </x:c>
      <x:c r="O1029" s="32" t="str">
        <x:f>IF(OR('Detalle'!$J501="",'Detalle'!$K501="",'Detalle'!$L501=""),"",IF(AND(O$8&lt;='Detalle'!$K501,O$9&gt;='Detalle'!$J501),1,""))</x:f>
      </x:c>
      <x:c r="P1029" s="32" t="str">
        <x:f>IF(OR('Detalle'!$J501="",'Detalle'!$K501="",'Detalle'!$L501=""),"",IF(AND(P$8&lt;='Detalle'!$K501,P$9&gt;='Detalle'!$J501),1,""))</x:f>
      </x:c>
      <x:c r="Q1029" s="68"/>
      <x:c r="R1029" s="67" t="str"/>
      <x:c r="S1029" s="67" t="str"/>
    </x:row>
    <x:row r="1030" ht="20" customHeight="1">
      <x:c r="A1030" s="52" t="str">
        <x:v>MAP01 · Mapa de misiones y consulta geográfica</x:v>
      </x:c>
      <x:c r="B1030" s="52" t="str">
        <x:v>MAP01 · Mapa de misiones y consulta geográfica</x:v>
      </x:c>
      <x:c r="C1030" s="52" t="str">
        <x:v>MAP01 · Mapa de misiones y consulta geográfica</x:v>
      </x:c>
      <x:c r="D1030" s="52" t="str">
        <x:v>MAP01 · Mapa de misiones y consulta geográfica</x:v>
      </x:c>
      <x:c r="E1030" s="52" t="str">
        <x:v>MAP01 · Mapa de misiones y consulta geográfica</x:v>
      </x:c>
      <x:c r="F1030" s="53" t="str">
        <x:v>MAP01 · Mapa de misiones y consulta geográfica</x:v>
      </x:c>
      <x:c r="G1030" s="53" t="str">
        <x:v>MAP01 · Mapa de misiones y consulta geográfica</x:v>
      </x:c>
      <x:c r="H1030" s="53" t="str">
        <x:v>MAP01 · Mapa de misiones y consulta geográfica</x:v>
      </x:c>
      <x:c r="I1030" s="53" t="str">
        <x:v>MAP01 · Mapa de misiones y consulta geográfica</x:v>
      </x:c>
      <x:c r="J1030" s="53" t="str">
        <x:v>MAP01 · Mapa de misiones y consulta geográfica</x:v>
      </x:c>
      <x:c r="K1030" s="53" t="str">
        <x:v>MAP01 · Mapa de misiones y consulta geográfica</x:v>
      </x:c>
      <x:c r="L1030" s="53" t="str">
        <x:v>MAP01 · Mapa de misiones y consulta geográfica</x:v>
      </x:c>
      <x:c r="M1030" s="53" t="str">
        <x:v>MAP01 · Mapa de misiones y consulta geográfica</x:v>
      </x:c>
      <x:c r="N1030" s="53" t="str">
        <x:v>MAP01 · Mapa de misiones y consulta geográfica</x:v>
      </x:c>
      <x:c r="O1030" s="53" t="str">
        <x:v>MAP01 · Mapa de misiones y consulta geográfica</x:v>
      </x:c>
      <x:c r="P1030" s="53" t="str">
        <x:v>MAP01 · Mapa de misiones y consulta geográfica</x:v>
      </x:c>
      <x:c r="Q1030" s="52" t="str">
        <x:v>MAP01 · Mapa de misiones y consulta geográfica</x:v>
      </x:c>
      <x:c r="R1030" s="52" t="str">
        <x:v>MAP01 · Mapa de misiones y consulta geográfica</x:v>
      </x:c>
      <x:c r="S1030" s="52" t="str">
        <x:v>MAP01 · Mapa de misiones y consulta geográfica</x:v>
      </x:c>
    </x:row>
    <x:row r="1031" ht="16" customHeight="1">
      <x:c r="A1031" s="56" t="str">
        <x:v>MAP01.001</x:v>
      </x:c>
      <x:c r="B1031" s="57" t="str">
        <x:v>Crear ruta /map integrada al shell</x:v>
      </x:c>
      <x:c r="C1031" s="62" t="str">
        <x:v>E</x:v>
      </x:c>
      <x:c r="D1031" s="64" t="n">
        <x:f>'Detalle'!I502</x:f>
        <x:v>2</x:v>
      </x:c>
      <x:c r="E1031" s="60" t="str">
        <x:f>'Detalle'!F502</x:f>
        <x:v>Completado</x:v>
      </x:c>
      <x:c r="F1031" s="32" t="str">
        <x:f>IF(AND(F$8&lt;='Detalle'!$H502,F$9&gt;='Detalle'!$G502),1,"")</x:f>
      </x:c>
      <x:c r="G1031" s="32" t="str">
        <x:f>IF(AND(G$8&lt;='Detalle'!$H502,G$9&gt;='Detalle'!$G502),1,"")</x:f>
      </x:c>
      <x:c r="H1031" s="32" t="str">
        <x:f>IF(AND(H$8&lt;='Detalle'!$H502,H$9&gt;='Detalle'!$G502),1,"")</x:f>
      </x:c>
      <x:c r="I1031" s="32" t="n">
        <x:f>IF(AND(I$8&lt;='Detalle'!$H502,I$9&gt;='Detalle'!$G502),1,"")</x:f>
        <x:v>1</x:v>
      </x:c>
      <x:c r="J1031" s="32" t="n">
        <x:f>IF(AND(J$8&lt;='Detalle'!$H502,J$9&gt;='Detalle'!$G502),1,"")</x:f>
        <x:v>1</x:v>
      </x:c>
      <x:c r="K1031" s="32" t="str">
        <x:f>IF(AND(K$8&lt;='Detalle'!$H502,K$9&gt;='Detalle'!$G502),1,"")</x:f>
      </x:c>
      <x:c r="L1031" s="32" t="str">
        <x:f>IF(AND(L$8&lt;='Detalle'!$H502,L$9&gt;='Detalle'!$G502),1,"")</x:f>
      </x:c>
      <x:c r="M1031" s="32" t="str">
        <x:f>IF(AND(M$8&lt;='Detalle'!$H502,M$9&gt;='Detalle'!$G502),1,"")</x:f>
      </x:c>
      <x:c r="N1031" s="32" t="str">
        <x:f>IF(AND(N$8&lt;='Detalle'!$H502,N$9&gt;='Detalle'!$G502),1,"")</x:f>
      </x:c>
      <x:c r="O1031" s="32" t="str">
        <x:f>IF(AND(O$8&lt;='Detalle'!$H502,O$9&gt;='Detalle'!$G502),1,"")</x:f>
      </x:c>
      <x:c r="P1031" s="32" t="str">
        <x:f>IF(AND(P$8&lt;='Detalle'!$H502,P$9&gt;='Detalle'!$G502),1,"")</x:f>
      </x:c>
      <x:c r="Q1031" s="68"/>
      <x:c r="R1031" s="67" t="str">
        <x:f>IF('Detalle'!M502="","",'Detalle'!M502)</x:f>
      </x:c>
      <x:c r="S1031" s="67" t="str">
        <x:f>IF('Detalle'!N502="","",'Detalle'!N502)</x:f>
      </x:c>
    </x:row>
    <x:row r="1032" ht="16" customHeight="1">
      <x:c r="A1032" s="56" t="str">
        <x:v>MAP01.001</x:v>
      </x:c>
      <x:c r="B1032" s="57" t="str">
        <x:v>Crear ruta /map integrada al shell</x:v>
      </x:c>
      <x:c r="C1032" s="63" t="str">
        <x:v>R</x:v>
      </x:c>
      <x:c r="D1032" s="65" t="str">
        <x:f>IF('Detalle'!L502="","",'Detalle'!L502)</x:f>
      </x:c>
      <x:c r="E1032" s="60" t="str"/>
      <x:c r="F1032" s="32" t="str">
        <x:f>IF(OR('Detalle'!$J502="",'Detalle'!$K502="",'Detalle'!$L502=""),"",IF(AND(F$8&lt;='Detalle'!$K502,F$9&gt;='Detalle'!$J502),1,""))</x:f>
      </x:c>
      <x:c r="G1032" s="32" t="str">
        <x:f>IF(OR('Detalle'!$J502="",'Detalle'!$K502="",'Detalle'!$L502=""),"",IF(AND(G$8&lt;='Detalle'!$K502,G$9&gt;='Detalle'!$J502),1,""))</x:f>
      </x:c>
      <x:c r="H1032" s="32" t="str">
        <x:f>IF(OR('Detalle'!$J502="",'Detalle'!$K502="",'Detalle'!$L502=""),"",IF(AND(H$8&lt;='Detalle'!$K502,H$9&gt;='Detalle'!$J502),1,""))</x:f>
      </x:c>
      <x:c r="I1032" s="32" t="str">
        <x:f>IF(OR('Detalle'!$J502="",'Detalle'!$K502="",'Detalle'!$L502=""),"",IF(AND(I$8&lt;='Detalle'!$K502,I$9&gt;='Detalle'!$J502),1,""))</x:f>
      </x:c>
      <x:c r="J1032" s="32" t="str">
        <x:f>IF(OR('Detalle'!$J502="",'Detalle'!$K502="",'Detalle'!$L502=""),"",IF(AND(J$8&lt;='Detalle'!$K502,J$9&gt;='Detalle'!$J502),1,""))</x:f>
      </x:c>
      <x:c r="K1032" s="32" t="str">
        <x:f>IF(OR('Detalle'!$J502="",'Detalle'!$K502="",'Detalle'!$L502=""),"",IF(AND(K$8&lt;='Detalle'!$K502,K$9&gt;='Detalle'!$J502),1,""))</x:f>
      </x:c>
      <x:c r="L1032" s="32" t="str">
        <x:f>IF(OR('Detalle'!$J502="",'Detalle'!$K502="",'Detalle'!$L502=""),"",IF(AND(L$8&lt;='Detalle'!$K502,L$9&gt;='Detalle'!$J502),1,""))</x:f>
      </x:c>
      <x:c r="M1032" s="32" t="str">
        <x:f>IF(OR('Detalle'!$J502="",'Detalle'!$K502="",'Detalle'!$L502=""),"",IF(AND(M$8&lt;='Detalle'!$K502,M$9&gt;='Detalle'!$J502),1,""))</x:f>
      </x:c>
      <x:c r="N1032" s="32" t="str">
        <x:f>IF(OR('Detalle'!$J502="",'Detalle'!$K502="",'Detalle'!$L502=""),"",IF(AND(N$8&lt;='Detalle'!$K502,N$9&gt;='Detalle'!$J502),1,""))</x:f>
      </x:c>
      <x:c r="O1032" s="32" t="str">
        <x:f>IF(OR('Detalle'!$J502="",'Detalle'!$K502="",'Detalle'!$L502=""),"",IF(AND(O$8&lt;='Detalle'!$K502,O$9&gt;='Detalle'!$J502),1,""))</x:f>
      </x:c>
      <x:c r="P1032" s="32" t="str">
        <x:f>IF(OR('Detalle'!$J502="",'Detalle'!$K502="",'Detalle'!$L502=""),"",IF(AND(P$8&lt;='Detalle'!$K502,P$9&gt;='Detalle'!$J502),1,""))</x:f>
      </x:c>
      <x:c r="Q1032" s="68"/>
      <x:c r="R1032" s="67" t="str"/>
      <x:c r="S1032" s="67" t="str"/>
    </x:row>
    <x:row r="1033" ht="16" customHeight="1">
      <x:c r="A1033" s="56" t="str">
        <x:v>MAP01.002</x:v>
      </x:c>
      <x:c r="B1033" s="57" t="str">
        <x:v>Crear lienzo OpenStreetMap</x:v>
      </x:c>
      <x:c r="C1033" s="62" t="str">
        <x:v>E</x:v>
      </x:c>
      <x:c r="D1033" s="64" t="n">
        <x:f>'Detalle'!I503</x:f>
        <x:v>2</x:v>
      </x:c>
      <x:c r="E1033" s="60" t="str">
        <x:f>'Detalle'!F503</x:f>
        <x:v>Completado</x:v>
      </x:c>
      <x:c r="F1033" s="32" t="str">
        <x:f>IF(AND(F$8&lt;='Detalle'!$H503,F$9&gt;='Detalle'!$G503),1,"")</x:f>
      </x:c>
      <x:c r="G1033" s="32" t="str">
        <x:f>IF(AND(G$8&lt;='Detalle'!$H503,G$9&gt;='Detalle'!$G503),1,"")</x:f>
      </x:c>
      <x:c r="H1033" s="32" t="str">
        <x:f>IF(AND(H$8&lt;='Detalle'!$H503,H$9&gt;='Detalle'!$G503),1,"")</x:f>
      </x:c>
      <x:c r="I1033" s="32" t="n">
        <x:f>IF(AND(I$8&lt;='Detalle'!$H503,I$9&gt;='Detalle'!$G503),1,"")</x:f>
        <x:v>1</x:v>
      </x:c>
      <x:c r="J1033" s="32" t="n">
        <x:f>IF(AND(J$8&lt;='Detalle'!$H503,J$9&gt;='Detalle'!$G503),1,"")</x:f>
        <x:v>1</x:v>
      </x:c>
      <x:c r="K1033" s="32" t="str">
        <x:f>IF(AND(K$8&lt;='Detalle'!$H503,K$9&gt;='Detalle'!$G503),1,"")</x:f>
      </x:c>
      <x:c r="L1033" s="32" t="str">
        <x:f>IF(AND(L$8&lt;='Detalle'!$H503,L$9&gt;='Detalle'!$G503),1,"")</x:f>
      </x:c>
      <x:c r="M1033" s="32" t="str">
        <x:f>IF(AND(M$8&lt;='Detalle'!$H503,M$9&gt;='Detalle'!$G503),1,"")</x:f>
      </x:c>
      <x:c r="N1033" s="32" t="str">
        <x:f>IF(AND(N$8&lt;='Detalle'!$H503,N$9&gt;='Detalle'!$G503),1,"")</x:f>
      </x:c>
      <x:c r="O1033" s="32" t="str">
        <x:f>IF(AND(O$8&lt;='Detalle'!$H503,O$9&gt;='Detalle'!$G503),1,"")</x:f>
      </x:c>
      <x:c r="P1033" s="32" t="str">
        <x:f>IF(AND(P$8&lt;='Detalle'!$H503,P$9&gt;='Detalle'!$G503),1,"")</x:f>
      </x:c>
      <x:c r="Q1033" s="68"/>
      <x:c r="R1033" s="67" t="str">
        <x:f>IF('Detalle'!M503="","",'Detalle'!M503)</x:f>
      </x:c>
      <x:c r="S1033" s="67" t="str">
        <x:f>IF('Detalle'!N503="","",'Detalle'!N503)</x:f>
      </x:c>
    </x:row>
    <x:row r="1034" ht="16" customHeight="1">
      <x:c r="A1034" s="56" t="str">
        <x:v>MAP01.002</x:v>
      </x:c>
      <x:c r="B1034" s="57" t="str">
        <x:v>Crear lienzo OpenStreetMap</x:v>
      </x:c>
      <x:c r="C1034" s="63" t="str">
        <x:v>R</x:v>
      </x:c>
      <x:c r="D1034" s="65" t="str">
        <x:f>IF('Detalle'!L503="","",'Detalle'!L503)</x:f>
      </x:c>
      <x:c r="E1034" s="60" t="str"/>
      <x:c r="F1034" s="32" t="str">
        <x:f>IF(OR('Detalle'!$J503="",'Detalle'!$K503="",'Detalle'!$L503=""),"",IF(AND(F$8&lt;='Detalle'!$K503,F$9&gt;='Detalle'!$J503),1,""))</x:f>
      </x:c>
      <x:c r="G1034" s="32" t="str">
        <x:f>IF(OR('Detalle'!$J503="",'Detalle'!$K503="",'Detalle'!$L503=""),"",IF(AND(G$8&lt;='Detalle'!$K503,G$9&gt;='Detalle'!$J503),1,""))</x:f>
      </x:c>
      <x:c r="H1034" s="32" t="str">
        <x:f>IF(OR('Detalle'!$J503="",'Detalle'!$K503="",'Detalle'!$L503=""),"",IF(AND(H$8&lt;='Detalle'!$K503,H$9&gt;='Detalle'!$J503),1,""))</x:f>
      </x:c>
      <x:c r="I1034" s="32" t="str">
        <x:f>IF(OR('Detalle'!$J503="",'Detalle'!$K503="",'Detalle'!$L503=""),"",IF(AND(I$8&lt;='Detalle'!$K503,I$9&gt;='Detalle'!$J503),1,""))</x:f>
      </x:c>
      <x:c r="J1034" s="32" t="str">
        <x:f>IF(OR('Detalle'!$J503="",'Detalle'!$K503="",'Detalle'!$L503=""),"",IF(AND(J$8&lt;='Detalle'!$K503,J$9&gt;='Detalle'!$J503),1,""))</x:f>
      </x:c>
      <x:c r="K1034" s="32" t="str">
        <x:f>IF(OR('Detalle'!$J503="",'Detalle'!$K503="",'Detalle'!$L503=""),"",IF(AND(K$8&lt;='Detalle'!$K503,K$9&gt;='Detalle'!$J503),1,""))</x:f>
      </x:c>
      <x:c r="L1034" s="32" t="str">
        <x:f>IF(OR('Detalle'!$J503="",'Detalle'!$K503="",'Detalle'!$L503=""),"",IF(AND(L$8&lt;='Detalle'!$K503,L$9&gt;='Detalle'!$J503),1,""))</x:f>
      </x:c>
      <x:c r="M1034" s="32" t="str">
        <x:f>IF(OR('Detalle'!$J503="",'Detalle'!$K503="",'Detalle'!$L503=""),"",IF(AND(M$8&lt;='Detalle'!$K503,M$9&gt;='Detalle'!$J503),1,""))</x:f>
      </x:c>
      <x:c r="N1034" s="32" t="str">
        <x:f>IF(OR('Detalle'!$J503="",'Detalle'!$K503="",'Detalle'!$L503=""),"",IF(AND(N$8&lt;='Detalle'!$K503,N$9&gt;='Detalle'!$J503),1,""))</x:f>
      </x:c>
      <x:c r="O1034" s="32" t="str">
        <x:f>IF(OR('Detalle'!$J503="",'Detalle'!$K503="",'Detalle'!$L503=""),"",IF(AND(O$8&lt;='Detalle'!$K503,O$9&gt;='Detalle'!$J503),1,""))</x:f>
      </x:c>
      <x:c r="P1034" s="32" t="str">
        <x:f>IF(OR('Detalle'!$J503="",'Detalle'!$K503="",'Detalle'!$L503=""),"",IF(AND(P$8&lt;='Detalle'!$K503,P$9&gt;='Detalle'!$J503),1,""))</x:f>
      </x:c>
      <x:c r="Q1034" s="68"/>
      <x:c r="R1034" s="67" t="str"/>
      <x:c r="S1034" s="67" t="str"/>
    </x:row>
    <x:row r="1035" ht="16" customHeight="1">
      <x:c r="A1035" s="56" t="str">
        <x:v>MAP01.003</x:v>
      </x:c>
      <x:c r="B1035" s="57" t="str">
        <x:v>Configurar proveedor de teselas por defines</x:v>
      </x:c>
      <x:c r="C1035" s="62" t="str">
        <x:v>E</x:v>
      </x:c>
      <x:c r="D1035" s="64" t="n">
        <x:f>'Detalle'!I504</x:f>
        <x:v>2</x:v>
      </x:c>
      <x:c r="E1035" s="60" t="str">
        <x:f>'Detalle'!F504</x:f>
        <x:v>Completado</x:v>
      </x:c>
      <x:c r="F1035" s="32" t="str">
        <x:f>IF(AND(F$8&lt;='Detalle'!$H504,F$9&gt;='Detalle'!$G504),1,"")</x:f>
      </x:c>
      <x:c r="G1035" s="32" t="str">
        <x:f>IF(AND(G$8&lt;='Detalle'!$H504,G$9&gt;='Detalle'!$G504),1,"")</x:f>
      </x:c>
      <x:c r="H1035" s="32" t="str">
        <x:f>IF(AND(H$8&lt;='Detalle'!$H504,H$9&gt;='Detalle'!$G504),1,"")</x:f>
      </x:c>
      <x:c r="I1035" s="32" t="n">
        <x:f>IF(AND(I$8&lt;='Detalle'!$H504,I$9&gt;='Detalle'!$G504),1,"")</x:f>
        <x:v>1</x:v>
      </x:c>
      <x:c r="J1035" s="32" t="n">
        <x:f>IF(AND(J$8&lt;='Detalle'!$H504,J$9&gt;='Detalle'!$G504),1,"")</x:f>
        <x:v>1</x:v>
      </x:c>
      <x:c r="K1035" s="32" t="str">
        <x:f>IF(AND(K$8&lt;='Detalle'!$H504,K$9&gt;='Detalle'!$G504),1,"")</x:f>
      </x:c>
      <x:c r="L1035" s="32" t="str">
        <x:f>IF(AND(L$8&lt;='Detalle'!$H504,L$9&gt;='Detalle'!$G504),1,"")</x:f>
      </x:c>
      <x:c r="M1035" s="32" t="str">
        <x:f>IF(AND(M$8&lt;='Detalle'!$H504,M$9&gt;='Detalle'!$G504),1,"")</x:f>
      </x:c>
      <x:c r="N1035" s="32" t="str">
        <x:f>IF(AND(N$8&lt;='Detalle'!$H504,N$9&gt;='Detalle'!$G504),1,"")</x:f>
      </x:c>
      <x:c r="O1035" s="32" t="str">
        <x:f>IF(AND(O$8&lt;='Detalle'!$H504,O$9&gt;='Detalle'!$G504),1,"")</x:f>
      </x:c>
      <x:c r="P1035" s="32" t="str">
        <x:f>IF(AND(P$8&lt;='Detalle'!$H504,P$9&gt;='Detalle'!$G504),1,"")</x:f>
      </x:c>
      <x:c r="Q1035" s="68"/>
      <x:c r="R1035" s="67" t="str">
        <x:f>IF('Detalle'!M504="","",'Detalle'!M504)</x:f>
      </x:c>
      <x:c r="S1035" s="67" t="str">
        <x:f>IF('Detalle'!N504="","",'Detalle'!N504)</x:f>
      </x:c>
    </x:row>
    <x:row r="1036" ht="16" customHeight="1">
      <x:c r="A1036" s="56" t="str">
        <x:v>MAP01.003</x:v>
      </x:c>
      <x:c r="B1036" s="57" t="str">
        <x:v>Configurar proveedor de teselas por defines</x:v>
      </x:c>
      <x:c r="C1036" s="63" t="str">
        <x:v>R</x:v>
      </x:c>
      <x:c r="D1036" s="65" t="str">
        <x:f>IF('Detalle'!L504="","",'Detalle'!L504)</x:f>
      </x:c>
      <x:c r="E1036" s="60" t="str"/>
      <x:c r="F1036" s="32" t="str">
        <x:f>IF(OR('Detalle'!$J504="",'Detalle'!$K504="",'Detalle'!$L504=""),"",IF(AND(F$8&lt;='Detalle'!$K504,F$9&gt;='Detalle'!$J504),1,""))</x:f>
      </x:c>
      <x:c r="G1036" s="32" t="str">
        <x:f>IF(OR('Detalle'!$J504="",'Detalle'!$K504="",'Detalle'!$L504=""),"",IF(AND(G$8&lt;='Detalle'!$K504,G$9&gt;='Detalle'!$J504),1,""))</x:f>
      </x:c>
      <x:c r="H1036" s="32" t="str">
        <x:f>IF(OR('Detalle'!$J504="",'Detalle'!$K504="",'Detalle'!$L504=""),"",IF(AND(H$8&lt;='Detalle'!$K504,H$9&gt;='Detalle'!$J504),1,""))</x:f>
      </x:c>
      <x:c r="I1036" s="32" t="str">
        <x:f>IF(OR('Detalle'!$J504="",'Detalle'!$K504="",'Detalle'!$L504=""),"",IF(AND(I$8&lt;='Detalle'!$K504,I$9&gt;='Detalle'!$J504),1,""))</x:f>
      </x:c>
      <x:c r="J1036" s="32" t="str">
        <x:f>IF(OR('Detalle'!$J504="",'Detalle'!$K504="",'Detalle'!$L504=""),"",IF(AND(J$8&lt;='Detalle'!$K504,J$9&gt;='Detalle'!$J504),1,""))</x:f>
      </x:c>
      <x:c r="K1036" s="32" t="str">
        <x:f>IF(OR('Detalle'!$J504="",'Detalle'!$K504="",'Detalle'!$L504=""),"",IF(AND(K$8&lt;='Detalle'!$K504,K$9&gt;='Detalle'!$J504),1,""))</x:f>
      </x:c>
      <x:c r="L1036" s="32" t="str">
        <x:f>IF(OR('Detalle'!$J504="",'Detalle'!$K504="",'Detalle'!$L504=""),"",IF(AND(L$8&lt;='Detalle'!$K504,L$9&gt;='Detalle'!$J504),1,""))</x:f>
      </x:c>
      <x:c r="M1036" s="32" t="str">
        <x:f>IF(OR('Detalle'!$J504="",'Detalle'!$K504="",'Detalle'!$L504=""),"",IF(AND(M$8&lt;='Detalle'!$K504,M$9&gt;='Detalle'!$J504),1,""))</x:f>
      </x:c>
      <x:c r="N1036" s="32" t="str">
        <x:f>IF(OR('Detalle'!$J504="",'Detalle'!$K504="",'Detalle'!$L504=""),"",IF(AND(N$8&lt;='Detalle'!$K504,N$9&gt;='Detalle'!$J504),1,""))</x:f>
      </x:c>
      <x:c r="O1036" s="32" t="str">
        <x:f>IF(OR('Detalle'!$J504="",'Detalle'!$K504="",'Detalle'!$L504=""),"",IF(AND(O$8&lt;='Detalle'!$K504,O$9&gt;='Detalle'!$J504),1,""))</x:f>
      </x:c>
      <x:c r="P1036" s="32" t="str">
        <x:f>IF(OR('Detalle'!$J504="",'Detalle'!$K504="",'Detalle'!$L504=""),"",IF(AND(P$8&lt;='Detalle'!$K504,P$9&gt;='Detalle'!$J504),1,""))</x:f>
      </x:c>
      <x:c r="Q1036" s="68"/>
      <x:c r="R1036" s="67" t="str"/>
      <x:c r="S1036" s="67" t="str"/>
    </x:row>
    <x:row r="1037" ht="16" customHeight="1">
      <x:c r="A1037" s="56" t="str">
        <x:v>MAP01.004</x:v>
      </x:c>
      <x:c r="B1037" s="57" t="str">
        <x:v>Extraer DeviceLocationService</x:v>
      </x:c>
      <x:c r="C1037" s="62" t="str">
        <x:v>E</x:v>
      </x:c>
      <x:c r="D1037" s="64" t="n">
        <x:f>'Detalle'!I505</x:f>
        <x:v>2</x:v>
      </x:c>
      <x:c r="E1037" s="60" t="str">
        <x:f>'Detalle'!F505</x:f>
        <x:v>Completado</x:v>
      </x:c>
      <x:c r="F1037" s="32" t="str">
        <x:f>IF(AND(F$8&lt;='Detalle'!$H505,F$9&gt;='Detalle'!$G505),1,"")</x:f>
      </x:c>
      <x:c r="G1037" s="32" t="str">
        <x:f>IF(AND(G$8&lt;='Detalle'!$H505,G$9&gt;='Detalle'!$G505),1,"")</x:f>
      </x:c>
      <x:c r="H1037" s="32" t="str">
        <x:f>IF(AND(H$8&lt;='Detalle'!$H505,H$9&gt;='Detalle'!$G505),1,"")</x:f>
      </x:c>
      <x:c r="I1037" s="32" t="n">
        <x:f>IF(AND(I$8&lt;='Detalle'!$H505,I$9&gt;='Detalle'!$G505),1,"")</x:f>
        <x:v>1</x:v>
      </x:c>
      <x:c r="J1037" s="32" t="n">
        <x:f>IF(AND(J$8&lt;='Detalle'!$H505,J$9&gt;='Detalle'!$G505),1,"")</x:f>
        <x:v>1</x:v>
      </x:c>
      <x:c r="K1037" s="32" t="str">
        <x:f>IF(AND(K$8&lt;='Detalle'!$H505,K$9&gt;='Detalle'!$G505),1,"")</x:f>
      </x:c>
      <x:c r="L1037" s="32" t="str">
        <x:f>IF(AND(L$8&lt;='Detalle'!$H505,L$9&gt;='Detalle'!$G505),1,"")</x:f>
      </x:c>
      <x:c r="M1037" s="32" t="str">
        <x:f>IF(AND(M$8&lt;='Detalle'!$H505,M$9&gt;='Detalle'!$G505),1,"")</x:f>
      </x:c>
      <x:c r="N1037" s="32" t="str">
        <x:f>IF(AND(N$8&lt;='Detalle'!$H505,N$9&gt;='Detalle'!$G505),1,"")</x:f>
      </x:c>
      <x:c r="O1037" s="32" t="str">
        <x:f>IF(AND(O$8&lt;='Detalle'!$H505,O$9&gt;='Detalle'!$G505),1,"")</x:f>
      </x:c>
      <x:c r="P1037" s="32" t="str">
        <x:f>IF(AND(P$8&lt;='Detalle'!$H505,P$9&gt;='Detalle'!$G505),1,"")</x:f>
      </x:c>
      <x:c r="Q1037" s="68"/>
      <x:c r="R1037" s="67" t="str">
        <x:f>IF('Detalle'!M505="","",'Detalle'!M505)</x:f>
      </x:c>
      <x:c r="S1037" s="67" t="str">
        <x:f>IF('Detalle'!N505="","",'Detalle'!N505)</x:f>
      </x:c>
    </x:row>
    <x:row r="1038" ht="16" customHeight="1">
      <x:c r="A1038" s="56" t="str">
        <x:v>MAP01.004</x:v>
      </x:c>
      <x:c r="B1038" s="57" t="str">
        <x:v>Extraer DeviceLocationService</x:v>
      </x:c>
      <x:c r="C1038" s="63" t="str">
        <x:v>R</x:v>
      </x:c>
      <x:c r="D1038" s="65" t="str">
        <x:f>IF('Detalle'!L505="","",'Detalle'!L505)</x:f>
      </x:c>
      <x:c r="E1038" s="60" t="str"/>
      <x:c r="F1038" s="32" t="str">
        <x:f>IF(OR('Detalle'!$J505="",'Detalle'!$K505="",'Detalle'!$L505=""),"",IF(AND(F$8&lt;='Detalle'!$K505,F$9&gt;='Detalle'!$J505),1,""))</x:f>
      </x:c>
      <x:c r="G1038" s="32" t="str">
        <x:f>IF(OR('Detalle'!$J505="",'Detalle'!$K505="",'Detalle'!$L505=""),"",IF(AND(G$8&lt;='Detalle'!$K505,G$9&gt;='Detalle'!$J505),1,""))</x:f>
      </x:c>
      <x:c r="H1038" s="32" t="str">
        <x:f>IF(OR('Detalle'!$J505="",'Detalle'!$K505="",'Detalle'!$L505=""),"",IF(AND(H$8&lt;='Detalle'!$K505,H$9&gt;='Detalle'!$J505),1,""))</x:f>
      </x:c>
      <x:c r="I1038" s="32" t="str">
        <x:f>IF(OR('Detalle'!$J505="",'Detalle'!$K505="",'Detalle'!$L505=""),"",IF(AND(I$8&lt;='Detalle'!$K505,I$9&gt;='Detalle'!$J505),1,""))</x:f>
      </x:c>
      <x:c r="J1038" s="32" t="str">
        <x:f>IF(OR('Detalle'!$J505="",'Detalle'!$K505="",'Detalle'!$L505=""),"",IF(AND(J$8&lt;='Detalle'!$K505,J$9&gt;='Detalle'!$J505),1,""))</x:f>
      </x:c>
      <x:c r="K1038" s="32" t="str">
        <x:f>IF(OR('Detalle'!$J505="",'Detalle'!$K505="",'Detalle'!$L505=""),"",IF(AND(K$8&lt;='Detalle'!$K505,K$9&gt;='Detalle'!$J505),1,""))</x:f>
      </x:c>
      <x:c r="L1038" s="32" t="str">
        <x:f>IF(OR('Detalle'!$J505="",'Detalle'!$K505="",'Detalle'!$L505=""),"",IF(AND(L$8&lt;='Detalle'!$K505,L$9&gt;='Detalle'!$J505),1,""))</x:f>
      </x:c>
      <x:c r="M1038" s="32" t="str">
        <x:f>IF(OR('Detalle'!$J505="",'Detalle'!$K505="",'Detalle'!$L505=""),"",IF(AND(M$8&lt;='Detalle'!$K505,M$9&gt;='Detalle'!$J505),1,""))</x:f>
      </x:c>
      <x:c r="N1038" s="32" t="str">
        <x:f>IF(OR('Detalle'!$J505="",'Detalle'!$K505="",'Detalle'!$L505=""),"",IF(AND(N$8&lt;='Detalle'!$K505,N$9&gt;='Detalle'!$J505),1,""))</x:f>
      </x:c>
      <x:c r="O1038" s="32" t="str">
        <x:f>IF(OR('Detalle'!$J505="",'Detalle'!$K505="",'Detalle'!$L505=""),"",IF(AND(O$8&lt;='Detalle'!$K505,O$9&gt;='Detalle'!$J505),1,""))</x:f>
      </x:c>
      <x:c r="P1038" s="32" t="str">
        <x:f>IF(OR('Detalle'!$J505="",'Detalle'!$K505="",'Detalle'!$L505=""),"",IF(AND(P$8&lt;='Detalle'!$K505,P$9&gt;='Detalle'!$J505),1,""))</x:f>
      </x:c>
      <x:c r="Q1038" s="68"/>
      <x:c r="R1038" s="67" t="str"/>
      <x:c r="S1038" s="67" t="str"/>
    </x:row>
    <x:row r="1039" ht="16" customHeight="1">
      <x:c r="A1039" s="56" t="str">
        <x:v>MAP01.005</x:v>
      </x:c>
      <x:c r="B1039" s="57" t="str">
        <x:v>Consultar posición con permiso ya concedido</x:v>
      </x:c>
      <x:c r="C1039" s="62" t="str">
        <x:v>E</x:v>
      </x:c>
      <x:c r="D1039" s="64" t="n">
        <x:f>'Detalle'!I506</x:f>
        <x:v>2</x:v>
      </x:c>
      <x:c r="E1039" s="60" t="str">
        <x:f>'Detalle'!F506</x:f>
        <x:v>Completado</x:v>
      </x:c>
      <x:c r="F1039" s="32" t="str">
        <x:f>IF(AND(F$8&lt;='Detalle'!$H506,F$9&gt;='Detalle'!$G506),1,"")</x:f>
      </x:c>
      <x:c r="G1039" s="32" t="str">
        <x:f>IF(AND(G$8&lt;='Detalle'!$H506,G$9&gt;='Detalle'!$G506),1,"")</x:f>
      </x:c>
      <x:c r="H1039" s="32" t="str">
        <x:f>IF(AND(H$8&lt;='Detalle'!$H506,H$9&gt;='Detalle'!$G506),1,"")</x:f>
      </x:c>
      <x:c r="I1039" s="32" t="n">
        <x:f>IF(AND(I$8&lt;='Detalle'!$H506,I$9&gt;='Detalle'!$G506),1,"")</x:f>
        <x:v>1</x:v>
      </x:c>
      <x:c r="J1039" s="32" t="n">
        <x:f>IF(AND(J$8&lt;='Detalle'!$H506,J$9&gt;='Detalle'!$G506),1,"")</x:f>
        <x:v>1</x:v>
      </x:c>
      <x:c r="K1039" s="32" t="str">
        <x:f>IF(AND(K$8&lt;='Detalle'!$H506,K$9&gt;='Detalle'!$G506),1,"")</x:f>
      </x:c>
      <x:c r="L1039" s="32" t="str">
        <x:f>IF(AND(L$8&lt;='Detalle'!$H506,L$9&gt;='Detalle'!$G506),1,"")</x:f>
      </x:c>
      <x:c r="M1039" s="32" t="str">
        <x:f>IF(AND(M$8&lt;='Detalle'!$H506,M$9&gt;='Detalle'!$G506),1,"")</x:f>
      </x:c>
      <x:c r="N1039" s="32" t="str">
        <x:f>IF(AND(N$8&lt;='Detalle'!$H506,N$9&gt;='Detalle'!$G506),1,"")</x:f>
      </x:c>
      <x:c r="O1039" s="32" t="str">
        <x:f>IF(AND(O$8&lt;='Detalle'!$H506,O$9&gt;='Detalle'!$G506),1,"")</x:f>
      </x:c>
      <x:c r="P1039" s="32" t="str">
        <x:f>IF(AND(P$8&lt;='Detalle'!$H506,P$9&gt;='Detalle'!$G506),1,"")</x:f>
      </x:c>
      <x:c r="Q1039" s="68"/>
      <x:c r="R1039" s="67" t="str">
        <x:f>IF('Detalle'!M506="","",'Detalle'!M506)</x:f>
      </x:c>
      <x:c r="S1039" s="67" t="str">
        <x:f>IF('Detalle'!N506="","",'Detalle'!N506)</x:f>
      </x:c>
    </x:row>
    <x:row r="1040" ht="16" customHeight="1">
      <x:c r="A1040" s="56" t="str">
        <x:v>MAP01.005</x:v>
      </x:c>
      <x:c r="B1040" s="57" t="str">
        <x:v>Consultar posición con permiso ya concedido</x:v>
      </x:c>
      <x:c r="C1040" s="63" t="str">
        <x:v>R</x:v>
      </x:c>
      <x:c r="D1040" s="65" t="str">
        <x:f>IF('Detalle'!L506="","",'Detalle'!L506)</x:f>
      </x:c>
      <x:c r="E1040" s="60" t="str"/>
      <x:c r="F1040" s="32" t="str">
        <x:f>IF(OR('Detalle'!$J506="",'Detalle'!$K506="",'Detalle'!$L506=""),"",IF(AND(F$8&lt;='Detalle'!$K506,F$9&gt;='Detalle'!$J506),1,""))</x:f>
      </x:c>
      <x:c r="G1040" s="32" t="str">
        <x:f>IF(OR('Detalle'!$J506="",'Detalle'!$K506="",'Detalle'!$L506=""),"",IF(AND(G$8&lt;='Detalle'!$K506,G$9&gt;='Detalle'!$J506),1,""))</x:f>
      </x:c>
      <x:c r="H1040" s="32" t="str">
        <x:f>IF(OR('Detalle'!$J506="",'Detalle'!$K506="",'Detalle'!$L506=""),"",IF(AND(H$8&lt;='Detalle'!$K506,H$9&gt;='Detalle'!$J506),1,""))</x:f>
      </x:c>
      <x:c r="I1040" s="32" t="str">
        <x:f>IF(OR('Detalle'!$J506="",'Detalle'!$K506="",'Detalle'!$L506=""),"",IF(AND(I$8&lt;='Detalle'!$K506,I$9&gt;='Detalle'!$J506),1,""))</x:f>
      </x:c>
      <x:c r="J1040" s="32" t="str">
        <x:f>IF(OR('Detalle'!$J506="",'Detalle'!$K506="",'Detalle'!$L506=""),"",IF(AND(J$8&lt;='Detalle'!$K506,J$9&gt;='Detalle'!$J506),1,""))</x:f>
      </x:c>
      <x:c r="K1040" s="32" t="str">
        <x:f>IF(OR('Detalle'!$J506="",'Detalle'!$K506="",'Detalle'!$L506=""),"",IF(AND(K$8&lt;='Detalle'!$K506,K$9&gt;='Detalle'!$J506),1,""))</x:f>
      </x:c>
      <x:c r="L1040" s="32" t="str">
        <x:f>IF(OR('Detalle'!$J506="",'Detalle'!$K506="",'Detalle'!$L506=""),"",IF(AND(L$8&lt;='Detalle'!$K506,L$9&gt;='Detalle'!$J506),1,""))</x:f>
      </x:c>
      <x:c r="M1040" s="32" t="str">
        <x:f>IF(OR('Detalle'!$J506="",'Detalle'!$K506="",'Detalle'!$L506=""),"",IF(AND(M$8&lt;='Detalle'!$K506,M$9&gt;='Detalle'!$J506),1,""))</x:f>
      </x:c>
      <x:c r="N1040" s="32" t="str">
        <x:f>IF(OR('Detalle'!$J506="",'Detalle'!$K506="",'Detalle'!$L506=""),"",IF(AND(N$8&lt;='Detalle'!$K506,N$9&gt;='Detalle'!$J506),1,""))</x:f>
      </x:c>
      <x:c r="O1040" s="32" t="str">
        <x:f>IF(OR('Detalle'!$J506="",'Detalle'!$K506="",'Detalle'!$L506=""),"",IF(AND(O$8&lt;='Detalle'!$K506,O$9&gt;='Detalle'!$J506),1,""))</x:f>
      </x:c>
      <x:c r="P1040" s="32" t="str">
        <x:f>IF(OR('Detalle'!$J506="",'Detalle'!$K506="",'Detalle'!$L506=""),"",IF(AND(P$8&lt;='Detalle'!$K506,P$9&gt;='Detalle'!$J506),1,""))</x:f>
      </x:c>
      <x:c r="Q1040" s="68"/>
      <x:c r="R1040" s="67" t="str"/>
      <x:c r="S1040" s="67" t="str"/>
    </x:row>
    <x:row r="1041" ht="16" customHeight="1">
      <x:c r="A1041" s="56" t="str">
        <x:v>MAP01.006</x:v>
      </x:c>
      <x:c r="B1041" s="57" t="str">
        <x:v>Solicitar permiso desde botón de ubicación</x:v>
      </x:c>
      <x:c r="C1041" s="62" t="str">
        <x:v>E</x:v>
      </x:c>
      <x:c r="D1041" s="64" t="n">
        <x:f>'Detalle'!I507</x:f>
        <x:v>2</x:v>
      </x:c>
      <x:c r="E1041" s="60" t="str">
        <x:f>'Detalle'!F507</x:f>
        <x:v>Completado</x:v>
      </x:c>
      <x:c r="F1041" s="32" t="str">
        <x:f>IF(AND(F$8&lt;='Detalle'!$H507,F$9&gt;='Detalle'!$G507),1,"")</x:f>
      </x:c>
      <x:c r="G1041" s="32" t="str">
        <x:f>IF(AND(G$8&lt;='Detalle'!$H507,G$9&gt;='Detalle'!$G507),1,"")</x:f>
      </x:c>
      <x:c r="H1041" s="32" t="str">
        <x:f>IF(AND(H$8&lt;='Detalle'!$H507,H$9&gt;='Detalle'!$G507),1,"")</x:f>
      </x:c>
      <x:c r="I1041" s="32" t="n">
        <x:f>IF(AND(I$8&lt;='Detalle'!$H507,I$9&gt;='Detalle'!$G507),1,"")</x:f>
        <x:v>1</x:v>
      </x:c>
      <x:c r="J1041" s="32" t="n">
        <x:f>IF(AND(J$8&lt;='Detalle'!$H507,J$9&gt;='Detalle'!$G507),1,"")</x:f>
        <x:v>1</x:v>
      </x:c>
      <x:c r="K1041" s="32" t="str">
        <x:f>IF(AND(K$8&lt;='Detalle'!$H507,K$9&gt;='Detalle'!$G507),1,"")</x:f>
      </x:c>
      <x:c r="L1041" s="32" t="str">
        <x:f>IF(AND(L$8&lt;='Detalle'!$H507,L$9&gt;='Detalle'!$G507),1,"")</x:f>
      </x:c>
      <x:c r="M1041" s="32" t="str">
        <x:f>IF(AND(M$8&lt;='Detalle'!$H507,M$9&gt;='Detalle'!$G507),1,"")</x:f>
      </x:c>
      <x:c r="N1041" s="32" t="str">
        <x:f>IF(AND(N$8&lt;='Detalle'!$H507,N$9&gt;='Detalle'!$G507),1,"")</x:f>
      </x:c>
      <x:c r="O1041" s="32" t="str">
        <x:f>IF(AND(O$8&lt;='Detalle'!$H507,O$9&gt;='Detalle'!$G507),1,"")</x:f>
      </x:c>
      <x:c r="P1041" s="32" t="str">
        <x:f>IF(AND(P$8&lt;='Detalle'!$H507,P$9&gt;='Detalle'!$G507),1,"")</x:f>
      </x:c>
      <x:c r="Q1041" s="68"/>
      <x:c r="R1041" s="67" t="str">
        <x:f>IF('Detalle'!M507="","",'Detalle'!M507)</x:f>
      </x:c>
      <x:c r="S1041" s="67" t="str">
        <x:f>IF('Detalle'!N507="","",'Detalle'!N507)</x:f>
      </x:c>
    </x:row>
    <x:row r="1042" ht="16" customHeight="1">
      <x:c r="A1042" s="56" t="str">
        <x:v>MAP01.006</x:v>
      </x:c>
      <x:c r="B1042" s="57" t="str">
        <x:v>Solicitar permiso desde botón de ubicación</x:v>
      </x:c>
      <x:c r="C1042" s="63" t="str">
        <x:v>R</x:v>
      </x:c>
      <x:c r="D1042" s="65" t="str">
        <x:f>IF('Detalle'!L507="","",'Detalle'!L507)</x:f>
      </x:c>
      <x:c r="E1042" s="60" t="str"/>
      <x:c r="F1042" s="32" t="str">
        <x:f>IF(OR('Detalle'!$J507="",'Detalle'!$K507="",'Detalle'!$L507=""),"",IF(AND(F$8&lt;='Detalle'!$K507,F$9&gt;='Detalle'!$J507),1,""))</x:f>
      </x:c>
      <x:c r="G1042" s="32" t="str">
        <x:f>IF(OR('Detalle'!$J507="",'Detalle'!$K507="",'Detalle'!$L507=""),"",IF(AND(G$8&lt;='Detalle'!$K507,G$9&gt;='Detalle'!$J507),1,""))</x:f>
      </x:c>
      <x:c r="H1042" s="32" t="str">
        <x:f>IF(OR('Detalle'!$J507="",'Detalle'!$K507="",'Detalle'!$L507=""),"",IF(AND(H$8&lt;='Detalle'!$K507,H$9&gt;='Detalle'!$J507),1,""))</x:f>
      </x:c>
      <x:c r="I1042" s="32" t="str">
        <x:f>IF(OR('Detalle'!$J507="",'Detalle'!$K507="",'Detalle'!$L507=""),"",IF(AND(I$8&lt;='Detalle'!$K507,I$9&gt;='Detalle'!$J507),1,""))</x:f>
      </x:c>
      <x:c r="J1042" s="32" t="str">
        <x:f>IF(OR('Detalle'!$J507="",'Detalle'!$K507="",'Detalle'!$L507=""),"",IF(AND(J$8&lt;='Detalle'!$K507,J$9&gt;='Detalle'!$J507),1,""))</x:f>
      </x:c>
      <x:c r="K1042" s="32" t="str">
        <x:f>IF(OR('Detalle'!$J507="",'Detalle'!$K507="",'Detalle'!$L507=""),"",IF(AND(K$8&lt;='Detalle'!$K507,K$9&gt;='Detalle'!$J507),1,""))</x:f>
      </x:c>
      <x:c r="L1042" s="32" t="str">
        <x:f>IF(OR('Detalle'!$J507="",'Detalle'!$K507="",'Detalle'!$L507=""),"",IF(AND(L$8&lt;='Detalle'!$K507,L$9&gt;='Detalle'!$J507),1,""))</x:f>
      </x:c>
      <x:c r="M1042" s="32" t="str">
        <x:f>IF(OR('Detalle'!$J507="",'Detalle'!$K507="",'Detalle'!$L507=""),"",IF(AND(M$8&lt;='Detalle'!$K507,M$9&gt;='Detalle'!$J507),1,""))</x:f>
      </x:c>
      <x:c r="N1042" s="32" t="str">
        <x:f>IF(OR('Detalle'!$J507="",'Detalle'!$K507="",'Detalle'!$L507=""),"",IF(AND(N$8&lt;='Detalle'!$K507,N$9&gt;='Detalle'!$J507),1,""))</x:f>
      </x:c>
      <x:c r="O1042" s="32" t="str">
        <x:f>IF(OR('Detalle'!$J507="",'Detalle'!$K507="",'Detalle'!$L507=""),"",IF(AND(O$8&lt;='Detalle'!$K507,O$9&gt;='Detalle'!$J507),1,""))</x:f>
      </x:c>
      <x:c r="P1042" s="32" t="str">
        <x:f>IF(OR('Detalle'!$J507="",'Detalle'!$K507="",'Detalle'!$L507=""),"",IF(AND(P$8&lt;='Detalle'!$K507,P$9&gt;='Detalle'!$J507),1,""))</x:f>
      </x:c>
      <x:c r="Q1042" s="68"/>
      <x:c r="R1042" s="67" t="str"/>
      <x:c r="S1042" s="67" t="str"/>
    </x:row>
    <x:row r="1043" ht="16" customHeight="1">
      <x:c r="A1043" s="56" t="str">
        <x:v>MAP01.007</x:v>
      </x:c>
      <x:c r="B1043" s="57" t="str">
        <x:v>Manejar rechazo permanente o timeout</x:v>
      </x:c>
      <x:c r="C1043" s="62" t="str">
        <x:v>E</x:v>
      </x:c>
      <x:c r="D1043" s="64" t="n">
        <x:f>'Detalle'!I508</x:f>
        <x:v>2</x:v>
      </x:c>
      <x:c r="E1043" s="60" t="str">
        <x:f>'Detalle'!F508</x:f>
        <x:v>Completado</x:v>
      </x:c>
      <x:c r="F1043" s="32" t="str">
        <x:f>IF(AND(F$8&lt;='Detalle'!$H508,F$9&gt;='Detalle'!$G508),1,"")</x:f>
      </x:c>
      <x:c r="G1043" s="32" t="str">
        <x:f>IF(AND(G$8&lt;='Detalle'!$H508,G$9&gt;='Detalle'!$G508),1,"")</x:f>
      </x:c>
      <x:c r="H1043" s="32" t="str">
        <x:f>IF(AND(H$8&lt;='Detalle'!$H508,H$9&gt;='Detalle'!$G508),1,"")</x:f>
      </x:c>
      <x:c r="I1043" s="32" t="n">
        <x:f>IF(AND(I$8&lt;='Detalle'!$H508,I$9&gt;='Detalle'!$G508),1,"")</x:f>
        <x:v>1</x:v>
      </x:c>
      <x:c r="J1043" s="32" t="n">
        <x:f>IF(AND(J$8&lt;='Detalle'!$H508,J$9&gt;='Detalle'!$G508),1,"")</x:f>
        <x:v>1</x:v>
      </x:c>
      <x:c r="K1043" s="32" t="str">
        <x:f>IF(AND(K$8&lt;='Detalle'!$H508,K$9&gt;='Detalle'!$G508),1,"")</x:f>
      </x:c>
      <x:c r="L1043" s="32" t="str">
        <x:f>IF(AND(L$8&lt;='Detalle'!$H508,L$9&gt;='Detalle'!$G508),1,"")</x:f>
      </x:c>
      <x:c r="M1043" s="32" t="str">
        <x:f>IF(AND(M$8&lt;='Detalle'!$H508,M$9&gt;='Detalle'!$G508),1,"")</x:f>
      </x:c>
      <x:c r="N1043" s="32" t="str">
        <x:f>IF(AND(N$8&lt;='Detalle'!$H508,N$9&gt;='Detalle'!$G508),1,"")</x:f>
      </x:c>
      <x:c r="O1043" s="32" t="str">
        <x:f>IF(AND(O$8&lt;='Detalle'!$H508,O$9&gt;='Detalle'!$G508),1,"")</x:f>
      </x:c>
      <x:c r="P1043" s="32" t="str">
        <x:f>IF(AND(P$8&lt;='Detalle'!$H508,P$9&gt;='Detalle'!$G508),1,"")</x:f>
      </x:c>
      <x:c r="Q1043" s="68"/>
      <x:c r="R1043" s="67" t="str">
        <x:f>IF('Detalle'!M508="","",'Detalle'!M508)</x:f>
      </x:c>
      <x:c r="S1043" s="67" t="str">
        <x:f>IF('Detalle'!N508="","",'Detalle'!N508)</x:f>
      </x:c>
    </x:row>
    <x:row r="1044" ht="16" customHeight="1">
      <x:c r="A1044" s="56" t="str">
        <x:v>MAP01.007</x:v>
      </x:c>
      <x:c r="B1044" s="57" t="str">
        <x:v>Manejar rechazo permanente o timeout</x:v>
      </x:c>
      <x:c r="C1044" s="63" t="str">
        <x:v>R</x:v>
      </x:c>
      <x:c r="D1044" s="65" t="str">
        <x:f>IF('Detalle'!L508="","",'Detalle'!L508)</x:f>
      </x:c>
      <x:c r="E1044" s="60" t="str"/>
      <x:c r="F1044" s="32" t="str">
        <x:f>IF(OR('Detalle'!$J508="",'Detalle'!$K508="",'Detalle'!$L508=""),"",IF(AND(F$8&lt;='Detalle'!$K508,F$9&gt;='Detalle'!$J508),1,""))</x:f>
      </x:c>
      <x:c r="G1044" s="32" t="str">
        <x:f>IF(OR('Detalle'!$J508="",'Detalle'!$K508="",'Detalle'!$L508=""),"",IF(AND(G$8&lt;='Detalle'!$K508,G$9&gt;='Detalle'!$J508),1,""))</x:f>
      </x:c>
      <x:c r="H1044" s="32" t="str">
        <x:f>IF(OR('Detalle'!$J508="",'Detalle'!$K508="",'Detalle'!$L508=""),"",IF(AND(H$8&lt;='Detalle'!$K508,H$9&gt;='Detalle'!$J508),1,""))</x:f>
      </x:c>
      <x:c r="I1044" s="32" t="str">
        <x:f>IF(OR('Detalle'!$J508="",'Detalle'!$K508="",'Detalle'!$L508=""),"",IF(AND(I$8&lt;='Detalle'!$K508,I$9&gt;='Detalle'!$J508),1,""))</x:f>
      </x:c>
      <x:c r="J1044" s="32" t="str">
        <x:f>IF(OR('Detalle'!$J508="",'Detalle'!$K508="",'Detalle'!$L508=""),"",IF(AND(J$8&lt;='Detalle'!$K508,J$9&gt;='Detalle'!$J508),1,""))</x:f>
      </x:c>
      <x:c r="K1044" s="32" t="str">
        <x:f>IF(OR('Detalle'!$J508="",'Detalle'!$K508="",'Detalle'!$L508=""),"",IF(AND(K$8&lt;='Detalle'!$K508,K$9&gt;='Detalle'!$J508),1,""))</x:f>
      </x:c>
      <x:c r="L1044" s="32" t="str">
        <x:f>IF(OR('Detalle'!$J508="",'Detalle'!$K508="",'Detalle'!$L508=""),"",IF(AND(L$8&lt;='Detalle'!$K508,L$9&gt;='Detalle'!$J508),1,""))</x:f>
      </x:c>
      <x:c r="M1044" s="32" t="str">
        <x:f>IF(OR('Detalle'!$J508="",'Detalle'!$K508="",'Detalle'!$L508=""),"",IF(AND(M$8&lt;='Detalle'!$K508,M$9&gt;='Detalle'!$J508),1,""))</x:f>
      </x:c>
      <x:c r="N1044" s="32" t="str">
        <x:f>IF(OR('Detalle'!$J508="",'Detalle'!$K508="",'Detalle'!$L508=""),"",IF(AND(N$8&lt;='Detalle'!$K508,N$9&gt;='Detalle'!$J508),1,""))</x:f>
      </x:c>
      <x:c r="O1044" s="32" t="str">
        <x:f>IF(OR('Detalle'!$J508="",'Detalle'!$K508="",'Detalle'!$L508=""),"",IF(AND(O$8&lt;='Detalle'!$K508,O$9&gt;='Detalle'!$J508),1,""))</x:f>
      </x:c>
      <x:c r="P1044" s="32" t="str">
        <x:f>IF(OR('Detalle'!$J508="",'Detalle'!$K508="",'Detalle'!$L508=""),"",IF(AND(P$8&lt;='Detalle'!$K508,P$9&gt;='Detalle'!$J508),1,""))</x:f>
      </x:c>
      <x:c r="Q1044" s="68"/>
      <x:c r="R1044" s="67" t="str"/>
      <x:c r="S1044" s="67" t="str"/>
    </x:row>
    <x:row r="1045" ht="16" customHeight="1">
      <x:c r="A1045" s="56" t="str">
        <x:v>MAP01.008</x:v>
      </x:c>
      <x:c r="B1045" s="57" t="str">
        <x:v>Aplicar centro de respaldo del mapa</x:v>
      </x:c>
      <x:c r="C1045" s="62" t="str">
        <x:v>E</x:v>
      </x:c>
      <x:c r="D1045" s="64" t="n">
        <x:f>'Detalle'!I509</x:f>
        <x:v>2</x:v>
      </x:c>
      <x:c r="E1045" s="60" t="str">
        <x:f>'Detalle'!F509</x:f>
        <x:v>Completado</x:v>
      </x:c>
      <x:c r="F1045" s="32" t="str">
        <x:f>IF(AND(F$8&lt;='Detalle'!$H509,F$9&gt;='Detalle'!$G509),1,"")</x:f>
      </x:c>
      <x:c r="G1045" s="32" t="str">
        <x:f>IF(AND(G$8&lt;='Detalle'!$H509,G$9&gt;='Detalle'!$G509),1,"")</x:f>
      </x:c>
      <x:c r="H1045" s="32" t="str">
        <x:f>IF(AND(H$8&lt;='Detalle'!$H509,H$9&gt;='Detalle'!$G509),1,"")</x:f>
      </x:c>
      <x:c r="I1045" s="32" t="n">
        <x:f>IF(AND(I$8&lt;='Detalle'!$H509,I$9&gt;='Detalle'!$G509),1,"")</x:f>
        <x:v>1</x:v>
      </x:c>
      <x:c r="J1045" s="32" t="n">
        <x:f>IF(AND(J$8&lt;='Detalle'!$H509,J$9&gt;='Detalle'!$G509),1,"")</x:f>
        <x:v>1</x:v>
      </x:c>
      <x:c r="K1045" s="32" t="str">
        <x:f>IF(AND(K$8&lt;='Detalle'!$H509,K$9&gt;='Detalle'!$G509),1,"")</x:f>
      </x:c>
      <x:c r="L1045" s="32" t="str">
        <x:f>IF(AND(L$8&lt;='Detalle'!$H509,L$9&gt;='Detalle'!$G509),1,"")</x:f>
      </x:c>
      <x:c r="M1045" s="32" t="str">
        <x:f>IF(AND(M$8&lt;='Detalle'!$H509,M$9&gt;='Detalle'!$G509),1,"")</x:f>
      </x:c>
      <x:c r="N1045" s="32" t="str">
        <x:f>IF(AND(N$8&lt;='Detalle'!$H509,N$9&gt;='Detalle'!$G509),1,"")</x:f>
      </x:c>
      <x:c r="O1045" s="32" t="str">
        <x:f>IF(AND(O$8&lt;='Detalle'!$H509,O$9&gt;='Detalle'!$G509),1,"")</x:f>
      </x:c>
      <x:c r="P1045" s="32" t="str">
        <x:f>IF(AND(P$8&lt;='Detalle'!$H509,P$9&gt;='Detalle'!$G509),1,"")</x:f>
      </x:c>
      <x:c r="Q1045" s="68"/>
      <x:c r="R1045" s="67" t="str">
        <x:f>IF('Detalle'!M509="","",'Detalle'!M509)</x:f>
      </x:c>
      <x:c r="S1045" s="67" t="str">
        <x:f>IF('Detalle'!N509="","",'Detalle'!N509)</x:f>
      </x:c>
    </x:row>
    <x:row r="1046" ht="16" customHeight="1">
      <x:c r="A1046" s="56" t="str">
        <x:v>MAP01.008</x:v>
      </x:c>
      <x:c r="B1046" s="57" t="str">
        <x:v>Aplicar centro de respaldo del mapa</x:v>
      </x:c>
      <x:c r="C1046" s="63" t="str">
        <x:v>R</x:v>
      </x:c>
      <x:c r="D1046" s="65" t="str">
        <x:f>IF('Detalle'!L509="","",'Detalle'!L509)</x:f>
      </x:c>
      <x:c r="E1046" s="60" t="str"/>
      <x:c r="F1046" s="32" t="str">
        <x:f>IF(OR('Detalle'!$J509="",'Detalle'!$K509="",'Detalle'!$L509=""),"",IF(AND(F$8&lt;='Detalle'!$K509,F$9&gt;='Detalle'!$J509),1,""))</x:f>
      </x:c>
      <x:c r="G1046" s="32" t="str">
        <x:f>IF(OR('Detalle'!$J509="",'Detalle'!$K509="",'Detalle'!$L509=""),"",IF(AND(G$8&lt;='Detalle'!$K509,G$9&gt;='Detalle'!$J509),1,""))</x:f>
      </x:c>
      <x:c r="H1046" s="32" t="str">
        <x:f>IF(OR('Detalle'!$J509="",'Detalle'!$K509="",'Detalle'!$L509=""),"",IF(AND(H$8&lt;='Detalle'!$K509,H$9&gt;='Detalle'!$J509),1,""))</x:f>
      </x:c>
      <x:c r="I1046" s="32" t="str">
        <x:f>IF(OR('Detalle'!$J509="",'Detalle'!$K509="",'Detalle'!$L509=""),"",IF(AND(I$8&lt;='Detalle'!$K509,I$9&gt;='Detalle'!$J509),1,""))</x:f>
      </x:c>
      <x:c r="J1046" s="32" t="str">
        <x:f>IF(OR('Detalle'!$J509="",'Detalle'!$K509="",'Detalle'!$L509=""),"",IF(AND(J$8&lt;='Detalle'!$K509,J$9&gt;='Detalle'!$J509),1,""))</x:f>
      </x:c>
      <x:c r="K1046" s="32" t="str">
        <x:f>IF(OR('Detalle'!$J509="",'Detalle'!$K509="",'Detalle'!$L509=""),"",IF(AND(K$8&lt;='Detalle'!$K509,K$9&gt;='Detalle'!$J509),1,""))</x:f>
      </x:c>
      <x:c r="L1046" s="32" t="str">
        <x:f>IF(OR('Detalle'!$J509="",'Detalle'!$K509="",'Detalle'!$L509=""),"",IF(AND(L$8&lt;='Detalle'!$K509,L$9&gt;='Detalle'!$J509),1,""))</x:f>
      </x:c>
      <x:c r="M1046" s="32" t="str">
        <x:f>IF(OR('Detalle'!$J509="",'Detalle'!$K509="",'Detalle'!$L509=""),"",IF(AND(M$8&lt;='Detalle'!$K509,M$9&gt;='Detalle'!$J509),1,""))</x:f>
      </x:c>
      <x:c r="N1046" s="32" t="str">
        <x:f>IF(OR('Detalle'!$J509="",'Detalle'!$K509="",'Detalle'!$L509=""),"",IF(AND(N$8&lt;='Detalle'!$K509,N$9&gt;='Detalle'!$J509),1,""))</x:f>
      </x:c>
      <x:c r="O1046" s="32" t="str">
        <x:f>IF(OR('Detalle'!$J509="",'Detalle'!$K509="",'Detalle'!$L509=""),"",IF(AND(O$8&lt;='Detalle'!$K509,O$9&gt;='Detalle'!$J509),1,""))</x:f>
      </x:c>
      <x:c r="P1046" s="32" t="str">
        <x:f>IF(OR('Detalle'!$J509="",'Detalle'!$K509="",'Detalle'!$L509=""),"",IF(AND(P$8&lt;='Detalle'!$K509,P$9&gt;='Detalle'!$J509),1,""))</x:f>
      </x:c>
      <x:c r="Q1046" s="68"/>
      <x:c r="R1046" s="67" t="str"/>
      <x:c r="S1046" s="67" t="str"/>
    </x:row>
    <x:row r="1047" ht="16" customHeight="1">
      <x:c r="A1047" s="56" t="str">
        <x:v>MAP01.009</x:v>
      </x:c>
      <x:c r="B1047" s="57" t="str">
        <x:v>Cancelar centrado tras interacción manual</x:v>
      </x:c>
      <x:c r="C1047" s="62" t="str">
        <x:v>E</x:v>
      </x:c>
      <x:c r="D1047" s="64" t="n">
        <x:f>'Detalle'!I510</x:f>
        <x:v>2</x:v>
      </x:c>
      <x:c r="E1047" s="60" t="str">
        <x:f>'Detalle'!F510</x:f>
        <x:v>Completado</x:v>
      </x:c>
      <x:c r="F1047" s="32" t="str">
        <x:f>IF(AND(F$8&lt;='Detalle'!$H510,F$9&gt;='Detalle'!$G510),1,"")</x:f>
      </x:c>
      <x:c r="G1047" s="32" t="str">
        <x:f>IF(AND(G$8&lt;='Detalle'!$H510,G$9&gt;='Detalle'!$G510),1,"")</x:f>
      </x:c>
      <x:c r="H1047" s="32" t="str">
        <x:f>IF(AND(H$8&lt;='Detalle'!$H510,H$9&gt;='Detalle'!$G510),1,"")</x:f>
      </x:c>
      <x:c r="I1047" s="32" t="n">
        <x:f>IF(AND(I$8&lt;='Detalle'!$H510,I$9&gt;='Detalle'!$G510),1,"")</x:f>
        <x:v>1</x:v>
      </x:c>
      <x:c r="J1047" s="32" t="n">
        <x:f>IF(AND(J$8&lt;='Detalle'!$H510,J$9&gt;='Detalle'!$G510),1,"")</x:f>
        <x:v>1</x:v>
      </x:c>
      <x:c r="K1047" s="32" t="str">
        <x:f>IF(AND(K$8&lt;='Detalle'!$H510,K$9&gt;='Detalle'!$G510),1,"")</x:f>
      </x:c>
      <x:c r="L1047" s="32" t="str">
        <x:f>IF(AND(L$8&lt;='Detalle'!$H510,L$9&gt;='Detalle'!$G510),1,"")</x:f>
      </x:c>
      <x:c r="M1047" s="32" t="str">
        <x:f>IF(AND(M$8&lt;='Detalle'!$H510,M$9&gt;='Detalle'!$G510),1,"")</x:f>
      </x:c>
      <x:c r="N1047" s="32" t="str">
        <x:f>IF(AND(N$8&lt;='Detalle'!$H510,N$9&gt;='Detalle'!$G510),1,"")</x:f>
      </x:c>
      <x:c r="O1047" s="32" t="str">
        <x:f>IF(AND(O$8&lt;='Detalle'!$H510,O$9&gt;='Detalle'!$G510),1,"")</x:f>
      </x:c>
      <x:c r="P1047" s="32" t="str">
        <x:f>IF(AND(P$8&lt;='Detalle'!$H510,P$9&gt;='Detalle'!$G510),1,"")</x:f>
      </x:c>
      <x:c r="Q1047" s="68"/>
      <x:c r="R1047" s="67" t="str">
        <x:f>IF('Detalle'!M510="","",'Detalle'!M510)</x:f>
      </x:c>
      <x:c r="S1047" s="67" t="str">
        <x:f>IF('Detalle'!N510="","",'Detalle'!N510)</x:f>
      </x:c>
    </x:row>
    <x:row r="1048" ht="16" customHeight="1">
      <x:c r="A1048" s="56" t="str">
        <x:v>MAP01.009</x:v>
      </x:c>
      <x:c r="B1048" s="57" t="str">
        <x:v>Cancelar centrado tras interacción manual</x:v>
      </x:c>
      <x:c r="C1048" s="63" t="str">
        <x:v>R</x:v>
      </x:c>
      <x:c r="D1048" s="65" t="str">
        <x:f>IF('Detalle'!L510="","",'Detalle'!L510)</x:f>
      </x:c>
      <x:c r="E1048" s="60" t="str"/>
      <x:c r="F1048" s="32" t="str">
        <x:f>IF(OR('Detalle'!$J510="",'Detalle'!$K510="",'Detalle'!$L510=""),"",IF(AND(F$8&lt;='Detalle'!$K510,F$9&gt;='Detalle'!$J510),1,""))</x:f>
      </x:c>
      <x:c r="G1048" s="32" t="str">
        <x:f>IF(OR('Detalle'!$J510="",'Detalle'!$K510="",'Detalle'!$L510=""),"",IF(AND(G$8&lt;='Detalle'!$K510,G$9&gt;='Detalle'!$J510),1,""))</x:f>
      </x:c>
      <x:c r="H1048" s="32" t="str">
        <x:f>IF(OR('Detalle'!$J510="",'Detalle'!$K510="",'Detalle'!$L510=""),"",IF(AND(H$8&lt;='Detalle'!$K510,H$9&gt;='Detalle'!$J510),1,""))</x:f>
      </x:c>
      <x:c r="I1048" s="32" t="str">
        <x:f>IF(OR('Detalle'!$J510="",'Detalle'!$K510="",'Detalle'!$L510=""),"",IF(AND(I$8&lt;='Detalle'!$K510,I$9&gt;='Detalle'!$J510),1,""))</x:f>
      </x:c>
      <x:c r="J1048" s="32" t="str">
        <x:f>IF(OR('Detalle'!$J510="",'Detalle'!$K510="",'Detalle'!$L510=""),"",IF(AND(J$8&lt;='Detalle'!$K510,J$9&gt;='Detalle'!$J510),1,""))</x:f>
      </x:c>
      <x:c r="K1048" s="32" t="str">
        <x:f>IF(OR('Detalle'!$J510="",'Detalle'!$K510="",'Detalle'!$L510=""),"",IF(AND(K$8&lt;='Detalle'!$K510,K$9&gt;='Detalle'!$J510),1,""))</x:f>
      </x:c>
      <x:c r="L1048" s="32" t="str">
        <x:f>IF(OR('Detalle'!$J510="",'Detalle'!$K510="",'Detalle'!$L510=""),"",IF(AND(L$8&lt;='Detalle'!$K510,L$9&gt;='Detalle'!$J510),1,""))</x:f>
      </x:c>
      <x:c r="M1048" s="32" t="str">
        <x:f>IF(OR('Detalle'!$J510="",'Detalle'!$K510="",'Detalle'!$L510=""),"",IF(AND(M$8&lt;='Detalle'!$K510,M$9&gt;='Detalle'!$J510),1,""))</x:f>
      </x:c>
      <x:c r="N1048" s="32" t="str">
        <x:f>IF(OR('Detalle'!$J510="",'Detalle'!$K510="",'Detalle'!$L510=""),"",IF(AND(N$8&lt;='Detalle'!$K510,N$9&gt;='Detalle'!$J510),1,""))</x:f>
      </x:c>
      <x:c r="O1048" s="32" t="str">
        <x:f>IF(OR('Detalle'!$J510="",'Detalle'!$K510="",'Detalle'!$L510=""),"",IF(AND(O$8&lt;='Detalle'!$K510,O$9&gt;='Detalle'!$J510),1,""))</x:f>
      </x:c>
      <x:c r="P1048" s="32" t="str">
        <x:f>IF(OR('Detalle'!$J510="",'Detalle'!$K510="",'Detalle'!$L510=""),"",IF(AND(P$8&lt;='Detalle'!$K510,P$9&gt;='Detalle'!$J510),1,""))</x:f>
      </x:c>
      <x:c r="Q1048" s="68"/>
      <x:c r="R1048" s="67" t="str"/>
      <x:c r="S1048" s="67" t="str"/>
    </x:row>
    <x:row r="1049" ht="16" customHeight="1">
      <x:c r="A1049" s="56" t="str">
        <x:v>MAP01.010</x:v>
      </x:c>
      <x:c r="B1049" s="57" t="str">
        <x:v>Crear RPC list_map_missions</x:v>
      </x:c>
      <x:c r="C1049" s="62" t="str">
        <x:v>E</x:v>
      </x:c>
      <x:c r="D1049" s="64" t="n">
        <x:f>'Detalle'!I511</x:f>
        <x:v>2</x:v>
      </x:c>
      <x:c r="E1049" s="60" t="str">
        <x:f>'Detalle'!F511</x:f>
        <x:v>Completado</x:v>
      </x:c>
      <x:c r="F1049" s="32" t="str">
        <x:f>IF(AND(F$8&lt;='Detalle'!$H511,F$9&gt;='Detalle'!$G511),1,"")</x:f>
      </x:c>
      <x:c r="G1049" s="32" t="str">
        <x:f>IF(AND(G$8&lt;='Detalle'!$H511,G$9&gt;='Detalle'!$G511),1,"")</x:f>
      </x:c>
      <x:c r="H1049" s="32" t="str">
        <x:f>IF(AND(H$8&lt;='Detalle'!$H511,H$9&gt;='Detalle'!$G511),1,"")</x:f>
      </x:c>
      <x:c r="I1049" s="32" t="n">
        <x:f>IF(AND(I$8&lt;='Detalle'!$H511,I$9&gt;='Detalle'!$G511),1,"")</x:f>
        <x:v>1</x:v>
      </x:c>
      <x:c r="J1049" s="32" t="n">
        <x:f>IF(AND(J$8&lt;='Detalle'!$H511,J$9&gt;='Detalle'!$G511),1,"")</x:f>
        <x:v>1</x:v>
      </x:c>
      <x:c r="K1049" s="32" t="str">
        <x:f>IF(AND(K$8&lt;='Detalle'!$H511,K$9&gt;='Detalle'!$G511),1,"")</x:f>
      </x:c>
      <x:c r="L1049" s="32" t="str">
        <x:f>IF(AND(L$8&lt;='Detalle'!$H511,L$9&gt;='Detalle'!$G511),1,"")</x:f>
      </x:c>
      <x:c r="M1049" s="32" t="str">
        <x:f>IF(AND(M$8&lt;='Detalle'!$H511,M$9&gt;='Detalle'!$G511),1,"")</x:f>
      </x:c>
      <x:c r="N1049" s="32" t="str">
        <x:f>IF(AND(N$8&lt;='Detalle'!$H511,N$9&gt;='Detalle'!$G511),1,"")</x:f>
      </x:c>
      <x:c r="O1049" s="32" t="str">
        <x:f>IF(AND(O$8&lt;='Detalle'!$H511,O$9&gt;='Detalle'!$G511),1,"")</x:f>
      </x:c>
      <x:c r="P1049" s="32" t="str">
        <x:f>IF(AND(P$8&lt;='Detalle'!$H511,P$9&gt;='Detalle'!$G511),1,"")</x:f>
      </x:c>
      <x:c r="Q1049" s="68"/>
      <x:c r="R1049" s="67" t="str">
        <x:f>IF('Detalle'!M511="","",'Detalle'!M511)</x:f>
      </x:c>
      <x:c r="S1049" s="67" t="str">
        <x:f>IF('Detalle'!N511="","",'Detalle'!N511)</x:f>
      </x:c>
    </x:row>
    <x:row r="1050" ht="16" customHeight="1">
      <x:c r="A1050" s="56" t="str">
        <x:v>MAP01.010</x:v>
      </x:c>
      <x:c r="B1050" s="57" t="str">
        <x:v>Crear RPC list_map_missions</x:v>
      </x:c>
      <x:c r="C1050" s="63" t="str">
        <x:v>R</x:v>
      </x:c>
      <x:c r="D1050" s="65" t="str">
        <x:f>IF('Detalle'!L511="","",'Detalle'!L511)</x:f>
      </x:c>
      <x:c r="E1050" s="60" t="str"/>
      <x:c r="F1050" s="32" t="str">
        <x:f>IF(OR('Detalle'!$J511="",'Detalle'!$K511="",'Detalle'!$L511=""),"",IF(AND(F$8&lt;='Detalle'!$K511,F$9&gt;='Detalle'!$J511),1,""))</x:f>
      </x:c>
      <x:c r="G1050" s="32" t="str">
        <x:f>IF(OR('Detalle'!$J511="",'Detalle'!$K511="",'Detalle'!$L511=""),"",IF(AND(G$8&lt;='Detalle'!$K511,G$9&gt;='Detalle'!$J511),1,""))</x:f>
      </x:c>
      <x:c r="H1050" s="32" t="str">
        <x:f>IF(OR('Detalle'!$J511="",'Detalle'!$K511="",'Detalle'!$L511=""),"",IF(AND(H$8&lt;='Detalle'!$K511,H$9&gt;='Detalle'!$J511),1,""))</x:f>
      </x:c>
      <x:c r="I1050" s="32" t="str">
        <x:f>IF(OR('Detalle'!$J511="",'Detalle'!$K511="",'Detalle'!$L511=""),"",IF(AND(I$8&lt;='Detalle'!$K511,I$9&gt;='Detalle'!$J511),1,""))</x:f>
      </x:c>
      <x:c r="J1050" s="32" t="str">
        <x:f>IF(OR('Detalle'!$J511="",'Detalle'!$K511="",'Detalle'!$L511=""),"",IF(AND(J$8&lt;='Detalle'!$K511,J$9&gt;='Detalle'!$J511),1,""))</x:f>
      </x:c>
      <x:c r="K1050" s="32" t="str">
        <x:f>IF(OR('Detalle'!$J511="",'Detalle'!$K511="",'Detalle'!$L511=""),"",IF(AND(K$8&lt;='Detalle'!$K511,K$9&gt;='Detalle'!$J511),1,""))</x:f>
      </x:c>
      <x:c r="L1050" s="32" t="str">
        <x:f>IF(OR('Detalle'!$J511="",'Detalle'!$K511="",'Detalle'!$L511=""),"",IF(AND(L$8&lt;='Detalle'!$K511,L$9&gt;='Detalle'!$J511),1,""))</x:f>
      </x:c>
      <x:c r="M1050" s="32" t="str">
        <x:f>IF(OR('Detalle'!$J511="",'Detalle'!$K511="",'Detalle'!$L511=""),"",IF(AND(M$8&lt;='Detalle'!$K511,M$9&gt;='Detalle'!$J511),1,""))</x:f>
      </x:c>
      <x:c r="N1050" s="32" t="str">
        <x:f>IF(OR('Detalle'!$J511="",'Detalle'!$K511="",'Detalle'!$L511=""),"",IF(AND(N$8&lt;='Detalle'!$K511,N$9&gt;='Detalle'!$J511),1,""))</x:f>
      </x:c>
      <x:c r="O1050" s="32" t="str">
        <x:f>IF(OR('Detalle'!$J511="",'Detalle'!$K511="",'Detalle'!$L511=""),"",IF(AND(O$8&lt;='Detalle'!$K511,O$9&gt;='Detalle'!$J511),1,""))</x:f>
      </x:c>
      <x:c r="P1050" s="32" t="str">
        <x:f>IF(OR('Detalle'!$J511="",'Detalle'!$K511="",'Detalle'!$L511=""),"",IF(AND(P$8&lt;='Detalle'!$K511,P$9&gt;='Detalle'!$J511),1,""))</x:f>
      </x:c>
      <x:c r="Q1050" s="68"/>
      <x:c r="R1050" s="67" t="str"/>
      <x:c r="S1050" s="67" t="str"/>
    </x:row>
    <x:row r="1051" ht="16" customHeight="1">
      <x:c r="A1051" s="56" t="str">
        <x:v>MAP01.011</x:v>
      </x:c>
      <x:c r="B1051" s="57" t="str">
        <x:v>Crear índice parcial de misiones ubicadas</x:v>
      </x:c>
      <x:c r="C1051" s="62" t="str">
        <x:v>E</x:v>
      </x:c>
      <x:c r="D1051" s="64" t="n">
        <x:f>'Detalle'!I512</x:f>
        <x:v>2</x:v>
      </x:c>
      <x:c r="E1051" s="60" t="str">
        <x:f>'Detalle'!F512</x:f>
        <x:v>Completado</x:v>
      </x:c>
      <x:c r="F1051" s="32" t="str">
        <x:f>IF(AND(F$8&lt;='Detalle'!$H512,F$9&gt;='Detalle'!$G512),1,"")</x:f>
      </x:c>
      <x:c r="G1051" s="32" t="str">
        <x:f>IF(AND(G$8&lt;='Detalle'!$H512,G$9&gt;='Detalle'!$G512),1,"")</x:f>
      </x:c>
      <x:c r="H1051" s="32" t="str">
        <x:f>IF(AND(H$8&lt;='Detalle'!$H512,H$9&gt;='Detalle'!$G512),1,"")</x:f>
      </x:c>
      <x:c r="I1051" s="32" t="n">
        <x:f>IF(AND(I$8&lt;='Detalle'!$H512,I$9&gt;='Detalle'!$G512),1,"")</x:f>
        <x:v>1</x:v>
      </x:c>
      <x:c r="J1051" s="32" t="n">
        <x:f>IF(AND(J$8&lt;='Detalle'!$H512,J$9&gt;='Detalle'!$G512),1,"")</x:f>
        <x:v>1</x:v>
      </x:c>
      <x:c r="K1051" s="32" t="str">
        <x:f>IF(AND(K$8&lt;='Detalle'!$H512,K$9&gt;='Detalle'!$G512),1,"")</x:f>
      </x:c>
      <x:c r="L1051" s="32" t="str">
        <x:f>IF(AND(L$8&lt;='Detalle'!$H512,L$9&gt;='Detalle'!$G512),1,"")</x:f>
      </x:c>
      <x:c r="M1051" s="32" t="str">
        <x:f>IF(AND(M$8&lt;='Detalle'!$H512,M$9&gt;='Detalle'!$G512),1,"")</x:f>
      </x:c>
      <x:c r="N1051" s="32" t="str">
        <x:f>IF(AND(N$8&lt;='Detalle'!$H512,N$9&gt;='Detalle'!$G512),1,"")</x:f>
      </x:c>
      <x:c r="O1051" s="32" t="str">
        <x:f>IF(AND(O$8&lt;='Detalle'!$H512,O$9&gt;='Detalle'!$G512),1,"")</x:f>
      </x:c>
      <x:c r="P1051" s="32" t="str">
        <x:f>IF(AND(P$8&lt;='Detalle'!$H512,P$9&gt;='Detalle'!$G512),1,"")</x:f>
      </x:c>
      <x:c r="Q1051" s="68"/>
      <x:c r="R1051" s="67" t="str">
        <x:f>IF('Detalle'!M512="","",'Detalle'!M512)</x:f>
      </x:c>
      <x:c r="S1051" s="67" t="str">
        <x:f>IF('Detalle'!N512="","",'Detalle'!N512)</x:f>
      </x:c>
    </x:row>
    <x:row r="1052" ht="16" customHeight="1">
      <x:c r="A1052" s="56" t="str">
        <x:v>MAP01.011</x:v>
      </x:c>
      <x:c r="B1052" s="57" t="str">
        <x:v>Crear índice parcial de misiones ubicadas</x:v>
      </x:c>
      <x:c r="C1052" s="63" t="str">
        <x:v>R</x:v>
      </x:c>
      <x:c r="D1052" s="65" t="str">
        <x:f>IF('Detalle'!L512="","",'Detalle'!L512)</x:f>
      </x:c>
      <x:c r="E1052" s="60" t="str"/>
      <x:c r="F1052" s="32" t="str">
        <x:f>IF(OR('Detalle'!$J512="",'Detalle'!$K512="",'Detalle'!$L512=""),"",IF(AND(F$8&lt;='Detalle'!$K512,F$9&gt;='Detalle'!$J512),1,""))</x:f>
      </x:c>
      <x:c r="G1052" s="32" t="str">
        <x:f>IF(OR('Detalle'!$J512="",'Detalle'!$K512="",'Detalle'!$L512=""),"",IF(AND(G$8&lt;='Detalle'!$K512,G$9&gt;='Detalle'!$J512),1,""))</x:f>
      </x:c>
      <x:c r="H1052" s="32" t="str">
        <x:f>IF(OR('Detalle'!$J512="",'Detalle'!$K512="",'Detalle'!$L512=""),"",IF(AND(H$8&lt;='Detalle'!$K512,H$9&gt;='Detalle'!$J512),1,""))</x:f>
      </x:c>
      <x:c r="I1052" s="32" t="str">
        <x:f>IF(OR('Detalle'!$J512="",'Detalle'!$K512="",'Detalle'!$L512=""),"",IF(AND(I$8&lt;='Detalle'!$K512,I$9&gt;='Detalle'!$J512),1,""))</x:f>
      </x:c>
      <x:c r="J1052" s="32" t="str">
        <x:f>IF(OR('Detalle'!$J512="",'Detalle'!$K512="",'Detalle'!$L512=""),"",IF(AND(J$8&lt;='Detalle'!$K512,J$9&gt;='Detalle'!$J512),1,""))</x:f>
      </x:c>
      <x:c r="K1052" s="32" t="str">
        <x:f>IF(OR('Detalle'!$J512="",'Detalle'!$K512="",'Detalle'!$L512=""),"",IF(AND(K$8&lt;='Detalle'!$K512,K$9&gt;='Detalle'!$J512),1,""))</x:f>
      </x:c>
      <x:c r="L1052" s="32" t="str">
        <x:f>IF(OR('Detalle'!$J512="",'Detalle'!$K512="",'Detalle'!$L512=""),"",IF(AND(L$8&lt;='Detalle'!$K512,L$9&gt;='Detalle'!$J512),1,""))</x:f>
      </x:c>
      <x:c r="M1052" s="32" t="str">
        <x:f>IF(OR('Detalle'!$J512="",'Detalle'!$K512="",'Detalle'!$L512=""),"",IF(AND(M$8&lt;='Detalle'!$K512,M$9&gt;='Detalle'!$J512),1,""))</x:f>
      </x:c>
      <x:c r="N1052" s="32" t="str">
        <x:f>IF(OR('Detalle'!$J512="",'Detalle'!$K512="",'Detalle'!$L512=""),"",IF(AND(N$8&lt;='Detalle'!$K512,N$9&gt;='Detalle'!$J512),1,""))</x:f>
      </x:c>
      <x:c r="O1052" s="32" t="str">
        <x:f>IF(OR('Detalle'!$J512="",'Detalle'!$K512="",'Detalle'!$L512=""),"",IF(AND(O$8&lt;='Detalle'!$K512,O$9&gt;='Detalle'!$J512),1,""))</x:f>
      </x:c>
      <x:c r="P1052" s="32" t="str">
        <x:f>IF(OR('Detalle'!$J512="",'Detalle'!$K512="",'Detalle'!$L512=""),"",IF(AND(P$8&lt;='Detalle'!$K512,P$9&gt;='Detalle'!$J512),1,""))</x:f>
      </x:c>
      <x:c r="Q1052" s="68"/>
      <x:c r="R1052" s="67" t="str"/>
      <x:c r="S1052" s="67" t="str"/>
    </x:row>
    <x:row r="1053" ht="16" customHeight="1">
      <x:c r="A1053" s="56" t="str">
        <x:v>MAP01.012</x:v>
      </x:c>
      <x:c r="B1053" s="57" t="str">
        <x:v>Filtrar misiones abiertas y futuras</x:v>
      </x:c>
      <x:c r="C1053" s="62" t="str">
        <x:v>E</x:v>
      </x:c>
      <x:c r="D1053" s="64" t="n">
        <x:f>'Detalle'!I513</x:f>
        <x:v>2</x:v>
      </x:c>
      <x:c r="E1053" s="60" t="str">
        <x:f>'Detalle'!F513</x:f>
        <x:v>Completado</x:v>
      </x:c>
      <x:c r="F1053" s="32" t="str">
        <x:f>IF(AND(F$8&lt;='Detalle'!$H513,F$9&gt;='Detalle'!$G513),1,"")</x:f>
      </x:c>
      <x:c r="G1053" s="32" t="str">
        <x:f>IF(AND(G$8&lt;='Detalle'!$H513,G$9&gt;='Detalle'!$G513),1,"")</x:f>
      </x:c>
      <x:c r="H1053" s="32" t="str">
        <x:f>IF(AND(H$8&lt;='Detalle'!$H513,H$9&gt;='Detalle'!$G513),1,"")</x:f>
      </x:c>
      <x:c r="I1053" s="32" t="n">
        <x:f>IF(AND(I$8&lt;='Detalle'!$H513,I$9&gt;='Detalle'!$G513),1,"")</x:f>
        <x:v>1</x:v>
      </x:c>
      <x:c r="J1053" s="32" t="n">
        <x:f>IF(AND(J$8&lt;='Detalle'!$H513,J$9&gt;='Detalle'!$G513),1,"")</x:f>
        <x:v>1</x:v>
      </x:c>
      <x:c r="K1053" s="32" t="str">
        <x:f>IF(AND(K$8&lt;='Detalle'!$H513,K$9&gt;='Detalle'!$G513),1,"")</x:f>
      </x:c>
      <x:c r="L1053" s="32" t="str">
        <x:f>IF(AND(L$8&lt;='Detalle'!$H513,L$9&gt;='Detalle'!$G513),1,"")</x:f>
      </x:c>
      <x:c r="M1053" s="32" t="str">
        <x:f>IF(AND(M$8&lt;='Detalle'!$H513,M$9&gt;='Detalle'!$G513),1,"")</x:f>
      </x:c>
      <x:c r="N1053" s="32" t="str">
        <x:f>IF(AND(N$8&lt;='Detalle'!$H513,N$9&gt;='Detalle'!$G513),1,"")</x:f>
      </x:c>
      <x:c r="O1053" s="32" t="str">
        <x:f>IF(AND(O$8&lt;='Detalle'!$H513,O$9&gt;='Detalle'!$G513),1,"")</x:f>
      </x:c>
      <x:c r="P1053" s="32" t="str">
        <x:f>IF(AND(P$8&lt;='Detalle'!$H513,P$9&gt;='Detalle'!$G513),1,"")</x:f>
      </x:c>
      <x:c r="Q1053" s="68"/>
      <x:c r="R1053" s="67" t="str">
        <x:f>IF('Detalle'!M513="","",'Detalle'!M513)</x:f>
      </x:c>
      <x:c r="S1053" s="67" t="str">
        <x:f>IF('Detalle'!N513="","",'Detalle'!N513)</x:f>
      </x:c>
    </x:row>
    <x:row r="1054" ht="16" customHeight="1">
      <x:c r="A1054" s="56" t="str">
        <x:v>MAP01.012</x:v>
      </x:c>
      <x:c r="B1054" s="57" t="str">
        <x:v>Filtrar misiones abiertas y futuras</x:v>
      </x:c>
      <x:c r="C1054" s="63" t="str">
        <x:v>R</x:v>
      </x:c>
      <x:c r="D1054" s="65" t="str">
        <x:f>IF('Detalle'!L513="","",'Detalle'!L513)</x:f>
      </x:c>
      <x:c r="E1054" s="60" t="str"/>
      <x:c r="F1054" s="32" t="str">
        <x:f>IF(OR('Detalle'!$J513="",'Detalle'!$K513="",'Detalle'!$L513=""),"",IF(AND(F$8&lt;='Detalle'!$K513,F$9&gt;='Detalle'!$J513),1,""))</x:f>
      </x:c>
      <x:c r="G1054" s="32" t="str">
        <x:f>IF(OR('Detalle'!$J513="",'Detalle'!$K513="",'Detalle'!$L513=""),"",IF(AND(G$8&lt;='Detalle'!$K513,G$9&gt;='Detalle'!$J513),1,""))</x:f>
      </x:c>
      <x:c r="H1054" s="32" t="str">
        <x:f>IF(OR('Detalle'!$J513="",'Detalle'!$K513="",'Detalle'!$L513=""),"",IF(AND(H$8&lt;='Detalle'!$K513,H$9&gt;='Detalle'!$J513),1,""))</x:f>
      </x:c>
      <x:c r="I1054" s="32" t="str">
        <x:f>IF(OR('Detalle'!$J513="",'Detalle'!$K513="",'Detalle'!$L513=""),"",IF(AND(I$8&lt;='Detalle'!$K513,I$9&gt;='Detalle'!$J513),1,""))</x:f>
      </x:c>
      <x:c r="J1054" s="32" t="str">
        <x:f>IF(OR('Detalle'!$J513="",'Detalle'!$K513="",'Detalle'!$L513=""),"",IF(AND(J$8&lt;='Detalle'!$K513,J$9&gt;='Detalle'!$J513),1,""))</x:f>
      </x:c>
      <x:c r="K1054" s="32" t="str">
        <x:f>IF(OR('Detalle'!$J513="",'Detalle'!$K513="",'Detalle'!$L513=""),"",IF(AND(K$8&lt;='Detalle'!$K513,K$9&gt;='Detalle'!$J513),1,""))</x:f>
      </x:c>
      <x:c r="L1054" s="32" t="str">
        <x:f>IF(OR('Detalle'!$J513="",'Detalle'!$K513="",'Detalle'!$L513=""),"",IF(AND(L$8&lt;='Detalle'!$K513,L$9&gt;='Detalle'!$J513),1,""))</x:f>
      </x:c>
      <x:c r="M1054" s="32" t="str">
        <x:f>IF(OR('Detalle'!$J513="",'Detalle'!$K513="",'Detalle'!$L513=""),"",IF(AND(M$8&lt;='Detalle'!$K513,M$9&gt;='Detalle'!$J513),1,""))</x:f>
      </x:c>
      <x:c r="N1054" s="32" t="str">
        <x:f>IF(OR('Detalle'!$J513="",'Detalle'!$K513="",'Detalle'!$L513=""),"",IF(AND(N$8&lt;='Detalle'!$K513,N$9&gt;='Detalle'!$J513),1,""))</x:f>
      </x:c>
      <x:c r="O1054" s="32" t="str">
        <x:f>IF(OR('Detalle'!$J513="",'Detalle'!$K513="",'Detalle'!$L513=""),"",IF(AND(O$8&lt;='Detalle'!$K513,O$9&gt;='Detalle'!$J513),1,""))</x:f>
      </x:c>
      <x:c r="P1054" s="32" t="str">
        <x:f>IF(OR('Detalle'!$J513="",'Detalle'!$K513="",'Detalle'!$L513=""),"",IF(AND(P$8&lt;='Detalle'!$K513,P$9&gt;='Detalle'!$J513),1,""))</x:f>
      </x:c>
      <x:c r="Q1054" s="68"/>
      <x:c r="R1054" s="67" t="str"/>
      <x:c r="S1054" s="67" t="str"/>
    </x:row>
    <x:row r="1055" ht="16" customHeight="1">
      <x:c r="A1055" s="56" t="str">
        <x:v>MAP01.013</x:v>
      </x:c>
      <x:c r="B1055" s="57" t="str">
        <x:v>Buscar texto dentro del viewport</x:v>
      </x:c>
      <x:c r="C1055" s="62" t="str">
        <x:v>E</x:v>
      </x:c>
      <x:c r="D1055" s="64" t="n">
        <x:f>'Detalle'!I514</x:f>
        <x:v>2</x:v>
      </x:c>
      <x:c r="E1055" s="60" t="str">
        <x:f>'Detalle'!F514</x:f>
        <x:v>Completado</x:v>
      </x:c>
      <x:c r="F1055" s="32" t="str">
        <x:f>IF(AND(F$8&lt;='Detalle'!$H514,F$9&gt;='Detalle'!$G514),1,"")</x:f>
      </x:c>
      <x:c r="G1055" s="32" t="str">
        <x:f>IF(AND(G$8&lt;='Detalle'!$H514,G$9&gt;='Detalle'!$G514),1,"")</x:f>
      </x:c>
      <x:c r="H1055" s="32" t="str">
        <x:f>IF(AND(H$8&lt;='Detalle'!$H514,H$9&gt;='Detalle'!$G514),1,"")</x:f>
      </x:c>
      <x:c r="I1055" s="32" t="n">
        <x:f>IF(AND(I$8&lt;='Detalle'!$H514,I$9&gt;='Detalle'!$G514),1,"")</x:f>
        <x:v>1</x:v>
      </x:c>
      <x:c r="J1055" s="32" t="n">
        <x:f>IF(AND(J$8&lt;='Detalle'!$H514,J$9&gt;='Detalle'!$G514),1,"")</x:f>
        <x:v>1</x:v>
      </x:c>
      <x:c r="K1055" s="32" t="str">
        <x:f>IF(AND(K$8&lt;='Detalle'!$H514,K$9&gt;='Detalle'!$G514),1,"")</x:f>
      </x:c>
      <x:c r="L1055" s="32" t="str">
        <x:f>IF(AND(L$8&lt;='Detalle'!$H514,L$9&gt;='Detalle'!$G514),1,"")</x:f>
      </x:c>
      <x:c r="M1055" s="32" t="str">
        <x:f>IF(AND(M$8&lt;='Detalle'!$H514,M$9&gt;='Detalle'!$G514),1,"")</x:f>
      </x:c>
      <x:c r="N1055" s="32" t="str">
        <x:f>IF(AND(N$8&lt;='Detalle'!$H514,N$9&gt;='Detalle'!$G514),1,"")</x:f>
      </x:c>
      <x:c r="O1055" s="32" t="str">
        <x:f>IF(AND(O$8&lt;='Detalle'!$H514,O$9&gt;='Detalle'!$G514),1,"")</x:f>
      </x:c>
      <x:c r="P1055" s="32" t="str">
        <x:f>IF(AND(P$8&lt;='Detalle'!$H514,P$9&gt;='Detalle'!$G514),1,"")</x:f>
      </x:c>
      <x:c r="Q1055" s="68"/>
      <x:c r="R1055" s="67" t="str">
        <x:f>IF('Detalle'!M514="","",'Detalle'!M514)</x:f>
      </x:c>
      <x:c r="S1055" s="67" t="str">
        <x:f>IF('Detalle'!N514="","",'Detalle'!N514)</x:f>
      </x:c>
    </x:row>
    <x:row r="1056" ht="16" customHeight="1">
      <x:c r="A1056" s="56" t="str">
        <x:v>MAP01.013</x:v>
      </x:c>
      <x:c r="B1056" s="57" t="str">
        <x:v>Buscar texto dentro del viewport</x:v>
      </x:c>
      <x:c r="C1056" s="63" t="str">
        <x:v>R</x:v>
      </x:c>
      <x:c r="D1056" s="65" t="str">
        <x:f>IF('Detalle'!L514="","",'Detalle'!L514)</x:f>
      </x:c>
      <x:c r="E1056" s="60" t="str"/>
      <x:c r="F1056" s="32" t="str">
        <x:f>IF(OR('Detalle'!$J514="",'Detalle'!$K514="",'Detalle'!$L514=""),"",IF(AND(F$8&lt;='Detalle'!$K514,F$9&gt;='Detalle'!$J514),1,""))</x:f>
      </x:c>
      <x:c r="G1056" s="32" t="str">
        <x:f>IF(OR('Detalle'!$J514="",'Detalle'!$K514="",'Detalle'!$L514=""),"",IF(AND(G$8&lt;='Detalle'!$K514,G$9&gt;='Detalle'!$J514),1,""))</x:f>
      </x:c>
      <x:c r="H1056" s="32" t="str">
        <x:f>IF(OR('Detalle'!$J514="",'Detalle'!$K514="",'Detalle'!$L514=""),"",IF(AND(H$8&lt;='Detalle'!$K514,H$9&gt;='Detalle'!$J514),1,""))</x:f>
      </x:c>
      <x:c r="I1056" s="32" t="str">
        <x:f>IF(OR('Detalle'!$J514="",'Detalle'!$K514="",'Detalle'!$L514=""),"",IF(AND(I$8&lt;='Detalle'!$K514,I$9&gt;='Detalle'!$J514),1,""))</x:f>
      </x:c>
      <x:c r="J1056" s="32" t="str">
        <x:f>IF(OR('Detalle'!$J514="",'Detalle'!$K514="",'Detalle'!$L514=""),"",IF(AND(J$8&lt;='Detalle'!$K514,J$9&gt;='Detalle'!$J514),1,""))</x:f>
      </x:c>
      <x:c r="K1056" s="32" t="str">
        <x:f>IF(OR('Detalle'!$J514="",'Detalle'!$K514="",'Detalle'!$L514=""),"",IF(AND(K$8&lt;='Detalle'!$K514,K$9&gt;='Detalle'!$J514),1,""))</x:f>
      </x:c>
      <x:c r="L1056" s="32" t="str">
        <x:f>IF(OR('Detalle'!$J514="",'Detalle'!$K514="",'Detalle'!$L514=""),"",IF(AND(L$8&lt;='Detalle'!$K514,L$9&gt;='Detalle'!$J514),1,""))</x:f>
      </x:c>
      <x:c r="M1056" s="32" t="str">
        <x:f>IF(OR('Detalle'!$J514="",'Detalle'!$K514="",'Detalle'!$L514=""),"",IF(AND(M$8&lt;='Detalle'!$K514,M$9&gt;='Detalle'!$J514),1,""))</x:f>
      </x:c>
      <x:c r="N1056" s="32" t="str">
        <x:f>IF(OR('Detalle'!$J514="",'Detalle'!$K514="",'Detalle'!$L514=""),"",IF(AND(N$8&lt;='Detalle'!$K514,N$9&gt;='Detalle'!$J514),1,""))</x:f>
      </x:c>
      <x:c r="O1056" s="32" t="str">
        <x:f>IF(OR('Detalle'!$J514="",'Detalle'!$K514="",'Detalle'!$L514=""),"",IF(AND(O$8&lt;='Detalle'!$K514,O$9&gt;='Detalle'!$J514),1,""))</x:f>
      </x:c>
      <x:c r="P1056" s="32" t="str">
        <x:f>IF(OR('Detalle'!$J514="",'Detalle'!$K514="",'Detalle'!$L514=""),"",IF(AND(P$8&lt;='Detalle'!$K514,P$9&gt;='Detalle'!$J514),1,""))</x:f>
      </x:c>
      <x:c r="Q1056" s="68"/>
      <x:c r="R1056" s="67" t="str"/>
      <x:c r="S1056" s="67" t="str"/>
    </x:row>
    <x:row r="1057" ht="16" customHeight="1">
      <x:c r="A1057" s="56" t="str">
        <x:v>MAP01.014</x:v>
      </x:c>
      <x:c r="B1057" s="57" t="str">
        <x:v>Crear chips Todo y Hoy</x:v>
      </x:c>
      <x:c r="C1057" s="62" t="str">
        <x:v>E</x:v>
      </x:c>
      <x:c r="D1057" s="64" t="n">
        <x:f>'Detalle'!I515</x:f>
        <x:v>2</x:v>
      </x:c>
      <x:c r="E1057" s="60" t="str">
        <x:f>'Detalle'!F515</x:f>
        <x:v>Completado</x:v>
      </x:c>
      <x:c r="F1057" s="32" t="str">
        <x:f>IF(AND(F$8&lt;='Detalle'!$H515,F$9&gt;='Detalle'!$G515),1,"")</x:f>
      </x:c>
      <x:c r="G1057" s="32" t="str">
        <x:f>IF(AND(G$8&lt;='Detalle'!$H515,G$9&gt;='Detalle'!$G515),1,"")</x:f>
      </x:c>
      <x:c r="H1057" s="32" t="str">
        <x:f>IF(AND(H$8&lt;='Detalle'!$H515,H$9&gt;='Detalle'!$G515),1,"")</x:f>
      </x:c>
      <x:c r="I1057" s="32" t="n">
        <x:f>IF(AND(I$8&lt;='Detalle'!$H515,I$9&gt;='Detalle'!$G515),1,"")</x:f>
        <x:v>1</x:v>
      </x:c>
      <x:c r="J1057" s="32" t="n">
        <x:f>IF(AND(J$8&lt;='Detalle'!$H515,J$9&gt;='Detalle'!$G515),1,"")</x:f>
        <x:v>1</x:v>
      </x:c>
      <x:c r="K1057" s="32" t="str">
        <x:f>IF(AND(K$8&lt;='Detalle'!$H515,K$9&gt;='Detalle'!$G515),1,"")</x:f>
      </x:c>
      <x:c r="L1057" s="32" t="str">
        <x:f>IF(AND(L$8&lt;='Detalle'!$H515,L$9&gt;='Detalle'!$G515),1,"")</x:f>
      </x:c>
      <x:c r="M1057" s="32" t="str">
        <x:f>IF(AND(M$8&lt;='Detalle'!$H515,M$9&gt;='Detalle'!$G515),1,"")</x:f>
      </x:c>
      <x:c r="N1057" s="32" t="str">
        <x:f>IF(AND(N$8&lt;='Detalle'!$H515,N$9&gt;='Detalle'!$G515),1,"")</x:f>
      </x:c>
      <x:c r="O1057" s="32" t="str">
        <x:f>IF(AND(O$8&lt;='Detalle'!$H515,O$9&gt;='Detalle'!$G515),1,"")</x:f>
      </x:c>
      <x:c r="P1057" s="32" t="str">
        <x:f>IF(AND(P$8&lt;='Detalle'!$H515,P$9&gt;='Detalle'!$G515),1,"")</x:f>
      </x:c>
      <x:c r="Q1057" s="68"/>
      <x:c r="R1057" s="67" t="str">
        <x:f>IF('Detalle'!M515="","",'Detalle'!M515)</x:f>
      </x:c>
      <x:c r="S1057" s="67" t="str">
        <x:f>IF('Detalle'!N515="","",'Detalle'!N515)</x:f>
      </x:c>
    </x:row>
    <x:row r="1058" ht="16" customHeight="1">
      <x:c r="A1058" s="56" t="str">
        <x:v>MAP01.014</x:v>
      </x:c>
      <x:c r="B1058" s="57" t="str">
        <x:v>Crear chips Todo y Hoy</x:v>
      </x:c>
      <x:c r="C1058" s="63" t="str">
        <x:v>R</x:v>
      </x:c>
      <x:c r="D1058" s="65" t="str">
        <x:f>IF('Detalle'!L515="","",'Detalle'!L515)</x:f>
      </x:c>
      <x:c r="E1058" s="60" t="str"/>
      <x:c r="F1058" s="32" t="str">
        <x:f>IF(OR('Detalle'!$J515="",'Detalle'!$K515="",'Detalle'!$L515=""),"",IF(AND(F$8&lt;='Detalle'!$K515,F$9&gt;='Detalle'!$J515),1,""))</x:f>
      </x:c>
      <x:c r="G1058" s="32" t="str">
        <x:f>IF(OR('Detalle'!$J515="",'Detalle'!$K515="",'Detalle'!$L515=""),"",IF(AND(G$8&lt;='Detalle'!$K515,G$9&gt;='Detalle'!$J515),1,""))</x:f>
      </x:c>
      <x:c r="H1058" s="32" t="str">
        <x:f>IF(OR('Detalle'!$J515="",'Detalle'!$K515="",'Detalle'!$L515=""),"",IF(AND(H$8&lt;='Detalle'!$K515,H$9&gt;='Detalle'!$J515),1,""))</x:f>
      </x:c>
      <x:c r="I1058" s="32" t="str">
        <x:f>IF(OR('Detalle'!$J515="",'Detalle'!$K515="",'Detalle'!$L515=""),"",IF(AND(I$8&lt;='Detalle'!$K515,I$9&gt;='Detalle'!$J515),1,""))</x:f>
      </x:c>
      <x:c r="J1058" s="32" t="str">
        <x:f>IF(OR('Detalle'!$J515="",'Detalle'!$K515="",'Detalle'!$L515=""),"",IF(AND(J$8&lt;='Detalle'!$K515,J$9&gt;='Detalle'!$J515),1,""))</x:f>
      </x:c>
      <x:c r="K1058" s="32" t="str">
        <x:f>IF(OR('Detalle'!$J515="",'Detalle'!$K515="",'Detalle'!$L515=""),"",IF(AND(K$8&lt;='Detalle'!$K515,K$9&gt;='Detalle'!$J515),1,""))</x:f>
      </x:c>
      <x:c r="L1058" s="32" t="str">
        <x:f>IF(OR('Detalle'!$J515="",'Detalle'!$K515="",'Detalle'!$L515=""),"",IF(AND(L$8&lt;='Detalle'!$K515,L$9&gt;='Detalle'!$J515),1,""))</x:f>
      </x:c>
      <x:c r="M1058" s="32" t="str">
        <x:f>IF(OR('Detalle'!$J515="",'Detalle'!$K515="",'Detalle'!$L515=""),"",IF(AND(M$8&lt;='Detalle'!$K515,M$9&gt;='Detalle'!$J515),1,""))</x:f>
      </x:c>
      <x:c r="N1058" s="32" t="str">
        <x:f>IF(OR('Detalle'!$J515="",'Detalle'!$K515="",'Detalle'!$L515=""),"",IF(AND(N$8&lt;='Detalle'!$K515,N$9&gt;='Detalle'!$J515),1,""))</x:f>
      </x:c>
      <x:c r="O1058" s="32" t="str">
        <x:f>IF(OR('Detalle'!$J515="",'Detalle'!$K515="",'Detalle'!$L515=""),"",IF(AND(O$8&lt;='Detalle'!$K515,O$9&gt;='Detalle'!$J515),1,""))</x:f>
      </x:c>
      <x:c r="P1058" s="32" t="str">
        <x:f>IF(OR('Detalle'!$J515="",'Detalle'!$K515="",'Detalle'!$L515=""),"",IF(AND(P$8&lt;='Detalle'!$K515,P$9&gt;='Detalle'!$J515),1,""))</x:f>
      </x:c>
      <x:c r="Q1058" s="68"/>
      <x:c r="R1058" s="67" t="str"/>
      <x:c r="S1058" s="67" t="str"/>
    </x:row>
    <x:row r="1059" ht="16" customHeight="1">
      <x:c r="A1059" s="56" t="str">
        <x:v>MAP01.015</x:v>
      </x:c>
      <x:c r="B1059" s="57" t="str">
        <x:v>Crear hoja de filtros de mapa</x:v>
      </x:c>
      <x:c r="C1059" s="62" t="str">
        <x:v>E</x:v>
      </x:c>
      <x:c r="D1059" s="64" t="n">
        <x:f>'Detalle'!I516</x:f>
        <x:v>2</x:v>
      </x:c>
      <x:c r="E1059" s="60" t="str">
        <x:f>'Detalle'!F516</x:f>
        <x:v>Completado</x:v>
      </x:c>
      <x:c r="F1059" s="32" t="str">
        <x:f>IF(AND(F$8&lt;='Detalle'!$H516,F$9&gt;='Detalle'!$G516),1,"")</x:f>
      </x:c>
      <x:c r="G1059" s="32" t="str">
        <x:f>IF(AND(G$8&lt;='Detalle'!$H516,G$9&gt;='Detalle'!$G516),1,"")</x:f>
      </x:c>
      <x:c r="H1059" s="32" t="str">
        <x:f>IF(AND(H$8&lt;='Detalle'!$H516,H$9&gt;='Detalle'!$G516),1,"")</x:f>
      </x:c>
      <x:c r="I1059" s="32" t="n">
        <x:f>IF(AND(I$8&lt;='Detalle'!$H516,I$9&gt;='Detalle'!$G516),1,"")</x:f>
        <x:v>1</x:v>
      </x:c>
      <x:c r="J1059" s="32" t="n">
        <x:f>IF(AND(J$8&lt;='Detalle'!$H516,J$9&gt;='Detalle'!$G516),1,"")</x:f>
        <x:v>1</x:v>
      </x:c>
      <x:c r="K1059" s="32" t="str">
        <x:f>IF(AND(K$8&lt;='Detalle'!$H516,K$9&gt;='Detalle'!$G516),1,"")</x:f>
      </x:c>
      <x:c r="L1059" s="32" t="str">
        <x:f>IF(AND(L$8&lt;='Detalle'!$H516,L$9&gt;='Detalle'!$G516),1,"")</x:f>
      </x:c>
      <x:c r="M1059" s="32" t="str">
        <x:f>IF(AND(M$8&lt;='Detalle'!$H516,M$9&gt;='Detalle'!$G516),1,"")</x:f>
      </x:c>
      <x:c r="N1059" s="32" t="str">
        <x:f>IF(AND(N$8&lt;='Detalle'!$H516,N$9&gt;='Detalle'!$G516),1,"")</x:f>
      </x:c>
      <x:c r="O1059" s="32" t="str">
        <x:f>IF(AND(O$8&lt;='Detalle'!$H516,O$9&gt;='Detalle'!$G516),1,"")</x:f>
      </x:c>
      <x:c r="P1059" s="32" t="str">
        <x:f>IF(AND(P$8&lt;='Detalle'!$H516,P$9&gt;='Detalle'!$G516),1,"")</x:f>
      </x:c>
      <x:c r="Q1059" s="68"/>
      <x:c r="R1059" s="67" t="str">
        <x:f>IF('Detalle'!M516="","",'Detalle'!M516)</x:f>
      </x:c>
      <x:c r="S1059" s="67" t="str">
        <x:f>IF('Detalle'!N516="","",'Detalle'!N516)</x:f>
      </x:c>
    </x:row>
    <x:row r="1060" ht="16" customHeight="1">
      <x:c r="A1060" s="56" t="str">
        <x:v>MAP01.015</x:v>
      </x:c>
      <x:c r="B1060" s="57" t="str">
        <x:v>Crear hoja de filtros de mapa</x:v>
      </x:c>
      <x:c r="C1060" s="63" t="str">
        <x:v>R</x:v>
      </x:c>
      <x:c r="D1060" s="65" t="str">
        <x:f>IF('Detalle'!L516="","",'Detalle'!L516)</x:f>
      </x:c>
      <x:c r="E1060" s="60" t="str"/>
      <x:c r="F1060" s="32" t="str">
        <x:f>IF(OR('Detalle'!$J516="",'Detalle'!$K516="",'Detalle'!$L516=""),"",IF(AND(F$8&lt;='Detalle'!$K516,F$9&gt;='Detalle'!$J516),1,""))</x:f>
      </x:c>
      <x:c r="G1060" s="32" t="str">
        <x:f>IF(OR('Detalle'!$J516="",'Detalle'!$K516="",'Detalle'!$L516=""),"",IF(AND(G$8&lt;='Detalle'!$K516,G$9&gt;='Detalle'!$J516),1,""))</x:f>
      </x:c>
      <x:c r="H1060" s="32" t="str">
        <x:f>IF(OR('Detalle'!$J516="",'Detalle'!$K516="",'Detalle'!$L516=""),"",IF(AND(H$8&lt;='Detalle'!$K516,H$9&gt;='Detalle'!$J516),1,""))</x:f>
      </x:c>
      <x:c r="I1060" s="32" t="str">
        <x:f>IF(OR('Detalle'!$J516="",'Detalle'!$K516="",'Detalle'!$L516=""),"",IF(AND(I$8&lt;='Detalle'!$K516,I$9&gt;='Detalle'!$J516),1,""))</x:f>
      </x:c>
      <x:c r="J1060" s="32" t="str">
        <x:f>IF(OR('Detalle'!$J516="",'Detalle'!$K516="",'Detalle'!$L516=""),"",IF(AND(J$8&lt;='Detalle'!$K516,J$9&gt;='Detalle'!$J516),1,""))</x:f>
      </x:c>
      <x:c r="K1060" s="32" t="str">
        <x:f>IF(OR('Detalle'!$J516="",'Detalle'!$K516="",'Detalle'!$L516=""),"",IF(AND(K$8&lt;='Detalle'!$K516,K$9&gt;='Detalle'!$J516),1,""))</x:f>
      </x:c>
      <x:c r="L1060" s="32" t="str">
        <x:f>IF(OR('Detalle'!$J516="",'Detalle'!$K516="",'Detalle'!$L516=""),"",IF(AND(L$8&lt;='Detalle'!$K516,L$9&gt;='Detalle'!$J516),1,""))</x:f>
      </x:c>
      <x:c r="M1060" s="32" t="str">
        <x:f>IF(OR('Detalle'!$J516="",'Detalle'!$K516="",'Detalle'!$L516=""),"",IF(AND(M$8&lt;='Detalle'!$K516,M$9&gt;='Detalle'!$J516),1,""))</x:f>
      </x:c>
      <x:c r="N1060" s="32" t="str">
        <x:f>IF(OR('Detalle'!$J516="",'Detalle'!$K516="",'Detalle'!$L516=""),"",IF(AND(N$8&lt;='Detalle'!$K516,N$9&gt;='Detalle'!$J516),1,""))</x:f>
      </x:c>
      <x:c r="O1060" s="32" t="str">
        <x:f>IF(OR('Detalle'!$J516="",'Detalle'!$K516="",'Detalle'!$L516=""),"",IF(AND(O$8&lt;='Detalle'!$K516,O$9&gt;='Detalle'!$J516),1,""))</x:f>
      </x:c>
      <x:c r="P1060" s="32" t="str">
        <x:f>IF(OR('Detalle'!$J516="",'Detalle'!$K516="",'Detalle'!$L516=""),"",IF(AND(P$8&lt;='Detalle'!$K516,P$9&gt;='Detalle'!$J516),1,""))</x:f>
      </x:c>
      <x:c r="Q1060" s="68"/>
      <x:c r="R1060" s="67" t="str"/>
      <x:c r="S1060" s="67" t="str"/>
    </x:row>
    <x:row r="1061" ht="16" customHeight="1">
      <x:c r="A1061" s="56" t="str">
        <x:v>MAP01.016</x:v>
      </x:c>
      <x:c r="B1061" s="57" t="str">
        <x:v>Limpiar filtros conservando búsqueda</x:v>
      </x:c>
      <x:c r="C1061" s="62" t="str">
        <x:v>E</x:v>
      </x:c>
      <x:c r="D1061" s="64" t="n">
        <x:f>'Detalle'!I517</x:f>
        <x:v>2</x:v>
      </x:c>
      <x:c r="E1061" s="60" t="str">
        <x:f>'Detalle'!F517</x:f>
        <x:v>Completado</x:v>
      </x:c>
      <x:c r="F1061" s="32" t="str">
        <x:f>IF(AND(F$8&lt;='Detalle'!$H517,F$9&gt;='Detalle'!$G517),1,"")</x:f>
      </x:c>
      <x:c r="G1061" s="32" t="str">
        <x:f>IF(AND(G$8&lt;='Detalle'!$H517,G$9&gt;='Detalle'!$G517),1,"")</x:f>
      </x:c>
      <x:c r="H1061" s="32" t="str">
        <x:f>IF(AND(H$8&lt;='Detalle'!$H517,H$9&gt;='Detalle'!$G517),1,"")</x:f>
      </x:c>
      <x:c r="I1061" s="32" t="n">
        <x:f>IF(AND(I$8&lt;='Detalle'!$H517,I$9&gt;='Detalle'!$G517),1,"")</x:f>
        <x:v>1</x:v>
      </x:c>
      <x:c r="J1061" s="32" t="n">
        <x:f>IF(AND(J$8&lt;='Detalle'!$H517,J$9&gt;='Detalle'!$G517),1,"")</x:f>
        <x:v>1</x:v>
      </x:c>
      <x:c r="K1061" s="32" t="str">
        <x:f>IF(AND(K$8&lt;='Detalle'!$H517,K$9&gt;='Detalle'!$G517),1,"")</x:f>
      </x:c>
      <x:c r="L1061" s="32" t="str">
        <x:f>IF(AND(L$8&lt;='Detalle'!$H517,L$9&gt;='Detalle'!$G517),1,"")</x:f>
      </x:c>
      <x:c r="M1061" s="32" t="str">
        <x:f>IF(AND(M$8&lt;='Detalle'!$H517,M$9&gt;='Detalle'!$G517),1,"")</x:f>
      </x:c>
      <x:c r="N1061" s="32" t="str">
        <x:f>IF(AND(N$8&lt;='Detalle'!$H517,N$9&gt;='Detalle'!$G517),1,"")</x:f>
      </x:c>
      <x:c r="O1061" s="32" t="str">
        <x:f>IF(AND(O$8&lt;='Detalle'!$H517,O$9&gt;='Detalle'!$G517),1,"")</x:f>
      </x:c>
      <x:c r="P1061" s="32" t="str">
        <x:f>IF(AND(P$8&lt;='Detalle'!$H517,P$9&gt;='Detalle'!$G517),1,"")</x:f>
      </x:c>
      <x:c r="Q1061" s="68"/>
      <x:c r="R1061" s="67" t="str">
        <x:f>IF('Detalle'!M517="","",'Detalle'!M517)</x:f>
      </x:c>
      <x:c r="S1061" s="67" t="str">
        <x:f>IF('Detalle'!N517="","",'Detalle'!N517)</x:f>
      </x:c>
    </x:row>
    <x:row r="1062" ht="16" customHeight="1">
      <x:c r="A1062" s="56" t="str">
        <x:v>MAP01.016</x:v>
      </x:c>
      <x:c r="B1062" s="57" t="str">
        <x:v>Limpiar filtros conservando búsqueda</x:v>
      </x:c>
      <x:c r="C1062" s="63" t="str">
        <x:v>R</x:v>
      </x:c>
      <x:c r="D1062" s="65" t="str">
        <x:f>IF('Detalle'!L517="","",'Detalle'!L517)</x:f>
      </x:c>
      <x:c r="E1062" s="60" t="str"/>
      <x:c r="F1062" s="32" t="str">
        <x:f>IF(OR('Detalle'!$J517="",'Detalle'!$K517="",'Detalle'!$L517=""),"",IF(AND(F$8&lt;='Detalle'!$K517,F$9&gt;='Detalle'!$J517),1,""))</x:f>
      </x:c>
      <x:c r="G1062" s="32" t="str">
        <x:f>IF(OR('Detalle'!$J517="",'Detalle'!$K517="",'Detalle'!$L517=""),"",IF(AND(G$8&lt;='Detalle'!$K517,G$9&gt;='Detalle'!$J517),1,""))</x:f>
      </x:c>
      <x:c r="H1062" s="32" t="str">
        <x:f>IF(OR('Detalle'!$J517="",'Detalle'!$K517="",'Detalle'!$L517=""),"",IF(AND(H$8&lt;='Detalle'!$K517,H$9&gt;='Detalle'!$J517),1,""))</x:f>
      </x:c>
      <x:c r="I1062" s="32" t="str">
        <x:f>IF(OR('Detalle'!$J517="",'Detalle'!$K517="",'Detalle'!$L517=""),"",IF(AND(I$8&lt;='Detalle'!$K517,I$9&gt;='Detalle'!$J517),1,""))</x:f>
      </x:c>
      <x:c r="J1062" s="32" t="str">
        <x:f>IF(OR('Detalle'!$J517="",'Detalle'!$K517="",'Detalle'!$L517=""),"",IF(AND(J$8&lt;='Detalle'!$K517,J$9&gt;='Detalle'!$J517),1,""))</x:f>
      </x:c>
      <x:c r="K1062" s="32" t="str">
        <x:f>IF(OR('Detalle'!$J517="",'Detalle'!$K517="",'Detalle'!$L517=""),"",IF(AND(K$8&lt;='Detalle'!$K517,K$9&gt;='Detalle'!$J517),1,""))</x:f>
      </x:c>
      <x:c r="L1062" s="32" t="str">
        <x:f>IF(OR('Detalle'!$J517="",'Detalle'!$K517="",'Detalle'!$L517=""),"",IF(AND(L$8&lt;='Detalle'!$K517,L$9&gt;='Detalle'!$J517),1,""))</x:f>
      </x:c>
      <x:c r="M1062" s="32" t="str">
        <x:f>IF(OR('Detalle'!$J517="",'Detalle'!$K517="",'Detalle'!$L517=""),"",IF(AND(M$8&lt;='Detalle'!$K517,M$9&gt;='Detalle'!$J517),1,""))</x:f>
      </x:c>
      <x:c r="N1062" s="32" t="str">
        <x:f>IF(OR('Detalle'!$J517="",'Detalle'!$K517="",'Detalle'!$L517=""),"",IF(AND(N$8&lt;='Detalle'!$K517,N$9&gt;='Detalle'!$J517),1,""))</x:f>
      </x:c>
      <x:c r="O1062" s="32" t="str">
        <x:f>IF(OR('Detalle'!$J517="",'Detalle'!$K517="",'Detalle'!$L517=""),"",IF(AND(O$8&lt;='Detalle'!$K517,O$9&gt;='Detalle'!$J517),1,""))</x:f>
      </x:c>
      <x:c r="P1062" s="32" t="str">
        <x:f>IF(OR('Detalle'!$J517="",'Detalle'!$K517="",'Detalle'!$L517=""),"",IF(AND(P$8&lt;='Detalle'!$K517,P$9&gt;='Detalle'!$J517),1,""))</x:f>
      </x:c>
      <x:c r="Q1062" s="68"/>
      <x:c r="R1062" s="67" t="str"/>
      <x:c r="S1062" s="67" t="str"/>
    </x:row>
    <x:row r="1063" ht="16" customHeight="1">
      <x:c r="A1063" s="56" t="str">
        <x:v>MAP01.017</x:v>
      </x:c>
      <x:c r="B1063" s="57" t="str">
        <x:v>Convertir límites de fecha a UTC</x:v>
      </x:c>
      <x:c r="C1063" s="62" t="str">
        <x:v>E</x:v>
      </x:c>
      <x:c r="D1063" s="64" t="n">
        <x:f>'Detalle'!I518</x:f>
        <x:v>2</x:v>
      </x:c>
      <x:c r="E1063" s="60" t="str">
        <x:f>'Detalle'!F518</x:f>
        <x:v>Completado</x:v>
      </x:c>
      <x:c r="F1063" s="32" t="str">
        <x:f>IF(AND(F$8&lt;='Detalle'!$H518,F$9&gt;='Detalle'!$G518),1,"")</x:f>
      </x:c>
      <x:c r="G1063" s="32" t="str">
        <x:f>IF(AND(G$8&lt;='Detalle'!$H518,G$9&gt;='Detalle'!$G518),1,"")</x:f>
      </x:c>
      <x:c r="H1063" s="32" t="str">
        <x:f>IF(AND(H$8&lt;='Detalle'!$H518,H$9&gt;='Detalle'!$G518),1,"")</x:f>
      </x:c>
      <x:c r="I1063" s="32" t="n">
        <x:f>IF(AND(I$8&lt;='Detalle'!$H518,I$9&gt;='Detalle'!$G518),1,"")</x:f>
        <x:v>1</x:v>
      </x:c>
      <x:c r="J1063" s="32" t="n">
        <x:f>IF(AND(J$8&lt;='Detalle'!$H518,J$9&gt;='Detalle'!$G518),1,"")</x:f>
        <x:v>1</x:v>
      </x:c>
      <x:c r="K1063" s="32" t="str">
        <x:f>IF(AND(K$8&lt;='Detalle'!$H518,K$9&gt;='Detalle'!$G518),1,"")</x:f>
      </x:c>
      <x:c r="L1063" s="32" t="str">
        <x:f>IF(AND(L$8&lt;='Detalle'!$H518,L$9&gt;='Detalle'!$G518),1,"")</x:f>
      </x:c>
      <x:c r="M1063" s="32" t="str">
        <x:f>IF(AND(M$8&lt;='Detalle'!$H518,M$9&gt;='Detalle'!$G518),1,"")</x:f>
      </x:c>
      <x:c r="N1063" s="32" t="str">
        <x:f>IF(AND(N$8&lt;='Detalle'!$H518,N$9&gt;='Detalle'!$G518),1,"")</x:f>
      </x:c>
      <x:c r="O1063" s="32" t="str">
        <x:f>IF(AND(O$8&lt;='Detalle'!$H518,O$9&gt;='Detalle'!$G518),1,"")</x:f>
      </x:c>
      <x:c r="P1063" s="32" t="str">
        <x:f>IF(AND(P$8&lt;='Detalle'!$H518,P$9&gt;='Detalle'!$G518),1,"")</x:f>
      </x:c>
      <x:c r="Q1063" s="68"/>
      <x:c r="R1063" s="67" t="str">
        <x:f>IF('Detalle'!M518="","",'Detalle'!M518)</x:f>
      </x:c>
      <x:c r="S1063" s="67" t="str">
        <x:f>IF('Detalle'!N518="","",'Detalle'!N518)</x:f>
      </x:c>
    </x:row>
    <x:row r="1064" ht="16" customHeight="1">
      <x:c r="A1064" s="56" t="str">
        <x:v>MAP01.017</x:v>
      </x:c>
      <x:c r="B1064" s="57" t="str">
        <x:v>Convertir límites de fecha a UTC</x:v>
      </x:c>
      <x:c r="C1064" s="63" t="str">
        <x:v>R</x:v>
      </x:c>
      <x:c r="D1064" s="65" t="str">
        <x:f>IF('Detalle'!L518="","",'Detalle'!L518)</x:f>
      </x:c>
      <x:c r="E1064" s="60" t="str"/>
      <x:c r="F1064" s="32" t="str">
        <x:f>IF(OR('Detalle'!$J518="",'Detalle'!$K518="",'Detalle'!$L518=""),"",IF(AND(F$8&lt;='Detalle'!$K518,F$9&gt;='Detalle'!$J518),1,""))</x:f>
      </x:c>
      <x:c r="G1064" s="32" t="str">
        <x:f>IF(OR('Detalle'!$J518="",'Detalle'!$K518="",'Detalle'!$L518=""),"",IF(AND(G$8&lt;='Detalle'!$K518,G$9&gt;='Detalle'!$J518),1,""))</x:f>
      </x:c>
      <x:c r="H1064" s="32" t="str">
        <x:f>IF(OR('Detalle'!$J518="",'Detalle'!$K518="",'Detalle'!$L518=""),"",IF(AND(H$8&lt;='Detalle'!$K518,H$9&gt;='Detalle'!$J518),1,""))</x:f>
      </x:c>
      <x:c r="I1064" s="32" t="str">
        <x:f>IF(OR('Detalle'!$J518="",'Detalle'!$K518="",'Detalle'!$L518=""),"",IF(AND(I$8&lt;='Detalle'!$K518,I$9&gt;='Detalle'!$J518),1,""))</x:f>
      </x:c>
      <x:c r="J1064" s="32" t="str">
        <x:f>IF(OR('Detalle'!$J518="",'Detalle'!$K518="",'Detalle'!$L518=""),"",IF(AND(J$8&lt;='Detalle'!$K518,J$9&gt;='Detalle'!$J518),1,""))</x:f>
      </x:c>
      <x:c r="K1064" s="32" t="str">
        <x:f>IF(OR('Detalle'!$J518="",'Detalle'!$K518="",'Detalle'!$L518=""),"",IF(AND(K$8&lt;='Detalle'!$K518,K$9&gt;='Detalle'!$J518),1,""))</x:f>
      </x:c>
      <x:c r="L1064" s="32" t="str">
        <x:f>IF(OR('Detalle'!$J518="",'Detalle'!$K518="",'Detalle'!$L518=""),"",IF(AND(L$8&lt;='Detalle'!$K518,L$9&gt;='Detalle'!$J518),1,""))</x:f>
      </x:c>
      <x:c r="M1064" s="32" t="str">
        <x:f>IF(OR('Detalle'!$J518="",'Detalle'!$K518="",'Detalle'!$L518=""),"",IF(AND(M$8&lt;='Detalle'!$K518,M$9&gt;='Detalle'!$J518),1,""))</x:f>
      </x:c>
      <x:c r="N1064" s="32" t="str">
        <x:f>IF(OR('Detalle'!$J518="",'Detalle'!$K518="",'Detalle'!$L518=""),"",IF(AND(N$8&lt;='Detalle'!$K518,N$9&gt;='Detalle'!$J518),1,""))</x:f>
      </x:c>
      <x:c r="O1064" s="32" t="str">
        <x:f>IF(OR('Detalle'!$J518="",'Detalle'!$K518="",'Detalle'!$L518=""),"",IF(AND(O$8&lt;='Detalle'!$K518,O$9&gt;='Detalle'!$J518),1,""))</x:f>
      </x:c>
      <x:c r="P1064" s="32" t="str">
        <x:f>IF(OR('Detalle'!$J518="",'Detalle'!$K518="",'Detalle'!$L518=""),"",IF(AND(P$8&lt;='Detalle'!$K518,P$9&gt;='Detalle'!$J518),1,""))</x:f>
      </x:c>
      <x:c r="Q1064" s="68"/>
      <x:c r="R1064" s="67" t="str"/>
      <x:c r="S1064" s="67" t="str"/>
    </x:row>
    <x:row r="1065" ht="16" customHeight="1">
      <x:c r="A1065" s="56" t="str">
        <x:v>MAP01.018</x:v>
      </x:c>
      <x:c r="B1065" s="57" t="str">
        <x:v>Crear clusters de puntos reales</x:v>
      </x:c>
      <x:c r="C1065" s="62" t="str">
        <x:v>E</x:v>
      </x:c>
      <x:c r="D1065" s="64" t="n">
        <x:f>'Detalle'!I519</x:f>
        <x:v>2</x:v>
      </x:c>
      <x:c r="E1065" s="60" t="str">
        <x:f>'Detalle'!F519</x:f>
        <x:v>Completado</x:v>
      </x:c>
      <x:c r="F1065" s="32" t="str">
        <x:f>IF(AND(F$8&lt;='Detalle'!$H519,F$9&gt;='Detalle'!$G519),1,"")</x:f>
      </x:c>
      <x:c r="G1065" s="32" t="str">
        <x:f>IF(AND(G$8&lt;='Detalle'!$H519,G$9&gt;='Detalle'!$G519),1,"")</x:f>
      </x:c>
      <x:c r="H1065" s="32" t="str">
        <x:f>IF(AND(H$8&lt;='Detalle'!$H519,H$9&gt;='Detalle'!$G519),1,"")</x:f>
      </x:c>
      <x:c r="I1065" s="32" t="n">
        <x:f>IF(AND(I$8&lt;='Detalle'!$H519,I$9&gt;='Detalle'!$G519),1,"")</x:f>
        <x:v>1</x:v>
      </x:c>
      <x:c r="J1065" s="32" t="n">
        <x:f>IF(AND(J$8&lt;='Detalle'!$H519,J$9&gt;='Detalle'!$G519),1,"")</x:f>
        <x:v>1</x:v>
      </x:c>
      <x:c r="K1065" s="32" t="str">
        <x:f>IF(AND(K$8&lt;='Detalle'!$H519,K$9&gt;='Detalle'!$G519),1,"")</x:f>
      </x:c>
      <x:c r="L1065" s="32" t="str">
        <x:f>IF(AND(L$8&lt;='Detalle'!$H519,L$9&gt;='Detalle'!$G519),1,"")</x:f>
      </x:c>
      <x:c r="M1065" s="32" t="str">
        <x:f>IF(AND(M$8&lt;='Detalle'!$H519,M$9&gt;='Detalle'!$G519),1,"")</x:f>
      </x:c>
      <x:c r="N1065" s="32" t="str">
        <x:f>IF(AND(N$8&lt;='Detalle'!$H519,N$9&gt;='Detalle'!$G519),1,"")</x:f>
      </x:c>
      <x:c r="O1065" s="32" t="str">
        <x:f>IF(AND(O$8&lt;='Detalle'!$H519,O$9&gt;='Detalle'!$G519),1,"")</x:f>
      </x:c>
      <x:c r="P1065" s="32" t="str">
        <x:f>IF(AND(P$8&lt;='Detalle'!$H519,P$9&gt;='Detalle'!$G519),1,"")</x:f>
      </x:c>
      <x:c r="Q1065" s="68"/>
      <x:c r="R1065" s="67" t="str">
        <x:f>IF('Detalle'!M519="","",'Detalle'!M519)</x:f>
      </x:c>
      <x:c r="S1065" s="67" t="str">
        <x:f>IF('Detalle'!N519="","",'Detalle'!N519)</x:f>
      </x:c>
    </x:row>
    <x:row r="1066" ht="16" customHeight="1">
      <x:c r="A1066" s="56" t="str">
        <x:v>MAP01.018</x:v>
      </x:c>
      <x:c r="B1066" s="57" t="str">
        <x:v>Crear clusters de puntos reales</x:v>
      </x:c>
      <x:c r="C1066" s="63" t="str">
        <x:v>R</x:v>
      </x:c>
      <x:c r="D1066" s="65" t="str">
        <x:f>IF('Detalle'!L519="","",'Detalle'!L519)</x:f>
      </x:c>
      <x:c r="E1066" s="60" t="str"/>
      <x:c r="F1066" s="32" t="str">
        <x:f>IF(OR('Detalle'!$J519="",'Detalle'!$K519="",'Detalle'!$L519=""),"",IF(AND(F$8&lt;='Detalle'!$K519,F$9&gt;='Detalle'!$J519),1,""))</x:f>
      </x:c>
      <x:c r="G1066" s="32" t="str">
        <x:f>IF(OR('Detalle'!$J519="",'Detalle'!$K519="",'Detalle'!$L519=""),"",IF(AND(G$8&lt;='Detalle'!$K519,G$9&gt;='Detalle'!$J519),1,""))</x:f>
      </x:c>
      <x:c r="H1066" s="32" t="str">
        <x:f>IF(OR('Detalle'!$J519="",'Detalle'!$K519="",'Detalle'!$L519=""),"",IF(AND(H$8&lt;='Detalle'!$K519,H$9&gt;='Detalle'!$J519),1,""))</x:f>
      </x:c>
      <x:c r="I1066" s="32" t="str">
        <x:f>IF(OR('Detalle'!$J519="",'Detalle'!$K519="",'Detalle'!$L519=""),"",IF(AND(I$8&lt;='Detalle'!$K519,I$9&gt;='Detalle'!$J519),1,""))</x:f>
      </x:c>
      <x:c r="J1066" s="32" t="str">
        <x:f>IF(OR('Detalle'!$J519="",'Detalle'!$K519="",'Detalle'!$L519=""),"",IF(AND(J$8&lt;='Detalle'!$K519,J$9&gt;='Detalle'!$J519),1,""))</x:f>
      </x:c>
      <x:c r="K1066" s="32" t="str">
        <x:f>IF(OR('Detalle'!$J519="",'Detalle'!$K519="",'Detalle'!$L519=""),"",IF(AND(K$8&lt;='Detalle'!$K519,K$9&gt;='Detalle'!$J519),1,""))</x:f>
      </x:c>
      <x:c r="L1066" s="32" t="str">
        <x:f>IF(OR('Detalle'!$J519="",'Detalle'!$K519="",'Detalle'!$L519=""),"",IF(AND(L$8&lt;='Detalle'!$K519,L$9&gt;='Detalle'!$J519),1,""))</x:f>
      </x:c>
      <x:c r="M1066" s="32" t="str">
        <x:f>IF(OR('Detalle'!$J519="",'Detalle'!$K519="",'Detalle'!$L519=""),"",IF(AND(M$8&lt;='Detalle'!$K519,M$9&gt;='Detalle'!$J519),1,""))</x:f>
      </x:c>
      <x:c r="N1066" s="32" t="str">
        <x:f>IF(OR('Detalle'!$J519="",'Detalle'!$K519="",'Detalle'!$L519=""),"",IF(AND(N$8&lt;='Detalle'!$K519,N$9&gt;='Detalle'!$J519),1,""))</x:f>
      </x:c>
      <x:c r="O1066" s="32" t="str">
        <x:f>IF(OR('Detalle'!$J519="",'Detalle'!$K519="",'Detalle'!$L519=""),"",IF(AND(O$8&lt;='Detalle'!$K519,O$9&gt;='Detalle'!$J519),1,""))</x:f>
      </x:c>
      <x:c r="P1066" s="32" t="str">
        <x:f>IF(OR('Detalle'!$J519="",'Detalle'!$K519="",'Detalle'!$L519=""),"",IF(AND(P$8&lt;='Detalle'!$K519,P$9&gt;='Detalle'!$J519),1,""))</x:f>
      </x:c>
      <x:c r="Q1066" s="68"/>
      <x:c r="R1066" s="67" t="str"/>
      <x:c r="S1066" s="67" t="str"/>
    </x:row>
    <x:row r="1067" ht="16" customHeight="1">
      <x:c r="A1067" s="56" t="str">
        <x:v>MAP01.019</x:v>
      </x:c>
      <x:c r="B1067" s="57" t="str">
        <x:v>Crear preview de misión seleccionada</x:v>
      </x:c>
      <x:c r="C1067" s="62" t="str">
        <x:v>E</x:v>
      </x:c>
      <x:c r="D1067" s="64" t="n">
        <x:f>'Detalle'!I520</x:f>
        <x:v>2</x:v>
      </x:c>
      <x:c r="E1067" s="60" t="str">
        <x:f>'Detalle'!F520</x:f>
        <x:v>Completado</x:v>
      </x:c>
      <x:c r="F1067" s="32" t="str">
        <x:f>IF(AND(F$8&lt;='Detalle'!$H520,F$9&gt;='Detalle'!$G520),1,"")</x:f>
      </x:c>
      <x:c r="G1067" s="32" t="str">
        <x:f>IF(AND(G$8&lt;='Detalle'!$H520,G$9&gt;='Detalle'!$G520),1,"")</x:f>
      </x:c>
      <x:c r="H1067" s="32" t="str">
        <x:f>IF(AND(H$8&lt;='Detalle'!$H520,H$9&gt;='Detalle'!$G520),1,"")</x:f>
      </x:c>
      <x:c r="I1067" s="32" t="n">
        <x:f>IF(AND(I$8&lt;='Detalle'!$H520,I$9&gt;='Detalle'!$G520),1,"")</x:f>
        <x:v>1</x:v>
      </x:c>
      <x:c r="J1067" s="32" t="n">
        <x:f>IF(AND(J$8&lt;='Detalle'!$H520,J$9&gt;='Detalle'!$G520),1,"")</x:f>
        <x:v>1</x:v>
      </x:c>
      <x:c r="K1067" s="32" t="str">
        <x:f>IF(AND(K$8&lt;='Detalle'!$H520,K$9&gt;='Detalle'!$G520),1,"")</x:f>
      </x:c>
      <x:c r="L1067" s="32" t="str">
        <x:f>IF(AND(L$8&lt;='Detalle'!$H520,L$9&gt;='Detalle'!$G520),1,"")</x:f>
      </x:c>
      <x:c r="M1067" s="32" t="str">
        <x:f>IF(AND(M$8&lt;='Detalle'!$H520,M$9&gt;='Detalle'!$G520),1,"")</x:f>
      </x:c>
      <x:c r="N1067" s="32" t="str">
        <x:f>IF(AND(N$8&lt;='Detalle'!$H520,N$9&gt;='Detalle'!$G520),1,"")</x:f>
      </x:c>
      <x:c r="O1067" s="32" t="str">
        <x:f>IF(AND(O$8&lt;='Detalle'!$H520,O$9&gt;='Detalle'!$G520),1,"")</x:f>
      </x:c>
      <x:c r="P1067" s="32" t="str">
        <x:f>IF(AND(P$8&lt;='Detalle'!$H520,P$9&gt;='Detalle'!$G520),1,"")</x:f>
      </x:c>
      <x:c r="Q1067" s="68"/>
      <x:c r="R1067" s="67" t="str">
        <x:f>IF('Detalle'!M520="","",'Detalle'!M520)</x:f>
      </x:c>
      <x:c r="S1067" s="67" t="str">
        <x:f>IF('Detalle'!N520="","",'Detalle'!N520)</x:f>
      </x:c>
    </x:row>
    <x:row r="1068" ht="16" customHeight="1">
      <x:c r="A1068" s="56" t="str">
        <x:v>MAP01.019</x:v>
      </x:c>
      <x:c r="B1068" s="57" t="str">
        <x:v>Crear preview de misión seleccionada</x:v>
      </x:c>
      <x:c r="C1068" s="63" t="str">
        <x:v>R</x:v>
      </x:c>
      <x:c r="D1068" s="65" t="str">
        <x:f>IF('Detalle'!L520="","",'Detalle'!L520)</x:f>
      </x:c>
      <x:c r="E1068" s="60" t="str"/>
      <x:c r="F1068" s="32" t="str">
        <x:f>IF(OR('Detalle'!$J520="",'Detalle'!$K520="",'Detalle'!$L520=""),"",IF(AND(F$8&lt;='Detalle'!$K520,F$9&gt;='Detalle'!$J520),1,""))</x:f>
      </x:c>
      <x:c r="G1068" s="32" t="str">
        <x:f>IF(OR('Detalle'!$J520="",'Detalle'!$K520="",'Detalle'!$L520=""),"",IF(AND(G$8&lt;='Detalle'!$K520,G$9&gt;='Detalle'!$J520),1,""))</x:f>
      </x:c>
      <x:c r="H1068" s="32" t="str">
        <x:f>IF(OR('Detalle'!$J520="",'Detalle'!$K520="",'Detalle'!$L520=""),"",IF(AND(H$8&lt;='Detalle'!$K520,H$9&gt;='Detalle'!$J520),1,""))</x:f>
      </x:c>
      <x:c r="I1068" s="32" t="str">
        <x:f>IF(OR('Detalle'!$J520="",'Detalle'!$K520="",'Detalle'!$L520=""),"",IF(AND(I$8&lt;='Detalle'!$K520,I$9&gt;='Detalle'!$J520),1,""))</x:f>
      </x:c>
      <x:c r="J1068" s="32" t="str">
        <x:f>IF(OR('Detalle'!$J520="",'Detalle'!$K520="",'Detalle'!$L520=""),"",IF(AND(J$8&lt;='Detalle'!$K520,J$9&gt;='Detalle'!$J520),1,""))</x:f>
      </x:c>
      <x:c r="K1068" s="32" t="str">
        <x:f>IF(OR('Detalle'!$J520="",'Detalle'!$K520="",'Detalle'!$L520=""),"",IF(AND(K$8&lt;='Detalle'!$K520,K$9&gt;='Detalle'!$J520),1,""))</x:f>
      </x:c>
      <x:c r="L1068" s="32" t="str">
        <x:f>IF(OR('Detalle'!$J520="",'Detalle'!$K520="",'Detalle'!$L520=""),"",IF(AND(L$8&lt;='Detalle'!$K520,L$9&gt;='Detalle'!$J520),1,""))</x:f>
      </x:c>
      <x:c r="M1068" s="32" t="str">
        <x:f>IF(OR('Detalle'!$J520="",'Detalle'!$K520="",'Detalle'!$L520=""),"",IF(AND(M$8&lt;='Detalle'!$K520,M$9&gt;='Detalle'!$J520),1,""))</x:f>
      </x:c>
      <x:c r="N1068" s="32" t="str">
        <x:f>IF(OR('Detalle'!$J520="",'Detalle'!$K520="",'Detalle'!$L520=""),"",IF(AND(N$8&lt;='Detalle'!$K520,N$9&gt;='Detalle'!$J520),1,""))</x:f>
      </x:c>
      <x:c r="O1068" s="32" t="str">
        <x:f>IF(OR('Detalle'!$J520="",'Detalle'!$K520="",'Detalle'!$L520=""),"",IF(AND(O$8&lt;='Detalle'!$K520,O$9&gt;='Detalle'!$J520),1,""))</x:f>
      </x:c>
      <x:c r="P1068" s="32" t="str">
        <x:f>IF(OR('Detalle'!$J520="",'Detalle'!$K520="",'Detalle'!$L520=""),"",IF(AND(P$8&lt;='Detalle'!$K520,P$9&gt;='Detalle'!$J520),1,""))</x:f>
      </x:c>
      <x:c r="Q1068" s="68"/>
      <x:c r="R1068" s="67" t="str"/>
      <x:c r="S1068" s="67" t="str"/>
    </x:row>
    <x:row r="1069" ht="16" customHeight="1">
      <x:c r="A1069" s="56" t="str">
        <x:v>MAP01.020</x:v>
      </x:c>
      <x:c r="B1069" s="57" t="str">
        <x:v>Mostrar distancia solo con ubicación real</x:v>
      </x:c>
      <x:c r="C1069" s="62" t="str">
        <x:v>E</x:v>
      </x:c>
      <x:c r="D1069" s="64" t="n">
        <x:f>'Detalle'!I521</x:f>
        <x:v>2</x:v>
      </x:c>
      <x:c r="E1069" s="60" t="str">
        <x:f>'Detalle'!F521</x:f>
        <x:v>Completado</x:v>
      </x:c>
      <x:c r="F1069" s="32" t="str">
        <x:f>IF(AND(F$8&lt;='Detalle'!$H521,F$9&gt;='Detalle'!$G521),1,"")</x:f>
      </x:c>
      <x:c r="G1069" s="32" t="str">
        <x:f>IF(AND(G$8&lt;='Detalle'!$H521,G$9&gt;='Detalle'!$G521),1,"")</x:f>
      </x:c>
      <x:c r="H1069" s="32" t="str">
        <x:f>IF(AND(H$8&lt;='Detalle'!$H521,H$9&gt;='Detalle'!$G521),1,"")</x:f>
      </x:c>
      <x:c r="I1069" s="32" t="n">
        <x:f>IF(AND(I$8&lt;='Detalle'!$H521,I$9&gt;='Detalle'!$G521),1,"")</x:f>
        <x:v>1</x:v>
      </x:c>
      <x:c r="J1069" s="32" t="n">
        <x:f>IF(AND(J$8&lt;='Detalle'!$H521,J$9&gt;='Detalle'!$G521),1,"")</x:f>
        <x:v>1</x:v>
      </x:c>
      <x:c r="K1069" s="32" t="str">
        <x:f>IF(AND(K$8&lt;='Detalle'!$H521,K$9&gt;='Detalle'!$G521),1,"")</x:f>
      </x:c>
      <x:c r="L1069" s="32" t="str">
        <x:f>IF(AND(L$8&lt;='Detalle'!$H521,L$9&gt;='Detalle'!$G521),1,"")</x:f>
      </x:c>
      <x:c r="M1069" s="32" t="str">
        <x:f>IF(AND(M$8&lt;='Detalle'!$H521,M$9&gt;='Detalle'!$G521),1,"")</x:f>
      </x:c>
      <x:c r="N1069" s="32" t="str">
        <x:f>IF(AND(N$8&lt;='Detalle'!$H521,N$9&gt;='Detalle'!$G521),1,"")</x:f>
      </x:c>
      <x:c r="O1069" s="32" t="str">
        <x:f>IF(AND(O$8&lt;='Detalle'!$H521,O$9&gt;='Detalle'!$G521),1,"")</x:f>
      </x:c>
      <x:c r="P1069" s="32" t="str">
        <x:f>IF(AND(P$8&lt;='Detalle'!$H521,P$9&gt;='Detalle'!$G521),1,"")</x:f>
      </x:c>
      <x:c r="Q1069" s="68"/>
      <x:c r="R1069" s="67" t="str">
        <x:f>IF('Detalle'!M521="","",'Detalle'!M521)</x:f>
      </x:c>
      <x:c r="S1069" s="67" t="str">
        <x:f>IF('Detalle'!N521="","",'Detalle'!N521)</x:f>
      </x:c>
    </x:row>
    <x:row r="1070" ht="16" customHeight="1">
      <x:c r="A1070" s="56" t="str">
        <x:v>MAP01.020</x:v>
      </x:c>
      <x:c r="B1070" s="57" t="str">
        <x:v>Mostrar distancia solo con ubicación real</x:v>
      </x:c>
      <x:c r="C1070" s="63" t="str">
        <x:v>R</x:v>
      </x:c>
      <x:c r="D1070" s="65" t="str">
        <x:f>IF('Detalle'!L521="","",'Detalle'!L521)</x:f>
      </x:c>
      <x:c r="E1070" s="60" t="str"/>
      <x:c r="F1070" s="32" t="str">
        <x:f>IF(OR('Detalle'!$J521="",'Detalle'!$K521="",'Detalle'!$L521=""),"",IF(AND(F$8&lt;='Detalle'!$K521,F$9&gt;='Detalle'!$J521),1,""))</x:f>
      </x:c>
      <x:c r="G1070" s="32" t="str">
        <x:f>IF(OR('Detalle'!$J521="",'Detalle'!$K521="",'Detalle'!$L521=""),"",IF(AND(G$8&lt;='Detalle'!$K521,G$9&gt;='Detalle'!$J521),1,""))</x:f>
      </x:c>
      <x:c r="H1070" s="32" t="str">
        <x:f>IF(OR('Detalle'!$J521="",'Detalle'!$K521="",'Detalle'!$L521=""),"",IF(AND(H$8&lt;='Detalle'!$K521,H$9&gt;='Detalle'!$J521),1,""))</x:f>
      </x:c>
      <x:c r="I1070" s="32" t="str">
        <x:f>IF(OR('Detalle'!$J521="",'Detalle'!$K521="",'Detalle'!$L521=""),"",IF(AND(I$8&lt;='Detalle'!$K521,I$9&gt;='Detalle'!$J521),1,""))</x:f>
      </x:c>
      <x:c r="J1070" s="32" t="str">
        <x:f>IF(OR('Detalle'!$J521="",'Detalle'!$K521="",'Detalle'!$L521=""),"",IF(AND(J$8&lt;='Detalle'!$K521,J$9&gt;='Detalle'!$J521),1,""))</x:f>
      </x:c>
      <x:c r="K1070" s="32" t="str">
        <x:f>IF(OR('Detalle'!$J521="",'Detalle'!$K521="",'Detalle'!$L521=""),"",IF(AND(K$8&lt;='Detalle'!$K521,K$9&gt;='Detalle'!$J521),1,""))</x:f>
      </x:c>
      <x:c r="L1070" s="32" t="str">
        <x:f>IF(OR('Detalle'!$J521="",'Detalle'!$K521="",'Detalle'!$L521=""),"",IF(AND(L$8&lt;='Detalle'!$K521,L$9&gt;='Detalle'!$J521),1,""))</x:f>
      </x:c>
      <x:c r="M1070" s="32" t="str">
        <x:f>IF(OR('Detalle'!$J521="",'Detalle'!$K521="",'Detalle'!$L521=""),"",IF(AND(M$8&lt;='Detalle'!$K521,M$9&gt;='Detalle'!$J521),1,""))</x:f>
      </x:c>
      <x:c r="N1070" s="32" t="str">
        <x:f>IF(OR('Detalle'!$J521="",'Detalle'!$K521="",'Detalle'!$L521=""),"",IF(AND(N$8&lt;='Detalle'!$K521,N$9&gt;='Detalle'!$J521),1,""))</x:f>
      </x:c>
      <x:c r="O1070" s="32" t="str">
        <x:f>IF(OR('Detalle'!$J521="",'Detalle'!$K521="",'Detalle'!$L521=""),"",IF(AND(O$8&lt;='Detalle'!$K521,O$9&gt;='Detalle'!$J521),1,""))</x:f>
      </x:c>
      <x:c r="P1070" s="32" t="str">
        <x:f>IF(OR('Detalle'!$J521="",'Detalle'!$K521="",'Detalle'!$L521=""),"",IF(AND(P$8&lt;='Detalle'!$K521,P$9&gt;='Detalle'!$J521),1,""))</x:f>
      </x:c>
      <x:c r="Q1070" s="68"/>
      <x:c r="R1070" s="67" t="str"/>
      <x:c r="S1070" s="67" t="str"/>
    </x:row>
    <x:row r="1071" ht="16" customHeight="1">
      <x:c r="A1071" s="56" t="str">
        <x:v>MAP01.021</x:v>
      </x:c>
      <x:c r="B1071" s="57" t="str">
        <x:v>Cerrar preview con mapa o deslizamiento</x:v>
      </x:c>
      <x:c r="C1071" s="62" t="str">
        <x:v>E</x:v>
      </x:c>
      <x:c r="D1071" s="64" t="n">
        <x:f>'Detalle'!I522</x:f>
        <x:v>2</x:v>
      </x:c>
      <x:c r="E1071" s="60" t="str">
        <x:f>'Detalle'!F522</x:f>
        <x:v>Completado</x:v>
      </x:c>
      <x:c r="F1071" s="32" t="str">
        <x:f>IF(AND(F$8&lt;='Detalle'!$H522,F$9&gt;='Detalle'!$G522),1,"")</x:f>
      </x:c>
      <x:c r="G1071" s="32" t="str">
        <x:f>IF(AND(G$8&lt;='Detalle'!$H522,G$9&gt;='Detalle'!$G522),1,"")</x:f>
      </x:c>
      <x:c r="H1071" s="32" t="str">
        <x:f>IF(AND(H$8&lt;='Detalle'!$H522,H$9&gt;='Detalle'!$G522),1,"")</x:f>
      </x:c>
      <x:c r="I1071" s="32" t="n">
        <x:f>IF(AND(I$8&lt;='Detalle'!$H522,I$9&gt;='Detalle'!$G522),1,"")</x:f>
        <x:v>1</x:v>
      </x:c>
      <x:c r="J1071" s="32" t="n">
        <x:f>IF(AND(J$8&lt;='Detalle'!$H522,J$9&gt;='Detalle'!$G522),1,"")</x:f>
        <x:v>1</x:v>
      </x:c>
      <x:c r="K1071" s="32" t="str">
        <x:f>IF(AND(K$8&lt;='Detalle'!$H522,K$9&gt;='Detalle'!$G522),1,"")</x:f>
      </x:c>
      <x:c r="L1071" s="32" t="str">
        <x:f>IF(AND(L$8&lt;='Detalle'!$H522,L$9&gt;='Detalle'!$G522),1,"")</x:f>
      </x:c>
      <x:c r="M1071" s="32" t="str">
        <x:f>IF(AND(M$8&lt;='Detalle'!$H522,M$9&gt;='Detalle'!$G522),1,"")</x:f>
      </x:c>
      <x:c r="N1071" s="32" t="str">
        <x:f>IF(AND(N$8&lt;='Detalle'!$H522,N$9&gt;='Detalle'!$G522),1,"")</x:f>
      </x:c>
      <x:c r="O1071" s="32" t="str">
        <x:f>IF(AND(O$8&lt;='Detalle'!$H522,O$9&gt;='Detalle'!$G522),1,"")</x:f>
      </x:c>
      <x:c r="P1071" s="32" t="str">
        <x:f>IF(AND(P$8&lt;='Detalle'!$H522,P$9&gt;='Detalle'!$G522),1,"")</x:f>
      </x:c>
      <x:c r="Q1071" s="68"/>
      <x:c r="R1071" s="67" t="str">
        <x:f>IF('Detalle'!M522="","",'Detalle'!M522)</x:f>
      </x:c>
      <x:c r="S1071" s="67" t="str">
        <x:f>IF('Detalle'!N522="","",'Detalle'!N522)</x:f>
      </x:c>
    </x:row>
    <x:row r="1072" ht="16" customHeight="1">
      <x:c r="A1072" s="56" t="str">
        <x:v>MAP01.021</x:v>
      </x:c>
      <x:c r="B1072" s="57" t="str">
        <x:v>Cerrar preview con mapa o deslizamiento</x:v>
      </x:c>
      <x:c r="C1072" s="63" t="str">
        <x:v>R</x:v>
      </x:c>
      <x:c r="D1072" s="65" t="str">
        <x:f>IF('Detalle'!L522="","",'Detalle'!L522)</x:f>
      </x:c>
      <x:c r="E1072" s="60" t="str"/>
      <x:c r="F1072" s="32" t="str">
        <x:f>IF(OR('Detalle'!$J522="",'Detalle'!$K522="",'Detalle'!$L522=""),"",IF(AND(F$8&lt;='Detalle'!$K522,F$9&gt;='Detalle'!$J522),1,""))</x:f>
      </x:c>
      <x:c r="G1072" s="32" t="str">
        <x:f>IF(OR('Detalle'!$J522="",'Detalle'!$K522="",'Detalle'!$L522=""),"",IF(AND(G$8&lt;='Detalle'!$K522,G$9&gt;='Detalle'!$J522),1,""))</x:f>
      </x:c>
      <x:c r="H1072" s="32" t="str">
        <x:f>IF(OR('Detalle'!$J522="",'Detalle'!$K522="",'Detalle'!$L522=""),"",IF(AND(H$8&lt;='Detalle'!$K522,H$9&gt;='Detalle'!$J522),1,""))</x:f>
      </x:c>
      <x:c r="I1072" s="32" t="str">
        <x:f>IF(OR('Detalle'!$J522="",'Detalle'!$K522="",'Detalle'!$L522=""),"",IF(AND(I$8&lt;='Detalle'!$K522,I$9&gt;='Detalle'!$J522),1,""))</x:f>
      </x:c>
      <x:c r="J1072" s="32" t="str">
        <x:f>IF(OR('Detalle'!$J522="",'Detalle'!$K522="",'Detalle'!$L522=""),"",IF(AND(J$8&lt;='Detalle'!$K522,J$9&gt;='Detalle'!$J522),1,""))</x:f>
      </x:c>
      <x:c r="K1072" s="32" t="str">
        <x:f>IF(OR('Detalle'!$J522="",'Detalle'!$K522="",'Detalle'!$L522=""),"",IF(AND(K$8&lt;='Detalle'!$K522,K$9&gt;='Detalle'!$J522),1,""))</x:f>
      </x:c>
      <x:c r="L1072" s="32" t="str">
        <x:f>IF(OR('Detalle'!$J522="",'Detalle'!$K522="",'Detalle'!$L522=""),"",IF(AND(L$8&lt;='Detalle'!$K522,L$9&gt;='Detalle'!$J522),1,""))</x:f>
      </x:c>
      <x:c r="M1072" s="32" t="str">
        <x:f>IF(OR('Detalle'!$J522="",'Detalle'!$K522="",'Detalle'!$L522=""),"",IF(AND(M$8&lt;='Detalle'!$K522,M$9&gt;='Detalle'!$J522),1,""))</x:f>
      </x:c>
      <x:c r="N1072" s="32" t="str">
        <x:f>IF(OR('Detalle'!$J522="",'Detalle'!$K522="",'Detalle'!$L522=""),"",IF(AND(N$8&lt;='Detalle'!$K522,N$9&gt;='Detalle'!$J522),1,""))</x:f>
      </x:c>
      <x:c r="O1072" s="32" t="str">
        <x:f>IF(OR('Detalle'!$J522="",'Detalle'!$K522="",'Detalle'!$L522=""),"",IF(AND(O$8&lt;='Detalle'!$K522,O$9&gt;='Detalle'!$J522),1,""))</x:f>
      </x:c>
      <x:c r="P1072" s="32" t="str">
        <x:f>IF(OR('Detalle'!$J522="",'Detalle'!$K522="",'Detalle'!$L522=""),"",IF(AND(P$8&lt;='Detalle'!$K522,P$9&gt;='Detalle'!$J522),1,""))</x:f>
      </x:c>
      <x:c r="Q1072" s="68"/>
      <x:c r="R1072" s="67" t="str"/>
      <x:c r="S1072" s="67" t="str"/>
    </x:row>
    <x:row r="1073" ht="16" customHeight="1">
      <x:c r="A1073" s="56" t="str">
        <x:v>MAP01.022</x:v>
      </x:c>
      <x:c r="B1073" s="57" t="str">
        <x:v>Conservar cámara y filtros al volver</x:v>
      </x:c>
      <x:c r="C1073" s="62" t="str">
        <x:v>E</x:v>
      </x:c>
      <x:c r="D1073" s="64" t="n">
        <x:f>'Detalle'!I523</x:f>
        <x:v>2</x:v>
      </x:c>
      <x:c r="E1073" s="60" t="str">
        <x:f>'Detalle'!F523</x:f>
        <x:v>Completado</x:v>
      </x:c>
      <x:c r="F1073" s="32" t="str">
        <x:f>IF(AND(F$8&lt;='Detalle'!$H523,F$9&gt;='Detalle'!$G523),1,"")</x:f>
      </x:c>
      <x:c r="G1073" s="32" t="str">
        <x:f>IF(AND(G$8&lt;='Detalle'!$H523,G$9&gt;='Detalle'!$G523),1,"")</x:f>
      </x:c>
      <x:c r="H1073" s="32" t="str">
        <x:f>IF(AND(H$8&lt;='Detalle'!$H523,H$9&gt;='Detalle'!$G523),1,"")</x:f>
      </x:c>
      <x:c r="I1073" s="32" t="n">
        <x:f>IF(AND(I$8&lt;='Detalle'!$H523,I$9&gt;='Detalle'!$G523),1,"")</x:f>
        <x:v>1</x:v>
      </x:c>
      <x:c r="J1073" s="32" t="n">
        <x:f>IF(AND(J$8&lt;='Detalle'!$H523,J$9&gt;='Detalle'!$G523),1,"")</x:f>
        <x:v>1</x:v>
      </x:c>
      <x:c r="K1073" s="32" t="str">
        <x:f>IF(AND(K$8&lt;='Detalle'!$H523,K$9&gt;='Detalle'!$G523),1,"")</x:f>
      </x:c>
      <x:c r="L1073" s="32" t="str">
        <x:f>IF(AND(L$8&lt;='Detalle'!$H523,L$9&gt;='Detalle'!$G523),1,"")</x:f>
      </x:c>
      <x:c r="M1073" s="32" t="str">
        <x:f>IF(AND(M$8&lt;='Detalle'!$H523,M$9&gt;='Detalle'!$G523),1,"")</x:f>
      </x:c>
      <x:c r="N1073" s="32" t="str">
        <x:f>IF(AND(N$8&lt;='Detalle'!$H523,N$9&gt;='Detalle'!$G523),1,"")</x:f>
      </x:c>
      <x:c r="O1073" s="32" t="str">
        <x:f>IF(AND(O$8&lt;='Detalle'!$H523,O$9&gt;='Detalle'!$G523),1,"")</x:f>
      </x:c>
      <x:c r="P1073" s="32" t="str">
        <x:f>IF(AND(P$8&lt;='Detalle'!$H523,P$9&gt;='Detalle'!$G523),1,"")</x:f>
      </x:c>
      <x:c r="Q1073" s="68"/>
      <x:c r="R1073" s="67" t="str">
        <x:f>IF('Detalle'!M523="","",'Detalle'!M523)</x:f>
      </x:c>
      <x:c r="S1073" s="67" t="str">
        <x:f>IF('Detalle'!N523="","",'Detalle'!N523)</x:f>
      </x:c>
    </x:row>
    <x:row r="1074" ht="16" customHeight="1">
      <x:c r="A1074" s="56" t="str">
        <x:v>MAP01.022</x:v>
      </x:c>
      <x:c r="B1074" s="57" t="str">
        <x:v>Conservar cámara y filtros al volver</x:v>
      </x:c>
      <x:c r="C1074" s="63" t="str">
        <x:v>R</x:v>
      </x:c>
      <x:c r="D1074" s="65" t="str">
        <x:f>IF('Detalle'!L523="","",'Detalle'!L523)</x:f>
      </x:c>
      <x:c r="E1074" s="60" t="str"/>
      <x:c r="F1074" s="32" t="str">
        <x:f>IF(OR('Detalle'!$J523="",'Detalle'!$K523="",'Detalle'!$L523=""),"",IF(AND(F$8&lt;='Detalle'!$K523,F$9&gt;='Detalle'!$J523),1,""))</x:f>
      </x:c>
      <x:c r="G1074" s="32" t="str">
        <x:f>IF(OR('Detalle'!$J523="",'Detalle'!$K523="",'Detalle'!$L523=""),"",IF(AND(G$8&lt;='Detalle'!$K523,G$9&gt;='Detalle'!$J523),1,""))</x:f>
      </x:c>
      <x:c r="H1074" s="32" t="str">
        <x:f>IF(OR('Detalle'!$J523="",'Detalle'!$K523="",'Detalle'!$L523=""),"",IF(AND(H$8&lt;='Detalle'!$K523,H$9&gt;='Detalle'!$J523),1,""))</x:f>
      </x:c>
      <x:c r="I1074" s="32" t="str">
        <x:f>IF(OR('Detalle'!$J523="",'Detalle'!$K523="",'Detalle'!$L523=""),"",IF(AND(I$8&lt;='Detalle'!$K523,I$9&gt;='Detalle'!$J523),1,""))</x:f>
      </x:c>
      <x:c r="J1074" s="32" t="str">
        <x:f>IF(OR('Detalle'!$J523="",'Detalle'!$K523="",'Detalle'!$L523=""),"",IF(AND(J$8&lt;='Detalle'!$K523,J$9&gt;='Detalle'!$J523),1,""))</x:f>
      </x:c>
      <x:c r="K1074" s="32" t="str">
        <x:f>IF(OR('Detalle'!$J523="",'Detalle'!$K523="",'Detalle'!$L523=""),"",IF(AND(K$8&lt;='Detalle'!$K523,K$9&gt;='Detalle'!$J523),1,""))</x:f>
      </x:c>
      <x:c r="L1074" s="32" t="str">
        <x:f>IF(OR('Detalle'!$J523="",'Detalle'!$K523="",'Detalle'!$L523=""),"",IF(AND(L$8&lt;='Detalle'!$K523,L$9&gt;='Detalle'!$J523),1,""))</x:f>
      </x:c>
      <x:c r="M1074" s="32" t="str">
        <x:f>IF(OR('Detalle'!$J523="",'Detalle'!$K523="",'Detalle'!$L523=""),"",IF(AND(M$8&lt;='Detalle'!$K523,M$9&gt;='Detalle'!$J523),1,""))</x:f>
      </x:c>
      <x:c r="N1074" s="32" t="str">
        <x:f>IF(OR('Detalle'!$J523="",'Detalle'!$K523="",'Detalle'!$L523=""),"",IF(AND(N$8&lt;='Detalle'!$K523,N$9&gt;='Detalle'!$J523),1,""))</x:f>
      </x:c>
      <x:c r="O1074" s="32" t="str">
        <x:f>IF(OR('Detalle'!$J523="",'Detalle'!$K523="",'Detalle'!$L523=""),"",IF(AND(O$8&lt;='Detalle'!$K523,O$9&gt;='Detalle'!$J523),1,""))</x:f>
      </x:c>
      <x:c r="P1074" s="32" t="str">
        <x:f>IF(OR('Detalle'!$J523="",'Detalle'!$K523="",'Detalle'!$L523=""),"",IF(AND(P$8&lt;='Detalle'!$K523,P$9&gt;='Detalle'!$J523),1,""))</x:f>
      </x:c>
      <x:c r="Q1074" s="68"/>
      <x:c r="R1074" s="67" t="str"/>
      <x:c r="S1074" s="67" t="str"/>
    </x:row>
    <x:row r="1075" ht="16" customHeight="1">
      <x:c r="A1075" s="56" t="str">
        <x:v>MAP01.023</x:v>
      </x:c>
      <x:c r="B1075" s="57" t="str">
        <x:v>Crear acción Buscar en esta zona</x:v>
      </x:c>
      <x:c r="C1075" s="62" t="str">
        <x:v>E</x:v>
      </x:c>
      <x:c r="D1075" s="64" t="n">
        <x:f>'Detalle'!I524</x:f>
        <x:v>2</x:v>
      </x:c>
      <x:c r="E1075" s="60" t="str">
        <x:f>'Detalle'!F524</x:f>
        <x:v>Completado</x:v>
      </x:c>
      <x:c r="F1075" s="32" t="str">
        <x:f>IF(AND(F$8&lt;='Detalle'!$H524,F$9&gt;='Detalle'!$G524),1,"")</x:f>
      </x:c>
      <x:c r="G1075" s="32" t="str">
        <x:f>IF(AND(G$8&lt;='Detalle'!$H524,G$9&gt;='Detalle'!$G524),1,"")</x:f>
      </x:c>
      <x:c r="H1075" s="32" t="str">
        <x:f>IF(AND(H$8&lt;='Detalle'!$H524,H$9&gt;='Detalle'!$G524),1,"")</x:f>
      </x:c>
      <x:c r="I1075" s="32" t="n">
        <x:f>IF(AND(I$8&lt;='Detalle'!$H524,I$9&gt;='Detalle'!$G524),1,"")</x:f>
        <x:v>1</x:v>
      </x:c>
      <x:c r="J1075" s="32" t="n">
        <x:f>IF(AND(J$8&lt;='Detalle'!$H524,J$9&gt;='Detalle'!$G524),1,"")</x:f>
        <x:v>1</x:v>
      </x:c>
      <x:c r="K1075" s="32" t="str">
        <x:f>IF(AND(K$8&lt;='Detalle'!$H524,K$9&gt;='Detalle'!$G524),1,"")</x:f>
      </x:c>
      <x:c r="L1075" s="32" t="str">
        <x:f>IF(AND(L$8&lt;='Detalle'!$H524,L$9&gt;='Detalle'!$G524),1,"")</x:f>
      </x:c>
      <x:c r="M1075" s="32" t="str">
        <x:f>IF(AND(M$8&lt;='Detalle'!$H524,M$9&gt;='Detalle'!$G524),1,"")</x:f>
      </x:c>
      <x:c r="N1075" s="32" t="str">
        <x:f>IF(AND(N$8&lt;='Detalle'!$H524,N$9&gt;='Detalle'!$G524),1,"")</x:f>
      </x:c>
      <x:c r="O1075" s="32" t="str">
        <x:f>IF(AND(O$8&lt;='Detalle'!$H524,O$9&gt;='Detalle'!$G524),1,"")</x:f>
      </x:c>
      <x:c r="P1075" s="32" t="str">
        <x:f>IF(AND(P$8&lt;='Detalle'!$H524,P$9&gt;='Detalle'!$G524),1,"")</x:f>
      </x:c>
      <x:c r="Q1075" s="68"/>
      <x:c r="R1075" s="67" t="str">
        <x:f>IF('Detalle'!M524="","",'Detalle'!M524)</x:f>
      </x:c>
      <x:c r="S1075" s="67" t="str">
        <x:f>IF('Detalle'!N524="","",'Detalle'!N524)</x:f>
      </x:c>
    </x:row>
    <x:row r="1076" ht="16" customHeight="1">
      <x:c r="A1076" s="56" t="str">
        <x:v>MAP01.023</x:v>
      </x:c>
      <x:c r="B1076" s="57" t="str">
        <x:v>Crear acción Buscar en esta zona</x:v>
      </x:c>
      <x:c r="C1076" s="63" t="str">
        <x:v>R</x:v>
      </x:c>
      <x:c r="D1076" s="65" t="str">
        <x:f>IF('Detalle'!L524="","",'Detalle'!L524)</x:f>
      </x:c>
      <x:c r="E1076" s="60" t="str"/>
      <x:c r="F1076" s="32" t="str">
        <x:f>IF(OR('Detalle'!$J524="",'Detalle'!$K524="",'Detalle'!$L524=""),"",IF(AND(F$8&lt;='Detalle'!$K524,F$9&gt;='Detalle'!$J524),1,""))</x:f>
      </x:c>
      <x:c r="G1076" s="32" t="str">
        <x:f>IF(OR('Detalle'!$J524="",'Detalle'!$K524="",'Detalle'!$L524=""),"",IF(AND(G$8&lt;='Detalle'!$K524,G$9&gt;='Detalle'!$J524),1,""))</x:f>
      </x:c>
      <x:c r="H1076" s="32" t="str">
        <x:f>IF(OR('Detalle'!$J524="",'Detalle'!$K524="",'Detalle'!$L524=""),"",IF(AND(H$8&lt;='Detalle'!$K524,H$9&gt;='Detalle'!$J524),1,""))</x:f>
      </x:c>
      <x:c r="I1076" s="32" t="str">
        <x:f>IF(OR('Detalle'!$J524="",'Detalle'!$K524="",'Detalle'!$L524=""),"",IF(AND(I$8&lt;='Detalle'!$K524,I$9&gt;='Detalle'!$J524),1,""))</x:f>
      </x:c>
      <x:c r="J1076" s="32" t="str">
        <x:f>IF(OR('Detalle'!$J524="",'Detalle'!$K524="",'Detalle'!$L524=""),"",IF(AND(J$8&lt;='Detalle'!$K524,J$9&gt;='Detalle'!$J524),1,""))</x:f>
      </x:c>
      <x:c r="K1076" s="32" t="str">
        <x:f>IF(OR('Detalle'!$J524="",'Detalle'!$K524="",'Detalle'!$L524=""),"",IF(AND(K$8&lt;='Detalle'!$K524,K$9&gt;='Detalle'!$J524),1,""))</x:f>
      </x:c>
      <x:c r="L1076" s="32" t="str">
        <x:f>IF(OR('Detalle'!$J524="",'Detalle'!$K524="",'Detalle'!$L524=""),"",IF(AND(L$8&lt;='Detalle'!$K524,L$9&gt;='Detalle'!$J524),1,""))</x:f>
      </x:c>
      <x:c r="M1076" s="32" t="str">
        <x:f>IF(OR('Detalle'!$J524="",'Detalle'!$K524="",'Detalle'!$L524=""),"",IF(AND(M$8&lt;='Detalle'!$K524,M$9&gt;='Detalle'!$J524),1,""))</x:f>
      </x:c>
      <x:c r="N1076" s="32" t="str">
        <x:f>IF(OR('Detalle'!$J524="",'Detalle'!$K524="",'Detalle'!$L524=""),"",IF(AND(N$8&lt;='Detalle'!$K524,N$9&gt;='Detalle'!$J524),1,""))</x:f>
      </x:c>
      <x:c r="O1076" s="32" t="str">
        <x:f>IF(OR('Detalle'!$J524="",'Detalle'!$K524="",'Detalle'!$L524=""),"",IF(AND(O$8&lt;='Detalle'!$K524,O$9&gt;='Detalle'!$J524),1,""))</x:f>
      </x:c>
      <x:c r="P1076" s="32" t="str">
        <x:f>IF(OR('Detalle'!$J524="",'Detalle'!$K524="",'Detalle'!$L524=""),"",IF(AND(P$8&lt;='Detalle'!$K524,P$9&gt;='Detalle'!$J524),1,""))</x:f>
      </x:c>
      <x:c r="Q1076" s="68"/>
      <x:c r="R1076" s="67" t="str"/>
      <x:c r="S1076" s="67" t="str"/>
    </x:row>
    <x:row r="1077" ht="16" customHeight="1">
      <x:c r="A1077" s="56" t="str">
        <x:v>MAP01.024</x:v>
      </x:c>
      <x:c r="B1077" s="57" t="str">
        <x:v>Descartar respuestas antiguas de mapa</x:v>
      </x:c>
      <x:c r="C1077" s="62" t="str">
        <x:v>E</x:v>
      </x:c>
      <x:c r="D1077" s="64" t="n">
        <x:f>'Detalle'!I525</x:f>
        <x:v>2</x:v>
      </x:c>
      <x:c r="E1077" s="60" t="str">
        <x:f>'Detalle'!F525</x:f>
        <x:v>Completado</x:v>
      </x:c>
      <x:c r="F1077" s="32" t="str">
        <x:f>IF(AND(F$8&lt;='Detalle'!$H525,F$9&gt;='Detalle'!$G525),1,"")</x:f>
      </x:c>
      <x:c r="G1077" s="32" t="str">
        <x:f>IF(AND(G$8&lt;='Detalle'!$H525,G$9&gt;='Detalle'!$G525),1,"")</x:f>
      </x:c>
      <x:c r="H1077" s="32" t="str">
        <x:f>IF(AND(H$8&lt;='Detalle'!$H525,H$9&gt;='Detalle'!$G525),1,"")</x:f>
      </x:c>
      <x:c r="I1077" s="32" t="n">
        <x:f>IF(AND(I$8&lt;='Detalle'!$H525,I$9&gt;='Detalle'!$G525),1,"")</x:f>
        <x:v>1</x:v>
      </x:c>
      <x:c r="J1077" s="32" t="n">
        <x:f>IF(AND(J$8&lt;='Detalle'!$H525,J$9&gt;='Detalle'!$G525),1,"")</x:f>
        <x:v>1</x:v>
      </x:c>
      <x:c r="K1077" s="32" t="str">
        <x:f>IF(AND(K$8&lt;='Detalle'!$H525,K$9&gt;='Detalle'!$G525),1,"")</x:f>
      </x:c>
      <x:c r="L1077" s="32" t="str">
        <x:f>IF(AND(L$8&lt;='Detalle'!$H525,L$9&gt;='Detalle'!$G525),1,"")</x:f>
      </x:c>
      <x:c r="M1077" s="32" t="str">
        <x:f>IF(AND(M$8&lt;='Detalle'!$H525,M$9&gt;='Detalle'!$G525),1,"")</x:f>
      </x:c>
      <x:c r="N1077" s="32" t="str">
        <x:f>IF(AND(N$8&lt;='Detalle'!$H525,N$9&gt;='Detalle'!$G525),1,"")</x:f>
      </x:c>
      <x:c r="O1077" s="32" t="str">
        <x:f>IF(AND(O$8&lt;='Detalle'!$H525,O$9&gt;='Detalle'!$G525),1,"")</x:f>
      </x:c>
      <x:c r="P1077" s="32" t="str">
        <x:f>IF(AND(P$8&lt;='Detalle'!$H525,P$9&gt;='Detalle'!$G525),1,"")</x:f>
      </x:c>
      <x:c r="Q1077" s="68"/>
      <x:c r="R1077" s="67" t="str">
        <x:f>IF('Detalle'!M525="","",'Detalle'!M525)</x:f>
      </x:c>
      <x:c r="S1077" s="67" t="str">
        <x:f>IF('Detalle'!N525="","",'Detalle'!N525)</x:f>
      </x:c>
    </x:row>
    <x:row r="1078" ht="16" customHeight="1">
      <x:c r="A1078" s="56" t="str">
        <x:v>MAP01.024</x:v>
      </x:c>
      <x:c r="B1078" s="57" t="str">
        <x:v>Descartar respuestas antiguas de mapa</x:v>
      </x:c>
      <x:c r="C1078" s="63" t="str">
        <x:v>R</x:v>
      </x:c>
      <x:c r="D1078" s="65" t="str">
        <x:f>IF('Detalle'!L525="","",'Detalle'!L525)</x:f>
      </x:c>
      <x:c r="E1078" s="60" t="str"/>
      <x:c r="F1078" s="32" t="str">
        <x:f>IF(OR('Detalle'!$J525="",'Detalle'!$K525="",'Detalle'!$L525=""),"",IF(AND(F$8&lt;='Detalle'!$K525,F$9&gt;='Detalle'!$J525),1,""))</x:f>
      </x:c>
      <x:c r="G1078" s="32" t="str">
        <x:f>IF(OR('Detalle'!$J525="",'Detalle'!$K525="",'Detalle'!$L525=""),"",IF(AND(G$8&lt;='Detalle'!$K525,G$9&gt;='Detalle'!$J525),1,""))</x:f>
      </x:c>
      <x:c r="H1078" s="32" t="str">
        <x:f>IF(OR('Detalle'!$J525="",'Detalle'!$K525="",'Detalle'!$L525=""),"",IF(AND(H$8&lt;='Detalle'!$K525,H$9&gt;='Detalle'!$J525),1,""))</x:f>
      </x:c>
      <x:c r="I1078" s="32" t="str">
        <x:f>IF(OR('Detalle'!$J525="",'Detalle'!$K525="",'Detalle'!$L525=""),"",IF(AND(I$8&lt;='Detalle'!$K525,I$9&gt;='Detalle'!$J525),1,""))</x:f>
      </x:c>
      <x:c r="J1078" s="32" t="str">
        <x:f>IF(OR('Detalle'!$J525="",'Detalle'!$K525="",'Detalle'!$L525=""),"",IF(AND(J$8&lt;='Detalle'!$K525,J$9&gt;='Detalle'!$J525),1,""))</x:f>
      </x:c>
      <x:c r="K1078" s="32" t="str">
        <x:f>IF(OR('Detalle'!$J525="",'Detalle'!$K525="",'Detalle'!$L525=""),"",IF(AND(K$8&lt;='Detalle'!$K525,K$9&gt;='Detalle'!$J525),1,""))</x:f>
      </x:c>
      <x:c r="L1078" s="32" t="str">
        <x:f>IF(OR('Detalle'!$J525="",'Detalle'!$K525="",'Detalle'!$L525=""),"",IF(AND(L$8&lt;='Detalle'!$K525,L$9&gt;='Detalle'!$J525),1,""))</x:f>
      </x:c>
      <x:c r="M1078" s="32" t="str">
        <x:f>IF(OR('Detalle'!$J525="",'Detalle'!$K525="",'Detalle'!$L525=""),"",IF(AND(M$8&lt;='Detalle'!$K525,M$9&gt;='Detalle'!$J525),1,""))</x:f>
      </x:c>
      <x:c r="N1078" s="32" t="str">
        <x:f>IF(OR('Detalle'!$J525="",'Detalle'!$K525="",'Detalle'!$L525=""),"",IF(AND(N$8&lt;='Detalle'!$K525,N$9&gt;='Detalle'!$J525),1,""))</x:f>
      </x:c>
      <x:c r="O1078" s="32" t="str">
        <x:f>IF(OR('Detalle'!$J525="",'Detalle'!$K525="",'Detalle'!$L525=""),"",IF(AND(O$8&lt;='Detalle'!$K525,O$9&gt;='Detalle'!$J525),1,""))</x:f>
      </x:c>
      <x:c r="P1078" s="32" t="str">
        <x:f>IF(OR('Detalle'!$J525="",'Detalle'!$K525="",'Detalle'!$L525=""),"",IF(AND(P$8&lt;='Detalle'!$K525,P$9&gt;='Detalle'!$J525),1,""))</x:f>
      </x:c>
      <x:c r="Q1078" s="68"/>
      <x:c r="R1078" s="67" t="str"/>
      <x:c r="S1078" s="67" t="str"/>
    </x:row>
    <x:row r="1079" ht="16" customHeight="1">
      <x:c r="A1079" s="56" t="str">
        <x:v>MAP01.025</x:v>
      </x:c>
      <x:c r="B1079" s="57" t="str">
        <x:v>Conservar resultados ante error</x:v>
      </x:c>
      <x:c r="C1079" s="62" t="str">
        <x:v>E</x:v>
      </x:c>
      <x:c r="D1079" s="64" t="n">
        <x:f>'Detalle'!I526</x:f>
        <x:v>2</x:v>
      </x:c>
      <x:c r="E1079" s="60" t="str">
        <x:f>'Detalle'!F526</x:f>
        <x:v>Completado</x:v>
      </x:c>
      <x:c r="F1079" s="32" t="str">
        <x:f>IF(AND(F$8&lt;='Detalle'!$H526,F$9&gt;='Detalle'!$G526),1,"")</x:f>
      </x:c>
      <x:c r="G1079" s="32" t="str">
        <x:f>IF(AND(G$8&lt;='Detalle'!$H526,G$9&gt;='Detalle'!$G526),1,"")</x:f>
      </x:c>
      <x:c r="H1079" s="32" t="str">
        <x:f>IF(AND(H$8&lt;='Detalle'!$H526,H$9&gt;='Detalle'!$G526),1,"")</x:f>
      </x:c>
      <x:c r="I1079" s="32" t="n">
        <x:f>IF(AND(I$8&lt;='Detalle'!$H526,I$9&gt;='Detalle'!$G526),1,"")</x:f>
        <x:v>1</x:v>
      </x:c>
      <x:c r="J1079" s="32" t="n">
        <x:f>IF(AND(J$8&lt;='Detalle'!$H526,J$9&gt;='Detalle'!$G526),1,"")</x:f>
        <x:v>1</x:v>
      </x:c>
      <x:c r="K1079" s="32" t="str">
        <x:f>IF(AND(K$8&lt;='Detalle'!$H526,K$9&gt;='Detalle'!$G526),1,"")</x:f>
      </x:c>
      <x:c r="L1079" s="32" t="str">
        <x:f>IF(AND(L$8&lt;='Detalle'!$H526,L$9&gt;='Detalle'!$G526),1,"")</x:f>
      </x:c>
      <x:c r="M1079" s="32" t="str">
        <x:f>IF(AND(M$8&lt;='Detalle'!$H526,M$9&gt;='Detalle'!$G526),1,"")</x:f>
      </x:c>
      <x:c r="N1079" s="32" t="str">
        <x:f>IF(AND(N$8&lt;='Detalle'!$H526,N$9&gt;='Detalle'!$G526),1,"")</x:f>
      </x:c>
      <x:c r="O1079" s="32" t="str">
        <x:f>IF(AND(O$8&lt;='Detalle'!$H526,O$9&gt;='Detalle'!$G526),1,"")</x:f>
      </x:c>
      <x:c r="P1079" s="32" t="str">
        <x:f>IF(AND(P$8&lt;='Detalle'!$H526,P$9&gt;='Detalle'!$G526),1,"")</x:f>
      </x:c>
      <x:c r="Q1079" s="68"/>
      <x:c r="R1079" s="67" t="str">
        <x:f>IF('Detalle'!M526="","",'Detalle'!M526)</x:f>
      </x:c>
      <x:c r="S1079" s="67" t="str">
        <x:f>IF('Detalle'!N526="","",'Detalle'!N526)</x:f>
      </x:c>
    </x:row>
    <x:row r="1080" ht="16" customHeight="1">
      <x:c r="A1080" s="56" t="str">
        <x:v>MAP01.025</x:v>
      </x:c>
      <x:c r="B1080" s="57" t="str">
        <x:v>Conservar resultados ante error</x:v>
      </x:c>
      <x:c r="C1080" s="63" t="str">
        <x:v>R</x:v>
      </x:c>
      <x:c r="D1080" s="65" t="str">
        <x:f>IF('Detalle'!L526="","",'Detalle'!L526)</x:f>
      </x:c>
      <x:c r="E1080" s="60" t="str"/>
      <x:c r="F1080" s="32" t="str">
        <x:f>IF(OR('Detalle'!$J526="",'Detalle'!$K526="",'Detalle'!$L526=""),"",IF(AND(F$8&lt;='Detalle'!$K526,F$9&gt;='Detalle'!$J526),1,""))</x:f>
      </x:c>
      <x:c r="G1080" s="32" t="str">
        <x:f>IF(OR('Detalle'!$J526="",'Detalle'!$K526="",'Detalle'!$L526=""),"",IF(AND(G$8&lt;='Detalle'!$K526,G$9&gt;='Detalle'!$J526),1,""))</x:f>
      </x:c>
      <x:c r="H1080" s="32" t="str">
        <x:f>IF(OR('Detalle'!$J526="",'Detalle'!$K526="",'Detalle'!$L526=""),"",IF(AND(H$8&lt;='Detalle'!$K526,H$9&gt;='Detalle'!$J526),1,""))</x:f>
      </x:c>
      <x:c r="I1080" s="32" t="str">
        <x:f>IF(OR('Detalle'!$J526="",'Detalle'!$K526="",'Detalle'!$L526=""),"",IF(AND(I$8&lt;='Detalle'!$K526,I$9&gt;='Detalle'!$J526),1,""))</x:f>
      </x:c>
      <x:c r="J1080" s="32" t="str">
        <x:f>IF(OR('Detalle'!$J526="",'Detalle'!$K526="",'Detalle'!$L526=""),"",IF(AND(J$8&lt;='Detalle'!$K526,J$9&gt;='Detalle'!$J526),1,""))</x:f>
      </x:c>
      <x:c r="K1080" s="32" t="str">
        <x:f>IF(OR('Detalle'!$J526="",'Detalle'!$K526="",'Detalle'!$L526=""),"",IF(AND(K$8&lt;='Detalle'!$K526,K$9&gt;='Detalle'!$J526),1,""))</x:f>
      </x:c>
      <x:c r="L1080" s="32" t="str">
        <x:f>IF(OR('Detalle'!$J526="",'Detalle'!$K526="",'Detalle'!$L526=""),"",IF(AND(L$8&lt;='Detalle'!$K526,L$9&gt;='Detalle'!$J526),1,""))</x:f>
      </x:c>
      <x:c r="M1080" s="32" t="str">
        <x:f>IF(OR('Detalle'!$J526="",'Detalle'!$K526="",'Detalle'!$L526=""),"",IF(AND(M$8&lt;='Detalle'!$K526,M$9&gt;='Detalle'!$J526),1,""))</x:f>
      </x:c>
      <x:c r="N1080" s="32" t="str">
        <x:f>IF(OR('Detalle'!$J526="",'Detalle'!$K526="",'Detalle'!$L526=""),"",IF(AND(N$8&lt;='Detalle'!$K526,N$9&gt;='Detalle'!$J526),1,""))</x:f>
      </x:c>
      <x:c r="O1080" s="32" t="str">
        <x:f>IF(OR('Detalle'!$J526="",'Detalle'!$K526="",'Detalle'!$L526=""),"",IF(AND(O$8&lt;='Detalle'!$K526,O$9&gt;='Detalle'!$J526),1,""))</x:f>
      </x:c>
      <x:c r="P1080" s="32" t="str">
        <x:f>IF(OR('Detalle'!$J526="",'Detalle'!$K526="",'Detalle'!$L526=""),"",IF(AND(P$8&lt;='Detalle'!$K526,P$9&gt;='Detalle'!$J526),1,""))</x:f>
      </x:c>
      <x:c r="Q1080" s="68"/>
      <x:c r="R1080" s="67" t="str"/>
      <x:c r="S1080" s="67" t="str"/>
    </x:row>
    <x:row r="1081" ht="16" customHeight="1">
      <x:c r="A1081" s="56" t="str">
        <x:v>MAP01.026</x:v>
      </x:c>
      <x:c r="B1081" s="57" t="str">
        <x:v>Manejar límite de 300 misiones</x:v>
      </x:c>
      <x:c r="C1081" s="62" t="str">
        <x:v>E</x:v>
      </x:c>
      <x:c r="D1081" s="64" t="n">
        <x:f>'Detalle'!I527</x:f>
        <x:v>2</x:v>
      </x:c>
      <x:c r="E1081" s="60" t="str">
        <x:f>'Detalle'!F527</x:f>
        <x:v>Completado</x:v>
      </x:c>
      <x:c r="F1081" s="32" t="str">
        <x:f>IF(AND(F$8&lt;='Detalle'!$H527,F$9&gt;='Detalle'!$G527),1,"")</x:f>
      </x:c>
      <x:c r="G1081" s="32" t="str">
        <x:f>IF(AND(G$8&lt;='Detalle'!$H527,G$9&gt;='Detalle'!$G527),1,"")</x:f>
      </x:c>
      <x:c r="H1081" s="32" t="str">
        <x:f>IF(AND(H$8&lt;='Detalle'!$H527,H$9&gt;='Detalle'!$G527),1,"")</x:f>
      </x:c>
      <x:c r="I1081" s="32" t="n">
        <x:f>IF(AND(I$8&lt;='Detalle'!$H527,I$9&gt;='Detalle'!$G527),1,"")</x:f>
        <x:v>1</x:v>
      </x:c>
      <x:c r="J1081" s="32" t="n">
        <x:f>IF(AND(J$8&lt;='Detalle'!$H527,J$9&gt;='Detalle'!$G527),1,"")</x:f>
        <x:v>1</x:v>
      </x:c>
      <x:c r="K1081" s="32" t="str">
        <x:f>IF(AND(K$8&lt;='Detalle'!$H527,K$9&gt;='Detalle'!$G527),1,"")</x:f>
      </x:c>
      <x:c r="L1081" s="32" t="str">
        <x:f>IF(AND(L$8&lt;='Detalle'!$H527,L$9&gt;='Detalle'!$G527),1,"")</x:f>
      </x:c>
      <x:c r="M1081" s="32" t="str">
        <x:f>IF(AND(M$8&lt;='Detalle'!$H527,M$9&gt;='Detalle'!$G527),1,"")</x:f>
      </x:c>
      <x:c r="N1081" s="32" t="str">
        <x:f>IF(AND(N$8&lt;='Detalle'!$H527,N$9&gt;='Detalle'!$G527),1,"")</x:f>
      </x:c>
      <x:c r="O1081" s="32" t="str">
        <x:f>IF(AND(O$8&lt;='Detalle'!$H527,O$9&gt;='Detalle'!$G527),1,"")</x:f>
      </x:c>
      <x:c r="P1081" s="32" t="str">
        <x:f>IF(AND(P$8&lt;='Detalle'!$H527,P$9&gt;='Detalle'!$G527),1,"")</x:f>
      </x:c>
      <x:c r="Q1081" s="68"/>
      <x:c r="R1081" s="67" t="str">
        <x:f>IF('Detalle'!M527="","",'Detalle'!M527)</x:f>
      </x:c>
      <x:c r="S1081" s="67" t="str">
        <x:f>IF('Detalle'!N527="","",'Detalle'!N527)</x:f>
      </x:c>
    </x:row>
    <x:row r="1082" ht="16" customHeight="1">
      <x:c r="A1082" s="56" t="str">
        <x:v>MAP01.026</x:v>
      </x:c>
      <x:c r="B1082" s="57" t="str">
        <x:v>Manejar límite de 300 misiones</x:v>
      </x:c>
      <x:c r="C1082" s="63" t="str">
        <x:v>R</x:v>
      </x:c>
      <x:c r="D1082" s="65" t="str">
        <x:f>IF('Detalle'!L527="","",'Detalle'!L527)</x:f>
      </x:c>
      <x:c r="E1082" s="60" t="str"/>
      <x:c r="F1082" s="32" t="str">
        <x:f>IF(OR('Detalle'!$J527="",'Detalle'!$K527="",'Detalle'!$L527=""),"",IF(AND(F$8&lt;='Detalle'!$K527,F$9&gt;='Detalle'!$J527),1,""))</x:f>
      </x:c>
      <x:c r="G1082" s="32" t="str">
        <x:f>IF(OR('Detalle'!$J527="",'Detalle'!$K527="",'Detalle'!$L527=""),"",IF(AND(G$8&lt;='Detalle'!$K527,G$9&gt;='Detalle'!$J527),1,""))</x:f>
      </x:c>
      <x:c r="H1082" s="32" t="str">
        <x:f>IF(OR('Detalle'!$J527="",'Detalle'!$K527="",'Detalle'!$L527=""),"",IF(AND(H$8&lt;='Detalle'!$K527,H$9&gt;='Detalle'!$J527),1,""))</x:f>
      </x:c>
      <x:c r="I1082" s="32" t="str">
        <x:f>IF(OR('Detalle'!$J527="",'Detalle'!$K527="",'Detalle'!$L527=""),"",IF(AND(I$8&lt;='Detalle'!$K527,I$9&gt;='Detalle'!$J527),1,""))</x:f>
      </x:c>
      <x:c r="J1082" s="32" t="str">
        <x:f>IF(OR('Detalle'!$J527="",'Detalle'!$K527="",'Detalle'!$L527=""),"",IF(AND(J$8&lt;='Detalle'!$K527,J$9&gt;='Detalle'!$J527),1,""))</x:f>
      </x:c>
      <x:c r="K1082" s="32" t="str">
        <x:f>IF(OR('Detalle'!$J527="",'Detalle'!$K527="",'Detalle'!$L527=""),"",IF(AND(K$8&lt;='Detalle'!$K527,K$9&gt;='Detalle'!$J527),1,""))</x:f>
      </x:c>
      <x:c r="L1082" s="32" t="str">
        <x:f>IF(OR('Detalle'!$J527="",'Detalle'!$K527="",'Detalle'!$L527=""),"",IF(AND(L$8&lt;='Detalle'!$K527,L$9&gt;='Detalle'!$J527),1,""))</x:f>
      </x:c>
      <x:c r="M1082" s="32" t="str">
        <x:f>IF(OR('Detalle'!$J527="",'Detalle'!$K527="",'Detalle'!$L527=""),"",IF(AND(M$8&lt;='Detalle'!$K527,M$9&gt;='Detalle'!$J527),1,""))</x:f>
      </x:c>
      <x:c r="N1082" s="32" t="str">
        <x:f>IF(OR('Detalle'!$J527="",'Detalle'!$K527="",'Detalle'!$L527=""),"",IF(AND(N$8&lt;='Detalle'!$K527,N$9&gt;='Detalle'!$J527),1,""))</x:f>
      </x:c>
      <x:c r="O1082" s="32" t="str">
        <x:f>IF(OR('Detalle'!$J527="",'Detalle'!$K527="",'Detalle'!$L527=""),"",IF(AND(O$8&lt;='Detalle'!$K527,O$9&gt;='Detalle'!$J527),1,""))</x:f>
      </x:c>
      <x:c r="P1082" s="32" t="str">
        <x:f>IF(OR('Detalle'!$J527="",'Detalle'!$K527="",'Detalle'!$L527=""),"",IF(AND(P$8&lt;='Detalle'!$K527,P$9&gt;='Detalle'!$J527),1,""))</x:f>
      </x:c>
      <x:c r="Q1082" s="68"/>
      <x:c r="R1082" s="67" t="str"/>
      <x:c r="S1082" s="67" t="str"/>
    </x:row>
    <x:row r="1083" ht="16" customHeight="1">
      <x:c r="A1083" s="56" t="str">
        <x:v>MAP01.027</x:v>
      </x:c>
      <x:c r="B1083" s="57" t="str">
        <x:v>Aceptar viewport sobre antimeridiano</x:v>
      </x:c>
      <x:c r="C1083" s="62" t="str">
        <x:v>E</x:v>
      </x:c>
      <x:c r="D1083" s="64" t="n">
        <x:f>'Detalle'!I528</x:f>
        <x:v>2</x:v>
      </x:c>
      <x:c r="E1083" s="60" t="str">
        <x:f>'Detalle'!F528</x:f>
        <x:v>Completado</x:v>
      </x:c>
      <x:c r="F1083" s="32" t="str">
        <x:f>IF(AND(F$8&lt;='Detalle'!$H528,F$9&gt;='Detalle'!$G528),1,"")</x:f>
      </x:c>
      <x:c r="G1083" s="32" t="str">
        <x:f>IF(AND(G$8&lt;='Detalle'!$H528,G$9&gt;='Detalle'!$G528),1,"")</x:f>
      </x:c>
      <x:c r="H1083" s="32" t="str">
        <x:f>IF(AND(H$8&lt;='Detalle'!$H528,H$9&gt;='Detalle'!$G528),1,"")</x:f>
      </x:c>
      <x:c r="I1083" s="32" t="n">
        <x:f>IF(AND(I$8&lt;='Detalle'!$H528,I$9&gt;='Detalle'!$G528),1,"")</x:f>
        <x:v>1</x:v>
      </x:c>
      <x:c r="J1083" s="32" t="n">
        <x:f>IF(AND(J$8&lt;='Detalle'!$H528,J$9&gt;='Detalle'!$G528),1,"")</x:f>
        <x:v>1</x:v>
      </x:c>
      <x:c r="K1083" s="32" t="str">
        <x:f>IF(AND(K$8&lt;='Detalle'!$H528,K$9&gt;='Detalle'!$G528),1,"")</x:f>
      </x:c>
      <x:c r="L1083" s="32" t="str">
        <x:f>IF(AND(L$8&lt;='Detalle'!$H528,L$9&gt;='Detalle'!$G528),1,"")</x:f>
      </x:c>
      <x:c r="M1083" s="32" t="str">
        <x:f>IF(AND(M$8&lt;='Detalle'!$H528,M$9&gt;='Detalle'!$G528),1,"")</x:f>
      </x:c>
      <x:c r="N1083" s="32" t="str">
        <x:f>IF(AND(N$8&lt;='Detalle'!$H528,N$9&gt;='Detalle'!$G528),1,"")</x:f>
      </x:c>
      <x:c r="O1083" s="32" t="str">
        <x:f>IF(AND(O$8&lt;='Detalle'!$H528,O$9&gt;='Detalle'!$G528),1,"")</x:f>
      </x:c>
      <x:c r="P1083" s="32" t="str">
        <x:f>IF(AND(P$8&lt;='Detalle'!$H528,P$9&gt;='Detalle'!$G528),1,"")</x:f>
      </x:c>
      <x:c r="Q1083" s="68"/>
      <x:c r="R1083" s="67" t="str">
        <x:f>IF('Detalle'!M528="","",'Detalle'!M528)</x:f>
      </x:c>
      <x:c r="S1083" s="67" t="str">
        <x:f>IF('Detalle'!N528="","",'Detalle'!N528)</x:f>
      </x:c>
    </x:row>
    <x:row r="1084" ht="16" customHeight="1">
      <x:c r="A1084" s="56" t="str">
        <x:v>MAP01.027</x:v>
      </x:c>
      <x:c r="B1084" s="57" t="str">
        <x:v>Aceptar viewport sobre antimeridiano</x:v>
      </x:c>
      <x:c r="C1084" s="63" t="str">
        <x:v>R</x:v>
      </x:c>
      <x:c r="D1084" s="65" t="str">
        <x:f>IF('Detalle'!L528="","",'Detalle'!L528)</x:f>
      </x:c>
      <x:c r="E1084" s="60" t="str"/>
      <x:c r="F1084" s="32" t="str">
        <x:f>IF(OR('Detalle'!$J528="",'Detalle'!$K528="",'Detalle'!$L528=""),"",IF(AND(F$8&lt;='Detalle'!$K528,F$9&gt;='Detalle'!$J528),1,""))</x:f>
      </x:c>
      <x:c r="G1084" s="32" t="str">
        <x:f>IF(OR('Detalle'!$J528="",'Detalle'!$K528="",'Detalle'!$L528=""),"",IF(AND(G$8&lt;='Detalle'!$K528,G$9&gt;='Detalle'!$J528),1,""))</x:f>
      </x:c>
      <x:c r="H1084" s="32" t="str">
        <x:f>IF(OR('Detalle'!$J528="",'Detalle'!$K528="",'Detalle'!$L528=""),"",IF(AND(H$8&lt;='Detalle'!$K528,H$9&gt;='Detalle'!$J528),1,""))</x:f>
      </x:c>
      <x:c r="I1084" s="32" t="str">
        <x:f>IF(OR('Detalle'!$J528="",'Detalle'!$K528="",'Detalle'!$L528=""),"",IF(AND(I$8&lt;='Detalle'!$K528,I$9&gt;='Detalle'!$J528),1,""))</x:f>
      </x:c>
      <x:c r="J1084" s="32" t="str">
        <x:f>IF(OR('Detalle'!$J528="",'Detalle'!$K528="",'Detalle'!$L528=""),"",IF(AND(J$8&lt;='Detalle'!$K528,J$9&gt;='Detalle'!$J528),1,""))</x:f>
      </x:c>
      <x:c r="K1084" s="32" t="str">
        <x:f>IF(OR('Detalle'!$J528="",'Detalle'!$K528="",'Detalle'!$L528=""),"",IF(AND(K$8&lt;='Detalle'!$K528,K$9&gt;='Detalle'!$J528),1,""))</x:f>
      </x:c>
      <x:c r="L1084" s="32" t="str">
        <x:f>IF(OR('Detalle'!$J528="",'Detalle'!$K528="",'Detalle'!$L528=""),"",IF(AND(L$8&lt;='Detalle'!$K528,L$9&gt;='Detalle'!$J528),1,""))</x:f>
      </x:c>
      <x:c r="M1084" s="32" t="str">
        <x:f>IF(OR('Detalle'!$J528="",'Detalle'!$K528="",'Detalle'!$L528=""),"",IF(AND(M$8&lt;='Detalle'!$K528,M$9&gt;='Detalle'!$J528),1,""))</x:f>
      </x:c>
      <x:c r="N1084" s="32" t="str">
        <x:f>IF(OR('Detalle'!$J528="",'Detalle'!$K528="",'Detalle'!$L528=""),"",IF(AND(N$8&lt;='Detalle'!$K528,N$9&gt;='Detalle'!$J528),1,""))</x:f>
      </x:c>
      <x:c r="O1084" s="32" t="str">
        <x:f>IF(OR('Detalle'!$J528="",'Detalle'!$K528="",'Detalle'!$L528=""),"",IF(AND(O$8&lt;='Detalle'!$K528,O$9&gt;='Detalle'!$J528),1,""))</x:f>
      </x:c>
      <x:c r="P1084" s="32" t="str">
        <x:f>IF(OR('Detalle'!$J528="",'Detalle'!$K528="",'Detalle'!$L528=""),"",IF(AND(P$8&lt;='Detalle'!$K528,P$9&gt;='Detalle'!$J528),1,""))</x:f>
      </x:c>
      <x:c r="Q1084" s="68"/>
      <x:c r="R1084" s="67" t="str"/>
      <x:c r="S1084" s="67" t="str"/>
    </x:row>
    <x:row r="1085" ht="16" customHeight="1">
      <x:c r="A1085" s="56" t="str">
        <x:v>MAP01.028</x:v>
      </x:c>
      <x:c r="B1085" s="57" t="str">
        <x:v>Proteger RPC de consulta anónima</x:v>
      </x:c>
      <x:c r="C1085" s="62" t="str">
        <x:v>E</x:v>
      </x:c>
      <x:c r="D1085" s="64" t="n">
        <x:f>'Detalle'!I529</x:f>
        <x:v>2</x:v>
      </x:c>
      <x:c r="E1085" s="60" t="str">
        <x:f>'Detalle'!F529</x:f>
        <x:v>Completado</x:v>
      </x:c>
      <x:c r="F1085" s="32" t="str">
        <x:f>IF(AND(F$8&lt;='Detalle'!$H529,F$9&gt;='Detalle'!$G529),1,"")</x:f>
      </x:c>
      <x:c r="G1085" s="32" t="str">
        <x:f>IF(AND(G$8&lt;='Detalle'!$H529,G$9&gt;='Detalle'!$G529),1,"")</x:f>
      </x:c>
      <x:c r="H1085" s="32" t="str">
        <x:f>IF(AND(H$8&lt;='Detalle'!$H529,H$9&gt;='Detalle'!$G529),1,"")</x:f>
      </x:c>
      <x:c r="I1085" s="32" t="n">
        <x:f>IF(AND(I$8&lt;='Detalle'!$H529,I$9&gt;='Detalle'!$G529),1,"")</x:f>
        <x:v>1</x:v>
      </x:c>
      <x:c r="J1085" s="32" t="n">
        <x:f>IF(AND(J$8&lt;='Detalle'!$H529,J$9&gt;='Detalle'!$G529),1,"")</x:f>
        <x:v>1</x:v>
      </x:c>
      <x:c r="K1085" s="32" t="str">
        <x:f>IF(AND(K$8&lt;='Detalle'!$H529,K$9&gt;='Detalle'!$G529),1,"")</x:f>
      </x:c>
      <x:c r="L1085" s="32" t="str">
        <x:f>IF(AND(L$8&lt;='Detalle'!$H529,L$9&gt;='Detalle'!$G529),1,"")</x:f>
      </x:c>
      <x:c r="M1085" s="32" t="str">
        <x:f>IF(AND(M$8&lt;='Detalle'!$H529,M$9&gt;='Detalle'!$G529),1,"")</x:f>
      </x:c>
      <x:c r="N1085" s="32" t="str">
        <x:f>IF(AND(N$8&lt;='Detalle'!$H529,N$9&gt;='Detalle'!$G529),1,"")</x:f>
      </x:c>
      <x:c r="O1085" s="32" t="str">
        <x:f>IF(AND(O$8&lt;='Detalle'!$H529,O$9&gt;='Detalle'!$G529),1,"")</x:f>
      </x:c>
      <x:c r="P1085" s="32" t="str">
        <x:f>IF(AND(P$8&lt;='Detalle'!$H529,P$9&gt;='Detalle'!$G529),1,"")</x:f>
      </x:c>
      <x:c r="Q1085" s="68"/>
      <x:c r="R1085" s="67" t="str">
        <x:f>IF('Detalle'!M529="","",'Detalle'!M529)</x:f>
      </x:c>
      <x:c r="S1085" s="67" t="str">
        <x:f>IF('Detalle'!N529="","",'Detalle'!N529)</x:f>
      </x:c>
    </x:row>
    <x:row r="1086" ht="16" customHeight="1">
      <x:c r="A1086" s="56" t="str">
        <x:v>MAP01.028</x:v>
      </x:c>
      <x:c r="B1086" s="57" t="str">
        <x:v>Proteger RPC de consulta anónima</x:v>
      </x:c>
      <x:c r="C1086" s="63" t="str">
        <x:v>R</x:v>
      </x:c>
      <x:c r="D1086" s="65" t="str">
        <x:f>IF('Detalle'!L529="","",'Detalle'!L529)</x:f>
      </x:c>
      <x:c r="E1086" s="60" t="str"/>
      <x:c r="F1086" s="32" t="str">
        <x:f>IF(OR('Detalle'!$J529="",'Detalle'!$K529="",'Detalle'!$L529=""),"",IF(AND(F$8&lt;='Detalle'!$K529,F$9&gt;='Detalle'!$J529),1,""))</x:f>
      </x:c>
      <x:c r="G1086" s="32" t="str">
        <x:f>IF(OR('Detalle'!$J529="",'Detalle'!$K529="",'Detalle'!$L529=""),"",IF(AND(G$8&lt;='Detalle'!$K529,G$9&gt;='Detalle'!$J529),1,""))</x:f>
      </x:c>
      <x:c r="H1086" s="32" t="str">
        <x:f>IF(OR('Detalle'!$J529="",'Detalle'!$K529="",'Detalle'!$L529=""),"",IF(AND(H$8&lt;='Detalle'!$K529,H$9&gt;='Detalle'!$J529),1,""))</x:f>
      </x:c>
      <x:c r="I1086" s="32" t="str">
        <x:f>IF(OR('Detalle'!$J529="",'Detalle'!$K529="",'Detalle'!$L529=""),"",IF(AND(I$8&lt;='Detalle'!$K529,I$9&gt;='Detalle'!$J529),1,""))</x:f>
      </x:c>
      <x:c r="J1086" s="32" t="str">
        <x:f>IF(OR('Detalle'!$J529="",'Detalle'!$K529="",'Detalle'!$L529=""),"",IF(AND(J$8&lt;='Detalle'!$K529,J$9&gt;='Detalle'!$J529),1,""))</x:f>
      </x:c>
      <x:c r="K1086" s="32" t="str">
        <x:f>IF(OR('Detalle'!$J529="",'Detalle'!$K529="",'Detalle'!$L529=""),"",IF(AND(K$8&lt;='Detalle'!$K529,K$9&gt;='Detalle'!$J529),1,""))</x:f>
      </x:c>
      <x:c r="L1086" s="32" t="str">
        <x:f>IF(OR('Detalle'!$J529="",'Detalle'!$K529="",'Detalle'!$L529=""),"",IF(AND(L$8&lt;='Detalle'!$K529,L$9&gt;='Detalle'!$J529),1,""))</x:f>
      </x:c>
      <x:c r="M1086" s="32" t="str">
        <x:f>IF(OR('Detalle'!$J529="",'Detalle'!$K529="",'Detalle'!$L529=""),"",IF(AND(M$8&lt;='Detalle'!$K529,M$9&gt;='Detalle'!$J529),1,""))</x:f>
      </x:c>
      <x:c r="N1086" s="32" t="str">
        <x:f>IF(OR('Detalle'!$J529="",'Detalle'!$K529="",'Detalle'!$L529=""),"",IF(AND(N$8&lt;='Detalle'!$K529,N$9&gt;='Detalle'!$J529),1,""))</x:f>
      </x:c>
      <x:c r="O1086" s="32" t="str">
        <x:f>IF(OR('Detalle'!$J529="",'Detalle'!$K529="",'Detalle'!$L529=""),"",IF(AND(O$8&lt;='Detalle'!$K529,O$9&gt;='Detalle'!$J529),1,""))</x:f>
      </x:c>
      <x:c r="P1086" s="32" t="str">
        <x:f>IF(OR('Detalle'!$J529="",'Detalle'!$K529="",'Detalle'!$L529=""),"",IF(AND(P$8&lt;='Detalle'!$K529,P$9&gt;='Detalle'!$J529),1,""))</x:f>
      </x:c>
      <x:c r="Q1086" s="68"/>
      <x:c r="R1086" s="67" t="str"/>
      <x:c r="S1086" s="67" t="str"/>
    </x:row>
    <x:row r="1087" ht="16" customHeight="1">
      <x:c r="A1087" s="56" t="str">
        <x:v>MAP01.029</x:v>
      </x:c>
      <x:c r="B1087" s="57" t="str">
        <x:v>Crear pruebas y arnés de mapa</x:v>
      </x:c>
      <x:c r="C1087" s="62" t="str">
        <x:v>E</x:v>
      </x:c>
      <x:c r="D1087" s="64" t="n">
        <x:f>'Detalle'!I530</x:f>
        <x:v>2</x:v>
      </x:c>
      <x:c r="E1087" s="60" t="str">
        <x:f>'Detalle'!F530</x:f>
        <x:v>Completado</x:v>
      </x:c>
      <x:c r="F1087" s="32" t="str">
        <x:f>IF(AND(F$8&lt;='Detalle'!$H530,F$9&gt;='Detalle'!$G530),1,"")</x:f>
      </x:c>
      <x:c r="G1087" s="32" t="str">
        <x:f>IF(AND(G$8&lt;='Detalle'!$H530,G$9&gt;='Detalle'!$G530),1,"")</x:f>
      </x:c>
      <x:c r="H1087" s="32" t="str">
        <x:f>IF(AND(H$8&lt;='Detalle'!$H530,H$9&gt;='Detalle'!$G530),1,"")</x:f>
      </x:c>
      <x:c r="I1087" s="32" t="n">
        <x:f>IF(AND(I$8&lt;='Detalle'!$H530,I$9&gt;='Detalle'!$G530),1,"")</x:f>
        <x:v>1</x:v>
      </x:c>
      <x:c r="J1087" s="32" t="n">
        <x:f>IF(AND(J$8&lt;='Detalle'!$H530,J$9&gt;='Detalle'!$G530),1,"")</x:f>
        <x:v>1</x:v>
      </x:c>
      <x:c r="K1087" s="32" t="str">
        <x:f>IF(AND(K$8&lt;='Detalle'!$H530,K$9&gt;='Detalle'!$G530),1,"")</x:f>
      </x:c>
      <x:c r="L1087" s="32" t="str">
        <x:f>IF(AND(L$8&lt;='Detalle'!$H530,L$9&gt;='Detalle'!$G530),1,"")</x:f>
      </x:c>
      <x:c r="M1087" s="32" t="str">
        <x:f>IF(AND(M$8&lt;='Detalle'!$H530,M$9&gt;='Detalle'!$G530),1,"")</x:f>
      </x:c>
      <x:c r="N1087" s="32" t="str">
        <x:f>IF(AND(N$8&lt;='Detalle'!$H530,N$9&gt;='Detalle'!$G530),1,"")</x:f>
      </x:c>
      <x:c r="O1087" s="32" t="str">
        <x:f>IF(AND(O$8&lt;='Detalle'!$H530,O$9&gt;='Detalle'!$G530),1,"")</x:f>
      </x:c>
      <x:c r="P1087" s="32" t="str">
        <x:f>IF(AND(P$8&lt;='Detalle'!$H530,P$9&gt;='Detalle'!$G530),1,"")</x:f>
      </x:c>
      <x:c r="Q1087" s="68"/>
      <x:c r="R1087" s="67" t="str">
        <x:f>IF('Detalle'!M530="","",'Detalle'!M530)</x:f>
      </x:c>
      <x:c r="S1087" s="67" t="str">
        <x:f>IF('Detalle'!N530="","",'Detalle'!N530)</x:f>
      </x:c>
    </x:row>
    <x:row r="1088" ht="16" customHeight="1">
      <x:c r="A1088" s="56" t="str">
        <x:v>MAP01.029</x:v>
      </x:c>
      <x:c r="B1088" s="57" t="str">
        <x:v>Crear pruebas y arnés de mapa</x:v>
      </x:c>
      <x:c r="C1088" s="63" t="str">
        <x:v>R</x:v>
      </x:c>
      <x:c r="D1088" s="65" t="str">
        <x:f>IF('Detalle'!L530="","",'Detalle'!L530)</x:f>
      </x:c>
      <x:c r="E1088" s="60" t="str"/>
      <x:c r="F1088" s="32" t="str">
        <x:f>IF(OR('Detalle'!$J530="",'Detalle'!$K530="",'Detalle'!$L530=""),"",IF(AND(F$8&lt;='Detalle'!$K530,F$9&gt;='Detalle'!$J530),1,""))</x:f>
      </x:c>
      <x:c r="G1088" s="32" t="str">
        <x:f>IF(OR('Detalle'!$J530="",'Detalle'!$K530="",'Detalle'!$L530=""),"",IF(AND(G$8&lt;='Detalle'!$K530,G$9&gt;='Detalle'!$J530),1,""))</x:f>
      </x:c>
      <x:c r="H1088" s="32" t="str">
        <x:f>IF(OR('Detalle'!$J530="",'Detalle'!$K530="",'Detalle'!$L530=""),"",IF(AND(H$8&lt;='Detalle'!$K530,H$9&gt;='Detalle'!$J530),1,""))</x:f>
      </x:c>
      <x:c r="I1088" s="32" t="str">
        <x:f>IF(OR('Detalle'!$J530="",'Detalle'!$K530="",'Detalle'!$L530=""),"",IF(AND(I$8&lt;='Detalle'!$K530,I$9&gt;='Detalle'!$J530),1,""))</x:f>
      </x:c>
      <x:c r="J1088" s="32" t="str">
        <x:f>IF(OR('Detalle'!$J530="",'Detalle'!$K530="",'Detalle'!$L530=""),"",IF(AND(J$8&lt;='Detalle'!$K530,J$9&gt;='Detalle'!$J530),1,""))</x:f>
      </x:c>
      <x:c r="K1088" s="32" t="str">
        <x:f>IF(OR('Detalle'!$J530="",'Detalle'!$K530="",'Detalle'!$L530=""),"",IF(AND(K$8&lt;='Detalle'!$K530,K$9&gt;='Detalle'!$J530),1,""))</x:f>
      </x:c>
      <x:c r="L1088" s="32" t="str">
        <x:f>IF(OR('Detalle'!$J530="",'Detalle'!$K530="",'Detalle'!$L530=""),"",IF(AND(L$8&lt;='Detalle'!$K530,L$9&gt;='Detalle'!$J530),1,""))</x:f>
      </x:c>
      <x:c r="M1088" s="32" t="str">
        <x:f>IF(OR('Detalle'!$J530="",'Detalle'!$K530="",'Detalle'!$L530=""),"",IF(AND(M$8&lt;='Detalle'!$K530,M$9&gt;='Detalle'!$J530),1,""))</x:f>
      </x:c>
      <x:c r="N1088" s="32" t="str">
        <x:f>IF(OR('Detalle'!$J530="",'Detalle'!$K530="",'Detalle'!$L530=""),"",IF(AND(N$8&lt;='Detalle'!$K530,N$9&gt;='Detalle'!$J530),1,""))</x:f>
      </x:c>
      <x:c r="O1088" s="32" t="str">
        <x:f>IF(OR('Detalle'!$J530="",'Detalle'!$K530="",'Detalle'!$L530=""),"",IF(AND(O$8&lt;='Detalle'!$K530,O$9&gt;='Detalle'!$J530),1,""))</x:f>
      </x:c>
      <x:c r="P1088" s="32" t="str">
        <x:f>IF(OR('Detalle'!$J530="",'Detalle'!$K530="",'Detalle'!$L530=""),"",IF(AND(P$8&lt;='Detalle'!$K530,P$9&gt;='Detalle'!$J530),1,""))</x:f>
      </x:c>
      <x:c r="Q1088" s="68"/>
      <x:c r="R1088" s="67" t="str"/>
      <x:c r="S1088" s="67" t="str"/>
    </x:row>
    <x:row r="1089" ht="20" customHeight="1">
      <x:c r="A1089" s="52" t="str">
        <x:v>MAR01 · Iconos y recursos de identidad de la aplicación</x:v>
      </x:c>
      <x:c r="B1089" s="52" t="str">
        <x:v>MAR01 · Iconos y recursos de identidad de la aplicación</x:v>
      </x:c>
      <x:c r="C1089" s="52" t="str">
        <x:v>MAR01 · Iconos y recursos de identidad de la aplicación</x:v>
      </x:c>
      <x:c r="D1089" s="52" t="str">
        <x:v>MAR01 · Iconos y recursos de identidad de la aplicación</x:v>
      </x:c>
      <x:c r="E1089" s="52" t="str">
        <x:v>MAR01 · Iconos y recursos de identidad de la aplicación</x:v>
      </x:c>
      <x:c r="F1089" s="53" t="str">
        <x:v>MAR01 · Iconos y recursos de identidad de la aplicación</x:v>
      </x:c>
      <x:c r="G1089" s="53" t="str">
        <x:v>MAR01 · Iconos y recursos de identidad de la aplicación</x:v>
      </x:c>
      <x:c r="H1089" s="53" t="str">
        <x:v>MAR01 · Iconos y recursos de identidad de la aplicación</x:v>
      </x:c>
      <x:c r="I1089" s="53" t="str">
        <x:v>MAR01 · Iconos y recursos de identidad de la aplicación</x:v>
      </x:c>
      <x:c r="J1089" s="53" t="str">
        <x:v>MAR01 · Iconos y recursos de identidad de la aplicación</x:v>
      </x:c>
      <x:c r="K1089" s="53" t="str">
        <x:v>MAR01 · Iconos y recursos de identidad de la aplicación</x:v>
      </x:c>
      <x:c r="L1089" s="53" t="str">
        <x:v>MAR01 · Iconos y recursos de identidad de la aplicación</x:v>
      </x:c>
      <x:c r="M1089" s="53" t="str">
        <x:v>MAR01 · Iconos y recursos de identidad de la aplicación</x:v>
      </x:c>
      <x:c r="N1089" s="53" t="str">
        <x:v>MAR01 · Iconos y recursos de identidad de la aplicación</x:v>
      </x:c>
      <x:c r="O1089" s="53" t="str">
        <x:v>MAR01 · Iconos y recursos de identidad de la aplicación</x:v>
      </x:c>
      <x:c r="P1089" s="53" t="str">
        <x:v>MAR01 · Iconos y recursos de identidad de la aplicación</x:v>
      </x:c>
      <x:c r="Q1089" s="52" t="str">
        <x:v>MAR01 · Iconos y recursos de identidad de la aplicación</x:v>
      </x:c>
      <x:c r="R1089" s="52" t="str">
        <x:v>MAR01 · Iconos y recursos de identidad de la aplicación</x:v>
      </x:c>
      <x:c r="S1089" s="52" t="str">
        <x:v>MAR01 · Iconos y recursos de identidad de la aplicación</x:v>
      </x:c>
    </x:row>
    <x:row r="1090" ht="16" customHeight="1">
      <x:c r="A1090" s="56" t="str">
        <x:v>MAR01.001</x:v>
      </x:c>
      <x:c r="B1090" s="57" t="str">
        <x:v>Preparar imagen de icono de aplicación</x:v>
      </x:c>
      <x:c r="C1090" s="62" t="str">
        <x:v>E</x:v>
      </x:c>
      <x:c r="D1090" s="64" t="n">
        <x:f>'Detalle'!I531</x:f>
        <x:v>1</x:v>
      </x:c>
      <x:c r="E1090" s="60" t="str">
        <x:f>'Detalle'!F531</x:f>
        <x:v>Completado</x:v>
      </x:c>
      <x:c r="F1090" s="32" t="str">
        <x:f>IF(AND(F$8&lt;='Detalle'!$H531,F$9&gt;='Detalle'!$G531),1,"")</x:f>
      </x:c>
      <x:c r="G1090" s="32" t="str">
        <x:f>IF(AND(G$8&lt;='Detalle'!$H531,G$9&gt;='Detalle'!$G531),1,"")</x:f>
      </x:c>
      <x:c r="H1090" s="32" t="str">
        <x:f>IF(AND(H$8&lt;='Detalle'!$H531,H$9&gt;='Detalle'!$G531),1,"")</x:f>
      </x:c>
      <x:c r="I1090" s="32" t="str">
        <x:f>IF(AND(I$8&lt;='Detalle'!$H531,I$9&gt;='Detalle'!$G531),1,"")</x:f>
      </x:c>
      <x:c r="J1090" s="32" t="n">
        <x:f>IF(AND(J$8&lt;='Detalle'!$H531,J$9&gt;='Detalle'!$G531),1,"")</x:f>
        <x:v>1</x:v>
      </x:c>
      <x:c r="K1090" s="32" t="str">
        <x:f>IF(AND(K$8&lt;='Detalle'!$H531,K$9&gt;='Detalle'!$G531),1,"")</x:f>
      </x:c>
      <x:c r="L1090" s="32" t="str">
        <x:f>IF(AND(L$8&lt;='Detalle'!$H531,L$9&gt;='Detalle'!$G531),1,"")</x:f>
      </x:c>
      <x:c r="M1090" s="32" t="str">
        <x:f>IF(AND(M$8&lt;='Detalle'!$H531,M$9&gt;='Detalle'!$G531),1,"")</x:f>
      </x:c>
      <x:c r="N1090" s="32" t="str">
        <x:f>IF(AND(N$8&lt;='Detalle'!$H531,N$9&gt;='Detalle'!$G531),1,"")</x:f>
      </x:c>
      <x:c r="O1090" s="32" t="str">
        <x:f>IF(AND(O$8&lt;='Detalle'!$H531,O$9&gt;='Detalle'!$G531),1,"")</x:f>
      </x:c>
      <x:c r="P1090" s="32" t="str">
        <x:f>IF(AND(P$8&lt;='Detalle'!$H531,P$9&gt;='Detalle'!$G531),1,"")</x:f>
      </x:c>
      <x:c r="Q1090" s="68"/>
      <x:c r="R1090" s="67" t="str">
        <x:f>IF('Detalle'!M531="","",'Detalle'!M531)</x:f>
      </x:c>
      <x:c r="S1090" s="67" t="str">
        <x:f>IF('Detalle'!N531="","",'Detalle'!N531)</x:f>
      </x:c>
    </x:row>
    <x:row r="1091" ht="16" customHeight="1">
      <x:c r="A1091" s="56" t="str">
        <x:v>MAR01.001</x:v>
      </x:c>
      <x:c r="B1091" s="57" t="str">
        <x:v>Preparar imagen de icono de aplicación</x:v>
      </x:c>
      <x:c r="C1091" s="63" t="str">
        <x:v>R</x:v>
      </x:c>
      <x:c r="D1091" s="65" t="str">
        <x:f>IF('Detalle'!L531="","",'Detalle'!L531)</x:f>
      </x:c>
      <x:c r="E1091" s="60" t="str"/>
      <x:c r="F1091" s="32" t="str">
        <x:f>IF(OR('Detalle'!$J531="",'Detalle'!$K531="",'Detalle'!$L531=""),"",IF(AND(F$8&lt;='Detalle'!$K531,F$9&gt;='Detalle'!$J531),1,""))</x:f>
      </x:c>
      <x:c r="G1091" s="32" t="str">
        <x:f>IF(OR('Detalle'!$J531="",'Detalle'!$K531="",'Detalle'!$L531=""),"",IF(AND(G$8&lt;='Detalle'!$K531,G$9&gt;='Detalle'!$J531),1,""))</x:f>
      </x:c>
      <x:c r="H1091" s="32" t="str">
        <x:f>IF(OR('Detalle'!$J531="",'Detalle'!$K531="",'Detalle'!$L531=""),"",IF(AND(H$8&lt;='Detalle'!$K531,H$9&gt;='Detalle'!$J531),1,""))</x:f>
      </x:c>
      <x:c r="I1091" s="32" t="str">
        <x:f>IF(OR('Detalle'!$J531="",'Detalle'!$K531="",'Detalle'!$L531=""),"",IF(AND(I$8&lt;='Detalle'!$K531,I$9&gt;='Detalle'!$J531),1,""))</x:f>
      </x:c>
      <x:c r="J1091" s="32" t="str">
        <x:f>IF(OR('Detalle'!$J531="",'Detalle'!$K531="",'Detalle'!$L531=""),"",IF(AND(J$8&lt;='Detalle'!$K531,J$9&gt;='Detalle'!$J531),1,""))</x:f>
      </x:c>
      <x:c r="K1091" s="32" t="str">
        <x:f>IF(OR('Detalle'!$J531="",'Detalle'!$K531="",'Detalle'!$L531=""),"",IF(AND(K$8&lt;='Detalle'!$K531,K$9&gt;='Detalle'!$J531),1,""))</x:f>
      </x:c>
      <x:c r="L1091" s="32" t="str">
        <x:f>IF(OR('Detalle'!$J531="",'Detalle'!$K531="",'Detalle'!$L531=""),"",IF(AND(L$8&lt;='Detalle'!$K531,L$9&gt;='Detalle'!$J531),1,""))</x:f>
      </x:c>
      <x:c r="M1091" s="32" t="str">
        <x:f>IF(OR('Detalle'!$J531="",'Detalle'!$K531="",'Detalle'!$L531=""),"",IF(AND(M$8&lt;='Detalle'!$K531,M$9&gt;='Detalle'!$J531),1,""))</x:f>
      </x:c>
      <x:c r="N1091" s="32" t="str">
        <x:f>IF(OR('Detalle'!$J531="",'Detalle'!$K531="",'Detalle'!$L531=""),"",IF(AND(N$8&lt;='Detalle'!$K531,N$9&gt;='Detalle'!$J531),1,""))</x:f>
      </x:c>
      <x:c r="O1091" s="32" t="str">
        <x:f>IF(OR('Detalle'!$J531="",'Detalle'!$K531="",'Detalle'!$L531=""),"",IF(AND(O$8&lt;='Detalle'!$K531,O$9&gt;='Detalle'!$J531),1,""))</x:f>
      </x:c>
      <x:c r="P1091" s="32" t="str">
        <x:f>IF(OR('Detalle'!$J531="",'Detalle'!$K531="",'Detalle'!$L531=""),"",IF(AND(P$8&lt;='Detalle'!$K531,P$9&gt;='Detalle'!$J531),1,""))</x:f>
      </x:c>
      <x:c r="Q1091" s="68"/>
      <x:c r="R1091" s="67" t="str"/>
      <x:c r="S1091" s="67" t="str"/>
    </x:row>
    <x:row r="1092" ht="16" customHeight="1">
      <x:c r="A1092" s="56" t="str">
        <x:v>MAR01.002</x:v>
      </x:c>
      <x:c r="B1092" s="57" t="str">
        <x:v>Generar iconos Android por densidad</x:v>
      </x:c>
      <x:c r="C1092" s="62" t="str">
        <x:v>E</x:v>
      </x:c>
      <x:c r="D1092" s="64" t="n">
        <x:f>'Detalle'!I532</x:f>
        <x:v>1</x:v>
      </x:c>
      <x:c r="E1092" s="60" t="str">
        <x:f>'Detalle'!F532</x:f>
        <x:v>Completado</x:v>
      </x:c>
      <x:c r="F1092" s="32" t="str">
        <x:f>IF(AND(F$8&lt;='Detalle'!$H532,F$9&gt;='Detalle'!$G532),1,"")</x:f>
      </x:c>
      <x:c r="G1092" s="32" t="str">
        <x:f>IF(AND(G$8&lt;='Detalle'!$H532,G$9&gt;='Detalle'!$G532),1,"")</x:f>
      </x:c>
      <x:c r="H1092" s="32" t="str">
        <x:f>IF(AND(H$8&lt;='Detalle'!$H532,H$9&gt;='Detalle'!$G532),1,"")</x:f>
      </x:c>
      <x:c r="I1092" s="32" t="str">
        <x:f>IF(AND(I$8&lt;='Detalle'!$H532,I$9&gt;='Detalle'!$G532),1,"")</x:f>
      </x:c>
      <x:c r="J1092" s="32" t="n">
        <x:f>IF(AND(J$8&lt;='Detalle'!$H532,J$9&gt;='Detalle'!$G532),1,"")</x:f>
        <x:v>1</x:v>
      </x:c>
      <x:c r="K1092" s="32" t="str">
        <x:f>IF(AND(K$8&lt;='Detalle'!$H532,K$9&gt;='Detalle'!$G532),1,"")</x:f>
      </x:c>
      <x:c r="L1092" s="32" t="str">
        <x:f>IF(AND(L$8&lt;='Detalle'!$H532,L$9&gt;='Detalle'!$G532),1,"")</x:f>
      </x:c>
      <x:c r="M1092" s="32" t="str">
        <x:f>IF(AND(M$8&lt;='Detalle'!$H532,M$9&gt;='Detalle'!$G532),1,"")</x:f>
      </x:c>
      <x:c r="N1092" s="32" t="str">
        <x:f>IF(AND(N$8&lt;='Detalle'!$H532,N$9&gt;='Detalle'!$G532),1,"")</x:f>
      </x:c>
      <x:c r="O1092" s="32" t="str">
        <x:f>IF(AND(O$8&lt;='Detalle'!$H532,O$9&gt;='Detalle'!$G532),1,"")</x:f>
      </x:c>
      <x:c r="P1092" s="32" t="str">
        <x:f>IF(AND(P$8&lt;='Detalle'!$H532,P$9&gt;='Detalle'!$G532),1,"")</x:f>
      </x:c>
      <x:c r="Q1092" s="68"/>
      <x:c r="R1092" s="67" t="str">
        <x:f>IF('Detalle'!M532="","",'Detalle'!M532)</x:f>
      </x:c>
      <x:c r="S1092" s="67" t="str">
        <x:f>IF('Detalle'!N532="","",'Detalle'!N532)</x:f>
      </x:c>
    </x:row>
    <x:row r="1093" ht="16" customHeight="1">
      <x:c r="A1093" s="56" t="str">
        <x:v>MAR01.002</x:v>
      </x:c>
      <x:c r="B1093" s="57" t="str">
        <x:v>Generar iconos Android por densidad</x:v>
      </x:c>
      <x:c r="C1093" s="63" t="str">
        <x:v>R</x:v>
      </x:c>
      <x:c r="D1093" s="65" t="str">
        <x:f>IF('Detalle'!L532="","",'Detalle'!L532)</x:f>
      </x:c>
      <x:c r="E1093" s="60" t="str"/>
      <x:c r="F1093" s="32" t="str">
        <x:f>IF(OR('Detalle'!$J532="",'Detalle'!$K532="",'Detalle'!$L532=""),"",IF(AND(F$8&lt;='Detalle'!$K532,F$9&gt;='Detalle'!$J532),1,""))</x:f>
      </x:c>
      <x:c r="G1093" s="32" t="str">
        <x:f>IF(OR('Detalle'!$J532="",'Detalle'!$K532="",'Detalle'!$L532=""),"",IF(AND(G$8&lt;='Detalle'!$K532,G$9&gt;='Detalle'!$J532),1,""))</x:f>
      </x:c>
      <x:c r="H1093" s="32" t="str">
        <x:f>IF(OR('Detalle'!$J532="",'Detalle'!$K532="",'Detalle'!$L532=""),"",IF(AND(H$8&lt;='Detalle'!$K532,H$9&gt;='Detalle'!$J532),1,""))</x:f>
      </x:c>
      <x:c r="I1093" s="32" t="str">
        <x:f>IF(OR('Detalle'!$J532="",'Detalle'!$K532="",'Detalle'!$L532=""),"",IF(AND(I$8&lt;='Detalle'!$K532,I$9&gt;='Detalle'!$J532),1,""))</x:f>
      </x:c>
      <x:c r="J1093" s="32" t="str">
        <x:f>IF(OR('Detalle'!$J532="",'Detalle'!$K532="",'Detalle'!$L532=""),"",IF(AND(J$8&lt;='Detalle'!$K532,J$9&gt;='Detalle'!$J532),1,""))</x:f>
      </x:c>
      <x:c r="K1093" s="32" t="str">
        <x:f>IF(OR('Detalle'!$J532="",'Detalle'!$K532="",'Detalle'!$L532=""),"",IF(AND(K$8&lt;='Detalle'!$K532,K$9&gt;='Detalle'!$J532),1,""))</x:f>
      </x:c>
      <x:c r="L1093" s="32" t="str">
        <x:f>IF(OR('Detalle'!$J532="",'Detalle'!$K532="",'Detalle'!$L532=""),"",IF(AND(L$8&lt;='Detalle'!$K532,L$9&gt;='Detalle'!$J532),1,""))</x:f>
      </x:c>
      <x:c r="M1093" s="32" t="str">
        <x:f>IF(OR('Detalle'!$J532="",'Detalle'!$K532="",'Detalle'!$L532=""),"",IF(AND(M$8&lt;='Detalle'!$K532,M$9&gt;='Detalle'!$J532),1,""))</x:f>
      </x:c>
      <x:c r="N1093" s="32" t="str">
        <x:f>IF(OR('Detalle'!$J532="",'Detalle'!$K532="",'Detalle'!$L532=""),"",IF(AND(N$8&lt;='Detalle'!$K532,N$9&gt;='Detalle'!$J532),1,""))</x:f>
      </x:c>
      <x:c r="O1093" s="32" t="str">
        <x:f>IF(OR('Detalle'!$J532="",'Detalle'!$K532="",'Detalle'!$L532=""),"",IF(AND(O$8&lt;='Detalle'!$K532,O$9&gt;='Detalle'!$J532),1,""))</x:f>
      </x:c>
      <x:c r="P1093" s="32" t="str">
        <x:f>IF(OR('Detalle'!$J532="",'Detalle'!$K532="",'Detalle'!$L532=""),"",IF(AND(P$8&lt;='Detalle'!$K532,P$9&gt;='Detalle'!$J532),1,""))</x:f>
      </x:c>
      <x:c r="Q1093" s="68"/>
      <x:c r="R1093" s="67" t="str"/>
      <x:c r="S1093" s="67" t="str"/>
    </x:row>
    <x:row r="1094" ht="16" customHeight="1">
      <x:c r="A1094" s="56" t="str">
        <x:v>MAR01.003</x:v>
      </x:c>
      <x:c r="B1094" s="57" t="str">
        <x:v>Generar variantes del icono iOS</x:v>
      </x:c>
      <x:c r="C1094" s="62" t="str">
        <x:v>E</x:v>
      </x:c>
      <x:c r="D1094" s="64" t="n">
        <x:f>'Detalle'!I533</x:f>
        <x:v>1</x:v>
      </x:c>
      <x:c r="E1094" s="60" t="str">
        <x:f>'Detalle'!F533</x:f>
        <x:v>Completado</x:v>
      </x:c>
      <x:c r="F1094" s="32" t="str">
        <x:f>IF(AND(F$8&lt;='Detalle'!$H533,F$9&gt;='Detalle'!$G533),1,"")</x:f>
      </x:c>
      <x:c r="G1094" s="32" t="str">
        <x:f>IF(AND(G$8&lt;='Detalle'!$H533,G$9&gt;='Detalle'!$G533),1,"")</x:f>
      </x:c>
      <x:c r="H1094" s="32" t="str">
        <x:f>IF(AND(H$8&lt;='Detalle'!$H533,H$9&gt;='Detalle'!$G533),1,"")</x:f>
      </x:c>
      <x:c r="I1094" s="32" t="str">
        <x:f>IF(AND(I$8&lt;='Detalle'!$H533,I$9&gt;='Detalle'!$G533),1,"")</x:f>
      </x:c>
      <x:c r="J1094" s="32" t="n">
        <x:f>IF(AND(J$8&lt;='Detalle'!$H533,J$9&gt;='Detalle'!$G533),1,"")</x:f>
        <x:v>1</x:v>
      </x:c>
      <x:c r="K1094" s="32" t="str">
        <x:f>IF(AND(K$8&lt;='Detalle'!$H533,K$9&gt;='Detalle'!$G533),1,"")</x:f>
      </x:c>
      <x:c r="L1094" s="32" t="str">
        <x:f>IF(AND(L$8&lt;='Detalle'!$H533,L$9&gt;='Detalle'!$G533),1,"")</x:f>
      </x:c>
      <x:c r="M1094" s="32" t="str">
        <x:f>IF(AND(M$8&lt;='Detalle'!$H533,M$9&gt;='Detalle'!$G533),1,"")</x:f>
      </x:c>
      <x:c r="N1094" s="32" t="str">
        <x:f>IF(AND(N$8&lt;='Detalle'!$H533,N$9&gt;='Detalle'!$G533),1,"")</x:f>
      </x:c>
      <x:c r="O1094" s="32" t="str">
        <x:f>IF(AND(O$8&lt;='Detalle'!$H533,O$9&gt;='Detalle'!$G533),1,"")</x:f>
      </x:c>
      <x:c r="P1094" s="32" t="str">
        <x:f>IF(AND(P$8&lt;='Detalle'!$H533,P$9&gt;='Detalle'!$G533),1,"")</x:f>
      </x:c>
      <x:c r="Q1094" s="68"/>
      <x:c r="R1094" s="67" t="str">
        <x:f>IF('Detalle'!M533="","",'Detalle'!M533)</x:f>
      </x:c>
      <x:c r="S1094" s="67" t="str">
        <x:f>IF('Detalle'!N533="","",'Detalle'!N533)</x:f>
      </x:c>
    </x:row>
    <x:row r="1095" ht="16" customHeight="1">
      <x:c r="A1095" s="56" t="str">
        <x:v>MAR01.003</x:v>
      </x:c>
      <x:c r="B1095" s="57" t="str">
        <x:v>Generar variantes del icono iOS</x:v>
      </x:c>
      <x:c r="C1095" s="63" t="str">
        <x:v>R</x:v>
      </x:c>
      <x:c r="D1095" s="65" t="str">
        <x:f>IF('Detalle'!L533="","",'Detalle'!L533)</x:f>
      </x:c>
      <x:c r="E1095" s="60" t="str"/>
      <x:c r="F1095" s="32" t="str">
        <x:f>IF(OR('Detalle'!$J533="",'Detalle'!$K533="",'Detalle'!$L533=""),"",IF(AND(F$8&lt;='Detalle'!$K533,F$9&gt;='Detalle'!$J533),1,""))</x:f>
      </x:c>
      <x:c r="G1095" s="32" t="str">
        <x:f>IF(OR('Detalle'!$J533="",'Detalle'!$K533="",'Detalle'!$L533=""),"",IF(AND(G$8&lt;='Detalle'!$K533,G$9&gt;='Detalle'!$J533),1,""))</x:f>
      </x:c>
      <x:c r="H1095" s="32" t="str">
        <x:f>IF(OR('Detalle'!$J533="",'Detalle'!$K533="",'Detalle'!$L533=""),"",IF(AND(H$8&lt;='Detalle'!$K533,H$9&gt;='Detalle'!$J533),1,""))</x:f>
      </x:c>
      <x:c r="I1095" s="32" t="str">
        <x:f>IF(OR('Detalle'!$J533="",'Detalle'!$K533="",'Detalle'!$L533=""),"",IF(AND(I$8&lt;='Detalle'!$K533,I$9&gt;='Detalle'!$J533),1,""))</x:f>
      </x:c>
      <x:c r="J1095" s="32" t="str">
        <x:f>IF(OR('Detalle'!$J533="",'Detalle'!$K533="",'Detalle'!$L533=""),"",IF(AND(J$8&lt;='Detalle'!$K533,J$9&gt;='Detalle'!$J533),1,""))</x:f>
      </x:c>
      <x:c r="K1095" s="32" t="str">
        <x:f>IF(OR('Detalle'!$J533="",'Detalle'!$K533="",'Detalle'!$L533=""),"",IF(AND(K$8&lt;='Detalle'!$K533,K$9&gt;='Detalle'!$J533),1,""))</x:f>
      </x:c>
      <x:c r="L1095" s="32" t="str">
        <x:f>IF(OR('Detalle'!$J533="",'Detalle'!$K533="",'Detalle'!$L533=""),"",IF(AND(L$8&lt;='Detalle'!$K533,L$9&gt;='Detalle'!$J533),1,""))</x:f>
      </x:c>
      <x:c r="M1095" s="32" t="str">
        <x:f>IF(OR('Detalle'!$J533="",'Detalle'!$K533="",'Detalle'!$L533=""),"",IF(AND(M$8&lt;='Detalle'!$K533,M$9&gt;='Detalle'!$J533),1,""))</x:f>
      </x:c>
      <x:c r="N1095" s="32" t="str">
        <x:f>IF(OR('Detalle'!$J533="",'Detalle'!$K533="",'Detalle'!$L533=""),"",IF(AND(N$8&lt;='Detalle'!$K533,N$9&gt;='Detalle'!$J533),1,""))</x:f>
      </x:c>
      <x:c r="O1095" s="32" t="str">
        <x:f>IF(OR('Detalle'!$J533="",'Detalle'!$K533="",'Detalle'!$L533=""),"",IF(AND(O$8&lt;='Detalle'!$K533,O$9&gt;='Detalle'!$J533),1,""))</x:f>
      </x:c>
      <x:c r="P1095" s="32" t="str">
        <x:f>IF(OR('Detalle'!$J533="",'Detalle'!$K533="",'Detalle'!$L533=""),"",IF(AND(P$8&lt;='Detalle'!$K533,P$9&gt;='Detalle'!$J533),1,""))</x:f>
      </x:c>
      <x:c r="Q1095" s="68"/>
      <x:c r="R1095" s="67" t="str"/>
      <x:c r="S1095" s="67" t="str"/>
    </x:row>
    <x:row r="1096" ht="16" customHeight="1">
      <x:c r="A1096" s="56" t="str">
        <x:v>MAR01.004</x:v>
      </x:c>
      <x:c r="B1096" s="57" t="str">
        <x:v>Actualizar catálogo AppIcon</x:v>
      </x:c>
      <x:c r="C1096" s="62" t="str">
        <x:v>E</x:v>
      </x:c>
      <x:c r="D1096" s="64" t="n">
        <x:f>'Detalle'!I534</x:f>
        <x:v>1</x:v>
      </x:c>
      <x:c r="E1096" s="60" t="str">
        <x:f>'Detalle'!F534</x:f>
        <x:v>Completado</x:v>
      </x:c>
      <x:c r="F1096" s="32" t="str">
        <x:f>IF(AND(F$8&lt;='Detalle'!$H534,F$9&gt;='Detalle'!$G534),1,"")</x:f>
      </x:c>
      <x:c r="G1096" s="32" t="str">
        <x:f>IF(AND(G$8&lt;='Detalle'!$H534,G$9&gt;='Detalle'!$G534),1,"")</x:f>
      </x:c>
      <x:c r="H1096" s="32" t="str">
        <x:f>IF(AND(H$8&lt;='Detalle'!$H534,H$9&gt;='Detalle'!$G534),1,"")</x:f>
      </x:c>
      <x:c r="I1096" s="32" t="str">
        <x:f>IF(AND(I$8&lt;='Detalle'!$H534,I$9&gt;='Detalle'!$G534),1,"")</x:f>
      </x:c>
      <x:c r="J1096" s="32" t="n">
        <x:f>IF(AND(J$8&lt;='Detalle'!$H534,J$9&gt;='Detalle'!$G534),1,"")</x:f>
        <x:v>1</x:v>
      </x:c>
      <x:c r="K1096" s="32" t="str">
        <x:f>IF(AND(K$8&lt;='Detalle'!$H534,K$9&gt;='Detalle'!$G534),1,"")</x:f>
      </x:c>
      <x:c r="L1096" s="32" t="str">
        <x:f>IF(AND(L$8&lt;='Detalle'!$H534,L$9&gt;='Detalle'!$G534),1,"")</x:f>
      </x:c>
      <x:c r="M1096" s="32" t="str">
        <x:f>IF(AND(M$8&lt;='Detalle'!$H534,M$9&gt;='Detalle'!$G534),1,"")</x:f>
      </x:c>
      <x:c r="N1096" s="32" t="str">
        <x:f>IF(AND(N$8&lt;='Detalle'!$H534,N$9&gt;='Detalle'!$G534),1,"")</x:f>
      </x:c>
      <x:c r="O1096" s="32" t="str">
        <x:f>IF(AND(O$8&lt;='Detalle'!$H534,O$9&gt;='Detalle'!$G534),1,"")</x:f>
      </x:c>
      <x:c r="P1096" s="32" t="str">
        <x:f>IF(AND(P$8&lt;='Detalle'!$H534,P$9&gt;='Detalle'!$G534),1,"")</x:f>
      </x:c>
      <x:c r="Q1096" s="68"/>
      <x:c r="R1096" s="67" t="str">
        <x:f>IF('Detalle'!M534="","",'Detalle'!M534)</x:f>
      </x:c>
      <x:c r="S1096" s="67" t="str">
        <x:f>IF('Detalle'!N534="","",'Detalle'!N534)</x:f>
      </x:c>
    </x:row>
    <x:row r="1097" ht="16" customHeight="1">
      <x:c r="A1097" s="56" t="str">
        <x:v>MAR01.004</x:v>
      </x:c>
      <x:c r="B1097" s="57" t="str">
        <x:v>Actualizar catálogo AppIcon</x:v>
      </x:c>
      <x:c r="C1097" s="63" t="str">
        <x:v>R</x:v>
      </x:c>
      <x:c r="D1097" s="65" t="str">
        <x:f>IF('Detalle'!L534="","",'Detalle'!L534)</x:f>
      </x:c>
      <x:c r="E1097" s="60" t="str"/>
      <x:c r="F1097" s="32" t="str">
        <x:f>IF(OR('Detalle'!$J534="",'Detalle'!$K534="",'Detalle'!$L534=""),"",IF(AND(F$8&lt;='Detalle'!$K534,F$9&gt;='Detalle'!$J534),1,""))</x:f>
      </x:c>
      <x:c r="G1097" s="32" t="str">
        <x:f>IF(OR('Detalle'!$J534="",'Detalle'!$K534="",'Detalle'!$L534=""),"",IF(AND(G$8&lt;='Detalle'!$K534,G$9&gt;='Detalle'!$J534),1,""))</x:f>
      </x:c>
      <x:c r="H1097" s="32" t="str">
        <x:f>IF(OR('Detalle'!$J534="",'Detalle'!$K534="",'Detalle'!$L534=""),"",IF(AND(H$8&lt;='Detalle'!$K534,H$9&gt;='Detalle'!$J534),1,""))</x:f>
      </x:c>
      <x:c r="I1097" s="32" t="str">
        <x:f>IF(OR('Detalle'!$J534="",'Detalle'!$K534="",'Detalle'!$L534=""),"",IF(AND(I$8&lt;='Detalle'!$K534,I$9&gt;='Detalle'!$J534),1,""))</x:f>
      </x:c>
      <x:c r="J1097" s="32" t="str">
        <x:f>IF(OR('Detalle'!$J534="",'Detalle'!$K534="",'Detalle'!$L534=""),"",IF(AND(J$8&lt;='Detalle'!$K534,J$9&gt;='Detalle'!$J534),1,""))</x:f>
      </x:c>
      <x:c r="K1097" s="32" t="str">
        <x:f>IF(OR('Detalle'!$J534="",'Detalle'!$K534="",'Detalle'!$L534=""),"",IF(AND(K$8&lt;='Detalle'!$K534,K$9&gt;='Detalle'!$J534),1,""))</x:f>
      </x:c>
      <x:c r="L1097" s="32" t="str">
        <x:f>IF(OR('Detalle'!$J534="",'Detalle'!$K534="",'Detalle'!$L534=""),"",IF(AND(L$8&lt;='Detalle'!$K534,L$9&gt;='Detalle'!$J534),1,""))</x:f>
      </x:c>
      <x:c r="M1097" s="32" t="str">
        <x:f>IF(OR('Detalle'!$J534="",'Detalle'!$K534="",'Detalle'!$L534=""),"",IF(AND(M$8&lt;='Detalle'!$K534,M$9&gt;='Detalle'!$J534),1,""))</x:f>
      </x:c>
      <x:c r="N1097" s="32" t="str">
        <x:f>IF(OR('Detalle'!$J534="",'Detalle'!$K534="",'Detalle'!$L534=""),"",IF(AND(N$8&lt;='Detalle'!$K534,N$9&gt;='Detalle'!$J534),1,""))</x:f>
      </x:c>
      <x:c r="O1097" s="32" t="str">
        <x:f>IF(OR('Detalle'!$J534="",'Detalle'!$K534="",'Detalle'!$L534=""),"",IF(AND(O$8&lt;='Detalle'!$K534,O$9&gt;='Detalle'!$J534),1,""))</x:f>
      </x:c>
      <x:c r="P1097" s="32" t="str">
        <x:f>IF(OR('Detalle'!$J534="",'Detalle'!$K534="",'Detalle'!$L534=""),"",IF(AND(P$8&lt;='Detalle'!$K534,P$9&gt;='Detalle'!$J534),1,""))</x:f>
      </x:c>
      <x:c r="Q1097" s="68"/>
      <x:c r="R1097" s="67" t="str"/>
      <x:c r="S1097" s="67" t="str"/>
    </x:row>
    <x:row r="1098" ht="16" customHeight="1">
      <x:c r="A1098" s="56" t="str">
        <x:v>MAR01.005</x:v>
      </x:c>
      <x:c r="B1098" s="57" t="str">
        <x:v>Actualizar configuración de identidad iOS</x:v>
      </x:c>
      <x:c r="C1098" s="62" t="str">
        <x:v>E</x:v>
      </x:c>
      <x:c r="D1098" s="64" t="n">
        <x:f>'Detalle'!I535</x:f>
        <x:v>1</x:v>
      </x:c>
      <x:c r="E1098" s="60" t="str">
        <x:f>'Detalle'!F535</x:f>
        <x:v>Completado</x:v>
      </x:c>
      <x:c r="F1098" s="32" t="str">
        <x:f>IF(AND(F$8&lt;='Detalle'!$H535,F$9&gt;='Detalle'!$G535),1,"")</x:f>
      </x:c>
      <x:c r="G1098" s="32" t="str">
        <x:f>IF(AND(G$8&lt;='Detalle'!$H535,G$9&gt;='Detalle'!$G535),1,"")</x:f>
      </x:c>
      <x:c r="H1098" s="32" t="str">
        <x:f>IF(AND(H$8&lt;='Detalle'!$H535,H$9&gt;='Detalle'!$G535),1,"")</x:f>
      </x:c>
      <x:c r="I1098" s="32" t="str">
        <x:f>IF(AND(I$8&lt;='Detalle'!$H535,I$9&gt;='Detalle'!$G535),1,"")</x:f>
      </x:c>
      <x:c r="J1098" s="32" t="n">
        <x:f>IF(AND(J$8&lt;='Detalle'!$H535,J$9&gt;='Detalle'!$G535),1,"")</x:f>
        <x:v>1</x:v>
      </x:c>
      <x:c r="K1098" s="32" t="str">
        <x:f>IF(AND(K$8&lt;='Detalle'!$H535,K$9&gt;='Detalle'!$G535),1,"")</x:f>
      </x:c>
      <x:c r="L1098" s="32" t="str">
        <x:f>IF(AND(L$8&lt;='Detalle'!$H535,L$9&gt;='Detalle'!$G535),1,"")</x:f>
      </x:c>
      <x:c r="M1098" s="32" t="str">
        <x:f>IF(AND(M$8&lt;='Detalle'!$H535,M$9&gt;='Detalle'!$G535),1,"")</x:f>
      </x:c>
      <x:c r="N1098" s="32" t="str">
        <x:f>IF(AND(N$8&lt;='Detalle'!$H535,N$9&gt;='Detalle'!$G535),1,"")</x:f>
      </x:c>
      <x:c r="O1098" s="32" t="str">
        <x:f>IF(AND(O$8&lt;='Detalle'!$H535,O$9&gt;='Detalle'!$G535),1,"")</x:f>
      </x:c>
      <x:c r="P1098" s="32" t="str">
        <x:f>IF(AND(P$8&lt;='Detalle'!$H535,P$9&gt;='Detalle'!$G535),1,"")</x:f>
      </x:c>
      <x:c r="Q1098" s="68"/>
      <x:c r="R1098" s="67" t="str">
        <x:f>IF('Detalle'!M535="","",'Detalle'!M535)</x:f>
      </x:c>
      <x:c r="S1098" s="67" t="str">
        <x:f>IF('Detalle'!N535="","",'Detalle'!N535)</x:f>
      </x:c>
    </x:row>
    <x:row r="1099" ht="16" customHeight="1">
      <x:c r="A1099" s="56" t="str">
        <x:v>MAR01.005</x:v>
      </x:c>
      <x:c r="B1099" s="57" t="str">
        <x:v>Actualizar configuración de identidad iOS</x:v>
      </x:c>
      <x:c r="C1099" s="63" t="str">
        <x:v>R</x:v>
      </x:c>
      <x:c r="D1099" s="65" t="str">
        <x:f>IF('Detalle'!L535="","",'Detalle'!L535)</x:f>
      </x:c>
      <x:c r="E1099" s="60" t="str"/>
      <x:c r="F1099" s="32" t="str">
        <x:f>IF(OR('Detalle'!$J535="",'Detalle'!$K535="",'Detalle'!$L535=""),"",IF(AND(F$8&lt;='Detalle'!$K535,F$9&gt;='Detalle'!$J535),1,""))</x:f>
      </x:c>
      <x:c r="G1099" s="32" t="str">
        <x:f>IF(OR('Detalle'!$J535="",'Detalle'!$K535="",'Detalle'!$L535=""),"",IF(AND(G$8&lt;='Detalle'!$K535,G$9&gt;='Detalle'!$J535),1,""))</x:f>
      </x:c>
      <x:c r="H1099" s="32" t="str">
        <x:f>IF(OR('Detalle'!$J535="",'Detalle'!$K535="",'Detalle'!$L535=""),"",IF(AND(H$8&lt;='Detalle'!$K535,H$9&gt;='Detalle'!$J535),1,""))</x:f>
      </x:c>
      <x:c r="I1099" s="32" t="str">
        <x:f>IF(OR('Detalle'!$J535="",'Detalle'!$K535="",'Detalle'!$L535=""),"",IF(AND(I$8&lt;='Detalle'!$K535,I$9&gt;='Detalle'!$J535),1,""))</x:f>
      </x:c>
      <x:c r="J1099" s="32" t="str">
        <x:f>IF(OR('Detalle'!$J535="",'Detalle'!$K535="",'Detalle'!$L535=""),"",IF(AND(J$8&lt;='Detalle'!$K535,J$9&gt;='Detalle'!$J535),1,""))</x:f>
      </x:c>
      <x:c r="K1099" s="32" t="str">
        <x:f>IF(OR('Detalle'!$J535="",'Detalle'!$K535="",'Detalle'!$L535=""),"",IF(AND(K$8&lt;='Detalle'!$K535,K$9&gt;='Detalle'!$J535),1,""))</x:f>
      </x:c>
      <x:c r="L1099" s="32" t="str">
        <x:f>IF(OR('Detalle'!$J535="",'Detalle'!$K535="",'Detalle'!$L535=""),"",IF(AND(L$8&lt;='Detalle'!$K535,L$9&gt;='Detalle'!$J535),1,""))</x:f>
      </x:c>
      <x:c r="M1099" s="32" t="str">
        <x:f>IF(OR('Detalle'!$J535="",'Detalle'!$K535="",'Detalle'!$L535=""),"",IF(AND(M$8&lt;='Detalle'!$K535,M$9&gt;='Detalle'!$J535),1,""))</x:f>
      </x:c>
      <x:c r="N1099" s="32" t="str">
        <x:f>IF(OR('Detalle'!$J535="",'Detalle'!$K535="",'Detalle'!$L535=""),"",IF(AND(N$8&lt;='Detalle'!$K535,N$9&gt;='Detalle'!$J535),1,""))</x:f>
      </x:c>
      <x:c r="O1099" s="32" t="str">
        <x:f>IF(OR('Detalle'!$J535="",'Detalle'!$K535="",'Detalle'!$L535=""),"",IF(AND(O$8&lt;='Detalle'!$K535,O$9&gt;='Detalle'!$J535),1,""))</x:f>
      </x:c>
      <x:c r="P1099" s="32" t="str">
        <x:f>IF(OR('Detalle'!$J535="",'Detalle'!$K535="",'Detalle'!$L535=""),"",IF(AND(P$8&lt;='Detalle'!$K535,P$9&gt;='Detalle'!$J535),1,""))</x:f>
      </x:c>
      <x:c r="Q1099" s="68"/>
      <x:c r="R1099" s="67" t="str"/>
      <x:c r="S1099" s="67" t="str"/>
    </x:row>
    <x:row r="1100" ht="16" customHeight="1">
      <x:c r="A1100" s="56" t="str">
        <x:v>MAR01.006</x:v>
      </x:c>
      <x:c r="B1100" s="57" t="str">
        <x:v>Conservar logotipo e isotipo separados</x:v>
      </x:c>
      <x:c r="C1100" s="62" t="str">
        <x:v>E</x:v>
      </x:c>
      <x:c r="D1100" s="64" t="n">
        <x:f>'Detalle'!I536</x:f>
        <x:v>1</x:v>
      </x:c>
      <x:c r="E1100" s="60" t="str">
        <x:f>'Detalle'!F536</x:f>
        <x:v>Completado</x:v>
      </x:c>
      <x:c r="F1100" s="32" t="str">
        <x:f>IF(AND(F$8&lt;='Detalle'!$H536,F$9&gt;='Detalle'!$G536),1,"")</x:f>
      </x:c>
      <x:c r="G1100" s="32" t="str">
        <x:f>IF(AND(G$8&lt;='Detalle'!$H536,G$9&gt;='Detalle'!$G536),1,"")</x:f>
      </x:c>
      <x:c r="H1100" s="32" t="str">
        <x:f>IF(AND(H$8&lt;='Detalle'!$H536,H$9&gt;='Detalle'!$G536),1,"")</x:f>
      </x:c>
      <x:c r="I1100" s="32" t="str">
        <x:f>IF(AND(I$8&lt;='Detalle'!$H536,I$9&gt;='Detalle'!$G536),1,"")</x:f>
      </x:c>
      <x:c r="J1100" s="32" t="n">
        <x:f>IF(AND(J$8&lt;='Detalle'!$H536,J$9&gt;='Detalle'!$G536),1,"")</x:f>
        <x:v>1</x:v>
      </x:c>
      <x:c r="K1100" s="32" t="str">
        <x:f>IF(AND(K$8&lt;='Detalle'!$H536,K$9&gt;='Detalle'!$G536),1,"")</x:f>
      </x:c>
      <x:c r="L1100" s="32" t="str">
        <x:f>IF(AND(L$8&lt;='Detalle'!$H536,L$9&gt;='Detalle'!$G536),1,"")</x:f>
      </x:c>
      <x:c r="M1100" s="32" t="str">
        <x:f>IF(AND(M$8&lt;='Detalle'!$H536,M$9&gt;='Detalle'!$G536),1,"")</x:f>
      </x:c>
      <x:c r="N1100" s="32" t="str">
        <x:f>IF(AND(N$8&lt;='Detalle'!$H536,N$9&gt;='Detalle'!$G536),1,"")</x:f>
      </x:c>
      <x:c r="O1100" s="32" t="str">
        <x:f>IF(AND(O$8&lt;='Detalle'!$H536,O$9&gt;='Detalle'!$G536),1,"")</x:f>
      </x:c>
      <x:c r="P1100" s="32" t="str">
        <x:f>IF(AND(P$8&lt;='Detalle'!$H536,P$9&gt;='Detalle'!$G536),1,"")</x:f>
      </x:c>
      <x:c r="Q1100" s="68"/>
      <x:c r="R1100" s="67" t="str">
        <x:f>IF('Detalle'!M536="","",'Detalle'!M536)</x:f>
      </x:c>
      <x:c r="S1100" s="67" t="str">
        <x:f>IF('Detalle'!N536="","",'Detalle'!N536)</x:f>
      </x:c>
    </x:row>
    <x:row r="1101" ht="16" customHeight="1">
      <x:c r="A1101" s="56" t="str">
        <x:v>MAR01.006</x:v>
      </x:c>
      <x:c r="B1101" s="57" t="str">
        <x:v>Conservar logotipo e isotipo separados</x:v>
      </x:c>
      <x:c r="C1101" s="63" t="str">
        <x:v>R</x:v>
      </x:c>
      <x:c r="D1101" s="65" t="str">
        <x:f>IF('Detalle'!L536="","",'Detalle'!L536)</x:f>
      </x:c>
      <x:c r="E1101" s="60" t="str"/>
      <x:c r="F1101" s="32" t="str">
        <x:f>IF(OR('Detalle'!$J536="",'Detalle'!$K536="",'Detalle'!$L536=""),"",IF(AND(F$8&lt;='Detalle'!$K536,F$9&gt;='Detalle'!$J536),1,""))</x:f>
      </x:c>
      <x:c r="G1101" s="32" t="str">
        <x:f>IF(OR('Detalle'!$J536="",'Detalle'!$K536="",'Detalle'!$L536=""),"",IF(AND(G$8&lt;='Detalle'!$K536,G$9&gt;='Detalle'!$J536),1,""))</x:f>
      </x:c>
      <x:c r="H1101" s="32" t="str">
        <x:f>IF(OR('Detalle'!$J536="",'Detalle'!$K536="",'Detalle'!$L536=""),"",IF(AND(H$8&lt;='Detalle'!$K536,H$9&gt;='Detalle'!$J536),1,""))</x:f>
      </x:c>
      <x:c r="I1101" s="32" t="str">
        <x:f>IF(OR('Detalle'!$J536="",'Detalle'!$K536="",'Detalle'!$L536=""),"",IF(AND(I$8&lt;='Detalle'!$K536,I$9&gt;='Detalle'!$J536),1,""))</x:f>
      </x:c>
      <x:c r="J1101" s="32" t="str">
        <x:f>IF(OR('Detalle'!$J536="",'Detalle'!$K536="",'Detalle'!$L536=""),"",IF(AND(J$8&lt;='Detalle'!$K536,J$9&gt;='Detalle'!$J536),1,""))</x:f>
      </x:c>
      <x:c r="K1101" s="32" t="str">
        <x:f>IF(OR('Detalle'!$J536="",'Detalle'!$K536="",'Detalle'!$L536=""),"",IF(AND(K$8&lt;='Detalle'!$K536,K$9&gt;='Detalle'!$J536),1,""))</x:f>
      </x:c>
      <x:c r="L1101" s="32" t="str">
        <x:f>IF(OR('Detalle'!$J536="",'Detalle'!$K536="",'Detalle'!$L536=""),"",IF(AND(L$8&lt;='Detalle'!$K536,L$9&gt;='Detalle'!$J536),1,""))</x:f>
      </x:c>
      <x:c r="M1101" s="32" t="str">
        <x:f>IF(OR('Detalle'!$J536="",'Detalle'!$K536="",'Detalle'!$L536=""),"",IF(AND(M$8&lt;='Detalle'!$K536,M$9&gt;='Detalle'!$J536),1,""))</x:f>
      </x:c>
      <x:c r="N1101" s="32" t="str">
        <x:f>IF(OR('Detalle'!$J536="",'Detalle'!$K536="",'Detalle'!$L536=""),"",IF(AND(N$8&lt;='Detalle'!$K536,N$9&gt;='Detalle'!$J536),1,""))</x:f>
      </x:c>
      <x:c r="O1101" s="32" t="str">
        <x:f>IF(OR('Detalle'!$J536="",'Detalle'!$K536="",'Detalle'!$L536=""),"",IF(AND(O$8&lt;='Detalle'!$K536,O$9&gt;='Detalle'!$J536),1,""))</x:f>
      </x:c>
      <x:c r="P1101" s="32" t="str">
        <x:f>IF(OR('Detalle'!$J536="",'Detalle'!$K536="",'Detalle'!$L536=""),"",IF(AND(P$8&lt;='Detalle'!$K536,P$9&gt;='Detalle'!$J536),1,""))</x:f>
      </x:c>
      <x:c r="Q1101" s="68"/>
      <x:c r="R1101" s="67" t="str"/>
      <x:c r="S1101" s="67" t="str"/>
    </x:row>
    <x:row r="1102" ht="20" customHeight="1">
      <x:c r="A1102" s="52" t="str">
        <x:v>INT01 · Reacciones e interacciones modernas</x:v>
      </x:c>
      <x:c r="B1102" s="52" t="str">
        <x:v>INT01 · Reacciones e interacciones modernas</x:v>
      </x:c>
      <x:c r="C1102" s="52" t="str">
        <x:v>INT01 · Reacciones e interacciones modernas</x:v>
      </x:c>
      <x:c r="D1102" s="52" t="str">
        <x:v>INT01 · Reacciones e interacciones modernas</x:v>
      </x:c>
      <x:c r="E1102" s="52" t="str">
        <x:v>INT01 · Reacciones e interacciones modernas</x:v>
      </x:c>
      <x:c r="F1102" s="53" t="str">
        <x:v>INT01 · Reacciones e interacciones modernas</x:v>
      </x:c>
      <x:c r="G1102" s="53" t="str">
        <x:v>INT01 · Reacciones e interacciones modernas</x:v>
      </x:c>
      <x:c r="H1102" s="53" t="str">
        <x:v>INT01 · Reacciones e interacciones modernas</x:v>
      </x:c>
      <x:c r="I1102" s="53" t="str">
        <x:v>INT01 · Reacciones e interacciones modernas</x:v>
      </x:c>
      <x:c r="J1102" s="53" t="str">
        <x:v>INT01 · Reacciones e interacciones modernas</x:v>
      </x:c>
      <x:c r="K1102" s="53" t="str">
        <x:v>INT01 · Reacciones e interacciones modernas</x:v>
      </x:c>
      <x:c r="L1102" s="53" t="str">
        <x:v>INT01 · Reacciones e interacciones modernas</x:v>
      </x:c>
      <x:c r="M1102" s="53" t="str">
        <x:v>INT01 · Reacciones e interacciones modernas</x:v>
      </x:c>
      <x:c r="N1102" s="53" t="str">
        <x:v>INT01 · Reacciones e interacciones modernas</x:v>
      </x:c>
      <x:c r="O1102" s="53" t="str">
        <x:v>INT01 · Reacciones e interacciones modernas</x:v>
      </x:c>
      <x:c r="P1102" s="53" t="str">
        <x:v>INT01 · Reacciones e interacciones modernas</x:v>
      </x:c>
      <x:c r="Q1102" s="52" t="str">
        <x:v>INT01 · Reacciones e interacciones modernas</x:v>
      </x:c>
      <x:c r="R1102" s="52" t="str">
        <x:v>INT01 · Reacciones e interacciones modernas</x:v>
      </x:c>
      <x:c r="S1102" s="52" t="str">
        <x:v>INT01 · Reacciones e interacciones modernas</x:v>
      </x:c>
    </x:row>
    <x:row r="1103" ht="16" customHeight="1">
      <x:c r="A1103" s="56" t="str">
        <x:v>INT01.001</x:v>
      </x:c>
      <x:c r="B1103" s="57" t="str">
        <x:v>Reaccionar con toque directo</x:v>
      </x:c>
      <x:c r="C1103" s="62" t="str">
        <x:v>E</x:v>
      </x:c>
      <x:c r="D1103" s="64" t="n">
        <x:f>'Detalle'!I537</x:f>
        <x:v>1</x:v>
      </x:c>
      <x:c r="E1103" s="60" t="str">
        <x:f>'Detalle'!F537</x:f>
        <x:v>Completado</x:v>
      </x:c>
      <x:c r="F1103" s="32" t="str">
        <x:f>IF(AND(F$8&lt;='Detalle'!$H537,F$9&gt;='Detalle'!$G537),1,"")</x:f>
      </x:c>
      <x:c r="G1103" s="32" t="str">
        <x:f>IF(AND(G$8&lt;='Detalle'!$H537,G$9&gt;='Detalle'!$G537),1,"")</x:f>
      </x:c>
      <x:c r="H1103" s="32" t="str">
        <x:f>IF(AND(H$8&lt;='Detalle'!$H537,H$9&gt;='Detalle'!$G537),1,"")</x:f>
      </x:c>
      <x:c r="I1103" s="32" t="str">
        <x:f>IF(AND(I$8&lt;='Detalle'!$H537,I$9&gt;='Detalle'!$G537),1,"")</x:f>
      </x:c>
      <x:c r="J1103" s="32" t="n">
        <x:f>IF(AND(J$8&lt;='Detalle'!$H537,J$9&gt;='Detalle'!$G537),1,"")</x:f>
        <x:v>1</x:v>
      </x:c>
      <x:c r="K1103" s="32" t="str">
        <x:f>IF(AND(K$8&lt;='Detalle'!$H537,K$9&gt;='Detalle'!$G537),1,"")</x:f>
      </x:c>
      <x:c r="L1103" s="32" t="str">
        <x:f>IF(AND(L$8&lt;='Detalle'!$H537,L$9&gt;='Detalle'!$G537),1,"")</x:f>
      </x:c>
      <x:c r="M1103" s="32" t="str">
        <x:f>IF(AND(M$8&lt;='Detalle'!$H537,M$9&gt;='Detalle'!$G537),1,"")</x:f>
      </x:c>
      <x:c r="N1103" s="32" t="str">
        <x:f>IF(AND(N$8&lt;='Detalle'!$H537,N$9&gt;='Detalle'!$G537),1,"")</x:f>
      </x:c>
      <x:c r="O1103" s="32" t="str">
        <x:f>IF(AND(O$8&lt;='Detalle'!$H537,O$9&gt;='Detalle'!$G537),1,"")</x:f>
      </x:c>
      <x:c r="P1103" s="32" t="str">
        <x:f>IF(AND(P$8&lt;='Detalle'!$H537,P$9&gt;='Detalle'!$G537),1,"")</x:f>
      </x:c>
      <x:c r="Q1103" s="68"/>
      <x:c r="R1103" s="67" t="str">
        <x:f>IF('Detalle'!M537="","",'Detalle'!M537)</x:f>
      </x:c>
      <x:c r="S1103" s="67" t="str">
        <x:f>IF('Detalle'!N537="","",'Detalle'!N537)</x:f>
      </x:c>
    </x:row>
    <x:row r="1104" ht="16" customHeight="1">
      <x:c r="A1104" s="56" t="str">
        <x:v>INT01.001</x:v>
      </x:c>
      <x:c r="B1104" s="57" t="str">
        <x:v>Reaccionar con toque directo</x:v>
      </x:c>
      <x:c r="C1104" s="63" t="str">
        <x:v>R</x:v>
      </x:c>
      <x:c r="D1104" s="65" t="str">
        <x:f>IF('Detalle'!L537="","",'Detalle'!L537)</x:f>
      </x:c>
      <x:c r="E1104" s="60" t="str"/>
      <x:c r="F1104" s="32" t="str">
        <x:f>IF(OR('Detalle'!$J537="",'Detalle'!$K537="",'Detalle'!$L537=""),"",IF(AND(F$8&lt;='Detalle'!$K537,F$9&gt;='Detalle'!$J537),1,""))</x:f>
      </x:c>
      <x:c r="G1104" s="32" t="str">
        <x:f>IF(OR('Detalle'!$J537="",'Detalle'!$K537="",'Detalle'!$L537=""),"",IF(AND(G$8&lt;='Detalle'!$K537,G$9&gt;='Detalle'!$J537),1,""))</x:f>
      </x:c>
      <x:c r="H1104" s="32" t="str">
        <x:f>IF(OR('Detalle'!$J537="",'Detalle'!$K537="",'Detalle'!$L537=""),"",IF(AND(H$8&lt;='Detalle'!$K537,H$9&gt;='Detalle'!$J537),1,""))</x:f>
      </x:c>
      <x:c r="I1104" s="32" t="str">
        <x:f>IF(OR('Detalle'!$J537="",'Detalle'!$K537="",'Detalle'!$L537=""),"",IF(AND(I$8&lt;='Detalle'!$K537,I$9&gt;='Detalle'!$J537),1,""))</x:f>
      </x:c>
      <x:c r="J1104" s="32" t="str">
        <x:f>IF(OR('Detalle'!$J537="",'Detalle'!$K537="",'Detalle'!$L537=""),"",IF(AND(J$8&lt;='Detalle'!$K537,J$9&gt;='Detalle'!$J537),1,""))</x:f>
      </x:c>
      <x:c r="K1104" s="32" t="str">
        <x:f>IF(OR('Detalle'!$J537="",'Detalle'!$K537="",'Detalle'!$L537=""),"",IF(AND(K$8&lt;='Detalle'!$K537,K$9&gt;='Detalle'!$J537),1,""))</x:f>
      </x:c>
      <x:c r="L1104" s="32" t="str">
        <x:f>IF(OR('Detalle'!$J537="",'Detalle'!$K537="",'Detalle'!$L537=""),"",IF(AND(L$8&lt;='Detalle'!$K537,L$9&gt;='Detalle'!$J537),1,""))</x:f>
      </x:c>
      <x:c r="M1104" s="32" t="str">
        <x:f>IF(OR('Detalle'!$J537="",'Detalle'!$K537="",'Detalle'!$L537=""),"",IF(AND(M$8&lt;='Detalle'!$K537,M$9&gt;='Detalle'!$J537),1,""))</x:f>
      </x:c>
      <x:c r="N1104" s="32" t="str">
        <x:f>IF(OR('Detalle'!$J537="",'Detalle'!$K537="",'Detalle'!$L537=""),"",IF(AND(N$8&lt;='Detalle'!$K537,N$9&gt;='Detalle'!$J537),1,""))</x:f>
      </x:c>
      <x:c r="O1104" s="32" t="str">
        <x:f>IF(OR('Detalle'!$J537="",'Detalle'!$K537="",'Detalle'!$L537=""),"",IF(AND(O$8&lt;='Detalle'!$K537,O$9&gt;='Detalle'!$J537),1,""))</x:f>
      </x:c>
      <x:c r="P1104" s="32" t="str">
        <x:f>IF(OR('Detalle'!$J537="",'Detalle'!$K537="",'Detalle'!$L537=""),"",IF(AND(P$8&lt;='Detalle'!$K537,P$9&gt;='Detalle'!$J537),1,""))</x:f>
      </x:c>
      <x:c r="Q1104" s="68"/>
      <x:c r="R1104" s="67" t="str"/>
      <x:c r="S1104" s="67" t="str"/>
    </x:row>
    <x:row r="1105" ht="16" customHeight="1">
      <x:c r="A1105" s="56" t="str">
        <x:v>INT01.002</x:v>
      </x:c>
      <x:c r="B1105" s="57" t="str">
        <x:v>Abrir selector manteniendo pulsado</x:v>
      </x:c>
      <x:c r="C1105" s="62" t="str">
        <x:v>E</x:v>
      </x:c>
      <x:c r="D1105" s="64" t="n">
        <x:f>'Detalle'!I538</x:f>
        <x:v>1</x:v>
      </x:c>
      <x:c r="E1105" s="60" t="str">
        <x:f>'Detalle'!F538</x:f>
        <x:v>Completado</x:v>
      </x:c>
      <x:c r="F1105" s="32" t="str">
        <x:f>IF(AND(F$8&lt;='Detalle'!$H538,F$9&gt;='Detalle'!$G538),1,"")</x:f>
      </x:c>
      <x:c r="G1105" s="32" t="str">
        <x:f>IF(AND(G$8&lt;='Detalle'!$H538,G$9&gt;='Detalle'!$G538),1,"")</x:f>
      </x:c>
      <x:c r="H1105" s="32" t="str">
        <x:f>IF(AND(H$8&lt;='Detalle'!$H538,H$9&gt;='Detalle'!$G538),1,"")</x:f>
      </x:c>
      <x:c r="I1105" s="32" t="str">
        <x:f>IF(AND(I$8&lt;='Detalle'!$H538,I$9&gt;='Detalle'!$G538),1,"")</x:f>
      </x:c>
      <x:c r="J1105" s="32" t="n">
        <x:f>IF(AND(J$8&lt;='Detalle'!$H538,J$9&gt;='Detalle'!$G538),1,"")</x:f>
        <x:v>1</x:v>
      </x:c>
      <x:c r="K1105" s="32" t="str">
        <x:f>IF(AND(K$8&lt;='Detalle'!$H538,K$9&gt;='Detalle'!$G538),1,"")</x:f>
      </x:c>
      <x:c r="L1105" s="32" t="str">
        <x:f>IF(AND(L$8&lt;='Detalle'!$H538,L$9&gt;='Detalle'!$G538),1,"")</x:f>
      </x:c>
      <x:c r="M1105" s="32" t="str">
        <x:f>IF(AND(M$8&lt;='Detalle'!$H538,M$9&gt;='Detalle'!$G538),1,"")</x:f>
      </x:c>
      <x:c r="N1105" s="32" t="str">
        <x:f>IF(AND(N$8&lt;='Detalle'!$H538,N$9&gt;='Detalle'!$G538),1,"")</x:f>
      </x:c>
      <x:c r="O1105" s="32" t="str">
        <x:f>IF(AND(O$8&lt;='Detalle'!$H538,O$9&gt;='Detalle'!$G538),1,"")</x:f>
      </x:c>
      <x:c r="P1105" s="32" t="str">
        <x:f>IF(AND(P$8&lt;='Detalle'!$H538,P$9&gt;='Detalle'!$G538),1,"")</x:f>
      </x:c>
      <x:c r="Q1105" s="68"/>
      <x:c r="R1105" s="67" t="str">
        <x:f>IF('Detalle'!M538="","",'Detalle'!M538)</x:f>
      </x:c>
      <x:c r="S1105" s="67" t="str">
        <x:f>IF('Detalle'!N538="","",'Detalle'!N538)</x:f>
      </x:c>
    </x:row>
    <x:row r="1106" ht="16" customHeight="1">
      <x:c r="A1106" s="56" t="str">
        <x:v>INT01.002</x:v>
      </x:c>
      <x:c r="B1106" s="57" t="str">
        <x:v>Abrir selector manteniendo pulsado</x:v>
      </x:c>
      <x:c r="C1106" s="63" t="str">
        <x:v>R</x:v>
      </x:c>
      <x:c r="D1106" s="65" t="str">
        <x:f>IF('Detalle'!L538="","",'Detalle'!L538)</x:f>
      </x:c>
      <x:c r="E1106" s="60" t="str"/>
      <x:c r="F1106" s="32" t="str">
        <x:f>IF(OR('Detalle'!$J538="",'Detalle'!$K538="",'Detalle'!$L538=""),"",IF(AND(F$8&lt;='Detalle'!$K538,F$9&gt;='Detalle'!$J538),1,""))</x:f>
      </x:c>
      <x:c r="G1106" s="32" t="str">
        <x:f>IF(OR('Detalle'!$J538="",'Detalle'!$K538="",'Detalle'!$L538=""),"",IF(AND(G$8&lt;='Detalle'!$K538,G$9&gt;='Detalle'!$J538),1,""))</x:f>
      </x:c>
      <x:c r="H1106" s="32" t="str">
        <x:f>IF(OR('Detalle'!$J538="",'Detalle'!$K538="",'Detalle'!$L538=""),"",IF(AND(H$8&lt;='Detalle'!$K538,H$9&gt;='Detalle'!$J538),1,""))</x:f>
      </x:c>
      <x:c r="I1106" s="32" t="str">
        <x:f>IF(OR('Detalle'!$J538="",'Detalle'!$K538="",'Detalle'!$L538=""),"",IF(AND(I$8&lt;='Detalle'!$K538,I$9&gt;='Detalle'!$J538),1,""))</x:f>
      </x:c>
      <x:c r="J1106" s="32" t="str">
        <x:f>IF(OR('Detalle'!$J538="",'Detalle'!$K538="",'Detalle'!$L538=""),"",IF(AND(J$8&lt;='Detalle'!$K538,J$9&gt;='Detalle'!$J538),1,""))</x:f>
      </x:c>
      <x:c r="K1106" s="32" t="str">
        <x:f>IF(OR('Detalle'!$J538="",'Detalle'!$K538="",'Detalle'!$L538=""),"",IF(AND(K$8&lt;='Detalle'!$K538,K$9&gt;='Detalle'!$J538),1,""))</x:f>
      </x:c>
      <x:c r="L1106" s="32" t="str">
        <x:f>IF(OR('Detalle'!$J538="",'Detalle'!$K538="",'Detalle'!$L538=""),"",IF(AND(L$8&lt;='Detalle'!$K538,L$9&gt;='Detalle'!$J538),1,""))</x:f>
      </x:c>
      <x:c r="M1106" s="32" t="str">
        <x:f>IF(OR('Detalle'!$J538="",'Detalle'!$K538="",'Detalle'!$L538=""),"",IF(AND(M$8&lt;='Detalle'!$K538,M$9&gt;='Detalle'!$J538),1,""))</x:f>
      </x:c>
      <x:c r="N1106" s="32" t="str">
        <x:f>IF(OR('Detalle'!$J538="",'Detalle'!$K538="",'Detalle'!$L538=""),"",IF(AND(N$8&lt;='Detalle'!$K538,N$9&gt;='Detalle'!$J538),1,""))</x:f>
      </x:c>
      <x:c r="O1106" s="32" t="str">
        <x:f>IF(OR('Detalle'!$J538="",'Detalle'!$K538="",'Detalle'!$L538=""),"",IF(AND(O$8&lt;='Detalle'!$K538,O$9&gt;='Detalle'!$J538),1,""))</x:f>
      </x:c>
      <x:c r="P1106" s="32" t="str">
        <x:f>IF(OR('Detalle'!$J538="",'Detalle'!$K538="",'Detalle'!$L538=""),"",IF(AND(P$8&lt;='Detalle'!$K538,P$9&gt;='Detalle'!$J538),1,""))</x:f>
      </x:c>
      <x:c r="Q1106" s="68"/>
      <x:c r="R1106" s="67" t="str"/>
      <x:c r="S1106" s="67" t="str"/>
    </x:row>
    <x:row r="1107" ht="16" customHeight="1">
      <x:c r="A1107" s="56" t="str">
        <x:v>INT01.003</x:v>
      </x:c>
      <x:c r="B1107" s="57" t="str">
        <x:v>Seleccionar mediante deslizar y soltar</x:v>
      </x:c>
      <x:c r="C1107" s="62" t="str">
        <x:v>E</x:v>
      </x:c>
      <x:c r="D1107" s="64" t="n">
        <x:f>'Detalle'!I539</x:f>
        <x:v>1</x:v>
      </x:c>
      <x:c r="E1107" s="60" t="str">
        <x:f>'Detalle'!F539</x:f>
        <x:v>Completado</x:v>
      </x:c>
      <x:c r="F1107" s="32" t="str">
        <x:f>IF(AND(F$8&lt;='Detalle'!$H539,F$9&gt;='Detalle'!$G539),1,"")</x:f>
      </x:c>
      <x:c r="G1107" s="32" t="str">
        <x:f>IF(AND(G$8&lt;='Detalle'!$H539,G$9&gt;='Detalle'!$G539),1,"")</x:f>
      </x:c>
      <x:c r="H1107" s="32" t="str">
        <x:f>IF(AND(H$8&lt;='Detalle'!$H539,H$9&gt;='Detalle'!$G539),1,"")</x:f>
      </x:c>
      <x:c r="I1107" s="32" t="str">
        <x:f>IF(AND(I$8&lt;='Detalle'!$H539,I$9&gt;='Detalle'!$G539),1,"")</x:f>
      </x:c>
      <x:c r="J1107" s="32" t="n">
        <x:f>IF(AND(J$8&lt;='Detalle'!$H539,J$9&gt;='Detalle'!$G539),1,"")</x:f>
        <x:v>1</x:v>
      </x:c>
      <x:c r="K1107" s="32" t="str">
        <x:f>IF(AND(K$8&lt;='Detalle'!$H539,K$9&gt;='Detalle'!$G539),1,"")</x:f>
      </x:c>
      <x:c r="L1107" s="32" t="str">
        <x:f>IF(AND(L$8&lt;='Detalle'!$H539,L$9&gt;='Detalle'!$G539),1,"")</x:f>
      </x:c>
      <x:c r="M1107" s="32" t="str">
        <x:f>IF(AND(M$8&lt;='Detalle'!$H539,M$9&gt;='Detalle'!$G539),1,"")</x:f>
      </x:c>
      <x:c r="N1107" s="32" t="str">
        <x:f>IF(AND(N$8&lt;='Detalle'!$H539,N$9&gt;='Detalle'!$G539),1,"")</x:f>
      </x:c>
      <x:c r="O1107" s="32" t="str">
        <x:f>IF(AND(O$8&lt;='Detalle'!$H539,O$9&gt;='Detalle'!$G539),1,"")</x:f>
      </x:c>
      <x:c r="P1107" s="32" t="str">
        <x:f>IF(AND(P$8&lt;='Detalle'!$H539,P$9&gt;='Detalle'!$G539),1,"")</x:f>
      </x:c>
      <x:c r="Q1107" s="68"/>
      <x:c r="R1107" s="67" t="str">
        <x:f>IF('Detalle'!M539="","",'Detalle'!M539)</x:f>
      </x:c>
      <x:c r="S1107" s="67" t="str">
        <x:f>IF('Detalle'!N539="","",'Detalle'!N539)</x:f>
      </x:c>
    </x:row>
    <x:row r="1108" ht="16" customHeight="1">
      <x:c r="A1108" s="56" t="str">
        <x:v>INT01.003</x:v>
      </x:c>
      <x:c r="B1108" s="57" t="str">
        <x:v>Seleccionar mediante deslizar y soltar</x:v>
      </x:c>
      <x:c r="C1108" s="63" t="str">
        <x:v>R</x:v>
      </x:c>
      <x:c r="D1108" s="65" t="str">
        <x:f>IF('Detalle'!L539="","",'Detalle'!L539)</x:f>
      </x:c>
      <x:c r="E1108" s="60" t="str"/>
      <x:c r="F1108" s="32" t="str">
        <x:f>IF(OR('Detalle'!$J539="",'Detalle'!$K539="",'Detalle'!$L539=""),"",IF(AND(F$8&lt;='Detalle'!$K539,F$9&gt;='Detalle'!$J539),1,""))</x:f>
      </x:c>
      <x:c r="G1108" s="32" t="str">
        <x:f>IF(OR('Detalle'!$J539="",'Detalle'!$K539="",'Detalle'!$L539=""),"",IF(AND(G$8&lt;='Detalle'!$K539,G$9&gt;='Detalle'!$J539),1,""))</x:f>
      </x:c>
      <x:c r="H1108" s="32" t="str">
        <x:f>IF(OR('Detalle'!$J539="",'Detalle'!$K539="",'Detalle'!$L539=""),"",IF(AND(H$8&lt;='Detalle'!$K539,H$9&gt;='Detalle'!$J539),1,""))</x:f>
      </x:c>
      <x:c r="I1108" s="32" t="str">
        <x:f>IF(OR('Detalle'!$J539="",'Detalle'!$K539="",'Detalle'!$L539=""),"",IF(AND(I$8&lt;='Detalle'!$K539,I$9&gt;='Detalle'!$J539),1,""))</x:f>
      </x:c>
      <x:c r="J1108" s="32" t="str">
        <x:f>IF(OR('Detalle'!$J539="",'Detalle'!$K539="",'Detalle'!$L539=""),"",IF(AND(J$8&lt;='Detalle'!$K539,J$9&gt;='Detalle'!$J539),1,""))</x:f>
      </x:c>
      <x:c r="K1108" s="32" t="str">
        <x:f>IF(OR('Detalle'!$J539="",'Detalle'!$K539="",'Detalle'!$L539=""),"",IF(AND(K$8&lt;='Detalle'!$K539,K$9&gt;='Detalle'!$J539),1,""))</x:f>
      </x:c>
      <x:c r="L1108" s="32" t="str">
        <x:f>IF(OR('Detalle'!$J539="",'Detalle'!$K539="",'Detalle'!$L539=""),"",IF(AND(L$8&lt;='Detalle'!$K539,L$9&gt;='Detalle'!$J539),1,""))</x:f>
      </x:c>
      <x:c r="M1108" s="32" t="str">
        <x:f>IF(OR('Detalle'!$J539="",'Detalle'!$K539="",'Detalle'!$L539=""),"",IF(AND(M$8&lt;='Detalle'!$K539,M$9&gt;='Detalle'!$J539),1,""))</x:f>
      </x:c>
      <x:c r="N1108" s="32" t="str">
        <x:f>IF(OR('Detalle'!$J539="",'Detalle'!$K539="",'Detalle'!$L539=""),"",IF(AND(N$8&lt;='Detalle'!$K539,N$9&gt;='Detalle'!$J539),1,""))</x:f>
      </x:c>
      <x:c r="O1108" s="32" t="str">
        <x:f>IF(OR('Detalle'!$J539="",'Detalle'!$K539="",'Detalle'!$L539=""),"",IF(AND(O$8&lt;='Detalle'!$K539,O$9&gt;='Detalle'!$J539),1,""))</x:f>
      </x:c>
      <x:c r="P1108" s="32" t="str">
        <x:f>IF(OR('Detalle'!$J539="",'Detalle'!$K539="",'Detalle'!$L539=""),"",IF(AND(P$8&lt;='Detalle'!$K539,P$9&gt;='Detalle'!$J539),1,""))</x:f>
      </x:c>
      <x:c r="Q1108" s="68"/>
      <x:c r="R1108" s="67" t="str"/>
      <x:c r="S1108" s="67" t="str"/>
    </x:row>
    <x:row r="1109" ht="16" customHeight="1">
      <x:c r="A1109" s="56" t="str">
        <x:v>INT01.004</x:v>
      </x:c>
      <x:c r="B1109" s="57" t="str">
        <x:v>Actualizar reacción de forma optimista</x:v>
      </x:c>
      <x:c r="C1109" s="62" t="str">
        <x:v>E</x:v>
      </x:c>
      <x:c r="D1109" s="64" t="n">
        <x:f>'Detalle'!I540</x:f>
        <x:v>1</x:v>
      </x:c>
      <x:c r="E1109" s="60" t="str">
        <x:f>'Detalle'!F540</x:f>
        <x:v>Completado</x:v>
      </x:c>
      <x:c r="F1109" s="32" t="str">
        <x:f>IF(AND(F$8&lt;='Detalle'!$H540,F$9&gt;='Detalle'!$G540),1,"")</x:f>
      </x:c>
      <x:c r="G1109" s="32" t="str">
        <x:f>IF(AND(G$8&lt;='Detalle'!$H540,G$9&gt;='Detalle'!$G540),1,"")</x:f>
      </x:c>
      <x:c r="H1109" s="32" t="str">
        <x:f>IF(AND(H$8&lt;='Detalle'!$H540,H$9&gt;='Detalle'!$G540),1,"")</x:f>
      </x:c>
      <x:c r="I1109" s="32" t="str">
        <x:f>IF(AND(I$8&lt;='Detalle'!$H540,I$9&gt;='Detalle'!$G540),1,"")</x:f>
      </x:c>
      <x:c r="J1109" s="32" t="n">
        <x:f>IF(AND(J$8&lt;='Detalle'!$H540,J$9&gt;='Detalle'!$G540),1,"")</x:f>
        <x:v>1</x:v>
      </x:c>
      <x:c r="K1109" s="32" t="str">
        <x:f>IF(AND(K$8&lt;='Detalle'!$H540,K$9&gt;='Detalle'!$G540),1,"")</x:f>
      </x:c>
      <x:c r="L1109" s="32" t="str">
        <x:f>IF(AND(L$8&lt;='Detalle'!$H540,L$9&gt;='Detalle'!$G540),1,"")</x:f>
      </x:c>
      <x:c r="M1109" s="32" t="str">
        <x:f>IF(AND(M$8&lt;='Detalle'!$H540,M$9&gt;='Detalle'!$G540),1,"")</x:f>
      </x:c>
      <x:c r="N1109" s="32" t="str">
        <x:f>IF(AND(N$8&lt;='Detalle'!$H540,N$9&gt;='Detalle'!$G540),1,"")</x:f>
      </x:c>
      <x:c r="O1109" s="32" t="str">
        <x:f>IF(AND(O$8&lt;='Detalle'!$H540,O$9&gt;='Detalle'!$G540),1,"")</x:f>
      </x:c>
      <x:c r="P1109" s="32" t="str">
        <x:f>IF(AND(P$8&lt;='Detalle'!$H540,P$9&gt;='Detalle'!$G540),1,"")</x:f>
      </x:c>
      <x:c r="Q1109" s="68"/>
      <x:c r="R1109" s="67" t="str">
        <x:f>IF('Detalle'!M540="","",'Detalle'!M540)</x:f>
      </x:c>
      <x:c r="S1109" s="67" t="str">
        <x:f>IF('Detalle'!N540="","",'Detalle'!N540)</x:f>
      </x:c>
    </x:row>
    <x:row r="1110" ht="16" customHeight="1">
      <x:c r="A1110" s="56" t="str">
        <x:v>INT01.004</x:v>
      </x:c>
      <x:c r="B1110" s="57" t="str">
        <x:v>Actualizar reacción de forma optimista</x:v>
      </x:c>
      <x:c r="C1110" s="63" t="str">
        <x:v>R</x:v>
      </x:c>
      <x:c r="D1110" s="65" t="str">
        <x:f>IF('Detalle'!L540="","",'Detalle'!L540)</x:f>
      </x:c>
      <x:c r="E1110" s="60" t="str"/>
      <x:c r="F1110" s="32" t="str">
        <x:f>IF(OR('Detalle'!$J540="",'Detalle'!$K540="",'Detalle'!$L540=""),"",IF(AND(F$8&lt;='Detalle'!$K540,F$9&gt;='Detalle'!$J540),1,""))</x:f>
      </x:c>
      <x:c r="G1110" s="32" t="str">
        <x:f>IF(OR('Detalle'!$J540="",'Detalle'!$K540="",'Detalle'!$L540=""),"",IF(AND(G$8&lt;='Detalle'!$K540,G$9&gt;='Detalle'!$J540),1,""))</x:f>
      </x:c>
      <x:c r="H1110" s="32" t="str">
        <x:f>IF(OR('Detalle'!$J540="",'Detalle'!$K540="",'Detalle'!$L540=""),"",IF(AND(H$8&lt;='Detalle'!$K540,H$9&gt;='Detalle'!$J540),1,""))</x:f>
      </x:c>
      <x:c r="I1110" s="32" t="str">
        <x:f>IF(OR('Detalle'!$J540="",'Detalle'!$K540="",'Detalle'!$L540=""),"",IF(AND(I$8&lt;='Detalle'!$K540,I$9&gt;='Detalle'!$J540),1,""))</x:f>
      </x:c>
      <x:c r="J1110" s="32" t="str">
        <x:f>IF(OR('Detalle'!$J540="",'Detalle'!$K540="",'Detalle'!$L540=""),"",IF(AND(J$8&lt;='Detalle'!$K540,J$9&gt;='Detalle'!$J540),1,""))</x:f>
      </x:c>
      <x:c r="K1110" s="32" t="str">
        <x:f>IF(OR('Detalle'!$J540="",'Detalle'!$K540="",'Detalle'!$L540=""),"",IF(AND(K$8&lt;='Detalle'!$K540,K$9&gt;='Detalle'!$J540),1,""))</x:f>
      </x:c>
      <x:c r="L1110" s="32" t="str">
        <x:f>IF(OR('Detalle'!$J540="",'Detalle'!$K540="",'Detalle'!$L540=""),"",IF(AND(L$8&lt;='Detalle'!$K540,L$9&gt;='Detalle'!$J540),1,""))</x:f>
      </x:c>
      <x:c r="M1110" s="32" t="str">
        <x:f>IF(OR('Detalle'!$J540="",'Detalle'!$K540="",'Detalle'!$L540=""),"",IF(AND(M$8&lt;='Detalle'!$K540,M$9&gt;='Detalle'!$J540),1,""))</x:f>
      </x:c>
      <x:c r="N1110" s="32" t="str">
        <x:f>IF(OR('Detalle'!$J540="",'Detalle'!$K540="",'Detalle'!$L540=""),"",IF(AND(N$8&lt;='Detalle'!$K540,N$9&gt;='Detalle'!$J540),1,""))</x:f>
      </x:c>
      <x:c r="O1110" s="32" t="str">
        <x:f>IF(OR('Detalle'!$J540="",'Detalle'!$K540="",'Detalle'!$L540=""),"",IF(AND(O$8&lt;='Detalle'!$K540,O$9&gt;='Detalle'!$J540),1,""))</x:f>
      </x:c>
      <x:c r="P1110" s="32" t="str">
        <x:f>IF(OR('Detalle'!$J540="",'Detalle'!$K540="",'Detalle'!$L540=""),"",IF(AND(P$8&lt;='Detalle'!$K540,P$9&gt;='Detalle'!$J540),1,""))</x:f>
      </x:c>
      <x:c r="Q1110" s="68"/>
      <x:c r="R1110" s="67" t="str"/>
      <x:c r="S1110" s="67" t="str"/>
    </x:row>
    <x:row r="1111" ht="16" customHeight="1">
      <x:c r="A1111" s="56" t="str">
        <x:v>INT01.005</x:v>
      </x:c>
      <x:c r="B1111" s="57" t="str">
        <x:v>Restaurar selección tras error</x:v>
      </x:c>
      <x:c r="C1111" s="62" t="str">
        <x:v>E</x:v>
      </x:c>
      <x:c r="D1111" s="64" t="n">
        <x:f>'Detalle'!I541</x:f>
        <x:v>1</x:v>
      </x:c>
      <x:c r="E1111" s="60" t="str">
        <x:f>'Detalle'!F541</x:f>
        <x:v>Completado</x:v>
      </x:c>
      <x:c r="F1111" s="32" t="str">
        <x:f>IF(AND(F$8&lt;='Detalle'!$H541,F$9&gt;='Detalle'!$G541),1,"")</x:f>
      </x:c>
      <x:c r="G1111" s="32" t="str">
        <x:f>IF(AND(G$8&lt;='Detalle'!$H541,G$9&gt;='Detalle'!$G541),1,"")</x:f>
      </x:c>
      <x:c r="H1111" s="32" t="str">
        <x:f>IF(AND(H$8&lt;='Detalle'!$H541,H$9&gt;='Detalle'!$G541),1,"")</x:f>
      </x:c>
      <x:c r="I1111" s="32" t="str">
        <x:f>IF(AND(I$8&lt;='Detalle'!$H541,I$9&gt;='Detalle'!$G541),1,"")</x:f>
      </x:c>
      <x:c r="J1111" s="32" t="n">
        <x:f>IF(AND(J$8&lt;='Detalle'!$H541,J$9&gt;='Detalle'!$G541),1,"")</x:f>
        <x:v>1</x:v>
      </x:c>
      <x:c r="K1111" s="32" t="str">
        <x:f>IF(AND(K$8&lt;='Detalle'!$H541,K$9&gt;='Detalle'!$G541),1,"")</x:f>
      </x:c>
      <x:c r="L1111" s="32" t="str">
        <x:f>IF(AND(L$8&lt;='Detalle'!$H541,L$9&gt;='Detalle'!$G541),1,"")</x:f>
      </x:c>
      <x:c r="M1111" s="32" t="str">
        <x:f>IF(AND(M$8&lt;='Detalle'!$H541,M$9&gt;='Detalle'!$G541),1,"")</x:f>
      </x:c>
      <x:c r="N1111" s="32" t="str">
        <x:f>IF(AND(N$8&lt;='Detalle'!$H541,N$9&gt;='Detalle'!$G541),1,"")</x:f>
      </x:c>
      <x:c r="O1111" s="32" t="str">
        <x:f>IF(AND(O$8&lt;='Detalle'!$H541,O$9&gt;='Detalle'!$G541),1,"")</x:f>
      </x:c>
      <x:c r="P1111" s="32" t="str">
        <x:f>IF(AND(P$8&lt;='Detalle'!$H541,P$9&gt;='Detalle'!$G541),1,"")</x:f>
      </x:c>
      <x:c r="Q1111" s="68"/>
      <x:c r="R1111" s="67" t="str">
        <x:f>IF('Detalle'!M541="","",'Detalle'!M541)</x:f>
      </x:c>
      <x:c r="S1111" s="67" t="str">
        <x:f>IF('Detalle'!N541="","",'Detalle'!N541)</x:f>
      </x:c>
    </x:row>
    <x:row r="1112" ht="16" customHeight="1">
      <x:c r="A1112" s="56" t="str">
        <x:v>INT01.005</x:v>
      </x:c>
      <x:c r="B1112" s="57" t="str">
        <x:v>Restaurar selección tras error</x:v>
      </x:c>
      <x:c r="C1112" s="63" t="str">
        <x:v>R</x:v>
      </x:c>
      <x:c r="D1112" s="65" t="str">
        <x:f>IF('Detalle'!L541="","",'Detalle'!L541)</x:f>
      </x:c>
      <x:c r="E1112" s="60" t="str"/>
      <x:c r="F1112" s="32" t="str">
        <x:f>IF(OR('Detalle'!$J541="",'Detalle'!$K541="",'Detalle'!$L541=""),"",IF(AND(F$8&lt;='Detalle'!$K541,F$9&gt;='Detalle'!$J541),1,""))</x:f>
      </x:c>
      <x:c r="G1112" s="32" t="str">
        <x:f>IF(OR('Detalle'!$J541="",'Detalle'!$K541="",'Detalle'!$L541=""),"",IF(AND(G$8&lt;='Detalle'!$K541,G$9&gt;='Detalle'!$J541),1,""))</x:f>
      </x:c>
      <x:c r="H1112" s="32" t="str">
        <x:f>IF(OR('Detalle'!$J541="",'Detalle'!$K541="",'Detalle'!$L541=""),"",IF(AND(H$8&lt;='Detalle'!$K541,H$9&gt;='Detalle'!$J541),1,""))</x:f>
      </x:c>
      <x:c r="I1112" s="32" t="str">
        <x:f>IF(OR('Detalle'!$J541="",'Detalle'!$K541="",'Detalle'!$L541=""),"",IF(AND(I$8&lt;='Detalle'!$K541,I$9&gt;='Detalle'!$J541),1,""))</x:f>
      </x:c>
      <x:c r="J1112" s="32" t="str">
        <x:f>IF(OR('Detalle'!$J541="",'Detalle'!$K541="",'Detalle'!$L541=""),"",IF(AND(J$8&lt;='Detalle'!$K541,J$9&gt;='Detalle'!$J541),1,""))</x:f>
      </x:c>
      <x:c r="K1112" s="32" t="str">
        <x:f>IF(OR('Detalle'!$J541="",'Detalle'!$K541="",'Detalle'!$L541=""),"",IF(AND(K$8&lt;='Detalle'!$K541,K$9&gt;='Detalle'!$J541),1,""))</x:f>
      </x:c>
      <x:c r="L1112" s="32" t="str">
        <x:f>IF(OR('Detalle'!$J541="",'Detalle'!$K541="",'Detalle'!$L541=""),"",IF(AND(L$8&lt;='Detalle'!$K541,L$9&gt;='Detalle'!$J541),1,""))</x:f>
      </x:c>
      <x:c r="M1112" s="32" t="str">
        <x:f>IF(OR('Detalle'!$J541="",'Detalle'!$K541="",'Detalle'!$L541=""),"",IF(AND(M$8&lt;='Detalle'!$K541,M$9&gt;='Detalle'!$J541),1,""))</x:f>
      </x:c>
      <x:c r="N1112" s="32" t="str">
        <x:f>IF(OR('Detalle'!$J541="",'Detalle'!$K541="",'Detalle'!$L541=""),"",IF(AND(N$8&lt;='Detalle'!$K541,N$9&gt;='Detalle'!$J541),1,""))</x:f>
      </x:c>
      <x:c r="O1112" s="32" t="str">
        <x:f>IF(OR('Detalle'!$J541="",'Detalle'!$K541="",'Detalle'!$L541=""),"",IF(AND(O$8&lt;='Detalle'!$K541,O$9&gt;='Detalle'!$J541),1,""))</x:f>
      </x:c>
      <x:c r="P1112" s="32" t="str">
        <x:f>IF(OR('Detalle'!$J541="",'Detalle'!$K541="",'Detalle'!$L541=""),"",IF(AND(P$8&lt;='Detalle'!$K541,P$9&gt;='Detalle'!$J541),1,""))</x:f>
      </x:c>
      <x:c r="Q1112" s="68"/>
      <x:c r="R1112" s="67" t="str"/>
      <x:c r="S1112" s="67" t="str"/>
    </x:row>
    <x:row r="1113" ht="16" customHeight="1">
      <x:c r="A1113" s="56" t="str">
        <x:v>INT01.006</x:v>
      </x:c>
      <x:c r="B1113" s="57" t="str">
        <x:v>Operar selector mediante teclado</x:v>
      </x:c>
      <x:c r="C1113" s="62" t="str">
        <x:v>E</x:v>
      </x:c>
      <x:c r="D1113" s="64" t="n">
        <x:f>'Detalle'!I542</x:f>
        <x:v>1</x:v>
      </x:c>
      <x:c r="E1113" s="60" t="str">
        <x:f>'Detalle'!F542</x:f>
        <x:v>Completado</x:v>
      </x:c>
      <x:c r="F1113" s="32" t="str">
        <x:f>IF(AND(F$8&lt;='Detalle'!$H542,F$9&gt;='Detalle'!$G542),1,"")</x:f>
      </x:c>
      <x:c r="G1113" s="32" t="str">
        <x:f>IF(AND(G$8&lt;='Detalle'!$H542,G$9&gt;='Detalle'!$G542),1,"")</x:f>
      </x:c>
      <x:c r="H1113" s="32" t="str">
        <x:f>IF(AND(H$8&lt;='Detalle'!$H542,H$9&gt;='Detalle'!$G542),1,"")</x:f>
      </x:c>
      <x:c r="I1113" s="32" t="str">
        <x:f>IF(AND(I$8&lt;='Detalle'!$H542,I$9&gt;='Detalle'!$G542),1,"")</x:f>
      </x:c>
      <x:c r="J1113" s="32" t="n">
        <x:f>IF(AND(J$8&lt;='Detalle'!$H542,J$9&gt;='Detalle'!$G542),1,"")</x:f>
        <x:v>1</x:v>
      </x:c>
      <x:c r="K1113" s="32" t="str">
        <x:f>IF(AND(K$8&lt;='Detalle'!$H542,K$9&gt;='Detalle'!$G542),1,"")</x:f>
      </x:c>
      <x:c r="L1113" s="32" t="str">
        <x:f>IF(AND(L$8&lt;='Detalle'!$H542,L$9&gt;='Detalle'!$G542),1,"")</x:f>
      </x:c>
      <x:c r="M1113" s="32" t="str">
        <x:f>IF(AND(M$8&lt;='Detalle'!$H542,M$9&gt;='Detalle'!$G542),1,"")</x:f>
      </x:c>
      <x:c r="N1113" s="32" t="str">
        <x:f>IF(AND(N$8&lt;='Detalle'!$H542,N$9&gt;='Detalle'!$G542),1,"")</x:f>
      </x:c>
      <x:c r="O1113" s="32" t="str">
        <x:f>IF(AND(O$8&lt;='Detalle'!$H542,O$9&gt;='Detalle'!$G542),1,"")</x:f>
      </x:c>
      <x:c r="P1113" s="32" t="str">
        <x:f>IF(AND(P$8&lt;='Detalle'!$H542,P$9&gt;='Detalle'!$G542),1,"")</x:f>
      </x:c>
      <x:c r="Q1113" s="68"/>
      <x:c r="R1113" s="67" t="str">
        <x:f>IF('Detalle'!M542="","",'Detalle'!M542)</x:f>
      </x:c>
      <x:c r="S1113" s="67" t="str">
        <x:f>IF('Detalle'!N542="","",'Detalle'!N542)</x:f>
      </x:c>
    </x:row>
    <x:row r="1114" ht="16" customHeight="1">
      <x:c r="A1114" s="56" t="str">
        <x:v>INT01.006</x:v>
      </x:c>
      <x:c r="B1114" s="57" t="str">
        <x:v>Operar selector mediante teclado</x:v>
      </x:c>
      <x:c r="C1114" s="63" t="str">
        <x:v>R</x:v>
      </x:c>
      <x:c r="D1114" s="65" t="str">
        <x:f>IF('Detalle'!L542="","",'Detalle'!L542)</x:f>
      </x:c>
      <x:c r="E1114" s="60" t="str"/>
      <x:c r="F1114" s="32" t="str">
        <x:f>IF(OR('Detalle'!$J542="",'Detalle'!$K542="",'Detalle'!$L542=""),"",IF(AND(F$8&lt;='Detalle'!$K542,F$9&gt;='Detalle'!$J542),1,""))</x:f>
      </x:c>
      <x:c r="G1114" s="32" t="str">
        <x:f>IF(OR('Detalle'!$J542="",'Detalle'!$K542="",'Detalle'!$L542=""),"",IF(AND(G$8&lt;='Detalle'!$K542,G$9&gt;='Detalle'!$J542),1,""))</x:f>
      </x:c>
      <x:c r="H1114" s="32" t="str">
        <x:f>IF(OR('Detalle'!$J542="",'Detalle'!$K542="",'Detalle'!$L542=""),"",IF(AND(H$8&lt;='Detalle'!$K542,H$9&gt;='Detalle'!$J542),1,""))</x:f>
      </x:c>
      <x:c r="I1114" s="32" t="str">
        <x:f>IF(OR('Detalle'!$J542="",'Detalle'!$K542="",'Detalle'!$L542=""),"",IF(AND(I$8&lt;='Detalle'!$K542,I$9&gt;='Detalle'!$J542),1,""))</x:f>
      </x:c>
      <x:c r="J1114" s="32" t="str">
        <x:f>IF(OR('Detalle'!$J542="",'Detalle'!$K542="",'Detalle'!$L542=""),"",IF(AND(J$8&lt;='Detalle'!$K542,J$9&gt;='Detalle'!$J542),1,""))</x:f>
      </x:c>
      <x:c r="K1114" s="32" t="str">
        <x:f>IF(OR('Detalle'!$J542="",'Detalle'!$K542="",'Detalle'!$L542=""),"",IF(AND(K$8&lt;='Detalle'!$K542,K$9&gt;='Detalle'!$J542),1,""))</x:f>
      </x:c>
      <x:c r="L1114" s="32" t="str">
        <x:f>IF(OR('Detalle'!$J542="",'Detalle'!$K542="",'Detalle'!$L542=""),"",IF(AND(L$8&lt;='Detalle'!$K542,L$9&gt;='Detalle'!$J542),1,""))</x:f>
      </x:c>
      <x:c r="M1114" s="32" t="str">
        <x:f>IF(OR('Detalle'!$J542="",'Detalle'!$K542="",'Detalle'!$L542=""),"",IF(AND(M$8&lt;='Detalle'!$K542,M$9&gt;='Detalle'!$J542),1,""))</x:f>
      </x:c>
      <x:c r="N1114" s="32" t="str">
        <x:f>IF(OR('Detalle'!$J542="",'Detalle'!$K542="",'Detalle'!$L542=""),"",IF(AND(N$8&lt;='Detalle'!$K542,N$9&gt;='Detalle'!$J542),1,""))</x:f>
      </x:c>
      <x:c r="O1114" s="32" t="str">
        <x:f>IF(OR('Detalle'!$J542="",'Detalle'!$K542="",'Detalle'!$L542=""),"",IF(AND(O$8&lt;='Detalle'!$K542,O$9&gt;='Detalle'!$J542),1,""))</x:f>
      </x:c>
      <x:c r="P1114" s="32" t="str">
        <x:f>IF(OR('Detalle'!$J542="",'Detalle'!$K542="",'Detalle'!$L542=""),"",IF(AND(P$8&lt;='Detalle'!$K542,P$9&gt;='Detalle'!$J542),1,""))</x:f>
      </x:c>
      <x:c r="Q1114" s="68"/>
      <x:c r="R1114" s="67" t="str"/>
      <x:c r="S1114" s="67" t="str"/>
    </x:row>
    <x:row r="1115" ht="16" customHeight="1">
      <x:c r="A1115" s="56" t="str">
        <x:v>INT01.007</x:v>
      </x:c>
      <x:c r="B1115" s="57" t="str">
        <x:v>Cancelar selector sin modificar reacción</x:v>
      </x:c>
      <x:c r="C1115" s="62" t="str">
        <x:v>E</x:v>
      </x:c>
      <x:c r="D1115" s="64" t="n">
        <x:f>'Detalle'!I543</x:f>
        <x:v>1</x:v>
      </x:c>
      <x:c r="E1115" s="60" t="str">
        <x:f>'Detalle'!F543</x:f>
        <x:v>Completado</x:v>
      </x:c>
      <x:c r="F1115" s="32" t="str">
        <x:f>IF(AND(F$8&lt;='Detalle'!$H543,F$9&gt;='Detalle'!$G543),1,"")</x:f>
      </x:c>
      <x:c r="G1115" s="32" t="str">
        <x:f>IF(AND(G$8&lt;='Detalle'!$H543,G$9&gt;='Detalle'!$G543),1,"")</x:f>
      </x:c>
      <x:c r="H1115" s="32" t="str">
        <x:f>IF(AND(H$8&lt;='Detalle'!$H543,H$9&gt;='Detalle'!$G543),1,"")</x:f>
      </x:c>
      <x:c r="I1115" s="32" t="str">
        <x:f>IF(AND(I$8&lt;='Detalle'!$H543,I$9&gt;='Detalle'!$G543),1,"")</x:f>
      </x:c>
      <x:c r="J1115" s="32" t="n">
        <x:f>IF(AND(J$8&lt;='Detalle'!$H543,J$9&gt;='Detalle'!$G543),1,"")</x:f>
        <x:v>1</x:v>
      </x:c>
      <x:c r="K1115" s="32" t="str">
        <x:f>IF(AND(K$8&lt;='Detalle'!$H543,K$9&gt;='Detalle'!$G543),1,"")</x:f>
      </x:c>
      <x:c r="L1115" s="32" t="str">
        <x:f>IF(AND(L$8&lt;='Detalle'!$H543,L$9&gt;='Detalle'!$G543),1,"")</x:f>
      </x:c>
      <x:c r="M1115" s="32" t="str">
        <x:f>IF(AND(M$8&lt;='Detalle'!$H543,M$9&gt;='Detalle'!$G543),1,"")</x:f>
      </x:c>
      <x:c r="N1115" s="32" t="str">
        <x:f>IF(AND(N$8&lt;='Detalle'!$H543,N$9&gt;='Detalle'!$G543),1,"")</x:f>
      </x:c>
      <x:c r="O1115" s="32" t="str">
        <x:f>IF(AND(O$8&lt;='Detalle'!$H543,O$9&gt;='Detalle'!$G543),1,"")</x:f>
      </x:c>
      <x:c r="P1115" s="32" t="str">
        <x:f>IF(AND(P$8&lt;='Detalle'!$H543,P$9&gt;='Detalle'!$G543),1,"")</x:f>
      </x:c>
      <x:c r="Q1115" s="68"/>
      <x:c r="R1115" s="67" t="str">
        <x:f>IF('Detalle'!M543="","",'Detalle'!M543)</x:f>
      </x:c>
      <x:c r="S1115" s="67" t="str">
        <x:f>IF('Detalle'!N543="","",'Detalle'!N543)</x:f>
      </x:c>
    </x:row>
    <x:row r="1116" ht="16" customHeight="1">
      <x:c r="A1116" s="56" t="str">
        <x:v>INT01.007</x:v>
      </x:c>
      <x:c r="B1116" s="57" t="str">
        <x:v>Cancelar selector sin modificar reacción</x:v>
      </x:c>
      <x:c r="C1116" s="63" t="str">
        <x:v>R</x:v>
      </x:c>
      <x:c r="D1116" s="65" t="str">
        <x:f>IF('Detalle'!L543="","",'Detalle'!L543)</x:f>
      </x:c>
      <x:c r="E1116" s="60" t="str"/>
      <x:c r="F1116" s="32" t="str">
        <x:f>IF(OR('Detalle'!$J543="",'Detalle'!$K543="",'Detalle'!$L543=""),"",IF(AND(F$8&lt;='Detalle'!$K543,F$9&gt;='Detalle'!$J543),1,""))</x:f>
      </x:c>
      <x:c r="G1116" s="32" t="str">
        <x:f>IF(OR('Detalle'!$J543="",'Detalle'!$K543="",'Detalle'!$L543=""),"",IF(AND(G$8&lt;='Detalle'!$K543,G$9&gt;='Detalle'!$J543),1,""))</x:f>
      </x:c>
      <x:c r="H1116" s="32" t="str">
        <x:f>IF(OR('Detalle'!$J543="",'Detalle'!$K543="",'Detalle'!$L543=""),"",IF(AND(H$8&lt;='Detalle'!$K543,H$9&gt;='Detalle'!$J543),1,""))</x:f>
      </x:c>
      <x:c r="I1116" s="32" t="str">
        <x:f>IF(OR('Detalle'!$J543="",'Detalle'!$K543="",'Detalle'!$L543=""),"",IF(AND(I$8&lt;='Detalle'!$K543,I$9&gt;='Detalle'!$J543),1,""))</x:f>
      </x:c>
      <x:c r="J1116" s="32" t="str">
        <x:f>IF(OR('Detalle'!$J543="",'Detalle'!$K543="",'Detalle'!$L543=""),"",IF(AND(J$8&lt;='Detalle'!$K543,J$9&gt;='Detalle'!$J543),1,""))</x:f>
      </x:c>
      <x:c r="K1116" s="32" t="str">
        <x:f>IF(OR('Detalle'!$J543="",'Detalle'!$K543="",'Detalle'!$L543=""),"",IF(AND(K$8&lt;='Detalle'!$K543,K$9&gt;='Detalle'!$J543),1,""))</x:f>
      </x:c>
      <x:c r="L1116" s="32" t="str">
        <x:f>IF(OR('Detalle'!$J543="",'Detalle'!$K543="",'Detalle'!$L543=""),"",IF(AND(L$8&lt;='Detalle'!$K543,L$9&gt;='Detalle'!$J543),1,""))</x:f>
      </x:c>
      <x:c r="M1116" s="32" t="str">
        <x:f>IF(OR('Detalle'!$J543="",'Detalle'!$K543="",'Detalle'!$L543=""),"",IF(AND(M$8&lt;='Detalle'!$K543,M$9&gt;='Detalle'!$J543),1,""))</x:f>
      </x:c>
      <x:c r="N1116" s="32" t="str">
        <x:f>IF(OR('Detalle'!$J543="",'Detalle'!$K543="",'Detalle'!$L543=""),"",IF(AND(N$8&lt;='Detalle'!$K543,N$9&gt;='Detalle'!$J543),1,""))</x:f>
      </x:c>
      <x:c r="O1116" s="32" t="str">
        <x:f>IF(OR('Detalle'!$J543="",'Detalle'!$K543="",'Detalle'!$L543=""),"",IF(AND(O$8&lt;='Detalle'!$K543,O$9&gt;='Detalle'!$J543),1,""))</x:f>
      </x:c>
      <x:c r="P1116" s="32" t="str">
        <x:f>IF(OR('Detalle'!$J543="",'Detalle'!$K543="",'Detalle'!$L543=""),"",IF(AND(P$8&lt;='Detalle'!$K543,P$9&gt;='Detalle'!$J543),1,""))</x:f>
      </x:c>
      <x:c r="Q1116" s="68"/>
      <x:c r="R1116" s="67" t="str"/>
      <x:c r="S1116" s="67" t="str"/>
    </x:row>
    <x:row r="1117" ht="16" customHeight="1">
      <x:c r="A1117" s="56" t="str">
        <x:v>INT01.008</x:v>
      </x:c>
      <x:c r="B1117" s="57" t="str">
        <x:v>Ignorar respuesta tardía de cuenta anterior</x:v>
      </x:c>
      <x:c r="C1117" s="62" t="str">
        <x:v>E</x:v>
      </x:c>
      <x:c r="D1117" s="64" t="n">
        <x:f>'Detalle'!I544</x:f>
        <x:v>1</x:v>
      </x:c>
      <x:c r="E1117" s="60" t="str">
        <x:f>'Detalle'!F544</x:f>
        <x:v>Completado</x:v>
      </x:c>
      <x:c r="F1117" s="32" t="str">
        <x:f>IF(AND(F$8&lt;='Detalle'!$H544,F$9&gt;='Detalle'!$G544),1,"")</x:f>
      </x:c>
      <x:c r="G1117" s="32" t="str">
        <x:f>IF(AND(G$8&lt;='Detalle'!$H544,G$9&gt;='Detalle'!$G544),1,"")</x:f>
      </x:c>
      <x:c r="H1117" s="32" t="str">
        <x:f>IF(AND(H$8&lt;='Detalle'!$H544,H$9&gt;='Detalle'!$G544),1,"")</x:f>
      </x:c>
      <x:c r="I1117" s="32" t="str">
        <x:f>IF(AND(I$8&lt;='Detalle'!$H544,I$9&gt;='Detalle'!$G544),1,"")</x:f>
      </x:c>
      <x:c r="J1117" s="32" t="n">
        <x:f>IF(AND(J$8&lt;='Detalle'!$H544,J$9&gt;='Detalle'!$G544),1,"")</x:f>
        <x:v>1</x:v>
      </x:c>
      <x:c r="K1117" s="32" t="str">
        <x:f>IF(AND(K$8&lt;='Detalle'!$H544,K$9&gt;='Detalle'!$G544),1,"")</x:f>
      </x:c>
      <x:c r="L1117" s="32" t="str">
        <x:f>IF(AND(L$8&lt;='Detalle'!$H544,L$9&gt;='Detalle'!$G544),1,"")</x:f>
      </x:c>
      <x:c r="M1117" s="32" t="str">
        <x:f>IF(AND(M$8&lt;='Detalle'!$H544,M$9&gt;='Detalle'!$G544),1,"")</x:f>
      </x:c>
      <x:c r="N1117" s="32" t="str">
        <x:f>IF(AND(N$8&lt;='Detalle'!$H544,N$9&gt;='Detalle'!$G544),1,"")</x:f>
      </x:c>
      <x:c r="O1117" s="32" t="str">
        <x:f>IF(AND(O$8&lt;='Detalle'!$H544,O$9&gt;='Detalle'!$G544),1,"")</x:f>
      </x:c>
      <x:c r="P1117" s="32" t="str">
        <x:f>IF(AND(P$8&lt;='Detalle'!$H544,P$9&gt;='Detalle'!$G544),1,"")</x:f>
      </x:c>
      <x:c r="Q1117" s="68"/>
      <x:c r="R1117" s="67" t="str">
        <x:f>IF('Detalle'!M544="","",'Detalle'!M544)</x:f>
      </x:c>
      <x:c r="S1117" s="67" t="str">
        <x:f>IF('Detalle'!N544="","",'Detalle'!N544)</x:f>
      </x:c>
    </x:row>
    <x:row r="1118" ht="16" customHeight="1">
      <x:c r="A1118" s="56" t="str">
        <x:v>INT01.008</x:v>
      </x:c>
      <x:c r="B1118" s="57" t="str">
        <x:v>Ignorar respuesta tardía de cuenta anterior</x:v>
      </x:c>
      <x:c r="C1118" s="63" t="str">
        <x:v>R</x:v>
      </x:c>
      <x:c r="D1118" s="65" t="str">
        <x:f>IF('Detalle'!L544="","",'Detalle'!L544)</x:f>
      </x:c>
      <x:c r="E1118" s="60" t="str"/>
      <x:c r="F1118" s="32" t="str">
        <x:f>IF(OR('Detalle'!$J544="",'Detalle'!$K544="",'Detalle'!$L544=""),"",IF(AND(F$8&lt;='Detalle'!$K544,F$9&gt;='Detalle'!$J544),1,""))</x:f>
      </x:c>
      <x:c r="G1118" s="32" t="str">
        <x:f>IF(OR('Detalle'!$J544="",'Detalle'!$K544="",'Detalle'!$L544=""),"",IF(AND(G$8&lt;='Detalle'!$K544,G$9&gt;='Detalle'!$J544),1,""))</x:f>
      </x:c>
      <x:c r="H1118" s="32" t="str">
        <x:f>IF(OR('Detalle'!$J544="",'Detalle'!$K544="",'Detalle'!$L544=""),"",IF(AND(H$8&lt;='Detalle'!$K544,H$9&gt;='Detalle'!$J544),1,""))</x:f>
      </x:c>
      <x:c r="I1118" s="32" t="str">
        <x:f>IF(OR('Detalle'!$J544="",'Detalle'!$K544="",'Detalle'!$L544=""),"",IF(AND(I$8&lt;='Detalle'!$K544,I$9&gt;='Detalle'!$J544),1,""))</x:f>
      </x:c>
      <x:c r="J1118" s="32" t="str">
        <x:f>IF(OR('Detalle'!$J544="",'Detalle'!$K544="",'Detalle'!$L544=""),"",IF(AND(J$8&lt;='Detalle'!$K544,J$9&gt;='Detalle'!$J544),1,""))</x:f>
      </x:c>
      <x:c r="K1118" s="32" t="str">
        <x:f>IF(OR('Detalle'!$J544="",'Detalle'!$K544="",'Detalle'!$L544=""),"",IF(AND(K$8&lt;='Detalle'!$K544,K$9&gt;='Detalle'!$J544),1,""))</x:f>
      </x:c>
      <x:c r="L1118" s="32" t="str">
        <x:f>IF(OR('Detalle'!$J544="",'Detalle'!$K544="",'Detalle'!$L544=""),"",IF(AND(L$8&lt;='Detalle'!$K544,L$9&gt;='Detalle'!$J544),1,""))</x:f>
      </x:c>
      <x:c r="M1118" s="32" t="str">
        <x:f>IF(OR('Detalle'!$J544="",'Detalle'!$K544="",'Detalle'!$L544=""),"",IF(AND(M$8&lt;='Detalle'!$K544,M$9&gt;='Detalle'!$J544),1,""))</x:f>
      </x:c>
      <x:c r="N1118" s="32" t="str">
        <x:f>IF(OR('Detalle'!$J544="",'Detalle'!$K544="",'Detalle'!$L544=""),"",IF(AND(N$8&lt;='Detalle'!$K544,N$9&gt;='Detalle'!$J544),1,""))</x:f>
      </x:c>
      <x:c r="O1118" s="32" t="str">
        <x:f>IF(OR('Detalle'!$J544="",'Detalle'!$K544="",'Detalle'!$L544=""),"",IF(AND(O$8&lt;='Detalle'!$K544,O$9&gt;='Detalle'!$J544),1,""))</x:f>
      </x:c>
      <x:c r="P1118" s="32" t="str">
        <x:f>IF(OR('Detalle'!$J544="",'Detalle'!$K544="",'Detalle'!$L544=""),"",IF(AND(P$8&lt;='Detalle'!$K544,P$9&gt;='Detalle'!$J544),1,""))</x:f>
      </x:c>
      <x:c r="Q1118" s="68"/>
      <x:c r="R1118" s="67" t="str"/>
      <x:c r="S1118" s="67" t="str"/>
    </x:row>
    <x:row r="1119" ht="16" customHeight="1">
      <x:c r="A1119" s="56" t="str">
        <x:v>INT01.009</x:v>
      </x:c>
      <x:c r="B1119" s="57" t="str">
        <x:v>Evitar controles semánticos duplicados</x:v>
      </x:c>
      <x:c r="C1119" s="62" t="str">
        <x:v>E</x:v>
      </x:c>
      <x:c r="D1119" s="64" t="n">
        <x:f>'Detalle'!I545</x:f>
        <x:v>1</x:v>
      </x:c>
      <x:c r="E1119" s="60" t="str">
        <x:f>'Detalle'!F545</x:f>
        <x:v>Completado</x:v>
      </x:c>
      <x:c r="F1119" s="32" t="str">
        <x:f>IF(AND(F$8&lt;='Detalle'!$H545,F$9&gt;='Detalle'!$G545),1,"")</x:f>
      </x:c>
      <x:c r="G1119" s="32" t="str">
        <x:f>IF(AND(G$8&lt;='Detalle'!$H545,G$9&gt;='Detalle'!$G545),1,"")</x:f>
      </x:c>
      <x:c r="H1119" s="32" t="str">
        <x:f>IF(AND(H$8&lt;='Detalle'!$H545,H$9&gt;='Detalle'!$G545),1,"")</x:f>
      </x:c>
      <x:c r="I1119" s="32" t="str">
        <x:f>IF(AND(I$8&lt;='Detalle'!$H545,I$9&gt;='Detalle'!$G545),1,"")</x:f>
      </x:c>
      <x:c r="J1119" s="32" t="n">
        <x:f>IF(AND(J$8&lt;='Detalle'!$H545,J$9&gt;='Detalle'!$G545),1,"")</x:f>
        <x:v>1</x:v>
      </x:c>
      <x:c r="K1119" s="32" t="str">
        <x:f>IF(AND(K$8&lt;='Detalle'!$H545,K$9&gt;='Detalle'!$G545),1,"")</x:f>
      </x:c>
      <x:c r="L1119" s="32" t="str">
        <x:f>IF(AND(L$8&lt;='Detalle'!$H545,L$9&gt;='Detalle'!$G545),1,"")</x:f>
      </x:c>
      <x:c r="M1119" s="32" t="str">
        <x:f>IF(AND(M$8&lt;='Detalle'!$H545,M$9&gt;='Detalle'!$G545),1,"")</x:f>
      </x:c>
      <x:c r="N1119" s="32" t="str">
        <x:f>IF(AND(N$8&lt;='Detalle'!$H545,N$9&gt;='Detalle'!$G545),1,"")</x:f>
      </x:c>
      <x:c r="O1119" s="32" t="str">
        <x:f>IF(AND(O$8&lt;='Detalle'!$H545,O$9&gt;='Detalle'!$G545),1,"")</x:f>
      </x:c>
      <x:c r="P1119" s="32" t="str">
        <x:f>IF(AND(P$8&lt;='Detalle'!$H545,P$9&gt;='Detalle'!$G545),1,"")</x:f>
      </x:c>
      <x:c r="Q1119" s="68"/>
      <x:c r="R1119" s="67" t="str">
        <x:f>IF('Detalle'!M545="","",'Detalle'!M545)</x:f>
      </x:c>
      <x:c r="S1119" s="67" t="str">
        <x:f>IF('Detalle'!N545="","",'Detalle'!N545)</x:f>
      </x:c>
    </x:row>
    <x:row r="1120" ht="16" customHeight="1">
      <x:c r="A1120" s="56" t="str">
        <x:v>INT01.009</x:v>
      </x:c>
      <x:c r="B1120" s="57" t="str">
        <x:v>Evitar controles semánticos duplicados</x:v>
      </x:c>
      <x:c r="C1120" s="63" t="str">
        <x:v>R</x:v>
      </x:c>
      <x:c r="D1120" s="65" t="str">
        <x:f>IF('Detalle'!L545="","",'Detalle'!L545)</x:f>
      </x:c>
      <x:c r="E1120" s="60" t="str"/>
      <x:c r="F1120" s="32" t="str">
        <x:f>IF(OR('Detalle'!$J545="",'Detalle'!$K545="",'Detalle'!$L545=""),"",IF(AND(F$8&lt;='Detalle'!$K545,F$9&gt;='Detalle'!$J545),1,""))</x:f>
      </x:c>
      <x:c r="G1120" s="32" t="str">
        <x:f>IF(OR('Detalle'!$J545="",'Detalle'!$K545="",'Detalle'!$L545=""),"",IF(AND(G$8&lt;='Detalle'!$K545,G$9&gt;='Detalle'!$J545),1,""))</x:f>
      </x:c>
      <x:c r="H1120" s="32" t="str">
        <x:f>IF(OR('Detalle'!$J545="",'Detalle'!$K545="",'Detalle'!$L545=""),"",IF(AND(H$8&lt;='Detalle'!$K545,H$9&gt;='Detalle'!$J545),1,""))</x:f>
      </x:c>
      <x:c r="I1120" s="32" t="str">
        <x:f>IF(OR('Detalle'!$J545="",'Detalle'!$K545="",'Detalle'!$L545=""),"",IF(AND(I$8&lt;='Detalle'!$K545,I$9&gt;='Detalle'!$J545),1,""))</x:f>
      </x:c>
      <x:c r="J1120" s="32" t="str">
        <x:f>IF(OR('Detalle'!$J545="",'Detalle'!$K545="",'Detalle'!$L545=""),"",IF(AND(J$8&lt;='Detalle'!$K545,J$9&gt;='Detalle'!$J545),1,""))</x:f>
      </x:c>
      <x:c r="K1120" s="32" t="str">
        <x:f>IF(OR('Detalle'!$J545="",'Detalle'!$K545="",'Detalle'!$L545=""),"",IF(AND(K$8&lt;='Detalle'!$K545,K$9&gt;='Detalle'!$J545),1,""))</x:f>
      </x:c>
      <x:c r="L1120" s="32" t="str">
        <x:f>IF(OR('Detalle'!$J545="",'Detalle'!$K545="",'Detalle'!$L545=""),"",IF(AND(L$8&lt;='Detalle'!$K545,L$9&gt;='Detalle'!$J545),1,""))</x:f>
      </x:c>
      <x:c r="M1120" s="32" t="str">
        <x:f>IF(OR('Detalle'!$J545="",'Detalle'!$K545="",'Detalle'!$L545=""),"",IF(AND(M$8&lt;='Detalle'!$K545,M$9&gt;='Detalle'!$J545),1,""))</x:f>
      </x:c>
      <x:c r="N1120" s="32" t="str">
        <x:f>IF(OR('Detalle'!$J545="",'Detalle'!$K545="",'Detalle'!$L545=""),"",IF(AND(N$8&lt;='Detalle'!$K545,N$9&gt;='Detalle'!$J545),1,""))</x:f>
      </x:c>
      <x:c r="O1120" s="32" t="str">
        <x:f>IF(OR('Detalle'!$J545="",'Detalle'!$K545="",'Detalle'!$L545=""),"",IF(AND(O$8&lt;='Detalle'!$K545,O$9&gt;='Detalle'!$J545),1,""))</x:f>
      </x:c>
      <x:c r="P1120" s="32" t="str">
        <x:f>IF(OR('Detalle'!$J545="",'Detalle'!$K545="",'Detalle'!$L545=""),"",IF(AND(P$8&lt;='Detalle'!$K545,P$9&gt;='Detalle'!$J545),1,""))</x:f>
      </x:c>
      <x:c r="Q1120" s="68"/>
      <x:c r="R1120" s="67" t="str"/>
      <x:c r="S1120" s="67" t="str"/>
    </x:row>
    <x:row r="1121" ht="16" customHeight="1">
      <x:c r="A1121" s="56" t="str">
        <x:v>INT01.010</x:v>
      </x:c>
      <x:c r="B1121" s="57" t="str">
        <x:v>Usar InkRipple compatible con pruebas</x:v>
      </x:c>
      <x:c r="C1121" s="62" t="str">
        <x:v>E</x:v>
      </x:c>
      <x:c r="D1121" s="64" t="n">
        <x:f>'Detalle'!I546</x:f>
        <x:v>1</x:v>
      </x:c>
      <x:c r="E1121" s="60" t="str">
        <x:f>'Detalle'!F546</x:f>
        <x:v>Completado</x:v>
      </x:c>
      <x:c r="F1121" s="32" t="str">
        <x:f>IF(AND(F$8&lt;='Detalle'!$H546,F$9&gt;='Detalle'!$G546),1,"")</x:f>
      </x:c>
      <x:c r="G1121" s="32" t="str">
        <x:f>IF(AND(G$8&lt;='Detalle'!$H546,G$9&gt;='Detalle'!$G546),1,"")</x:f>
      </x:c>
      <x:c r="H1121" s="32" t="str">
        <x:f>IF(AND(H$8&lt;='Detalle'!$H546,H$9&gt;='Detalle'!$G546),1,"")</x:f>
      </x:c>
      <x:c r="I1121" s="32" t="str">
        <x:f>IF(AND(I$8&lt;='Detalle'!$H546,I$9&gt;='Detalle'!$G546),1,"")</x:f>
      </x:c>
      <x:c r="J1121" s="32" t="n">
        <x:f>IF(AND(J$8&lt;='Detalle'!$H546,J$9&gt;='Detalle'!$G546),1,"")</x:f>
        <x:v>1</x:v>
      </x:c>
      <x:c r="K1121" s="32" t="str">
        <x:f>IF(AND(K$8&lt;='Detalle'!$H546,K$9&gt;='Detalle'!$G546),1,"")</x:f>
      </x:c>
      <x:c r="L1121" s="32" t="str">
        <x:f>IF(AND(L$8&lt;='Detalle'!$H546,L$9&gt;='Detalle'!$G546),1,"")</x:f>
      </x:c>
      <x:c r="M1121" s="32" t="str">
        <x:f>IF(AND(M$8&lt;='Detalle'!$H546,M$9&gt;='Detalle'!$G546),1,"")</x:f>
      </x:c>
      <x:c r="N1121" s="32" t="str">
        <x:f>IF(AND(N$8&lt;='Detalle'!$H546,N$9&gt;='Detalle'!$G546),1,"")</x:f>
      </x:c>
      <x:c r="O1121" s="32" t="str">
        <x:f>IF(AND(O$8&lt;='Detalle'!$H546,O$9&gt;='Detalle'!$G546),1,"")</x:f>
      </x:c>
      <x:c r="P1121" s="32" t="str">
        <x:f>IF(AND(P$8&lt;='Detalle'!$H546,P$9&gt;='Detalle'!$G546),1,"")</x:f>
      </x:c>
      <x:c r="Q1121" s="68"/>
      <x:c r="R1121" s="67" t="str">
        <x:f>IF('Detalle'!M546="","",'Detalle'!M546)</x:f>
      </x:c>
      <x:c r="S1121" s="67" t="str">
        <x:f>IF('Detalle'!N546="","",'Detalle'!N546)</x:f>
      </x:c>
    </x:row>
    <x:row r="1122" ht="16" customHeight="1">
      <x:c r="A1122" s="56" t="str">
        <x:v>INT01.010</x:v>
      </x:c>
      <x:c r="B1122" s="57" t="str">
        <x:v>Usar InkRipple compatible con pruebas</x:v>
      </x:c>
      <x:c r="C1122" s="63" t="str">
        <x:v>R</x:v>
      </x:c>
      <x:c r="D1122" s="65" t="str">
        <x:f>IF('Detalle'!L546="","",'Detalle'!L546)</x:f>
      </x:c>
      <x:c r="E1122" s="60" t="str"/>
      <x:c r="F1122" s="32" t="str">
        <x:f>IF(OR('Detalle'!$J546="",'Detalle'!$K546="",'Detalle'!$L546=""),"",IF(AND(F$8&lt;='Detalle'!$K546,F$9&gt;='Detalle'!$J546),1,""))</x:f>
      </x:c>
      <x:c r="G1122" s="32" t="str">
        <x:f>IF(OR('Detalle'!$J546="",'Detalle'!$K546="",'Detalle'!$L546=""),"",IF(AND(G$8&lt;='Detalle'!$K546,G$9&gt;='Detalle'!$J546),1,""))</x:f>
      </x:c>
      <x:c r="H1122" s="32" t="str">
        <x:f>IF(OR('Detalle'!$J546="",'Detalle'!$K546="",'Detalle'!$L546=""),"",IF(AND(H$8&lt;='Detalle'!$K546,H$9&gt;='Detalle'!$J546),1,""))</x:f>
      </x:c>
      <x:c r="I1122" s="32" t="str">
        <x:f>IF(OR('Detalle'!$J546="",'Detalle'!$K546="",'Detalle'!$L546=""),"",IF(AND(I$8&lt;='Detalle'!$K546,I$9&gt;='Detalle'!$J546),1,""))</x:f>
      </x:c>
      <x:c r="J1122" s="32" t="str">
        <x:f>IF(OR('Detalle'!$J546="",'Detalle'!$K546="",'Detalle'!$L546=""),"",IF(AND(J$8&lt;='Detalle'!$K546,J$9&gt;='Detalle'!$J546),1,""))</x:f>
      </x:c>
      <x:c r="K1122" s="32" t="str">
        <x:f>IF(OR('Detalle'!$J546="",'Detalle'!$K546="",'Detalle'!$L546=""),"",IF(AND(K$8&lt;='Detalle'!$K546,K$9&gt;='Detalle'!$J546),1,""))</x:f>
      </x:c>
      <x:c r="L1122" s="32" t="str">
        <x:f>IF(OR('Detalle'!$J546="",'Detalle'!$K546="",'Detalle'!$L546=""),"",IF(AND(L$8&lt;='Detalle'!$K546,L$9&gt;='Detalle'!$J546),1,""))</x:f>
      </x:c>
      <x:c r="M1122" s="32" t="str">
        <x:f>IF(OR('Detalle'!$J546="",'Detalle'!$K546="",'Detalle'!$L546=""),"",IF(AND(M$8&lt;='Detalle'!$K546,M$9&gt;='Detalle'!$J546),1,""))</x:f>
      </x:c>
      <x:c r="N1122" s="32" t="str">
        <x:f>IF(OR('Detalle'!$J546="",'Detalle'!$K546="",'Detalle'!$L546=""),"",IF(AND(N$8&lt;='Detalle'!$K546,N$9&gt;='Detalle'!$J546),1,""))</x:f>
      </x:c>
      <x:c r="O1122" s="32" t="str">
        <x:f>IF(OR('Detalle'!$J546="",'Detalle'!$K546="",'Detalle'!$L546=""),"",IF(AND(O$8&lt;='Detalle'!$K546,O$9&gt;='Detalle'!$J546),1,""))</x:f>
      </x:c>
      <x:c r="P1122" s="32" t="str">
        <x:f>IF(OR('Detalle'!$J546="",'Detalle'!$K546="",'Detalle'!$L546=""),"",IF(AND(P$8&lt;='Detalle'!$K546,P$9&gt;='Detalle'!$J546),1,""))</x:f>
      </x:c>
      <x:c r="Q1122" s="68"/>
      <x:c r="R1122" s="67" t="str"/>
      <x:c r="S1122" s="67" t="str"/>
    </x:row>
    <x:row r="1123" ht="16" customHeight="1">
      <x:c r="A1123" s="56" t="str">
        <x:v>INT01.011</x:v>
      </x:c>
      <x:c r="B1123" s="57" t="str">
        <x:v>Coordinar paneles en navegación raíz</x:v>
      </x:c>
      <x:c r="C1123" s="62" t="str">
        <x:v>E</x:v>
      </x:c>
      <x:c r="D1123" s="64" t="n">
        <x:f>'Detalle'!I547</x:f>
        <x:v>1</x:v>
      </x:c>
      <x:c r="E1123" s="60" t="str">
        <x:f>'Detalle'!F547</x:f>
        <x:v>Completado</x:v>
      </x:c>
      <x:c r="F1123" s="32" t="str">
        <x:f>IF(AND(F$8&lt;='Detalle'!$H547,F$9&gt;='Detalle'!$G547),1,"")</x:f>
      </x:c>
      <x:c r="G1123" s="32" t="str">
        <x:f>IF(AND(G$8&lt;='Detalle'!$H547,G$9&gt;='Detalle'!$G547),1,"")</x:f>
      </x:c>
      <x:c r="H1123" s="32" t="str">
        <x:f>IF(AND(H$8&lt;='Detalle'!$H547,H$9&gt;='Detalle'!$G547),1,"")</x:f>
      </x:c>
      <x:c r="I1123" s="32" t="str">
        <x:f>IF(AND(I$8&lt;='Detalle'!$H547,I$9&gt;='Detalle'!$G547),1,"")</x:f>
      </x:c>
      <x:c r="J1123" s="32" t="n">
        <x:f>IF(AND(J$8&lt;='Detalle'!$H547,J$9&gt;='Detalle'!$G547),1,"")</x:f>
        <x:v>1</x:v>
      </x:c>
      <x:c r="K1123" s="32" t="str">
        <x:f>IF(AND(K$8&lt;='Detalle'!$H547,K$9&gt;='Detalle'!$G547),1,"")</x:f>
      </x:c>
      <x:c r="L1123" s="32" t="str">
        <x:f>IF(AND(L$8&lt;='Detalle'!$H547,L$9&gt;='Detalle'!$G547),1,"")</x:f>
      </x:c>
      <x:c r="M1123" s="32" t="str">
        <x:f>IF(AND(M$8&lt;='Detalle'!$H547,M$9&gt;='Detalle'!$G547),1,"")</x:f>
      </x:c>
      <x:c r="N1123" s="32" t="str">
        <x:f>IF(AND(N$8&lt;='Detalle'!$H547,N$9&gt;='Detalle'!$G547),1,"")</x:f>
      </x:c>
      <x:c r="O1123" s="32" t="str">
        <x:f>IF(AND(O$8&lt;='Detalle'!$H547,O$9&gt;='Detalle'!$G547),1,"")</x:f>
      </x:c>
      <x:c r="P1123" s="32" t="str">
        <x:f>IF(AND(P$8&lt;='Detalle'!$H547,P$9&gt;='Detalle'!$G547),1,"")</x:f>
      </x:c>
      <x:c r="Q1123" s="68"/>
      <x:c r="R1123" s="67" t="str">
        <x:f>IF('Detalle'!M547="","",'Detalle'!M547)</x:f>
      </x:c>
      <x:c r="S1123" s="67" t="str">
        <x:f>IF('Detalle'!N547="","",'Detalle'!N547)</x:f>
      </x:c>
    </x:row>
    <x:row r="1124" ht="16" customHeight="1">
      <x:c r="A1124" s="56" t="str">
        <x:v>INT01.011</x:v>
      </x:c>
      <x:c r="B1124" s="57" t="str">
        <x:v>Coordinar paneles en navegación raíz</x:v>
      </x:c>
      <x:c r="C1124" s="63" t="str">
        <x:v>R</x:v>
      </x:c>
      <x:c r="D1124" s="65" t="str">
        <x:f>IF('Detalle'!L547="","",'Detalle'!L547)</x:f>
      </x:c>
      <x:c r="E1124" s="60" t="str"/>
      <x:c r="F1124" s="32" t="str">
        <x:f>IF(OR('Detalle'!$J547="",'Detalle'!$K547="",'Detalle'!$L547=""),"",IF(AND(F$8&lt;='Detalle'!$K547,F$9&gt;='Detalle'!$J547),1,""))</x:f>
      </x:c>
      <x:c r="G1124" s="32" t="str">
        <x:f>IF(OR('Detalle'!$J547="",'Detalle'!$K547="",'Detalle'!$L547=""),"",IF(AND(G$8&lt;='Detalle'!$K547,G$9&gt;='Detalle'!$J547),1,""))</x:f>
      </x:c>
      <x:c r="H1124" s="32" t="str">
        <x:f>IF(OR('Detalle'!$J547="",'Detalle'!$K547="",'Detalle'!$L547=""),"",IF(AND(H$8&lt;='Detalle'!$K547,H$9&gt;='Detalle'!$J547),1,""))</x:f>
      </x:c>
      <x:c r="I1124" s="32" t="str">
        <x:f>IF(OR('Detalle'!$J547="",'Detalle'!$K547="",'Detalle'!$L547=""),"",IF(AND(I$8&lt;='Detalle'!$K547,I$9&gt;='Detalle'!$J547),1,""))</x:f>
      </x:c>
      <x:c r="J1124" s="32" t="str">
        <x:f>IF(OR('Detalle'!$J547="",'Detalle'!$K547="",'Detalle'!$L547=""),"",IF(AND(J$8&lt;='Detalle'!$K547,J$9&gt;='Detalle'!$J547),1,""))</x:f>
      </x:c>
      <x:c r="K1124" s="32" t="str">
        <x:f>IF(OR('Detalle'!$J547="",'Detalle'!$K547="",'Detalle'!$L547=""),"",IF(AND(K$8&lt;='Detalle'!$K547,K$9&gt;='Detalle'!$J547),1,""))</x:f>
      </x:c>
      <x:c r="L1124" s="32" t="str">
        <x:f>IF(OR('Detalle'!$J547="",'Detalle'!$K547="",'Detalle'!$L547=""),"",IF(AND(L$8&lt;='Detalle'!$K547,L$9&gt;='Detalle'!$J547),1,""))</x:f>
      </x:c>
      <x:c r="M1124" s="32" t="str">
        <x:f>IF(OR('Detalle'!$J547="",'Detalle'!$K547="",'Detalle'!$L547=""),"",IF(AND(M$8&lt;='Detalle'!$K547,M$9&gt;='Detalle'!$J547),1,""))</x:f>
      </x:c>
      <x:c r="N1124" s="32" t="str">
        <x:f>IF(OR('Detalle'!$J547="",'Detalle'!$K547="",'Detalle'!$L547=""),"",IF(AND(N$8&lt;='Detalle'!$K547,N$9&gt;='Detalle'!$J547),1,""))</x:f>
      </x:c>
      <x:c r="O1124" s="32" t="str">
        <x:f>IF(OR('Detalle'!$J547="",'Detalle'!$K547="",'Detalle'!$L547=""),"",IF(AND(O$8&lt;='Detalle'!$K547,O$9&gt;='Detalle'!$J547),1,""))</x:f>
      </x:c>
      <x:c r="P1124" s="32" t="str">
        <x:f>IF(OR('Detalle'!$J547="",'Detalle'!$K547="",'Detalle'!$L547=""),"",IF(AND(P$8&lt;='Detalle'!$K547,P$9&gt;='Detalle'!$J547),1,""))</x:f>
      </x:c>
      <x:c r="Q1124" s="68"/>
      <x:c r="R1124" s="67" t="str"/>
      <x:c r="S1124" s="67" t="str"/>
    </x:row>
    <x:row r="1125" ht="16" customHeight="1">
      <x:c r="A1125" s="56" t="str">
        <x:v>INT01.012</x:v>
      </x:c>
      <x:c r="B1125" s="57" t="str">
        <x:v>Ocultar dock al abrir panel</x:v>
      </x:c>
      <x:c r="C1125" s="62" t="str">
        <x:v>E</x:v>
      </x:c>
      <x:c r="D1125" s="64" t="n">
        <x:f>'Detalle'!I548</x:f>
        <x:v>1</x:v>
      </x:c>
      <x:c r="E1125" s="60" t="str">
        <x:f>'Detalle'!F548</x:f>
        <x:v>Completado</x:v>
      </x:c>
      <x:c r="F1125" s="32" t="str">
        <x:f>IF(AND(F$8&lt;='Detalle'!$H548,F$9&gt;='Detalle'!$G548),1,"")</x:f>
      </x:c>
      <x:c r="G1125" s="32" t="str">
        <x:f>IF(AND(G$8&lt;='Detalle'!$H548,G$9&gt;='Detalle'!$G548),1,"")</x:f>
      </x:c>
      <x:c r="H1125" s="32" t="str">
        <x:f>IF(AND(H$8&lt;='Detalle'!$H548,H$9&gt;='Detalle'!$G548),1,"")</x:f>
      </x:c>
      <x:c r="I1125" s="32" t="str">
        <x:f>IF(AND(I$8&lt;='Detalle'!$H548,I$9&gt;='Detalle'!$G548),1,"")</x:f>
      </x:c>
      <x:c r="J1125" s="32" t="n">
        <x:f>IF(AND(J$8&lt;='Detalle'!$H548,J$9&gt;='Detalle'!$G548),1,"")</x:f>
        <x:v>1</x:v>
      </x:c>
      <x:c r="K1125" s="32" t="str">
        <x:f>IF(AND(K$8&lt;='Detalle'!$H548,K$9&gt;='Detalle'!$G548),1,"")</x:f>
      </x:c>
      <x:c r="L1125" s="32" t="str">
        <x:f>IF(AND(L$8&lt;='Detalle'!$H548,L$9&gt;='Detalle'!$G548),1,"")</x:f>
      </x:c>
      <x:c r="M1125" s="32" t="str">
        <x:f>IF(AND(M$8&lt;='Detalle'!$H548,M$9&gt;='Detalle'!$G548),1,"")</x:f>
      </x:c>
      <x:c r="N1125" s="32" t="str">
        <x:f>IF(AND(N$8&lt;='Detalle'!$H548,N$9&gt;='Detalle'!$G548),1,"")</x:f>
      </x:c>
      <x:c r="O1125" s="32" t="str">
        <x:f>IF(AND(O$8&lt;='Detalle'!$H548,O$9&gt;='Detalle'!$G548),1,"")</x:f>
      </x:c>
      <x:c r="P1125" s="32" t="str">
        <x:f>IF(AND(P$8&lt;='Detalle'!$H548,P$9&gt;='Detalle'!$G548),1,"")</x:f>
      </x:c>
      <x:c r="Q1125" s="68"/>
      <x:c r="R1125" s="67" t="str">
        <x:f>IF('Detalle'!M548="","",'Detalle'!M548)</x:f>
      </x:c>
      <x:c r="S1125" s="67" t="str">
        <x:f>IF('Detalle'!N548="","",'Detalle'!N548)</x:f>
      </x:c>
    </x:row>
    <x:row r="1126" ht="16" customHeight="1">
      <x:c r="A1126" s="56" t="str">
        <x:v>INT01.012</x:v>
      </x:c>
      <x:c r="B1126" s="57" t="str">
        <x:v>Ocultar dock al abrir panel</x:v>
      </x:c>
      <x:c r="C1126" s="63" t="str">
        <x:v>R</x:v>
      </x:c>
      <x:c r="D1126" s="65" t="str">
        <x:f>IF('Detalle'!L548="","",'Detalle'!L548)</x:f>
      </x:c>
      <x:c r="E1126" s="60" t="str"/>
      <x:c r="F1126" s="32" t="str">
        <x:f>IF(OR('Detalle'!$J548="",'Detalle'!$K548="",'Detalle'!$L548=""),"",IF(AND(F$8&lt;='Detalle'!$K548,F$9&gt;='Detalle'!$J548),1,""))</x:f>
      </x:c>
      <x:c r="G1126" s="32" t="str">
        <x:f>IF(OR('Detalle'!$J548="",'Detalle'!$K548="",'Detalle'!$L548=""),"",IF(AND(G$8&lt;='Detalle'!$K548,G$9&gt;='Detalle'!$J548),1,""))</x:f>
      </x:c>
      <x:c r="H1126" s="32" t="str">
        <x:f>IF(OR('Detalle'!$J548="",'Detalle'!$K548="",'Detalle'!$L548=""),"",IF(AND(H$8&lt;='Detalle'!$K548,H$9&gt;='Detalle'!$J548),1,""))</x:f>
      </x:c>
      <x:c r="I1126" s="32" t="str">
        <x:f>IF(OR('Detalle'!$J548="",'Detalle'!$K548="",'Detalle'!$L548=""),"",IF(AND(I$8&lt;='Detalle'!$K548,I$9&gt;='Detalle'!$J548),1,""))</x:f>
      </x:c>
      <x:c r="J1126" s="32" t="str">
        <x:f>IF(OR('Detalle'!$J548="",'Detalle'!$K548="",'Detalle'!$L548=""),"",IF(AND(J$8&lt;='Detalle'!$K548,J$9&gt;='Detalle'!$J548),1,""))</x:f>
      </x:c>
      <x:c r="K1126" s="32" t="str">
        <x:f>IF(OR('Detalle'!$J548="",'Detalle'!$K548="",'Detalle'!$L548=""),"",IF(AND(K$8&lt;='Detalle'!$K548,K$9&gt;='Detalle'!$J548),1,""))</x:f>
      </x:c>
      <x:c r="L1126" s="32" t="str">
        <x:f>IF(OR('Detalle'!$J548="",'Detalle'!$K548="",'Detalle'!$L548=""),"",IF(AND(L$8&lt;='Detalle'!$K548,L$9&gt;='Detalle'!$J548),1,""))</x:f>
      </x:c>
      <x:c r="M1126" s="32" t="str">
        <x:f>IF(OR('Detalle'!$J548="",'Detalle'!$K548="",'Detalle'!$L548=""),"",IF(AND(M$8&lt;='Detalle'!$K548,M$9&gt;='Detalle'!$J548),1,""))</x:f>
      </x:c>
      <x:c r="N1126" s="32" t="str">
        <x:f>IF(OR('Detalle'!$J548="",'Detalle'!$K548="",'Detalle'!$L548=""),"",IF(AND(N$8&lt;='Detalle'!$K548,N$9&gt;='Detalle'!$J548),1,""))</x:f>
      </x:c>
      <x:c r="O1126" s="32" t="str">
        <x:f>IF(OR('Detalle'!$J548="",'Detalle'!$K548="",'Detalle'!$L548=""),"",IF(AND(O$8&lt;='Detalle'!$K548,O$9&gt;='Detalle'!$J548),1,""))</x:f>
      </x:c>
      <x:c r="P1126" s="32" t="str">
        <x:f>IF(OR('Detalle'!$J548="",'Detalle'!$K548="",'Detalle'!$L548=""),"",IF(AND(P$8&lt;='Detalle'!$K548,P$9&gt;='Detalle'!$J548),1,""))</x:f>
      </x:c>
      <x:c r="Q1126" s="68"/>
      <x:c r="R1126" s="67" t="str"/>
      <x:c r="S1126" s="67" t="str"/>
    </x:row>
    <x:row r="1127" ht="16" customHeight="1">
      <x:c r="A1127" s="56" t="str">
        <x:v>INT01.013</x:v>
      </x:c>
      <x:c r="B1127" s="57" t="str">
        <x:v>Restaurar dock al cerrar panel</x:v>
      </x:c>
      <x:c r="C1127" s="62" t="str">
        <x:v>E</x:v>
      </x:c>
      <x:c r="D1127" s="64" t="n">
        <x:f>'Detalle'!I549</x:f>
        <x:v>1</x:v>
      </x:c>
      <x:c r="E1127" s="60" t="str">
        <x:f>'Detalle'!F549</x:f>
        <x:v>Completado</x:v>
      </x:c>
      <x:c r="F1127" s="32" t="str">
        <x:f>IF(AND(F$8&lt;='Detalle'!$H549,F$9&gt;='Detalle'!$G549),1,"")</x:f>
      </x:c>
      <x:c r="G1127" s="32" t="str">
        <x:f>IF(AND(G$8&lt;='Detalle'!$H549,G$9&gt;='Detalle'!$G549),1,"")</x:f>
      </x:c>
      <x:c r="H1127" s="32" t="str">
        <x:f>IF(AND(H$8&lt;='Detalle'!$H549,H$9&gt;='Detalle'!$G549),1,"")</x:f>
      </x:c>
      <x:c r="I1127" s="32" t="str">
        <x:f>IF(AND(I$8&lt;='Detalle'!$H549,I$9&gt;='Detalle'!$G549),1,"")</x:f>
      </x:c>
      <x:c r="J1127" s="32" t="n">
        <x:f>IF(AND(J$8&lt;='Detalle'!$H549,J$9&gt;='Detalle'!$G549),1,"")</x:f>
        <x:v>1</x:v>
      </x:c>
      <x:c r="K1127" s="32" t="str">
        <x:f>IF(AND(K$8&lt;='Detalle'!$H549,K$9&gt;='Detalle'!$G549),1,"")</x:f>
      </x:c>
      <x:c r="L1127" s="32" t="str">
        <x:f>IF(AND(L$8&lt;='Detalle'!$H549,L$9&gt;='Detalle'!$G549),1,"")</x:f>
      </x:c>
      <x:c r="M1127" s="32" t="str">
        <x:f>IF(AND(M$8&lt;='Detalle'!$H549,M$9&gt;='Detalle'!$G549),1,"")</x:f>
      </x:c>
      <x:c r="N1127" s="32" t="str">
        <x:f>IF(AND(N$8&lt;='Detalle'!$H549,N$9&gt;='Detalle'!$G549),1,"")</x:f>
      </x:c>
      <x:c r="O1127" s="32" t="str">
        <x:f>IF(AND(O$8&lt;='Detalle'!$H549,O$9&gt;='Detalle'!$G549),1,"")</x:f>
      </x:c>
      <x:c r="P1127" s="32" t="str">
        <x:f>IF(AND(P$8&lt;='Detalle'!$H549,P$9&gt;='Detalle'!$G549),1,"")</x:f>
      </x:c>
      <x:c r="Q1127" s="68"/>
      <x:c r="R1127" s="67" t="str">
        <x:f>IF('Detalle'!M549="","",'Detalle'!M549)</x:f>
      </x:c>
      <x:c r="S1127" s="67" t="str">
        <x:f>IF('Detalle'!N549="","",'Detalle'!N549)</x:f>
      </x:c>
    </x:row>
    <x:row r="1128" ht="16" customHeight="1">
      <x:c r="A1128" s="56" t="str">
        <x:v>INT01.013</x:v>
      </x:c>
      <x:c r="B1128" s="57" t="str">
        <x:v>Restaurar dock al cerrar panel</x:v>
      </x:c>
      <x:c r="C1128" s="63" t="str">
        <x:v>R</x:v>
      </x:c>
      <x:c r="D1128" s="65" t="str">
        <x:f>IF('Detalle'!L549="","",'Detalle'!L549)</x:f>
      </x:c>
      <x:c r="E1128" s="60" t="str"/>
      <x:c r="F1128" s="32" t="str">
        <x:f>IF(OR('Detalle'!$J549="",'Detalle'!$K549="",'Detalle'!$L549=""),"",IF(AND(F$8&lt;='Detalle'!$K549,F$9&gt;='Detalle'!$J549),1,""))</x:f>
      </x:c>
      <x:c r="G1128" s="32" t="str">
        <x:f>IF(OR('Detalle'!$J549="",'Detalle'!$K549="",'Detalle'!$L549=""),"",IF(AND(G$8&lt;='Detalle'!$K549,G$9&gt;='Detalle'!$J549),1,""))</x:f>
      </x:c>
      <x:c r="H1128" s="32" t="str">
        <x:f>IF(OR('Detalle'!$J549="",'Detalle'!$K549="",'Detalle'!$L549=""),"",IF(AND(H$8&lt;='Detalle'!$K549,H$9&gt;='Detalle'!$J549),1,""))</x:f>
      </x:c>
      <x:c r="I1128" s="32" t="str">
        <x:f>IF(OR('Detalle'!$J549="",'Detalle'!$K549="",'Detalle'!$L549=""),"",IF(AND(I$8&lt;='Detalle'!$K549,I$9&gt;='Detalle'!$J549),1,""))</x:f>
      </x:c>
      <x:c r="J1128" s="32" t="str">
        <x:f>IF(OR('Detalle'!$J549="",'Detalle'!$K549="",'Detalle'!$L549=""),"",IF(AND(J$8&lt;='Detalle'!$K549,J$9&gt;='Detalle'!$J549),1,""))</x:f>
      </x:c>
      <x:c r="K1128" s="32" t="str">
        <x:f>IF(OR('Detalle'!$J549="",'Detalle'!$K549="",'Detalle'!$L549=""),"",IF(AND(K$8&lt;='Detalle'!$K549,K$9&gt;='Detalle'!$J549),1,""))</x:f>
      </x:c>
      <x:c r="L1128" s="32" t="str">
        <x:f>IF(OR('Detalle'!$J549="",'Detalle'!$K549="",'Detalle'!$L549=""),"",IF(AND(L$8&lt;='Detalle'!$K549,L$9&gt;='Detalle'!$J549),1,""))</x:f>
      </x:c>
      <x:c r="M1128" s="32" t="str">
        <x:f>IF(OR('Detalle'!$J549="",'Detalle'!$K549="",'Detalle'!$L549=""),"",IF(AND(M$8&lt;='Detalle'!$K549,M$9&gt;='Detalle'!$J549),1,""))</x:f>
      </x:c>
      <x:c r="N1128" s="32" t="str">
        <x:f>IF(OR('Detalle'!$J549="",'Detalle'!$K549="",'Detalle'!$L549=""),"",IF(AND(N$8&lt;='Detalle'!$K549,N$9&gt;='Detalle'!$J549),1,""))</x:f>
      </x:c>
      <x:c r="O1128" s="32" t="str">
        <x:f>IF(OR('Detalle'!$J549="",'Detalle'!$K549="",'Detalle'!$L549=""),"",IF(AND(O$8&lt;='Detalle'!$K549,O$9&gt;='Detalle'!$J549),1,""))</x:f>
      </x:c>
      <x:c r="P1128" s="32" t="str">
        <x:f>IF(OR('Detalle'!$J549="",'Detalle'!$K549="",'Detalle'!$L549=""),"",IF(AND(P$8&lt;='Detalle'!$K549,P$9&gt;='Detalle'!$J549),1,""))</x:f>
      </x:c>
      <x:c r="Q1128" s="68"/>
      <x:c r="R1128" s="67" t="str"/>
      <x:c r="S1128" s="67" t="str"/>
    </x:row>
    <x:row r="1129" ht="16" customHeight="1">
      <x:c r="A1129" s="56" t="str">
        <x:v>INT01.014</x:v>
      </x:c>
      <x:c r="B1129" s="57" t="str">
        <x:v>Proteger cierre de paneles anidados</x:v>
      </x:c>
      <x:c r="C1129" s="62" t="str">
        <x:v>E</x:v>
      </x:c>
      <x:c r="D1129" s="64" t="n">
        <x:f>'Detalle'!I550</x:f>
        <x:v>1</x:v>
      </x:c>
      <x:c r="E1129" s="60" t="str">
        <x:f>'Detalle'!F550</x:f>
        <x:v>Completado</x:v>
      </x:c>
      <x:c r="F1129" s="32" t="str">
        <x:f>IF(AND(F$8&lt;='Detalle'!$H550,F$9&gt;='Detalle'!$G550),1,"")</x:f>
      </x:c>
      <x:c r="G1129" s="32" t="str">
        <x:f>IF(AND(G$8&lt;='Detalle'!$H550,G$9&gt;='Detalle'!$G550),1,"")</x:f>
      </x:c>
      <x:c r="H1129" s="32" t="str">
        <x:f>IF(AND(H$8&lt;='Detalle'!$H550,H$9&gt;='Detalle'!$G550),1,"")</x:f>
      </x:c>
      <x:c r="I1129" s="32" t="str">
        <x:f>IF(AND(I$8&lt;='Detalle'!$H550,I$9&gt;='Detalle'!$G550),1,"")</x:f>
      </x:c>
      <x:c r="J1129" s="32" t="n">
        <x:f>IF(AND(J$8&lt;='Detalle'!$H550,J$9&gt;='Detalle'!$G550),1,"")</x:f>
        <x:v>1</x:v>
      </x:c>
      <x:c r="K1129" s="32" t="str">
        <x:f>IF(AND(K$8&lt;='Detalle'!$H550,K$9&gt;='Detalle'!$G550),1,"")</x:f>
      </x:c>
      <x:c r="L1129" s="32" t="str">
        <x:f>IF(AND(L$8&lt;='Detalle'!$H550,L$9&gt;='Detalle'!$G550),1,"")</x:f>
      </x:c>
      <x:c r="M1129" s="32" t="str">
        <x:f>IF(AND(M$8&lt;='Detalle'!$H550,M$9&gt;='Detalle'!$G550),1,"")</x:f>
      </x:c>
      <x:c r="N1129" s="32" t="str">
        <x:f>IF(AND(N$8&lt;='Detalle'!$H550,N$9&gt;='Detalle'!$G550),1,"")</x:f>
      </x:c>
      <x:c r="O1129" s="32" t="str">
        <x:f>IF(AND(O$8&lt;='Detalle'!$H550,O$9&gt;='Detalle'!$G550),1,"")</x:f>
      </x:c>
      <x:c r="P1129" s="32" t="str">
        <x:f>IF(AND(P$8&lt;='Detalle'!$H550,P$9&gt;='Detalle'!$G550),1,"")</x:f>
      </x:c>
      <x:c r="Q1129" s="68"/>
      <x:c r="R1129" s="67" t="str">
        <x:f>IF('Detalle'!M550="","",'Detalle'!M550)</x:f>
      </x:c>
      <x:c r="S1129" s="67" t="str">
        <x:f>IF('Detalle'!N550="","",'Detalle'!N550)</x:f>
      </x:c>
    </x:row>
    <x:row r="1130" ht="16" customHeight="1">
      <x:c r="A1130" s="56" t="str">
        <x:v>INT01.014</x:v>
      </x:c>
      <x:c r="B1130" s="57" t="str">
        <x:v>Proteger cierre de paneles anidados</x:v>
      </x:c>
      <x:c r="C1130" s="63" t="str">
        <x:v>R</x:v>
      </x:c>
      <x:c r="D1130" s="65" t="str">
        <x:f>IF('Detalle'!L550="","",'Detalle'!L550)</x:f>
      </x:c>
      <x:c r="E1130" s="60" t="str"/>
      <x:c r="F1130" s="32" t="str">
        <x:f>IF(OR('Detalle'!$J550="",'Detalle'!$K550="",'Detalle'!$L550=""),"",IF(AND(F$8&lt;='Detalle'!$K550,F$9&gt;='Detalle'!$J550),1,""))</x:f>
      </x:c>
      <x:c r="G1130" s="32" t="str">
        <x:f>IF(OR('Detalle'!$J550="",'Detalle'!$K550="",'Detalle'!$L550=""),"",IF(AND(G$8&lt;='Detalle'!$K550,G$9&gt;='Detalle'!$J550),1,""))</x:f>
      </x:c>
      <x:c r="H1130" s="32" t="str">
        <x:f>IF(OR('Detalle'!$J550="",'Detalle'!$K550="",'Detalle'!$L550=""),"",IF(AND(H$8&lt;='Detalle'!$K550,H$9&gt;='Detalle'!$J550),1,""))</x:f>
      </x:c>
      <x:c r="I1130" s="32" t="str">
        <x:f>IF(OR('Detalle'!$J550="",'Detalle'!$K550="",'Detalle'!$L550=""),"",IF(AND(I$8&lt;='Detalle'!$K550,I$9&gt;='Detalle'!$J550),1,""))</x:f>
      </x:c>
      <x:c r="J1130" s="32" t="str">
        <x:f>IF(OR('Detalle'!$J550="",'Detalle'!$K550="",'Detalle'!$L550=""),"",IF(AND(J$8&lt;='Detalle'!$K550,J$9&gt;='Detalle'!$J550),1,""))</x:f>
      </x:c>
      <x:c r="K1130" s="32" t="str">
        <x:f>IF(OR('Detalle'!$J550="",'Detalle'!$K550="",'Detalle'!$L550=""),"",IF(AND(K$8&lt;='Detalle'!$K550,K$9&gt;='Detalle'!$J550),1,""))</x:f>
      </x:c>
      <x:c r="L1130" s="32" t="str">
        <x:f>IF(OR('Detalle'!$J550="",'Detalle'!$K550="",'Detalle'!$L550=""),"",IF(AND(L$8&lt;='Detalle'!$K550,L$9&gt;='Detalle'!$J550),1,""))</x:f>
      </x:c>
      <x:c r="M1130" s="32" t="str">
        <x:f>IF(OR('Detalle'!$J550="",'Detalle'!$K550="",'Detalle'!$L550=""),"",IF(AND(M$8&lt;='Detalle'!$K550,M$9&gt;='Detalle'!$J550),1,""))</x:f>
      </x:c>
      <x:c r="N1130" s="32" t="str">
        <x:f>IF(OR('Detalle'!$J550="",'Detalle'!$K550="",'Detalle'!$L550=""),"",IF(AND(N$8&lt;='Detalle'!$K550,N$9&gt;='Detalle'!$J550),1,""))</x:f>
      </x:c>
      <x:c r="O1130" s="32" t="str">
        <x:f>IF(OR('Detalle'!$J550="",'Detalle'!$K550="",'Detalle'!$L550=""),"",IF(AND(O$8&lt;='Detalle'!$K550,O$9&gt;='Detalle'!$J550),1,""))</x:f>
      </x:c>
      <x:c r="P1130" s="32" t="str">
        <x:f>IF(OR('Detalle'!$J550="",'Detalle'!$K550="",'Detalle'!$L550=""),"",IF(AND(P$8&lt;='Detalle'!$K550,P$9&gt;='Detalle'!$J550),1,""))</x:f>
      </x:c>
      <x:c r="Q1130" s="68"/>
      <x:c r="R1130" s="67" t="str"/>
      <x:c r="S1130" s="67" t="str"/>
    </x:row>
    <x:row r="1131" ht="20" customHeight="1">
      <x:c r="A1131" s="52" t="str">
        <x:v>INT02 · Cargas, botones y paneles compartidos</x:v>
      </x:c>
      <x:c r="B1131" s="52" t="str">
        <x:v>INT02 · Cargas, botones y paneles compartidos</x:v>
      </x:c>
      <x:c r="C1131" s="52" t="str">
        <x:v>INT02 · Cargas, botones y paneles compartidos</x:v>
      </x:c>
      <x:c r="D1131" s="52" t="str">
        <x:v>INT02 · Cargas, botones y paneles compartidos</x:v>
      </x:c>
      <x:c r="E1131" s="52" t="str">
        <x:v>INT02 · Cargas, botones y paneles compartidos</x:v>
      </x:c>
      <x:c r="F1131" s="53" t="str">
        <x:v>INT02 · Cargas, botones y paneles compartidos</x:v>
      </x:c>
      <x:c r="G1131" s="53" t="str">
        <x:v>INT02 · Cargas, botones y paneles compartidos</x:v>
      </x:c>
      <x:c r="H1131" s="53" t="str">
        <x:v>INT02 · Cargas, botones y paneles compartidos</x:v>
      </x:c>
      <x:c r="I1131" s="53" t="str">
        <x:v>INT02 · Cargas, botones y paneles compartidos</x:v>
      </x:c>
      <x:c r="J1131" s="53" t="str">
        <x:v>INT02 · Cargas, botones y paneles compartidos</x:v>
      </x:c>
      <x:c r="K1131" s="53" t="str">
        <x:v>INT02 · Cargas, botones y paneles compartidos</x:v>
      </x:c>
      <x:c r="L1131" s="53" t="str">
        <x:v>INT02 · Cargas, botones y paneles compartidos</x:v>
      </x:c>
      <x:c r="M1131" s="53" t="str">
        <x:v>INT02 · Cargas, botones y paneles compartidos</x:v>
      </x:c>
      <x:c r="N1131" s="53" t="str">
        <x:v>INT02 · Cargas, botones y paneles compartidos</x:v>
      </x:c>
      <x:c r="O1131" s="53" t="str">
        <x:v>INT02 · Cargas, botones y paneles compartidos</x:v>
      </x:c>
      <x:c r="P1131" s="53" t="str">
        <x:v>INT02 · Cargas, botones y paneles compartidos</x:v>
      </x:c>
      <x:c r="Q1131" s="52" t="str">
        <x:v>INT02 · Cargas, botones y paneles compartidos</x:v>
      </x:c>
      <x:c r="R1131" s="52" t="str">
        <x:v>INT02 · Cargas, botones y paneles compartidos</x:v>
      </x:c>
      <x:c r="S1131" s="52" t="str">
        <x:v>INT02 · Cargas, botones y paneles compartidos</x:v>
      </x:c>
    </x:row>
    <x:row r="1132" ht="16" customHeight="1">
      <x:c r="A1132" s="56" t="str">
        <x:v>INT02.001</x:v>
      </x:c>
      <x:c r="B1132" s="57" t="str">
        <x:v>Crear MareaSkeleton compartido</x:v>
      </x:c>
      <x:c r="C1132" s="62" t="str">
        <x:v>E</x:v>
      </x:c>
      <x:c r="D1132" s="64" t="n">
        <x:f>'Detalle'!I551</x:f>
        <x:v>1</x:v>
      </x:c>
      <x:c r="E1132" s="60" t="str">
        <x:f>'Detalle'!F551</x:f>
        <x:v>Completado</x:v>
      </x:c>
      <x:c r="F1132" s="32" t="str">
        <x:f>IF(AND(F$8&lt;='Detalle'!$H551,F$9&gt;='Detalle'!$G551),1,"")</x:f>
      </x:c>
      <x:c r="G1132" s="32" t="str">
        <x:f>IF(AND(G$8&lt;='Detalle'!$H551,G$9&gt;='Detalle'!$G551),1,"")</x:f>
      </x:c>
      <x:c r="H1132" s="32" t="str">
        <x:f>IF(AND(H$8&lt;='Detalle'!$H551,H$9&gt;='Detalle'!$G551),1,"")</x:f>
      </x:c>
      <x:c r="I1132" s="32" t="str">
        <x:f>IF(AND(I$8&lt;='Detalle'!$H551,I$9&gt;='Detalle'!$G551),1,"")</x:f>
      </x:c>
      <x:c r="J1132" s="32" t="n">
        <x:f>IF(AND(J$8&lt;='Detalle'!$H551,J$9&gt;='Detalle'!$G551),1,"")</x:f>
        <x:v>1</x:v>
      </x:c>
      <x:c r="K1132" s="32" t="str">
        <x:f>IF(AND(K$8&lt;='Detalle'!$H551,K$9&gt;='Detalle'!$G551),1,"")</x:f>
      </x:c>
      <x:c r="L1132" s="32" t="str">
        <x:f>IF(AND(L$8&lt;='Detalle'!$H551,L$9&gt;='Detalle'!$G551),1,"")</x:f>
      </x:c>
      <x:c r="M1132" s="32" t="str">
        <x:f>IF(AND(M$8&lt;='Detalle'!$H551,M$9&gt;='Detalle'!$G551),1,"")</x:f>
      </x:c>
      <x:c r="N1132" s="32" t="str">
        <x:f>IF(AND(N$8&lt;='Detalle'!$H551,N$9&gt;='Detalle'!$G551),1,"")</x:f>
      </x:c>
      <x:c r="O1132" s="32" t="str">
        <x:f>IF(AND(O$8&lt;='Detalle'!$H551,O$9&gt;='Detalle'!$G551),1,"")</x:f>
      </x:c>
      <x:c r="P1132" s="32" t="str">
        <x:f>IF(AND(P$8&lt;='Detalle'!$H551,P$9&gt;='Detalle'!$G551),1,"")</x:f>
      </x:c>
      <x:c r="Q1132" s="68"/>
      <x:c r="R1132" s="67" t="str">
        <x:f>IF('Detalle'!M551="","",'Detalle'!M551)</x:f>
      </x:c>
      <x:c r="S1132" s="67" t="str">
        <x:f>IF('Detalle'!N551="","",'Detalle'!N551)</x:f>
      </x:c>
    </x:row>
    <x:row r="1133" ht="16" customHeight="1">
      <x:c r="A1133" s="56" t="str">
        <x:v>INT02.001</x:v>
      </x:c>
      <x:c r="B1133" s="57" t="str">
        <x:v>Crear MareaSkeleton compartido</x:v>
      </x:c>
      <x:c r="C1133" s="63" t="str">
        <x:v>R</x:v>
      </x:c>
      <x:c r="D1133" s="65" t="str">
        <x:f>IF('Detalle'!L551="","",'Detalle'!L551)</x:f>
      </x:c>
      <x:c r="E1133" s="60" t="str"/>
      <x:c r="F1133" s="32" t="str">
        <x:f>IF(OR('Detalle'!$J551="",'Detalle'!$K551="",'Detalle'!$L551=""),"",IF(AND(F$8&lt;='Detalle'!$K551,F$9&gt;='Detalle'!$J551),1,""))</x:f>
      </x:c>
      <x:c r="G1133" s="32" t="str">
        <x:f>IF(OR('Detalle'!$J551="",'Detalle'!$K551="",'Detalle'!$L551=""),"",IF(AND(G$8&lt;='Detalle'!$K551,G$9&gt;='Detalle'!$J551),1,""))</x:f>
      </x:c>
      <x:c r="H1133" s="32" t="str">
        <x:f>IF(OR('Detalle'!$J551="",'Detalle'!$K551="",'Detalle'!$L551=""),"",IF(AND(H$8&lt;='Detalle'!$K551,H$9&gt;='Detalle'!$J551),1,""))</x:f>
      </x:c>
      <x:c r="I1133" s="32" t="str">
        <x:f>IF(OR('Detalle'!$J551="",'Detalle'!$K551="",'Detalle'!$L551=""),"",IF(AND(I$8&lt;='Detalle'!$K551,I$9&gt;='Detalle'!$J551),1,""))</x:f>
      </x:c>
      <x:c r="J1133" s="32" t="str">
        <x:f>IF(OR('Detalle'!$J551="",'Detalle'!$K551="",'Detalle'!$L551=""),"",IF(AND(J$8&lt;='Detalle'!$K551,J$9&gt;='Detalle'!$J551),1,""))</x:f>
      </x:c>
      <x:c r="K1133" s="32" t="str">
        <x:f>IF(OR('Detalle'!$J551="",'Detalle'!$K551="",'Detalle'!$L551=""),"",IF(AND(K$8&lt;='Detalle'!$K551,K$9&gt;='Detalle'!$J551),1,""))</x:f>
      </x:c>
      <x:c r="L1133" s="32" t="str">
        <x:f>IF(OR('Detalle'!$J551="",'Detalle'!$K551="",'Detalle'!$L551=""),"",IF(AND(L$8&lt;='Detalle'!$K551,L$9&gt;='Detalle'!$J551),1,""))</x:f>
      </x:c>
      <x:c r="M1133" s="32" t="str">
        <x:f>IF(OR('Detalle'!$J551="",'Detalle'!$K551="",'Detalle'!$L551=""),"",IF(AND(M$8&lt;='Detalle'!$K551,M$9&gt;='Detalle'!$J551),1,""))</x:f>
      </x:c>
      <x:c r="N1133" s="32" t="str">
        <x:f>IF(OR('Detalle'!$J551="",'Detalle'!$K551="",'Detalle'!$L551=""),"",IF(AND(N$8&lt;='Detalle'!$K551,N$9&gt;='Detalle'!$J551),1,""))</x:f>
      </x:c>
      <x:c r="O1133" s="32" t="str">
        <x:f>IF(OR('Detalle'!$J551="",'Detalle'!$K551="",'Detalle'!$L551=""),"",IF(AND(O$8&lt;='Detalle'!$K551,O$9&gt;='Detalle'!$J551),1,""))</x:f>
      </x:c>
      <x:c r="P1133" s="32" t="str">
        <x:f>IF(OR('Detalle'!$J551="",'Detalle'!$K551="",'Detalle'!$L551=""),"",IF(AND(P$8&lt;='Detalle'!$K551,P$9&gt;='Detalle'!$J551),1,""))</x:f>
      </x:c>
      <x:c r="Q1133" s="68"/>
      <x:c r="R1133" s="67" t="str"/>
      <x:c r="S1133" s="67" t="str"/>
    </x:row>
    <x:row r="1134" ht="16" customHeight="1">
      <x:c r="A1134" s="56" t="str">
        <x:v>INT02.002</x:v>
      </x:c>
      <x:c r="B1134" s="57" t="str">
        <x:v>Agregar esqueletos al feed</x:v>
      </x:c>
      <x:c r="C1134" s="62" t="str">
        <x:v>E</x:v>
      </x:c>
      <x:c r="D1134" s="64" t="n">
        <x:f>'Detalle'!I552</x:f>
        <x:v>1</x:v>
      </x:c>
      <x:c r="E1134" s="60" t="str">
        <x:f>'Detalle'!F552</x:f>
        <x:v>Completado</x:v>
      </x:c>
      <x:c r="F1134" s="32" t="str">
        <x:f>IF(AND(F$8&lt;='Detalle'!$H552,F$9&gt;='Detalle'!$G552),1,"")</x:f>
      </x:c>
      <x:c r="G1134" s="32" t="str">
        <x:f>IF(AND(G$8&lt;='Detalle'!$H552,G$9&gt;='Detalle'!$G552),1,"")</x:f>
      </x:c>
      <x:c r="H1134" s="32" t="str">
        <x:f>IF(AND(H$8&lt;='Detalle'!$H552,H$9&gt;='Detalle'!$G552),1,"")</x:f>
      </x:c>
      <x:c r="I1134" s="32" t="str">
        <x:f>IF(AND(I$8&lt;='Detalle'!$H552,I$9&gt;='Detalle'!$G552),1,"")</x:f>
      </x:c>
      <x:c r="J1134" s="32" t="n">
        <x:f>IF(AND(J$8&lt;='Detalle'!$H552,J$9&gt;='Detalle'!$G552),1,"")</x:f>
        <x:v>1</x:v>
      </x:c>
      <x:c r="K1134" s="32" t="str">
        <x:f>IF(AND(K$8&lt;='Detalle'!$H552,K$9&gt;='Detalle'!$G552),1,"")</x:f>
      </x:c>
      <x:c r="L1134" s="32" t="str">
        <x:f>IF(AND(L$8&lt;='Detalle'!$H552,L$9&gt;='Detalle'!$G552),1,"")</x:f>
      </x:c>
      <x:c r="M1134" s="32" t="str">
        <x:f>IF(AND(M$8&lt;='Detalle'!$H552,M$9&gt;='Detalle'!$G552),1,"")</x:f>
      </x:c>
      <x:c r="N1134" s="32" t="str">
        <x:f>IF(AND(N$8&lt;='Detalle'!$H552,N$9&gt;='Detalle'!$G552),1,"")</x:f>
      </x:c>
      <x:c r="O1134" s="32" t="str">
        <x:f>IF(AND(O$8&lt;='Detalle'!$H552,O$9&gt;='Detalle'!$G552),1,"")</x:f>
      </x:c>
      <x:c r="P1134" s="32" t="str">
        <x:f>IF(AND(P$8&lt;='Detalle'!$H552,P$9&gt;='Detalle'!$G552),1,"")</x:f>
      </x:c>
      <x:c r="Q1134" s="68"/>
      <x:c r="R1134" s="67" t="str">
        <x:f>IF('Detalle'!M552="","",'Detalle'!M552)</x:f>
      </x:c>
      <x:c r="S1134" s="67" t="str">
        <x:f>IF('Detalle'!N552="","",'Detalle'!N552)</x:f>
      </x:c>
    </x:row>
    <x:row r="1135" ht="16" customHeight="1">
      <x:c r="A1135" s="56" t="str">
        <x:v>INT02.002</x:v>
      </x:c>
      <x:c r="B1135" s="57" t="str">
        <x:v>Agregar esqueletos al feed</x:v>
      </x:c>
      <x:c r="C1135" s="63" t="str">
        <x:v>R</x:v>
      </x:c>
      <x:c r="D1135" s="65" t="str">
        <x:f>IF('Detalle'!L552="","",'Detalle'!L552)</x:f>
      </x:c>
      <x:c r="E1135" s="60" t="str"/>
      <x:c r="F1135" s="32" t="str">
        <x:f>IF(OR('Detalle'!$J552="",'Detalle'!$K552="",'Detalle'!$L552=""),"",IF(AND(F$8&lt;='Detalle'!$K552,F$9&gt;='Detalle'!$J552),1,""))</x:f>
      </x:c>
      <x:c r="G1135" s="32" t="str">
        <x:f>IF(OR('Detalle'!$J552="",'Detalle'!$K552="",'Detalle'!$L552=""),"",IF(AND(G$8&lt;='Detalle'!$K552,G$9&gt;='Detalle'!$J552),1,""))</x:f>
      </x:c>
      <x:c r="H1135" s="32" t="str">
        <x:f>IF(OR('Detalle'!$J552="",'Detalle'!$K552="",'Detalle'!$L552=""),"",IF(AND(H$8&lt;='Detalle'!$K552,H$9&gt;='Detalle'!$J552),1,""))</x:f>
      </x:c>
      <x:c r="I1135" s="32" t="str">
        <x:f>IF(OR('Detalle'!$J552="",'Detalle'!$K552="",'Detalle'!$L552=""),"",IF(AND(I$8&lt;='Detalle'!$K552,I$9&gt;='Detalle'!$J552),1,""))</x:f>
      </x:c>
      <x:c r="J1135" s="32" t="str">
        <x:f>IF(OR('Detalle'!$J552="",'Detalle'!$K552="",'Detalle'!$L552=""),"",IF(AND(J$8&lt;='Detalle'!$K552,J$9&gt;='Detalle'!$J552),1,""))</x:f>
      </x:c>
      <x:c r="K1135" s="32" t="str">
        <x:f>IF(OR('Detalle'!$J552="",'Detalle'!$K552="",'Detalle'!$L552=""),"",IF(AND(K$8&lt;='Detalle'!$K552,K$9&gt;='Detalle'!$J552),1,""))</x:f>
      </x:c>
      <x:c r="L1135" s="32" t="str">
        <x:f>IF(OR('Detalle'!$J552="",'Detalle'!$K552="",'Detalle'!$L552=""),"",IF(AND(L$8&lt;='Detalle'!$K552,L$9&gt;='Detalle'!$J552),1,""))</x:f>
      </x:c>
      <x:c r="M1135" s="32" t="str">
        <x:f>IF(OR('Detalle'!$J552="",'Detalle'!$K552="",'Detalle'!$L552=""),"",IF(AND(M$8&lt;='Detalle'!$K552,M$9&gt;='Detalle'!$J552),1,""))</x:f>
      </x:c>
      <x:c r="N1135" s="32" t="str">
        <x:f>IF(OR('Detalle'!$J552="",'Detalle'!$K552="",'Detalle'!$L552=""),"",IF(AND(N$8&lt;='Detalle'!$K552,N$9&gt;='Detalle'!$J552),1,""))</x:f>
      </x:c>
      <x:c r="O1135" s="32" t="str">
        <x:f>IF(OR('Detalle'!$J552="",'Detalle'!$K552="",'Detalle'!$L552=""),"",IF(AND(O$8&lt;='Detalle'!$K552,O$9&gt;='Detalle'!$J552),1,""))</x:f>
      </x:c>
      <x:c r="P1135" s="32" t="str">
        <x:f>IF(OR('Detalle'!$J552="",'Detalle'!$K552="",'Detalle'!$L552=""),"",IF(AND(P$8&lt;='Detalle'!$K552,P$9&gt;='Detalle'!$J552),1,""))</x:f>
      </x:c>
      <x:c r="Q1135" s="68"/>
      <x:c r="R1135" s="67" t="str"/>
      <x:c r="S1135" s="67" t="str"/>
    </x:row>
    <x:row r="1136" ht="16" customHeight="1">
      <x:c r="A1136" s="56" t="str">
        <x:v>INT02.003</x:v>
      </x:c>
      <x:c r="B1136" s="57" t="str">
        <x:v>Agregar esqueletos a comentarios</x:v>
      </x:c>
      <x:c r="C1136" s="62" t="str">
        <x:v>E</x:v>
      </x:c>
      <x:c r="D1136" s="64" t="n">
        <x:f>'Detalle'!I553</x:f>
        <x:v>1</x:v>
      </x:c>
      <x:c r="E1136" s="60" t="str">
        <x:f>'Detalle'!F553</x:f>
        <x:v>Completado</x:v>
      </x:c>
      <x:c r="F1136" s="32" t="str">
        <x:f>IF(AND(F$8&lt;='Detalle'!$H553,F$9&gt;='Detalle'!$G553),1,"")</x:f>
      </x:c>
      <x:c r="G1136" s="32" t="str">
        <x:f>IF(AND(G$8&lt;='Detalle'!$H553,G$9&gt;='Detalle'!$G553),1,"")</x:f>
      </x:c>
      <x:c r="H1136" s="32" t="str">
        <x:f>IF(AND(H$8&lt;='Detalle'!$H553,H$9&gt;='Detalle'!$G553),1,"")</x:f>
      </x:c>
      <x:c r="I1136" s="32" t="str">
        <x:f>IF(AND(I$8&lt;='Detalle'!$H553,I$9&gt;='Detalle'!$G553),1,"")</x:f>
      </x:c>
      <x:c r="J1136" s="32" t="n">
        <x:f>IF(AND(J$8&lt;='Detalle'!$H553,J$9&gt;='Detalle'!$G553),1,"")</x:f>
        <x:v>1</x:v>
      </x:c>
      <x:c r="K1136" s="32" t="str">
        <x:f>IF(AND(K$8&lt;='Detalle'!$H553,K$9&gt;='Detalle'!$G553),1,"")</x:f>
      </x:c>
      <x:c r="L1136" s="32" t="str">
        <x:f>IF(AND(L$8&lt;='Detalle'!$H553,L$9&gt;='Detalle'!$G553),1,"")</x:f>
      </x:c>
      <x:c r="M1136" s="32" t="str">
        <x:f>IF(AND(M$8&lt;='Detalle'!$H553,M$9&gt;='Detalle'!$G553),1,"")</x:f>
      </x:c>
      <x:c r="N1136" s="32" t="str">
        <x:f>IF(AND(N$8&lt;='Detalle'!$H553,N$9&gt;='Detalle'!$G553),1,"")</x:f>
      </x:c>
      <x:c r="O1136" s="32" t="str">
        <x:f>IF(AND(O$8&lt;='Detalle'!$H553,O$9&gt;='Detalle'!$G553),1,"")</x:f>
      </x:c>
      <x:c r="P1136" s="32" t="str">
        <x:f>IF(AND(P$8&lt;='Detalle'!$H553,P$9&gt;='Detalle'!$G553),1,"")</x:f>
      </x:c>
      <x:c r="Q1136" s="68"/>
      <x:c r="R1136" s="67" t="str">
        <x:f>IF('Detalle'!M553="","",'Detalle'!M553)</x:f>
      </x:c>
      <x:c r="S1136" s="67" t="str">
        <x:f>IF('Detalle'!N553="","",'Detalle'!N553)</x:f>
      </x:c>
    </x:row>
    <x:row r="1137" ht="16" customHeight="1">
      <x:c r="A1137" s="56" t="str">
        <x:v>INT02.003</x:v>
      </x:c>
      <x:c r="B1137" s="57" t="str">
        <x:v>Agregar esqueletos a comentarios</x:v>
      </x:c>
      <x:c r="C1137" s="63" t="str">
        <x:v>R</x:v>
      </x:c>
      <x:c r="D1137" s="65" t="str">
        <x:f>IF('Detalle'!L553="","",'Detalle'!L553)</x:f>
      </x:c>
      <x:c r="E1137" s="60" t="str"/>
      <x:c r="F1137" s="32" t="str">
        <x:f>IF(OR('Detalle'!$J553="",'Detalle'!$K553="",'Detalle'!$L553=""),"",IF(AND(F$8&lt;='Detalle'!$K553,F$9&gt;='Detalle'!$J553),1,""))</x:f>
      </x:c>
      <x:c r="G1137" s="32" t="str">
        <x:f>IF(OR('Detalle'!$J553="",'Detalle'!$K553="",'Detalle'!$L553=""),"",IF(AND(G$8&lt;='Detalle'!$K553,G$9&gt;='Detalle'!$J553),1,""))</x:f>
      </x:c>
      <x:c r="H1137" s="32" t="str">
        <x:f>IF(OR('Detalle'!$J553="",'Detalle'!$K553="",'Detalle'!$L553=""),"",IF(AND(H$8&lt;='Detalle'!$K553,H$9&gt;='Detalle'!$J553),1,""))</x:f>
      </x:c>
      <x:c r="I1137" s="32" t="str">
        <x:f>IF(OR('Detalle'!$J553="",'Detalle'!$K553="",'Detalle'!$L553=""),"",IF(AND(I$8&lt;='Detalle'!$K553,I$9&gt;='Detalle'!$J553),1,""))</x:f>
      </x:c>
      <x:c r="J1137" s="32" t="str">
        <x:f>IF(OR('Detalle'!$J553="",'Detalle'!$K553="",'Detalle'!$L553=""),"",IF(AND(J$8&lt;='Detalle'!$K553,J$9&gt;='Detalle'!$J553),1,""))</x:f>
      </x:c>
      <x:c r="K1137" s="32" t="str">
        <x:f>IF(OR('Detalle'!$J553="",'Detalle'!$K553="",'Detalle'!$L553=""),"",IF(AND(K$8&lt;='Detalle'!$K553,K$9&gt;='Detalle'!$J553),1,""))</x:f>
      </x:c>
      <x:c r="L1137" s="32" t="str">
        <x:f>IF(OR('Detalle'!$J553="",'Detalle'!$K553="",'Detalle'!$L553=""),"",IF(AND(L$8&lt;='Detalle'!$K553,L$9&gt;='Detalle'!$J553),1,""))</x:f>
      </x:c>
      <x:c r="M1137" s="32" t="str">
        <x:f>IF(OR('Detalle'!$J553="",'Detalle'!$K553="",'Detalle'!$L553=""),"",IF(AND(M$8&lt;='Detalle'!$K553,M$9&gt;='Detalle'!$J553),1,""))</x:f>
      </x:c>
      <x:c r="N1137" s="32" t="str">
        <x:f>IF(OR('Detalle'!$J553="",'Detalle'!$K553="",'Detalle'!$L553=""),"",IF(AND(N$8&lt;='Detalle'!$K553,N$9&gt;='Detalle'!$J553),1,""))</x:f>
      </x:c>
      <x:c r="O1137" s="32" t="str">
        <x:f>IF(OR('Detalle'!$J553="",'Detalle'!$K553="",'Detalle'!$L553=""),"",IF(AND(O$8&lt;='Detalle'!$K553,O$9&gt;='Detalle'!$J553),1,""))</x:f>
      </x:c>
      <x:c r="P1137" s="32" t="str">
        <x:f>IF(OR('Detalle'!$J553="",'Detalle'!$K553="",'Detalle'!$L553=""),"",IF(AND(P$8&lt;='Detalle'!$K553,P$9&gt;='Detalle'!$J553),1,""))</x:f>
      </x:c>
      <x:c r="Q1137" s="68"/>
      <x:c r="R1137" s="67" t="str"/>
      <x:c r="S1137" s="67" t="str"/>
    </x:row>
    <x:row r="1138" ht="16" customHeight="1">
      <x:c r="A1138" s="56" t="str">
        <x:v>INT02.004</x:v>
      </x:c>
      <x:c r="B1138" s="57" t="str">
        <x:v>Agregar esqueletos a perfiles y fichas</x:v>
      </x:c>
      <x:c r="C1138" s="62" t="str">
        <x:v>E</x:v>
      </x:c>
      <x:c r="D1138" s="64" t="n">
        <x:f>'Detalle'!I554</x:f>
        <x:v>1</x:v>
      </x:c>
      <x:c r="E1138" s="60" t="str">
        <x:f>'Detalle'!F554</x:f>
        <x:v>Completado</x:v>
      </x:c>
      <x:c r="F1138" s="32" t="str">
        <x:f>IF(AND(F$8&lt;='Detalle'!$H554,F$9&gt;='Detalle'!$G554),1,"")</x:f>
      </x:c>
      <x:c r="G1138" s="32" t="str">
        <x:f>IF(AND(G$8&lt;='Detalle'!$H554,G$9&gt;='Detalle'!$G554),1,"")</x:f>
      </x:c>
      <x:c r="H1138" s="32" t="str">
        <x:f>IF(AND(H$8&lt;='Detalle'!$H554,H$9&gt;='Detalle'!$G554),1,"")</x:f>
      </x:c>
      <x:c r="I1138" s="32" t="str">
        <x:f>IF(AND(I$8&lt;='Detalle'!$H554,I$9&gt;='Detalle'!$G554),1,"")</x:f>
      </x:c>
      <x:c r="J1138" s="32" t="n">
        <x:f>IF(AND(J$8&lt;='Detalle'!$H554,J$9&gt;='Detalle'!$G554),1,"")</x:f>
        <x:v>1</x:v>
      </x:c>
      <x:c r="K1138" s="32" t="str">
        <x:f>IF(AND(K$8&lt;='Detalle'!$H554,K$9&gt;='Detalle'!$G554),1,"")</x:f>
      </x:c>
      <x:c r="L1138" s="32" t="str">
        <x:f>IF(AND(L$8&lt;='Detalle'!$H554,L$9&gt;='Detalle'!$G554),1,"")</x:f>
      </x:c>
      <x:c r="M1138" s="32" t="str">
        <x:f>IF(AND(M$8&lt;='Detalle'!$H554,M$9&gt;='Detalle'!$G554),1,"")</x:f>
      </x:c>
      <x:c r="N1138" s="32" t="str">
        <x:f>IF(AND(N$8&lt;='Detalle'!$H554,N$9&gt;='Detalle'!$G554),1,"")</x:f>
      </x:c>
      <x:c r="O1138" s="32" t="str">
        <x:f>IF(AND(O$8&lt;='Detalle'!$H554,O$9&gt;='Detalle'!$G554),1,"")</x:f>
      </x:c>
      <x:c r="P1138" s="32" t="str">
        <x:f>IF(AND(P$8&lt;='Detalle'!$H554,P$9&gt;='Detalle'!$G554),1,"")</x:f>
      </x:c>
      <x:c r="Q1138" s="68"/>
      <x:c r="R1138" s="67" t="str">
        <x:f>IF('Detalle'!M554="","",'Detalle'!M554)</x:f>
      </x:c>
      <x:c r="S1138" s="67" t="str">
        <x:f>IF('Detalle'!N554="","",'Detalle'!N554)</x:f>
      </x:c>
    </x:row>
    <x:row r="1139" ht="16" customHeight="1">
      <x:c r="A1139" s="56" t="str">
        <x:v>INT02.004</x:v>
      </x:c>
      <x:c r="B1139" s="57" t="str">
        <x:v>Agregar esqueletos a perfiles y fichas</x:v>
      </x:c>
      <x:c r="C1139" s="63" t="str">
        <x:v>R</x:v>
      </x:c>
      <x:c r="D1139" s="65" t="str">
        <x:f>IF('Detalle'!L554="","",'Detalle'!L554)</x:f>
      </x:c>
      <x:c r="E1139" s="60" t="str"/>
      <x:c r="F1139" s="32" t="str">
        <x:f>IF(OR('Detalle'!$J554="",'Detalle'!$K554="",'Detalle'!$L554=""),"",IF(AND(F$8&lt;='Detalle'!$K554,F$9&gt;='Detalle'!$J554),1,""))</x:f>
      </x:c>
      <x:c r="G1139" s="32" t="str">
        <x:f>IF(OR('Detalle'!$J554="",'Detalle'!$K554="",'Detalle'!$L554=""),"",IF(AND(G$8&lt;='Detalle'!$K554,G$9&gt;='Detalle'!$J554),1,""))</x:f>
      </x:c>
      <x:c r="H1139" s="32" t="str">
        <x:f>IF(OR('Detalle'!$J554="",'Detalle'!$K554="",'Detalle'!$L554=""),"",IF(AND(H$8&lt;='Detalle'!$K554,H$9&gt;='Detalle'!$J554),1,""))</x:f>
      </x:c>
      <x:c r="I1139" s="32" t="str">
        <x:f>IF(OR('Detalle'!$J554="",'Detalle'!$K554="",'Detalle'!$L554=""),"",IF(AND(I$8&lt;='Detalle'!$K554,I$9&gt;='Detalle'!$J554),1,""))</x:f>
      </x:c>
      <x:c r="J1139" s="32" t="str">
        <x:f>IF(OR('Detalle'!$J554="",'Detalle'!$K554="",'Detalle'!$L554=""),"",IF(AND(J$8&lt;='Detalle'!$K554,J$9&gt;='Detalle'!$J554),1,""))</x:f>
      </x:c>
      <x:c r="K1139" s="32" t="str">
        <x:f>IF(OR('Detalle'!$J554="",'Detalle'!$K554="",'Detalle'!$L554=""),"",IF(AND(K$8&lt;='Detalle'!$K554,K$9&gt;='Detalle'!$J554),1,""))</x:f>
      </x:c>
      <x:c r="L1139" s="32" t="str">
        <x:f>IF(OR('Detalle'!$J554="",'Detalle'!$K554="",'Detalle'!$L554=""),"",IF(AND(L$8&lt;='Detalle'!$K554,L$9&gt;='Detalle'!$J554),1,""))</x:f>
      </x:c>
      <x:c r="M1139" s="32" t="str">
        <x:f>IF(OR('Detalle'!$J554="",'Detalle'!$K554="",'Detalle'!$L554=""),"",IF(AND(M$8&lt;='Detalle'!$K554,M$9&gt;='Detalle'!$J554),1,""))</x:f>
      </x:c>
      <x:c r="N1139" s="32" t="str">
        <x:f>IF(OR('Detalle'!$J554="",'Detalle'!$K554="",'Detalle'!$L554=""),"",IF(AND(N$8&lt;='Detalle'!$K554,N$9&gt;='Detalle'!$J554),1,""))</x:f>
      </x:c>
      <x:c r="O1139" s="32" t="str">
        <x:f>IF(OR('Detalle'!$J554="",'Detalle'!$K554="",'Detalle'!$L554=""),"",IF(AND(O$8&lt;='Detalle'!$K554,O$9&gt;='Detalle'!$J554),1,""))</x:f>
      </x:c>
      <x:c r="P1139" s="32" t="str">
        <x:f>IF(OR('Detalle'!$J554="",'Detalle'!$K554="",'Detalle'!$L554=""),"",IF(AND(P$8&lt;='Detalle'!$K554,P$9&gt;='Detalle'!$J554),1,""))</x:f>
      </x:c>
      <x:c r="Q1139" s="68"/>
      <x:c r="R1139" s="67" t="str"/>
      <x:c r="S1139" s="67" t="str"/>
    </x:row>
    <x:row r="1140" ht="16" customHeight="1">
      <x:c r="A1140" s="56" t="str">
        <x:v>INT02.005</x:v>
      </x:c>
      <x:c r="B1140" s="57" t="str">
        <x:v>Agregar esqueletos a misiones y mapa</x:v>
      </x:c>
      <x:c r="C1140" s="62" t="str">
        <x:v>E</x:v>
      </x:c>
      <x:c r="D1140" s="64" t="n">
        <x:f>'Detalle'!I555</x:f>
        <x:v>1</x:v>
      </x:c>
      <x:c r="E1140" s="60" t="str">
        <x:f>'Detalle'!F555</x:f>
        <x:v>Completado</x:v>
      </x:c>
      <x:c r="F1140" s="32" t="str">
        <x:f>IF(AND(F$8&lt;='Detalle'!$H555,F$9&gt;='Detalle'!$G555),1,"")</x:f>
      </x:c>
      <x:c r="G1140" s="32" t="str">
        <x:f>IF(AND(G$8&lt;='Detalle'!$H555,G$9&gt;='Detalle'!$G555),1,"")</x:f>
      </x:c>
      <x:c r="H1140" s="32" t="str">
        <x:f>IF(AND(H$8&lt;='Detalle'!$H555,H$9&gt;='Detalle'!$G555),1,"")</x:f>
      </x:c>
      <x:c r="I1140" s="32" t="str">
        <x:f>IF(AND(I$8&lt;='Detalle'!$H555,I$9&gt;='Detalle'!$G555),1,"")</x:f>
      </x:c>
      <x:c r="J1140" s="32" t="n">
        <x:f>IF(AND(J$8&lt;='Detalle'!$H555,J$9&gt;='Detalle'!$G555),1,"")</x:f>
        <x:v>1</x:v>
      </x:c>
      <x:c r="K1140" s="32" t="str">
        <x:f>IF(AND(K$8&lt;='Detalle'!$H555,K$9&gt;='Detalle'!$G555),1,"")</x:f>
      </x:c>
      <x:c r="L1140" s="32" t="str">
        <x:f>IF(AND(L$8&lt;='Detalle'!$H555,L$9&gt;='Detalle'!$G555),1,"")</x:f>
      </x:c>
      <x:c r="M1140" s="32" t="str">
        <x:f>IF(AND(M$8&lt;='Detalle'!$H555,M$9&gt;='Detalle'!$G555),1,"")</x:f>
      </x:c>
      <x:c r="N1140" s="32" t="str">
        <x:f>IF(AND(N$8&lt;='Detalle'!$H555,N$9&gt;='Detalle'!$G555),1,"")</x:f>
      </x:c>
      <x:c r="O1140" s="32" t="str">
        <x:f>IF(AND(O$8&lt;='Detalle'!$H555,O$9&gt;='Detalle'!$G555),1,"")</x:f>
      </x:c>
      <x:c r="P1140" s="32" t="str">
        <x:f>IF(AND(P$8&lt;='Detalle'!$H555,P$9&gt;='Detalle'!$G555),1,"")</x:f>
      </x:c>
      <x:c r="Q1140" s="68"/>
      <x:c r="R1140" s="67" t="str">
        <x:f>IF('Detalle'!M555="","",'Detalle'!M555)</x:f>
      </x:c>
      <x:c r="S1140" s="67" t="str">
        <x:f>IF('Detalle'!N555="","",'Detalle'!N555)</x:f>
      </x:c>
    </x:row>
    <x:row r="1141" ht="16" customHeight="1">
      <x:c r="A1141" s="56" t="str">
        <x:v>INT02.005</x:v>
      </x:c>
      <x:c r="B1141" s="57" t="str">
        <x:v>Agregar esqueletos a misiones y mapa</x:v>
      </x:c>
      <x:c r="C1141" s="63" t="str">
        <x:v>R</x:v>
      </x:c>
      <x:c r="D1141" s="65" t="str">
        <x:f>IF('Detalle'!L555="","",'Detalle'!L555)</x:f>
      </x:c>
      <x:c r="E1141" s="60" t="str"/>
      <x:c r="F1141" s="32" t="str">
        <x:f>IF(OR('Detalle'!$J555="",'Detalle'!$K555="",'Detalle'!$L555=""),"",IF(AND(F$8&lt;='Detalle'!$K555,F$9&gt;='Detalle'!$J555),1,""))</x:f>
      </x:c>
      <x:c r="G1141" s="32" t="str">
        <x:f>IF(OR('Detalle'!$J555="",'Detalle'!$K555="",'Detalle'!$L555=""),"",IF(AND(G$8&lt;='Detalle'!$K555,G$9&gt;='Detalle'!$J555),1,""))</x:f>
      </x:c>
      <x:c r="H1141" s="32" t="str">
        <x:f>IF(OR('Detalle'!$J555="",'Detalle'!$K555="",'Detalle'!$L555=""),"",IF(AND(H$8&lt;='Detalle'!$K555,H$9&gt;='Detalle'!$J555),1,""))</x:f>
      </x:c>
      <x:c r="I1141" s="32" t="str">
        <x:f>IF(OR('Detalle'!$J555="",'Detalle'!$K555="",'Detalle'!$L555=""),"",IF(AND(I$8&lt;='Detalle'!$K555,I$9&gt;='Detalle'!$J555),1,""))</x:f>
      </x:c>
      <x:c r="J1141" s="32" t="str">
        <x:f>IF(OR('Detalle'!$J555="",'Detalle'!$K555="",'Detalle'!$L555=""),"",IF(AND(J$8&lt;='Detalle'!$K555,J$9&gt;='Detalle'!$J555),1,""))</x:f>
      </x:c>
      <x:c r="K1141" s="32" t="str">
        <x:f>IF(OR('Detalle'!$J555="",'Detalle'!$K555="",'Detalle'!$L555=""),"",IF(AND(K$8&lt;='Detalle'!$K555,K$9&gt;='Detalle'!$J555),1,""))</x:f>
      </x:c>
      <x:c r="L1141" s="32" t="str">
        <x:f>IF(OR('Detalle'!$J555="",'Detalle'!$K555="",'Detalle'!$L555=""),"",IF(AND(L$8&lt;='Detalle'!$K555,L$9&gt;='Detalle'!$J555),1,""))</x:f>
      </x:c>
      <x:c r="M1141" s="32" t="str">
        <x:f>IF(OR('Detalle'!$J555="",'Detalle'!$K555="",'Detalle'!$L555=""),"",IF(AND(M$8&lt;='Detalle'!$K555,M$9&gt;='Detalle'!$J555),1,""))</x:f>
      </x:c>
      <x:c r="N1141" s="32" t="str">
        <x:f>IF(OR('Detalle'!$J555="",'Detalle'!$K555="",'Detalle'!$L555=""),"",IF(AND(N$8&lt;='Detalle'!$K555,N$9&gt;='Detalle'!$J555),1,""))</x:f>
      </x:c>
      <x:c r="O1141" s="32" t="str">
        <x:f>IF(OR('Detalle'!$J555="",'Detalle'!$K555="",'Detalle'!$L555=""),"",IF(AND(O$8&lt;='Detalle'!$K555,O$9&gt;='Detalle'!$J555),1,""))</x:f>
      </x:c>
      <x:c r="P1141" s="32" t="str">
        <x:f>IF(OR('Detalle'!$J555="",'Detalle'!$K555="",'Detalle'!$L555=""),"",IF(AND(P$8&lt;='Detalle'!$K555,P$9&gt;='Detalle'!$J555),1,""))</x:f>
      </x:c>
      <x:c r="Q1141" s="68"/>
      <x:c r="R1141" s="67" t="str"/>
      <x:c r="S1141" s="67" t="str"/>
    </x:row>
    <x:row r="1142" ht="16" customHeight="1">
      <x:c r="A1142" s="56" t="str">
        <x:v>INT02.006</x:v>
      </x:c>
      <x:c r="B1142" s="57" t="str">
        <x:v>Crear botón con texto de progreso</x:v>
      </x:c>
      <x:c r="C1142" s="62" t="str">
        <x:v>E</x:v>
      </x:c>
      <x:c r="D1142" s="64" t="n">
        <x:f>'Detalle'!I556</x:f>
        <x:v>1</x:v>
      </x:c>
      <x:c r="E1142" s="60" t="str">
        <x:f>'Detalle'!F556</x:f>
        <x:v>Completado</x:v>
      </x:c>
      <x:c r="F1142" s="32" t="str">
        <x:f>IF(AND(F$8&lt;='Detalle'!$H556,F$9&gt;='Detalle'!$G556),1,"")</x:f>
      </x:c>
      <x:c r="G1142" s="32" t="str">
        <x:f>IF(AND(G$8&lt;='Detalle'!$H556,G$9&gt;='Detalle'!$G556),1,"")</x:f>
      </x:c>
      <x:c r="H1142" s="32" t="str">
        <x:f>IF(AND(H$8&lt;='Detalle'!$H556,H$9&gt;='Detalle'!$G556),1,"")</x:f>
      </x:c>
      <x:c r="I1142" s="32" t="str">
        <x:f>IF(AND(I$8&lt;='Detalle'!$H556,I$9&gt;='Detalle'!$G556),1,"")</x:f>
      </x:c>
      <x:c r="J1142" s="32" t="n">
        <x:f>IF(AND(J$8&lt;='Detalle'!$H556,J$9&gt;='Detalle'!$G556),1,"")</x:f>
        <x:v>1</x:v>
      </x:c>
      <x:c r="K1142" s="32" t="str">
        <x:f>IF(AND(K$8&lt;='Detalle'!$H556,K$9&gt;='Detalle'!$G556),1,"")</x:f>
      </x:c>
      <x:c r="L1142" s="32" t="str">
        <x:f>IF(AND(L$8&lt;='Detalle'!$H556,L$9&gt;='Detalle'!$G556),1,"")</x:f>
      </x:c>
      <x:c r="M1142" s="32" t="str">
        <x:f>IF(AND(M$8&lt;='Detalle'!$H556,M$9&gt;='Detalle'!$G556),1,"")</x:f>
      </x:c>
      <x:c r="N1142" s="32" t="str">
        <x:f>IF(AND(N$8&lt;='Detalle'!$H556,N$9&gt;='Detalle'!$G556),1,"")</x:f>
      </x:c>
      <x:c r="O1142" s="32" t="str">
        <x:f>IF(AND(O$8&lt;='Detalle'!$H556,O$9&gt;='Detalle'!$G556),1,"")</x:f>
      </x:c>
      <x:c r="P1142" s="32" t="str">
        <x:f>IF(AND(P$8&lt;='Detalle'!$H556,P$9&gt;='Detalle'!$G556),1,"")</x:f>
      </x:c>
      <x:c r="Q1142" s="68"/>
      <x:c r="R1142" s="67" t="str">
        <x:f>IF('Detalle'!M556="","",'Detalle'!M556)</x:f>
      </x:c>
      <x:c r="S1142" s="67" t="str">
        <x:f>IF('Detalle'!N556="","",'Detalle'!N556)</x:f>
      </x:c>
    </x:row>
    <x:row r="1143" ht="16" customHeight="1">
      <x:c r="A1143" s="56" t="str">
        <x:v>INT02.006</x:v>
      </x:c>
      <x:c r="B1143" s="57" t="str">
        <x:v>Crear botón con texto de progreso</x:v>
      </x:c>
      <x:c r="C1143" s="63" t="str">
        <x:v>R</x:v>
      </x:c>
      <x:c r="D1143" s="65" t="str">
        <x:f>IF('Detalle'!L556="","",'Detalle'!L556)</x:f>
      </x:c>
      <x:c r="E1143" s="60" t="str"/>
      <x:c r="F1143" s="32" t="str">
        <x:f>IF(OR('Detalle'!$J556="",'Detalle'!$K556="",'Detalle'!$L556=""),"",IF(AND(F$8&lt;='Detalle'!$K556,F$9&gt;='Detalle'!$J556),1,""))</x:f>
      </x:c>
      <x:c r="G1143" s="32" t="str">
        <x:f>IF(OR('Detalle'!$J556="",'Detalle'!$K556="",'Detalle'!$L556=""),"",IF(AND(G$8&lt;='Detalle'!$K556,G$9&gt;='Detalle'!$J556),1,""))</x:f>
      </x:c>
      <x:c r="H1143" s="32" t="str">
        <x:f>IF(OR('Detalle'!$J556="",'Detalle'!$K556="",'Detalle'!$L556=""),"",IF(AND(H$8&lt;='Detalle'!$K556,H$9&gt;='Detalle'!$J556),1,""))</x:f>
      </x:c>
      <x:c r="I1143" s="32" t="str">
        <x:f>IF(OR('Detalle'!$J556="",'Detalle'!$K556="",'Detalle'!$L556=""),"",IF(AND(I$8&lt;='Detalle'!$K556,I$9&gt;='Detalle'!$J556),1,""))</x:f>
      </x:c>
      <x:c r="J1143" s="32" t="str">
        <x:f>IF(OR('Detalle'!$J556="",'Detalle'!$K556="",'Detalle'!$L556=""),"",IF(AND(J$8&lt;='Detalle'!$K556,J$9&gt;='Detalle'!$J556),1,""))</x:f>
      </x:c>
      <x:c r="K1143" s="32" t="str">
        <x:f>IF(OR('Detalle'!$J556="",'Detalle'!$K556="",'Detalle'!$L556=""),"",IF(AND(K$8&lt;='Detalle'!$K556,K$9&gt;='Detalle'!$J556),1,""))</x:f>
      </x:c>
      <x:c r="L1143" s="32" t="str">
        <x:f>IF(OR('Detalle'!$J556="",'Detalle'!$K556="",'Detalle'!$L556=""),"",IF(AND(L$8&lt;='Detalle'!$K556,L$9&gt;='Detalle'!$J556),1,""))</x:f>
      </x:c>
      <x:c r="M1143" s="32" t="str">
        <x:f>IF(OR('Detalle'!$J556="",'Detalle'!$K556="",'Detalle'!$L556=""),"",IF(AND(M$8&lt;='Detalle'!$K556,M$9&gt;='Detalle'!$J556),1,""))</x:f>
      </x:c>
      <x:c r="N1143" s="32" t="str">
        <x:f>IF(OR('Detalle'!$J556="",'Detalle'!$K556="",'Detalle'!$L556=""),"",IF(AND(N$8&lt;='Detalle'!$K556,N$9&gt;='Detalle'!$J556),1,""))</x:f>
      </x:c>
      <x:c r="O1143" s="32" t="str">
        <x:f>IF(OR('Detalle'!$J556="",'Detalle'!$K556="",'Detalle'!$L556=""),"",IF(AND(O$8&lt;='Detalle'!$K556,O$9&gt;='Detalle'!$J556),1,""))</x:f>
      </x:c>
      <x:c r="P1143" s="32" t="str">
        <x:f>IF(OR('Detalle'!$J556="",'Detalle'!$K556="",'Detalle'!$L556=""),"",IF(AND(P$8&lt;='Detalle'!$K556,P$9&gt;='Detalle'!$J556),1,""))</x:f>
      </x:c>
      <x:c r="Q1143" s="68"/>
      <x:c r="R1143" s="67" t="str"/>
      <x:c r="S1143" s="67" t="str"/>
    </x:row>
    <x:row r="1144" ht="16" customHeight="1">
      <x:c r="A1144" s="56" t="str">
        <x:v>INT02.007</x:v>
      </x:c>
      <x:c r="B1144" s="57" t="str">
        <x:v>Bloquear doble envío en botones compartidos</x:v>
      </x:c>
      <x:c r="C1144" s="62" t="str">
        <x:v>E</x:v>
      </x:c>
      <x:c r="D1144" s="64" t="n">
        <x:f>'Detalle'!I557</x:f>
        <x:v>1</x:v>
      </x:c>
      <x:c r="E1144" s="60" t="str">
        <x:f>'Detalle'!F557</x:f>
        <x:v>Completado</x:v>
      </x:c>
      <x:c r="F1144" s="32" t="str">
        <x:f>IF(AND(F$8&lt;='Detalle'!$H557,F$9&gt;='Detalle'!$G557),1,"")</x:f>
      </x:c>
      <x:c r="G1144" s="32" t="str">
        <x:f>IF(AND(G$8&lt;='Detalle'!$H557,G$9&gt;='Detalle'!$G557),1,"")</x:f>
      </x:c>
      <x:c r="H1144" s="32" t="str">
        <x:f>IF(AND(H$8&lt;='Detalle'!$H557,H$9&gt;='Detalle'!$G557),1,"")</x:f>
      </x:c>
      <x:c r="I1144" s="32" t="str">
        <x:f>IF(AND(I$8&lt;='Detalle'!$H557,I$9&gt;='Detalle'!$G557),1,"")</x:f>
      </x:c>
      <x:c r="J1144" s="32" t="n">
        <x:f>IF(AND(J$8&lt;='Detalle'!$H557,J$9&gt;='Detalle'!$G557),1,"")</x:f>
        <x:v>1</x:v>
      </x:c>
      <x:c r="K1144" s="32" t="str">
        <x:f>IF(AND(K$8&lt;='Detalle'!$H557,K$9&gt;='Detalle'!$G557),1,"")</x:f>
      </x:c>
      <x:c r="L1144" s="32" t="str">
        <x:f>IF(AND(L$8&lt;='Detalle'!$H557,L$9&gt;='Detalle'!$G557),1,"")</x:f>
      </x:c>
      <x:c r="M1144" s="32" t="str">
        <x:f>IF(AND(M$8&lt;='Detalle'!$H557,M$9&gt;='Detalle'!$G557),1,"")</x:f>
      </x:c>
      <x:c r="N1144" s="32" t="str">
        <x:f>IF(AND(N$8&lt;='Detalle'!$H557,N$9&gt;='Detalle'!$G557),1,"")</x:f>
      </x:c>
      <x:c r="O1144" s="32" t="str">
        <x:f>IF(AND(O$8&lt;='Detalle'!$H557,O$9&gt;='Detalle'!$G557),1,"")</x:f>
      </x:c>
      <x:c r="P1144" s="32" t="str">
        <x:f>IF(AND(P$8&lt;='Detalle'!$H557,P$9&gt;='Detalle'!$G557),1,"")</x:f>
      </x:c>
      <x:c r="Q1144" s="68"/>
      <x:c r="R1144" s="67" t="str">
        <x:f>IF('Detalle'!M557="","",'Detalle'!M557)</x:f>
      </x:c>
      <x:c r="S1144" s="67" t="str">
        <x:f>IF('Detalle'!N557="","",'Detalle'!N557)</x:f>
      </x:c>
    </x:row>
    <x:row r="1145" ht="16" customHeight="1">
      <x:c r="A1145" s="56" t="str">
        <x:v>INT02.007</x:v>
      </x:c>
      <x:c r="B1145" s="57" t="str">
        <x:v>Bloquear doble envío en botones compartidos</x:v>
      </x:c>
      <x:c r="C1145" s="63" t="str">
        <x:v>R</x:v>
      </x:c>
      <x:c r="D1145" s="65" t="str">
        <x:f>IF('Detalle'!L557="","",'Detalle'!L557)</x:f>
      </x:c>
      <x:c r="E1145" s="60" t="str"/>
      <x:c r="F1145" s="32" t="str">
        <x:f>IF(OR('Detalle'!$J557="",'Detalle'!$K557="",'Detalle'!$L557=""),"",IF(AND(F$8&lt;='Detalle'!$K557,F$9&gt;='Detalle'!$J557),1,""))</x:f>
      </x:c>
      <x:c r="G1145" s="32" t="str">
        <x:f>IF(OR('Detalle'!$J557="",'Detalle'!$K557="",'Detalle'!$L557=""),"",IF(AND(G$8&lt;='Detalle'!$K557,G$9&gt;='Detalle'!$J557),1,""))</x:f>
      </x:c>
      <x:c r="H1145" s="32" t="str">
        <x:f>IF(OR('Detalle'!$J557="",'Detalle'!$K557="",'Detalle'!$L557=""),"",IF(AND(H$8&lt;='Detalle'!$K557,H$9&gt;='Detalle'!$J557),1,""))</x:f>
      </x:c>
      <x:c r="I1145" s="32" t="str">
        <x:f>IF(OR('Detalle'!$J557="",'Detalle'!$K557="",'Detalle'!$L557=""),"",IF(AND(I$8&lt;='Detalle'!$K557,I$9&gt;='Detalle'!$J557),1,""))</x:f>
      </x:c>
      <x:c r="J1145" s="32" t="str">
        <x:f>IF(OR('Detalle'!$J557="",'Detalle'!$K557="",'Detalle'!$L557=""),"",IF(AND(J$8&lt;='Detalle'!$K557,J$9&gt;='Detalle'!$J557),1,""))</x:f>
      </x:c>
      <x:c r="K1145" s="32" t="str">
        <x:f>IF(OR('Detalle'!$J557="",'Detalle'!$K557="",'Detalle'!$L557=""),"",IF(AND(K$8&lt;='Detalle'!$K557,K$9&gt;='Detalle'!$J557),1,""))</x:f>
      </x:c>
      <x:c r="L1145" s="32" t="str">
        <x:f>IF(OR('Detalle'!$J557="",'Detalle'!$K557="",'Detalle'!$L557=""),"",IF(AND(L$8&lt;='Detalle'!$K557,L$9&gt;='Detalle'!$J557),1,""))</x:f>
      </x:c>
      <x:c r="M1145" s="32" t="str">
        <x:f>IF(OR('Detalle'!$J557="",'Detalle'!$K557="",'Detalle'!$L557=""),"",IF(AND(M$8&lt;='Detalle'!$K557,M$9&gt;='Detalle'!$J557),1,""))</x:f>
      </x:c>
      <x:c r="N1145" s="32" t="str">
        <x:f>IF(OR('Detalle'!$J557="",'Detalle'!$K557="",'Detalle'!$L557=""),"",IF(AND(N$8&lt;='Detalle'!$K557,N$9&gt;='Detalle'!$J557),1,""))</x:f>
      </x:c>
      <x:c r="O1145" s="32" t="str">
        <x:f>IF(OR('Detalle'!$J557="",'Detalle'!$K557="",'Detalle'!$L557=""),"",IF(AND(O$8&lt;='Detalle'!$K557,O$9&gt;='Detalle'!$J557),1,""))</x:f>
      </x:c>
      <x:c r="P1145" s="32" t="str">
        <x:f>IF(OR('Detalle'!$J557="",'Detalle'!$K557="",'Detalle'!$L557=""),"",IF(AND(P$8&lt;='Detalle'!$K557,P$9&gt;='Detalle'!$J557),1,""))</x:f>
      </x:c>
      <x:c r="Q1145" s="68"/>
      <x:c r="R1145" s="67" t="str"/>
      <x:c r="S1145" s="67" t="str"/>
    </x:row>
    <x:row r="1146" ht="16" customHeight="1">
      <x:c r="A1146" s="56" t="str">
        <x:v>INT02.008</x:v>
      </x:c>
      <x:c r="B1146" s="57" t="str">
        <x:v>Crear panel compartido de acciones</x:v>
      </x:c>
      <x:c r="C1146" s="62" t="str">
        <x:v>E</x:v>
      </x:c>
      <x:c r="D1146" s="64" t="n">
        <x:f>'Detalle'!I558</x:f>
        <x:v>1</x:v>
      </x:c>
      <x:c r="E1146" s="60" t="str">
        <x:f>'Detalle'!F558</x:f>
        <x:v>Completado</x:v>
      </x:c>
      <x:c r="F1146" s="32" t="str">
        <x:f>IF(AND(F$8&lt;='Detalle'!$H558,F$9&gt;='Detalle'!$G558),1,"")</x:f>
      </x:c>
      <x:c r="G1146" s="32" t="str">
        <x:f>IF(AND(G$8&lt;='Detalle'!$H558,G$9&gt;='Detalle'!$G558),1,"")</x:f>
      </x:c>
      <x:c r="H1146" s="32" t="str">
        <x:f>IF(AND(H$8&lt;='Detalle'!$H558,H$9&gt;='Detalle'!$G558),1,"")</x:f>
      </x:c>
      <x:c r="I1146" s="32" t="str">
        <x:f>IF(AND(I$8&lt;='Detalle'!$H558,I$9&gt;='Detalle'!$G558),1,"")</x:f>
      </x:c>
      <x:c r="J1146" s="32" t="n">
        <x:f>IF(AND(J$8&lt;='Detalle'!$H558,J$9&gt;='Detalle'!$G558),1,"")</x:f>
        <x:v>1</x:v>
      </x:c>
      <x:c r="K1146" s="32" t="str">
        <x:f>IF(AND(K$8&lt;='Detalle'!$H558,K$9&gt;='Detalle'!$G558),1,"")</x:f>
      </x:c>
      <x:c r="L1146" s="32" t="str">
        <x:f>IF(AND(L$8&lt;='Detalle'!$H558,L$9&gt;='Detalle'!$G558),1,"")</x:f>
      </x:c>
      <x:c r="M1146" s="32" t="str">
        <x:f>IF(AND(M$8&lt;='Detalle'!$H558,M$9&gt;='Detalle'!$G558),1,"")</x:f>
      </x:c>
      <x:c r="N1146" s="32" t="str">
        <x:f>IF(AND(N$8&lt;='Detalle'!$H558,N$9&gt;='Detalle'!$G558),1,"")</x:f>
      </x:c>
      <x:c r="O1146" s="32" t="str">
        <x:f>IF(AND(O$8&lt;='Detalle'!$H558,O$9&gt;='Detalle'!$G558),1,"")</x:f>
      </x:c>
      <x:c r="P1146" s="32" t="str">
        <x:f>IF(AND(P$8&lt;='Detalle'!$H558,P$9&gt;='Detalle'!$G558),1,"")</x:f>
      </x:c>
      <x:c r="Q1146" s="68"/>
      <x:c r="R1146" s="67" t="str">
        <x:f>IF('Detalle'!M558="","",'Detalle'!M558)</x:f>
      </x:c>
      <x:c r="S1146" s="67" t="str">
        <x:f>IF('Detalle'!N558="","",'Detalle'!N558)</x:f>
      </x:c>
    </x:row>
    <x:row r="1147" ht="16" customHeight="1">
      <x:c r="A1147" s="56" t="str">
        <x:v>INT02.008</x:v>
      </x:c>
      <x:c r="B1147" s="57" t="str">
        <x:v>Crear panel compartido de acciones</x:v>
      </x:c>
      <x:c r="C1147" s="63" t="str">
        <x:v>R</x:v>
      </x:c>
      <x:c r="D1147" s="65" t="str">
        <x:f>IF('Detalle'!L558="","",'Detalle'!L558)</x:f>
      </x:c>
      <x:c r="E1147" s="60" t="str"/>
      <x:c r="F1147" s="32" t="str">
        <x:f>IF(OR('Detalle'!$J558="",'Detalle'!$K558="",'Detalle'!$L558=""),"",IF(AND(F$8&lt;='Detalle'!$K558,F$9&gt;='Detalle'!$J558),1,""))</x:f>
      </x:c>
      <x:c r="G1147" s="32" t="str">
        <x:f>IF(OR('Detalle'!$J558="",'Detalle'!$K558="",'Detalle'!$L558=""),"",IF(AND(G$8&lt;='Detalle'!$K558,G$9&gt;='Detalle'!$J558),1,""))</x:f>
      </x:c>
      <x:c r="H1147" s="32" t="str">
        <x:f>IF(OR('Detalle'!$J558="",'Detalle'!$K558="",'Detalle'!$L558=""),"",IF(AND(H$8&lt;='Detalle'!$K558,H$9&gt;='Detalle'!$J558),1,""))</x:f>
      </x:c>
      <x:c r="I1147" s="32" t="str">
        <x:f>IF(OR('Detalle'!$J558="",'Detalle'!$K558="",'Detalle'!$L558=""),"",IF(AND(I$8&lt;='Detalle'!$K558,I$9&gt;='Detalle'!$J558),1,""))</x:f>
      </x:c>
      <x:c r="J1147" s="32" t="str">
        <x:f>IF(OR('Detalle'!$J558="",'Detalle'!$K558="",'Detalle'!$L558=""),"",IF(AND(J$8&lt;='Detalle'!$K558,J$9&gt;='Detalle'!$J558),1,""))</x:f>
      </x:c>
      <x:c r="K1147" s="32" t="str">
        <x:f>IF(OR('Detalle'!$J558="",'Detalle'!$K558="",'Detalle'!$L558=""),"",IF(AND(K$8&lt;='Detalle'!$K558,K$9&gt;='Detalle'!$J558),1,""))</x:f>
      </x:c>
      <x:c r="L1147" s="32" t="str">
        <x:f>IF(OR('Detalle'!$J558="",'Detalle'!$K558="",'Detalle'!$L558=""),"",IF(AND(L$8&lt;='Detalle'!$K558,L$9&gt;='Detalle'!$J558),1,""))</x:f>
      </x:c>
      <x:c r="M1147" s="32" t="str">
        <x:f>IF(OR('Detalle'!$J558="",'Detalle'!$K558="",'Detalle'!$L558=""),"",IF(AND(M$8&lt;='Detalle'!$K558,M$9&gt;='Detalle'!$J558),1,""))</x:f>
      </x:c>
      <x:c r="N1147" s="32" t="str">
        <x:f>IF(OR('Detalle'!$J558="",'Detalle'!$K558="",'Detalle'!$L558=""),"",IF(AND(N$8&lt;='Detalle'!$K558,N$9&gt;='Detalle'!$J558),1,""))</x:f>
      </x:c>
      <x:c r="O1147" s="32" t="str">
        <x:f>IF(OR('Detalle'!$J558="",'Detalle'!$K558="",'Detalle'!$L558=""),"",IF(AND(O$8&lt;='Detalle'!$K558,O$9&gt;='Detalle'!$J558),1,""))</x:f>
      </x:c>
      <x:c r="P1147" s="32" t="str">
        <x:f>IF(OR('Detalle'!$J558="",'Detalle'!$K558="",'Detalle'!$L558=""),"",IF(AND(P$8&lt;='Detalle'!$K558,P$9&gt;='Detalle'!$J558),1,""))</x:f>
      </x:c>
      <x:c r="Q1147" s="68"/>
      <x:c r="R1147" s="67" t="str"/>
      <x:c r="S1147" s="67" t="str"/>
    </x:row>
    <x:row r="1148" ht="16" customHeight="1">
      <x:c r="A1148" s="56" t="str">
        <x:v>INT02.009</x:v>
      </x:c>
      <x:c r="B1148" s="57" t="str">
        <x:v>Reemplazar refresco por indicador lineal</x:v>
      </x:c>
      <x:c r="C1148" s="62" t="str">
        <x:v>E</x:v>
      </x:c>
      <x:c r="D1148" s="64" t="n">
        <x:f>'Detalle'!I559</x:f>
        <x:v>1</x:v>
      </x:c>
      <x:c r="E1148" s="60" t="str">
        <x:f>'Detalle'!F559</x:f>
        <x:v>Completado</x:v>
      </x:c>
      <x:c r="F1148" s="32" t="str">
        <x:f>IF(AND(F$8&lt;='Detalle'!$H559,F$9&gt;='Detalle'!$G559),1,"")</x:f>
      </x:c>
      <x:c r="G1148" s="32" t="str">
        <x:f>IF(AND(G$8&lt;='Detalle'!$H559,G$9&gt;='Detalle'!$G559),1,"")</x:f>
      </x:c>
      <x:c r="H1148" s="32" t="str">
        <x:f>IF(AND(H$8&lt;='Detalle'!$H559,H$9&gt;='Detalle'!$G559),1,"")</x:f>
      </x:c>
      <x:c r="I1148" s="32" t="str">
        <x:f>IF(AND(I$8&lt;='Detalle'!$H559,I$9&gt;='Detalle'!$G559),1,"")</x:f>
      </x:c>
      <x:c r="J1148" s="32" t="n">
        <x:f>IF(AND(J$8&lt;='Detalle'!$H559,J$9&gt;='Detalle'!$G559),1,"")</x:f>
        <x:v>1</x:v>
      </x:c>
      <x:c r="K1148" s="32" t="str">
        <x:f>IF(AND(K$8&lt;='Detalle'!$H559,K$9&gt;='Detalle'!$G559),1,"")</x:f>
      </x:c>
      <x:c r="L1148" s="32" t="str">
        <x:f>IF(AND(L$8&lt;='Detalle'!$H559,L$9&gt;='Detalle'!$G559),1,"")</x:f>
      </x:c>
      <x:c r="M1148" s="32" t="str">
        <x:f>IF(AND(M$8&lt;='Detalle'!$H559,M$9&gt;='Detalle'!$G559),1,"")</x:f>
      </x:c>
      <x:c r="N1148" s="32" t="str">
        <x:f>IF(AND(N$8&lt;='Detalle'!$H559,N$9&gt;='Detalle'!$G559),1,"")</x:f>
      </x:c>
      <x:c r="O1148" s="32" t="str">
        <x:f>IF(AND(O$8&lt;='Detalle'!$H559,O$9&gt;='Detalle'!$G559),1,"")</x:f>
      </x:c>
      <x:c r="P1148" s="32" t="str">
        <x:f>IF(AND(P$8&lt;='Detalle'!$H559,P$9&gt;='Detalle'!$G559),1,"")</x:f>
      </x:c>
      <x:c r="Q1148" s="68"/>
      <x:c r="R1148" s="67" t="str">
        <x:f>IF('Detalle'!M559="","",'Detalle'!M559)</x:f>
      </x:c>
      <x:c r="S1148" s="67" t="str">
        <x:f>IF('Detalle'!N559="","",'Detalle'!N559)</x:f>
      </x:c>
    </x:row>
    <x:row r="1149" ht="16" customHeight="1">
      <x:c r="A1149" s="56" t="str">
        <x:v>INT02.009</x:v>
      </x:c>
      <x:c r="B1149" s="57" t="str">
        <x:v>Reemplazar refresco por indicador lineal</x:v>
      </x:c>
      <x:c r="C1149" s="63" t="str">
        <x:v>R</x:v>
      </x:c>
      <x:c r="D1149" s="65" t="str">
        <x:f>IF('Detalle'!L559="","",'Detalle'!L559)</x:f>
      </x:c>
      <x:c r="E1149" s="60" t="str"/>
      <x:c r="F1149" s="32" t="str">
        <x:f>IF(OR('Detalle'!$J559="",'Detalle'!$K559="",'Detalle'!$L559=""),"",IF(AND(F$8&lt;='Detalle'!$K559,F$9&gt;='Detalle'!$J559),1,""))</x:f>
      </x:c>
      <x:c r="G1149" s="32" t="str">
        <x:f>IF(OR('Detalle'!$J559="",'Detalle'!$K559="",'Detalle'!$L559=""),"",IF(AND(G$8&lt;='Detalle'!$K559,G$9&gt;='Detalle'!$J559),1,""))</x:f>
      </x:c>
      <x:c r="H1149" s="32" t="str">
        <x:f>IF(OR('Detalle'!$J559="",'Detalle'!$K559="",'Detalle'!$L559=""),"",IF(AND(H$8&lt;='Detalle'!$K559,H$9&gt;='Detalle'!$J559),1,""))</x:f>
      </x:c>
      <x:c r="I1149" s="32" t="str">
        <x:f>IF(OR('Detalle'!$J559="",'Detalle'!$K559="",'Detalle'!$L559=""),"",IF(AND(I$8&lt;='Detalle'!$K559,I$9&gt;='Detalle'!$J559),1,""))</x:f>
      </x:c>
      <x:c r="J1149" s="32" t="str">
        <x:f>IF(OR('Detalle'!$J559="",'Detalle'!$K559="",'Detalle'!$L559=""),"",IF(AND(J$8&lt;='Detalle'!$K559,J$9&gt;='Detalle'!$J559),1,""))</x:f>
      </x:c>
      <x:c r="K1149" s="32" t="str">
        <x:f>IF(OR('Detalle'!$J559="",'Detalle'!$K559="",'Detalle'!$L559=""),"",IF(AND(K$8&lt;='Detalle'!$K559,K$9&gt;='Detalle'!$J559),1,""))</x:f>
      </x:c>
      <x:c r="L1149" s="32" t="str">
        <x:f>IF(OR('Detalle'!$J559="",'Detalle'!$K559="",'Detalle'!$L559=""),"",IF(AND(L$8&lt;='Detalle'!$K559,L$9&gt;='Detalle'!$J559),1,""))</x:f>
      </x:c>
      <x:c r="M1149" s="32" t="str">
        <x:f>IF(OR('Detalle'!$J559="",'Detalle'!$K559="",'Detalle'!$L559=""),"",IF(AND(M$8&lt;='Detalle'!$K559,M$9&gt;='Detalle'!$J559),1,""))</x:f>
      </x:c>
      <x:c r="N1149" s="32" t="str">
        <x:f>IF(OR('Detalle'!$J559="",'Detalle'!$K559="",'Detalle'!$L559=""),"",IF(AND(N$8&lt;='Detalle'!$K559,N$9&gt;='Detalle'!$J559),1,""))</x:f>
      </x:c>
      <x:c r="O1149" s="32" t="str">
        <x:f>IF(OR('Detalle'!$J559="",'Detalle'!$K559="",'Detalle'!$L559=""),"",IF(AND(O$8&lt;='Detalle'!$K559,O$9&gt;='Detalle'!$J559),1,""))</x:f>
      </x:c>
      <x:c r="P1149" s="32" t="str">
        <x:f>IF(OR('Detalle'!$J559="",'Detalle'!$K559="",'Detalle'!$L559=""),"",IF(AND(P$8&lt;='Detalle'!$K559,P$9&gt;='Detalle'!$J559),1,""))</x:f>
      </x:c>
      <x:c r="Q1149" s="68"/>
      <x:c r="R1149" s="67" t="str"/>
      <x:c r="S1149" s="67" t="str"/>
    </x:row>
    <x:row r="1150" ht="16" customHeight="1">
      <x:c r="A1150" s="56" t="str">
        <x:v>INT02.010</x:v>
      </x:c>
      <x:c r="B1150" s="57" t="str">
        <x:v>Conservar contenido de showcase al recargar</x:v>
      </x:c>
      <x:c r="C1150" s="62" t="str">
        <x:v>E</x:v>
      </x:c>
      <x:c r="D1150" s="64" t="n">
        <x:f>'Detalle'!I560</x:f>
        <x:v>1</x:v>
      </x:c>
      <x:c r="E1150" s="60" t="str">
        <x:f>'Detalle'!F560</x:f>
        <x:v>Completado</x:v>
      </x:c>
      <x:c r="F1150" s="32" t="str">
        <x:f>IF(AND(F$8&lt;='Detalle'!$H560,F$9&gt;='Detalle'!$G560),1,"")</x:f>
      </x:c>
      <x:c r="G1150" s="32" t="str">
        <x:f>IF(AND(G$8&lt;='Detalle'!$H560,G$9&gt;='Detalle'!$G560),1,"")</x:f>
      </x:c>
      <x:c r="H1150" s="32" t="str">
        <x:f>IF(AND(H$8&lt;='Detalle'!$H560,H$9&gt;='Detalle'!$G560),1,"")</x:f>
      </x:c>
      <x:c r="I1150" s="32" t="str">
        <x:f>IF(AND(I$8&lt;='Detalle'!$H560,I$9&gt;='Detalle'!$G560),1,"")</x:f>
      </x:c>
      <x:c r="J1150" s="32" t="n">
        <x:f>IF(AND(J$8&lt;='Detalle'!$H560,J$9&gt;='Detalle'!$G560),1,"")</x:f>
        <x:v>1</x:v>
      </x:c>
      <x:c r="K1150" s="32" t="str">
        <x:f>IF(AND(K$8&lt;='Detalle'!$H560,K$9&gt;='Detalle'!$G560),1,"")</x:f>
      </x:c>
      <x:c r="L1150" s="32" t="str">
        <x:f>IF(AND(L$8&lt;='Detalle'!$H560,L$9&gt;='Detalle'!$G560),1,"")</x:f>
      </x:c>
      <x:c r="M1150" s="32" t="str">
        <x:f>IF(AND(M$8&lt;='Detalle'!$H560,M$9&gt;='Detalle'!$G560),1,"")</x:f>
      </x:c>
      <x:c r="N1150" s="32" t="str">
        <x:f>IF(AND(N$8&lt;='Detalle'!$H560,N$9&gt;='Detalle'!$G560),1,"")</x:f>
      </x:c>
      <x:c r="O1150" s="32" t="str">
        <x:f>IF(AND(O$8&lt;='Detalle'!$H560,O$9&gt;='Detalle'!$G560),1,"")</x:f>
      </x:c>
      <x:c r="P1150" s="32" t="str">
        <x:f>IF(AND(P$8&lt;='Detalle'!$H560,P$9&gt;='Detalle'!$G560),1,"")</x:f>
      </x:c>
      <x:c r="Q1150" s="68"/>
      <x:c r="R1150" s="67" t="str">
        <x:f>IF('Detalle'!M560="","",'Detalle'!M560)</x:f>
      </x:c>
      <x:c r="S1150" s="67" t="str">
        <x:f>IF('Detalle'!N560="","",'Detalle'!N560)</x:f>
      </x:c>
    </x:row>
    <x:row r="1151" ht="16" customHeight="1">
      <x:c r="A1151" s="56" t="str">
        <x:v>INT02.010</x:v>
      </x:c>
      <x:c r="B1151" s="57" t="str">
        <x:v>Conservar contenido de showcase al recargar</x:v>
      </x:c>
      <x:c r="C1151" s="63" t="str">
        <x:v>R</x:v>
      </x:c>
      <x:c r="D1151" s="65" t="str">
        <x:f>IF('Detalle'!L560="","",'Detalle'!L560)</x:f>
      </x:c>
      <x:c r="E1151" s="60" t="str"/>
      <x:c r="F1151" s="32" t="str">
        <x:f>IF(OR('Detalle'!$J560="",'Detalle'!$K560="",'Detalle'!$L560=""),"",IF(AND(F$8&lt;='Detalle'!$K560,F$9&gt;='Detalle'!$J560),1,""))</x:f>
      </x:c>
      <x:c r="G1151" s="32" t="str">
        <x:f>IF(OR('Detalle'!$J560="",'Detalle'!$K560="",'Detalle'!$L560=""),"",IF(AND(G$8&lt;='Detalle'!$K560,G$9&gt;='Detalle'!$J560),1,""))</x:f>
      </x:c>
      <x:c r="H1151" s="32" t="str">
        <x:f>IF(OR('Detalle'!$J560="",'Detalle'!$K560="",'Detalle'!$L560=""),"",IF(AND(H$8&lt;='Detalle'!$K560,H$9&gt;='Detalle'!$J560),1,""))</x:f>
      </x:c>
      <x:c r="I1151" s="32" t="str">
        <x:f>IF(OR('Detalle'!$J560="",'Detalle'!$K560="",'Detalle'!$L560=""),"",IF(AND(I$8&lt;='Detalle'!$K560,I$9&gt;='Detalle'!$J560),1,""))</x:f>
      </x:c>
      <x:c r="J1151" s="32" t="str">
        <x:f>IF(OR('Detalle'!$J560="",'Detalle'!$K560="",'Detalle'!$L560=""),"",IF(AND(J$8&lt;='Detalle'!$K560,J$9&gt;='Detalle'!$J560),1,""))</x:f>
      </x:c>
      <x:c r="K1151" s="32" t="str">
        <x:f>IF(OR('Detalle'!$J560="",'Detalle'!$K560="",'Detalle'!$L560=""),"",IF(AND(K$8&lt;='Detalle'!$K560,K$9&gt;='Detalle'!$J560),1,""))</x:f>
      </x:c>
      <x:c r="L1151" s="32" t="str">
        <x:f>IF(OR('Detalle'!$J560="",'Detalle'!$K560="",'Detalle'!$L560=""),"",IF(AND(L$8&lt;='Detalle'!$K560,L$9&gt;='Detalle'!$J560),1,""))</x:f>
      </x:c>
      <x:c r="M1151" s="32" t="str">
        <x:f>IF(OR('Detalle'!$J560="",'Detalle'!$K560="",'Detalle'!$L560=""),"",IF(AND(M$8&lt;='Detalle'!$K560,M$9&gt;='Detalle'!$J560),1,""))</x:f>
      </x:c>
      <x:c r="N1151" s="32" t="str">
        <x:f>IF(OR('Detalle'!$J560="",'Detalle'!$K560="",'Detalle'!$L560=""),"",IF(AND(N$8&lt;='Detalle'!$K560,N$9&gt;='Detalle'!$J560),1,""))</x:f>
      </x:c>
      <x:c r="O1151" s="32" t="str">
        <x:f>IF(OR('Detalle'!$J560="",'Detalle'!$K560="",'Detalle'!$L560=""),"",IF(AND(O$8&lt;='Detalle'!$K560,O$9&gt;='Detalle'!$J560),1,""))</x:f>
      </x:c>
      <x:c r="P1151" s="32" t="str">
        <x:f>IF(OR('Detalle'!$J560="",'Detalle'!$K560="",'Detalle'!$L560=""),"",IF(AND(P$8&lt;='Detalle'!$K560,P$9&gt;='Detalle'!$J560),1,""))</x:f>
      </x:c>
      <x:c r="Q1151" s="68"/>
      <x:c r="R1151" s="67" t="str"/>
      <x:c r="S1151" s="67" t="str"/>
    </x:row>
    <x:row r="1152" ht="16" customHeight="1">
      <x:c r="A1152" s="56" t="str">
        <x:v>INT02.011</x:v>
      </x:c>
      <x:c r="B1152" s="57" t="str">
        <x:v>Adaptar esqueletos pequeños</x:v>
      </x:c>
      <x:c r="C1152" s="62" t="str">
        <x:v>E</x:v>
      </x:c>
      <x:c r="D1152" s="64" t="n">
        <x:f>'Detalle'!I561</x:f>
        <x:v>1</x:v>
      </x:c>
      <x:c r="E1152" s="60" t="str">
        <x:f>'Detalle'!F561</x:f>
        <x:v>Completado</x:v>
      </x:c>
      <x:c r="F1152" s="32" t="str">
        <x:f>IF(AND(F$8&lt;='Detalle'!$H561,F$9&gt;='Detalle'!$G561),1,"")</x:f>
      </x:c>
      <x:c r="G1152" s="32" t="str">
        <x:f>IF(AND(G$8&lt;='Detalle'!$H561,G$9&gt;='Detalle'!$G561),1,"")</x:f>
      </x:c>
      <x:c r="H1152" s="32" t="str">
        <x:f>IF(AND(H$8&lt;='Detalle'!$H561,H$9&gt;='Detalle'!$G561),1,"")</x:f>
      </x:c>
      <x:c r="I1152" s="32" t="str">
        <x:f>IF(AND(I$8&lt;='Detalle'!$H561,I$9&gt;='Detalle'!$G561),1,"")</x:f>
      </x:c>
      <x:c r="J1152" s="32" t="n">
        <x:f>IF(AND(J$8&lt;='Detalle'!$H561,J$9&gt;='Detalle'!$G561),1,"")</x:f>
        <x:v>1</x:v>
      </x:c>
      <x:c r="K1152" s="32" t="str">
        <x:f>IF(AND(K$8&lt;='Detalle'!$H561,K$9&gt;='Detalle'!$G561),1,"")</x:f>
      </x:c>
      <x:c r="L1152" s="32" t="str">
        <x:f>IF(AND(L$8&lt;='Detalle'!$H561,L$9&gt;='Detalle'!$G561),1,"")</x:f>
      </x:c>
      <x:c r="M1152" s="32" t="str">
        <x:f>IF(AND(M$8&lt;='Detalle'!$H561,M$9&gt;='Detalle'!$G561),1,"")</x:f>
      </x:c>
      <x:c r="N1152" s="32" t="str">
        <x:f>IF(AND(N$8&lt;='Detalle'!$H561,N$9&gt;='Detalle'!$G561),1,"")</x:f>
      </x:c>
      <x:c r="O1152" s="32" t="str">
        <x:f>IF(AND(O$8&lt;='Detalle'!$H561,O$9&gt;='Detalle'!$G561),1,"")</x:f>
      </x:c>
      <x:c r="P1152" s="32" t="str">
        <x:f>IF(AND(P$8&lt;='Detalle'!$H561,P$9&gt;='Detalle'!$G561),1,"")</x:f>
      </x:c>
      <x:c r="Q1152" s="68"/>
      <x:c r="R1152" s="67" t="str">
        <x:f>IF('Detalle'!M561="","",'Detalle'!M561)</x:f>
      </x:c>
      <x:c r="S1152" s="67" t="str">
        <x:f>IF('Detalle'!N561="","",'Detalle'!N561)</x:f>
      </x:c>
    </x:row>
    <x:row r="1153" ht="16" customHeight="1">
      <x:c r="A1153" s="56" t="str">
        <x:v>INT02.011</x:v>
      </x:c>
      <x:c r="B1153" s="57" t="str">
        <x:v>Adaptar esqueletos pequeños</x:v>
      </x:c>
      <x:c r="C1153" s="63" t="str">
        <x:v>R</x:v>
      </x:c>
      <x:c r="D1153" s="65" t="str">
        <x:f>IF('Detalle'!L561="","",'Detalle'!L561)</x:f>
      </x:c>
      <x:c r="E1153" s="60" t="str"/>
      <x:c r="F1153" s="32" t="str">
        <x:f>IF(OR('Detalle'!$J561="",'Detalle'!$K561="",'Detalle'!$L561=""),"",IF(AND(F$8&lt;='Detalle'!$K561,F$9&gt;='Detalle'!$J561),1,""))</x:f>
      </x:c>
      <x:c r="G1153" s="32" t="str">
        <x:f>IF(OR('Detalle'!$J561="",'Detalle'!$K561="",'Detalle'!$L561=""),"",IF(AND(G$8&lt;='Detalle'!$K561,G$9&gt;='Detalle'!$J561),1,""))</x:f>
      </x:c>
      <x:c r="H1153" s="32" t="str">
        <x:f>IF(OR('Detalle'!$J561="",'Detalle'!$K561="",'Detalle'!$L561=""),"",IF(AND(H$8&lt;='Detalle'!$K561,H$9&gt;='Detalle'!$J561),1,""))</x:f>
      </x:c>
      <x:c r="I1153" s="32" t="str">
        <x:f>IF(OR('Detalle'!$J561="",'Detalle'!$K561="",'Detalle'!$L561=""),"",IF(AND(I$8&lt;='Detalle'!$K561,I$9&gt;='Detalle'!$J561),1,""))</x:f>
      </x:c>
      <x:c r="J1153" s="32" t="str">
        <x:f>IF(OR('Detalle'!$J561="",'Detalle'!$K561="",'Detalle'!$L561=""),"",IF(AND(J$8&lt;='Detalle'!$K561,J$9&gt;='Detalle'!$J561),1,""))</x:f>
      </x:c>
      <x:c r="K1153" s="32" t="str">
        <x:f>IF(OR('Detalle'!$J561="",'Detalle'!$K561="",'Detalle'!$L561=""),"",IF(AND(K$8&lt;='Detalle'!$K561,K$9&gt;='Detalle'!$J561),1,""))</x:f>
      </x:c>
      <x:c r="L1153" s="32" t="str">
        <x:f>IF(OR('Detalle'!$J561="",'Detalle'!$K561="",'Detalle'!$L561=""),"",IF(AND(L$8&lt;='Detalle'!$K561,L$9&gt;='Detalle'!$J561),1,""))</x:f>
      </x:c>
      <x:c r="M1153" s="32" t="str">
        <x:f>IF(OR('Detalle'!$J561="",'Detalle'!$K561="",'Detalle'!$L561=""),"",IF(AND(M$8&lt;='Detalle'!$K561,M$9&gt;='Detalle'!$J561),1,""))</x:f>
      </x:c>
      <x:c r="N1153" s="32" t="str">
        <x:f>IF(OR('Detalle'!$J561="",'Detalle'!$K561="",'Detalle'!$L561=""),"",IF(AND(N$8&lt;='Detalle'!$K561,N$9&gt;='Detalle'!$J561),1,""))</x:f>
      </x:c>
      <x:c r="O1153" s="32" t="str">
        <x:f>IF(OR('Detalle'!$J561="",'Detalle'!$K561="",'Detalle'!$L561=""),"",IF(AND(O$8&lt;='Detalle'!$K561,O$9&gt;='Detalle'!$J561),1,""))</x:f>
      </x:c>
      <x:c r="P1153" s="32" t="str">
        <x:f>IF(OR('Detalle'!$J561="",'Detalle'!$K561="",'Detalle'!$L561=""),"",IF(AND(P$8&lt;='Detalle'!$K561,P$9&gt;='Detalle'!$J561),1,""))</x:f>
      </x:c>
      <x:c r="Q1153" s="68"/>
      <x:c r="R1153" s="67" t="str"/>
      <x:c r="S1153" s="67" t="str"/>
    </x:row>
    <x:row r="1154" ht="16" customHeight="1">
      <x:c r="A1154" s="56" t="str">
        <x:v>INT02.012</x:v>
      </x:c>
      <x:c r="B1154" s="57" t="str">
        <x:v>Respetar movimiento reducido</x:v>
      </x:c>
      <x:c r="C1154" s="62" t="str">
        <x:v>E</x:v>
      </x:c>
      <x:c r="D1154" s="64" t="n">
        <x:f>'Detalle'!I562</x:f>
        <x:v>1</x:v>
      </x:c>
      <x:c r="E1154" s="60" t="str">
        <x:f>'Detalle'!F562</x:f>
        <x:v>Completado</x:v>
      </x:c>
      <x:c r="F1154" s="32" t="str">
        <x:f>IF(AND(F$8&lt;='Detalle'!$H562,F$9&gt;='Detalle'!$G562),1,"")</x:f>
      </x:c>
      <x:c r="G1154" s="32" t="str">
        <x:f>IF(AND(G$8&lt;='Detalle'!$H562,G$9&gt;='Detalle'!$G562),1,"")</x:f>
      </x:c>
      <x:c r="H1154" s="32" t="str">
        <x:f>IF(AND(H$8&lt;='Detalle'!$H562,H$9&gt;='Detalle'!$G562),1,"")</x:f>
      </x:c>
      <x:c r="I1154" s="32" t="str">
        <x:f>IF(AND(I$8&lt;='Detalle'!$H562,I$9&gt;='Detalle'!$G562),1,"")</x:f>
      </x:c>
      <x:c r="J1154" s="32" t="n">
        <x:f>IF(AND(J$8&lt;='Detalle'!$H562,J$9&gt;='Detalle'!$G562),1,"")</x:f>
        <x:v>1</x:v>
      </x:c>
      <x:c r="K1154" s="32" t="str">
        <x:f>IF(AND(K$8&lt;='Detalle'!$H562,K$9&gt;='Detalle'!$G562),1,"")</x:f>
      </x:c>
      <x:c r="L1154" s="32" t="str">
        <x:f>IF(AND(L$8&lt;='Detalle'!$H562,L$9&gt;='Detalle'!$G562),1,"")</x:f>
      </x:c>
      <x:c r="M1154" s="32" t="str">
        <x:f>IF(AND(M$8&lt;='Detalle'!$H562,M$9&gt;='Detalle'!$G562),1,"")</x:f>
      </x:c>
      <x:c r="N1154" s="32" t="str">
        <x:f>IF(AND(N$8&lt;='Detalle'!$H562,N$9&gt;='Detalle'!$G562),1,"")</x:f>
      </x:c>
      <x:c r="O1154" s="32" t="str">
        <x:f>IF(AND(O$8&lt;='Detalle'!$H562,O$9&gt;='Detalle'!$G562),1,"")</x:f>
      </x:c>
      <x:c r="P1154" s="32" t="str">
        <x:f>IF(AND(P$8&lt;='Detalle'!$H562,P$9&gt;='Detalle'!$G562),1,"")</x:f>
      </x:c>
      <x:c r="Q1154" s="68"/>
      <x:c r="R1154" s="67" t="str">
        <x:f>IF('Detalle'!M562="","",'Detalle'!M562)</x:f>
      </x:c>
      <x:c r="S1154" s="67" t="str">
        <x:f>IF('Detalle'!N562="","",'Detalle'!N562)</x:f>
      </x:c>
    </x:row>
    <x:row r="1155" ht="16" customHeight="1">
      <x:c r="A1155" s="56" t="str">
        <x:v>INT02.012</x:v>
      </x:c>
      <x:c r="B1155" s="57" t="str">
        <x:v>Respetar movimiento reducido</x:v>
      </x:c>
      <x:c r="C1155" s="63" t="str">
        <x:v>R</x:v>
      </x:c>
      <x:c r="D1155" s="65" t="str">
        <x:f>IF('Detalle'!L562="","",'Detalle'!L562)</x:f>
      </x:c>
      <x:c r="E1155" s="60" t="str"/>
      <x:c r="F1155" s="32" t="str">
        <x:f>IF(OR('Detalle'!$J562="",'Detalle'!$K562="",'Detalle'!$L562=""),"",IF(AND(F$8&lt;='Detalle'!$K562,F$9&gt;='Detalle'!$J562),1,""))</x:f>
      </x:c>
      <x:c r="G1155" s="32" t="str">
        <x:f>IF(OR('Detalle'!$J562="",'Detalle'!$K562="",'Detalle'!$L562=""),"",IF(AND(G$8&lt;='Detalle'!$K562,G$9&gt;='Detalle'!$J562),1,""))</x:f>
      </x:c>
      <x:c r="H1155" s="32" t="str">
        <x:f>IF(OR('Detalle'!$J562="",'Detalle'!$K562="",'Detalle'!$L562=""),"",IF(AND(H$8&lt;='Detalle'!$K562,H$9&gt;='Detalle'!$J562),1,""))</x:f>
      </x:c>
      <x:c r="I1155" s="32" t="str">
        <x:f>IF(OR('Detalle'!$J562="",'Detalle'!$K562="",'Detalle'!$L562=""),"",IF(AND(I$8&lt;='Detalle'!$K562,I$9&gt;='Detalle'!$J562),1,""))</x:f>
      </x:c>
      <x:c r="J1155" s="32" t="str">
        <x:f>IF(OR('Detalle'!$J562="",'Detalle'!$K562="",'Detalle'!$L562=""),"",IF(AND(J$8&lt;='Detalle'!$K562,J$9&gt;='Detalle'!$J562),1,""))</x:f>
      </x:c>
      <x:c r="K1155" s="32" t="str">
        <x:f>IF(OR('Detalle'!$J562="",'Detalle'!$K562="",'Detalle'!$L562=""),"",IF(AND(K$8&lt;='Detalle'!$K562,K$9&gt;='Detalle'!$J562),1,""))</x:f>
      </x:c>
      <x:c r="L1155" s="32" t="str">
        <x:f>IF(OR('Detalle'!$J562="",'Detalle'!$K562="",'Detalle'!$L562=""),"",IF(AND(L$8&lt;='Detalle'!$K562,L$9&gt;='Detalle'!$J562),1,""))</x:f>
      </x:c>
      <x:c r="M1155" s="32" t="str">
        <x:f>IF(OR('Detalle'!$J562="",'Detalle'!$K562="",'Detalle'!$L562=""),"",IF(AND(M$8&lt;='Detalle'!$K562,M$9&gt;='Detalle'!$J562),1,""))</x:f>
      </x:c>
      <x:c r="N1155" s="32" t="str">
        <x:f>IF(OR('Detalle'!$J562="",'Detalle'!$K562="",'Detalle'!$L562=""),"",IF(AND(N$8&lt;='Detalle'!$K562,N$9&gt;='Detalle'!$J562),1,""))</x:f>
      </x:c>
      <x:c r="O1155" s="32" t="str">
        <x:f>IF(OR('Detalle'!$J562="",'Detalle'!$K562="",'Detalle'!$L562=""),"",IF(AND(O$8&lt;='Detalle'!$K562,O$9&gt;='Detalle'!$J562),1,""))</x:f>
      </x:c>
      <x:c r="P1155" s="32" t="str">
        <x:f>IF(OR('Detalle'!$J562="",'Detalle'!$K562="",'Detalle'!$L562=""),"",IF(AND(P$8&lt;='Detalle'!$K562,P$9&gt;='Detalle'!$J562),1,""))</x:f>
      </x:c>
      <x:c r="Q1155" s="68"/>
      <x:c r="R1155" s="67" t="str"/>
      <x:c r="S1155" s="67" t="str"/>
    </x:row>
    <x:row r="1156" ht="16" customHeight="1">
      <x:c r="A1156" s="56" t="str">
        <x:v>INT02.013</x:v>
      </x:c>
      <x:c r="B1156" s="57" t="str">
        <x:v>Abreviar Acciones a Más donde corresponde</x:v>
      </x:c>
      <x:c r="C1156" s="62" t="str">
        <x:v>E</x:v>
      </x:c>
      <x:c r="D1156" s="64" t="n">
        <x:f>'Detalle'!I563</x:f>
        <x:v>1</x:v>
      </x:c>
      <x:c r="E1156" s="60" t="str">
        <x:f>'Detalle'!F563</x:f>
        <x:v>Completado</x:v>
      </x:c>
      <x:c r="F1156" s="32" t="str">
        <x:f>IF(AND(F$8&lt;='Detalle'!$H563,F$9&gt;='Detalle'!$G563),1,"")</x:f>
      </x:c>
      <x:c r="G1156" s="32" t="str">
        <x:f>IF(AND(G$8&lt;='Detalle'!$H563,G$9&gt;='Detalle'!$G563),1,"")</x:f>
      </x:c>
      <x:c r="H1156" s="32" t="str">
        <x:f>IF(AND(H$8&lt;='Detalle'!$H563,H$9&gt;='Detalle'!$G563),1,"")</x:f>
      </x:c>
      <x:c r="I1156" s="32" t="str">
        <x:f>IF(AND(I$8&lt;='Detalle'!$H563,I$9&gt;='Detalle'!$G563),1,"")</x:f>
      </x:c>
      <x:c r="J1156" s="32" t="n">
        <x:f>IF(AND(J$8&lt;='Detalle'!$H563,J$9&gt;='Detalle'!$G563),1,"")</x:f>
        <x:v>1</x:v>
      </x:c>
      <x:c r="K1156" s="32" t="str">
        <x:f>IF(AND(K$8&lt;='Detalle'!$H563,K$9&gt;='Detalle'!$G563),1,"")</x:f>
      </x:c>
      <x:c r="L1156" s="32" t="str">
        <x:f>IF(AND(L$8&lt;='Detalle'!$H563,L$9&gt;='Detalle'!$G563),1,"")</x:f>
      </x:c>
      <x:c r="M1156" s="32" t="str">
        <x:f>IF(AND(M$8&lt;='Detalle'!$H563,M$9&gt;='Detalle'!$G563),1,"")</x:f>
      </x:c>
      <x:c r="N1156" s="32" t="str">
        <x:f>IF(AND(N$8&lt;='Detalle'!$H563,N$9&gt;='Detalle'!$G563),1,"")</x:f>
      </x:c>
      <x:c r="O1156" s="32" t="str">
        <x:f>IF(AND(O$8&lt;='Detalle'!$H563,O$9&gt;='Detalle'!$G563),1,"")</x:f>
      </x:c>
      <x:c r="P1156" s="32" t="str">
        <x:f>IF(AND(P$8&lt;='Detalle'!$H563,P$9&gt;='Detalle'!$G563),1,"")</x:f>
      </x:c>
      <x:c r="Q1156" s="68"/>
      <x:c r="R1156" s="67" t="str">
        <x:f>IF('Detalle'!M563="","",'Detalle'!M563)</x:f>
      </x:c>
      <x:c r="S1156" s="67" t="str">
        <x:f>IF('Detalle'!N563="","",'Detalle'!N563)</x:f>
      </x:c>
    </x:row>
    <x:row r="1157" ht="16" customHeight="1">
      <x:c r="A1157" s="56" t="str">
        <x:v>INT02.013</x:v>
      </x:c>
      <x:c r="B1157" s="57" t="str">
        <x:v>Abreviar Acciones a Más donde corresponde</x:v>
      </x:c>
      <x:c r="C1157" s="63" t="str">
        <x:v>R</x:v>
      </x:c>
      <x:c r="D1157" s="65" t="str">
        <x:f>IF('Detalle'!L563="","",'Detalle'!L563)</x:f>
      </x:c>
      <x:c r="E1157" s="60" t="str"/>
      <x:c r="F1157" s="32" t="str">
        <x:f>IF(OR('Detalle'!$J563="",'Detalle'!$K563="",'Detalle'!$L563=""),"",IF(AND(F$8&lt;='Detalle'!$K563,F$9&gt;='Detalle'!$J563),1,""))</x:f>
      </x:c>
      <x:c r="G1157" s="32" t="str">
        <x:f>IF(OR('Detalle'!$J563="",'Detalle'!$K563="",'Detalle'!$L563=""),"",IF(AND(G$8&lt;='Detalle'!$K563,G$9&gt;='Detalle'!$J563),1,""))</x:f>
      </x:c>
      <x:c r="H1157" s="32" t="str">
        <x:f>IF(OR('Detalle'!$J563="",'Detalle'!$K563="",'Detalle'!$L563=""),"",IF(AND(H$8&lt;='Detalle'!$K563,H$9&gt;='Detalle'!$J563),1,""))</x:f>
      </x:c>
      <x:c r="I1157" s="32" t="str">
        <x:f>IF(OR('Detalle'!$J563="",'Detalle'!$K563="",'Detalle'!$L563=""),"",IF(AND(I$8&lt;='Detalle'!$K563,I$9&gt;='Detalle'!$J563),1,""))</x:f>
      </x:c>
      <x:c r="J1157" s="32" t="str">
        <x:f>IF(OR('Detalle'!$J563="",'Detalle'!$K563="",'Detalle'!$L563=""),"",IF(AND(J$8&lt;='Detalle'!$K563,J$9&gt;='Detalle'!$J563),1,""))</x:f>
      </x:c>
      <x:c r="K1157" s="32" t="str">
        <x:f>IF(OR('Detalle'!$J563="",'Detalle'!$K563="",'Detalle'!$L563=""),"",IF(AND(K$8&lt;='Detalle'!$K563,K$9&gt;='Detalle'!$J563),1,""))</x:f>
      </x:c>
      <x:c r="L1157" s="32" t="str">
        <x:f>IF(OR('Detalle'!$J563="",'Detalle'!$K563="",'Detalle'!$L563=""),"",IF(AND(L$8&lt;='Detalle'!$K563,L$9&gt;='Detalle'!$J563),1,""))</x:f>
      </x:c>
      <x:c r="M1157" s="32" t="str">
        <x:f>IF(OR('Detalle'!$J563="",'Detalle'!$K563="",'Detalle'!$L563=""),"",IF(AND(M$8&lt;='Detalle'!$K563,M$9&gt;='Detalle'!$J563),1,""))</x:f>
      </x:c>
      <x:c r="N1157" s="32" t="str">
        <x:f>IF(OR('Detalle'!$J563="",'Detalle'!$K563="",'Detalle'!$L563=""),"",IF(AND(N$8&lt;='Detalle'!$K563,N$9&gt;='Detalle'!$J563),1,""))</x:f>
      </x:c>
      <x:c r="O1157" s="32" t="str">
        <x:f>IF(OR('Detalle'!$J563="",'Detalle'!$K563="",'Detalle'!$L563=""),"",IF(AND(O$8&lt;='Detalle'!$K563,O$9&gt;='Detalle'!$J563),1,""))</x:f>
      </x:c>
      <x:c r="P1157" s="32" t="str">
        <x:f>IF(OR('Detalle'!$J563="",'Detalle'!$K563="",'Detalle'!$L563=""),"",IF(AND(P$8&lt;='Detalle'!$K563,P$9&gt;='Detalle'!$J563),1,""))</x:f>
      </x:c>
      <x:c r="Q1157" s="68"/>
      <x:c r="R1157" s="67" t="str"/>
      <x:c r="S1157" s="67" t="str"/>
    </x:row>
    <x:row r="1158" ht="20" customHeight="1">
      <x:c r="A1158" s="52" t="str">
        <x:v>PUS01 · Cliente Android de notificaciones y preferencias</x:v>
      </x:c>
      <x:c r="B1158" s="52" t="str">
        <x:v>PUS01 · Cliente Android de notificaciones y preferencias</x:v>
      </x:c>
      <x:c r="C1158" s="52" t="str">
        <x:v>PUS01 · Cliente Android de notificaciones y preferencias</x:v>
      </x:c>
      <x:c r="D1158" s="52" t="str">
        <x:v>PUS01 · Cliente Android de notificaciones y preferencias</x:v>
      </x:c>
      <x:c r="E1158" s="52" t="str">
        <x:v>PUS01 · Cliente Android de notificaciones y preferencias</x:v>
      </x:c>
      <x:c r="F1158" s="53" t="str">
        <x:v>PUS01 · Cliente Android de notificaciones y preferencias</x:v>
      </x:c>
      <x:c r="G1158" s="53" t="str">
        <x:v>PUS01 · Cliente Android de notificaciones y preferencias</x:v>
      </x:c>
      <x:c r="H1158" s="53" t="str">
        <x:v>PUS01 · Cliente Android de notificaciones y preferencias</x:v>
      </x:c>
      <x:c r="I1158" s="53" t="str">
        <x:v>PUS01 · Cliente Android de notificaciones y preferencias</x:v>
      </x:c>
      <x:c r="J1158" s="53" t="str">
        <x:v>PUS01 · Cliente Android de notificaciones y preferencias</x:v>
      </x:c>
      <x:c r="K1158" s="53" t="str">
        <x:v>PUS01 · Cliente Android de notificaciones y preferencias</x:v>
      </x:c>
      <x:c r="L1158" s="53" t="str">
        <x:v>PUS01 · Cliente Android de notificaciones y preferencias</x:v>
      </x:c>
      <x:c r="M1158" s="53" t="str">
        <x:v>PUS01 · Cliente Android de notificaciones y preferencias</x:v>
      </x:c>
      <x:c r="N1158" s="53" t="str">
        <x:v>PUS01 · Cliente Android de notificaciones y preferencias</x:v>
      </x:c>
      <x:c r="O1158" s="53" t="str">
        <x:v>PUS01 · Cliente Android de notificaciones y preferencias</x:v>
      </x:c>
      <x:c r="P1158" s="53" t="str">
        <x:v>PUS01 · Cliente Android de notificaciones y preferencias</x:v>
      </x:c>
      <x:c r="Q1158" s="52" t="str">
        <x:v>PUS01 · Cliente Android de notificaciones y preferencias</x:v>
      </x:c>
      <x:c r="R1158" s="52" t="str">
        <x:v>PUS01 · Cliente Android de notificaciones y preferencias</x:v>
      </x:c>
      <x:c r="S1158" s="52" t="str">
        <x:v>PUS01 · Cliente Android de notificaciones y preferencias</x:v>
      </x:c>
    </x:row>
    <x:row r="1159" ht="16" customHeight="1">
      <x:c r="A1159" s="56" t="str">
        <x:v>PUS01.001</x:v>
      </x:c>
      <x:c r="B1159" s="57" t="str">
        <x:v>Crear modelos de preferencias de notificación</x:v>
      </x:c>
      <x:c r="C1159" s="62" t="str">
        <x:v>E</x:v>
      </x:c>
      <x:c r="D1159" s="64" t="n">
        <x:f>'Detalle'!I564</x:f>
        <x:v>1</x:v>
      </x:c>
      <x:c r="E1159" s="60" t="str">
        <x:f>'Detalle'!F564</x:f>
        <x:v>Completado</x:v>
      </x:c>
      <x:c r="F1159" s="32" t="str">
        <x:f>IF(AND(F$8&lt;='Detalle'!$H564,F$9&gt;='Detalle'!$G564),1,"")</x:f>
      </x:c>
      <x:c r="G1159" s="32" t="str">
        <x:f>IF(AND(G$8&lt;='Detalle'!$H564,G$9&gt;='Detalle'!$G564),1,"")</x:f>
      </x:c>
      <x:c r="H1159" s="32" t="str">
        <x:f>IF(AND(H$8&lt;='Detalle'!$H564,H$9&gt;='Detalle'!$G564),1,"")</x:f>
      </x:c>
      <x:c r="I1159" s="32" t="str">
        <x:f>IF(AND(I$8&lt;='Detalle'!$H564,I$9&gt;='Detalle'!$G564),1,"")</x:f>
      </x:c>
      <x:c r="J1159" s="32" t="n">
        <x:f>IF(AND(J$8&lt;='Detalle'!$H564,J$9&gt;='Detalle'!$G564),1,"")</x:f>
        <x:v>1</x:v>
      </x:c>
      <x:c r="K1159" s="32" t="str">
        <x:f>IF(AND(K$8&lt;='Detalle'!$H564,K$9&gt;='Detalle'!$G564),1,"")</x:f>
      </x:c>
      <x:c r="L1159" s="32" t="str">
        <x:f>IF(AND(L$8&lt;='Detalle'!$H564,L$9&gt;='Detalle'!$G564),1,"")</x:f>
      </x:c>
      <x:c r="M1159" s="32" t="str">
        <x:f>IF(AND(M$8&lt;='Detalle'!$H564,M$9&gt;='Detalle'!$G564),1,"")</x:f>
      </x:c>
      <x:c r="N1159" s="32" t="str">
        <x:f>IF(AND(N$8&lt;='Detalle'!$H564,N$9&gt;='Detalle'!$G564),1,"")</x:f>
      </x:c>
      <x:c r="O1159" s="32" t="str">
        <x:f>IF(AND(O$8&lt;='Detalle'!$H564,O$9&gt;='Detalle'!$G564),1,"")</x:f>
      </x:c>
      <x:c r="P1159" s="32" t="str">
        <x:f>IF(AND(P$8&lt;='Detalle'!$H564,P$9&gt;='Detalle'!$G564),1,"")</x:f>
      </x:c>
      <x:c r="Q1159" s="68"/>
      <x:c r="R1159" s="67" t="str">
        <x:f>IF('Detalle'!M564="","",'Detalle'!M564)</x:f>
      </x:c>
      <x:c r="S1159" s="67" t="str">
        <x:f>IF('Detalle'!N564="","",'Detalle'!N564)</x:f>
      </x:c>
    </x:row>
    <x:row r="1160" ht="16" customHeight="1">
      <x:c r="A1160" s="56" t="str">
        <x:v>PUS01.001</x:v>
      </x:c>
      <x:c r="B1160" s="57" t="str">
        <x:v>Crear modelos de preferencias de notificación</x:v>
      </x:c>
      <x:c r="C1160" s="63" t="str">
        <x:v>R</x:v>
      </x:c>
      <x:c r="D1160" s="65" t="str">
        <x:f>IF('Detalle'!L564="","",'Detalle'!L564)</x:f>
      </x:c>
      <x:c r="E1160" s="60" t="str"/>
      <x:c r="F1160" s="32" t="str">
        <x:f>IF(OR('Detalle'!$J564="",'Detalle'!$K564="",'Detalle'!$L564=""),"",IF(AND(F$8&lt;='Detalle'!$K564,F$9&gt;='Detalle'!$J564),1,""))</x:f>
      </x:c>
      <x:c r="G1160" s="32" t="str">
        <x:f>IF(OR('Detalle'!$J564="",'Detalle'!$K564="",'Detalle'!$L564=""),"",IF(AND(G$8&lt;='Detalle'!$K564,G$9&gt;='Detalle'!$J564),1,""))</x:f>
      </x:c>
      <x:c r="H1160" s="32" t="str">
        <x:f>IF(OR('Detalle'!$J564="",'Detalle'!$K564="",'Detalle'!$L564=""),"",IF(AND(H$8&lt;='Detalle'!$K564,H$9&gt;='Detalle'!$J564),1,""))</x:f>
      </x:c>
      <x:c r="I1160" s="32" t="str">
        <x:f>IF(OR('Detalle'!$J564="",'Detalle'!$K564="",'Detalle'!$L564=""),"",IF(AND(I$8&lt;='Detalle'!$K564,I$9&gt;='Detalle'!$J564),1,""))</x:f>
      </x:c>
      <x:c r="J1160" s="32" t="str">
        <x:f>IF(OR('Detalle'!$J564="",'Detalle'!$K564="",'Detalle'!$L564=""),"",IF(AND(J$8&lt;='Detalle'!$K564,J$9&gt;='Detalle'!$J564),1,""))</x:f>
      </x:c>
      <x:c r="K1160" s="32" t="str">
        <x:f>IF(OR('Detalle'!$J564="",'Detalle'!$K564="",'Detalle'!$L564=""),"",IF(AND(K$8&lt;='Detalle'!$K564,K$9&gt;='Detalle'!$J564),1,""))</x:f>
      </x:c>
      <x:c r="L1160" s="32" t="str">
        <x:f>IF(OR('Detalle'!$J564="",'Detalle'!$K564="",'Detalle'!$L564=""),"",IF(AND(L$8&lt;='Detalle'!$K564,L$9&gt;='Detalle'!$J564),1,""))</x:f>
      </x:c>
      <x:c r="M1160" s="32" t="str">
        <x:f>IF(OR('Detalle'!$J564="",'Detalle'!$K564="",'Detalle'!$L564=""),"",IF(AND(M$8&lt;='Detalle'!$K564,M$9&gt;='Detalle'!$J564),1,""))</x:f>
      </x:c>
      <x:c r="N1160" s="32" t="str">
        <x:f>IF(OR('Detalle'!$J564="",'Detalle'!$K564="",'Detalle'!$L564=""),"",IF(AND(N$8&lt;='Detalle'!$K564,N$9&gt;='Detalle'!$J564),1,""))</x:f>
      </x:c>
      <x:c r="O1160" s="32" t="str">
        <x:f>IF(OR('Detalle'!$J564="",'Detalle'!$K564="",'Detalle'!$L564=""),"",IF(AND(O$8&lt;='Detalle'!$K564,O$9&gt;='Detalle'!$J564),1,""))</x:f>
      </x:c>
      <x:c r="P1160" s="32" t="str">
        <x:f>IF(OR('Detalle'!$J564="",'Detalle'!$K564="",'Detalle'!$L564=""),"",IF(AND(P$8&lt;='Detalle'!$K564,P$9&gt;='Detalle'!$J564),1,""))</x:f>
      </x:c>
      <x:c r="Q1160" s="68"/>
      <x:c r="R1160" s="67" t="str"/>
      <x:c r="S1160" s="67" t="str"/>
    </x:row>
    <x:row r="1161" ht="16" customHeight="1">
      <x:c r="A1161" s="56" t="str">
        <x:v>PUS01.002</x:v>
      </x:c>
      <x:c r="B1161" s="57" t="str">
        <x:v>Crear repositorio de preferencias</x:v>
      </x:c>
      <x:c r="C1161" s="62" t="str">
        <x:v>E</x:v>
      </x:c>
      <x:c r="D1161" s="64" t="n">
        <x:f>'Detalle'!I565</x:f>
        <x:v>1</x:v>
      </x:c>
      <x:c r="E1161" s="60" t="str">
        <x:f>'Detalle'!F565</x:f>
        <x:v>Completado</x:v>
      </x:c>
      <x:c r="F1161" s="32" t="str">
        <x:f>IF(AND(F$8&lt;='Detalle'!$H565,F$9&gt;='Detalle'!$G565),1,"")</x:f>
      </x:c>
      <x:c r="G1161" s="32" t="str">
        <x:f>IF(AND(G$8&lt;='Detalle'!$H565,G$9&gt;='Detalle'!$G565),1,"")</x:f>
      </x:c>
      <x:c r="H1161" s="32" t="str">
        <x:f>IF(AND(H$8&lt;='Detalle'!$H565,H$9&gt;='Detalle'!$G565),1,"")</x:f>
      </x:c>
      <x:c r="I1161" s="32" t="str">
        <x:f>IF(AND(I$8&lt;='Detalle'!$H565,I$9&gt;='Detalle'!$G565),1,"")</x:f>
      </x:c>
      <x:c r="J1161" s="32" t="n">
        <x:f>IF(AND(J$8&lt;='Detalle'!$H565,J$9&gt;='Detalle'!$G565),1,"")</x:f>
        <x:v>1</x:v>
      </x:c>
      <x:c r="K1161" s="32" t="str">
        <x:f>IF(AND(K$8&lt;='Detalle'!$H565,K$9&gt;='Detalle'!$G565),1,"")</x:f>
      </x:c>
      <x:c r="L1161" s="32" t="str">
        <x:f>IF(AND(L$8&lt;='Detalle'!$H565,L$9&gt;='Detalle'!$G565),1,"")</x:f>
      </x:c>
      <x:c r="M1161" s="32" t="str">
        <x:f>IF(AND(M$8&lt;='Detalle'!$H565,M$9&gt;='Detalle'!$G565),1,"")</x:f>
      </x:c>
      <x:c r="N1161" s="32" t="str">
        <x:f>IF(AND(N$8&lt;='Detalle'!$H565,N$9&gt;='Detalle'!$G565),1,"")</x:f>
      </x:c>
      <x:c r="O1161" s="32" t="str">
        <x:f>IF(AND(O$8&lt;='Detalle'!$H565,O$9&gt;='Detalle'!$G565),1,"")</x:f>
      </x:c>
      <x:c r="P1161" s="32" t="str">
        <x:f>IF(AND(P$8&lt;='Detalle'!$H565,P$9&gt;='Detalle'!$G565),1,"")</x:f>
      </x:c>
      <x:c r="Q1161" s="68"/>
      <x:c r="R1161" s="67" t="str">
        <x:f>IF('Detalle'!M565="","",'Detalle'!M565)</x:f>
      </x:c>
      <x:c r="S1161" s="67" t="str">
        <x:f>IF('Detalle'!N565="","",'Detalle'!N565)</x:f>
      </x:c>
    </x:row>
    <x:row r="1162" ht="16" customHeight="1">
      <x:c r="A1162" s="56" t="str">
        <x:v>PUS01.002</x:v>
      </x:c>
      <x:c r="B1162" s="57" t="str">
        <x:v>Crear repositorio de preferencias</x:v>
      </x:c>
      <x:c r="C1162" s="63" t="str">
        <x:v>R</x:v>
      </x:c>
      <x:c r="D1162" s="65" t="str">
        <x:f>IF('Detalle'!L565="","",'Detalle'!L565)</x:f>
      </x:c>
      <x:c r="E1162" s="60" t="str"/>
      <x:c r="F1162" s="32" t="str">
        <x:f>IF(OR('Detalle'!$J565="",'Detalle'!$K565="",'Detalle'!$L565=""),"",IF(AND(F$8&lt;='Detalle'!$K565,F$9&gt;='Detalle'!$J565),1,""))</x:f>
      </x:c>
      <x:c r="G1162" s="32" t="str">
        <x:f>IF(OR('Detalle'!$J565="",'Detalle'!$K565="",'Detalle'!$L565=""),"",IF(AND(G$8&lt;='Detalle'!$K565,G$9&gt;='Detalle'!$J565),1,""))</x:f>
      </x:c>
      <x:c r="H1162" s="32" t="str">
        <x:f>IF(OR('Detalle'!$J565="",'Detalle'!$K565="",'Detalle'!$L565=""),"",IF(AND(H$8&lt;='Detalle'!$K565,H$9&gt;='Detalle'!$J565),1,""))</x:f>
      </x:c>
      <x:c r="I1162" s="32" t="str">
        <x:f>IF(OR('Detalle'!$J565="",'Detalle'!$K565="",'Detalle'!$L565=""),"",IF(AND(I$8&lt;='Detalle'!$K565,I$9&gt;='Detalle'!$J565),1,""))</x:f>
      </x:c>
      <x:c r="J1162" s="32" t="str">
        <x:f>IF(OR('Detalle'!$J565="",'Detalle'!$K565="",'Detalle'!$L565=""),"",IF(AND(J$8&lt;='Detalle'!$K565,J$9&gt;='Detalle'!$J565),1,""))</x:f>
      </x:c>
      <x:c r="K1162" s="32" t="str">
        <x:f>IF(OR('Detalle'!$J565="",'Detalle'!$K565="",'Detalle'!$L565=""),"",IF(AND(K$8&lt;='Detalle'!$K565,K$9&gt;='Detalle'!$J565),1,""))</x:f>
      </x:c>
      <x:c r="L1162" s="32" t="str">
        <x:f>IF(OR('Detalle'!$J565="",'Detalle'!$K565="",'Detalle'!$L565=""),"",IF(AND(L$8&lt;='Detalle'!$K565,L$9&gt;='Detalle'!$J565),1,""))</x:f>
      </x:c>
      <x:c r="M1162" s="32" t="str">
        <x:f>IF(OR('Detalle'!$J565="",'Detalle'!$K565="",'Detalle'!$L565=""),"",IF(AND(M$8&lt;='Detalle'!$K565,M$9&gt;='Detalle'!$J565),1,""))</x:f>
      </x:c>
      <x:c r="N1162" s="32" t="str">
        <x:f>IF(OR('Detalle'!$J565="",'Detalle'!$K565="",'Detalle'!$L565=""),"",IF(AND(N$8&lt;='Detalle'!$K565,N$9&gt;='Detalle'!$J565),1,""))</x:f>
      </x:c>
      <x:c r="O1162" s="32" t="str">
        <x:f>IF(OR('Detalle'!$J565="",'Detalle'!$K565="",'Detalle'!$L565=""),"",IF(AND(O$8&lt;='Detalle'!$K565,O$9&gt;='Detalle'!$J565),1,""))</x:f>
      </x:c>
      <x:c r="P1162" s="32" t="str">
        <x:f>IF(OR('Detalle'!$J565="",'Detalle'!$K565="",'Detalle'!$L565=""),"",IF(AND(P$8&lt;='Detalle'!$K565,P$9&gt;='Detalle'!$J565),1,""))</x:f>
      </x:c>
      <x:c r="Q1162" s="68"/>
      <x:c r="R1162" s="67" t="str"/>
      <x:c r="S1162" s="67" t="str"/>
    </x:row>
    <x:row r="1163" ht="16" customHeight="1">
      <x:c r="A1163" s="56" t="str">
        <x:v>PUS01.003</x:v>
      </x:c>
      <x:c r="B1163" s="57" t="str">
        <x:v>Crear abstracción PushGateway</x:v>
      </x:c>
      <x:c r="C1163" s="62" t="str">
        <x:v>E</x:v>
      </x:c>
      <x:c r="D1163" s="64" t="n">
        <x:f>'Detalle'!I566</x:f>
        <x:v>1</x:v>
      </x:c>
      <x:c r="E1163" s="60" t="str">
        <x:f>'Detalle'!F566</x:f>
        <x:v>Completado</x:v>
      </x:c>
      <x:c r="F1163" s="32" t="str">
        <x:f>IF(AND(F$8&lt;='Detalle'!$H566,F$9&gt;='Detalle'!$G566),1,"")</x:f>
      </x:c>
      <x:c r="G1163" s="32" t="str">
        <x:f>IF(AND(G$8&lt;='Detalle'!$H566,G$9&gt;='Detalle'!$G566),1,"")</x:f>
      </x:c>
      <x:c r="H1163" s="32" t="str">
        <x:f>IF(AND(H$8&lt;='Detalle'!$H566,H$9&gt;='Detalle'!$G566),1,"")</x:f>
      </x:c>
      <x:c r="I1163" s="32" t="str">
        <x:f>IF(AND(I$8&lt;='Detalle'!$H566,I$9&gt;='Detalle'!$G566),1,"")</x:f>
      </x:c>
      <x:c r="J1163" s="32" t="n">
        <x:f>IF(AND(J$8&lt;='Detalle'!$H566,J$9&gt;='Detalle'!$G566),1,"")</x:f>
        <x:v>1</x:v>
      </x:c>
      <x:c r="K1163" s="32" t="str">
        <x:f>IF(AND(K$8&lt;='Detalle'!$H566,K$9&gt;='Detalle'!$G566),1,"")</x:f>
      </x:c>
      <x:c r="L1163" s="32" t="str">
        <x:f>IF(AND(L$8&lt;='Detalle'!$H566,L$9&gt;='Detalle'!$G566),1,"")</x:f>
      </x:c>
      <x:c r="M1163" s="32" t="str">
        <x:f>IF(AND(M$8&lt;='Detalle'!$H566,M$9&gt;='Detalle'!$G566),1,"")</x:f>
      </x:c>
      <x:c r="N1163" s="32" t="str">
        <x:f>IF(AND(N$8&lt;='Detalle'!$H566,N$9&gt;='Detalle'!$G566),1,"")</x:f>
      </x:c>
      <x:c r="O1163" s="32" t="str">
        <x:f>IF(AND(O$8&lt;='Detalle'!$H566,O$9&gt;='Detalle'!$G566),1,"")</x:f>
      </x:c>
      <x:c r="P1163" s="32" t="str">
        <x:f>IF(AND(P$8&lt;='Detalle'!$H566,P$9&gt;='Detalle'!$G566),1,"")</x:f>
      </x:c>
      <x:c r="Q1163" s="68"/>
      <x:c r="R1163" s="67" t="str">
        <x:f>IF('Detalle'!M566="","",'Detalle'!M566)</x:f>
      </x:c>
      <x:c r="S1163" s="67" t="str">
        <x:f>IF('Detalle'!N566="","",'Detalle'!N566)</x:f>
      </x:c>
    </x:row>
    <x:row r="1164" ht="16" customHeight="1">
      <x:c r="A1164" s="56" t="str">
        <x:v>PUS01.003</x:v>
      </x:c>
      <x:c r="B1164" s="57" t="str">
        <x:v>Crear abstracción PushGateway</x:v>
      </x:c>
      <x:c r="C1164" s="63" t="str">
        <x:v>R</x:v>
      </x:c>
      <x:c r="D1164" s="65" t="str">
        <x:f>IF('Detalle'!L566="","",'Detalle'!L566)</x:f>
      </x:c>
      <x:c r="E1164" s="60" t="str"/>
      <x:c r="F1164" s="32" t="str">
        <x:f>IF(OR('Detalle'!$J566="",'Detalle'!$K566="",'Detalle'!$L566=""),"",IF(AND(F$8&lt;='Detalle'!$K566,F$9&gt;='Detalle'!$J566),1,""))</x:f>
      </x:c>
      <x:c r="G1164" s="32" t="str">
        <x:f>IF(OR('Detalle'!$J566="",'Detalle'!$K566="",'Detalle'!$L566=""),"",IF(AND(G$8&lt;='Detalle'!$K566,G$9&gt;='Detalle'!$J566),1,""))</x:f>
      </x:c>
      <x:c r="H1164" s="32" t="str">
        <x:f>IF(OR('Detalle'!$J566="",'Detalle'!$K566="",'Detalle'!$L566=""),"",IF(AND(H$8&lt;='Detalle'!$K566,H$9&gt;='Detalle'!$J566),1,""))</x:f>
      </x:c>
      <x:c r="I1164" s="32" t="str">
        <x:f>IF(OR('Detalle'!$J566="",'Detalle'!$K566="",'Detalle'!$L566=""),"",IF(AND(I$8&lt;='Detalle'!$K566,I$9&gt;='Detalle'!$J566),1,""))</x:f>
      </x:c>
      <x:c r="J1164" s="32" t="str">
        <x:f>IF(OR('Detalle'!$J566="",'Detalle'!$K566="",'Detalle'!$L566=""),"",IF(AND(J$8&lt;='Detalle'!$K566,J$9&gt;='Detalle'!$J566),1,""))</x:f>
      </x:c>
      <x:c r="K1164" s="32" t="str">
        <x:f>IF(OR('Detalle'!$J566="",'Detalle'!$K566="",'Detalle'!$L566=""),"",IF(AND(K$8&lt;='Detalle'!$K566,K$9&gt;='Detalle'!$J566),1,""))</x:f>
      </x:c>
      <x:c r="L1164" s="32" t="str">
        <x:f>IF(OR('Detalle'!$J566="",'Detalle'!$K566="",'Detalle'!$L566=""),"",IF(AND(L$8&lt;='Detalle'!$K566,L$9&gt;='Detalle'!$J566),1,""))</x:f>
      </x:c>
      <x:c r="M1164" s="32" t="str">
        <x:f>IF(OR('Detalle'!$J566="",'Detalle'!$K566="",'Detalle'!$L566=""),"",IF(AND(M$8&lt;='Detalle'!$K566,M$9&gt;='Detalle'!$J566),1,""))</x:f>
      </x:c>
      <x:c r="N1164" s="32" t="str">
        <x:f>IF(OR('Detalle'!$J566="",'Detalle'!$K566="",'Detalle'!$L566=""),"",IF(AND(N$8&lt;='Detalle'!$K566,N$9&gt;='Detalle'!$J566),1,""))</x:f>
      </x:c>
      <x:c r="O1164" s="32" t="str">
        <x:f>IF(OR('Detalle'!$J566="",'Detalle'!$K566="",'Detalle'!$L566=""),"",IF(AND(O$8&lt;='Detalle'!$K566,O$9&gt;='Detalle'!$J566),1,""))</x:f>
      </x:c>
      <x:c r="P1164" s="32" t="str">
        <x:f>IF(OR('Detalle'!$J566="",'Detalle'!$K566="",'Detalle'!$L566=""),"",IF(AND(P$8&lt;='Detalle'!$K566,P$9&gt;='Detalle'!$J566),1,""))</x:f>
      </x:c>
      <x:c r="Q1164" s="68"/>
      <x:c r="R1164" s="67" t="str"/>
      <x:c r="S1164" s="67" t="str"/>
    </x:row>
    <x:row r="1165" ht="16" customHeight="1">
      <x:c r="A1165" s="56" t="str">
        <x:v>PUS01.004</x:v>
      </x:c>
      <x:c r="B1165" s="57" t="str">
        <x:v>Inicializar Firebase solo en transporte Android</x:v>
      </x:c>
      <x:c r="C1165" s="62" t="str">
        <x:v>E</x:v>
      </x:c>
      <x:c r="D1165" s="64" t="n">
        <x:f>'Detalle'!I567</x:f>
        <x:v>1</x:v>
      </x:c>
      <x:c r="E1165" s="60" t="str">
        <x:f>'Detalle'!F567</x:f>
        <x:v>Completado</x:v>
      </x:c>
      <x:c r="F1165" s="32" t="str">
        <x:f>IF(AND(F$8&lt;='Detalle'!$H567,F$9&gt;='Detalle'!$G567),1,"")</x:f>
      </x:c>
      <x:c r="G1165" s="32" t="str">
        <x:f>IF(AND(G$8&lt;='Detalle'!$H567,G$9&gt;='Detalle'!$G567),1,"")</x:f>
      </x:c>
      <x:c r="H1165" s="32" t="str">
        <x:f>IF(AND(H$8&lt;='Detalle'!$H567,H$9&gt;='Detalle'!$G567),1,"")</x:f>
      </x:c>
      <x:c r="I1165" s="32" t="str">
        <x:f>IF(AND(I$8&lt;='Detalle'!$H567,I$9&gt;='Detalle'!$G567),1,"")</x:f>
      </x:c>
      <x:c r="J1165" s="32" t="n">
        <x:f>IF(AND(J$8&lt;='Detalle'!$H567,J$9&gt;='Detalle'!$G567),1,"")</x:f>
        <x:v>1</x:v>
      </x:c>
      <x:c r="K1165" s="32" t="str">
        <x:f>IF(AND(K$8&lt;='Detalle'!$H567,K$9&gt;='Detalle'!$G567),1,"")</x:f>
      </x:c>
      <x:c r="L1165" s="32" t="str">
        <x:f>IF(AND(L$8&lt;='Detalle'!$H567,L$9&gt;='Detalle'!$G567),1,"")</x:f>
      </x:c>
      <x:c r="M1165" s="32" t="str">
        <x:f>IF(AND(M$8&lt;='Detalle'!$H567,M$9&gt;='Detalle'!$G567),1,"")</x:f>
      </x:c>
      <x:c r="N1165" s="32" t="str">
        <x:f>IF(AND(N$8&lt;='Detalle'!$H567,N$9&gt;='Detalle'!$G567),1,"")</x:f>
      </x:c>
      <x:c r="O1165" s="32" t="str">
        <x:f>IF(AND(O$8&lt;='Detalle'!$H567,O$9&gt;='Detalle'!$G567),1,"")</x:f>
      </x:c>
      <x:c r="P1165" s="32" t="str">
        <x:f>IF(AND(P$8&lt;='Detalle'!$H567,P$9&gt;='Detalle'!$G567),1,"")</x:f>
      </x:c>
      <x:c r="Q1165" s="68"/>
      <x:c r="R1165" s="67" t="str">
        <x:f>IF('Detalle'!M567="","",'Detalle'!M567)</x:f>
      </x:c>
      <x:c r="S1165" s="67" t="str">
        <x:f>IF('Detalle'!N567="","",'Detalle'!N567)</x:f>
      </x:c>
    </x:row>
    <x:row r="1166" ht="16" customHeight="1">
      <x:c r="A1166" s="56" t="str">
        <x:v>PUS01.004</x:v>
      </x:c>
      <x:c r="B1166" s="57" t="str">
        <x:v>Inicializar Firebase solo en transporte Android</x:v>
      </x:c>
      <x:c r="C1166" s="63" t="str">
        <x:v>R</x:v>
      </x:c>
      <x:c r="D1166" s="65" t="str">
        <x:f>IF('Detalle'!L567="","",'Detalle'!L567)</x:f>
      </x:c>
      <x:c r="E1166" s="60" t="str"/>
      <x:c r="F1166" s="32" t="str">
        <x:f>IF(OR('Detalle'!$J567="",'Detalle'!$K567="",'Detalle'!$L567=""),"",IF(AND(F$8&lt;='Detalle'!$K567,F$9&gt;='Detalle'!$J567),1,""))</x:f>
      </x:c>
      <x:c r="G1166" s="32" t="str">
        <x:f>IF(OR('Detalle'!$J567="",'Detalle'!$K567="",'Detalle'!$L567=""),"",IF(AND(G$8&lt;='Detalle'!$K567,G$9&gt;='Detalle'!$J567),1,""))</x:f>
      </x:c>
      <x:c r="H1166" s="32" t="str">
        <x:f>IF(OR('Detalle'!$J567="",'Detalle'!$K567="",'Detalle'!$L567=""),"",IF(AND(H$8&lt;='Detalle'!$K567,H$9&gt;='Detalle'!$J567),1,""))</x:f>
      </x:c>
      <x:c r="I1166" s="32" t="str">
        <x:f>IF(OR('Detalle'!$J567="",'Detalle'!$K567="",'Detalle'!$L567=""),"",IF(AND(I$8&lt;='Detalle'!$K567,I$9&gt;='Detalle'!$J567),1,""))</x:f>
      </x:c>
      <x:c r="J1166" s="32" t="str">
        <x:f>IF(OR('Detalle'!$J567="",'Detalle'!$K567="",'Detalle'!$L567=""),"",IF(AND(J$8&lt;='Detalle'!$K567,J$9&gt;='Detalle'!$J567),1,""))</x:f>
      </x:c>
      <x:c r="K1166" s="32" t="str">
        <x:f>IF(OR('Detalle'!$J567="",'Detalle'!$K567="",'Detalle'!$L567=""),"",IF(AND(K$8&lt;='Detalle'!$K567,K$9&gt;='Detalle'!$J567),1,""))</x:f>
      </x:c>
      <x:c r="L1166" s="32" t="str">
        <x:f>IF(OR('Detalle'!$J567="",'Detalle'!$K567="",'Detalle'!$L567=""),"",IF(AND(L$8&lt;='Detalle'!$K567,L$9&gt;='Detalle'!$J567),1,""))</x:f>
      </x:c>
      <x:c r="M1166" s="32" t="str">
        <x:f>IF(OR('Detalle'!$J567="",'Detalle'!$K567="",'Detalle'!$L567=""),"",IF(AND(M$8&lt;='Detalle'!$K567,M$9&gt;='Detalle'!$J567),1,""))</x:f>
      </x:c>
      <x:c r="N1166" s="32" t="str">
        <x:f>IF(OR('Detalle'!$J567="",'Detalle'!$K567="",'Detalle'!$L567=""),"",IF(AND(N$8&lt;='Detalle'!$K567,N$9&gt;='Detalle'!$J567),1,""))</x:f>
      </x:c>
      <x:c r="O1166" s="32" t="str">
        <x:f>IF(OR('Detalle'!$J567="",'Detalle'!$K567="",'Detalle'!$L567=""),"",IF(AND(O$8&lt;='Detalle'!$K567,O$9&gt;='Detalle'!$J567),1,""))</x:f>
      </x:c>
      <x:c r="P1166" s="32" t="str">
        <x:f>IF(OR('Detalle'!$J567="",'Detalle'!$K567="",'Detalle'!$L567=""),"",IF(AND(P$8&lt;='Detalle'!$K567,P$9&gt;='Detalle'!$J567),1,""))</x:f>
      </x:c>
      <x:c r="Q1166" s="68"/>
      <x:c r="R1166" s="67" t="str"/>
      <x:c r="S1166" s="67" t="str"/>
    </x:row>
    <x:row r="1167" ht="16" customHeight="1">
      <x:c r="A1167" s="56" t="str">
        <x:v>PUS01.005</x:v>
      </x:c>
      <x:c r="B1167" s="57" t="str">
        <x:v>Solicitar permiso de avisos del celular</x:v>
      </x:c>
      <x:c r="C1167" s="62" t="str">
        <x:v>E</x:v>
      </x:c>
      <x:c r="D1167" s="64" t="n">
        <x:f>'Detalle'!I568</x:f>
        <x:v>1</x:v>
      </x:c>
      <x:c r="E1167" s="60" t="str">
        <x:f>'Detalle'!F568</x:f>
        <x:v>Completado</x:v>
      </x:c>
      <x:c r="F1167" s="32" t="str">
        <x:f>IF(AND(F$8&lt;='Detalle'!$H568,F$9&gt;='Detalle'!$G568),1,"")</x:f>
      </x:c>
      <x:c r="G1167" s="32" t="str">
        <x:f>IF(AND(G$8&lt;='Detalle'!$H568,G$9&gt;='Detalle'!$G568),1,"")</x:f>
      </x:c>
      <x:c r="H1167" s="32" t="str">
        <x:f>IF(AND(H$8&lt;='Detalle'!$H568,H$9&gt;='Detalle'!$G568),1,"")</x:f>
      </x:c>
      <x:c r="I1167" s="32" t="str">
        <x:f>IF(AND(I$8&lt;='Detalle'!$H568,I$9&gt;='Detalle'!$G568),1,"")</x:f>
      </x:c>
      <x:c r="J1167" s="32" t="n">
        <x:f>IF(AND(J$8&lt;='Detalle'!$H568,J$9&gt;='Detalle'!$G568),1,"")</x:f>
        <x:v>1</x:v>
      </x:c>
      <x:c r="K1167" s="32" t="str">
        <x:f>IF(AND(K$8&lt;='Detalle'!$H568,K$9&gt;='Detalle'!$G568),1,"")</x:f>
      </x:c>
      <x:c r="L1167" s="32" t="str">
        <x:f>IF(AND(L$8&lt;='Detalle'!$H568,L$9&gt;='Detalle'!$G568),1,"")</x:f>
      </x:c>
      <x:c r="M1167" s="32" t="str">
        <x:f>IF(AND(M$8&lt;='Detalle'!$H568,M$9&gt;='Detalle'!$G568),1,"")</x:f>
      </x:c>
      <x:c r="N1167" s="32" t="str">
        <x:f>IF(AND(N$8&lt;='Detalle'!$H568,N$9&gt;='Detalle'!$G568),1,"")</x:f>
      </x:c>
      <x:c r="O1167" s="32" t="str">
        <x:f>IF(AND(O$8&lt;='Detalle'!$H568,O$9&gt;='Detalle'!$G568),1,"")</x:f>
      </x:c>
      <x:c r="P1167" s="32" t="str">
        <x:f>IF(AND(P$8&lt;='Detalle'!$H568,P$9&gt;='Detalle'!$G568),1,"")</x:f>
      </x:c>
      <x:c r="Q1167" s="68"/>
      <x:c r="R1167" s="67" t="str">
        <x:f>IF('Detalle'!M568="","",'Detalle'!M568)</x:f>
      </x:c>
      <x:c r="S1167" s="67" t="str">
        <x:f>IF('Detalle'!N568="","",'Detalle'!N568)</x:f>
      </x:c>
    </x:row>
    <x:row r="1168" ht="16" customHeight="1">
      <x:c r="A1168" s="56" t="str">
        <x:v>PUS01.005</x:v>
      </x:c>
      <x:c r="B1168" s="57" t="str">
        <x:v>Solicitar permiso de avisos del celular</x:v>
      </x:c>
      <x:c r="C1168" s="63" t="str">
        <x:v>R</x:v>
      </x:c>
      <x:c r="D1168" s="65" t="str">
        <x:f>IF('Detalle'!L568="","",'Detalle'!L568)</x:f>
      </x:c>
      <x:c r="E1168" s="60" t="str"/>
      <x:c r="F1168" s="32" t="str">
        <x:f>IF(OR('Detalle'!$J568="",'Detalle'!$K568="",'Detalle'!$L568=""),"",IF(AND(F$8&lt;='Detalle'!$K568,F$9&gt;='Detalle'!$J568),1,""))</x:f>
      </x:c>
      <x:c r="G1168" s="32" t="str">
        <x:f>IF(OR('Detalle'!$J568="",'Detalle'!$K568="",'Detalle'!$L568=""),"",IF(AND(G$8&lt;='Detalle'!$K568,G$9&gt;='Detalle'!$J568),1,""))</x:f>
      </x:c>
      <x:c r="H1168" s="32" t="str">
        <x:f>IF(OR('Detalle'!$J568="",'Detalle'!$K568="",'Detalle'!$L568=""),"",IF(AND(H$8&lt;='Detalle'!$K568,H$9&gt;='Detalle'!$J568),1,""))</x:f>
      </x:c>
      <x:c r="I1168" s="32" t="str">
        <x:f>IF(OR('Detalle'!$J568="",'Detalle'!$K568="",'Detalle'!$L568=""),"",IF(AND(I$8&lt;='Detalle'!$K568,I$9&gt;='Detalle'!$J568),1,""))</x:f>
      </x:c>
      <x:c r="J1168" s="32" t="str">
        <x:f>IF(OR('Detalle'!$J568="",'Detalle'!$K568="",'Detalle'!$L568=""),"",IF(AND(J$8&lt;='Detalle'!$K568,J$9&gt;='Detalle'!$J568),1,""))</x:f>
      </x:c>
      <x:c r="K1168" s="32" t="str">
        <x:f>IF(OR('Detalle'!$J568="",'Detalle'!$K568="",'Detalle'!$L568=""),"",IF(AND(K$8&lt;='Detalle'!$K568,K$9&gt;='Detalle'!$J568),1,""))</x:f>
      </x:c>
      <x:c r="L1168" s="32" t="str">
        <x:f>IF(OR('Detalle'!$J568="",'Detalle'!$K568="",'Detalle'!$L568=""),"",IF(AND(L$8&lt;='Detalle'!$K568,L$9&gt;='Detalle'!$J568),1,""))</x:f>
      </x:c>
      <x:c r="M1168" s="32" t="str">
        <x:f>IF(OR('Detalle'!$J568="",'Detalle'!$K568="",'Detalle'!$L568=""),"",IF(AND(M$8&lt;='Detalle'!$K568,M$9&gt;='Detalle'!$J568),1,""))</x:f>
      </x:c>
      <x:c r="N1168" s="32" t="str">
        <x:f>IF(OR('Detalle'!$J568="",'Detalle'!$K568="",'Detalle'!$L568=""),"",IF(AND(N$8&lt;='Detalle'!$K568,N$9&gt;='Detalle'!$J568),1,""))</x:f>
      </x:c>
      <x:c r="O1168" s="32" t="str">
        <x:f>IF(OR('Detalle'!$J568="",'Detalle'!$K568="",'Detalle'!$L568=""),"",IF(AND(O$8&lt;='Detalle'!$K568,O$9&gt;='Detalle'!$J568),1,""))</x:f>
      </x:c>
      <x:c r="P1168" s="32" t="str">
        <x:f>IF(OR('Detalle'!$J568="",'Detalle'!$K568="",'Detalle'!$L568=""),"",IF(AND(P$8&lt;='Detalle'!$K568,P$9&gt;='Detalle'!$J568),1,""))</x:f>
      </x:c>
      <x:c r="Q1168" s="68"/>
      <x:c r="R1168" s="67" t="str"/>
      <x:c r="S1168" s="67" t="str"/>
    </x:row>
    <x:row r="1169" ht="16" customHeight="1">
      <x:c r="A1169" s="56" t="str">
        <x:v>PUS01.006</x:v>
      </x:c>
      <x:c r="B1169" s="57" t="str">
        <x:v>Registrar dispositivo y token FCM</x:v>
      </x:c>
      <x:c r="C1169" s="62" t="str">
        <x:v>E</x:v>
      </x:c>
      <x:c r="D1169" s="64" t="n">
        <x:f>'Detalle'!I569</x:f>
        <x:v>1</x:v>
      </x:c>
      <x:c r="E1169" s="60" t="str">
        <x:f>'Detalle'!F569</x:f>
        <x:v>Completado</x:v>
      </x:c>
      <x:c r="F1169" s="32" t="str">
        <x:f>IF(AND(F$8&lt;='Detalle'!$H569,F$9&gt;='Detalle'!$G569),1,"")</x:f>
      </x:c>
      <x:c r="G1169" s="32" t="str">
        <x:f>IF(AND(G$8&lt;='Detalle'!$H569,G$9&gt;='Detalle'!$G569),1,"")</x:f>
      </x:c>
      <x:c r="H1169" s="32" t="str">
        <x:f>IF(AND(H$8&lt;='Detalle'!$H569,H$9&gt;='Detalle'!$G569),1,"")</x:f>
      </x:c>
      <x:c r="I1169" s="32" t="str">
        <x:f>IF(AND(I$8&lt;='Detalle'!$H569,I$9&gt;='Detalle'!$G569),1,"")</x:f>
      </x:c>
      <x:c r="J1169" s="32" t="n">
        <x:f>IF(AND(J$8&lt;='Detalle'!$H569,J$9&gt;='Detalle'!$G569),1,"")</x:f>
        <x:v>1</x:v>
      </x:c>
      <x:c r="K1169" s="32" t="str">
        <x:f>IF(AND(K$8&lt;='Detalle'!$H569,K$9&gt;='Detalle'!$G569),1,"")</x:f>
      </x:c>
      <x:c r="L1169" s="32" t="str">
        <x:f>IF(AND(L$8&lt;='Detalle'!$H569,L$9&gt;='Detalle'!$G569),1,"")</x:f>
      </x:c>
      <x:c r="M1169" s="32" t="str">
        <x:f>IF(AND(M$8&lt;='Detalle'!$H569,M$9&gt;='Detalle'!$G569),1,"")</x:f>
      </x:c>
      <x:c r="N1169" s="32" t="str">
        <x:f>IF(AND(N$8&lt;='Detalle'!$H569,N$9&gt;='Detalle'!$G569),1,"")</x:f>
      </x:c>
      <x:c r="O1169" s="32" t="str">
        <x:f>IF(AND(O$8&lt;='Detalle'!$H569,O$9&gt;='Detalle'!$G569),1,"")</x:f>
      </x:c>
      <x:c r="P1169" s="32" t="str">
        <x:f>IF(AND(P$8&lt;='Detalle'!$H569,P$9&gt;='Detalle'!$G569),1,"")</x:f>
      </x:c>
      <x:c r="Q1169" s="68"/>
      <x:c r="R1169" s="67" t="str">
        <x:f>IF('Detalle'!M569="","",'Detalle'!M569)</x:f>
      </x:c>
      <x:c r="S1169" s="67" t="str">
        <x:f>IF('Detalle'!N569="","",'Detalle'!N569)</x:f>
      </x:c>
    </x:row>
    <x:row r="1170" ht="16" customHeight="1">
      <x:c r="A1170" s="56" t="str">
        <x:v>PUS01.006</x:v>
      </x:c>
      <x:c r="B1170" s="57" t="str">
        <x:v>Registrar dispositivo y token FCM</x:v>
      </x:c>
      <x:c r="C1170" s="63" t="str">
        <x:v>R</x:v>
      </x:c>
      <x:c r="D1170" s="65" t="str">
        <x:f>IF('Detalle'!L569="","",'Detalle'!L569)</x:f>
      </x:c>
      <x:c r="E1170" s="60" t="str"/>
      <x:c r="F1170" s="32" t="str">
        <x:f>IF(OR('Detalle'!$J569="",'Detalle'!$K569="",'Detalle'!$L569=""),"",IF(AND(F$8&lt;='Detalle'!$K569,F$9&gt;='Detalle'!$J569),1,""))</x:f>
      </x:c>
      <x:c r="G1170" s="32" t="str">
        <x:f>IF(OR('Detalle'!$J569="",'Detalle'!$K569="",'Detalle'!$L569=""),"",IF(AND(G$8&lt;='Detalle'!$K569,G$9&gt;='Detalle'!$J569),1,""))</x:f>
      </x:c>
      <x:c r="H1170" s="32" t="str">
        <x:f>IF(OR('Detalle'!$J569="",'Detalle'!$K569="",'Detalle'!$L569=""),"",IF(AND(H$8&lt;='Detalle'!$K569,H$9&gt;='Detalle'!$J569),1,""))</x:f>
      </x:c>
      <x:c r="I1170" s="32" t="str">
        <x:f>IF(OR('Detalle'!$J569="",'Detalle'!$K569="",'Detalle'!$L569=""),"",IF(AND(I$8&lt;='Detalle'!$K569,I$9&gt;='Detalle'!$J569),1,""))</x:f>
      </x:c>
      <x:c r="J1170" s="32" t="str">
        <x:f>IF(OR('Detalle'!$J569="",'Detalle'!$K569="",'Detalle'!$L569=""),"",IF(AND(J$8&lt;='Detalle'!$K569,J$9&gt;='Detalle'!$J569),1,""))</x:f>
      </x:c>
      <x:c r="K1170" s="32" t="str">
        <x:f>IF(OR('Detalle'!$J569="",'Detalle'!$K569="",'Detalle'!$L569=""),"",IF(AND(K$8&lt;='Detalle'!$K569,K$9&gt;='Detalle'!$J569),1,""))</x:f>
      </x:c>
      <x:c r="L1170" s="32" t="str">
        <x:f>IF(OR('Detalle'!$J569="",'Detalle'!$K569="",'Detalle'!$L569=""),"",IF(AND(L$8&lt;='Detalle'!$K569,L$9&gt;='Detalle'!$J569),1,""))</x:f>
      </x:c>
      <x:c r="M1170" s="32" t="str">
        <x:f>IF(OR('Detalle'!$J569="",'Detalle'!$K569="",'Detalle'!$L569=""),"",IF(AND(M$8&lt;='Detalle'!$K569,M$9&gt;='Detalle'!$J569),1,""))</x:f>
      </x:c>
      <x:c r="N1170" s="32" t="str">
        <x:f>IF(OR('Detalle'!$J569="",'Detalle'!$K569="",'Detalle'!$L569=""),"",IF(AND(N$8&lt;='Detalle'!$K569,N$9&gt;='Detalle'!$J569),1,""))</x:f>
      </x:c>
      <x:c r="O1170" s="32" t="str">
        <x:f>IF(OR('Detalle'!$J569="",'Detalle'!$K569="",'Detalle'!$L569=""),"",IF(AND(O$8&lt;='Detalle'!$K569,O$9&gt;='Detalle'!$J569),1,""))</x:f>
      </x:c>
      <x:c r="P1170" s="32" t="str">
        <x:f>IF(OR('Detalle'!$J569="",'Detalle'!$K569="",'Detalle'!$L569=""),"",IF(AND(P$8&lt;='Detalle'!$K569,P$9&gt;='Detalle'!$J569),1,""))</x:f>
      </x:c>
      <x:c r="Q1170" s="68"/>
      <x:c r="R1170" s="67" t="str"/>
      <x:c r="S1170" s="67" t="str"/>
    </x:row>
    <x:row r="1171" ht="16" customHeight="1">
      <x:c r="A1171" s="56" t="str">
        <x:v>PUS01.007</x:v>
      </x:c>
      <x:c r="B1171" s="57" t="str">
        <x:v>Actualizar registro tras renovación del token</x:v>
      </x:c>
      <x:c r="C1171" s="62" t="str">
        <x:v>E</x:v>
      </x:c>
      <x:c r="D1171" s="64" t="n">
        <x:f>'Detalle'!I570</x:f>
        <x:v>1</x:v>
      </x:c>
      <x:c r="E1171" s="60" t="str">
        <x:f>'Detalle'!F570</x:f>
        <x:v>Completado</x:v>
      </x:c>
      <x:c r="F1171" s="32" t="str">
        <x:f>IF(AND(F$8&lt;='Detalle'!$H570,F$9&gt;='Detalle'!$G570),1,"")</x:f>
      </x:c>
      <x:c r="G1171" s="32" t="str">
        <x:f>IF(AND(G$8&lt;='Detalle'!$H570,G$9&gt;='Detalle'!$G570),1,"")</x:f>
      </x:c>
      <x:c r="H1171" s="32" t="str">
        <x:f>IF(AND(H$8&lt;='Detalle'!$H570,H$9&gt;='Detalle'!$G570),1,"")</x:f>
      </x:c>
      <x:c r="I1171" s="32" t="str">
        <x:f>IF(AND(I$8&lt;='Detalle'!$H570,I$9&gt;='Detalle'!$G570),1,"")</x:f>
      </x:c>
      <x:c r="J1171" s="32" t="n">
        <x:f>IF(AND(J$8&lt;='Detalle'!$H570,J$9&gt;='Detalle'!$G570),1,"")</x:f>
        <x:v>1</x:v>
      </x:c>
      <x:c r="K1171" s="32" t="str">
        <x:f>IF(AND(K$8&lt;='Detalle'!$H570,K$9&gt;='Detalle'!$G570),1,"")</x:f>
      </x:c>
      <x:c r="L1171" s="32" t="str">
        <x:f>IF(AND(L$8&lt;='Detalle'!$H570,L$9&gt;='Detalle'!$G570),1,"")</x:f>
      </x:c>
      <x:c r="M1171" s="32" t="str">
        <x:f>IF(AND(M$8&lt;='Detalle'!$H570,M$9&gt;='Detalle'!$G570),1,"")</x:f>
      </x:c>
      <x:c r="N1171" s="32" t="str">
        <x:f>IF(AND(N$8&lt;='Detalle'!$H570,N$9&gt;='Detalle'!$G570),1,"")</x:f>
      </x:c>
      <x:c r="O1171" s="32" t="str">
        <x:f>IF(AND(O$8&lt;='Detalle'!$H570,O$9&gt;='Detalle'!$G570),1,"")</x:f>
      </x:c>
      <x:c r="P1171" s="32" t="str">
        <x:f>IF(AND(P$8&lt;='Detalle'!$H570,P$9&gt;='Detalle'!$G570),1,"")</x:f>
      </x:c>
      <x:c r="Q1171" s="68"/>
      <x:c r="R1171" s="67" t="str">
        <x:f>IF('Detalle'!M570="","",'Detalle'!M570)</x:f>
      </x:c>
      <x:c r="S1171" s="67" t="str">
        <x:f>IF('Detalle'!N570="","",'Detalle'!N570)</x:f>
      </x:c>
    </x:row>
    <x:row r="1172" ht="16" customHeight="1">
      <x:c r="A1172" s="56" t="str">
        <x:v>PUS01.007</x:v>
      </x:c>
      <x:c r="B1172" s="57" t="str">
        <x:v>Actualizar registro tras renovación del token</x:v>
      </x:c>
      <x:c r="C1172" s="63" t="str">
        <x:v>R</x:v>
      </x:c>
      <x:c r="D1172" s="65" t="str">
        <x:f>IF('Detalle'!L570="","",'Detalle'!L570)</x:f>
      </x:c>
      <x:c r="E1172" s="60" t="str"/>
      <x:c r="F1172" s="32" t="str">
        <x:f>IF(OR('Detalle'!$J570="",'Detalle'!$K570="",'Detalle'!$L570=""),"",IF(AND(F$8&lt;='Detalle'!$K570,F$9&gt;='Detalle'!$J570),1,""))</x:f>
      </x:c>
      <x:c r="G1172" s="32" t="str">
        <x:f>IF(OR('Detalle'!$J570="",'Detalle'!$K570="",'Detalle'!$L570=""),"",IF(AND(G$8&lt;='Detalle'!$K570,G$9&gt;='Detalle'!$J570),1,""))</x:f>
      </x:c>
      <x:c r="H1172" s="32" t="str">
        <x:f>IF(OR('Detalle'!$J570="",'Detalle'!$K570="",'Detalle'!$L570=""),"",IF(AND(H$8&lt;='Detalle'!$K570,H$9&gt;='Detalle'!$J570),1,""))</x:f>
      </x:c>
      <x:c r="I1172" s="32" t="str">
        <x:f>IF(OR('Detalle'!$J570="",'Detalle'!$K570="",'Detalle'!$L570=""),"",IF(AND(I$8&lt;='Detalle'!$K570,I$9&gt;='Detalle'!$J570),1,""))</x:f>
      </x:c>
      <x:c r="J1172" s="32" t="str">
        <x:f>IF(OR('Detalle'!$J570="",'Detalle'!$K570="",'Detalle'!$L570=""),"",IF(AND(J$8&lt;='Detalle'!$K570,J$9&gt;='Detalle'!$J570),1,""))</x:f>
      </x:c>
      <x:c r="K1172" s="32" t="str">
        <x:f>IF(OR('Detalle'!$J570="",'Detalle'!$K570="",'Detalle'!$L570=""),"",IF(AND(K$8&lt;='Detalle'!$K570,K$9&gt;='Detalle'!$J570),1,""))</x:f>
      </x:c>
      <x:c r="L1172" s="32" t="str">
        <x:f>IF(OR('Detalle'!$J570="",'Detalle'!$K570="",'Detalle'!$L570=""),"",IF(AND(L$8&lt;='Detalle'!$K570,L$9&gt;='Detalle'!$J570),1,""))</x:f>
      </x:c>
      <x:c r="M1172" s="32" t="str">
        <x:f>IF(OR('Detalle'!$J570="",'Detalle'!$K570="",'Detalle'!$L570=""),"",IF(AND(M$8&lt;='Detalle'!$K570,M$9&gt;='Detalle'!$J570),1,""))</x:f>
      </x:c>
      <x:c r="N1172" s="32" t="str">
        <x:f>IF(OR('Detalle'!$J570="",'Detalle'!$K570="",'Detalle'!$L570=""),"",IF(AND(N$8&lt;='Detalle'!$K570,N$9&gt;='Detalle'!$J570),1,""))</x:f>
      </x:c>
      <x:c r="O1172" s="32" t="str">
        <x:f>IF(OR('Detalle'!$J570="",'Detalle'!$K570="",'Detalle'!$L570=""),"",IF(AND(O$8&lt;='Detalle'!$K570,O$9&gt;='Detalle'!$J570),1,""))</x:f>
      </x:c>
      <x:c r="P1172" s="32" t="str">
        <x:f>IF(OR('Detalle'!$J570="",'Detalle'!$K570="",'Detalle'!$L570=""),"",IF(AND(P$8&lt;='Detalle'!$K570,P$9&gt;='Detalle'!$J570),1,""))</x:f>
      </x:c>
      <x:c r="Q1172" s="68"/>
      <x:c r="R1172" s="67" t="str"/>
      <x:c r="S1172" s="67" t="str"/>
    </x:row>
    <x:row r="1173" ht="16" customHeight="1">
      <x:c r="A1173" s="56" t="str">
        <x:v>PUS01.008</x:v>
      </x:c>
      <x:c r="B1173" s="57" t="str">
        <x:v>Mostrar configuración de notificaciones</x:v>
      </x:c>
      <x:c r="C1173" s="62" t="str">
        <x:v>E</x:v>
      </x:c>
      <x:c r="D1173" s="64" t="n">
        <x:f>'Detalle'!I571</x:f>
        <x:v>1</x:v>
      </x:c>
      <x:c r="E1173" s="60" t="str">
        <x:f>'Detalle'!F571</x:f>
        <x:v>Completado</x:v>
      </x:c>
      <x:c r="F1173" s="32" t="str">
        <x:f>IF(AND(F$8&lt;='Detalle'!$H571,F$9&gt;='Detalle'!$G571),1,"")</x:f>
      </x:c>
      <x:c r="G1173" s="32" t="str">
        <x:f>IF(AND(G$8&lt;='Detalle'!$H571,G$9&gt;='Detalle'!$G571),1,"")</x:f>
      </x:c>
      <x:c r="H1173" s="32" t="str">
        <x:f>IF(AND(H$8&lt;='Detalle'!$H571,H$9&gt;='Detalle'!$G571),1,"")</x:f>
      </x:c>
      <x:c r="I1173" s="32" t="str">
        <x:f>IF(AND(I$8&lt;='Detalle'!$H571,I$9&gt;='Detalle'!$G571),1,"")</x:f>
      </x:c>
      <x:c r="J1173" s="32" t="n">
        <x:f>IF(AND(J$8&lt;='Detalle'!$H571,J$9&gt;='Detalle'!$G571),1,"")</x:f>
        <x:v>1</x:v>
      </x:c>
      <x:c r="K1173" s="32" t="str">
        <x:f>IF(AND(K$8&lt;='Detalle'!$H571,K$9&gt;='Detalle'!$G571),1,"")</x:f>
      </x:c>
      <x:c r="L1173" s="32" t="str">
        <x:f>IF(AND(L$8&lt;='Detalle'!$H571,L$9&gt;='Detalle'!$G571),1,"")</x:f>
      </x:c>
      <x:c r="M1173" s="32" t="str">
        <x:f>IF(AND(M$8&lt;='Detalle'!$H571,M$9&gt;='Detalle'!$G571),1,"")</x:f>
      </x:c>
      <x:c r="N1173" s="32" t="str">
        <x:f>IF(AND(N$8&lt;='Detalle'!$H571,N$9&gt;='Detalle'!$G571),1,"")</x:f>
      </x:c>
      <x:c r="O1173" s="32" t="str">
        <x:f>IF(AND(O$8&lt;='Detalle'!$H571,O$9&gt;='Detalle'!$G571),1,"")</x:f>
      </x:c>
      <x:c r="P1173" s="32" t="str">
        <x:f>IF(AND(P$8&lt;='Detalle'!$H571,P$9&gt;='Detalle'!$G571),1,"")</x:f>
      </x:c>
      <x:c r="Q1173" s="68"/>
      <x:c r="R1173" s="67" t="str">
        <x:f>IF('Detalle'!M571="","",'Detalle'!M571)</x:f>
      </x:c>
      <x:c r="S1173" s="67" t="str">
        <x:f>IF('Detalle'!N571="","",'Detalle'!N571)</x:f>
      </x:c>
    </x:row>
    <x:row r="1174" ht="16" customHeight="1">
      <x:c r="A1174" s="56" t="str">
        <x:v>PUS01.008</x:v>
      </x:c>
      <x:c r="B1174" s="57" t="str">
        <x:v>Mostrar configuración de notificaciones</x:v>
      </x:c>
      <x:c r="C1174" s="63" t="str">
        <x:v>R</x:v>
      </x:c>
      <x:c r="D1174" s="65" t="str">
        <x:f>IF('Detalle'!L571="","",'Detalle'!L571)</x:f>
      </x:c>
      <x:c r="E1174" s="60" t="str"/>
      <x:c r="F1174" s="32" t="str">
        <x:f>IF(OR('Detalle'!$J571="",'Detalle'!$K571="",'Detalle'!$L571=""),"",IF(AND(F$8&lt;='Detalle'!$K571,F$9&gt;='Detalle'!$J571),1,""))</x:f>
      </x:c>
      <x:c r="G1174" s="32" t="str">
        <x:f>IF(OR('Detalle'!$J571="",'Detalle'!$K571="",'Detalle'!$L571=""),"",IF(AND(G$8&lt;='Detalle'!$K571,G$9&gt;='Detalle'!$J571),1,""))</x:f>
      </x:c>
      <x:c r="H1174" s="32" t="str">
        <x:f>IF(OR('Detalle'!$J571="",'Detalle'!$K571="",'Detalle'!$L571=""),"",IF(AND(H$8&lt;='Detalle'!$K571,H$9&gt;='Detalle'!$J571),1,""))</x:f>
      </x:c>
      <x:c r="I1174" s="32" t="str">
        <x:f>IF(OR('Detalle'!$J571="",'Detalle'!$K571="",'Detalle'!$L571=""),"",IF(AND(I$8&lt;='Detalle'!$K571,I$9&gt;='Detalle'!$J571),1,""))</x:f>
      </x:c>
      <x:c r="J1174" s="32" t="str">
        <x:f>IF(OR('Detalle'!$J571="",'Detalle'!$K571="",'Detalle'!$L571=""),"",IF(AND(J$8&lt;='Detalle'!$K571,J$9&gt;='Detalle'!$J571),1,""))</x:f>
      </x:c>
      <x:c r="K1174" s="32" t="str">
        <x:f>IF(OR('Detalle'!$J571="",'Detalle'!$K571="",'Detalle'!$L571=""),"",IF(AND(K$8&lt;='Detalle'!$K571,K$9&gt;='Detalle'!$J571),1,""))</x:f>
      </x:c>
      <x:c r="L1174" s="32" t="str">
        <x:f>IF(OR('Detalle'!$J571="",'Detalle'!$K571="",'Detalle'!$L571=""),"",IF(AND(L$8&lt;='Detalle'!$K571,L$9&gt;='Detalle'!$J571),1,""))</x:f>
      </x:c>
      <x:c r="M1174" s="32" t="str">
        <x:f>IF(OR('Detalle'!$J571="",'Detalle'!$K571="",'Detalle'!$L571=""),"",IF(AND(M$8&lt;='Detalle'!$K571,M$9&gt;='Detalle'!$J571),1,""))</x:f>
      </x:c>
      <x:c r="N1174" s="32" t="str">
        <x:f>IF(OR('Detalle'!$J571="",'Detalle'!$K571="",'Detalle'!$L571=""),"",IF(AND(N$8&lt;='Detalle'!$K571,N$9&gt;='Detalle'!$J571),1,""))</x:f>
      </x:c>
      <x:c r="O1174" s="32" t="str">
        <x:f>IF(OR('Detalle'!$J571="",'Detalle'!$K571="",'Detalle'!$L571=""),"",IF(AND(O$8&lt;='Detalle'!$K571,O$9&gt;='Detalle'!$J571),1,""))</x:f>
      </x:c>
      <x:c r="P1174" s="32" t="str">
        <x:f>IF(OR('Detalle'!$J571="",'Detalle'!$K571="",'Detalle'!$L571=""),"",IF(AND(P$8&lt;='Detalle'!$K571,P$9&gt;='Detalle'!$J571),1,""))</x:f>
      </x:c>
      <x:c r="Q1174" s="68"/>
      <x:c r="R1174" s="67" t="str"/>
      <x:c r="S1174" s="67" t="str"/>
    </x:row>
    <x:row r="1175" ht="16" customHeight="1">
      <x:c r="A1175" s="56" t="str">
        <x:v>PUS01.009</x:v>
      </x:c>
      <x:c r="B1175" s="57" t="str">
        <x:v>Desactivar mensajes ocasionales</x:v>
      </x:c>
      <x:c r="C1175" s="62" t="str">
        <x:v>E</x:v>
      </x:c>
      <x:c r="D1175" s="64" t="n">
        <x:f>'Detalle'!I572</x:f>
        <x:v>1</x:v>
      </x:c>
      <x:c r="E1175" s="60" t="str">
        <x:f>'Detalle'!F572</x:f>
        <x:v>Completado</x:v>
      </x:c>
      <x:c r="F1175" s="32" t="str">
        <x:f>IF(AND(F$8&lt;='Detalle'!$H572,F$9&gt;='Detalle'!$G572),1,"")</x:f>
      </x:c>
      <x:c r="G1175" s="32" t="str">
        <x:f>IF(AND(G$8&lt;='Detalle'!$H572,G$9&gt;='Detalle'!$G572),1,"")</x:f>
      </x:c>
      <x:c r="H1175" s="32" t="str">
        <x:f>IF(AND(H$8&lt;='Detalle'!$H572,H$9&gt;='Detalle'!$G572),1,"")</x:f>
      </x:c>
      <x:c r="I1175" s="32" t="str">
        <x:f>IF(AND(I$8&lt;='Detalle'!$H572,I$9&gt;='Detalle'!$G572),1,"")</x:f>
      </x:c>
      <x:c r="J1175" s="32" t="n">
        <x:f>IF(AND(J$8&lt;='Detalle'!$H572,J$9&gt;='Detalle'!$G572),1,"")</x:f>
        <x:v>1</x:v>
      </x:c>
      <x:c r="K1175" s="32" t="str">
        <x:f>IF(AND(K$8&lt;='Detalle'!$H572,K$9&gt;='Detalle'!$G572),1,"")</x:f>
      </x:c>
      <x:c r="L1175" s="32" t="str">
        <x:f>IF(AND(L$8&lt;='Detalle'!$H572,L$9&gt;='Detalle'!$G572),1,"")</x:f>
      </x:c>
      <x:c r="M1175" s="32" t="str">
        <x:f>IF(AND(M$8&lt;='Detalle'!$H572,M$9&gt;='Detalle'!$G572),1,"")</x:f>
      </x:c>
      <x:c r="N1175" s="32" t="str">
        <x:f>IF(AND(N$8&lt;='Detalle'!$H572,N$9&gt;='Detalle'!$G572),1,"")</x:f>
      </x:c>
      <x:c r="O1175" s="32" t="str">
        <x:f>IF(AND(O$8&lt;='Detalle'!$H572,O$9&gt;='Detalle'!$G572),1,"")</x:f>
      </x:c>
      <x:c r="P1175" s="32" t="str">
        <x:f>IF(AND(P$8&lt;='Detalle'!$H572,P$9&gt;='Detalle'!$G572),1,"")</x:f>
      </x:c>
      <x:c r="Q1175" s="68"/>
      <x:c r="R1175" s="67" t="str">
        <x:f>IF('Detalle'!M572="","",'Detalle'!M572)</x:f>
      </x:c>
      <x:c r="S1175" s="67" t="str">
        <x:f>IF('Detalle'!N572="","",'Detalle'!N572)</x:f>
      </x:c>
    </x:row>
    <x:row r="1176" ht="16" customHeight="1">
      <x:c r="A1176" s="56" t="str">
        <x:v>PUS01.009</x:v>
      </x:c>
      <x:c r="B1176" s="57" t="str">
        <x:v>Desactivar mensajes ocasionales</x:v>
      </x:c>
      <x:c r="C1176" s="63" t="str">
        <x:v>R</x:v>
      </x:c>
      <x:c r="D1176" s="65" t="str">
        <x:f>IF('Detalle'!L572="","",'Detalle'!L572)</x:f>
      </x:c>
      <x:c r="E1176" s="60" t="str"/>
      <x:c r="F1176" s="32" t="str">
        <x:f>IF(OR('Detalle'!$J572="",'Detalle'!$K572="",'Detalle'!$L572=""),"",IF(AND(F$8&lt;='Detalle'!$K572,F$9&gt;='Detalle'!$J572),1,""))</x:f>
      </x:c>
      <x:c r="G1176" s="32" t="str">
        <x:f>IF(OR('Detalle'!$J572="",'Detalle'!$K572="",'Detalle'!$L572=""),"",IF(AND(G$8&lt;='Detalle'!$K572,G$9&gt;='Detalle'!$J572),1,""))</x:f>
      </x:c>
      <x:c r="H1176" s="32" t="str">
        <x:f>IF(OR('Detalle'!$J572="",'Detalle'!$K572="",'Detalle'!$L572=""),"",IF(AND(H$8&lt;='Detalle'!$K572,H$9&gt;='Detalle'!$J572),1,""))</x:f>
      </x:c>
      <x:c r="I1176" s="32" t="str">
        <x:f>IF(OR('Detalle'!$J572="",'Detalle'!$K572="",'Detalle'!$L572=""),"",IF(AND(I$8&lt;='Detalle'!$K572,I$9&gt;='Detalle'!$J572),1,""))</x:f>
      </x:c>
      <x:c r="J1176" s="32" t="str">
        <x:f>IF(OR('Detalle'!$J572="",'Detalle'!$K572="",'Detalle'!$L572=""),"",IF(AND(J$8&lt;='Detalle'!$K572,J$9&gt;='Detalle'!$J572),1,""))</x:f>
      </x:c>
      <x:c r="K1176" s="32" t="str">
        <x:f>IF(OR('Detalle'!$J572="",'Detalle'!$K572="",'Detalle'!$L572=""),"",IF(AND(K$8&lt;='Detalle'!$K572,K$9&gt;='Detalle'!$J572),1,""))</x:f>
      </x:c>
      <x:c r="L1176" s="32" t="str">
        <x:f>IF(OR('Detalle'!$J572="",'Detalle'!$K572="",'Detalle'!$L572=""),"",IF(AND(L$8&lt;='Detalle'!$K572,L$9&gt;='Detalle'!$J572),1,""))</x:f>
      </x:c>
      <x:c r="M1176" s="32" t="str">
        <x:f>IF(OR('Detalle'!$J572="",'Detalle'!$K572="",'Detalle'!$L572=""),"",IF(AND(M$8&lt;='Detalle'!$K572,M$9&gt;='Detalle'!$J572),1,""))</x:f>
      </x:c>
      <x:c r="N1176" s="32" t="str">
        <x:f>IF(OR('Detalle'!$J572="",'Detalle'!$K572="",'Detalle'!$L572=""),"",IF(AND(N$8&lt;='Detalle'!$K572,N$9&gt;='Detalle'!$J572),1,""))</x:f>
      </x:c>
      <x:c r="O1176" s="32" t="str">
        <x:f>IF(OR('Detalle'!$J572="",'Detalle'!$K572="",'Detalle'!$L572=""),"",IF(AND(O$8&lt;='Detalle'!$K572,O$9&gt;='Detalle'!$J572),1,""))</x:f>
      </x:c>
      <x:c r="P1176" s="32" t="str">
        <x:f>IF(OR('Detalle'!$J572="",'Detalle'!$K572="",'Detalle'!$L572=""),"",IF(AND(P$8&lt;='Detalle'!$K572,P$9&gt;='Detalle'!$J572),1,""))</x:f>
      </x:c>
      <x:c r="Q1176" s="68"/>
      <x:c r="R1176" s="67" t="str"/>
      <x:c r="S1176" s="67" t="str"/>
    </x:row>
    <x:row r="1177" ht="16" customHeight="1">
      <x:c r="A1177" s="56" t="str">
        <x:v>PUS01.010</x:v>
      </x:c>
      <x:c r="B1177" s="57" t="str">
        <x:v>Presentar aviso local en primer plano</x:v>
      </x:c>
      <x:c r="C1177" s="62" t="str">
        <x:v>E</x:v>
      </x:c>
      <x:c r="D1177" s="64" t="n">
        <x:f>'Detalle'!I573</x:f>
        <x:v>1</x:v>
      </x:c>
      <x:c r="E1177" s="60" t="str">
        <x:f>'Detalle'!F573</x:f>
        <x:v>Completado</x:v>
      </x:c>
      <x:c r="F1177" s="32" t="str">
        <x:f>IF(AND(F$8&lt;='Detalle'!$H573,F$9&gt;='Detalle'!$G573),1,"")</x:f>
      </x:c>
      <x:c r="G1177" s="32" t="str">
        <x:f>IF(AND(G$8&lt;='Detalle'!$H573,G$9&gt;='Detalle'!$G573),1,"")</x:f>
      </x:c>
      <x:c r="H1177" s="32" t="str">
        <x:f>IF(AND(H$8&lt;='Detalle'!$H573,H$9&gt;='Detalle'!$G573),1,"")</x:f>
      </x:c>
      <x:c r="I1177" s="32" t="str">
        <x:f>IF(AND(I$8&lt;='Detalle'!$H573,I$9&gt;='Detalle'!$G573),1,"")</x:f>
      </x:c>
      <x:c r="J1177" s="32" t="n">
        <x:f>IF(AND(J$8&lt;='Detalle'!$H573,J$9&gt;='Detalle'!$G573),1,"")</x:f>
        <x:v>1</x:v>
      </x:c>
      <x:c r="K1177" s="32" t="str">
        <x:f>IF(AND(K$8&lt;='Detalle'!$H573,K$9&gt;='Detalle'!$G573),1,"")</x:f>
      </x:c>
      <x:c r="L1177" s="32" t="str">
        <x:f>IF(AND(L$8&lt;='Detalle'!$H573,L$9&gt;='Detalle'!$G573),1,"")</x:f>
      </x:c>
      <x:c r="M1177" s="32" t="str">
        <x:f>IF(AND(M$8&lt;='Detalle'!$H573,M$9&gt;='Detalle'!$G573),1,"")</x:f>
      </x:c>
      <x:c r="N1177" s="32" t="str">
        <x:f>IF(AND(N$8&lt;='Detalle'!$H573,N$9&gt;='Detalle'!$G573),1,"")</x:f>
      </x:c>
      <x:c r="O1177" s="32" t="str">
        <x:f>IF(AND(O$8&lt;='Detalle'!$H573,O$9&gt;='Detalle'!$G573),1,"")</x:f>
      </x:c>
      <x:c r="P1177" s="32" t="str">
        <x:f>IF(AND(P$8&lt;='Detalle'!$H573,P$9&gt;='Detalle'!$G573),1,"")</x:f>
      </x:c>
      <x:c r="Q1177" s="68"/>
      <x:c r="R1177" s="67" t="str">
        <x:f>IF('Detalle'!M573="","",'Detalle'!M573)</x:f>
      </x:c>
      <x:c r="S1177" s="67" t="str">
        <x:f>IF('Detalle'!N573="","",'Detalle'!N573)</x:f>
      </x:c>
    </x:row>
    <x:row r="1178" ht="16" customHeight="1">
      <x:c r="A1178" s="56" t="str">
        <x:v>PUS01.010</x:v>
      </x:c>
      <x:c r="B1178" s="57" t="str">
        <x:v>Presentar aviso local en primer plano</x:v>
      </x:c>
      <x:c r="C1178" s="63" t="str">
        <x:v>R</x:v>
      </x:c>
      <x:c r="D1178" s="65" t="str">
        <x:f>IF('Detalle'!L573="","",'Detalle'!L573)</x:f>
      </x:c>
      <x:c r="E1178" s="60" t="str"/>
      <x:c r="F1178" s="32" t="str">
        <x:f>IF(OR('Detalle'!$J573="",'Detalle'!$K573="",'Detalle'!$L573=""),"",IF(AND(F$8&lt;='Detalle'!$K573,F$9&gt;='Detalle'!$J573),1,""))</x:f>
      </x:c>
      <x:c r="G1178" s="32" t="str">
        <x:f>IF(OR('Detalle'!$J573="",'Detalle'!$K573="",'Detalle'!$L573=""),"",IF(AND(G$8&lt;='Detalle'!$K573,G$9&gt;='Detalle'!$J573),1,""))</x:f>
      </x:c>
      <x:c r="H1178" s="32" t="str">
        <x:f>IF(OR('Detalle'!$J573="",'Detalle'!$K573="",'Detalle'!$L573=""),"",IF(AND(H$8&lt;='Detalle'!$K573,H$9&gt;='Detalle'!$J573),1,""))</x:f>
      </x:c>
      <x:c r="I1178" s="32" t="str">
        <x:f>IF(OR('Detalle'!$J573="",'Detalle'!$K573="",'Detalle'!$L573=""),"",IF(AND(I$8&lt;='Detalle'!$K573,I$9&gt;='Detalle'!$J573),1,""))</x:f>
      </x:c>
      <x:c r="J1178" s="32" t="str">
        <x:f>IF(OR('Detalle'!$J573="",'Detalle'!$K573="",'Detalle'!$L573=""),"",IF(AND(J$8&lt;='Detalle'!$K573,J$9&gt;='Detalle'!$J573),1,""))</x:f>
      </x:c>
      <x:c r="K1178" s="32" t="str">
        <x:f>IF(OR('Detalle'!$J573="",'Detalle'!$K573="",'Detalle'!$L573=""),"",IF(AND(K$8&lt;='Detalle'!$K573,K$9&gt;='Detalle'!$J573),1,""))</x:f>
      </x:c>
      <x:c r="L1178" s="32" t="str">
        <x:f>IF(OR('Detalle'!$J573="",'Detalle'!$K573="",'Detalle'!$L573=""),"",IF(AND(L$8&lt;='Detalle'!$K573,L$9&gt;='Detalle'!$J573),1,""))</x:f>
      </x:c>
      <x:c r="M1178" s="32" t="str">
        <x:f>IF(OR('Detalle'!$J573="",'Detalle'!$K573="",'Detalle'!$L573=""),"",IF(AND(M$8&lt;='Detalle'!$K573,M$9&gt;='Detalle'!$J573),1,""))</x:f>
      </x:c>
      <x:c r="N1178" s="32" t="str">
        <x:f>IF(OR('Detalle'!$J573="",'Detalle'!$K573="",'Detalle'!$L573=""),"",IF(AND(N$8&lt;='Detalle'!$K573,N$9&gt;='Detalle'!$J573),1,""))</x:f>
      </x:c>
      <x:c r="O1178" s="32" t="str">
        <x:f>IF(OR('Detalle'!$J573="",'Detalle'!$K573="",'Detalle'!$L573=""),"",IF(AND(O$8&lt;='Detalle'!$K573,O$9&gt;='Detalle'!$J573),1,""))</x:f>
      </x:c>
      <x:c r="P1178" s="32" t="str">
        <x:f>IF(OR('Detalle'!$J573="",'Detalle'!$K573="",'Detalle'!$L573=""),"",IF(AND(P$8&lt;='Detalle'!$K573,P$9&gt;='Detalle'!$J573),1,""))</x:f>
      </x:c>
      <x:c r="Q1178" s="68"/>
      <x:c r="R1178" s="67" t="str"/>
      <x:c r="S1178" s="67" t="str"/>
    </x:row>
    <x:row r="1179" ht="16" customHeight="1">
      <x:c r="A1179" s="56" t="str">
        <x:v>PUS01.011</x:v>
      </x:c>
      <x:c r="B1179" s="57" t="str">
        <x:v>Recibir apertura de aviso en segundo plano</x:v>
      </x:c>
      <x:c r="C1179" s="62" t="str">
        <x:v>E</x:v>
      </x:c>
      <x:c r="D1179" s="64" t="n">
        <x:f>'Detalle'!I574</x:f>
        <x:v>1</x:v>
      </x:c>
      <x:c r="E1179" s="60" t="str">
        <x:f>'Detalle'!F574</x:f>
        <x:v>Completado</x:v>
      </x:c>
      <x:c r="F1179" s="32" t="str">
        <x:f>IF(AND(F$8&lt;='Detalle'!$H574,F$9&gt;='Detalle'!$G574),1,"")</x:f>
      </x:c>
      <x:c r="G1179" s="32" t="str">
        <x:f>IF(AND(G$8&lt;='Detalle'!$H574,G$9&gt;='Detalle'!$G574),1,"")</x:f>
      </x:c>
      <x:c r="H1179" s="32" t="str">
        <x:f>IF(AND(H$8&lt;='Detalle'!$H574,H$9&gt;='Detalle'!$G574),1,"")</x:f>
      </x:c>
      <x:c r="I1179" s="32" t="str">
        <x:f>IF(AND(I$8&lt;='Detalle'!$H574,I$9&gt;='Detalle'!$G574),1,"")</x:f>
      </x:c>
      <x:c r="J1179" s="32" t="n">
        <x:f>IF(AND(J$8&lt;='Detalle'!$H574,J$9&gt;='Detalle'!$G574),1,"")</x:f>
        <x:v>1</x:v>
      </x:c>
      <x:c r="K1179" s="32" t="str">
        <x:f>IF(AND(K$8&lt;='Detalle'!$H574,K$9&gt;='Detalle'!$G574),1,"")</x:f>
      </x:c>
      <x:c r="L1179" s="32" t="str">
        <x:f>IF(AND(L$8&lt;='Detalle'!$H574,L$9&gt;='Detalle'!$G574),1,"")</x:f>
      </x:c>
      <x:c r="M1179" s="32" t="str">
        <x:f>IF(AND(M$8&lt;='Detalle'!$H574,M$9&gt;='Detalle'!$G574),1,"")</x:f>
      </x:c>
      <x:c r="N1179" s="32" t="str">
        <x:f>IF(AND(N$8&lt;='Detalle'!$H574,N$9&gt;='Detalle'!$G574),1,"")</x:f>
      </x:c>
      <x:c r="O1179" s="32" t="str">
        <x:f>IF(AND(O$8&lt;='Detalle'!$H574,O$9&gt;='Detalle'!$G574),1,"")</x:f>
      </x:c>
      <x:c r="P1179" s="32" t="str">
        <x:f>IF(AND(P$8&lt;='Detalle'!$H574,P$9&gt;='Detalle'!$G574),1,"")</x:f>
      </x:c>
      <x:c r="Q1179" s="68"/>
      <x:c r="R1179" s="67" t="str">
        <x:f>IF('Detalle'!M574="","",'Detalle'!M574)</x:f>
      </x:c>
      <x:c r="S1179" s="67" t="str">
        <x:f>IF('Detalle'!N574="","",'Detalle'!N574)</x:f>
      </x:c>
    </x:row>
    <x:row r="1180" ht="16" customHeight="1">
      <x:c r="A1180" s="56" t="str">
        <x:v>PUS01.011</x:v>
      </x:c>
      <x:c r="B1180" s="57" t="str">
        <x:v>Recibir apertura de aviso en segundo plano</x:v>
      </x:c>
      <x:c r="C1180" s="63" t="str">
        <x:v>R</x:v>
      </x:c>
      <x:c r="D1180" s="65" t="str">
        <x:f>IF('Detalle'!L574="","",'Detalle'!L574)</x:f>
      </x:c>
      <x:c r="E1180" s="60" t="str"/>
      <x:c r="F1180" s="32" t="str">
        <x:f>IF(OR('Detalle'!$J574="",'Detalle'!$K574="",'Detalle'!$L574=""),"",IF(AND(F$8&lt;='Detalle'!$K574,F$9&gt;='Detalle'!$J574),1,""))</x:f>
      </x:c>
      <x:c r="G1180" s="32" t="str">
        <x:f>IF(OR('Detalle'!$J574="",'Detalle'!$K574="",'Detalle'!$L574=""),"",IF(AND(G$8&lt;='Detalle'!$K574,G$9&gt;='Detalle'!$J574),1,""))</x:f>
      </x:c>
      <x:c r="H1180" s="32" t="str">
        <x:f>IF(OR('Detalle'!$J574="",'Detalle'!$K574="",'Detalle'!$L574=""),"",IF(AND(H$8&lt;='Detalle'!$K574,H$9&gt;='Detalle'!$J574),1,""))</x:f>
      </x:c>
      <x:c r="I1180" s="32" t="str">
        <x:f>IF(OR('Detalle'!$J574="",'Detalle'!$K574="",'Detalle'!$L574=""),"",IF(AND(I$8&lt;='Detalle'!$K574,I$9&gt;='Detalle'!$J574),1,""))</x:f>
      </x:c>
      <x:c r="J1180" s="32" t="str">
        <x:f>IF(OR('Detalle'!$J574="",'Detalle'!$K574="",'Detalle'!$L574=""),"",IF(AND(J$8&lt;='Detalle'!$K574,J$9&gt;='Detalle'!$J574),1,""))</x:f>
      </x:c>
      <x:c r="K1180" s="32" t="str">
        <x:f>IF(OR('Detalle'!$J574="",'Detalle'!$K574="",'Detalle'!$L574=""),"",IF(AND(K$8&lt;='Detalle'!$K574,K$9&gt;='Detalle'!$J574),1,""))</x:f>
      </x:c>
      <x:c r="L1180" s="32" t="str">
        <x:f>IF(OR('Detalle'!$J574="",'Detalle'!$K574="",'Detalle'!$L574=""),"",IF(AND(L$8&lt;='Detalle'!$K574,L$9&gt;='Detalle'!$J574),1,""))</x:f>
      </x:c>
      <x:c r="M1180" s="32" t="str">
        <x:f>IF(OR('Detalle'!$J574="",'Detalle'!$K574="",'Detalle'!$L574=""),"",IF(AND(M$8&lt;='Detalle'!$K574,M$9&gt;='Detalle'!$J574),1,""))</x:f>
      </x:c>
      <x:c r="N1180" s="32" t="str">
        <x:f>IF(OR('Detalle'!$J574="",'Detalle'!$K574="",'Detalle'!$L574=""),"",IF(AND(N$8&lt;='Detalle'!$K574,N$9&gt;='Detalle'!$J574),1,""))</x:f>
      </x:c>
      <x:c r="O1180" s="32" t="str">
        <x:f>IF(OR('Detalle'!$J574="",'Detalle'!$K574="",'Detalle'!$L574=""),"",IF(AND(O$8&lt;='Detalle'!$K574,O$9&gt;='Detalle'!$J574),1,""))</x:f>
      </x:c>
      <x:c r="P1180" s="32" t="str">
        <x:f>IF(OR('Detalle'!$J574="",'Detalle'!$K574="",'Detalle'!$L574=""),"",IF(AND(P$8&lt;='Detalle'!$K574,P$9&gt;='Detalle'!$J574),1,""))</x:f>
      </x:c>
      <x:c r="Q1180" s="68"/>
      <x:c r="R1180" s="67" t="str"/>
      <x:c r="S1180" s="67" t="str"/>
    </x:row>
    <x:row r="1181" ht="16" customHeight="1">
      <x:c r="A1181" s="56" t="str">
        <x:v>PUS01.012</x:v>
      </x:c>
      <x:c r="B1181" s="57" t="str">
        <x:v>Recibir apertura con proceso cerrado</x:v>
      </x:c>
      <x:c r="C1181" s="62" t="str">
        <x:v>E</x:v>
      </x:c>
      <x:c r="D1181" s="64" t="n">
        <x:f>'Detalle'!I575</x:f>
        <x:v>1</x:v>
      </x:c>
      <x:c r="E1181" s="60" t="str">
        <x:f>'Detalle'!F575</x:f>
        <x:v>Completado</x:v>
      </x:c>
      <x:c r="F1181" s="32" t="str">
        <x:f>IF(AND(F$8&lt;='Detalle'!$H575,F$9&gt;='Detalle'!$G575),1,"")</x:f>
      </x:c>
      <x:c r="G1181" s="32" t="str">
        <x:f>IF(AND(G$8&lt;='Detalle'!$H575,G$9&gt;='Detalle'!$G575),1,"")</x:f>
      </x:c>
      <x:c r="H1181" s="32" t="str">
        <x:f>IF(AND(H$8&lt;='Detalle'!$H575,H$9&gt;='Detalle'!$G575),1,"")</x:f>
      </x:c>
      <x:c r="I1181" s="32" t="str">
        <x:f>IF(AND(I$8&lt;='Detalle'!$H575,I$9&gt;='Detalle'!$G575),1,"")</x:f>
      </x:c>
      <x:c r="J1181" s="32" t="n">
        <x:f>IF(AND(J$8&lt;='Detalle'!$H575,J$9&gt;='Detalle'!$G575),1,"")</x:f>
        <x:v>1</x:v>
      </x:c>
      <x:c r="K1181" s="32" t="str">
        <x:f>IF(AND(K$8&lt;='Detalle'!$H575,K$9&gt;='Detalle'!$G575),1,"")</x:f>
      </x:c>
      <x:c r="L1181" s="32" t="str">
        <x:f>IF(AND(L$8&lt;='Detalle'!$H575,L$9&gt;='Detalle'!$G575),1,"")</x:f>
      </x:c>
      <x:c r="M1181" s="32" t="str">
        <x:f>IF(AND(M$8&lt;='Detalle'!$H575,M$9&gt;='Detalle'!$G575),1,"")</x:f>
      </x:c>
      <x:c r="N1181" s="32" t="str">
        <x:f>IF(AND(N$8&lt;='Detalle'!$H575,N$9&gt;='Detalle'!$G575),1,"")</x:f>
      </x:c>
      <x:c r="O1181" s="32" t="str">
        <x:f>IF(AND(O$8&lt;='Detalle'!$H575,O$9&gt;='Detalle'!$G575),1,"")</x:f>
      </x:c>
      <x:c r="P1181" s="32" t="str">
        <x:f>IF(AND(P$8&lt;='Detalle'!$H575,P$9&gt;='Detalle'!$G575),1,"")</x:f>
      </x:c>
      <x:c r="Q1181" s="68"/>
      <x:c r="R1181" s="67" t="str">
        <x:f>IF('Detalle'!M575="","",'Detalle'!M575)</x:f>
      </x:c>
      <x:c r="S1181" s="67" t="str">
        <x:f>IF('Detalle'!N575="","",'Detalle'!N575)</x:f>
      </x:c>
    </x:row>
    <x:row r="1182" ht="16" customHeight="1">
      <x:c r="A1182" s="56" t="str">
        <x:v>PUS01.012</x:v>
      </x:c>
      <x:c r="B1182" s="57" t="str">
        <x:v>Recibir apertura con proceso cerrado</x:v>
      </x:c>
      <x:c r="C1182" s="63" t="str">
        <x:v>R</x:v>
      </x:c>
      <x:c r="D1182" s="65" t="str">
        <x:f>IF('Detalle'!L575="","",'Detalle'!L575)</x:f>
      </x:c>
      <x:c r="E1182" s="60" t="str"/>
      <x:c r="F1182" s="32" t="str">
        <x:f>IF(OR('Detalle'!$J575="",'Detalle'!$K575="",'Detalle'!$L575=""),"",IF(AND(F$8&lt;='Detalle'!$K575,F$9&gt;='Detalle'!$J575),1,""))</x:f>
      </x:c>
      <x:c r="G1182" s="32" t="str">
        <x:f>IF(OR('Detalle'!$J575="",'Detalle'!$K575="",'Detalle'!$L575=""),"",IF(AND(G$8&lt;='Detalle'!$K575,G$9&gt;='Detalle'!$J575),1,""))</x:f>
      </x:c>
      <x:c r="H1182" s="32" t="str">
        <x:f>IF(OR('Detalle'!$J575="",'Detalle'!$K575="",'Detalle'!$L575=""),"",IF(AND(H$8&lt;='Detalle'!$K575,H$9&gt;='Detalle'!$J575),1,""))</x:f>
      </x:c>
      <x:c r="I1182" s="32" t="str">
        <x:f>IF(OR('Detalle'!$J575="",'Detalle'!$K575="",'Detalle'!$L575=""),"",IF(AND(I$8&lt;='Detalle'!$K575,I$9&gt;='Detalle'!$J575),1,""))</x:f>
      </x:c>
      <x:c r="J1182" s="32" t="str">
        <x:f>IF(OR('Detalle'!$J575="",'Detalle'!$K575="",'Detalle'!$L575=""),"",IF(AND(J$8&lt;='Detalle'!$K575,J$9&gt;='Detalle'!$J575),1,""))</x:f>
      </x:c>
      <x:c r="K1182" s="32" t="str">
        <x:f>IF(OR('Detalle'!$J575="",'Detalle'!$K575="",'Detalle'!$L575=""),"",IF(AND(K$8&lt;='Detalle'!$K575,K$9&gt;='Detalle'!$J575),1,""))</x:f>
      </x:c>
      <x:c r="L1182" s="32" t="str">
        <x:f>IF(OR('Detalle'!$J575="",'Detalle'!$K575="",'Detalle'!$L575=""),"",IF(AND(L$8&lt;='Detalle'!$K575,L$9&gt;='Detalle'!$J575),1,""))</x:f>
      </x:c>
      <x:c r="M1182" s="32" t="str">
        <x:f>IF(OR('Detalle'!$J575="",'Detalle'!$K575="",'Detalle'!$L575=""),"",IF(AND(M$8&lt;='Detalle'!$K575,M$9&gt;='Detalle'!$J575),1,""))</x:f>
      </x:c>
      <x:c r="N1182" s="32" t="str">
        <x:f>IF(OR('Detalle'!$J575="",'Detalle'!$K575="",'Detalle'!$L575=""),"",IF(AND(N$8&lt;='Detalle'!$K575,N$9&gt;='Detalle'!$J575),1,""))</x:f>
      </x:c>
      <x:c r="O1182" s="32" t="str">
        <x:f>IF(OR('Detalle'!$J575="",'Detalle'!$K575="",'Detalle'!$L575=""),"",IF(AND(O$8&lt;='Detalle'!$K575,O$9&gt;='Detalle'!$J575),1,""))</x:f>
      </x:c>
      <x:c r="P1182" s="32" t="str">
        <x:f>IF(OR('Detalle'!$J575="",'Detalle'!$K575="",'Detalle'!$L575=""),"",IF(AND(P$8&lt;='Detalle'!$K575,P$9&gt;='Detalle'!$J575),1,""))</x:f>
      </x:c>
      <x:c r="Q1182" s="68"/>
      <x:c r="R1182" s="67" t="str"/>
      <x:c r="S1182" s="67" t="str"/>
    </x:row>
    <x:row r="1183" ht="16" customHeight="1">
      <x:c r="A1183" s="56" t="str">
        <x:v>PUS01.013</x:v>
      </x:c>
      <x:c r="B1183" s="57" t="str">
        <x:v>Marcar lectura al abrir destino de push</x:v>
      </x:c>
      <x:c r="C1183" s="62" t="str">
        <x:v>E</x:v>
      </x:c>
      <x:c r="D1183" s="64" t="n">
        <x:f>'Detalle'!I576</x:f>
        <x:v>1</x:v>
      </x:c>
      <x:c r="E1183" s="60" t="str">
        <x:f>'Detalle'!F576</x:f>
        <x:v>Completado</x:v>
      </x:c>
      <x:c r="F1183" s="32" t="str">
        <x:f>IF(AND(F$8&lt;='Detalle'!$H576,F$9&gt;='Detalle'!$G576),1,"")</x:f>
      </x:c>
      <x:c r="G1183" s="32" t="str">
        <x:f>IF(AND(G$8&lt;='Detalle'!$H576,G$9&gt;='Detalle'!$G576),1,"")</x:f>
      </x:c>
      <x:c r="H1183" s="32" t="str">
        <x:f>IF(AND(H$8&lt;='Detalle'!$H576,H$9&gt;='Detalle'!$G576),1,"")</x:f>
      </x:c>
      <x:c r="I1183" s="32" t="str">
        <x:f>IF(AND(I$8&lt;='Detalle'!$H576,I$9&gt;='Detalle'!$G576),1,"")</x:f>
      </x:c>
      <x:c r="J1183" s="32" t="n">
        <x:f>IF(AND(J$8&lt;='Detalle'!$H576,J$9&gt;='Detalle'!$G576),1,"")</x:f>
        <x:v>1</x:v>
      </x:c>
      <x:c r="K1183" s="32" t="str">
        <x:f>IF(AND(K$8&lt;='Detalle'!$H576,K$9&gt;='Detalle'!$G576),1,"")</x:f>
      </x:c>
      <x:c r="L1183" s="32" t="str">
        <x:f>IF(AND(L$8&lt;='Detalle'!$H576,L$9&gt;='Detalle'!$G576),1,"")</x:f>
      </x:c>
      <x:c r="M1183" s="32" t="str">
        <x:f>IF(AND(M$8&lt;='Detalle'!$H576,M$9&gt;='Detalle'!$G576),1,"")</x:f>
      </x:c>
      <x:c r="N1183" s="32" t="str">
        <x:f>IF(AND(N$8&lt;='Detalle'!$H576,N$9&gt;='Detalle'!$G576),1,"")</x:f>
      </x:c>
      <x:c r="O1183" s="32" t="str">
        <x:f>IF(AND(O$8&lt;='Detalle'!$H576,O$9&gt;='Detalle'!$G576),1,"")</x:f>
      </x:c>
      <x:c r="P1183" s="32" t="str">
        <x:f>IF(AND(P$8&lt;='Detalle'!$H576,P$9&gt;='Detalle'!$G576),1,"")</x:f>
      </x:c>
      <x:c r="Q1183" s="68"/>
      <x:c r="R1183" s="67" t="str">
        <x:f>IF('Detalle'!M576="","",'Detalle'!M576)</x:f>
      </x:c>
      <x:c r="S1183" s="67" t="str">
        <x:f>IF('Detalle'!N576="","",'Detalle'!N576)</x:f>
      </x:c>
    </x:row>
    <x:row r="1184" ht="16" customHeight="1">
      <x:c r="A1184" s="56" t="str">
        <x:v>PUS01.013</x:v>
      </x:c>
      <x:c r="B1184" s="57" t="str">
        <x:v>Marcar lectura al abrir destino de push</x:v>
      </x:c>
      <x:c r="C1184" s="63" t="str">
        <x:v>R</x:v>
      </x:c>
      <x:c r="D1184" s="65" t="str">
        <x:f>IF('Detalle'!L576="","",'Detalle'!L576)</x:f>
      </x:c>
      <x:c r="E1184" s="60" t="str"/>
      <x:c r="F1184" s="32" t="str">
        <x:f>IF(OR('Detalle'!$J576="",'Detalle'!$K576="",'Detalle'!$L576=""),"",IF(AND(F$8&lt;='Detalle'!$K576,F$9&gt;='Detalle'!$J576),1,""))</x:f>
      </x:c>
      <x:c r="G1184" s="32" t="str">
        <x:f>IF(OR('Detalle'!$J576="",'Detalle'!$K576="",'Detalle'!$L576=""),"",IF(AND(G$8&lt;='Detalle'!$K576,G$9&gt;='Detalle'!$J576),1,""))</x:f>
      </x:c>
      <x:c r="H1184" s="32" t="str">
        <x:f>IF(OR('Detalle'!$J576="",'Detalle'!$K576="",'Detalle'!$L576=""),"",IF(AND(H$8&lt;='Detalle'!$K576,H$9&gt;='Detalle'!$J576),1,""))</x:f>
      </x:c>
      <x:c r="I1184" s="32" t="str">
        <x:f>IF(OR('Detalle'!$J576="",'Detalle'!$K576="",'Detalle'!$L576=""),"",IF(AND(I$8&lt;='Detalle'!$K576,I$9&gt;='Detalle'!$J576),1,""))</x:f>
      </x:c>
      <x:c r="J1184" s="32" t="str">
        <x:f>IF(OR('Detalle'!$J576="",'Detalle'!$K576="",'Detalle'!$L576=""),"",IF(AND(J$8&lt;='Detalle'!$K576,J$9&gt;='Detalle'!$J576),1,""))</x:f>
      </x:c>
      <x:c r="K1184" s="32" t="str">
        <x:f>IF(OR('Detalle'!$J576="",'Detalle'!$K576="",'Detalle'!$L576=""),"",IF(AND(K$8&lt;='Detalle'!$K576,K$9&gt;='Detalle'!$J576),1,""))</x:f>
      </x:c>
      <x:c r="L1184" s="32" t="str">
        <x:f>IF(OR('Detalle'!$J576="",'Detalle'!$K576="",'Detalle'!$L576=""),"",IF(AND(L$8&lt;='Detalle'!$K576,L$9&gt;='Detalle'!$J576),1,""))</x:f>
      </x:c>
      <x:c r="M1184" s="32" t="str">
        <x:f>IF(OR('Detalle'!$J576="",'Detalle'!$K576="",'Detalle'!$L576=""),"",IF(AND(M$8&lt;='Detalle'!$K576,M$9&gt;='Detalle'!$J576),1,""))</x:f>
      </x:c>
      <x:c r="N1184" s="32" t="str">
        <x:f>IF(OR('Detalle'!$J576="",'Detalle'!$K576="",'Detalle'!$L576=""),"",IF(AND(N$8&lt;='Detalle'!$K576,N$9&gt;='Detalle'!$J576),1,""))</x:f>
      </x:c>
      <x:c r="O1184" s="32" t="str">
        <x:f>IF(OR('Detalle'!$J576="",'Detalle'!$K576="",'Detalle'!$L576=""),"",IF(AND(O$8&lt;='Detalle'!$K576,O$9&gt;='Detalle'!$J576),1,""))</x:f>
      </x:c>
      <x:c r="P1184" s="32" t="str">
        <x:f>IF(OR('Detalle'!$J576="",'Detalle'!$K576="",'Detalle'!$L576=""),"",IF(AND(P$8&lt;='Detalle'!$K576,P$9&gt;='Detalle'!$J576),1,""))</x:f>
      </x:c>
      <x:c r="Q1184" s="68"/>
      <x:c r="R1184" s="67" t="str"/>
      <x:c r="S1184" s="67" t="str"/>
    </x:row>
    <x:row r="1185" ht="16" customHeight="1">
      <x:c r="A1185" s="56" t="str">
        <x:v>PUS01.014</x:v>
      </x:c>
      <x:c r="B1185" s="57" t="str">
        <x:v>Actualizar actividad durante sesión</x:v>
      </x:c>
      <x:c r="C1185" s="62" t="str">
        <x:v>E</x:v>
      </x:c>
      <x:c r="D1185" s="64" t="n">
        <x:f>'Detalle'!I577</x:f>
        <x:v>1</x:v>
      </x:c>
      <x:c r="E1185" s="60" t="str">
        <x:f>'Detalle'!F577</x:f>
        <x:v>Completado</x:v>
      </x:c>
      <x:c r="F1185" s="32" t="str">
        <x:f>IF(AND(F$8&lt;='Detalle'!$H577,F$9&gt;='Detalle'!$G577),1,"")</x:f>
      </x:c>
      <x:c r="G1185" s="32" t="str">
        <x:f>IF(AND(G$8&lt;='Detalle'!$H577,G$9&gt;='Detalle'!$G577),1,"")</x:f>
      </x:c>
      <x:c r="H1185" s="32" t="str">
        <x:f>IF(AND(H$8&lt;='Detalle'!$H577,H$9&gt;='Detalle'!$G577),1,"")</x:f>
      </x:c>
      <x:c r="I1185" s="32" t="str">
        <x:f>IF(AND(I$8&lt;='Detalle'!$H577,I$9&gt;='Detalle'!$G577),1,"")</x:f>
      </x:c>
      <x:c r="J1185" s="32" t="n">
        <x:f>IF(AND(J$8&lt;='Detalle'!$H577,J$9&gt;='Detalle'!$G577),1,"")</x:f>
        <x:v>1</x:v>
      </x:c>
      <x:c r="K1185" s="32" t="str">
        <x:f>IF(AND(K$8&lt;='Detalle'!$H577,K$9&gt;='Detalle'!$G577),1,"")</x:f>
      </x:c>
      <x:c r="L1185" s="32" t="str">
        <x:f>IF(AND(L$8&lt;='Detalle'!$H577,L$9&gt;='Detalle'!$G577),1,"")</x:f>
      </x:c>
      <x:c r="M1185" s="32" t="str">
        <x:f>IF(AND(M$8&lt;='Detalle'!$H577,M$9&gt;='Detalle'!$G577),1,"")</x:f>
      </x:c>
      <x:c r="N1185" s="32" t="str">
        <x:f>IF(AND(N$8&lt;='Detalle'!$H577,N$9&gt;='Detalle'!$G577),1,"")</x:f>
      </x:c>
      <x:c r="O1185" s="32" t="str">
        <x:f>IF(AND(O$8&lt;='Detalle'!$H577,O$9&gt;='Detalle'!$G577),1,"")</x:f>
      </x:c>
      <x:c r="P1185" s="32" t="str">
        <x:f>IF(AND(P$8&lt;='Detalle'!$H577,P$9&gt;='Detalle'!$G577),1,"")</x:f>
      </x:c>
      <x:c r="Q1185" s="68"/>
      <x:c r="R1185" s="67" t="str">
        <x:f>IF('Detalle'!M577="","",'Detalle'!M577)</x:f>
      </x:c>
      <x:c r="S1185" s="67" t="str">
        <x:f>IF('Detalle'!N577="","",'Detalle'!N577)</x:f>
      </x:c>
    </x:row>
    <x:row r="1186" ht="16" customHeight="1">
      <x:c r="A1186" s="56" t="str">
        <x:v>PUS01.014</x:v>
      </x:c>
      <x:c r="B1186" s="57" t="str">
        <x:v>Actualizar actividad durante sesión</x:v>
      </x:c>
      <x:c r="C1186" s="63" t="str">
        <x:v>R</x:v>
      </x:c>
      <x:c r="D1186" s="65" t="str">
        <x:f>IF('Detalle'!L577="","",'Detalle'!L577)</x:f>
      </x:c>
      <x:c r="E1186" s="60" t="str"/>
      <x:c r="F1186" s="32" t="str">
        <x:f>IF(OR('Detalle'!$J577="",'Detalle'!$K577="",'Detalle'!$L577=""),"",IF(AND(F$8&lt;='Detalle'!$K577,F$9&gt;='Detalle'!$J577),1,""))</x:f>
      </x:c>
      <x:c r="G1186" s="32" t="str">
        <x:f>IF(OR('Detalle'!$J577="",'Detalle'!$K577="",'Detalle'!$L577=""),"",IF(AND(G$8&lt;='Detalle'!$K577,G$9&gt;='Detalle'!$J577),1,""))</x:f>
      </x:c>
      <x:c r="H1186" s="32" t="str">
        <x:f>IF(OR('Detalle'!$J577="",'Detalle'!$K577="",'Detalle'!$L577=""),"",IF(AND(H$8&lt;='Detalle'!$K577,H$9&gt;='Detalle'!$J577),1,""))</x:f>
      </x:c>
      <x:c r="I1186" s="32" t="str">
        <x:f>IF(OR('Detalle'!$J577="",'Detalle'!$K577="",'Detalle'!$L577=""),"",IF(AND(I$8&lt;='Detalle'!$K577,I$9&gt;='Detalle'!$J577),1,""))</x:f>
      </x:c>
      <x:c r="J1186" s="32" t="str">
        <x:f>IF(OR('Detalle'!$J577="",'Detalle'!$K577="",'Detalle'!$L577=""),"",IF(AND(J$8&lt;='Detalle'!$K577,J$9&gt;='Detalle'!$J577),1,""))</x:f>
      </x:c>
      <x:c r="K1186" s="32" t="str">
        <x:f>IF(OR('Detalle'!$J577="",'Detalle'!$K577="",'Detalle'!$L577=""),"",IF(AND(K$8&lt;='Detalle'!$K577,K$9&gt;='Detalle'!$J577),1,""))</x:f>
      </x:c>
      <x:c r="L1186" s="32" t="str">
        <x:f>IF(OR('Detalle'!$J577="",'Detalle'!$K577="",'Detalle'!$L577=""),"",IF(AND(L$8&lt;='Detalle'!$K577,L$9&gt;='Detalle'!$J577),1,""))</x:f>
      </x:c>
      <x:c r="M1186" s="32" t="str">
        <x:f>IF(OR('Detalle'!$J577="",'Detalle'!$K577="",'Detalle'!$L577=""),"",IF(AND(M$8&lt;='Detalle'!$K577,M$9&gt;='Detalle'!$J577),1,""))</x:f>
      </x:c>
      <x:c r="N1186" s="32" t="str">
        <x:f>IF(OR('Detalle'!$J577="",'Detalle'!$K577="",'Detalle'!$L577=""),"",IF(AND(N$8&lt;='Detalle'!$K577,N$9&gt;='Detalle'!$J577),1,""))</x:f>
      </x:c>
      <x:c r="O1186" s="32" t="str">
        <x:f>IF(OR('Detalle'!$J577="",'Detalle'!$K577="",'Detalle'!$L577=""),"",IF(AND(O$8&lt;='Detalle'!$K577,O$9&gt;='Detalle'!$J577),1,""))</x:f>
      </x:c>
      <x:c r="P1186" s="32" t="str">
        <x:f>IF(OR('Detalle'!$J577="",'Detalle'!$K577="",'Detalle'!$L577=""),"",IF(AND(P$8&lt;='Detalle'!$K577,P$9&gt;='Detalle'!$J577),1,""))</x:f>
      </x:c>
      <x:c r="Q1186" s="68"/>
      <x:c r="R1186" s="67" t="str"/>
      <x:c r="S1186" s="67" t="str"/>
    </x:row>
    <x:row r="1187" ht="16" customHeight="1">
      <x:c r="A1187" s="56" t="str">
        <x:v>PUS01.015</x:v>
      </x:c>
      <x:c r="B1187" s="57" t="str">
        <x:v>Cancelar programación al volver</x:v>
      </x:c>
      <x:c r="C1187" s="62" t="str">
        <x:v>E</x:v>
      </x:c>
      <x:c r="D1187" s="64" t="n">
        <x:f>'Detalle'!I578</x:f>
        <x:v>1</x:v>
      </x:c>
      <x:c r="E1187" s="60" t="str">
        <x:f>'Detalle'!F578</x:f>
        <x:v>Completado</x:v>
      </x:c>
      <x:c r="F1187" s="32" t="str">
        <x:f>IF(AND(F$8&lt;='Detalle'!$H578,F$9&gt;='Detalle'!$G578),1,"")</x:f>
      </x:c>
      <x:c r="G1187" s="32" t="str">
        <x:f>IF(AND(G$8&lt;='Detalle'!$H578,G$9&gt;='Detalle'!$G578),1,"")</x:f>
      </x:c>
      <x:c r="H1187" s="32" t="str">
        <x:f>IF(AND(H$8&lt;='Detalle'!$H578,H$9&gt;='Detalle'!$G578),1,"")</x:f>
      </x:c>
      <x:c r="I1187" s="32" t="str">
        <x:f>IF(AND(I$8&lt;='Detalle'!$H578,I$9&gt;='Detalle'!$G578),1,"")</x:f>
      </x:c>
      <x:c r="J1187" s="32" t="n">
        <x:f>IF(AND(J$8&lt;='Detalle'!$H578,J$9&gt;='Detalle'!$G578),1,"")</x:f>
        <x:v>1</x:v>
      </x:c>
      <x:c r="K1187" s="32" t="str">
        <x:f>IF(AND(K$8&lt;='Detalle'!$H578,K$9&gt;='Detalle'!$G578),1,"")</x:f>
      </x:c>
      <x:c r="L1187" s="32" t="str">
        <x:f>IF(AND(L$8&lt;='Detalle'!$H578,L$9&gt;='Detalle'!$G578),1,"")</x:f>
      </x:c>
      <x:c r="M1187" s="32" t="str">
        <x:f>IF(AND(M$8&lt;='Detalle'!$H578,M$9&gt;='Detalle'!$G578),1,"")</x:f>
      </x:c>
      <x:c r="N1187" s="32" t="str">
        <x:f>IF(AND(N$8&lt;='Detalle'!$H578,N$9&gt;='Detalle'!$G578),1,"")</x:f>
      </x:c>
      <x:c r="O1187" s="32" t="str">
        <x:f>IF(AND(O$8&lt;='Detalle'!$H578,O$9&gt;='Detalle'!$G578),1,"")</x:f>
      </x:c>
      <x:c r="P1187" s="32" t="str">
        <x:f>IF(AND(P$8&lt;='Detalle'!$H578,P$9&gt;='Detalle'!$G578),1,"")</x:f>
      </x:c>
      <x:c r="Q1187" s="68"/>
      <x:c r="R1187" s="67" t="str">
        <x:f>IF('Detalle'!M578="","",'Detalle'!M578)</x:f>
      </x:c>
      <x:c r="S1187" s="67" t="str">
        <x:f>IF('Detalle'!N578="","",'Detalle'!N578)</x:f>
      </x:c>
    </x:row>
    <x:row r="1188" ht="16" customHeight="1">
      <x:c r="A1188" s="56" t="str">
        <x:v>PUS01.015</x:v>
      </x:c>
      <x:c r="B1188" s="57" t="str">
        <x:v>Cancelar programación al volver</x:v>
      </x:c>
      <x:c r="C1188" s="63" t="str">
        <x:v>R</x:v>
      </x:c>
      <x:c r="D1188" s="65" t="str">
        <x:f>IF('Detalle'!L578="","",'Detalle'!L578)</x:f>
      </x:c>
      <x:c r="E1188" s="60" t="str"/>
      <x:c r="F1188" s="32" t="str">
        <x:f>IF(OR('Detalle'!$J578="",'Detalle'!$K578="",'Detalle'!$L578=""),"",IF(AND(F$8&lt;='Detalle'!$K578,F$9&gt;='Detalle'!$J578),1,""))</x:f>
      </x:c>
      <x:c r="G1188" s="32" t="str">
        <x:f>IF(OR('Detalle'!$J578="",'Detalle'!$K578="",'Detalle'!$L578=""),"",IF(AND(G$8&lt;='Detalle'!$K578,G$9&gt;='Detalle'!$J578),1,""))</x:f>
      </x:c>
      <x:c r="H1188" s="32" t="str">
        <x:f>IF(OR('Detalle'!$J578="",'Detalle'!$K578="",'Detalle'!$L578=""),"",IF(AND(H$8&lt;='Detalle'!$K578,H$9&gt;='Detalle'!$J578),1,""))</x:f>
      </x:c>
      <x:c r="I1188" s="32" t="str">
        <x:f>IF(OR('Detalle'!$J578="",'Detalle'!$K578="",'Detalle'!$L578=""),"",IF(AND(I$8&lt;='Detalle'!$K578,I$9&gt;='Detalle'!$J578),1,""))</x:f>
      </x:c>
      <x:c r="J1188" s="32" t="str">
        <x:f>IF(OR('Detalle'!$J578="",'Detalle'!$K578="",'Detalle'!$L578=""),"",IF(AND(J$8&lt;='Detalle'!$K578,J$9&gt;='Detalle'!$J578),1,""))</x:f>
      </x:c>
      <x:c r="K1188" s="32" t="str">
        <x:f>IF(OR('Detalle'!$J578="",'Detalle'!$K578="",'Detalle'!$L578=""),"",IF(AND(K$8&lt;='Detalle'!$K578,K$9&gt;='Detalle'!$J578),1,""))</x:f>
      </x:c>
      <x:c r="L1188" s="32" t="str">
        <x:f>IF(OR('Detalle'!$J578="",'Detalle'!$K578="",'Detalle'!$L578=""),"",IF(AND(L$8&lt;='Detalle'!$K578,L$9&gt;='Detalle'!$J578),1,""))</x:f>
      </x:c>
      <x:c r="M1188" s="32" t="str">
        <x:f>IF(OR('Detalle'!$J578="",'Detalle'!$K578="",'Detalle'!$L578=""),"",IF(AND(M$8&lt;='Detalle'!$K578,M$9&gt;='Detalle'!$J578),1,""))</x:f>
      </x:c>
      <x:c r="N1188" s="32" t="str">
        <x:f>IF(OR('Detalle'!$J578="",'Detalle'!$K578="",'Detalle'!$L578=""),"",IF(AND(N$8&lt;='Detalle'!$K578,N$9&gt;='Detalle'!$J578),1,""))</x:f>
      </x:c>
      <x:c r="O1188" s="32" t="str">
        <x:f>IF(OR('Detalle'!$J578="",'Detalle'!$K578="",'Detalle'!$L578=""),"",IF(AND(O$8&lt;='Detalle'!$K578,O$9&gt;='Detalle'!$J578),1,""))</x:f>
      </x:c>
      <x:c r="P1188" s="32" t="str">
        <x:f>IF(OR('Detalle'!$J578="",'Detalle'!$K578="",'Detalle'!$L578=""),"",IF(AND(P$8&lt;='Detalle'!$K578,P$9&gt;='Detalle'!$J578),1,""))</x:f>
      </x:c>
      <x:c r="Q1188" s="68"/>
      <x:c r="R1188" s="67" t="str"/>
      <x:c r="S1188" s="67" t="str"/>
    </x:row>
    <x:row r="1189" ht="16" customHeight="1">
      <x:c r="A1189" s="56" t="str">
        <x:v>PUS01.016</x:v>
      </x:c>
      <x:c r="B1189" s="57" t="str">
        <x:v>Limpiar registro al cerrar sesión</x:v>
      </x:c>
      <x:c r="C1189" s="62" t="str">
        <x:v>E</x:v>
      </x:c>
      <x:c r="D1189" s="64" t="n">
        <x:f>'Detalle'!I579</x:f>
        <x:v>1</x:v>
      </x:c>
      <x:c r="E1189" s="60" t="str">
        <x:f>'Detalle'!F579</x:f>
        <x:v>Completado</x:v>
      </x:c>
      <x:c r="F1189" s="32" t="str">
        <x:f>IF(AND(F$8&lt;='Detalle'!$H579,F$9&gt;='Detalle'!$G579),1,"")</x:f>
      </x:c>
      <x:c r="G1189" s="32" t="str">
        <x:f>IF(AND(G$8&lt;='Detalle'!$H579,G$9&gt;='Detalle'!$G579),1,"")</x:f>
      </x:c>
      <x:c r="H1189" s="32" t="str">
        <x:f>IF(AND(H$8&lt;='Detalle'!$H579,H$9&gt;='Detalle'!$G579),1,"")</x:f>
      </x:c>
      <x:c r="I1189" s="32" t="str">
        <x:f>IF(AND(I$8&lt;='Detalle'!$H579,I$9&gt;='Detalle'!$G579),1,"")</x:f>
      </x:c>
      <x:c r="J1189" s="32" t="n">
        <x:f>IF(AND(J$8&lt;='Detalle'!$H579,J$9&gt;='Detalle'!$G579),1,"")</x:f>
        <x:v>1</x:v>
      </x:c>
      <x:c r="K1189" s="32" t="str">
        <x:f>IF(AND(K$8&lt;='Detalle'!$H579,K$9&gt;='Detalle'!$G579),1,"")</x:f>
      </x:c>
      <x:c r="L1189" s="32" t="str">
        <x:f>IF(AND(L$8&lt;='Detalle'!$H579,L$9&gt;='Detalle'!$G579),1,"")</x:f>
      </x:c>
      <x:c r="M1189" s="32" t="str">
        <x:f>IF(AND(M$8&lt;='Detalle'!$H579,M$9&gt;='Detalle'!$G579),1,"")</x:f>
      </x:c>
      <x:c r="N1189" s="32" t="str">
        <x:f>IF(AND(N$8&lt;='Detalle'!$H579,N$9&gt;='Detalle'!$G579),1,"")</x:f>
      </x:c>
      <x:c r="O1189" s="32" t="str">
        <x:f>IF(AND(O$8&lt;='Detalle'!$H579,O$9&gt;='Detalle'!$G579),1,"")</x:f>
      </x:c>
      <x:c r="P1189" s="32" t="str">
        <x:f>IF(AND(P$8&lt;='Detalle'!$H579,P$9&gt;='Detalle'!$G579),1,"")</x:f>
      </x:c>
      <x:c r="Q1189" s="68"/>
      <x:c r="R1189" s="67" t="str">
        <x:f>IF('Detalle'!M579="","",'Detalle'!M579)</x:f>
      </x:c>
      <x:c r="S1189" s="67" t="str">
        <x:f>IF('Detalle'!N579="","",'Detalle'!N579)</x:f>
      </x:c>
    </x:row>
    <x:row r="1190" ht="16" customHeight="1">
      <x:c r="A1190" s="56" t="str">
        <x:v>PUS01.016</x:v>
      </x:c>
      <x:c r="B1190" s="57" t="str">
        <x:v>Limpiar registro al cerrar sesión</x:v>
      </x:c>
      <x:c r="C1190" s="63" t="str">
        <x:v>R</x:v>
      </x:c>
      <x:c r="D1190" s="65" t="str">
        <x:f>IF('Detalle'!L579="","",'Detalle'!L579)</x:f>
      </x:c>
      <x:c r="E1190" s="60" t="str"/>
      <x:c r="F1190" s="32" t="str">
        <x:f>IF(OR('Detalle'!$J579="",'Detalle'!$K579="",'Detalle'!$L579=""),"",IF(AND(F$8&lt;='Detalle'!$K579,F$9&gt;='Detalle'!$J579),1,""))</x:f>
      </x:c>
      <x:c r="G1190" s="32" t="str">
        <x:f>IF(OR('Detalle'!$J579="",'Detalle'!$K579="",'Detalle'!$L579=""),"",IF(AND(G$8&lt;='Detalle'!$K579,G$9&gt;='Detalle'!$J579),1,""))</x:f>
      </x:c>
      <x:c r="H1190" s="32" t="str">
        <x:f>IF(OR('Detalle'!$J579="",'Detalle'!$K579="",'Detalle'!$L579=""),"",IF(AND(H$8&lt;='Detalle'!$K579,H$9&gt;='Detalle'!$J579),1,""))</x:f>
      </x:c>
      <x:c r="I1190" s="32" t="str">
        <x:f>IF(OR('Detalle'!$J579="",'Detalle'!$K579="",'Detalle'!$L579=""),"",IF(AND(I$8&lt;='Detalle'!$K579,I$9&gt;='Detalle'!$J579),1,""))</x:f>
      </x:c>
      <x:c r="J1190" s="32" t="str">
        <x:f>IF(OR('Detalle'!$J579="",'Detalle'!$K579="",'Detalle'!$L579=""),"",IF(AND(J$8&lt;='Detalle'!$K579,J$9&gt;='Detalle'!$J579),1,""))</x:f>
      </x:c>
      <x:c r="K1190" s="32" t="str">
        <x:f>IF(OR('Detalle'!$J579="",'Detalle'!$K579="",'Detalle'!$L579=""),"",IF(AND(K$8&lt;='Detalle'!$K579,K$9&gt;='Detalle'!$J579),1,""))</x:f>
      </x:c>
      <x:c r="L1190" s="32" t="str">
        <x:f>IF(OR('Detalle'!$J579="",'Detalle'!$K579="",'Detalle'!$L579=""),"",IF(AND(L$8&lt;='Detalle'!$K579,L$9&gt;='Detalle'!$J579),1,""))</x:f>
      </x:c>
      <x:c r="M1190" s="32" t="str">
        <x:f>IF(OR('Detalle'!$J579="",'Detalle'!$K579="",'Detalle'!$L579=""),"",IF(AND(M$8&lt;='Detalle'!$K579,M$9&gt;='Detalle'!$J579),1,""))</x:f>
      </x:c>
      <x:c r="N1190" s="32" t="str">
        <x:f>IF(OR('Detalle'!$J579="",'Detalle'!$K579="",'Detalle'!$L579=""),"",IF(AND(N$8&lt;='Detalle'!$K579,N$9&gt;='Detalle'!$J579),1,""))</x:f>
      </x:c>
      <x:c r="O1190" s="32" t="str">
        <x:f>IF(OR('Detalle'!$J579="",'Detalle'!$K579="",'Detalle'!$L579=""),"",IF(AND(O$8&lt;='Detalle'!$K579,O$9&gt;='Detalle'!$J579),1,""))</x:f>
      </x:c>
      <x:c r="P1190" s="32" t="str">
        <x:f>IF(OR('Detalle'!$J579="",'Detalle'!$K579="",'Detalle'!$L579=""),"",IF(AND(P$8&lt;='Detalle'!$K579,P$9&gt;='Detalle'!$J579),1,""))</x:f>
      </x:c>
      <x:c r="Q1190" s="68"/>
      <x:c r="R1190" s="67" t="str"/>
      <x:c r="S1190" s="67" t="str"/>
    </x:row>
    <x:row r="1191" ht="16" customHeight="1">
      <x:c r="A1191" s="56" t="str">
        <x:v>PUS01.017</x:v>
      </x:c>
      <x:c r="B1191" s="57" t="str">
        <x:v>Mostrar ausencia de configuración Firebase</x:v>
      </x:c>
      <x:c r="C1191" s="62" t="str">
        <x:v>E</x:v>
      </x:c>
      <x:c r="D1191" s="64" t="n">
        <x:f>'Detalle'!I580</x:f>
        <x:v>1</x:v>
      </x:c>
      <x:c r="E1191" s="60" t="str">
        <x:f>'Detalle'!F580</x:f>
        <x:v>Completado</x:v>
      </x:c>
      <x:c r="F1191" s="32" t="str">
        <x:f>IF(AND(F$8&lt;='Detalle'!$H580,F$9&gt;='Detalle'!$G580),1,"")</x:f>
      </x:c>
      <x:c r="G1191" s="32" t="str">
        <x:f>IF(AND(G$8&lt;='Detalle'!$H580,G$9&gt;='Detalle'!$G580),1,"")</x:f>
      </x:c>
      <x:c r="H1191" s="32" t="str">
        <x:f>IF(AND(H$8&lt;='Detalle'!$H580,H$9&gt;='Detalle'!$G580),1,"")</x:f>
      </x:c>
      <x:c r="I1191" s="32" t="str">
        <x:f>IF(AND(I$8&lt;='Detalle'!$H580,I$9&gt;='Detalle'!$G580),1,"")</x:f>
      </x:c>
      <x:c r="J1191" s="32" t="n">
        <x:f>IF(AND(J$8&lt;='Detalle'!$H580,J$9&gt;='Detalle'!$G580),1,"")</x:f>
        <x:v>1</x:v>
      </x:c>
      <x:c r="K1191" s="32" t="str">
        <x:f>IF(AND(K$8&lt;='Detalle'!$H580,K$9&gt;='Detalle'!$G580),1,"")</x:f>
      </x:c>
      <x:c r="L1191" s="32" t="str">
        <x:f>IF(AND(L$8&lt;='Detalle'!$H580,L$9&gt;='Detalle'!$G580),1,"")</x:f>
      </x:c>
      <x:c r="M1191" s="32" t="str">
        <x:f>IF(AND(M$8&lt;='Detalle'!$H580,M$9&gt;='Detalle'!$G580),1,"")</x:f>
      </x:c>
      <x:c r="N1191" s="32" t="str">
        <x:f>IF(AND(N$8&lt;='Detalle'!$H580,N$9&gt;='Detalle'!$G580),1,"")</x:f>
      </x:c>
      <x:c r="O1191" s="32" t="str">
        <x:f>IF(AND(O$8&lt;='Detalle'!$H580,O$9&gt;='Detalle'!$G580),1,"")</x:f>
      </x:c>
      <x:c r="P1191" s="32" t="str">
        <x:f>IF(AND(P$8&lt;='Detalle'!$H580,P$9&gt;='Detalle'!$G580),1,"")</x:f>
      </x:c>
      <x:c r="Q1191" s="68"/>
      <x:c r="R1191" s="67" t="str">
        <x:f>IF('Detalle'!M580="","",'Detalle'!M580)</x:f>
      </x:c>
      <x:c r="S1191" s="67" t="str">
        <x:f>IF('Detalle'!N580="","",'Detalle'!N580)</x:f>
      </x:c>
    </x:row>
    <x:row r="1192" ht="16" customHeight="1">
      <x:c r="A1192" s="56" t="str">
        <x:v>PUS01.017</x:v>
      </x:c>
      <x:c r="B1192" s="57" t="str">
        <x:v>Mostrar ausencia de configuración Firebase</x:v>
      </x:c>
      <x:c r="C1192" s="63" t="str">
        <x:v>R</x:v>
      </x:c>
      <x:c r="D1192" s="65" t="str">
        <x:f>IF('Detalle'!L580="","",'Detalle'!L580)</x:f>
      </x:c>
      <x:c r="E1192" s="60" t="str"/>
      <x:c r="F1192" s="32" t="str">
        <x:f>IF(OR('Detalle'!$J580="",'Detalle'!$K580="",'Detalle'!$L580=""),"",IF(AND(F$8&lt;='Detalle'!$K580,F$9&gt;='Detalle'!$J580),1,""))</x:f>
      </x:c>
      <x:c r="G1192" s="32" t="str">
        <x:f>IF(OR('Detalle'!$J580="",'Detalle'!$K580="",'Detalle'!$L580=""),"",IF(AND(G$8&lt;='Detalle'!$K580,G$9&gt;='Detalle'!$J580),1,""))</x:f>
      </x:c>
      <x:c r="H1192" s="32" t="str">
        <x:f>IF(OR('Detalle'!$J580="",'Detalle'!$K580="",'Detalle'!$L580=""),"",IF(AND(H$8&lt;='Detalle'!$K580,H$9&gt;='Detalle'!$J580),1,""))</x:f>
      </x:c>
      <x:c r="I1192" s="32" t="str">
        <x:f>IF(OR('Detalle'!$J580="",'Detalle'!$K580="",'Detalle'!$L580=""),"",IF(AND(I$8&lt;='Detalle'!$K580,I$9&gt;='Detalle'!$J580),1,""))</x:f>
      </x:c>
      <x:c r="J1192" s="32" t="str">
        <x:f>IF(OR('Detalle'!$J580="",'Detalle'!$K580="",'Detalle'!$L580=""),"",IF(AND(J$8&lt;='Detalle'!$K580,J$9&gt;='Detalle'!$J580),1,""))</x:f>
      </x:c>
      <x:c r="K1192" s="32" t="str">
        <x:f>IF(OR('Detalle'!$J580="",'Detalle'!$K580="",'Detalle'!$L580=""),"",IF(AND(K$8&lt;='Detalle'!$K580,K$9&gt;='Detalle'!$J580),1,""))</x:f>
      </x:c>
      <x:c r="L1192" s="32" t="str">
        <x:f>IF(OR('Detalle'!$J580="",'Detalle'!$K580="",'Detalle'!$L580=""),"",IF(AND(L$8&lt;='Detalle'!$K580,L$9&gt;='Detalle'!$J580),1,""))</x:f>
      </x:c>
      <x:c r="M1192" s="32" t="str">
        <x:f>IF(OR('Detalle'!$J580="",'Detalle'!$K580="",'Detalle'!$L580=""),"",IF(AND(M$8&lt;='Detalle'!$K580,M$9&gt;='Detalle'!$J580),1,""))</x:f>
      </x:c>
      <x:c r="N1192" s="32" t="str">
        <x:f>IF(OR('Detalle'!$J580="",'Detalle'!$K580="",'Detalle'!$L580=""),"",IF(AND(N$8&lt;='Detalle'!$K580,N$9&gt;='Detalle'!$J580),1,""))</x:f>
      </x:c>
      <x:c r="O1192" s="32" t="str">
        <x:f>IF(OR('Detalle'!$J580="",'Detalle'!$K580="",'Detalle'!$L580=""),"",IF(AND(O$8&lt;='Detalle'!$K580,O$9&gt;='Detalle'!$J580),1,""))</x:f>
      </x:c>
      <x:c r="P1192" s="32" t="str">
        <x:f>IF(OR('Detalle'!$J580="",'Detalle'!$K580="",'Detalle'!$L580=""),"",IF(AND(P$8&lt;='Detalle'!$K580,P$9&gt;='Detalle'!$J580),1,""))</x:f>
      </x:c>
      <x:c r="Q1192" s="68"/>
      <x:c r="R1192" s="67" t="str"/>
      <x:c r="S1192" s="67" t="str"/>
    </x:row>
    <x:row r="1193" ht="20" customHeight="1">
      <x:c r="A1193" s="52" t="str">
        <x:v>PUS02 · Cola y entrega push en Supabase</x:v>
      </x:c>
      <x:c r="B1193" s="52" t="str">
        <x:v>PUS02 · Cola y entrega push en Supabase</x:v>
      </x:c>
      <x:c r="C1193" s="52" t="str">
        <x:v>PUS02 · Cola y entrega push en Supabase</x:v>
      </x:c>
      <x:c r="D1193" s="52" t="str">
        <x:v>PUS02 · Cola y entrega push en Supabase</x:v>
      </x:c>
      <x:c r="E1193" s="52" t="str">
        <x:v>PUS02 · Cola y entrega push en Supabase</x:v>
      </x:c>
      <x:c r="F1193" s="53" t="str">
        <x:v>PUS02 · Cola y entrega push en Supabase</x:v>
      </x:c>
      <x:c r="G1193" s="53" t="str">
        <x:v>PUS02 · Cola y entrega push en Supabase</x:v>
      </x:c>
      <x:c r="H1193" s="53" t="str">
        <x:v>PUS02 · Cola y entrega push en Supabase</x:v>
      </x:c>
      <x:c r="I1193" s="53" t="str">
        <x:v>PUS02 · Cola y entrega push en Supabase</x:v>
      </x:c>
      <x:c r="J1193" s="53" t="str">
        <x:v>PUS02 · Cola y entrega push en Supabase</x:v>
      </x:c>
      <x:c r="K1193" s="53" t="str">
        <x:v>PUS02 · Cola y entrega push en Supabase</x:v>
      </x:c>
      <x:c r="L1193" s="53" t="str">
        <x:v>PUS02 · Cola y entrega push en Supabase</x:v>
      </x:c>
      <x:c r="M1193" s="53" t="str">
        <x:v>PUS02 · Cola y entrega push en Supabase</x:v>
      </x:c>
      <x:c r="N1193" s="53" t="str">
        <x:v>PUS02 · Cola y entrega push en Supabase</x:v>
      </x:c>
      <x:c r="O1193" s="53" t="str">
        <x:v>PUS02 · Cola y entrega push en Supabase</x:v>
      </x:c>
      <x:c r="P1193" s="53" t="str">
        <x:v>PUS02 · Cola y entrega push en Supabase</x:v>
      </x:c>
      <x:c r="Q1193" s="52" t="str">
        <x:v>PUS02 · Cola y entrega push en Supabase</x:v>
      </x:c>
      <x:c r="R1193" s="52" t="str">
        <x:v>PUS02 · Cola y entrega push en Supabase</x:v>
      </x:c>
      <x:c r="S1193" s="52" t="str">
        <x:v>PUS02 · Cola y entrega push en Supabase</x:v>
      </x:c>
    </x:row>
    <x:row r="1194" ht="16" customHeight="1">
      <x:c r="A1194" s="56" t="str">
        <x:v>PUS02.001</x:v>
      </x:c>
      <x:c r="B1194" s="57" t="str">
        <x:v>Crear migración 014 de push</x:v>
      </x:c>
      <x:c r="C1194" s="62" t="str">
        <x:v>E</x:v>
      </x:c>
      <x:c r="D1194" s="64" t="n">
        <x:f>'Detalle'!I581</x:f>
        <x:v>1</x:v>
      </x:c>
      <x:c r="E1194" s="60" t="str">
        <x:f>'Detalle'!F581</x:f>
        <x:v>Completado</x:v>
      </x:c>
      <x:c r="F1194" s="32" t="str">
        <x:f>IF(AND(F$8&lt;='Detalle'!$H581,F$9&gt;='Detalle'!$G581),1,"")</x:f>
      </x:c>
      <x:c r="G1194" s="32" t="str">
        <x:f>IF(AND(G$8&lt;='Detalle'!$H581,G$9&gt;='Detalle'!$G581),1,"")</x:f>
      </x:c>
      <x:c r="H1194" s="32" t="str">
        <x:f>IF(AND(H$8&lt;='Detalle'!$H581,H$9&gt;='Detalle'!$G581),1,"")</x:f>
      </x:c>
      <x:c r="I1194" s="32" t="str">
        <x:f>IF(AND(I$8&lt;='Detalle'!$H581,I$9&gt;='Detalle'!$G581),1,"")</x:f>
      </x:c>
      <x:c r="J1194" s="32" t="n">
        <x:f>IF(AND(J$8&lt;='Detalle'!$H581,J$9&gt;='Detalle'!$G581),1,"")</x:f>
        <x:v>1</x:v>
      </x:c>
      <x:c r="K1194" s="32" t="str">
        <x:f>IF(AND(K$8&lt;='Detalle'!$H581,K$9&gt;='Detalle'!$G581),1,"")</x:f>
      </x:c>
      <x:c r="L1194" s="32" t="str">
        <x:f>IF(AND(L$8&lt;='Detalle'!$H581,L$9&gt;='Detalle'!$G581),1,"")</x:f>
      </x:c>
      <x:c r="M1194" s="32" t="str">
        <x:f>IF(AND(M$8&lt;='Detalle'!$H581,M$9&gt;='Detalle'!$G581),1,"")</x:f>
      </x:c>
      <x:c r="N1194" s="32" t="str">
        <x:f>IF(AND(N$8&lt;='Detalle'!$H581,N$9&gt;='Detalle'!$G581),1,"")</x:f>
      </x:c>
      <x:c r="O1194" s="32" t="str">
        <x:f>IF(AND(O$8&lt;='Detalle'!$H581,O$9&gt;='Detalle'!$G581),1,"")</x:f>
      </x:c>
      <x:c r="P1194" s="32" t="str">
        <x:f>IF(AND(P$8&lt;='Detalle'!$H581,P$9&gt;='Detalle'!$G581),1,"")</x:f>
      </x:c>
      <x:c r="Q1194" s="68"/>
      <x:c r="R1194" s="67" t="str">
        <x:f>IF('Detalle'!M581="","",'Detalle'!M581)</x:f>
      </x:c>
      <x:c r="S1194" s="67" t="str">
        <x:f>IF('Detalle'!N581="","",'Detalle'!N581)</x:f>
      </x:c>
    </x:row>
    <x:row r="1195" ht="16" customHeight="1">
      <x:c r="A1195" s="56" t="str">
        <x:v>PUS02.001</x:v>
      </x:c>
      <x:c r="B1195" s="57" t="str">
        <x:v>Crear migración 014 de push</x:v>
      </x:c>
      <x:c r="C1195" s="63" t="str">
        <x:v>R</x:v>
      </x:c>
      <x:c r="D1195" s="65" t="str">
        <x:f>IF('Detalle'!L581="","",'Detalle'!L581)</x:f>
      </x:c>
      <x:c r="E1195" s="60" t="str"/>
      <x:c r="F1195" s="32" t="str">
        <x:f>IF(OR('Detalle'!$J581="",'Detalle'!$K581="",'Detalle'!$L581=""),"",IF(AND(F$8&lt;='Detalle'!$K581,F$9&gt;='Detalle'!$J581),1,""))</x:f>
      </x:c>
      <x:c r="G1195" s="32" t="str">
        <x:f>IF(OR('Detalle'!$J581="",'Detalle'!$K581="",'Detalle'!$L581=""),"",IF(AND(G$8&lt;='Detalle'!$K581,G$9&gt;='Detalle'!$J581),1,""))</x:f>
      </x:c>
      <x:c r="H1195" s="32" t="str">
        <x:f>IF(OR('Detalle'!$J581="",'Detalle'!$K581="",'Detalle'!$L581=""),"",IF(AND(H$8&lt;='Detalle'!$K581,H$9&gt;='Detalle'!$J581),1,""))</x:f>
      </x:c>
      <x:c r="I1195" s="32" t="str">
        <x:f>IF(OR('Detalle'!$J581="",'Detalle'!$K581="",'Detalle'!$L581=""),"",IF(AND(I$8&lt;='Detalle'!$K581,I$9&gt;='Detalle'!$J581),1,""))</x:f>
      </x:c>
      <x:c r="J1195" s="32" t="str">
        <x:f>IF(OR('Detalle'!$J581="",'Detalle'!$K581="",'Detalle'!$L581=""),"",IF(AND(J$8&lt;='Detalle'!$K581,J$9&gt;='Detalle'!$J581),1,""))</x:f>
      </x:c>
      <x:c r="K1195" s="32" t="str">
        <x:f>IF(OR('Detalle'!$J581="",'Detalle'!$K581="",'Detalle'!$L581=""),"",IF(AND(K$8&lt;='Detalle'!$K581,K$9&gt;='Detalle'!$J581),1,""))</x:f>
      </x:c>
      <x:c r="L1195" s="32" t="str">
        <x:f>IF(OR('Detalle'!$J581="",'Detalle'!$K581="",'Detalle'!$L581=""),"",IF(AND(L$8&lt;='Detalle'!$K581,L$9&gt;='Detalle'!$J581),1,""))</x:f>
      </x:c>
      <x:c r="M1195" s="32" t="str">
        <x:f>IF(OR('Detalle'!$J581="",'Detalle'!$K581="",'Detalle'!$L581=""),"",IF(AND(M$8&lt;='Detalle'!$K581,M$9&gt;='Detalle'!$J581),1,""))</x:f>
      </x:c>
      <x:c r="N1195" s="32" t="str">
        <x:f>IF(OR('Detalle'!$J581="",'Detalle'!$K581="",'Detalle'!$L581=""),"",IF(AND(N$8&lt;='Detalle'!$K581,N$9&gt;='Detalle'!$J581),1,""))</x:f>
      </x:c>
      <x:c r="O1195" s="32" t="str">
        <x:f>IF(OR('Detalle'!$J581="",'Detalle'!$K581="",'Detalle'!$L581=""),"",IF(AND(O$8&lt;='Detalle'!$K581,O$9&gt;='Detalle'!$J581),1,""))</x:f>
      </x:c>
      <x:c r="P1195" s="32" t="str">
        <x:f>IF(OR('Detalle'!$J581="",'Detalle'!$K581="",'Detalle'!$L581=""),"",IF(AND(P$8&lt;='Detalle'!$K581,P$9&gt;='Detalle'!$J581),1,""))</x:f>
      </x:c>
      <x:c r="Q1195" s="68"/>
      <x:c r="R1195" s="67" t="str"/>
      <x:c r="S1195" s="67" t="str"/>
    </x:row>
    <x:row r="1196" ht="16" customHeight="1">
      <x:c r="A1196" s="56" t="str">
        <x:v>PUS02.002</x:v>
      </x:c>
      <x:c r="B1196" s="57" t="str">
        <x:v>Proteger dispositivos con permisos de servidor</x:v>
      </x:c>
      <x:c r="C1196" s="62" t="str">
        <x:v>E</x:v>
      </x:c>
      <x:c r="D1196" s="64" t="n">
        <x:f>'Detalle'!I582</x:f>
        <x:v>1</x:v>
      </x:c>
      <x:c r="E1196" s="60" t="str">
        <x:f>'Detalle'!F582</x:f>
        <x:v>Completado</x:v>
      </x:c>
      <x:c r="F1196" s="32" t="str">
        <x:f>IF(AND(F$8&lt;='Detalle'!$H582,F$9&gt;='Detalle'!$G582),1,"")</x:f>
      </x:c>
      <x:c r="G1196" s="32" t="str">
        <x:f>IF(AND(G$8&lt;='Detalle'!$H582,G$9&gt;='Detalle'!$G582),1,"")</x:f>
      </x:c>
      <x:c r="H1196" s="32" t="str">
        <x:f>IF(AND(H$8&lt;='Detalle'!$H582,H$9&gt;='Detalle'!$G582),1,"")</x:f>
      </x:c>
      <x:c r="I1196" s="32" t="str">
        <x:f>IF(AND(I$8&lt;='Detalle'!$H582,I$9&gt;='Detalle'!$G582),1,"")</x:f>
      </x:c>
      <x:c r="J1196" s="32" t="n">
        <x:f>IF(AND(J$8&lt;='Detalle'!$H582,J$9&gt;='Detalle'!$G582),1,"")</x:f>
        <x:v>1</x:v>
      </x:c>
      <x:c r="K1196" s="32" t="str">
        <x:f>IF(AND(K$8&lt;='Detalle'!$H582,K$9&gt;='Detalle'!$G582),1,"")</x:f>
      </x:c>
      <x:c r="L1196" s="32" t="str">
        <x:f>IF(AND(L$8&lt;='Detalle'!$H582,L$9&gt;='Detalle'!$G582),1,"")</x:f>
      </x:c>
      <x:c r="M1196" s="32" t="str">
        <x:f>IF(AND(M$8&lt;='Detalle'!$H582,M$9&gt;='Detalle'!$G582),1,"")</x:f>
      </x:c>
      <x:c r="N1196" s="32" t="str">
        <x:f>IF(AND(N$8&lt;='Detalle'!$H582,N$9&gt;='Detalle'!$G582),1,"")</x:f>
      </x:c>
      <x:c r="O1196" s="32" t="str">
        <x:f>IF(AND(O$8&lt;='Detalle'!$H582,O$9&gt;='Detalle'!$G582),1,"")</x:f>
      </x:c>
      <x:c r="P1196" s="32" t="str">
        <x:f>IF(AND(P$8&lt;='Detalle'!$H582,P$9&gt;='Detalle'!$G582),1,"")</x:f>
      </x:c>
      <x:c r="Q1196" s="68"/>
      <x:c r="R1196" s="67" t="str">
        <x:f>IF('Detalle'!M582="","",'Detalle'!M582)</x:f>
      </x:c>
      <x:c r="S1196" s="67" t="str">
        <x:f>IF('Detalle'!N582="","",'Detalle'!N582)</x:f>
      </x:c>
    </x:row>
    <x:row r="1197" ht="16" customHeight="1">
      <x:c r="A1197" s="56" t="str">
        <x:v>PUS02.002</x:v>
      </x:c>
      <x:c r="B1197" s="57" t="str">
        <x:v>Proteger dispositivos con permisos de servidor</x:v>
      </x:c>
      <x:c r="C1197" s="63" t="str">
        <x:v>R</x:v>
      </x:c>
      <x:c r="D1197" s="65" t="str">
        <x:f>IF('Detalle'!L582="","",'Detalle'!L582)</x:f>
      </x:c>
      <x:c r="E1197" s="60" t="str"/>
      <x:c r="F1197" s="32" t="str">
        <x:f>IF(OR('Detalle'!$J582="",'Detalle'!$K582="",'Detalle'!$L582=""),"",IF(AND(F$8&lt;='Detalle'!$K582,F$9&gt;='Detalle'!$J582),1,""))</x:f>
      </x:c>
      <x:c r="G1197" s="32" t="str">
        <x:f>IF(OR('Detalle'!$J582="",'Detalle'!$K582="",'Detalle'!$L582=""),"",IF(AND(G$8&lt;='Detalle'!$K582,G$9&gt;='Detalle'!$J582),1,""))</x:f>
      </x:c>
      <x:c r="H1197" s="32" t="str">
        <x:f>IF(OR('Detalle'!$J582="",'Detalle'!$K582="",'Detalle'!$L582=""),"",IF(AND(H$8&lt;='Detalle'!$K582,H$9&gt;='Detalle'!$J582),1,""))</x:f>
      </x:c>
      <x:c r="I1197" s="32" t="str">
        <x:f>IF(OR('Detalle'!$J582="",'Detalle'!$K582="",'Detalle'!$L582=""),"",IF(AND(I$8&lt;='Detalle'!$K582,I$9&gt;='Detalle'!$J582),1,""))</x:f>
      </x:c>
      <x:c r="J1197" s="32" t="str">
        <x:f>IF(OR('Detalle'!$J582="",'Detalle'!$K582="",'Detalle'!$L582=""),"",IF(AND(J$8&lt;='Detalle'!$K582,J$9&gt;='Detalle'!$J582),1,""))</x:f>
      </x:c>
      <x:c r="K1197" s="32" t="str">
        <x:f>IF(OR('Detalle'!$J582="",'Detalle'!$K582="",'Detalle'!$L582=""),"",IF(AND(K$8&lt;='Detalle'!$K582,K$9&gt;='Detalle'!$J582),1,""))</x:f>
      </x:c>
      <x:c r="L1197" s="32" t="str">
        <x:f>IF(OR('Detalle'!$J582="",'Detalle'!$K582="",'Detalle'!$L582=""),"",IF(AND(L$8&lt;='Detalle'!$K582,L$9&gt;='Detalle'!$J582),1,""))</x:f>
      </x:c>
      <x:c r="M1197" s="32" t="str">
        <x:f>IF(OR('Detalle'!$J582="",'Detalle'!$K582="",'Detalle'!$L582=""),"",IF(AND(M$8&lt;='Detalle'!$K582,M$9&gt;='Detalle'!$J582),1,""))</x:f>
      </x:c>
      <x:c r="N1197" s="32" t="str">
        <x:f>IF(OR('Detalle'!$J582="",'Detalle'!$K582="",'Detalle'!$L582=""),"",IF(AND(N$8&lt;='Detalle'!$K582,N$9&gt;='Detalle'!$J582),1,""))</x:f>
      </x:c>
      <x:c r="O1197" s="32" t="str">
        <x:f>IF(OR('Detalle'!$J582="",'Detalle'!$K582="",'Detalle'!$L582=""),"",IF(AND(O$8&lt;='Detalle'!$K582,O$9&gt;='Detalle'!$J582),1,""))</x:f>
      </x:c>
      <x:c r="P1197" s="32" t="str">
        <x:f>IF(OR('Detalle'!$J582="",'Detalle'!$K582="",'Detalle'!$L582=""),"",IF(AND(P$8&lt;='Detalle'!$K582,P$9&gt;='Detalle'!$J582),1,""))</x:f>
      </x:c>
      <x:c r="Q1197" s="68"/>
      <x:c r="R1197" s="67" t="str"/>
      <x:c r="S1197" s="67" t="str"/>
    </x:row>
    <x:row r="1198" ht="16" customHeight="1">
      <x:c r="A1198" s="56" t="str">
        <x:v>PUS02.003</x:v>
      </x:c>
      <x:c r="B1198" s="57" t="str">
        <x:v>Crear settings privados de envío</x:v>
      </x:c>
      <x:c r="C1198" s="62" t="str">
        <x:v>E</x:v>
      </x:c>
      <x:c r="D1198" s="64" t="n">
        <x:f>'Detalle'!I583</x:f>
        <x:v>1</x:v>
      </x:c>
      <x:c r="E1198" s="60" t="str">
        <x:f>'Detalle'!F583</x:f>
        <x:v>Completado</x:v>
      </x:c>
      <x:c r="F1198" s="32" t="str">
        <x:f>IF(AND(F$8&lt;='Detalle'!$H583,F$9&gt;='Detalle'!$G583),1,"")</x:f>
      </x:c>
      <x:c r="G1198" s="32" t="str">
        <x:f>IF(AND(G$8&lt;='Detalle'!$H583,G$9&gt;='Detalle'!$G583),1,"")</x:f>
      </x:c>
      <x:c r="H1198" s="32" t="str">
        <x:f>IF(AND(H$8&lt;='Detalle'!$H583,H$9&gt;='Detalle'!$G583),1,"")</x:f>
      </x:c>
      <x:c r="I1198" s="32" t="str">
        <x:f>IF(AND(I$8&lt;='Detalle'!$H583,I$9&gt;='Detalle'!$G583),1,"")</x:f>
      </x:c>
      <x:c r="J1198" s="32" t="n">
        <x:f>IF(AND(J$8&lt;='Detalle'!$H583,J$9&gt;='Detalle'!$G583),1,"")</x:f>
        <x:v>1</x:v>
      </x:c>
      <x:c r="K1198" s="32" t="str">
        <x:f>IF(AND(K$8&lt;='Detalle'!$H583,K$9&gt;='Detalle'!$G583),1,"")</x:f>
      </x:c>
      <x:c r="L1198" s="32" t="str">
        <x:f>IF(AND(L$8&lt;='Detalle'!$H583,L$9&gt;='Detalle'!$G583),1,"")</x:f>
      </x:c>
      <x:c r="M1198" s="32" t="str">
        <x:f>IF(AND(M$8&lt;='Detalle'!$H583,M$9&gt;='Detalle'!$G583),1,"")</x:f>
      </x:c>
      <x:c r="N1198" s="32" t="str">
        <x:f>IF(AND(N$8&lt;='Detalle'!$H583,N$9&gt;='Detalle'!$G583),1,"")</x:f>
      </x:c>
      <x:c r="O1198" s="32" t="str">
        <x:f>IF(AND(O$8&lt;='Detalle'!$H583,O$9&gt;='Detalle'!$G583),1,"")</x:f>
      </x:c>
      <x:c r="P1198" s="32" t="str">
        <x:f>IF(AND(P$8&lt;='Detalle'!$H583,P$9&gt;='Detalle'!$G583),1,"")</x:f>
      </x:c>
      <x:c r="Q1198" s="68"/>
      <x:c r="R1198" s="67" t="str">
        <x:f>IF('Detalle'!M583="","",'Detalle'!M583)</x:f>
      </x:c>
      <x:c r="S1198" s="67" t="str">
        <x:f>IF('Detalle'!N583="","",'Detalle'!N583)</x:f>
      </x:c>
    </x:row>
    <x:row r="1199" ht="16" customHeight="1">
      <x:c r="A1199" s="56" t="str">
        <x:v>PUS02.003</x:v>
      </x:c>
      <x:c r="B1199" s="57" t="str">
        <x:v>Crear settings privados de envío</x:v>
      </x:c>
      <x:c r="C1199" s="63" t="str">
        <x:v>R</x:v>
      </x:c>
      <x:c r="D1199" s="65" t="str">
        <x:f>IF('Detalle'!L583="","",'Detalle'!L583)</x:f>
      </x:c>
      <x:c r="E1199" s="60" t="str"/>
      <x:c r="F1199" s="32" t="str">
        <x:f>IF(OR('Detalle'!$J583="",'Detalle'!$K583="",'Detalle'!$L583=""),"",IF(AND(F$8&lt;='Detalle'!$K583,F$9&gt;='Detalle'!$J583),1,""))</x:f>
      </x:c>
      <x:c r="G1199" s="32" t="str">
        <x:f>IF(OR('Detalle'!$J583="",'Detalle'!$K583="",'Detalle'!$L583=""),"",IF(AND(G$8&lt;='Detalle'!$K583,G$9&gt;='Detalle'!$J583),1,""))</x:f>
      </x:c>
      <x:c r="H1199" s="32" t="str">
        <x:f>IF(OR('Detalle'!$J583="",'Detalle'!$K583="",'Detalle'!$L583=""),"",IF(AND(H$8&lt;='Detalle'!$K583,H$9&gt;='Detalle'!$J583),1,""))</x:f>
      </x:c>
      <x:c r="I1199" s="32" t="str">
        <x:f>IF(OR('Detalle'!$J583="",'Detalle'!$K583="",'Detalle'!$L583=""),"",IF(AND(I$8&lt;='Detalle'!$K583,I$9&gt;='Detalle'!$J583),1,""))</x:f>
      </x:c>
      <x:c r="J1199" s="32" t="str">
        <x:f>IF(OR('Detalle'!$J583="",'Detalle'!$K583="",'Detalle'!$L583=""),"",IF(AND(J$8&lt;='Detalle'!$K583,J$9&gt;='Detalle'!$J583),1,""))</x:f>
      </x:c>
      <x:c r="K1199" s="32" t="str">
        <x:f>IF(OR('Detalle'!$J583="",'Detalle'!$K583="",'Detalle'!$L583=""),"",IF(AND(K$8&lt;='Detalle'!$K583,K$9&gt;='Detalle'!$J583),1,""))</x:f>
      </x:c>
      <x:c r="L1199" s="32" t="str">
        <x:f>IF(OR('Detalle'!$J583="",'Detalle'!$K583="",'Detalle'!$L583=""),"",IF(AND(L$8&lt;='Detalle'!$K583,L$9&gt;='Detalle'!$J583),1,""))</x:f>
      </x:c>
      <x:c r="M1199" s="32" t="str">
        <x:f>IF(OR('Detalle'!$J583="",'Detalle'!$K583="",'Detalle'!$L583=""),"",IF(AND(M$8&lt;='Detalle'!$K583,M$9&gt;='Detalle'!$J583),1,""))</x:f>
      </x:c>
      <x:c r="N1199" s="32" t="str">
        <x:f>IF(OR('Detalle'!$J583="",'Detalle'!$K583="",'Detalle'!$L583=""),"",IF(AND(N$8&lt;='Detalle'!$K583,N$9&gt;='Detalle'!$J583),1,""))</x:f>
      </x:c>
      <x:c r="O1199" s="32" t="str">
        <x:f>IF(OR('Detalle'!$J583="",'Detalle'!$K583="",'Detalle'!$L583=""),"",IF(AND(O$8&lt;='Detalle'!$K583,O$9&gt;='Detalle'!$J583),1,""))</x:f>
      </x:c>
      <x:c r="P1199" s="32" t="str">
        <x:f>IF(OR('Detalle'!$J583="",'Detalle'!$K583="",'Detalle'!$L583=""),"",IF(AND(P$8&lt;='Detalle'!$K583,P$9&gt;='Detalle'!$J583),1,""))</x:f>
      </x:c>
      <x:c r="Q1199" s="68"/>
      <x:c r="R1199" s="67" t="str"/>
      <x:c r="S1199" s="67" t="str"/>
    </x:row>
    <x:row r="1200" ht="16" customHeight="1">
      <x:c r="A1200" s="56" t="str">
        <x:v>PUS02.004</x:v>
      </x:c>
      <x:c r="B1200" s="57" t="str">
        <x:v>Encolar eventos sociales autorizados</x:v>
      </x:c>
      <x:c r="C1200" s="62" t="str">
        <x:v>E</x:v>
      </x:c>
      <x:c r="D1200" s="64" t="n">
        <x:f>'Detalle'!I584</x:f>
        <x:v>1</x:v>
      </x:c>
      <x:c r="E1200" s="60" t="str">
        <x:f>'Detalle'!F584</x:f>
        <x:v>Completado</x:v>
      </x:c>
      <x:c r="F1200" s="32" t="str">
        <x:f>IF(AND(F$8&lt;='Detalle'!$H584,F$9&gt;='Detalle'!$G584),1,"")</x:f>
      </x:c>
      <x:c r="G1200" s="32" t="str">
        <x:f>IF(AND(G$8&lt;='Detalle'!$H584,G$9&gt;='Detalle'!$G584),1,"")</x:f>
      </x:c>
      <x:c r="H1200" s="32" t="str">
        <x:f>IF(AND(H$8&lt;='Detalle'!$H584,H$9&gt;='Detalle'!$G584),1,"")</x:f>
      </x:c>
      <x:c r="I1200" s="32" t="str">
        <x:f>IF(AND(I$8&lt;='Detalle'!$H584,I$9&gt;='Detalle'!$G584),1,"")</x:f>
      </x:c>
      <x:c r="J1200" s="32" t="n">
        <x:f>IF(AND(J$8&lt;='Detalle'!$H584,J$9&gt;='Detalle'!$G584),1,"")</x:f>
        <x:v>1</x:v>
      </x:c>
      <x:c r="K1200" s="32" t="str">
        <x:f>IF(AND(K$8&lt;='Detalle'!$H584,K$9&gt;='Detalle'!$G584),1,"")</x:f>
      </x:c>
      <x:c r="L1200" s="32" t="str">
        <x:f>IF(AND(L$8&lt;='Detalle'!$H584,L$9&gt;='Detalle'!$G584),1,"")</x:f>
      </x:c>
      <x:c r="M1200" s="32" t="str">
        <x:f>IF(AND(M$8&lt;='Detalle'!$H584,M$9&gt;='Detalle'!$G584),1,"")</x:f>
      </x:c>
      <x:c r="N1200" s="32" t="str">
        <x:f>IF(AND(N$8&lt;='Detalle'!$H584,N$9&gt;='Detalle'!$G584),1,"")</x:f>
      </x:c>
      <x:c r="O1200" s="32" t="str">
        <x:f>IF(AND(O$8&lt;='Detalle'!$H584,O$9&gt;='Detalle'!$G584),1,"")</x:f>
      </x:c>
      <x:c r="P1200" s="32" t="str">
        <x:f>IF(AND(P$8&lt;='Detalle'!$H584,P$9&gt;='Detalle'!$G584),1,"")</x:f>
      </x:c>
      <x:c r="Q1200" s="68"/>
      <x:c r="R1200" s="67" t="str">
        <x:f>IF('Detalle'!M584="","",'Detalle'!M584)</x:f>
      </x:c>
      <x:c r="S1200" s="67" t="str">
        <x:f>IF('Detalle'!N584="","",'Detalle'!N584)</x:f>
      </x:c>
    </x:row>
    <x:row r="1201" ht="16" customHeight="1">
      <x:c r="A1201" s="56" t="str">
        <x:v>PUS02.004</x:v>
      </x:c>
      <x:c r="B1201" s="57" t="str">
        <x:v>Encolar eventos sociales autorizados</x:v>
      </x:c>
      <x:c r="C1201" s="63" t="str">
        <x:v>R</x:v>
      </x:c>
      <x:c r="D1201" s="65" t="str">
        <x:f>IF('Detalle'!L584="","",'Detalle'!L584)</x:f>
      </x:c>
      <x:c r="E1201" s="60" t="str"/>
      <x:c r="F1201" s="32" t="str">
        <x:f>IF(OR('Detalle'!$J584="",'Detalle'!$K584="",'Detalle'!$L584=""),"",IF(AND(F$8&lt;='Detalle'!$K584,F$9&gt;='Detalle'!$J584),1,""))</x:f>
      </x:c>
      <x:c r="G1201" s="32" t="str">
        <x:f>IF(OR('Detalle'!$J584="",'Detalle'!$K584="",'Detalle'!$L584=""),"",IF(AND(G$8&lt;='Detalle'!$K584,G$9&gt;='Detalle'!$J584),1,""))</x:f>
      </x:c>
      <x:c r="H1201" s="32" t="str">
        <x:f>IF(OR('Detalle'!$J584="",'Detalle'!$K584="",'Detalle'!$L584=""),"",IF(AND(H$8&lt;='Detalle'!$K584,H$9&gt;='Detalle'!$J584),1,""))</x:f>
      </x:c>
      <x:c r="I1201" s="32" t="str">
        <x:f>IF(OR('Detalle'!$J584="",'Detalle'!$K584="",'Detalle'!$L584=""),"",IF(AND(I$8&lt;='Detalle'!$K584,I$9&gt;='Detalle'!$J584),1,""))</x:f>
      </x:c>
      <x:c r="J1201" s="32" t="str">
        <x:f>IF(OR('Detalle'!$J584="",'Detalle'!$K584="",'Detalle'!$L584=""),"",IF(AND(J$8&lt;='Detalle'!$K584,J$9&gt;='Detalle'!$J584),1,""))</x:f>
      </x:c>
      <x:c r="K1201" s="32" t="str">
        <x:f>IF(OR('Detalle'!$J584="",'Detalle'!$K584="",'Detalle'!$L584=""),"",IF(AND(K$8&lt;='Detalle'!$K584,K$9&gt;='Detalle'!$J584),1,""))</x:f>
      </x:c>
      <x:c r="L1201" s="32" t="str">
        <x:f>IF(OR('Detalle'!$J584="",'Detalle'!$K584="",'Detalle'!$L584=""),"",IF(AND(L$8&lt;='Detalle'!$K584,L$9&gt;='Detalle'!$J584),1,""))</x:f>
      </x:c>
      <x:c r="M1201" s="32" t="str">
        <x:f>IF(OR('Detalle'!$J584="",'Detalle'!$K584="",'Detalle'!$L584=""),"",IF(AND(M$8&lt;='Detalle'!$K584,M$9&gt;='Detalle'!$J584),1,""))</x:f>
      </x:c>
      <x:c r="N1201" s="32" t="str">
        <x:f>IF(OR('Detalle'!$J584="",'Detalle'!$K584="",'Detalle'!$L584=""),"",IF(AND(N$8&lt;='Detalle'!$K584,N$9&gt;='Detalle'!$J584),1,""))</x:f>
      </x:c>
      <x:c r="O1201" s="32" t="str">
        <x:f>IF(OR('Detalle'!$J584="",'Detalle'!$K584="",'Detalle'!$L584=""),"",IF(AND(O$8&lt;='Detalle'!$K584,O$9&gt;='Detalle'!$J584),1,""))</x:f>
      </x:c>
      <x:c r="P1201" s="32" t="str">
        <x:f>IF(OR('Detalle'!$J584="",'Detalle'!$K584="",'Detalle'!$L584=""),"",IF(AND(P$8&lt;='Detalle'!$K584,P$9&gt;='Detalle'!$J584),1,""))</x:f>
      </x:c>
      <x:c r="Q1201" s="68"/>
      <x:c r="R1201" s="67" t="str"/>
      <x:c r="S1201" s="67" t="str"/>
    </x:row>
    <x:row r="1202" ht="16" customHeight="1">
      <x:c r="A1202" s="56" t="str">
        <x:v>PUS02.005</x:v>
      </x:c>
      <x:c r="B1202" s="57" t="str">
        <x:v>Crear worker send-push</x:v>
      </x:c>
      <x:c r="C1202" s="62" t="str">
        <x:v>E</x:v>
      </x:c>
      <x:c r="D1202" s="64" t="n">
        <x:f>'Detalle'!I585</x:f>
        <x:v>1</x:v>
      </x:c>
      <x:c r="E1202" s="60" t="str">
        <x:f>'Detalle'!F585</x:f>
        <x:v>Completado</x:v>
      </x:c>
      <x:c r="F1202" s="32" t="str">
        <x:f>IF(AND(F$8&lt;='Detalle'!$H585,F$9&gt;='Detalle'!$G585),1,"")</x:f>
      </x:c>
      <x:c r="G1202" s="32" t="str">
        <x:f>IF(AND(G$8&lt;='Detalle'!$H585,G$9&gt;='Detalle'!$G585),1,"")</x:f>
      </x:c>
      <x:c r="H1202" s="32" t="str">
        <x:f>IF(AND(H$8&lt;='Detalle'!$H585,H$9&gt;='Detalle'!$G585),1,"")</x:f>
      </x:c>
      <x:c r="I1202" s="32" t="str">
        <x:f>IF(AND(I$8&lt;='Detalle'!$H585,I$9&gt;='Detalle'!$G585),1,"")</x:f>
      </x:c>
      <x:c r="J1202" s="32" t="n">
        <x:f>IF(AND(J$8&lt;='Detalle'!$H585,J$9&gt;='Detalle'!$G585),1,"")</x:f>
        <x:v>1</x:v>
      </x:c>
      <x:c r="K1202" s="32" t="str">
        <x:f>IF(AND(K$8&lt;='Detalle'!$H585,K$9&gt;='Detalle'!$G585),1,"")</x:f>
      </x:c>
      <x:c r="L1202" s="32" t="str">
        <x:f>IF(AND(L$8&lt;='Detalle'!$H585,L$9&gt;='Detalle'!$G585),1,"")</x:f>
      </x:c>
      <x:c r="M1202" s="32" t="str">
        <x:f>IF(AND(M$8&lt;='Detalle'!$H585,M$9&gt;='Detalle'!$G585),1,"")</x:f>
      </x:c>
      <x:c r="N1202" s="32" t="str">
        <x:f>IF(AND(N$8&lt;='Detalle'!$H585,N$9&gt;='Detalle'!$G585),1,"")</x:f>
      </x:c>
      <x:c r="O1202" s="32" t="str">
        <x:f>IF(AND(O$8&lt;='Detalle'!$H585,O$9&gt;='Detalle'!$G585),1,"")</x:f>
      </x:c>
      <x:c r="P1202" s="32" t="str">
        <x:f>IF(AND(P$8&lt;='Detalle'!$H585,P$9&gt;='Detalle'!$G585),1,"")</x:f>
      </x:c>
      <x:c r="Q1202" s="68"/>
      <x:c r="R1202" s="67" t="str">
        <x:f>IF('Detalle'!M585="","",'Detalle'!M585)</x:f>
      </x:c>
      <x:c r="S1202" s="67" t="str">
        <x:f>IF('Detalle'!N585="","",'Detalle'!N585)</x:f>
      </x:c>
    </x:row>
    <x:row r="1203" ht="16" customHeight="1">
      <x:c r="A1203" s="56" t="str">
        <x:v>PUS02.005</x:v>
      </x:c>
      <x:c r="B1203" s="57" t="str">
        <x:v>Crear worker send-push</x:v>
      </x:c>
      <x:c r="C1203" s="63" t="str">
        <x:v>R</x:v>
      </x:c>
      <x:c r="D1203" s="65" t="str">
        <x:f>IF('Detalle'!L585="","",'Detalle'!L585)</x:f>
      </x:c>
      <x:c r="E1203" s="60" t="str"/>
      <x:c r="F1203" s="32" t="str">
        <x:f>IF(OR('Detalle'!$J585="",'Detalle'!$K585="",'Detalle'!$L585=""),"",IF(AND(F$8&lt;='Detalle'!$K585,F$9&gt;='Detalle'!$J585),1,""))</x:f>
      </x:c>
      <x:c r="G1203" s="32" t="str">
        <x:f>IF(OR('Detalle'!$J585="",'Detalle'!$K585="",'Detalle'!$L585=""),"",IF(AND(G$8&lt;='Detalle'!$K585,G$9&gt;='Detalle'!$J585),1,""))</x:f>
      </x:c>
      <x:c r="H1203" s="32" t="str">
        <x:f>IF(OR('Detalle'!$J585="",'Detalle'!$K585="",'Detalle'!$L585=""),"",IF(AND(H$8&lt;='Detalle'!$K585,H$9&gt;='Detalle'!$J585),1,""))</x:f>
      </x:c>
      <x:c r="I1203" s="32" t="str">
        <x:f>IF(OR('Detalle'!$J585="",'Detalle'!$K585="",'Detalle'!$L585=""),"",IF(AND(I$8&lt;='Detalle'!$K585,I$9&gt;='Detalle'!$J585),1,""))</x:f>
      </x:c>
      <x:c r="J1203" s="32" t="str">
        <x:f>IF(OR('Detalle'!$J585="",'Detalle'!$K585="",'Detalle'!$L585=""),"",IF(AND(J$8&lt;='Detalle'!$K585,J$9&gt;='Detalle'!$J585),1,""))</x:f>
      </x:c>
      <x:c r="K1203" s="32" t="str">
        <x:f>IF(OR('Detalle'!$J585="",'Detalle'!$K585="",'Detalle'!$L585=""),"",IF(AND(K$8&lt;='Detalle'!$K585,K$9&gt;='Detalle'!$J585),1,""))</x:f>
      </x:c>
      <x:c r="L1203" s="32" t="str">
        <x:f>IF(OR('Detalle'!$J585="",'Detalle'!$K585="",'Detalle'!$L585=""),"",IF(AND(L$8&lt;='Detalle'!$K585,L$9&gt;='Detalle'!$J585),1,""))</x:f>
      </x:c>
      <x:c r="M1203" s="32" t="str">
        <x:f>IF(OR('Detalle'!$J585="",'Detalle'!$K585="",'Detalle'!$L585=""),"",IF(AND(M$8&lt;='Detalle'!$K585,M$9&gt;='Detalle'!$J585),1,""))</x:f>
      </x:c>
      <x:c r="N1203" s="32" t="str">
        <x:f>IF(OR('Detalle'!$J585="",'Detalle'!$K585="",'Detalle'!$L585=""),"",IF(AND(N$8&lt;='Detalle'!$K585,N$9&gt;='Detalle'!$J585),1,""))</x:f>
      </x:c>
      <x:c r="O1203" s="32" t="str">
        <x:f>IF(OR('Detalle'!$J585="",'Detalle'!$K585="",'Detalle'!$L585=""),"",IF(AND(O$8&lt;='Detalle'!$K585,O$9&gt;='Detalle'!$J585),1,""))</x:f>
      </x:c>
      <x:c r="P1203" s="32" t="str">
        <x:f>IF(OR('Detalle'!$J585="",'Detalle'!$K585="",'Detalle'!$L585=""),"",IF(AND(P$8&lt;='Detalle'!$K585,P$9&gt;='Detalle'!$J585),1,""))</x:f>
      </x:c>
      <x:c r="Q1203" s="68"/>
      <x:c r="R1203" s="67" t="str"/>
      <x:c r="S1203" s="67" t="str"/>
    </x:row>
    <x:row r="1204" ht="16" customHeight="1">
      <x:c r="A1204" s="56" t="str">
        <x:v>PUS02.006</x:v>
      </x:c>
      <x:c r="B1204" s="57" t="str">
        <x:v>Autenticar worker con secreto propio</x:v>
      </x:c>
      <x:c r="C1204" s="62" t="str">
        <x:v>E</x:v>
      </x:c>
      <x:c r="D1204" s="64" t="n">
        <x:f>'Detalle'!I586</x:f>
        <x:v>1</x:v>
      </x:c>
      <x:c r="E1204" s="60" t="str">
        <x:f>'Detalle'!F586</x:f>
        <x:v>Completado</x:v>
      </x:c>
      <x:c r="F1204" s="32" t="str">
        <x:f>IF(AND(F$8&lt;='Detalle'!$H586,F$9&gt;='Detalle'!$G586),1,"")</x:f>
      </x:c>
      <x:c r="G1204" s="32" t="str">
        <x:f>IF(AND(G$8&lt;='Detalle'!$H586,G$9&gt;='Detalle'!$G586),1,"")</x:f>
      </x:c>
      <x:c r="H1204" s="32" t="str">
        <x:f>IF(AND(H$8&lt;='Detalle'!$H586,H$9&gt;='Detalle'!$G586),1,"")</x:f>
      </x:c>
      <x:c r="I1204" s="32" t="str">
        <x:f>IF(AND(I$8&lt;='Detalle'!$H586,I$9&gt;='Detalle'!$G586),1,"")</x:f>
      </x:c>
      <x:c r="J1204" s="32" t="n">
        <x:f>IF(AND(J$8&lt;='Detalle'!$H586,J$9&gt;='Detalle'!$G586),1,"")</x:f>
        <x:v>1</x:v>
      </x:c>
      <x:c r="K1204" s="32" t="str">
        <x:f>IF(AND(K$8&lt;='Detalle'!$H586,K$9&gt;='Detalle'!$G586),1,"")</x:f>
      </x:c>
      <x:c r="L1204" s="32" t="str">
        <x:f>IF(AND(L$8&lt;='Detalle'!$H586,L$9&gt;='Detalle'!$G586),1,"")</x:f>
      </x:c>
      <x:c r="M1204" s="32" t="str">
        <x:f>IF(AND(M$8&lt;='Detalle'!$H586,M$9&gt;='Detalle'!$G586),1,"")</x:f>
      </x:c>
      <x:c r="N1204" s="32" t="str">
        <x:f>IF(AND(N$8&lt;='Detalle'!$H586,N$9&gt;='Detalle'!$G586),1,"")</x:f>
      </x:c>
      <x:c r="O1204" s="32" t="str">
        <x:f>IF(AND(O$8&lt;='Detalle'!$H586,O$9&gt;='Detalle'!$G586),1,"")</x:f>
      </x:c>
      <x:c r="P1204" s="32" t="str">
        <x:f>IF(AND(P$8&lt;='Detalle'!$H586,P$9&gt;='Detalle'!$G586),1,"")</x:f>
      </x:c>
      <x:c r="Q1204" s="68"/>
      <x:c r="R1204" s="67" t="str">
        <x:f>IF('Detalle'!M586="","",'Detalle'!M586)</x:f>
      </x:c>
      <x:c r="S1204" s="67" t="str">
        <x:f>IF('Detalle'!N586="","",'Detalle'!N586)</x:f>
      </x:c>
    </x:row>
    <x:row r="1205" ht="16" customHeight="1">
      <x:c r="A1205" s="56" t="str">
        <x:v>PUS02.006</x:v>
      </x:c>
      <x:c r="B1205" s="57" t="str">
        <x:v>Autenticar worker con secreto propio</x:v>
      </x:c>
      <x:c r="C1205" s="63" t="str">
        <x:v>R</x:v>
      </x:c>
      <x:c r="D1205" s="65" t="str">
        <x:f>IF('Detalle'!L586="","",'Detalle'!L586)</x:f>
      </x:c>
      <x:c r="E1205" s="60" t="str"/>
      <x:c r="F1205" s="32" t="str">
        <x:f>IF(OR('Detalle'!$J586="",'Detalle'!$K586="",'Detalle'!$L586=""),"",IF(AND(F$8&lt;='Detalle'!$K586,F$9&gt;='Detalle'!$J586),1,""))</x:f>
      </x:c>
      <x:c r="G1205" s="32" t="str">
        <x:f>IF(OR('Detalle'!$J586="",'Detalle'!$K586="",'Detalle'!$L586=""),"",IF(AND(G$8&lt;='Detalle'!$K586,G$9&gt;='Detalle'!$J586),1,""))</x:f>
      </x:c>
      <x:c r="H1205" s="32" t="str">
        <x:f>IF(OR('Detalle'!$J586="",'Detalle'!$K586="",'Detalle'!$L586=""),"",IF(AND(H$8&lt;='Detalle'!$K586,H$9&gt;='Detalle'!$J586),1,""))</x:f>
      </x:c>
      <x:c r="I1205" s="32" t="str">
        <x:f>IF(OR('Detalle'!$J586="",'Detalle'!$K586="",'Detalle'!$L586=""),"",IF(AND(I$8&lt;='Detalle'!$K586,I$9&gt;='Detalle'!$J586),1,""))</x:f>
      </x:c>
      <x:c r="J1205" s="32" t="str">
        <x:f>IF(OR('Detalle'!$J586="",'Detalle'!$K586="",'Detalle'!$L586=""),"",IF(AND(J$8&lt;='Detalle'!$K586,J$9&gt;='Detalle'!$J586),1,""))</x:f>
      </x:c>
      <x:c r="K1205" s="32" t="str">
        <x:f>IF(OR('Detalle'!$J586="",'Detalle'!$K586="",'Detalle'!$L586=""),"",IF(AND(K$8&lt;='Detalle'!$K586,K$9&gt;='Detalle'!$J586),1,""))</x:f>
      </x:c>
      <x:c r="L1205" s="32" t="str">
        <x:f>IF(OR('Detalle'!$J586="",'Detalle'!$K586="",'Detalle'!$L586=""),"",IF(AND(L$8&lt;='Detalle'!$K586,L$9&gt;='Detalle'!$J586),1,""))</x:f>
      </x:c>
      <x:c r="M1205" s="32" t="str">
        <x:f>IF(OR('Detalle'!$J586="",'Detalle'!$K586="",'Detalle'!$L586=""),"",IF(AND(M$8&lt;='Detalle'!$K586,M$9&gt;='Detalle'!$J586),1,""))</x:f>
      </x:c>
      <x:c r="N1205" s="32" t="str">
        <x:f>IF(OR('Detalle'!$J586="",'Detalle'!$K586="",'Detalle'!$L586=""),"",IF(AND(N$8&lt;='Detalle'!$K586,N$9&gt;='Detalle'!$J586),1,""))</x:f>
      </x:c>
      <x:c r="O1205" s="32" t="str">
        <x:f>IF(OR('Detalle'!$J586="",'Detalle'!$K586="",'Detalle'!$L586=""),"",IF(AND(O$8&lt;='Detalle'!$K586,O$9&gt;='Detalle'!$J586),1,""))</x:f>
      </x:c>
      <x:c r="P1205" s="32" t="str">
        <x:f>IF(OR('Detalle'!$J586="",'Detalle'!$K586="",'Detalle'!$L586=""),"",IF(AND(P$8&lt;='Detalle'!$K586,P$9&gt;='Detalle'!$J586),1,""))</x:f>
      </x:c>
      <x:c r="Q1205" s="68"/>
      <x:c r="R1205" s="67" t="str"/>
      <x:c r="S1205" s="67" t="str"/>
    </x:row>
    <x:row r="1206" ht="16" customHeight="1">
      <x:c r="A1206" s="56" t="str">
        <x:v>PUS02.007</x:v>
      </x:c>
      <x:c r="B1206" s="57" t="str">
        <x:v>Obtener OAuth de cuenta FCM</x:v>
      </x:c>
      <x:c r="C1206" s="62" t="str">
        <x:v>E</x:v>
      </x:c>
      <x:c r="D1206" s="64" t="n">
        <x:f>'Detalle'!I587</x:f>
        <x:v>1</x:v>
      </x:c>
      <x:c r="E1206" s="60" t="str">
        <x:f>'Detalle'!F587</x:f>
        <x:v>Completado</x:v>
      </x:c>
      <x:c r="F1206" s="32" t="str">
        <x:f>IF(AND(F$8&lt;='Detalle'!$H587,F$9&gt;='Detalle'!$G587),1,"")</x:f>
      </x:c>
      <x:c r="G1206" s="32" t="str">
        <x:f>IF(AND(G$8&lt;='Detalle'!$H587,G$9&gt;='Detalle'!$G587),1,"")</x:f>
      </x:c>
      <x:c r="H1206" s="32" t="str">
        <x:f>IF(AND(H$8&lt;='Detalle'!$H587,H$9&gt;='Detalle'!$G587),1,"")</x:f>
      </x:c>
      <x:c r="I1206" s="32" t="str">
        <x:f>IF(AND(I$8&lt;='Detalle'!$H587,I$9&gt;='Detalle'!$G587),1,"")</x:f>
      </x:c>
      <x:c r="J1206" s="32" t="n">
        <x:f>IF(AND(J$8&lt;='Detalle'!$H587,J$9&gt;='Detalle'!$G587),1,"")</x:f>
        <x:v>1</x:v>
      </x:c>
      <x:c r="K1206" s="32" t="str">
        <x:f>IF(AND(K$8&lt;='Detalle'!$H587,K$9&gt;='Detalle'!$G587),1,"")</x:f>
      </x:c>
      <x:c r="L1206" s="32" t="str">
        <x:f>IF(AND(L$8&lt;='Detalle'!$H587,L$9&gt;='Detalle'!$G587),1,"")</x:f>
      </x:c>
      <x:c r="M1206" s="32" t="str">
        <x:f>IF(AND(M$8&lt;='Detalle'!$H587,M$9&gt;='Detalle'!$G587),1,"")</x:f>
      </x:c>
      <x:c r="N1206" s="32" t="str">
        <x:f>IF(AND(N$8&lt;='Detalle'!$H587,N$9&gt;='Detalle'!$G587),1,"")</x:f>
      </x:c>
      <x:c r="O1206" s="32" t="str">
        <x:f>IF(AND(O$8&lt;='Detalle'!$H587,O$9&gt;='Detalle'!$G587),1,"")</x:f>
      </x:c>
      <x:c r="P1206" s="32" t="str">
        <x:f>IF(AND(P$8&lt;='Detalle'!$H587,P$9&gt;='Detalle'!$G587),1,"")</x:f>
      </x:c>
      <x:c r="Q1206" s="68"/>
      <x:c r="R1206" s="67" t="str">
        <x:f>IF('Detalle'!M587="","",'Detalle'!M587)</x:f>
      </x:c>
      <x:c r="S1206" s="67" t="str">
        <x:f>IF('Detalle'!N587="","",'Detalle'!N587)</x:f>
      </x:c>
    </x:row>
    <x:row r="1207" ht="16" customHeight="1">
      <x:c r="A1207" s="56" t="str">
        <x:v>PUS02.007</x:v>
      </x:c>
      <x:c r="B1207" s="57" t="str">
        <x:v>Obtener OAuth de cuenta FCM</x:v>
      </x:c>
      <x:c r="C1207" s="63" t="str">
        <x:v>R</x:v>
      </x:c>
      <x:c r="D1207" s="65" t="str">
        <x:f>IF('Detalle'!L587="","",'Detalle'!L587)</x:f>
      </x:c>
      <x:c r="E1207" s="60" t="str"/>
      <x:c r="F1207" s="32" t="str">
        <x:f>IF(OR('Detalle'!$J587="",'Detalle'!$K587="",'Detalle'!$L587=""),"",IF(AND(F$8&lt;='Detalle'!$K587,F$9&gt;='Detalle'!$J587),1,""))</x:f>
      </x:c>
      <x:c r="G1207" s="32" t="str">
        <x:f>IF(OR('Detalle'!$J587="",'Detalle'!$K587="",'Detalle'!$L587=""),"",IF(AND(G$8&lt;='Detalle'!$K587,G$9&gt;='Detalle'!$J587),1,""))</x:f>
      </x:c>
      <x:c r="H1207" s="32" t="str">
        <x:f>IF(OR('Detalle'!$J587="",'Detalle'!$K587="",'Detalle'!$L587=""),"",IF(AND(H$8&lt;='Detalle'!$K587,H$9&gt;='Detalle'!$J587),1,""))</x:f>
      </x:c>
      <x:c r="I1207" s="32" t="str">
        <x:f>IF(OR('Detalle'!$J587="",'Detalle'!$K587="",'Detalle'!$L587=""),"",IF(AND(I$8&lt;='Detalle'!$K587,I$9&gt;='Detalle'!$J587),1,""))</x:f>
      </x:c>
      <x:c r="J1207" s="32" t="str">
        <x:f>IF(OR('Detalle'!$J587="",'Detalle'!$K587="",'Detalle'!$L587=""),"",IF(AND(J$8&lt;='Detalle'!$K587,J$9&gt;='Detalle'!$J587),1,""))</x:f>
      </x:c>
      <x:c r="K1207" s="32" t="str">
        <x:f>IF(OR('Detalle'!$J587="",'Detalle'!$K587="",'Detalle'!$L587=""),"",IF(AND(K$8&lt;='Detalle'!$K587,K$9&gt;='Detalle'!$J587),1,""))</x:f>
      </x:c>
      <x:c r="L1207" s="32" t="str">
        <x:f>IF(OR('Detalle'!$J587="",'Detalle'!$K587="",'Detalle'!$L587=""),"",IF(AND(L$8&lt;='Detalle'!$K587,L$9&gt;='Detalle'!$J587),1,""))</x:f>
      </x:c>
      <x:c r="M1207" s="32" t="str">
        <x:f>IF(OR('Detalle'!$J587="",'Detalle'!$K587="",'Detalle'!$L587=""),"",IF(AND(M$8&lt;='Detalle'!$K587,M$9&gt;='Detalle'!$J587),1,""))</x:f>
      </x:c>
      <x:c r="N1207" s="32" t="str">
        <x:f>IF(OR('Detalle'!$J587="",'Detalle'!$K587="",'Detalle'!$L587=""),"",IF(AND(N$8&lt;='Detalle'!$K587,N$9&gt;='Detalle'!$J587),1,""))</x:f>
      </x:c>
      <x:c r="O1207" s="32" t="str">
        <x:f>IF(OR('Detalle'!$J587="",'Detalle'!$K587="",'Detalle'!$L587=""),"",IF(AND(O$8&lt;='Detalle'!$K587,O$9&gt;='Detalle'!$J587),1,""))</x:f>
      </x:c>
      <x:c r="P1207" s="32" t="str">
        <x:f>IF(OR('Detalle'!$J587="",'Detalle'!$K587="",'Detalle'!$L587=""),"",IF(AND(P$8&lt;='Detalle'!$K587,P$9&gt;='Detalle'!$J587),1,""))</x:f>
      </x:c>
      <x:c r="Q1207" s="68"/>
      <x:c r="R1207" s="67" t="str"/>
      <x:c r="S1207" s="67" t="str"/>
    </x:row>
    <x:row r="1208" ht="16" customHeight="1">
      <x:c r="A1208" s="56" t="str">
        <x:v>PUS02.008</x:v>
      </x:c>
      <x:c r="B1208" s="57" t="str">
        <x:v>Enviar aviso mediante FCM HTTP v1</x:v>
      </x:c>
      <x:c r="C1208" s="62" t="str">
        <x:v>E</x:v>
      </x:c>
      <x:c r="D1208" s="64" t="n">
        <x:f>'Detalle'!I588</x:f>
        <x:v>1</x:v>
      </x:c>
      <x:c r="E1208" s="60" t="str">
        <x:f>'Detalle'!F588</x:f>
        <x:v>Completado</x:v>
      </x:c>
      <x:c r="F1208" s="32" t="str">
        <x:f>IF(AND(F$8&lt;='Detalle'!$H588,F$9&gt;='Detalle'!$G588),1,"")</x:f>
      </x:c>
      <x:c r="G1208" s="32" t="str">
        <x:f>IF(AND(G$8&lt;='Detalle'!$H588,G$9&gt;='Detalle'!$G588),1,"")</x:f>
      </x:c>
      <x:c r="H1208" s="32" t="str">
        <x:f>IF(AND(H$8&lt;='Detalle'!$H588,H$9&gt;='Detalle'!$G588),1,"")</x:f>
      </x:c>
      <x:c r="I1208" s="32" t="str">
        <x:f>IF(AND(I$8&lt;='Detalle'!$H588,I$9&gt;='Detalle'!$G588),1,"")</x:f>
      </x:c>
      <x:c r="J1208" s="32" t="n">
        <x:f>IF(AND(J$8&lt;='Detalle'!$H588,J$9&gt;='Detalle'!$G588),1,"")</x:f>
        <x:v>1</x:v>
      </x:c>
      <x:c r="K1208" s="32" t="str">
        <x:f>IF(AND(K$8&lt;='Detalle'!$H588,K$9&gt;='Detalle'!$G588),1,"")</x:f>
      </x:c>
      <x:c r="L1208" s="32" t="str">
        <x:f>IF(AND(L$8&lt;='Detalle'!$H588,L$9&gt;='Detalle'!$G588),1,"")</x:f>
      </x:c>
      <x:c r="M1208" s="32" t="str">
        <x:f>IF(AND(M$8&lt;='Detalle'!$H588,M$9&gt;='Detalle'!$G588),1,"")</x:f>
      </x:c>
      <x:c r="N1208" s="32" t="str">
        <x:f>IF(AND(N$8&lt;='Detalle'!$H588,N$9&gt;='Detalle'!$G588),1,"")</x:f>
      </x:c>
      <x:c r="O1208" s="32" t="str">
        <x:f>IF(AND(O$8&lt;='Detalle'!$H588,O$9&gt;='Detalle'!$G588),1,"")</x:f>
      </x:c>
      <x:c r="P1208" s="32" t="str">
        <x:f>IF(AND(P$8&lt;='Detalle'!$H588,P$9&gt;='Detalle'!$G588),1,"")</x:f>
      </x:c>
      <x:c r="Q1208" s="68"/>
      <x:c r="R1208" s="67" t="str">
        <x:f>IF('Detalle'!M588="","",'Detalle'!M588)</x:f>
      </x:c>
      <x:c r="S1208" s="67" t="str">
        <x:f>IF('Detalle'!N588="","",'Detalle'!N588)</x:f>
      </x:c>
    </x:row>
    <x:row r="1209" ht="16" customHeight="1">
      <x:c r="A1209" s="56" t="str">
        <x:v>PUS02.008</x:v>
      </x:c>
      <x:c r="B1209" s="57" t="str">
        <x:v>Enviar aviso mediante FCM HTTP v1</x:v>
      </x:c>
      <x:c r="C1209" s="63" t="str">
        <x:v>R</x:v>
      </x:c>
      <x:c r="D1209" s="65" t="str">
        <x:f>IF('Detalle'!L588="","",'Detalle'!L588)</x:f>
      </x:c>
      <x:c r="E1209" s="60" t="str"/>
      <x:c r="F1209" s="32" t="str">
        <x:f>IF(OR('Detalle'!$J588="",'Detalle'!$K588="",'Detalle'!$L588=""),"",IF(AND(F$8&lt;='Detalle'!$K588,F$9&gt;='Detalle'!$J588),1,""))</x:f>
      </x:c>
      <x:c r="G1209" s="32" t="str">
        <x:f>IF(OR('Detalle'!$J588="",'Detalle'!$K588="",'Detalle'!$L588=""),"",IF(AND(G$8&lt;='Detalle'!$K588,G$9&gt;='Detalle'!$J588),1,""))</x:f>
      </x:c>
      <x:c r="H1209" s="32" t="str">
        <x:f>IF(OR('Detalle'!$J588="",'Detalle'!$K588="",'Detalle'!$L588=""),"",IF(AND(H$8&lt;='Detalle'!$K588,H$9&gt;='Detalle'!$J588),1,""))</x:f>
      </x:c>
      <x:c r="I1209" s="32" t="str">
        <x:f>IF(OR('Detalle'!$J588="",'Detalle'!$K588="",'Detalle'!$L588=""),"",IF(AND(I$8&lt;='Detalle'!$K588,I$9&gt;='Detalle'!$J588),1,""))</x:f>
      </x:c>
      <x:c r="J1209" s="32" t="str">
        <x:f>IF(OR('Detalle'!$J588="",'Detalle'!$K588="",'Detalle'!$L588=""),"",IF(AND(J$8&lt;='Detalle'!$K588,J$9&gt;='Detalle'!$J588),1,""))</x:f>
      </x:c>
      <x:c r="K1209" s="32" t="str">
        <x:f>IF(OR('Detalle'!$J588="",'Detalle'!$K588="",'Detalle'!$L588=""),"",IF(AND(K$8&lt;='Detalle'!$K588,K$9&gt;='Detalle'!$J588),1,""))</x:f>
      </x:c>
      <x:c r="L1209" s="32" t="str">
        <x:f>IF(OR('Detalle'!$J588="",'Detalle'!$K588="",'Detalle'!$L588=""),"",IF(AND(L$8&lt;='Detalle'!$K588,L$9&gt;='Detalle'!$J588),1,""))</x:f>
      </x:c>
      <x:c r="M1209" s="32" t="str">
        <x:f>IF(OR('Detalle'!$J588="",'Detalle'!$K588="",'Detalle'!$L588=""),"",IF(AND(M$8&lt;='Detalle'!$K588,M$9&gt;='Detalle'!$J588),1,""))</x:f>
      </x:c>
      <x:c r="N1209" s="32" t="str">
        <x:f>IF(OR('Detalle'!$J588="",'Detalle'!$K588="",'Detalle'!$L588=""),"",IF(AND(N$8&lt;='Detalle'!$K588,N$9&gt;='Detalle'!$J588),1,""))</x:f>
      </x:c>
      <x:c r="O1209" s="32" t="str">
        <x:f>IF(OR('Detalle'!$J588="",'Detalle'!$K588="",'Detalle'!$L588=""),"",IF(AND(O$8&lt;='Detalle'!$K588,O$9&gt;='Detalle'!$J588),1,""))</x:f>
      </x:c>
      <x:c r="P1209" s="32" t="str">
        <x:f>IF(OR('Detalle'!$J588="",'Detalle'!$K588="",'Detalle'!$L588=""),"",IF(AND(P$8&lt;='Detalle'!$K588,P$9&gt;='Detalle'!$J588),1,""))</x:f>
      </x:c>
      <x:c r="Q1209" s="68"/>
      <x:c r="R1209" s="67" t="str"/>
      <x:c r="S1209" s="67" t="str"/>
    </x:row>
    <x:row r="1210" ht="16" customHeight="1">
      <x:c r="A1210" s="56" t="str">
        <x:v>PUS02.009</x:v>
      </x:c>
      <x:c r="B1210" s="57" t="str">
        <x:v>Reintentar fallos de entrega</x:v>
      </x:c>
      <x:c r="C1210" s="62" t="str">
        <x:v>E</x:v>
      </x:c>
      <x:c r="D1210" s="64" t="n">
        <x:f>'Detalle'!I589</x:f>
        <x:v>1</x:v>
      </x:c>
      <x:c r="E1210" s="60" t="str">
        <x:f>'Detalle'!F589</x:f>
        <x:v>Completado</x:v>
      </x:c>
      <x:c r="F1210" s="32" t="str">
        <x:f>IF(AND(F$8&lt;='Detalle'!$H589,F$9&gt;='Detalle'!$G589),1,"")</x:f>
      </x:c>
      <x:c r="G1210" s="32" t="str">
        <x:f>IF(AND(G$8&lt;='Detalle'!$H589,G$9&gt;='Detalle'!$G589),1,"")</x:f>
      </x:c>
      <x:c r="H1210" s="32" t="str">
        <x:f>IF(AND(H$8&lt;='Detalle'!$H589,H$9&gt;='Detalle'!$G589),1,"")</x:f>
      </x:c>
      <x:c r="I1210" s="32" t="str">
        <x:f>IF(AND(I$8&lt;='Detalle'!$H589,I$9&gt;='Detalle'!$G589),1,"")</x:f>
      </x:c>
      <x:c r="J1210" s="32" t="n">
        <x:f>IF(AND(J$8&lt;='Detalle'!$H589,J$9&gt;='Detalle'!$G589),1,"")</x:f>
        <x:v>1</x:v>
      </x:c>
      <x:c r="K1210" s="32" t="str">
        <x:f>IF(AND(K$8&lt;='Detalle'!$H589,K$9&gt;='Detalle'!$G589),1,"")</x:f>
      </x:c>
      <x:c r="L1210" s="32" t="str">
        <x:f>IF(AND(L$8&lt;='Detalle'!$H589,L$9&gt;='Detalle'!$G589),1,"")</x:f>
      </x:c>
      <x:c r="M1210" s="32" t="str">
        <x:f>IF(AND(M$8&lt;='Detalle'!$H589,M$9&gt;='Detalle'!$G589),1,"")</x:f>
      </x:c>
      <x:c r="N1210" s="32" t="str">
        <x:f>IF(AND(N$8&lt;='Detalle'!$H589,N$9&gt;='Detalle'!$G589),1,"")</x:f>
      </x:c>
      <x:c r="O1210" s="32" t="str">
        <x:f>IF(AND(O$8&lt;='Detalle'!$H589,O$9&gt;='Detalle'!$G589),1,"")</x:f>
      </x:c>
      <x:c r="P1210" s="32" t="str">
        <x:f>IF(AND(P$8&lt;='Detalle'!$H589,P$9&gt;='Detalle'!$G589),1,"")</x:f>
      </x:c>
      <x:c r="Q1210" s="68"/>
      <x:c r="R1210" s="67" t="str">
        <x:f>IF('Detalle'!M589="","",'Detalle'!M589)</x:f>
      </x:c>
      <x:c r="S1210" s="67" t="str">
        <x:f>IF('Detalle'!N589="","",'Detalle'!N589)</x:f>
      </x:c>
    </x:row>
    <x:row r="1211" ht="16" customHeight="1">
      <x:c r="A1211" s="56" t="str">
        <x:v>PUS02.009</x:v>
      </x:c>
      <x:c r="B1211" s="57" t="str">
        <x:v>Reintentar fallos de entrega</x:v>
      </x:c>
      <x:c r="C1211" s="63" t="str">
        <x:v>R</x:v>
      </x:c>
      <x:c r="D1211" s="65" t="str">
        <x:f>IF('Detalle'!L589="","",'Detalle'!L589)</x:f>
      </x:c>
      <x:c r="E1211" s="60" t="str"/>
      <x:c r="F1211" s="32" t="str">
        <x:f>IF(OR('Detalle'!$J589="",'Detalle'!$K589="",'Detalle'!$L589=""),"",IF(AND(F$8&lt;='Detalle'!$K589,F$9&gt;='Detalle'!$J589),1,""))</x:f>
      </x:c>
      <x:c r="G1211" s="32" t="str">
        <x:f>IF(OR('Detalle'!$J589="",'Detalle'!$K589="",'Detalle'!$L589=""),"",IF(AND(G$8&lt;='Detalle'!$K589,G$9&gt;='Detalle'!$J589),1,""))</x:f>
      </x:c>
      <x:c r="H1211" s="32" t="str">
        <x:f>IF(OR('Detalle'!$J589="",'Detalle'!$K589="",'Detalle'!$L589=""),"",IF(AND(H$8&lt;='Detalle'!$K589,H$9&gt;='Detalle'!$J589),1,""))</x:f>
      </x:c>
      <x:c r="I1211" s="32" t="str">
        <x:f>IF(OR('Detalle'!$J589="",'Detalle'!$K589="",'Detalle'!$L589=""),"",IF(AND(I$8&lt;='Detalle'!$K589,I$9&gt;='Detalle'!$J589),1,""))</x:f>
      </x:c>
      <x:c r="J1211" s="32" t="str">
        <x:f>IF(OR('Detalle'!$J589="",'Detalle'!$K589="",'Detalle'!$L589=""),"",IF(AND(J$8&lt;='Detalle'!$K589,J$9&gt;='Detalle'!$J589),1,""))</x:f>
      </x:c>
      <x:c r="K1211" s="32" t="str">
        <x:f>IF(OR('Detalle'!$J589="",'Detalle'!$K589="",'Detalle'!$L589=""),"",IF(AND(K$8&lt;='Detalle'!$K589,K$9&gt;='Detalle'!$J589),1,""))</x:f>
      </x:c>
      <x:c r="L1211" s="32" t="str">
        <x:f>IF(OR('Detalle'!$J589="",'Detalle'!$K589="",'Detalle'!$L589=""),"",IF(AND(L$8&lt;='Detalle'!$K589,L$9&gt;='Detalle'!$J589),1,""))</x:f>
      </x:c>
      <x:c r="M1211" s="32" t="str">
        <x:f>IF(OR('Detalle'!$J589="",'Detalle'!$K589="",'Detalle'!$L589=""),"",IF(AND(M$8&lt;='Detalle'!$K589,M$9&gt;='Detalle'!$J589),1,""))</x:f>
      </x:c>
      <x:c r="N1211" s="32" t="str">
        <x:f>IF(OR('Detalle'!$J589="",'Detalle'!$K589="",'Detalle'!$L589=""),"",IF(AND(N$8&lt;='Detalle'!$K589,N$9&gt;='Detalle'!$J589),1,""))</x:f>
      </x:c>
      <x:c r="O1211" s="32" t="str">
        <x:f>IF(OR('Detalle'!$J589="",'Detalle'!$K589="",'Detalle'!$L589=""),"",IF(AND(O$8&lt;='Detalle'!$K589,O$9&gt;='Detalle'!$J589),1,""))</x:f>
      </x:c>
      <x:c r="P1211" s="32" t="str">
        <x:f>IF(OR('Detalle'!$J589="",'Detalle'!$K589="",'Detalle'!$L589=""),"",IF(AND(P$8&lt;='Detalle'!$K589,P$9&gt;='Detalle'!$J589),1,""))</x:f>
      </x:c>
      <x:c r="Q1211" s="68"/>
      <x:c r="R1211" s="67" t="str"/>
      <x:c r="S1211" s="67" t="str"/>
    </x:row>
    <x:row r="1212" ht="16" customHeight="1">
      <x:c r="A1212" s="56" t="str">
        <x:v>PUS02.010</x:v>
      </x:c>
      <x:c r="B1212" s="57" t="str">
        <x:v>Terminar trabajos tras cinco fallos</x:v>
      </x:c>
      <x:c r="C1212" s="62" t="str">
        <x:v>E</x:v>
      </x:c>
      <x:c r="D1212" s="64" t="n">
        <x:f>'Detalle'!I590</x:f>
        <x:v>1</x:v>
      </x:c>
      <x:c r="E1212" s="60" t="str">
        <x:f>'Detalle'!F590</x:f>
        <x:v>Completado</x:v>
      </x:c>
      <x:c r="F1212" s="32" t="str">
        <x:f>IF(AND(F$8&lt;='Detalle'!$H590,F$9&gt;='Detalle'!$G590),1,"")</x:f>
      </x:c>
      <x:c r="G1212" s="32" t="str">
        <x:f>IF(AND(G$8&lt;='Detalle'!$H590,G$9&gt;='Detalle'!$G590),1,"")</x:f>
      </x:c>
      <x:c r="H1212" s="32" t="str">
        <x:f>IF(AND(H$8&lt;='Detalle'!$H590,H$9&gt;='Detalle'!$G590),1,"")</x:f>
      </x:c>
      <x:c r="I1212" s="32" t="str">
        <x:f>IF(AND(I$8&lt;='Detalle'!$H590,I$9&gt;='Detalle'!$G590),1,"")</x:f>
      </x:c>
      <x:c r="J1212" s="32" t="n">
        <x:f>IF(AND(J$8&lt;='Detalle'!$H590,J$9&gt;='Detalle'!$G590),1,"")</x:f>
        <x:v>1</x:v>
      </x:c>
      <x:c r="K1212" s="32" t="str">
        <x:f>IF(AND(K$8&lt;='Detalle'!$H590,K$9&gt;='Detalle'!$G590),1,"")</x:f>
      </x:c>
      <x:c r="L1212" s="32" t="str">
        <x:f>IF(AND(L$8&lt;='Detalle'!$H590,L$9&gt;='Detalle'!$G590),1,"")</x:f>
      </x:c>
      <x:c r="M1212" s="32" t="str">
        <x:f>IF(AND(M$8&lt;='Detalle'!$H590,M$9&gt;='Detalle'!$G590),1,"")</x:f>
      </x:c>
      <x:c r="N1212" s="32" t="str">
        <x:f>IF(AND(N$8&lt;='Detalle'!$H590,N$9&gt;='Detalle'!$G590),1,"")</x:f>
      </x:c>
      <x:c r="O1212" s="32" t="str">
        <x:f>IF(AND(O$8&lt;='Detalle'!$H590,O$9&gt;='Detalle'!$G590),1,"")</x:f>
      </x:c>
      <x:c r="P1212" s="32" t="str">
        <x:f>IF(AND(P$8&lt;='Detalle'!$H590,P$9&gt;='Detalle'!$G590),1,"")</x:f>
      </x:c>
      <x:c r="Q1212" s="68"/>
      <x:c r="R1212" s="67" t="str">
        <x:f>IF('Detalle'!M590="","",'Detalle'!M590)</x:f>
      </x:c>
      <x:c r="S1212" s="67" t="str">
        <x:f>IF('Detalle'!N590="","",'Detalle'!N590)</x:f>
      </x:c>
    </x:row>
    <x:row r="1213" ht="16" customHeight="1">
      <x:c r="A1213" s="56" t="str">
        <x:v>PUS02.010</x:v>
      </x:c>
      <x:c r="B1213" s="57" t="str">
        <x:v>Terminar trabajos tras cinco fallos</x:v>
      </x:c>
      <x:c r="C1213" s="63" t="str">
        <x:v>R</x:v>
      </x:c>
      <x:c r="D1213" s="65" t="str">
        <x:f>IF('Detalle'!L590="","",'Detalle'!L590)</x:f>
      </x:c>
      <x:c r="E1213" s="60" t="str"/>
      <x:c r="F1213" s="32" t="str">
        <x:f>IF(OR('Detalle'!$J590="",'Detalle'!$K590="",'Detalle'!$L590=""),"",IF(AND(F$8&lt;='Detalle'!$K590,F$9&gt;='Detalle'!$J590),1,""))</x:f>
      </x:c>
      <x:c r="G1213" s="32" t="str">
        <x:f>IF(OR('Detalle'!$J590="",'Detalle'!$K590="",'Detalle'!$L590=""),"",IF(AND(G$8&lt;='Detalle'!$K590,G$9&gt;='Detalle'!$J590),1,""))</x:f>
      </x:c>
      <x:c r="H1213" s="32" t="str">
        <x:f>IF(OR('Detalle'!$J590="",'Detalle'!$K590="",'Detalle'!$L590=""),"",IF(AND(H$8&lt;='Detalle'!$K590,H$9&gt;='Detalle'!$J590),1,""))</x:f>
      </x:c>
      <x:c r="I1213" s="32" t="str">
        <x:f>IF(OR('Detalle'!$J590="",'Detalle'!$K590="",'Detalle'!$L590=""),"",IF(AND(I$8&lt;='Detalle'!$K590,I$9&gt;='Detalle'!$J590),1,""))</x:f>
      </x:c>
      <x:c r="J1213" s="32" t="str">
        <x:f>IF(OR('Detalle'!$J590="",'Detalle'!$K590="",'Detalle'!$L590=""),"",IF(AND(J$8&lt;='Detalle'!$K590,J$9&gt;='Detalle'!$J590),1,""))</x:f>
      </x:c>
      <x:c r="K1213" s="32" t="str">
        <x:f>IF(OR('Detalle'!$J590="",'Detalle'!$K590="",'Detalle'!$L590=""),"",IF(AND(K$8&lt;='Detalle'!$K590,K$9&gt;='Detalle'!$J590),1,""))</x:f>
      </x:c>
      <x:c r="L1213" s="32" t="str">
        <x:f>IF(OR('Detalle'!$J590="",'Detalle'!$K590="",'Detalle'!$L590=""),"",IF(AND(L$8&lt;='Detalle'!$K590,L$9&gt;='Detalle'!$J590),1,""))</x:f>
      </x:c>
      <x:c r="M1213" s="32" t="str">
        <x:f>IF(OR('Detalle'!$J590="",'Detalle'!$K590="",'Detalle'!$L590=""),"",IF(AND(M$8&lt;='Detalle'!$K590,M$9&gt;='Detalle'!$J590),1,""))</x:f>
      </x:c>
      <x:c r="N1213" s="32" t="str">
        <x:f>IF(OR('Detalle'!$J590="",'Detalle'!$K590="",'Detalle'!$L590=""),"",IF(AND(N$8&lt;='Detalle'!$K590,N$9&gt;='Detalle'!$J590),1,""))</x:f>
      </x:c>
      <x:c r="O1213" s="32" t="str">
        <x:f>IF(OR('Detalle'!$J590="",'Detalle'!$K590="",'Detalle'!$L590=""),"",IF(AND(O$8&lt;='Detalle'!$K590,O$9&gt;='Detalle'!$J590),1,""))</x:f>
      </x:c>
      <x:c r="P1213" s="32" t="str">
        <x:f>IF(OR('Detalle'!$J590="",'Detalle'!$K590="",'Detalle'!$L590=""),"",IF(AND(P$8&lt;='Detalle'!$K590,P$9&gt;='Detalle'!$J590),1,""))</x:f>
      </x:c>
      <x:c r="Q1213" s="68"/>
      <x:c r="R1213" s="67" t="str"/>
      <x:c r="S1213" s="67" t="str"/>
    </x:row>
    <x:row r="1214" ht="16" customHeight="1">
      <x:c r="A1214" s="56" t="str">
        <x:v>PUS02.011</x:v>
      </x:c>
      <x:c r="B1214" s="57" t="str">
        <x:v>Desactivar versión reclamada de token inválido</x:v>
      </x:c>
      <x:c r="C1214" s="62" t="str">
        <x:v>E</x:v>
      </x:c>
      <x:c r="D1214" s="64" t="n">
        <x:f>'Detalle'!I591</x:f>
        <x:v>1</x:v>
      </x:c>
      <x:c r="E1214" s="60" t="str">
        <x:f>'Detalle'!F591</x:f>
        <x:v>Completado</x:v>
      </x:c>
      <x:c r="F1214" s="32" t="str">
        <x:f>IF(AND(F$8&lt;='Detalle'!$H591,F$9&gt;='Detalle'!$G591),1,"")</x:f>
      </x:c>
      <x:c r="G1214" s="32" t="str">
        <x:f>IF(AND(G$8&lt;='Detalle'!$H591,G$9&gt;='Detalle'!$G591),1,"")</x:f>
      </x:c>
      <x:c r="H1214" s="32" t="str">
        <x:f>IF(AND(H$8&lt;='Detalle'!$H591,H$9&gt;='Detalle'!$G591),1,"")</x:f>
      </x:c>
      <x:c r="I1214" s="32" t="str">
        <x:f>IF(AND(I$8&lt;='Detalle'!$H591,I$9&gt;='Detalle'!$G591),1,"")</x:f>
      </x:c>
      <x:c r="J1214" s="32" t="n">
        <x:f>IF(AND(J$8&lt;='Detalle'!$H591,J$9&gt;='Detalle'!$G591),1,"")</x:f>
        <x:v>1</x:v>
      </x:c>
      <x:c r="K1214" s="32" t="str">
        <x:f>IF(AND(K$8&lt;='Detalle'!$H591,K$9&gt;='Detalle'!$G591),1,"")</x:f>
      </x:c>
      <x:c r="L1214" s="32" t="str">
        <x:f>IF(AND(L$8&lt;='Detalle'!$H591,L$9&gt;='Detalle'!$G591),1,"")</x:f>
      </x:c>
      <x:c r="M1214" s="32" t="str">
        <x:f>IF(AND(M$8&lt;='Detalle'!$H591,M$9&gt;='Detalle'!$G591),1,"")</x:f>
      </x:c>
      <x:c r="N1214" s="32" t="str">
        <x:f>IF(AND(N$8&lt;='Detalle'!$H591,N$9&gt;='Detalle'!$G591),1,"")</x:f>
      </x:c>
      <x:c r="O1214" s="32" t="str">
        <x:f>IF(AND(O$8&lt;='Detalle'!$H591,O$9&gt;='Detalle'!$G591),1,"")</x:f>
      </x:c>
      <x:c r="P1214" s="32" t="str">
        <x:f>IF(AND(P$8&lt;='Detalle'!$H591,P$9&gt;='Detalle'!$G591),1,"")</x:f>
      </x:c>
      <x:c r="Q1214" s="68"/>
      <x:c r="R1214" s="67" t="str">
        <x:f>IF('Detalle'!M591="","",'Detalle'!M591)</x:f>
      </x:c>
      <x:c r="S1214" s="67" t="str">
        <x:f>IF('Detalle'!N591="","",'Detalle'!N591)</x:f>
      </x:c>
    </x:row>
    <x:row r="1215" ht="16" customHeight="1">
      <x:c r="A1215" s="56" t="str">
        <x:v>PUS02.011</x:v>
      </x:c>
      <x:c r="B1215" s="57" t="str">
        <x:v>Desactivar versión reclamada de token inválido</x:v>
      </x:c>
      <x:c r="C1215" s="63" t="str">
        <x:v>R</x:v>
      </x:c>
      <x:c r="D1215" s="65" t="str">
        <x:f>IF('Detalle'!L591="","",'Detalle'!L591)</x:f>
      </x:c>
      <x:c r="E1215" s="60" t="str"/>
      <x:c r="F1215" s="32" t="str">
        <x:f>IF(OR('Detalle'!$J591="",'Detalle'!$K591="",'Detalle'!$L591=""),"",IF(AND(F$8&lt;='Detalle'!$K591,F$9&gt;='Detalle'!$J591),1,""))</x:f>
      </x:c>
      <x:c r="G1215" s="32" t="str">
        <x:f>IF(OR('Detalle'!$J591="",'Detalle'!$K591="",'Detalle'!$L591=""),"",IF(AND(G$8&lt;='Detalle'!$K591,G$9&gt;='Detalle'!$J591),1,""))</x:f>
      </x:c>
      <x:c r="H1215" s="32" t="str">
        <x:f>IF(OR('Detalle'!$J591="",'Detalle'!$K591="",'Detalle'!$L591=""),"",IF(AND(H$8&lt;='Detalle'!$K591,H$9&gt;='Detalle'!$J591),1,""))</x:f>
      </x:c>
      <x:c r="I1215" s="32" t="str">
        <x:f>IF(OR('Detalle'!$J591="",'Detalle'!$K591="",'Detalle'!$L591=""),"",IF(AND(I$8&lt;='Detalle'!$K591,I$9&gt;='Detalle'!$J591),1,""))</x:f>
      </x:c>
      <x:c r="J1215" s="32" t="str">
        <x:f>IF(OR('Detalle'!$J591="",'Detalle'!$K591="",'Detalle'!$L591=""),"",IF(AND(J$8&lt;='Detalle'!$K591,J$9&gt;='Detalle'!$J591),1,""))</x:f>
      </x:c>
      <x:c r="K1215" s="32" t="str">
        <x:f>IF(OR('Detalle'!$J591="",'Detalle'!$K591="",'Detalle'!$L591=""),"",IF(AND(K$8&lt;='Detalle'!$K591,K$9&gt;='Detalle'!$J591),1,""))</x:f>
      </x:c>
      <x:c r="L1215" s="32" t="str">
        <x:f>IF(OR('Detalle'!$J591="",'Detalle'!$K591="",'Detalle'!$L591=""),"",IF(AND(L$8&lt;='Detalle'!$K591,L$9&gt;='Detalle'!$J591),1,""))</x:f>
      </x:c>
      <x:c r="M1215" s="32" t="str">
        <x:f>IF(OR('Detalle'!$J591="",'Detalle'!$K591="",'Detalle'!$L591=""),"",IF(AND(M$8&lt;='Detalle'!$K591,M$9&gt;='Detalle'!$J591),1,""))</x:f>
      </x:c>
      <x:c r="N1215" s="32" t="str">
        <x:f>IF(OR('Detalle'!$J591="",'Detalle'!$K591="",'Detalle'!$L591=""),"",IF(AND(N$8&lt;='Detalle'!$K591,N$9&gt;='Detalle'!$J591),1,""))</x:f>
      </x:c>
      <x:c r="O1215" s="32" t="str">
        <x:f>IF(OR('Detalle'!$J591="",'Detalle'!$K591="",'Detalle'!$L591=""),"",IF(AND(O$8&lt;='Detalle'!$K591,O$9&gt;='Detalle'!$J591),1,""))</x:f>
      </x:c>
      <x:c r="P1215" s="32" t="str">
        <x:f>IF(OR('Detalle'!$J591="",'Detalle'!$K591="",'Detalle'!$L591=""),"",IF(AND(P$8&lt;='Detalle'!$K591,P$9&gt;='Detalle'!$J591),1,""))</x:f>
      </x:c>
      <x:c r="Q1215" s="68"/>
      <x:c r="R1215" s="67" t="str"/>
      <x:c r="S1215" s="67" t="str"/>
    </x:row>
    <x:row r="1216" ht="16" customHeight="1">
      <x:c r="A1216" s="56" t="str">
        <x:v>PUS02.012</x:v>
      </x:c>
      <x:c r="B1216" s="57" t="str">
        <x:v>Programar mensaje tras 72 horas sin actividad</x:v>
      </x:c>
      <x:c r="C1216" s="62" t="str">
        <x:v>E</x:v>
      </x:c>
      <x:c r="D1216" s="64" t="n">
        <x:f>'Detalle'!I592</x:f>
        <x:v>1</x:v>
      </x:c>
      <x:c r="E1216" s="60" t="str">
        <x:f>'Detalle'!F592</x:f>
        <x:v>Completado</x:v>
      </x:c>
      <x:c r="F1216" s="32" t="str">
        <x:f>IF(AND(F$8&lt;='Detalle'!$H592,F$9&gt;='Detalle'!$G592),1,"")</x:f>
      </x:c>
      <x:c r="G1216" s="32" t="str">
        <x:f>IF(AND(G$8&lt;='Detalle'!$H592,G$9&gt;='Detalle'!$G592),1,"")</x:f>
      </x:c>
      <x:c r="H1216" s="32" t="str">
        <x:f>IF(AND(H$8&lt;='Detalle'!$H592,H$9&gt;='Detalle'!$G592),1,"")</x:f>
      </x:c>
      <x:c r="I1216" s="32" t="str">
        <x:f>IF(AND(I$8&lt;='Detalle'!$H592,I$9&gt;='Detalle'!$G592),1,"")</x:f>
      </x:c>
      <x:c r="J1216" s="32" t="n">
        <x:f>IF(AND(J$8&lt;='Detalle'!$H592,J$9&gt;='Detalle'!$G592),1,"")</x:f>
        <x:v>1</x:v>
      </x:c>
      <x:c r="K1216" s="32" t="str">
        <x:f>IF(AND(K$8&lt;='Detalle'!$H592,K$9&gt;='Detalle'!$G592),1,"")</x:f>
      </x:c>
      <x:c r="L1216" s="32" t="str">
        <x:f>IF(AND(L$8&lt;='Detalle'!$H592,L$9&gt;='Detalle'!$G592),1,"")</x:f>
      </x:c>
      <x:c r="M1216" s="32" t="str">
        <x:f>IF(AND(M$8&lt;='Detalle'!$H592,M$9&gt;='Detalle'!$G592),1,"")</x:f>
      </x:c>
      <x:c r="N1216" s="32" t="str">
        <x:f>IF(AND(N$8&lt;='Detalle'!$H592,N$9&gt;='Detalle'!$G592),1,"")</x:f>
      </x:c>
      <x:c r="O1216" s="32" t="str">
        <x:f>IF(AND(O$8&lt;='Detalle'!$H592,O$9&gt;='Detalle'!$G592),1,"")</x:f>
      </x:c>
      <x:c r="P1216" s="32" t="str">
        <x:f>IF(AND(P$8&lt;='Detalle'!$H592,P$9&gt;='Detalle'!$G592),1,"")</x:f>
      </x:c>
      <x:c r="Q1216" s="68"/>
      <x:c r="R1216" s="67" t="str">
        <x:f>IF('Detalle'!M592="","",'Detalle'!M592)</x:f>
      </x:c>
      <x:c r="S1216" s="67" t="str">
        <x:f>IF('Detalle'!N592="","",'Detalle'!N592)</x:f>
      </x:c>
    </x:row>
    <x:row r="1217" ht="16" customHeight="1">
      <x:c r="A1217" s="56" t="str">
        <x:v>PUS02.012</x:v>
      </x:c>
      <x:c r="B1217" s="57" t="str">
        <x:v>Programar mensaje tras 72 horas sin actividad</x:v>
      </x:c>
      <x:c r="C1217" s="63" t="str">
        <x:v>R</x:v>
      </x:c>
      <x:c r="D1217" s="65" t="str">
        <x:f>IF('Detalle'!L592="","",'Detalle'!L592)</x:f>
      </x:c>
      <x:c r="E1217" s="60" t="str"/>
      <x:c r="F1217" s="32" t="str">
        <x:f>IF(OR('Detalle'!$J592="",'Detalle'!$K592="",'Detalle'!$L592=""),"",IF(AND(F$8&lt;='Detalle'!$K592,F$9&gt;='Detalle'!$J592),1,""))</x:f>
      </x:c>
      <x:c r="G1217" s="32" t="str">
        <x:f>IF(OR('Detalle'!$J592="",'Detalle'!$K592="",'Detalle'!$L592=""),"",IF(AND(G$8&lt;='Detalle'!$K592,G$9&gt;='Detalle'!$J592),1,""))</x:f>
      </x:c>
      <x:c r="H1217" s="32" t="str">
        <x:f>IF(OR('Detalle'!$J592="",'Detalle'!$K592="",'Detalle'!$L592=""),"",IF(AND(H$8&lt;='Detalle'!$K592,H$9&gt;='Detalle'!$J592),1,""))</x:f>
      </x:c>
      <x:c r="I1217" s="32" t="str">
        <x:f>IF(OR('Detalle'!$J592="",'Detalle'!$K592="",'Detalle'!$L592=""),"",IF(AND(I$8&lt;='Detalle'!$K592,I$9&gt;='Detalle'!$J592),1,""))</x:f>
      </x:c>
      <x:c r="J1217" s="32" t="str">
        <x:f>IF(OR('Detalle'!$J592="",'Detalle'!$K592="",'Detalle'!$L592=""),"",IF(AND(J$8&lt;='Detalle'!$K592,J$9&gt;='Detalle'!$J592),1,""))</x:f>
      </x:c>
      <x:c r="K1217" s="32" t="str">
        <x:f>IF(OR('Detalle'!$J592="",'Detalle'!$K592="",'Detalle'!$L592=""),"",IF(AND(K$8&lt;='Detalle'!$K592,K$9&gt;='Detalle'!$J592),1,""))</x:f>
      </x:c>
      <x:c r="L1217" s="32" t="str">
        <x:f>IF(OR('Detalle'!$J592="",'Detalle'!$K592="",'Detalle'!$L592=""),"",IF(AND(L$8&lt;='Detalle'!$K592,L$9&gt;='Detalle'!$J592),1,""))</x:f>
      </x:c>
      <x:c r="M1217" s="32" t="str">
        <x:f>IF(OR('Detalle'!$J592="",'Detalle'!$K592="",'Detalle'!$L592=""),"",IF(AND(M$8&lt;='Detalle'!$K592,M$9&gt;='Detalle'!$J592),1,""))</x:f>
      </x:c>
      <x:c r="N1217" s="32" t="str">
        <x:f>IF(OR('Detalle'!$J592="",'Detalle'!$K592="",'Detalle'!$L592=""),"",IF(AND(N$8&lt;='Detalle'!$K592,N$9&gt;='Detalle'!$J592),1,""))</x:f>
      </x:c>
      <x:c r="O1217" s="32" t="str">
        <x:f>IF(OR('Detalle'!$J592="",'Detalle'!$K592="",'Detalle'!$L592=""),"",IF(AND(O$8&lt;='Detalle'!$K592,O$9&gt;='Detalle'!$J592),1,""))</x:f>
      </x:c>
      <x:c r="P1217" s="32" t="str">
        <x:f>IF(OR('Detalle'!$J592="",'Detalle'!$K592="",'Detalle'!$L592=""),"",IF(AND(P$8&lt;='Detalle'!$K592,P$9&gt;='Detalle'!$J592),1,""))</x:f>
      </x:c>
      <x:c r="Q1217" s="68"/>
      <x:c r="R1217" s="67" t="str"/>
      <x:c r="S1217" s="67" t="str"/>
    </x:row>
    <x:row r="1218" ht="16" customHeight="1">
      <x:c r="A1218" s="56" t="str">
        <x:v>PUS02.013</x:v>
      </x:c>
      <x:c r="B1218" s="57" t="str">
        <x:v>Respetar horario 10:00 a 19:00 local</x:v>
      </x:c>
      <x:c r="C1218" s="62" t="str">
        <x:v>E</x:v>
      </x:c>
      <x:c r="D1218" s="64" t="n">
        <x:f>'Detalle'!I593</x:f>
        <x:v>1</x:v>
      </x:c>
      <x:c r="E1218" s="60" t="str">
        <x:f>'Detalle'!F593</x:f>
        <x:v>Completado</x:v>
      </x:c>
      <x:c r="F1218" s="32" t="str">
        <x:f>IF(AND(F$8&lt;='Detalle'!$H593,F$9&gt;='Detalle'!$G593),1,"")</x:f>
      </x:c>
      <x:c r="G1218" s="32" t="str">
        <x:f>IF(AND(G$8&lt;='Detalle'!$H593,G$9&gt;='Detalle'!$G593),1,"")</x:f>
      </x:c>
      <x:c r="H1218" s="32" t="str">
        <x:f>IF(AND(H$8&lt;='Detalle'!$H593,H$9&gt;='Detalle'!$G593),1,"")</x:f>
      </x:c>
      <x:c r="I1218" s="32" t="str">
        <x:f>IF(AND(I$8&lt;='Detalle'!$H593,I$9&gt;='Detalle'!$G593),1,"")</x:f>
      </x:c>
      <x:c r="J1218" s="32" t="n">
        <x:f>IF(AND(J$8&lt;='Detalle'!$H593,J$9&gt;='Detalle'!$G593),1,"")</x:f>
        <x:v>1</x:v>
      </x:c>
      <x:c r="K1218" s="32" t="str">
        <x:f>IF(AND(K$8&lt;='Detalle'!$H593,K$9&gt;='Detalle'!$G593),1,"")</x:f>
      </x:c>
      <x:c r="L1218" s="32" t="str">
        <x:f>IF(AND(L$8&lt;='Detalle'!$H593,L$9&gt;='Detalle'!$G593),1,"")</x:f>
      </x:c>
      <x:c r="M1218" s="32" t="str">
        <x:f>IF(AND(M$8&lt;='Detalle'!$H593,M$9&gt;='Detalle'!$G593),1,"")</x:f>
      </x:c>
      <x:c r="N1218" s="32" t="str">
        <x:f>IF(AND(N$8&lt;='Detalle'!$H593,N$9&gt;='Detalle'!$G593),1,"")</x:f>
      </x:c>
      <x:c r="O1218" s="32" t="str">
        <x:f>IF(AND(O$8&lt;='Detalle'!$H593,O$9&gt;='Detalle'!$G593),1,"")</x:f>
      </x:c>
      <x:c r="P1218" s="32" t="str">
        <x:f>IF(AND(P$8&lt;='Detalle'!$H593,P$9&gt;='Detalle'!$G593),1,"")</x:f>
      </x:c>
      <x:c r="Q1218" s="68"/>
      <x:c r="R1218" s="67" t="str">
        <x:f>IF('Detalle'!M593="","",'Detalle'!M593)</x:f>
      </x:c>
      <x:c r="S1218" s="67" t="str">
        <x:f>IF('Detalle'!N593="","",'Detalle'!N593)</x:f>
      </x:c>
    </x:row>
    <x:row r="1219" ht="16" customHeight="1">
      <x:c r="A1219" s="56" t="str">
        <x:v>PUS02.013</x:v>
      </x:c>
      <x:c r="B1219" s="57" t="str">
        <x:v>Respetar horario 10:00 a 19:00 local</x:v>
      </x:c>
      <x:c r="C1219" s="63" t="str">
        <x:v>R</x:v>
      </x:c>
      <x:c r="D1219" s="65" t="str">
        <x:f>IF('Detalle'!L593="","",'Detalle'!L593)</x:f>
      </x:c>
      <x:c r="E1219" s="60" t="str"/>
      <x:c r="F1219" s="32" t="str">
        <x:f>IF(OR('Detalle'!$J593="",'Detalle'!$K593="",'Detalle'!$L593=""),"",IF(AND(F$8&lt;='Detalle'!$K593,F$9&gt;='Detalle'!$J593),1,""))</x:f>
      </x:c>
      <x:c r="G1219" s="32" t="str">
        <x:f>IF(OR('Detalle'!$J593="",'Detalle'!$K593="",'Detalle'!$L593=""),"",IF(AND(G$8&lt;='Detalle'!$K593,G$9&gt;='Detalle'!$J593),1,""))</x:f>
      </x:c>
      <x:c r="H1219" s="32" t="str">
        <x:f>IF(OR('Detalle'!$J593="",'Detalle'!$K593="",'Detalle'!$L593=""),"",IF(AND(H$8&lt;='Detalle'!$K593,H$9&gt;='Detalle'!$J593),1,""))</x:f>
      </x:c>
      <x:c r="I1219" s="32" t="str">
        <x:f>IF(OR('Detalle'!$J593="",'Detalle'!$K593="",'Detalle'!$L593=""),"",IF(AND(I$8&lt;='Detalle'!$K593,I$9&gt;='Detalle'!$J593),1,""))</x:f>
      </x:c>
      <x:c r="J1219" s="32" t="str">
        <x:f>IF(OR('Detalle'!$J593="",'Detalle'!$K593="",'Detalle'!$L593=""),"",IF(AND(J$8&lt;='Detalle'!$K593,J$9&gt;='Detalle'!$J593),1,""))</x:f>
      </x:c>
      <x:c r="K1219" s="32" t="str">
        <x:f>IF(OR('Detalle'!$J593="",'Detalle'!$K593="",'Detalle'!$L593=""),"",IF(AND(K$8&lt;='Detalle'!$K593,K$9&gt;='Detalle'!$J593),1,""))</x:f>
      </x:c>
      <x:c r="L1219" s="32" t="str">
        <x:f>IF(OR('Detalle'!$J593="",'Detalle'!$K593="",'Detalle'!$L593=""),"",IF(AND(L$8&lt;='Detalle'!$K593,L$9&gt;='Detalle'!$J593),1,""))</x:f>
      </x:c>
      <x:c r="M1219" s="32" t="str">
        <x:f>IF(OR('Detalle'!$J593="",'Detalle'!$K593="",'Detalle'!$L593=""),"",IF(AND(M$8&lt;='Detalle'!$K593,M$9&gt;='Detalle'!$J593),1,""))</x:f>
      </x:c>
      <x:c r="N1219" s="32" t="str">
        <x:f>IF(OR('Detalle'!$J593="",'Detalle'!$K593="",'Detalle'!$L593=""),"",IF(AND(N$8&lt;='Detalle'!$K593,N$9&gt;='Detalle'!$J593),1,""))</x:f>
      </x:c>
      <x:c r="O1219" s="32" t="str">
        <x:f>IF(OR('Detalle'!$J593="",'Detalle'!$K593="",'Detalle'!$L593=""),"",IF(AND(O$8&lt;='Detalle'!$K593,O$9&gt;='Detalle'!$J593),1,""))</x:f>
      </x:c>
      <x:c r="P1219" s="32" t="str">
        <x:f>IF(OR('Detalle'!$J593="",'Detalle'!$K593="",'Detalle'!$L593=""),"",IF(AND(P$8&lt;='Detalle'!$K593,P$9&gt;='Detalle'!$J593),1,""))</x:f>
      </x:c>
      <x:c r="Q1219" s="68"/>
      <x:c r="R1219" s="67" t="str"/>
      <x:c r="S1219" s="67" t="str"/>
    </x:row>
    <x:row r="1220" ht="16" customHeight="1">
      <x:c r="A1220" s="56" t="str">
        <x:v>PUS02.014</x:v>
      </x:c>
      <x:c r="B1220" s="57" t="str">
        <x:v>Limitar mensajes a dos en siete días</x:v>
      </x:c>
      <x:c r="C1220" s="62" t="str">
        <x:v>E</x:v>
      </x:c>
      <x:c r="D1220" s="64" t="n">
        <x:f>'Detalle'!I594</x:f>
        <x:v>1</x:v>
      </x:c>
      <x:c r="E1220" s="60" t="str">
        <x:f>'Detalle'!F594</x:f>
        <x:v>Completado</x:v>
      </x:c>
      <x:c r="F1220" s="32" t="str">
        <x:f>IF(AND(F$8&lt;='Detalle'!$H594,F$9&gt;='Detalle'!$G594),1,"")</x:f>
      </x:c>
      <x:c r="G1220" s="32" t="str">
        <x:f>IF(AND(G$8&lt;='Detalle'!$H594,G$9&gt;='Detalle'!$G594),1,"")</x:f>
      </x:c>
      <x:c r="H1220" s="32" t="str">
        <x:f>IF(AND(H$8&lt;='Detalle'!$H594,H$9&gt;='Detalle'!$G594),1,"")</x:f>
      </x:c>
      <x:c r="I1220" s="32" t="str">
        <x:f>IF(AND(I$8&lt;='Detalle'!$H594,I$9&gt;='Detalle'!$G594),1,"")</x:f>
      </x:c>
      <x:c r="J1220" s="32" t="n">
        <x:f>IF(AND(J$8&lt;='Detalle'!$H594,J$9&gt;='Detalle'!$G594),1,"")</x:f>
        <x:v>1</x:v>
      </x:c>
      <x:c r="K1220" s="32" t="str">
        <x:f>IF(AND(K$8&lt;='Detalle'!$H594,K$9&gt;='Detalle'!$G594),1,"")</x:f>
      </x:c>
      <x:c r="L1220" s="32" t="str">
        <x:f>IF(AND(L$8&lt;='Detalle'!$H594,L$9&gt;='Detalle'!$G594),1,"")</x:f>
      </x:c>
      <x:c r="M1220" s="32" t="str">
        <x:f>IF(AND(M$8&lt;='Detalle'!$H594,M$9&gt;='Detalle'!$G594),1,"")</x:f>
      </x:c>
      <x:c r="N1220" s="32" t="str">
        <x:f>IF(AND(N$8&lt;='Detalle'!$H594,N$9&gt;='Detalle'!$G594),1,"")</x:f>
      </x:c>
      <x:c r="O1220" s="32" t="str">
        <x:f>IF(AND(O$8&lt;='Detalle'!$H594,O$9&gt;='Detalle'!$G594),1,"")</x:f>
      </x:c>
      <x:c r="P1220" s="32" t="str">
        <x:f>IF(AND(P$8&lt;='Detalle'!$H594,P$9&gt;='Detalle'!$G594),1,"")</x:f>
      </x:c>
      <x:c r="Q1220" s="68"/>
      <x:c r="R1220" s="67" t="str">
        <x:f>IF('Detalle'!M594="","",'Detalle'!M594)</x:f>
      </x:c>
      <x:c r="S1220" s="67" t="str">
        <x:f>IF('Detalle'!N594="","",'Detalle'!N594)</x:f>
      </x:c>
    </x:row>
    <x:row r="1221" ht="16" customHeight="1">
      <x:c r="A1221" s="56" t="str">
        <x:v>PUS02.014</x:v>
      </x:c>
      <x:c r="B1221" s="57" t="str">
        <x:v>Limitar mensajes a dos en siete días</x:v>
      </x:c>
      <x:c r="C1221" s="63" t="str">
        <x:v>R</x:v>
      </x:c>
      <x:c r="D1221" s="65" t="str">
        <x:f>IF('Detalle'!L594="","",'Detalle'!L594)</x:f>
      </x:c>
      <x:c r="E1221" s="60" t="str"/>
      <x:c r="F1221" s="32" t="str">
        <x:f>IF(OR('Detalle'!$J594="",'Detalle'!$K594="",'Detalle'!$L594=""),"",IF(AND(F$8&lt;='Detalle'!$K594,F$9&gt;='Detalle'!$J594),1,""))</x:f>
      </x:c>
      <x:c r="G1221" s="32" t="str">
        <x:f>IF(OR('Detalle'!$J594="",'Detalle'!$K594="",'Detalle'!$L594=""),"",IF(AND(G$8&lt;='Detalle'!$K594,G$9&gt;='Detalle'!$J594),1,""))</x:f>
      </x:c>
      <x:c r="H1221" s="32" t="str">
        <x:f>IF(OR('Detalle'!$J594="",'Detalle'!$K594="",'Detalle'!$L594=""),"",IF(AND(H$8&lt;='Detalle'!$K594,H$9&gt;='Detalle'!$J594),1,""))</x:f>
      </x:c>
      <x:c r="I1221" s="32" t="str">
        <x:f>IF(OR('Detalle'!$J594="",'Detalle'!$K594="",'Detalle'!$L594=""),"",IF(AND(I$8&lt;='Detalle'!$K594,I$9&gt;='Detalle'!$J594),1,""))</x:f>
      </x:c>
      <x:c r="J1221" s="32" t="str">
        <x:f>IF(OR('Detalle'!$J594="",'Detalle'!$K594="",'Detalle'!$L594=""),"",IF(AND(J$8&lt;='Detalle'!$K594,J$9&gt;='Detalle'!$J594),1,""))</x:f>
      </x:c>
      <x:c r="K1221" s="32" t="str">
        <x:f>IF(OR('Detalle'!$J594="",'Detalle'!$K594="",'Detalle'!$L594=""),"",IF(AND(K$8&lt;='Detalle'!$K594,K$9&gt;='Detalle'!$J594),1,""))</x:f>
      </x:c>
      <x:c r="L1221" s="32" t="str">
        <x:f>IF(OR('Detalle'!$J594="",'Detalle'!$K594="",'Detalle'!$L594=""),"",IF(AND(L$8&lt;='Detalle'!$K594,L$9&gt;='Detalle'!$J594),1,""))</x:f>
      </x:c>
      <x:c r="M1221" s="32" t="str">
        <x:f>IF(OR('Detalle'!$J594="",'Detalle'!$K594="",'Detalle'!$L594=""),"",IF(AND(M$8&lt;='Detalle'!$K594,M$9&gt;='Detalle'!$J594),1,""))</x:f>
      </x:c>
      <x:c r="N1221" s="32" t="str">
        <x:f>IF(OR('Detalle'!$J594="",'Detalle'!$K594="",'Detalle'!$L594=""),"",IF(AND(N$8&lt;='Detalle'!$K594,N$9&gt;='Detalle'!$J594),1,""))</x:f>
      </x:c>
      <x:c r="O1221" s="32" t="str">
        <x:f>IF(OR('Detalle'!$J594="",'Detalle'!$K594="",'Detalle'!$L594=""),"",IF(AND(O$8&lt;='Detalle'!$K594,O$9&gt;='Detalle'!$J594),1,""))</x:f>
      </x:c>
      <x:c r="P1221" s="32" t="str">
        <x:f>IF(OR('Detalle'!$J594="",'Detalle'!$K594="",'Detalle'!$L594=""),"",IF(AND(P$8&lt;='Detalle'!$K594,P$9&gt;='Detalle'!$J594),1,""))</x:f>
      </x:c>
      <x:c r="Q1221" s="68"/>
      <x:c r="R1221" s="67" t="str"/>
      <x:c r="S1221" s="67" t="str"/>
    </x:row>
    <x:row r="1222" ht="16" customHeight="1">
      <x:c r="A1222" s="56" t="str">
        <x:v>PUS02.015</x:v>
      </x:c>
      <x:c r="B1222" s="57" t="str">
        <x:v>Cancelar mensaje al desactivar preferencia</x:v>
      </x:c>
      <x:c r="C1222" s="62" t="str">
        <x:v>E</x:v>
      </x:c>
      <x:c r="D1222" s="64" t="n">
        <x:f>'Detalle'!I595</x:f>
        <x:v>1</x:v>
      </x:c>
      <x:c r="E1222" s="60" t="str">
        <x:f>'Detalle'!F595</x:f>
        <x:v>Completado</x:v>
      </x:c>
      <x:c r="F1222" s="32" t="str">
        <x:f>IF(AND(F$8&lt;='Detalle'!$H595,F$9&gt;='Detalle'!$G595),1,"")</x:f>
      </x:c>
      <x:c r="G1222" s="32" t="str">
        <x:f>IF(AND(G$8&lt;='Detalle'!$H595,G$9&gt;='Detalle'!$G595),1,"")</x:f>
      </x:c>
      <x:c r="H1222" s="32" t="str">
        <x:f>IF(AND(H$8&lt;='Detalle'!$H595,H$9&gt;='Detalle'!$G595),1,"")</x:f>
      </x:c>
      <x:c r="I1222" s="32" t="str">
        <x:f>IF(AND(I$8&lt;='Detalle'!$H595,I$9&gt;='Detalle'!$G595),1,"")</x:f>
      </x:c>
      <x:c r="J1222" s="32" t="n">
        <x:f>IF(AND(J$8&lt;='Detalle'!$H595,J$9&gt;='Detalle'!$G595),1,"")</x:f>
        <x:v>1</x:v>
      </x:c>
      <x:c r="K1222" s="32" t="str">
        <x:f>IF(AND(K$8&lt;='Detalle'!$H595,K$9&gt;='Detalle'!$G595),1,"")</x:f>
      </x:c>
      <x:c r="L1222" s="32" t="str">
        <x:f>IF(AND(L$8&lt;='Detalle'!$H595,L$9&gt;='Detalle'!$G595),1,"")</x:f>
      </x:c>
      <x:c r="M1222" s="32" t="str">
        <x:f>IF(AND(M$8&lt;='Detalle'!$H595,M$9&gt;='Detalle'!$G595),1,"")</x:f>
      </x:c>
      <x:c r="N1222" s="32" t="str">
        <x:f>IF(AND(N$8&lt;='Detalle'!$H595,N$9&gt;='Detalle'!$G595),1,"")</x:f>
      </x:c>
      <x:c r="O1222" s="32" t="str">
        <x:f>IF(AND(O$8&lt;='Detalle'!$H595,O$9&gt;='Detalle'!$G595),1,"")</x:f>
      </x:c>
      <x:c r="P1222" s="32" t="str">
        <x:f>IF(AND(P$8&lt;='Detalle'!$H595,P$9&gt;='Detalle'!$G595),1,"")</x:f>
      </x:c>
      <x:c r="Q1222" s="68"/>
      <x:c r="R1222" s="67" t="str">
        <x:f>IF('Detalle'!M595="","",'Detalle'!M595)</x:f>
      </x:c>
      <x:c r="S1222" s="67" t="str">
        <x:f>IF('Detalle'!N595="","",'Detalle'!N595)</x:f>
      </x:c>
    </x:row>
    <x:row r="1223" ht="16" customHeight="1">
      <x:c r="A1223" s="56" t="str">
        <x:v>PUS02.015</x:v>
      </x:c>
      <x:c r="B1223" s="57" t="str">
        <x:v>Cancelar mensaje al desactivar preferencia</x:v>
      </x:c>
      <x:c r="C1223" s="63" t="str">
        <x:v>R</x:v>
      </x:c>
      <x:c r="D1223" s="65" t="str">
        <x:f>IF('Detalle'!L595="","",'Detalle'!L595)</x:f>
      </x:c>
      <x:c r="E1223" s="60" t="str"/>
      <x:c r="F1223" s="32" t="str">
        <x:f>IF(OR('Detalle'!$J595="",'Detalle'!$K595="",'Detalle'!$L595=""),"",IF(AND(F$8&lt;='Detalle'!$K595,F$9&gt;='Detalle'!$J595),1,""))</x:f>
      </x:c>
      <x:c r="G1223" s="32" t="str">
        <x:f>IF(OR('Detalle'!$J595="",'Detalle'!$K595="",'Detalle'!$L595=""),"",IF(AND(G$8&lt;='Detalle'!$K595,G$9&gt;='Detalle'!$J595),1,""))</x:f>
      </x:c>
      <x:c r="H1223" s="32" t="str">
        <x:f>IF(OR('Detalle'!$J595="",'Detalle'!$K595="",'Detalle'!$L595=""),"",IF(AND(H$8&lt;='Detalle'!$K595,H$9&gt;='Detalle'!$J595),1,""))</x:f>
      </x:c>
      <x:c r="I1223" s="32" t="str">
        <x:f>IF(OR('Detalle'!$J595="",'Detalle'!$K595="",'Detalle'!$L595=""),"",IF(AND(I$8&lt;='Detalle'!$K595,I$9&gt;='Detalle'!$J595),1,""))</x:f>
      </x:c>
      <x:c r="J1223" s="32" t="str">
        <x:f>IF(OR('Detalle'!$J595="",'Detalle'!$K595="",'Detalle'!$L595=""),"",IF(AND(J$8&lt;='Detalle'!$K595,J$9&gt;='Detalle'!$J595),1,""))</x:f>
      </x:c>
      <x:c r="K1223" s="32" t="str">
        <x:f>IF(OR('Detalle'!$J595="",'Detalle'!$K595="",'Detalle'!$L595=""),"",IF(AND(K$8&lt;='Detalle'!$K595,K$9&gt;='Detalle'!$J595),1,""))</x:f>
      </x:c>
      <x:c r="L1223" s="32" t="str">
        <x:f>IF(OR('Detalle'!$J595="",'Detalle'!$K595="",'Detalle'!$L595=""),"",IF(AND(L$8&lt;='Detalle'!$K595,L$9&gt;='Detalle'!$J595),1,""))</x:f>
      </x:c>
      <x:c r="M1223" s="32" t="str">
        <x:f>IF(OR('Detalle'!$J595="",'Detalle'!$K595="",'Detalle'!$L595=""),"",IF(AND(M$8&lt;='Detalle'!$K595,M$9&gt;='Detalle'!$J595),1,""))</x:f>
      </x:c>
      <x:c r="N1223" s="32" t="str">
        <x:f>IF(OR('Detalle'!$J595="",'Detalle'!$K595="",'Detalle'!$L595=""),"",IF(AND(N$8&lt;='Detalle'!$K595,N$9&gt;='Detalle'!$J595),1,""))</x:f>
      </x:c>
      <x:c r="O1223" s="32" t="str">
        <x:f>IF(OR('Detalle'!$J595="",'Detalle'!$K595="",'Detalle'!$L595=""),"",IF(AND(O$8&lt;='Detalle'!$K595,O$9&gt;='Detalle'!$J595),1,""))</x:f>
      </x:c>
      <x:c r="P1223" s="32" t="str">
        <x:f>IF(OR('Detalle'!$J595="",'Detalle'!$K595="",'Detalle'!$L595=""),"",IF(AND(P$8&lt;='Detalle'!$K595,P$9&gt;='Detalle'!$J595),1,""))</x:f>
      </x:c>
      <x:c r="Q1223" s="68"/>
      <x:c r="R1223" s="67" t="str"/>
      <x:c r="S1223" s="67" t="str"/>
    </x:row>
    <x:row r="1224" ht="16" customHeight="1">
      <x:c r="A1224" s="56" t="str">
        <x:v>PUS02.016</x:v>
      </x:c>
      <x:c r="B1224" s="57" t="str">
        <x:v>Despertar worker desde triggers</x:v>
      </x:c>
      <x:c r="C1224" s="62" t="str">
        <x:v>E</x:v>
      </x:c>
      <x:c r="D1224" s="64" t="n">
        <x:f>'Detalle'!I596</x:f>
        <x:v>1</x:v>
      </x:c>
      <x:c r="E1224" s="60" t="str">
        <x:f>'Detalle'!F596</x:f>
        <x:v>Completado</x:v>
      </x:c>
      <x:c r="F1224" s="32" t="str">
        <x:f>IF(AND(F$8&lt;='Detalle'!$H596,F$9&gt;='Detalle'!$G596),1,"")</x:f>
      </x:c>
      <x:c r="G1224" s="32" t="str">
        <x:f>IF(AND(G$8&lt;='Detalle'!$H596,G$9&gt;='Detalle'!$G596),1,"")</x:f>
      </x:c>
      <x:c r="H1224" s="32" t="str">
        <x:f>IF(AND(H$8&lt;='Detalle'!$H596,H$9&gt;='Detalle'!$G596),1,"")</x:f>
      </x:c>
      <x:c r="I1224" s="32" t="str">
        <x:f>IF(AND(I$8&lt;='Detalle'!$H596,I$9&gt;='Detalle'!$G596),1,"")</x:f>
      </x:c>
      <x:c r="J1224" s="32" t="n">
        <x:f>IF(AND(J$8&lt;='Detalle'!$H596,J$9&gt;='Detalle'!$G596),1,"")</x:f>
        <x:v>1</x:v>
      </x:c>
      <x:c r="K1224" s="32" t="str">
        <x:f>IF(AND(K$8&lt;='Detalle'!$H596,K$9&gt;='Detalle'!$G596),1,"")</x:f>
      </x:c>
      <x:c r="L1224" s="32" t="str">
        <x:f>IF(AND(L$8&lt;='Detalle'!$H596,L$9&gt;='Detalle'!$G596),1,"")</x:f>
      </x:c>
      <x:c r="M1224" s="32" t="str">
        <x:f>IF(AND(M$8&lt;='Detalle'!$H596,M$9&gt;='Detalle'!$G596),1,"")</x:f>
      </x:c>
      <x:c r="N1224" s="32" t="str">
        <x:f>IF(AND(N$8&lt;='Detalle'!$H596,N$9&gt;='Detalle'!$G596),1,"")</x:f>
      </x:c>
      <x:c r="O1224" s="32" t="str">
        <x:f>IF(AND(O$8&lt;='Detalle'!$H596,O$9&gt;='Detalle'!$G596),1,"")</x:f>
      </x:c>
      <x:c r="P1224" s="32" t="str">
        <x:f>IF(AND(P$8&lt;='Detalle'!$H596,P$9&gt;='Detalle'!$G596),1,"")</x:f>
      </x:c>
      <x:c r="Q1224" s="68"/>
      <x:c r="R1224" s="67" t="str">
        <x:f>IF('Detalle'!M596="","",'Detalle'!M596)</x:f>
      </x:c>
      <x:c r="S1224" s="67" t="str">
        <x:f>IF('Detalle'!N596="","",'Detalle'!N596)</x:f>
      </x:c>
    </x:row>
    <x:row r="1225" ht="16" customHeight="1">
      <x:c r="A1225" s="56" t="str">
        <x:v>PUS02.016</x:v>
      </x:c>
      <x:c r="B1225" s="57" t="str">
        <x:v>Despertar worker desde triggers</x:v>
      </x:c>
      <x:c r="C1225" s="63" t="str">
        <x:v>R</x:v>
      </x:c>
      <x:c r="D1225" s="65" t="str">
        <x:f>IF('Detalle'!L596="","",'Detalle'!L596)</x:f>
      </x:c>
      <x:c r="E1225" s="60" t="str"/>
      <x:c r="F1225" s="32" t="str">
        <x:f>IF(OR('Detalle'!$J596="",'Detalle'!$K596="",'Detalle'!$L596=""),"",IF(AND(F$8&lt;='Detalle'!$K596,F$9&gt;='Detalle'!$J596),1,""))</x:f>
      </x:c>
      <x:c r="G1225" s="32" t="str">
        <x:f>IF(OR('Detalle'!$J596="",'Detalle'!$K596="",'Detalle'!$L596=""),"",IF(AND(G$8&lt;='Detalle'!$K596,G$9&gt;='Detalle'!$J596),1,""))</x:f>
      </x:c>
      <x:c r="H1225" s="32" t="str">
        <x:f>IF(OR('Detalle'!$J596="",'Detalle'!$K596="",'Detalle'!$L596=""),"",IF(AND(H$8&lt;='Detalle'!$K596,H$9&gt;='Detalle'!$J596),1,""))</x:f>
      </x:c>
      <x:c r="I1225" s="32" t="str">
        <x:f>IF(OR('Detalle'!$J596="",'Detalle'!$K596="",'Detalle'!$L596=""),"",IF(AND(I$8&lt;='Detalle'!$K596,I$9&gt;='Detalle'!$J596),1,""))</x:f>
      </x:c>
      <x:c r="J1225" s="32" t="str">
        <x:f>IF(OR('Detalle'!$J596="",'Detalle'!$K596="",'Detalle'!$L596=""),"",IF(AND(J$8&lt;='Detalle'!$K596,J$9&gt;='Detalle'!$J596),1,""))</x:f>
      </x:c>
      <x:c r="K1225" s="32" t="str">
        <x:f>IF(OR('Detalle'!$J596="",'Detalle'!$K596="",'Detalle'!$L596=""),"",IF(AND(K$8&lt;='Detalle'!$K596,K$9&gt;='Detalle'!$J596),1,""))</x:f>
      </x:c>
      <x:c r="L1225" s="32" t="str">
        <x:f>IF(OR('Detalle'!$J596="",'Detalle'!$K596="",'Detalle'!$L596=""),"",IF(AND(L$8&lt;='Detalle'!$K596,L$9&gt;='Detalle'!$J596),1,""))</x:f>
      </x:c>
      <x:c r="M1225" s="32" t="str">
        <x:f>IF(OR('Detalle'!$J596="",'Detalle'!$K596="",'Detalle'!$L596=""),"",IF(AND(M$8&lt;='Detalle'!$K596,M$9&gt;='Detalle'!$J596),1,""))</x:f>
      </x:c>
      <x:c r="N1225" s="32" t="str">
        <x:f>IF(OR('Detalle'!$J596="",'Detalle'!$K596="",'Detalle'!$L596=""),"",IF(AND(N$8&lt;='Detalle'!$K596,N$9&gt;='Detalle'!$J596),1,""))</x:f>
      </x:c>
      <x:c r="O1225" s="32" t="str">
        <x:f>IF(OR('Detalle'!$J596="",'Detalle'!$K596="",'Detalle'!$L596=""),"",IF(AND(O$8&lt;='Detalle'!$K596,O$9&gt;='Detalle'!$J596),1,""))</x:f>
      </x:c>
      <x:c r="P1225" s="32" t="str">
        <x:f>IF(OR('Detalle'!$J596="",'Detalle'!$K596="",'Detalle'!$L596=""),"",IF(AND(P$8&lt;='Detalle'!$K596,P$9&gt;='Detalle'!$J596),1,""))</x:f>
      </x:c>
      <x:c r="Q1225" s="68"/>
      <x:c r="R1225" s="67" t="str"/>
      <x:c r="S1225" s="67" t="str"/>
    </x:row>
    <x:row r="1226" ht="16" customHeight="1">
      <x:c r="A1226" s="56" t="str">
        <x:v>PUS02.017</x:v>
      </x:c>
      <x:c r="B1226" s="57" t="str">
        <x:v>Crear activación idempotente del scheduler</x:v>
      </x:c>
      <x:c r="C1226" s="62" t="str">
        <x:v>E</x:v>
      </x:c>
      <x:c r="D1226" s="64" t="n">
        <x:f>'Detalle'!I597</x:f>
        <x:v>1</x:v>
      </x:c>
      <x:c r="E1226" s="60" t="str">
        <x:f>'Detalle'!F597</x:f>
        <x:v>Completado</x:v>
      </x:c>
      <x:c r="F1226" s="32" t="str">
        <x:f>IF(AND(F$8&lt;='Detalle'!$H597,F$9&gt;='Detalle'!$G597),1,"")</x:f>
      </x:c>
      <x:c r="G1226" s="32" t="str">
        <x:f>IF(AND(G$8&lt;='Detalle'!$H597,G$9&gt;='Detalle'!$G597),1,"")</x:f>
      </x:c>
      <x:c r="H1226" s="32" t="str">
        <x:f>IF(AND(H$8&lt;='Detalle'!$H597,H$9&gt;='Detalle'!$G597),1,"")</x:f>
      </x:c>
      <x:c r="I1226" s="32" t="str">
        <x:f>IF(AND(I$8&lt;='Detalle'!$H597,I$9&gt;='Detalle'!$G597),1,"")</x:f>
      </x:c>
      <x:c r="J1226" s="32" t="n">
        <x:f>IF(AND(J$8&lt;='Detalle'!$H597,J$9&gt;='Detalle'!$G597),1,"")</x:f>
        <x:v>1</x:v>
      </x:c>
      <x:c r="K1226" s="32" t="str">
        <x:f>IF(AND(K$8&lt;='Detalle'!$H597,K$9&gt;='Detalle'!$G597),1,"")</x:f>
      </x:c>
      <x:c r="L1226" s="32" t="str">
        <x:f>IF(AND(L$8&lt;='Detalle'!$H597,L$9&gt;='Detalle'!$G597),1,"")</x:f>
      </x:c>
      <x:c r="M1226" s="32" t="str">
        <x:f>IF(AND(M$8&lt;='Detalle'!$H597,M$9&gt;='Detalle'!$G597),1,"")</x:f>
      </x:c>
      <x:c r="N1226" s="32" t="str">
        <x:f>IF(AND(N$8&lt;='Detalle'!$H597,N$9&gt;='Detalle'!$G597),1,"")</x:f>
      </x:c>
      <x:c r="O1226" s="32" t="str">
        <x:f>IF(AND(O$8&lt;='Detalle'!$H597,O$9&gt;='Detalle'!$G597),1,"")</x:f>
      </x:c>
      <x:c r="P1226" s="32" t="str">
        <x:f>IF(AND(P$8&lt;='Detalle'!$H597,P$9&gt;='Detalle'!$G597),1,"")</x:f>
      </x:c>
      <x:c r="Q1226" s="68"/>
      <x:c r="R1226" s="67" t="str">
        <x:f>IF('Detalle'!M597="","",'Detalle'!M597)</x:f>
      </x:c>
      <x:c r="S1226" s="67" t="str">
        <x:f>IF('Detalle'!N597="","",'Detalle'!N597)</x:f>
      </x:c>
    </x:row>
    <x:row r="1227" ht="16" customHeight="1">
      <x:c r="A1227" s="56" t="str">
        <x:v>PUS02.017</x:v>
      </x:c>
      <x:c r="B1227" s="57" t="str">
        <x:v>Crear activación idempotente del scheduler</x:v>
      </x:c>
      <x:c r="C1227" s="63" t="str">
        <x:v>R</x:v>
      </x:c>
      <x:c r="D1227" s="65" t="str">
        <x:f>IF('Detalle'!L597="","",'Detalle'!L597)</x:f>
      </x:c>
      <x:c r="E1227" s="60" t="str"/>
      <x:c r="F1227" s="32" t="str">
        <x:f>IF(OR('Detalle'!$J597="",'Detalle'!$K597="",'Detalle'!$L597=""),"",IF(AND(F$8&lt;='Detalle'!$K597,F$9&gt;='Detalle'!$J597),1,""))</x:f>
      </x:c>
      <x:c r="G1227" s="32" t="str">
        <x:f>IF(OR('Detalle'!$J597="",'Detalle'!$K597="",'Detalle'!$L597=""),"",IF(AND(G$8&lt;='Detalle'!$K597,G$9&gt;='Detalle'!$J597),1,""))</x:f>
      </x:c>
      <x:c r="H1227" s="32" t="str">
        <x:f>IF(OR('Detalle'!$J597="",'Detalle'!$K597="",'Detalle'!$L597=""),"",IF(AND(H$8&lt;='Detalle'!$K597,H$9&gt;='Detalle'!$J597),1,""))</x:f>
      </x:c>
      <x:c r="I1227" s="32" t="str">
        <x:f>IF(OR('Detalle'!$J597="",'Detalle'!$K597="",'Detalle'!$L597=""),"",IF(AND(I$8&lt;='Detalle'!$K597,I$9&gt;='Detalle'!$J597),1,""))</x:f>
      </x:c>
      <x:c r="J1227" s="32" t="str">
        <x:f>IF(OR('Detalle'!$J597="",'Detalle'!$K597="",'Detalle'!$L597=""),"",IF(AND(J$8&lt;='Detalle'!$K597,J$9&gt;='Detalle'!$J597),1,""))</x:f>
      </x:c>
      <x:c r="K1227" s="32" t="str">
        <x:f>IF(OR('Detalle'!$J597="",'Detalle'!$K597="",'Detalle'!$L597=""),"",IF(AND(K$8&lt;='Detalle'!$K597,K$9&gt;='Detalle'!$J597),1,""))</x:f>
      </x:c>
      <x:c r="L1227" s="32" t="str">
        <x:f>IF(OR('Detalle'!$J597="",'Detalle'!$K597="",'Detalle'!$L597=""),"",IF(AND(L$8&lt;='Detalle'!$K597,L$9&gt;='Detalle'!$J597),1,""))</x:f>
      </x:c>
      <x:c r="M1227" s="32" t="str">
        <x:f>IF(OR('Detalle'!$J597="",'Detalle'!$K597="",'Detalle'!$L597=""),"",IF(AND(M$8&lt;='Detalle'!$K597,M$9&gt;='Detalle'!$J597),1,""))</x:f>
      </x:c>
      <x:c r="N1227" s="32" t="str">
        <x:f>IF(OR('Detalle'!$J597="",'Detalle'!$K597="",'Detalle'!$L597=""),"",IF(AND(N$8&lt;='Detalle'!$K597,N$9&gt;='Detalle'!$J597),1,""))</x:f>
      </x:c>
      <x:c r="O1227" s="32" t="str">
        <x:f>IF(OR('Detalle'!$J597="",'Detalle'!$K597="",'Detalle'!$L597=""),"",IF(AND(O$8&lt;='Detalle'!$K597,O$9&gt;='Detalle'!$J597),1,""))</x:f>
      </x:c>
      <x:c r="P1227" s="32" t="str">
        <x:f>IF(OR('Detalle'!$J597="",'Detalle'!$K597="",'Detalle'!$L597=""),"",IF(AND(P$8&lt;='Detalle'!$K597,P$9&gt;='Detalle'!$J597),1,""))</x:f>
      </x:c>
      <x:c r="Q1227" s="68"/>
      <x:c r="R1227" s="67" t="str"/>
      <x:c r="S1227" s="67" t="str"/>
    </x:row>
    <x:row r="1228" ht="20" customHeight="1">
      <x:c r="A1228" s="52" t="str">
        <x:v>PUS03 · Configuración Firebase, despliegue y distribución</x:v>
      </x:c>
      <x:c r="B1228" s="52" t="str">
        <x:v>PUS03 · Configuración Firebase, despliegue y distribución</x:v>
      </x:c>
      <x:c r="C1228" s="52" t="str">
        <x:v>PUS03 · Configuración Firebase, despliegue y distribución</x:v>
      </x:c>
      <x:c r="D1228" s="52" t="str">
        <x:v>PUS03 · Configuración Firebase, despliegue y distribución</x:v>
      </x:c>
      <x:c r="E1228" s="52" t="str">
        <x:v>PUS03 · Configuración Firebase, despliegue y distribución</x:v>
      </x:c>
      <x:c r="F1228" s="53" t="str">
        <x:v>PUS03 · Configuración Firebase, despliegue y distribución</x:v>
      </x:c>
      <x:c r="G1228" s="53" t="str">
        <x:v>PUS03 · Configuración Firebase, despliegue y distribución</x:v>
      </x:c>
      <x:c r="H1228" s="53" t="str">
        <x:v>PUS03 · Configuración Firebase, despliegue y distribución</x:v>
      </x:c>
      <x:c r="I1228" s="53" t="str">
        <x:v>PUS03 · Configuración Firebase, despliegue y distribución</x:v>
      </x:c>
      <x:c r="J1228" s="53" t="str">
        <x:v>PUS03 · Configuración Firebase, despliegue y distribución</x:v>
      </x:c>
      <x:c r="K1228" s="53" t="str">
        <x:v>PUS03 · Configuración Firebase, despliegue y distribución</x:v>
      </x:c>
      <x:c r="L1228" s="53" t="str">
        <x:v>PUS03 · Configuración Firebase, despliegue y distribución</x:v>
      </x:c>
      <x:c r="M1228" s="53" t="str">
        <x:v>PUS03 · Configuración Firebase, despliegue y distribución</x:v>
      </x:c>
      <x:c r="N1228" s="53" t="str">
        <x:v>PUS03 · Configuración Firebase, despliegue y distribución</x:v>
      </x:c>
      <x:c r="O1228" s="53" t="str">
        <x:v>PUS03 · Configuración Firebase, despliegue y distribución</x:v>
      </x:c>
      <x:c r="P1228" s="53" t="str">
        <x:v>PUS03 · Configuración Firebase, despliegue y distribución</x:v>
      </x:c>
      <x:c r="Q1228" s="52" t="str">
        <x:v>PUS03 · Configuración Firebase, despliegue y distribución</x:v>
      </x:c>
      <x:c r="R1228" s="52" t="str">
        <x:v>PUS03 · Configuración Firebase, despliegue y distribución</x:v>
      </x:c>
      <x:c r="S1228" s="52" t="str">
        <x:v>PUS03 · Configuración Firebase, despliegue y distribución</x:v>
      </x:c>
    </x:row>
    <x:row r="1229" ht="16" customHeight="1">
      <x:c r="A1229" s="56" t="str">
        <x:v>PUS03.001</x:v>
      </x:c>
      <x:c r="B1229" s="57" t="str">
        <x:v>Crear proyecto Firebase MAREA</x:v>
      </x:c>
      <x:c r="C1229" s="62" t="str">
        <x:v>E</x:v>
      </x:c>
      <x:c r="D1229" s="64" t="n">
        <x:f>'Detalle'!I598</x:f>
        <x:v>1</x:v>
      </x:c>
      <x:c r="E1229" s="60" t="str">
        <x:f>'Detalle'!F598</x:f>
        <x:v>Completado</x:v>
      </x:c>
      <x:c r="F1229" s="32" t="str">
        <x:f>IF(AND(F$8&lt;='Detalle'!$H598,F$9&gt;='Detalle'!$G598),1,"")</x:f>
      </x:c>
      <x:c r="G1229" s="32" t="str">
        <x:f>IF(AND(G$8&lt;='Detalle'!$H598,G$9&gt;='Detalle'!$G598),1,"")</x:f>
      </x:c>
      <x:c r="H1229" s="32" t="str">
        <x:f>IF(AND(H$8&lt;='Detalle'!$H598,H$9&gt;='Detalle'!$G598),1,"")</x:f>
      </x:c>
      <x:c r="I1229" s="32" t="str">
        <x:f>IF(AND(I$8&lt;='Detalle'!$H598,I$9&gt;='Detalle'!$G598),1,"")</x:f>
      </x:c>
      <x:c r="J1229" s="32" t="n">
        <x:f>IF(AND(J$8&lt;='Detalle'!$H598,J$9&gt;='Detalle'!$G598),1,"")</x:f>
        <x:v>1</x:v>
      </x:c>
      <x:c r="K1229" s="32" t="str">
        <x:f>IF(AND(K$8&lt;='Detalle'!$H598,K$9&gt;='Detalle'!$G598),1,"")</x:f>
      </x:c>
      <x:c r="L1229" s="32" t="str">
        <x:f>IF(AND(L$8&lt;='Detalle'!$H598,L$9&gt;='Detalle'!$G598),1,"")</x:f>
      </x:c>
      <x:c r="M1229" s="32" t="str">
        <x:f>IF(AND(M$8&lt;='Detalle'!$H598,M$9&gt;='Detalle'!$G598),1,"")</x:f>
      </x:c>
      <x:c r="N1229" s="32" t="str">
        <x:f>IF(AND(N$8&lt;='Detalle'!$H598,N$9&gt;='Detalle'!$G598),1,"")</x:f>
      </x:c>
      <x:c r="O1229" s="32" t="str">
        <x:f>IF(AND(O$8&lt;='Detalle'!$H598,O$9&gt;='Detalle'!$G598),1,"")</x:f>
      </x:c>
      <x:c r="P1229" s="32" t="str">
        <x:f>IF(AND(P$8&lt;='Detalle'!$H598,P$9&gt;='Detalle'!$G598),1,"")</x:f>
      </x:c>
      <x:c r="Q1229" s="68"/>
      <x:c r="R1229" s="67" t="str">
        <x:f>IF('Detalle'!M598="","",'Detalle'!M598)</x:f>
      </x:c>
      <x:c r="S1229" s="67" t="str">
        <x:f>IF('Detalle'!N598="","",'Detalle'!N598)</x:f>
      </x:c>
    </x:row>
    <x:row r="1230" ht="16" customHeight="1">
      <x:c r="A1230" s="56" t="str">
        <x:v>PUS03.001</x:v>
      </x:c>
      <x:c r="B1230" s="57" t="str">
        <x:v>Crear proyecto Firebase MAREA</x:v>
      </x:c>
      <x:c r="C1230" s="63" t="str">
        <x:v>R</x:v>
      </x:c>
      <x:c r="D1230" s="65" t="str">
        <x:f>IF('Detalle'!L598="","",'Detalle'!L598)</x:f>
      </x:c>
      <x:c r="E1230" s="60" t="str"/>
      <x:c r="F1230" s="32" t="str">
        <x:f>IF(OR('Detalle'!$J598="",'Detalle'!$K598="",'Detalle'!$L598=""),"",IF(AND(F$8&lt;='Detalle'!$K598,F$9&gt;='Detalle'!$J598),1,""))</x:f>
      </x:c>
      <x:c r="G1230" s="32" t="str">
        <x:f>IF(OR('Detalle'!$J598="",'Detalle'!$K598="",'Detalle'!$L598=""),"",IF(AND(G$8&lt;='Detalle'!$K598,G$9&gt;='Detalle'!$J598),1,""))</x:f>
      </x:c>
      <x:c r="H1230" s="32" t="str">
        <x:f>IF(OR('Detalle'!$J598="",'Detalle'!$K598="",'Detalle'!$L598=""),"",IF(AND(H$8&lt;='Detalle'!$K598,H$9&gt;='Detalle'!$J598),1,""))</x:f>
      </x:c>
      <x:c r="I1230" s="32" t="str">
        <x:f>IF(OR('Detalle'!$J598="",'Detalle'!$K598="",'Detalle'!$L598=""),"",IF(AND(I$8&lt;='Detalle'!$K598,I$9&gt;='Detalle'!$J598),1,""))</x:f>
      </x:c>
      <x:c r="J1230" s="32" t="str">
        <x:f>IF(OR('Detalle'!$J598="",'Detalle'!$K598="",'Detalle'!$L598=""),"",IF(AND(J$8&lt;='Detalle'!$K598,J$9&gt;='Detalle'!$J598),1,""))</x:f>
      </x:c>
      <x:c r="K1230" s="32" t="str">
        <x:f>IF(OR('Detalle'!$J598="",'Detalle'!$K598="",'Detalle'!$L598=""),"",IF(AND(K$8&lt;='Detalle'!$K598,K$9&gt;='Detalle'!$J598),1,""))</x:f>
      </x:c>
      <x:c r="L1230" s="32" t="str">
        <x:f>IF(OR('Detalle'!$J598="",'Detalle'!$K598="",'Detalle'!$L598=""),"",IF(AND(L$8&lt;='Detalle'!$K598,L$9&gt;='Detalle'!$J598),1,""))</x:f>
      </x:c>
      <x:c r="M1230" s="32" t="str">
        <x:f>IF(OR('Detalle'!$J598="",'Detalle'!$K598="",'Detalle'!$L598=""),"",IF(AND(M$8&lt;='Detalle'!$K598,M$9&gt;='Detalle'!$J598),1,""))</x:f>
      </x:c>
      <x:c r="N1230" s="32" t="str">
        <x:f>IF(OR('Detalle'!$J598="",'Detalle'!$K598="",'Detalle'!$L598=""),"",IF(AND(N$8&lt;='Detalle'!$K598,N$9&gt;='Detalle'!$J598),1,""))</x:f>
      </x:c>
      <x:c r="O1230" s="32" t="str">
        <x:f>IF(OR('Detalle'!$J598="",'Detalle'!$K598="",'Detalle'!$L598=""),"",IF(AND(O$8&lt;='Detalle'!$K598,O$9&gt;='Detalle'!$J598),1,""))</x:f>
      </x:c>
      <x:c r="P1230" s="32" t="str">
        <x:f>IF(OR('Detalle'!$J598="",'Detalle'!$K598="",'Detalle'!$L598=""),"",IF(AND(P$8&lt;='Detalle'!$K598,P$9&gt;='Detalle'!$J598),1,""))</x:f>
      </x:c>
      <x:c r="Q1230" s="68"/>
      <x:c r="R1230" s="67" t="str"/>
      <x:c r="S1230" s="67" t="str"/>
    </x:row>
    <x:row r="1231" ht="16" customHeight="1">
      <x:c r="A1231" s="56" t="str">
        <x:v>PUS03.002</x:v>
      </x:c>
      <x:c r="B1231" s="57" t="str">
        <x:v>Registrar Android com.marea.app</x:v>
      </x:c>
      <x:c r="C1231" s="62" t="str">
        <x:v>E</x:v>
      </x:c>
      <x:c r="D1231" s="64" t="n">
        <x:f>'Detalle'!I599</x:f>
        <x:v>1</x:v>
      </x:c>
      <x:c r="E1231" s="60" t="str">
        <x:f>'Detalle'!F599</x:f>
        <x:v>Completado</x:v>
      </x:c>
      <x:c r="F1231" s="32" t="str">
        <x:f>IF(AND(F$8&lt;='Detalle'!$H599,F$9&gt;='Detalle'!$G599),1,"")</x:f>
      </x:c>
      <x:c r="G1231" s="32" t="str">
        <x:f>IF(AND(G$8&lt;='Detalle'!$H599,G$9&gt;='Detalle'!$G599),1,"")</x:f>
      </x:c>
      <x:c r="H1231" s="32" t="str">
        <x:f>IF(AND(H$8&lt;='Detalle'!$H599,H$9&gt;='Detalle'!$G599),1,"")</x:f>
      </x:c>
      <x:c r="I1231" s="32" t="str">
        <x:f>IF(AND(I$8&lt;='Detalle'!$H599,I$9&gt;='Detalle'!$G599),1,"")</x:f>
      </x:c>
      <x:c r="J1231" s="32" t="n">
        <x:f>IF(AND(J$8&lt;='Detalle'!$H599,J$9&gt;='Detalle'!$G599),1,"")</x:f>
        <x:v>1</x:v>
      </x:c>
      <x:c r="K1231" s="32" t="str">
        <x:f>IF(AND(K$8&lt;='Detalle'!$H599,K$9&gt;='Detalle'!$G599),1,"")</x:f>
      </x:c>
      <x:c r="L1231" s="32" t="str">
        <x:f>IF(AND(L$8&lt;='Detalle'!$H599,L$9&gt;='Detalle'!$G599),1,"")</x:f>
      </x:c>
      <x:c r="M1231" s="32" t="str">
        <x:f>IF(AND(M$8&lt;='Detalle'!$H599,M$9&gt;='Detalle'!$G599),1,"")</x:f>
      </x:c>
      <x:c r="N1231" s="32" t="str">
        <x:f>IF(AND(N$8&lt;='Detalle'!$H599,N$9&gt;='Detalle'!$G599),1,"")</x:f>
      </x:c>
      <x:c r="O1231" s="32" t="str">
        <x:f>IF(AND(O$8&lt;='Detalle'!$H599,O$9&gt;='Detalle'!$G599),1,"")</x:f>
      </x:c>
      <x:c r="P1231" s="32" t="str">
        <x:f>IF(AND(P$8&lt;='Detalle'!$H599,P$9&gt;='Detalle'!$G599),1,"")</x:f>
      </x:c>
      <x:c r="Q1231" s="68"/>
      <x:c r="R1231" s="67" t="str">
        <x:f>IF('Detalle'!M599="","",'Detalle'!M599)</x:f>
      </x:c>
      <x:c r="S1231" s="67" t="str">
        <x:f>IF('Detalle'!N599="","",'Detalle'!N599)</x:f>
      </x:c>
    </x:row>
    <x:row r="1232" ht="16" customHeight="1">
      <x:c r="A1232" s="56" t="str">
        <x:v>PUS03.002</x:v>
      </x:c>
      <x:c r="B1232" s="57" t="str">
        <x:v>Registrar Android com.marea.app</x:v>
      </x:c>
      <x:c r="C1232" s="63" t="str">
        <x:v>R</x:v>
      </x:c>
      <x:c r="D1232" s="65" t="str">
        <x:f>IF('Detalle'!L599="","",'Detalle'!L599)</x:f>
      </x:c>
      <x:c r="E1232" s="60" t="str"/>
      <x:c r="F1232" s="32" t="str">
        <x:f>IF(OR('Detalle'!$J599="",'Detalle'!$K599="",'Detalle'!$L599=""),"",IF(AND(F$8&lt;='Detalle'!$K599,F$9&gt;='Detalle'!$J599),1,""))</x:f>
      </x:c>
      <x:c r="G1232" s="32" t="str">
        <x:f>IF(OR('Detalle'!$J599="",'Detalle'!$K599="",'Detalle'!$L599=""),"",IF(AND(G$8&lt;='Detalle'!$K599,G$9&gt;='Detalle'!$J599),1,""))</x:f>
      </x:c>
      <x:c r="H1232" s="32" t="str">
        <x:f>IF(OR('Detalle'!$J599="",'Detalle'!$K599="",'Detalle'!$L599=""),"",IF(AND(H$8&lt;='Detalle'!$K599,H$9&gt;='Detalle'!$J599),1,""))</x:f>
      </x:c>
      <x:c r="I1232" s="32" t="str">
        <x:f>IF(OR('Detalle'!$J599="",'Detalle'!$K599="",'Detalle'!$L599=""),"",IF(AND(I$8&lt;='Detalle'!$K599,I$9&gt;='Detalle'!$J599),1,""))</x:f>
      </x:c>
      <x:c r="J1232" s="32" t="str">
        <x:f>IF(OR('Detalle'!$J599="",'Detalle'!$K599="",'Detalle'!$L599=""),"",IF(AND(J$8&lt;='Detalle'!$K599,J$9&gt;='Detalle'!$J599),1,""))</x:f>
      </x:c>
      <x:c r="K1232" s="32" t="str">
        <x:f>IF(OR('Detalle'!$J599="",'Detalle'!$K599="",'Detalle'!$L599=""),"",IF(AND(K$8&lt;='Detalle'!$K599,K$9&gt;='Detalle'!$J599),1,""))</x:f>
      </x:c>
      <x:c r="L1232" s="32" t="str">
        <x:f>IF(OR('Detalle'!$J599="",'Detalle'!$K599="",'Detalle'!$L599=""),"",IF(AND(L$8&lt;='Detalle'!$K599,L$9&gt;='Detalle'!$J599),1,""))</x:f>
      </x:c>
      <x:c r="M1232" s="32" t="str">
        <x:f>IF(OR('Detalle'!$J599="",'Detalle'!$K599="",'Detalle'!$L599=""),"",IF(AND(M$8&lt;='Detalle'!$K599,M$9&gt;='Detalle'!$J599),1,""))</x:f>
      </x:c>
      <x:c r="N1232" s="32" t="str">
        <x:f>IF(OR('Detalle'!$J599="",'Detalle'!$K599="",'Detalle'!$L599=""),"",IF(AND(N$8&lt;='Detalle'!$K599,N$9&gt;='Detalle'!$J599),1,""))</x:f>
      </x:c>
      <x:c r="O1232" s="32" t="str">
        <x:f>IF(OR('Detalle'!$J599="",'Detalle'!$K599="",'Detalle'!$L599=""),"",IF(AND(O$8&lt;='Detalle'!$K599,O$9&gt;='Detalle'!$J599),1,""))</x:f>
      </x:c>
      <x:c r="P1232" s="32" t="str">
        <x:f>IF(OR('Detalle'!$J599="",'Detalle'!$K599="",'Detalle'!$L599=""),"",IF(AND(P$8&lt;='Detalle'!$K599,P$9&gt;='Detalle'!$J599),1,""))</x:f>
      </x:c>
      <x:c r="Q1232" s="68"/>
      <x:c r="R1232" s="67" t="str"/>
      <x:c r="S1232" s="67" t="str"/>
    </x:row>
    <x:row r="1233" ht="16" customHeight="1">
      <x:c r="A1233" s="56" t="str">
        <x:v>PUS03.003</x:v>
      </x:c>
      <x:c r="B1233" s="57" t="str">
        <x:v>Obtener configuración pública Firebase</x:v>
      </x:c>
      <x:c r="C1233" s="62" t="str">
        <x:v>E</x:v>
      </x:c>
      <x:c r="D1233" s="64" t="n">
        <x:f>'Detalle'!I600</x:f>
        <x:v>1</x:v>
      </x:c>
      <x:c r="E1233" s="60" t="str">
        <x:f>'Detalle'!F600</x:f>
        <x:v>Completado</x:v>
      </x:c>
      <x:c r="F1233" s="32" t="str">
        <x:f>IF(AND(F$8&lt;='Detalle'!$H600,F$9&gt;='Detalle'!$G600),1,"")</x:f>
      </x:c>
      <x:c r="G1233" s="32" t="str">
        <x:f>IF(AND(G$8&lt;='Detalle'!$H600,G$9&gt;='Detalle'!$G600),1,"")</x:f>
      </x:c>
      <x:c r="H1233" s="32" t="str">
        <x:f>IF(AND(H$8&lt;='Detalle'!$H600,H$9&gt;='Detalle'!$G600),1,"")</x:f>
      </x:c>
      <x:c r="I1233" s="32" t="str">
        <x:f>IF(AND(I$8&lt;='Detalle'!$H600,I$9&gt;='Detalle'!$G600),1,"")</x:f>
      </x:c>
      <x:c r="J1233" s="32" t="n">
        <x:f>IF(AND(J$8&lt;='Detalle'!$H600,J$9&gt;='Detalle'!$G600),1,"")</x:f>
        <x:v>1</x:v>
      </x:c>
      <x:c r="K1233" s="32" t="str">
        <x:f>IF(AND(K$8&lt;='Detalle'!$H600,K$9&gt;='Detalle'!$G600),1,"")</x:f>
      </x:c>
      <x:c r="L1233" s="32" t="str">
        <x:f>IF(AND(L$8&lt;='Detalle'!$H600,L$9&gt;='Detalle'!$G600),1,"")</x:f>
      </x:c>
      <x:c r="M1233" s="32" t="str">
        <x:f>IF(AND(M$8&lt;='Detalle'!$H600,M$9&gt;='Detalle'!$G600),1,"")</x:f>
      </x:c>
      <x:c r="N1233" s="32" t="str">
        <x:f>IF(AND(N$8&lt;='Detalle'!$H600,N$9&gt;='Detalle'!$G600),1,"")</x:f>
      </x:c>
      <x:c r="O1233" s="32" t="str">
        <x:f>IF(AND(O$8&lt;='Detalle'!$H600,O$9&gt;='Detalle'!$G600),1,"")</x:f>
      </x:c>
      <x:c r="P1233" s="32" t="str">
        <x:f>IF(AND(P$8&lt;='Detalle'!$H600,P$9&gt;='Detalle'!$G600),1,"")</x:f>
      </x:c>
      <x:c r="Q1233" s="68"/>
      <x:c r="R1233" s="67" t="str">
        <x:f>IF('Detalle'!M600="","",'Detalle'!M600)</x:f>
      </x:c>
      <x:c r="S1233" s="67" t="str">
        <x:f>IF('Detalle'!N600="","",'Detalle'!N600)</x:f>
      </x:c>
    </x:row>
    <x:row r="1234" ht="16" customHeight="1">
      <x:c r="A1234" s="56" t="str">
        <x:v>PUS03.003</x:v>
      </x:c>
      <x:c r="B1234" s="57" t="str">
        <x:v>Obtener configuración pública Firebase</x:v>
      </x:c>
      <x:c r="C1234" s="63" t="str">
        <x:v>R</x:v>
      </x:c>
      <x:c r="D1234" s="65" t="str">
        <x:f>IF('Detalle'!L600="","",'Detalle'!L600)</x:f>
      </x:c>
      <x:c r="E1234" s="60" t="str"/>
      <x:c r="F1234" s="32" t="str">
        <x:f>IF(OR('Detalle'!$J600="",'Detalle'!$K600="",'Detalle'!$L600=""),"",IF(AND(F$8&lt;='Detalle'!$K600,F$9&gt;='Detalle'!$J600),1,""))</x:f>
      </x:c>
      <x:c r="G1234" s="32" t="str">
        <x:f>IF(OR('Detalle'!$J600="",'Detalle'!$K600="",'Detalle'!$L600=""),"",IF(AND(G$8&lt;='Detalle'!$K600,G$9&gt;='Detalle'!$J600),1,""))</x:f>
      </x:c>
      <x:c r="H1234" s="32" t="str">
        <x:f>IF(OR('Detalle'!$J600="",'Detalle'!$K600="",'Detalle'!$L600=""),"",IF(AND(H$8&lt;='Detalle'!$K600,H$9&gt;='Detalle'!$J600),1,""))</x:f>
      </x:c>
      <x:c r="I1234" s="32" t="str">
        <x:f>IF(OR('Detalle'!$J600="",'Detalle'!$K600="",'Detalle'!$L600=""),"",IF(AND(I$8&lt;='Detalle'!$K600,I$9&gt;='Detalle'!$J600),1,""))</x:f>
      </x:c>
      <x:c r="J1234" s="32" t="str">
        <x:f>IF(OR('Detalle'!$J600="",'Detalle'!$K600="",'Detalle'!$L600=""),"",IF(AND(J$8&lt;='Detalle'!$K600,J$9&gt;='Detalle'!$J600),1,""))</x:f>
      </x:c>
      <x:c r="K1234" s="32" t="str">
        <x:f>IF(OR('Detalle'!$J600="",'Detalle'!$K600="",'Detalle'!$L600=""),"",IF(AND(K$8&lt;='Detalle'!$K600,K$9&gt;='Detalle'!$J600),1,""))</x:f>
      </x:c>
      <x:c r="L1234" s="32" t="str">
        <x:f>IF(OR('Detalle'!$J600="",'Detalle'!$K600="",'Detalle'!$L600=""),"",IF(AND(L$8&lt;='Detalle'!$K600,L$9&gt;='Detalle'!$J600),1,""))</x:f>
      </x:c>
      <x:c r="M1234" s="32" t="str">
        <x:f>IF(OR('Detalle'!$J600="",'Detalle'!$K600="",'Detalle'!$L600=""),"",IF(AND(M$8&lt;='Detalle'!$K600,M$9&gt;='Detalle'!$J600),1,""))</x:f>
      </x:c>
      <x:c r="N1234" s="32" t="str">
        <x:f>IF(OR('Detalle'!$J600="",'Detalle'!$K600="",'Detalle'!$L600=""),"",IF(AND(N$8&lt;='Detalle'!$K600,N$9&gt;='Detalle'!$J600),1,""))</x:f>
      </x:c>
      <x:c r="O1234" s="32" t="str">
        <x:f>IF(OR('Detalle'!$J600="",'Detalle'!$K600="",'Detalle'!$L600=""),"",IF(AND(O$8&lt;='Detalle'!$K600,O$9&gt;='Detalle'!$J600),1,""))</x:f>
      </x:c>
      <x:c r="P1234" s="32" t="str">
        <x:f>IF(OR('Detalle'!$J600="",'Detalle'!$K600="",'Detalle'!$L600=""),"",IF(AND(P$8&lt;='Detalle'!$K600,P$9&gt;='Detalle'!$J600),1,""))</x:f>
      </x:c>
      <x:c r="Q1234" s="68"/>
      <x:c r="R1234" s="67" t="str"/>
      <x:c r="S1234" s="67" t="str"/>
    </x:row>
    <x:row r="1235" ht="16" customHeight="1">
      <x:c r="A1235" s="56" t="str">
        <x:v>PUS03.004</x:v>
      </x:c>
      <x:c r="B1235" s="57" t="str">
        <x:v>Habilitar API FCM HTTP v1</x:v>
      </x:c>
      <x:c r="C1235" s="62" t="str">
        <x:v>E</x:v>
      </x:c>
      <x:c r="D1235" s="64" t="n">
        <x:f>'Detalle'!I601</x:f>
        <x:v>1</x:v>
      </x:c>
      <x:c r="E1235" s="60" t="str">
        <x:f>'Detalle'!F601</x:f>
        <x:v>Completado</x:v>
      </x:c>
      <x:c r="F1235" s="32" t="str">
        <x:f>IF(AND(F$8&lt;='Detalle'!$H601,F$9&gt;='Detalle'!$G601),1,"")</x:f>
      </x:c>
      <x:c r="G1235" s="32" t="str">
        <x:f>IF(AND(G$8&lt;='Detalle'!$H601,G$9&gt;='Detalle'!$G601),1,"")</x:f>
      </x:c>
      <x:c r="H1235" s="32" t="str">
        <x:f>IF(AND(H$8&lt;='Detalle'!$H601,H$9&gt;='Detalle'!$G601),1,"")</x:f>
      </x:c>
      <x:c r="I1235" s="32" t="str">
        <x:f>IF(AND(I$8&lt;='Detalle'!$H601,I$9&gt;='Detalle'!$G601),1,"")</x:f>
      </x:c>
      <x:c r="J1235" s="32" t="n">
        <x:f>IF(AND(J$8&lt;='Detalle'!$H601,J$9&gt;='Detalle'!$G601),1,"")</x:f>
        <x:v>1</x:v>
      </x:c>
      <x:c r="K1235" s="32" t="str">
        <x:f>IF(AND(K$8&lt;='Detalle'!$H601,K$9&gt;='Detalle'!$G601),1,"")</x:f>
      </x:c>
      <x:c r="L1235" s="32" t="str">
        <x:f>IF(AND(L$8&lt;='Detalle'!$H601,L$9&gt;='Detalle'!$G601),1,"")</x:f>
      </x:c>
      <x:c r="M1235" s="32" t="str">
        <x:f>IF(AND(M$8&lt;='Detalle'!$H601,M$9&gt;='Detalle'!$G601),1,"")</x:f>
      </x:c>
      <x:c r="N1235" s="32" t="str">
        <x:f>IF(AND(N$8&lt;='Detalle'!$H601,N$9&gt;='Detalle'!$G601),1,"")</x:f>
      </x:c>
      <x:c r="O1235" s="32" t="str">
        <x:f>IF(AND(O$8&lt;='Detalle'!$H601,O$9&gt;='Detalle'!$G601),1,"")</x:f>
      </x:c>
      <x:c r="P1235" s="32" t="str">
        <x:f>IF(AND(P$8&lt;='Detalle'!$H601,P$9&gt;='Detalle'!$G601),1,"")</x:f>
      </x:c>
      <x:c r="Q1235" s="68"/>
      <x:c r="R1235" s="67" t="str">
        <x:f>IF('Detalle'!M601="","",'Detalle'!M601)</x:f>
      </x:c>
      <x:c r="S1235" s="67" t="str">
        <x:f>IF('Detalle'!N601="","",'Detalle'!N601)</x:f>
      </x:c>
    </x:row>
    <x:row r="1236" ht="16" customHeight="1">
      <x:c r="A1236" s="56" t="str">
        <x:v>PUS03.004</x:v>
      </x:c>
      <x:c r="B1236" s="57" t="str">
        <x:v>Habilitar API FCM HTTP v1</x:v>
      </x:c>
      <x:c r="C1236" s="63" t="str">
        <x:v>R</x:v>
      </x:c>
      <x:c r="D1236" s="65" t="str">
        <x:f>IF('Detalle'!L601="","",'Detalle'!L601)</x:f>
      </x:c>
      <x:c r="E1236" s="60" t="str"/>
      <x:c r="F1236" s="32" t="str">
        <x:f>IF(OR('Detalle'!$J601="",'Detalle'!$K601="",'Detalle'!$L601=""),"",IF(AND(F$8&lt;='Detalle'!$K601,F$9&gt;='Detalle'!$J601),1,""))</x:f>
      </x:c>
      <x:c r="G1236" s="32" t="str">
        <x:f>IF(OR('Detalle'!$J601="",'Detalle'!$K601="",'Detalle'!$L601=""),"",IF(AND(G$8&lt;='Detalle'!$K601,G$9&gt;='Detalle'!$J601),1,""))</x:f>
      </x:c>
      <x:c r="H1236" s="32" t="str">
        <x:f>IF(OR('Detalle'!$J601="",'Detalle'!$K601="",'Detalle'!$L601=""),"",IF(AND(H$8&lt;='Detalle'!$K601,H$9&gt;='Detalle'!$J601),1,""))</x:f>
      </x:c>
      <x:c r="I1236" s="32" t="str">
        <x:f>IF(OR('Detalle'!$J601="",'Detalle'!$K601="",'Detalle'!$L601=""),"",IF(AND(I$8&lt;='Detalle'!$K601,I$9&gt;='Detalle'!$J601),1,""))</x:f>
      </x:c>
      <x:c r="J1236" s="32" t="str">
        <x:f>IF(OR('Detalle'!$J601="",'Detalle'!$K601="",'Detalle'!$L601=""),"",IF(AND(J$8&lt;='Detalle'!$K601,J$9&gt;='Detalle'!$J601),1,""))</x:f>
      </x:c>
      <x:c r="K1236" s="32" t="str">
        <x:f>IF(OR('Detalle'!$J601="",'Detalle'!$K601="",'Detalle'!$L601=""),"",IF(AND(K$8&lt;='Detalle'!$K601,K$9&gt;='Detalle'!$J601),1,""))</x:f>
      </x:c>
      <x:c r="L1236" s="32" t="str">
        <x:f>IF(OR('Detalle'!$J601="",'Detalle'!$K601="",'Detalle'!$L601=""),"",IF(AND(L$8&lt;='Detalle'!$K601,L$9&gt;='Detalle'!$J601),1,""))</x:f>
      </x:c>
      <x:c r="M1236" s="32" t="str">
        <x:f>IF(OR('Detalle'!$J601="",'Detalle'!$K601="",'Detalle'!$L601=""),"",IF(AND(M$8&lt;='Detalle'!$K601,M$9&gt;='Detalle'!$J601),1,""))</x:f>
      </x:c>
      <x:c r="N1236" s="32" t="str">
        <x:f>IF(OR('Detalle'!$J601="",'Detalle'!$K601="",'Detalle'!$L601=""),"",IF(AND(N$8&lt;='Detalle'!$K601,N$9&gt;='Detalle'!$J601),1,""))</x:f>
      </x:c>
      <x:c r="O1236" s="32" t="str">
        <x:f>IF(OR('Detalle'!$J601="",'Detalle'!$K601="",'Detalle'!$L601=""),"",IF(AND(O$8&lt;='Detalle'!$K601,O$9&gt;='Detalle'!$J601),1,""))</x:f>
      </x:c>
      <x:c r="P1236" s="32" t="str">
        <x:f>IF(OR('Detalle'!$J601="",'Detalle'!$K601="",'Detalle'!$L601=""),"",IF(AND(P$8&lt;='Detalle'!$K601,P$9&gt;='Detalle'!$J601),1,""))</x:f>
      </x:c>
      <x:c r="Q1236" s="68"/>
      <x:c r="R1236" s="67" t="str"/>
      <x:c r="S1236" s="67" t="str"/>
    </x:row>
    <x:row r="1237" ht="16" customHeight="1">
      <x:c r="A1237" s="56" t="str">
        <x:v>PUS03.005</x:v>
      </x:c>
      <x:c r="B1237" s="57" t="str">
        <x:v>Crear cuenta dedicada de envío</x:v>
      </x:c>
      <x:c r="C1237" s="62" t="str">
        <x:v>E</x:v>
      </x:c>
      <x:c r="D1237" s="64" t="n">
        <x:f>'Detalle'!I602</x:f>
        <x:v>1</x:v>
      </x:c>
      <x:c r="E1237" s="60" t="str">
        <x:f>'Detalle'!F602</x:f>
        <x:v>Completado</x:v>
      </x:c>
      <x:c r="F1237" s="32" t="str">
        <x:f>IF(AND(F$8&lt;='Detalle'!$H602,F$9&gt;='Detalle'!$G602),1,"")</x:f>
      </x:c>
      <x:c r="G1237" s="32" t="str">
        <x:f>IF(AND(G$8&lt;='Detalle'!$H602,G$9&gt;='Detalle'!$G602),1,"")</x:f>
      </x:c>
      <x:c r="H1237" s="32" t="str">
        <x:f>IF(AND(H$8&lt;='Detalle'!$H602,H$9&gt;='Detalle'!$G602),1,"")</x:f>
      </x:c>
      <x:c r="I1237" s="32" t="str">
        <x:f>IF(AND(I$8&lt;='Detalle'!$H602,I$9&gt;='Detalle'!$G602),1,"")</x:f>
      </x:c>
      <x:c r="J1237" s="32" t="n">
        <x:f>IF(AND(J$8&lt;='Detalle'!$H602,J$9&gt;='Detalle'!$G602),1,"")</x:f>
        <x:v>1</x:v>
      </x:c>
      <x:c r="K1237" s="32" t="str">
        <x:f>IF(AND(K$8&lt;='Detalle'!$H602,K$9&gt;='Detalle'!$G602),1,"")</x:f>
      </x:c>
      <x:c r="L1237" s="32" t="str">
        <x:f>IF(AND(L$8&lt;='Detalle'!$H602,L$9&gt;='Detalle'!$G602),1,"")</x:f>
      </x:c>
      <x:c r="M1237" s="32" t="str">
        <x:f>IF(AND(M$8&lt;='Detalle'!$H602,M$9&gt;='Detalle'!$G602),1,"")</x:f>
      </x:c>
      <x:c r="N1237" s="32" t="str">
        <x:f>IF(AND(N$8&lt;='Detalle'!$H602,N$9&gt;='Detalle'!$G602),1,"")</x:f>
      </x:c>
      <x:c r="O1237" s="32" t="str">
        <x:f>IF(AND(O$8&lt;='Detalle'!$H602,O$9&gt;='Detalle'!$G602),1,"")</x:f>
      </x:c>
      <x:c r="P1237" s="32" t="str">
        <x:f>IF(AND(P$8&lt;='Detalle'!$H602,P$9&gt;='Detalle'!$G602),1,"")</x:f>
      </x:c>
      <x:c r="Q1237" s="68"/>
      <x:c r="R1237" s="67" t="str">
        <x:f>IF('Detalle'!M602="","",'Detalle'!M602)</x:f>
      </x:c>
      <x:c r="S1237" s="67" t="str">
        <x:f>IF('Detalle'!N602="","",'Detalle'!N602)</x:f>
      </x:c>
    </x:row>
    <x:row r="1238" ht="16" customHeight="1">
      <x:c r="A1238" s="56" t="str">
        <x:v>PUS03.005</x:v>
      </x:c>
      <x:c r="B1238" s="57" t="str">
        <x:v>Crear cuenta dedicada de envío</x:v>
      </x:c>
      <x:c r="C1238" s="63" t="str">
        <x:v>R</x:v>
      </x:c>
      <x:c r="D1238" s="65" t="str">
        <x:f>IF('Detalle'!L602="","",'Detalle'!L602)</x:f>
      </x:c>
      <x:c r="E1238" s="60" t="str"/>
      <x:c r="F1238" s="32" t="str">
        <x:f>IF(OR('Detalle'!$J602="",'Detalle'!$K602="",'Detalle'!$L602=""),"",IF(AND(F$8&lt;='Detalle'!$K602,F$9&gt;='Detalle'!$J602),1,""))</x:f>
      </x:c>
      <x:c r="G1238" s="32" t="str">
        <x:f>IF(OR('Detalle'!$J602="",'Detalle'!$K602="",'Detalle'!$L602=""),"",IF(AND(G$8&lt;='Detalle'!$K602,G$9&gt;='Detalle'!$J602),1,""))</x:f>
      </x:c>
      <x:c r="H1238" s="32" t="str">
        <x:f>IF(OR('Detalle'!$J602="",'Detalle'!$K602="",'Detalle'!$L602=""),"",IF(AND(H$8&lt;='Detalle'!$K602,H$9&gt;='Detalle'!$J602),1,""))</x:f>
      </x:c>
      <x:c r="I1238" s="32" t="str">
        <x:f>IF(OR('Detalle'!$J602="",'Detalle'!$K602="",'Detalle'!$L602=""),"",IF(AND(I$8&lt;='Detalle'!$K602,I$9&gt;='Detalle'!$J602),1,""))</x:f>
      </x:c>
      <x:c r="J1238" s="32" t="str">
        <x:f>IF(OR('Detalle'!$J602="",'Detalle'!$K602="",'Detalle'!$L602=""),"",IF(AND(J$8&lt;='Detalle'!$K602,J$9&gt;='Detalle'!$J602),1,""))</x:f>
      </x:c>
      <x:c r="K1238" s="32" t="str">
        <x:f>IF(OR('Detalle'!$J602="",'Detalle'!$K602="",'Detalle'!$L602=""),"",IF(AND(K$8&lt;='Detalle'!$K602,K$9&gt;='Detalle'!$J602),1,""))</x:f>
      </x:c>
      <x:c r="L1238" s="32" t="str">
        <x:f>IF(OR('Detalle'!$J602="",'Detalle'!$K602="",'Detalle'!$L602=""),"",IF(AND(L$8&lt;='Detalle'!$K602,L$9&gt;='Detalle'!$J602),1,""))</x:f>
      </x:c>
      <x:c r="M1238" s="32" t="str">
        <x:f>IF(OR('Detalle'!$J602="",'Detalle'!$K602="",'Detalle'!$L602=""),"",IF(AND(M$8&lt;='Detalle'!$K602,M$9&gt;='Detalle'!$J602),1,""))</x:f>
      </x:c>
      <x:c r="N1238" s="32" t="str">
        <x:f>IF(OR('Detalle'!$J602="",'Detalle'!$K602="",'Detalle'!$L602=""),"",IF(AND(N$8&lt;='Detalle'!$K602,N$9&gt;='Detalle'!$J602),1,""))</x:f>
      </x:c>
      <x:c r="O1238" s="32" t="str">
        <x:f>IF(OR('Detalle'!$J602="",'Detalle'!$K602="",'Detalle'!$L602=""),"",IF(AND(O$8&lt;='Detalle'!$K602,O$9&gt;='Detalle'!$J602),1,""))</x:f>
      </x:c>
      <x:c r="P1238" s="32" t="str">
        <x:f>IF(OR('Detalle'!$J602="",'Detalle'!$K602="",'Detalle'!$L602=""),"",IF(AND(P$8&lt;='Detalle'!$K602,P$9&gt;='Detalle'!$J602),1,""))</x:f>
      </x:c>
      <x:c r="Q1238" s="68"/>
      <x:c r="R1238" s="67" t="str"/>
      <x:c r="S1238" s="67" t="str"/>
    </x:row>
    <x:row r="1239" ht="16" customHeight="1">
      <x:c r="A1239" s="56" t="str">
        <x:v>PUS03.006</x:v>
      </x:c>
      <x:c r="B1239" s="57" t="str">
        <x:v>Transferir credencial FCM a Supabase</x:v>
      </x:c>
      <x:c r="C1239" s="62" t="str">
        <x:v>E</x:v>
      </x:c>
      <x:c r="D1239" s="64" t="n">
        <x:f>'Detalle'!I603</x:f>
        <x:v>1</x:v>
      </x:c>
      <x:c r="E1239" s="60" t="str">
        <x:f>'Detalle'!F603</x:f>
        <x:v>Completado</x:v>
      </x:c>
      <x:c r="F1239" s="32" t="str">
        <x:f>IF(AND(F$8&lt;='Detalle'!$H603,F$9&gt;='Detalle'!$G603),1,"")</x:f>
      </x:c>
      <x:c r="G1239" s="32" t="str">
        <x:f>IF(AND(G$8&lt;='Detalle'!$H603,G$9&gt;='Detalle'!$G603),1,"")</x:f>
      </x:c>
      <x:c r="H1239" s="32" t="str">
        <x:f>IF(AND(H$8&lt;='Detalle'!$H603,H$9&gt;='Detalle'!$G603),1,"")</x:f>
      </x:c>
      <x:c r="I1239" s="32" t="str">
        <x:f>IF(AND(I$8&lt;='Detalle'!$H603,I$9&gt;='Detalle'!$G603),1,"")</x:f>
      </x:c>
      <x:c r="J1239" s="32" t="n">
        <x:f>IF(AND(J$8&lt;='Detalle'!$H603,J$9&gt;='Detalle'!$G603),1,"")</x:f>
        <x:v>1</x:v>
      </x:c>
      <x:c r="K1239" s="32" t="str">
        <x:f>IF(AND(K$8&lt;='Detalle'!$H603,K$9&gt;='Detalle'!$G603),1,"")</x:f>
      </x:c>
      <x:c r="L1239" s="32" t="str">
        <x:f>IF(AND(L$8&lt;='Detalle'!$H603,L$9&gt;='Detalle'!$G603),1,"")</x:f>
      </x:c>
      <x:c r="M1239" s="32" t="str">
        <x:f>IF(AND(M$8&lt;='Detalle'!$H603,M$9&gt;='Detalle'!$G603),1,"")</x:f>
      </x:c>
      <x:c r="N1239" s="32" t="str">
        <x:f>IF(AND(N$8&lt;='Detalle'!$H603,N$9&gt;='Detalle'!$G603),1,"")</x:f>
      </x:c>
      <x:c r="O1239" s="32" t="str">
        <x:f>IF(AND(O$8&lt;='Detalle'!$H603,O$9&gt;='Detalle'!$G603),1,"")</x:f>
      </x:c>
      <x:c r="P1239" s="32" t="str">
        <x:f>IF(AND(P$8&lt;='Detalle'!$H603,P$9&gt;='Detalle'!$G603),1,"")</x:f>
      </x:c>
      <x:c r="Q1239" s="68"/>
      <x:c r="R1239" s="67" t="str">
        <x:f>IF('Detalle'!M603="","",'Detalle'!M603)</x:f>
      </x:c>
      <x:c r="S1239" s="67" t="str">
        <x:f>IF('Detalle'!N603="","",'Detalle'!N603)</x:f>
      </x:c>
    </x:row>
    <x:row r="1240" ht="16" customHeight="1">
      <x:c r="A1240" s="56" t="str">
        <x:v>PUS03.006</x:v>
      </x:c>
      <x:c r="B1240" s="57" t="str">
        <x:v>Transferir credencial FCM a Supabase</x:v>
      </x:c>
      <x:c r="C1240" s="63" t="str">
        <x:v>R</x:v>
      </x:c>
      <x:c r="D1240" s="65" t="str">
        <x:f>IF('Detalle'!L603="","",'Detalle'!L603)</x:f>
      </x:c>
      <x:c r="E1240" s="60" t="str"/>
      <x:c r="F1240" s="32" t="str">
        <x:f>IF(OR('Detalle'!$J603="",'Detalle'!$K603="",'Detalle'!$L603=""),"",IF(AND(F$8&lt;='Detalle'!$K603,F$9&gt;='Detalle'!$J603),1,""))</x:f>
      </x:c>
      <x:c r="G1240" s="32" t="str">
        <x:f>IF(OR('Detalle'!$J603="",'Detalle'!$K603="",'Detalle'!$L603=""),"",IF(AND(G$8&lt;='Detalle'!$K603,G$9&gt;='Detalle'!$J603),1,""))</x:f>
      </x:c>
      <x:c r="H1240" s="32" t="str">
        <x:f>IF(OR('Detalle'!$J603="",'Detalle'!$K603="",'Detalle'!$L603=""),"",IF(AND(H$8&lt;='Detalle'!$K603,H$9&gt;='Detalle'!$J603),1,""))</x:f>
      </x:c>
      <x:c r="I1240" s="32" t="str">
        <x:f>IF(OR('Detalle'!$J603="",'Detalle'!$K603="",'Detalle'!$L603=""),"",IF(AND(I$8&lt;='Detalle'!$K603,I$9&gt;='Detalle'!$J603),1,""))</x:f>
      </x:c>
      <x:c r="J1240" s="32" t="str">
        <x:f>IF(OR('Detalle'!$J603="",'Detalle'!$K603="",'Detalle'!$L603=""),"",IF(AND(J$8&lt;='Detalle'!$K603,J$9&gt;='Detalle'!$J603),1,""))</x:f>
      </x:c>
      <x:c r="K1240" s="32" t="str">
        <x:f>IF(OR('Detalle'!$J603="",'Detalle'!$K603="",'Detalle'!$L603=""),"",IF(AND(K$8&lt;='Detalle'!$K603,K$9&gt;='Detalle'!$J603),1,""))</x:f>
      </x:c>
      <x:c r="L1240" s="32" t="str">
        <x:f>IF(OR('Detalle'!$J603="",'Detalle'!$K603="",'Detalle'!$L603=""),"",IF(AND(L$8&lt;='Detalle'!$K603,L$9&gt;='Detalle'!$J603),1,""))</x:f>
      </x:c>
      <x:c r="M1240" s="32" t="str">
        <x:f>IF(OR('Detalle'!$J603="",'Detalle'!$K603="",'Detalle'!$L603=""),"",IF(AND(M$8&lt;='Detalle'!$K603,M$9&gt;='Detalle'!$J603),1,""))</x:f>
      </x:c>
      <x:c r="N1240" s="32" t="str">
        <x:f>IF(OR('Detalle'!$J603="",'Detalle'!$K603="",'Detalle'!$L603=""),"",IF(AND(N$8&lt;='Detalle'!$K603,N$9&gt;='Detalle'!$J603),1,""))</x:f>
      </x:c>
      <x:c r="O1240" s="32" t="str">
        <x:f>IF(OR('Detalle'!$J603="",'Detalle'!$K603="",'Detalle'!$L603=""),"",IF(AND(O$8&lt;='Detalle'!$K603,O$9&gt;='Detalle'!$J603),1,""))</x:f>
      </x:c>
      <x:c r="P1240" s="32" t="str">
        <x:f>IF(OR('Detalle'!$J603="",'Detalle'!$K603="",'Detalle'!$L603=""),"",IF(AND(P$8&lt;='Detalle'!$K603,P$9&gt;='Detalle'!$J603),1,""))</x:f>
      </x:c>
      <x:c r="Q1240" s="68"/>
      <x:c r="R1240" s="67" t="str"/>
      <x:c r="S1240" s="67" t="str"/>
    </x:row>
    <x:row r="1241" ht="16" customHeight="1">
      <x:c r="A1241" s="56" t="str">
        <x:v>PUS03.007</x:v>
      </x:c>
      <x:c r="B1241" s="57" t="str">
        <x:v>Desactivar credencial fallida anterior</x:v>
      </x:c>
      <x:c r="C1241" s="62" t="str">
        <x:v>E</x:v>
      </x:c>
      <x:c r="D1241" s="64" t="n">
        <x:f>'Detalle'!I604</x:f>
        <x:v>1</x:v>
      </x:c>
      <x:c r="E1241" s="60" t="str">
        <x:f>'Detalle'!F604</x:f>
        <x:v>Completado</x:v>
      </x:c>
      <x:c r="F1241" s="32" t="str">
        <x:f>IF(AND(F$8&lt;='Detalle'!$H604,F$9&gt;='Detalle'!$G604),1,"")</x:f>
      </x:c>
      <x:c r="G1241" s="32" t="str">
        <x:f>IF(AND(G$8&lt;='Detalle'!$H604,G$9&gt;='Detalle'!$G604),1,"")</x:f>
      </x:c>
      <x:c r="H1241" s="32" t="str">
        <x:f>IF(AND(H$8&lt;='Detalle'!$H604,H$9&gt;='Detalle'!$G604),1,"")</x:f>
      </x:c>
      <x:c r="I1241" s="32" t="str">
        <x:f>IF(AND(I$8&lt;='Detalle'!$H604,I$9&gt;='Detalle'!$G604),1,"")</x:f>
      </x:c>
      <x:c r="J1241" s="32" t="n">
        <x:f>IF(AND(J$8&lt;='Detalle'!$H604,J$9&gt;='Detalle'!$G604),1,"")</x:f>
        <x:v>1</x:v>
      </x:c>
      <x:c r="K1241" s="32" t="str">
        <x:f>IF(AND(K$8&lt;='Detalle'!$H604,K$9&gt;='Detalle'!$G604),1,"")</x:f>
      </x:c>
      <x:c r="L1241" s="32" t="str">
        <x:f>IF(AND(L$8&lt;='Detalle'!$H604,L$9&gt;='Detalle'!$G604),1,"")</x:f>
      </x:c>
      <x:c r="M1241" s="32" t="str">
        <x:f>IF(AND(M$8&lt;='Detalle'!$H604,M$9&gt;='Detalle'!$G604),1,"")</x:f>
      </x:c>
      <x:c r="N1241" s="32" t="str">
        <x:f>IF(AND(N$8&lt;='Detalle'!$H604,N$9&gt;='Detalle'!$G604),1,"")</x:f>
      </x:c>
      <x:c r="O1241" s="32" t="str">
        <x:f>IF(AND(O$8&lt;='Detalle'!$H604,O$9&gt;='Detalle'!$G604),1,"")</x:f>
      </x:c>
      <x:c r="P1241" s="32" t="str">
        <x:f>IF(AND(P$8&lt;='Detalle'!$H604,P$9&gt;='Detalle'!$G604),1,"")</x:f>
      </x:c>
      <x:c r="Q1241" s="68"/>
      <x:c r="R1241" s="67" t="str">
        <x:f>IF('Detalle'!M604="","",'Detalle'!M604)</x:f>
      </x:c>
      <x:c r="S1241" s="67" t="str">
        <x:f>IF('Detalle'!N604="","",'Detalle'!N604)</x:f>
      </x:c>
    </x:row>
    <x:row r="1242" ht="16" customHeight="1">
      <x:c r="A1242" s="56" t="str">
        <x:v>PUS03.007</x:v>
      </x:c>
      <x:c r="B1242" s="57" t="str">
        <x:v>Desactivar credencial fallida anterior</x:v>
      </x:c>
      <x:c r="C1242" s="63" t="str">
        <x:v>R</x:v>
      </x:c>
      <x:c r="D1242" s="65" t="str">
        <x:f>IF('Detalle'!L604="","",'Detalle'!L604)</x:f>
      </x:c>
      <x:c r="E1242" s="60" t="str"/>
      <x:c r="F1242" s="32" t="str">
        <x:f>IF(OR('Detalle'!$J604="",'Detalle'!$K604="",'Detalle'!$L604=""),"",IF(AND(F$8&lt;='Detalle'!$K604,F$9&gt;='Detalle'!$J604),1,""))</x:f>
      </x:c>
      <x:c r="G1242" s="32" t="str">
        <x:f>IF(OR('Detalle'!$J604="",'Detalle'!$K604="",'Detalle'!$L604=""),"",IF(AND(G$8&lt;='Detalle'!$K604,G$9&gt;='Detalle'!$J604),1,""))</x:f>
      </x:c>
      <x:c r="H1242" s="32" t="str">
        <x:f>IF(OR('Detalle'!$J604="",'Detalle'!$K604="",'Detalle'!$L604=""),"",IF(AND(H$8&lt;='Detalle'!$K604,H$9&gt;='Detalle'!$J604),1,""))</x:f>
      </x:c>
      <x:c r="I1242" s="32" t="str">
        <x:f>IF(OR('Detalle'!$J604="",'Detalle'!$K604="",'Detalle'!$L604=""),"",IF(AND(I$8&lt;='Detalle'!$K604,I$9&gt;='Detalle'!$J604),1,""))</x:f>
      </x:c>
      <x:c r="J1242" s="32" t="str">
        <x:f>IF(OR('Detalle'!$J604="",'Detalle'!$K604="",'Detalle'!$L604=""),"",IF(AND(J$8&lt;='Detalle'!$K604,J$9&gt;='Detalle'!$J604),1,""))</x:f>
      </x:c>
      <x:c r="K1242" s="32" t="str">
        <x:f>IF(OR('Detalle'!$J604="",'Detalle'!$K604="",'Detalle'!$L604=""),"",IF(AND(K$8&lt;='Detalle'!$K604,K$9&gt;='Detalle'!$J604),1,""))</x:f>
      </x:c>
      <x:c r="L1242" s="32" t="str">
        <x:f>IF(OR('Detalle'!$J604="",'Detalle'!$K604="",'Detalle'!$L604=""),"",IF(AND(L$8&lt;='Detalle'!$K604,L$9&gt;='Detalle'!$J604),1,""))</x:f>
      </x:c>
      <x:c r="M1242" s="32" t="str">
        <x:f>IF(OR('Detalle'!$J604="",'Detalle'!$K604="",'Detalle'!$L604=""),"",IF(AND(M$8&lt;='Detalle'!$K604,M$9&gt;='Detalle'!$J604),1,""))</x:f>
      </x:c>
      <x:c r="N1242" s="32" t="str">
        <x:f>IF(OR('Detalle'!$J604="",'Detalle'!$K604="",'Detalle'!$L604=""),"",IF(AND(N$8&lt;='Detalle'!$K604,N$9&gt;='Detalle'!$J604),1,""))</x:f>
      </x:c>
      <x:c r="O1242" s="32" t="str">
        <x:f>IF(OR('Detalle'!$J604="",'Detalle'!$K604="",'Detalle'!$L604=""),"",IF(AND(O$8&lt;='Detalle'!$K604,O$9&gt;='Detalle'!$J604),1,""))</x:f>
      </x:c>
      <x:c r="P1242" s="32" t="str">
        <x:f>IF(OR('Detalle'!$J604="",'Detalle'!$K604="",'Detalle'!$L604=""),"",IF(AND(P$8&lt;='Detalle'!$K604,P$9&gt;='Detalle'!$J604),1,""))</x:f>
      </x:c>
      <x:c r="Q1242" s="68"/>
      <x:c r="R1242" s="67" t="str"/>
      <x:c r="S1242" s="67" t="str"/>
    </x:row>
    <x:row r="1243" ht="16" customHeight="1">
      <x:c r="A1243" s="56" t="str">
        <x:v>PUS03.008</x:v>
      </x:c>
      <x:c r="B1243" s="57" t="str">
        <x:v>Eliminar copias temporales de credenciales</x:v>
      </x:c>
      <x:c r="C1243" s="62" t="str">
        <x:v>E</x:v>
      </x:c>
      <x:c r="D1243" s="64" t="n">
        <x:f>'Detalle'!I605</x:f>
        <x:v>1</x:v>
      </x:c>
      <x:c r="E1243" s="60" t="str">
        <x:f>'Detalle'!F605</x:f>
        <x:v>Completado</x:v>
      </x:c>
      <x:c r="F1243" s="32" t="str">
        <x:f>IF(AND(F$8&lt;='Detalle'!$H605,F$9&gt;='Detalle'!$G605),1,"")</x:f>
      </x:c>
      <x:c r="G1243" s="32" t="str">
        <x:f>IF(AND(G$8&lt;='Detalle'!$H605,G$9&gt;='Detalle'!$G605),1,"")</x:f>
      </x:c>
      <x:c r="H1243" s="32" t="str">
        <x:f>IF(AND(H$8&lt;='Detalle'!$H605,H$9&gt;='Detalle'!$G605),1,"")</x:f>
      </x:c>
      <x:c r="I1243" s="32" t="str">
        <x:f>IF(AND(I$8&lt;='Detalle'!$H605,I$9&gt;='Detalle'!$G605),1,"")</x:f>
      </x:c>
      <x:c r="J1243" s="32" t="n">
        <x:f>IF(AND(J$8&lt;='Detalle'!$H605,J$9&gt;='Detalle'!$G605),1,"")</x:f>
        <x:v>1</x:v>
      </x:c>
      <x:c r="K1243" s="32" t="str">
        <x:f>IF(AND(K$8&lt;='Detalle'!$H605,K$9&gt;='Detalle'!$G605),1,"")</x:f>
      </x:c>
      <x:c r="L1243" s="32" t="str">
        <x:f>IF(AND(L$8&lt;='Detalle'!$H605,L$9&gt;='Detalle'!$G605),1,"")</x:f>
      </x:c>
      <x:c r="M1243" s="32" t="str">
        <x:f>IF(AND(M$8&lt;='Detalle'!$H605,M$9&gt;='Detalle'!$G605),1,"")</x:f>
      </x:c>
      <x:c r="N1243" s="32" t="str">
        <x:f>IF(AND(N$8&lt;='Detalle'!$H605,N$9&gt;='Detalle'!$G605),1,"")</x:f>
      </x:c>
      <x:c r="O1243" s="32" t="str">
        <x:f>IF(AND(O$8&lt;='Detalle'!$H605,O$9&gt;='Detalle'!$G605),1,"")</x:f>
      </x:c>
      <x:c r="P1243" s="32" t="str">
        <x:f>IF(AND(P$8&lt;='Detalle'!$H605,P$9&gt;='Detalle'!$G605),1,"")</x:f>
      </x:c>
      <x:c r="Q1243" s="68"/>
      <x:c r="R1243" s="67" t="str">
        <x:f>IF('Detalle'!M605="","",'Detalle'!M605)</x:f>
      </x:c>
      <x:c r="S1243" s="67" t="str">
        <x:f>IF('Detalle'!N605="","",'Detalle'!N605)</x:f>
      </x:c>
    </x:row>
    <x:row r="1244" ht="16" customHeight="1">
      <x:c r="A1244" s="56" t="str">
        <x:v>PUS03.008</x:v>
      </x:c>
      <x:c r="B1244" s="57" t="str">
        <x:v>Eliminar copias temporales de credenciales</x:v>
      </x:c>
      <x:c r="C1244" s="63" t="str">
        <x:v>R</x:v>
      </x:c>
      <x:c r="D1244" s="65" t="str">
        <x:f>IF('Detalle'!L605="","",'Detalle'!L605)</x:f>
      </x:c>
      <x:c r="E1244" s="60" t="str"/>
      <x:c r="F1244" s="32" t="str">
        <x:f>IF(OR('Detalle'!$J605="",'Detalle'!$K605="",'Detalle'!$L605=""),"",IF(AND(F$8&lt;='Detalle'!$K605,F$9&gt;='Detalle'!$J605),1,""))</x:f>
      </x:c>
      <x:c r="G1244" s="32" t="str">
        <x:f>IF(OR('Detalle'!$J605="",'Detalle'!$K605="",'Detalle'!$L605=""),"",IF(AND(G$8&lt;='Detalle'!$K605,G$9&gt;='Detalle'!$J605),1,""))</x:f>
      </x:c>
      <x:c r="H1244" s="32" t="str">
        <x:f>IF(OR('Detalle'!$J605="",'Detalle'!$K605="",'Detalle'!$L605=""),"",IF(AND(H$8&lt;='Detalle'!$K605,H$9&gt;='Detalle'!$J605),1,""))</x:f>
      </x:c>
      <x:c r="I1244" s="32" t="str">
        <x:f>IF(OR('Detalle'!$J605="",'Detalle'!$K605="",'Detalle'!$L605=""),"",IF(AND(I$8&lt;='Detalle'!$K605,I$9&gt;='Detalle'!$J605),1,""))</x:f>
      </x:c>
      <x:c r="J1244" s="32" t="str">
        <x:f>IF(OR('Detalle'!$J605="",'Detalle'!$K605="",'Detalle'!$L605=""),"",IF(AND(J$8&lt;='Detalle'!$K605,J$9&gt;='Detalle'!$J605),1,""))</x:f>
      </x:c>
      <x:c r="K1244" s="32" t="str">
        <x:f>IF(OR('Detalle'!$J605="",'Detalle'!$K605="",'Detalle'!$L605=""),"",IF(AND(K$8&lt;='Detalle'!$K605,K$9&gt;='Detalle'!$J605),1,""))</x:f>
      </x:c>
      <x:c r="L1244" s="32" t="str">
        <x:f>IF(OR('Detalle'!$J605="",'Detalle'!$K605="",'Detalle'!$L605=""),"",IF(AND(L$8&lt;='Detalle'!$K605,L$9&gt;='Detalle'!$J605),1,""))</x:f>
      </x:c>
      <x:c r="M1244" s="32" t="str">
        <x:f>IF(OR('Detalle'!$J605="",'Detalle'!$K605="",'Detalle'!$L605=""),"",IF(AND(M$8&lt;='Detalle'!$K605,M$9&gt;='Detalle'!$J605),1,""))</x:f>
      </x:c>
      <x:c r="N1244" s="32" t="str">
        <x:f>IF(OR('Detalle'!$J605="",'Detalle'!$K605="",'Detalle'!$L605=""),"",IF(AND(N$8&lt;='Detalle'!$K605,N$9&gt;='Detalle'!$J605),1,""))</x:f>
      </x:c>
      <x:c r="O1244" s="32" t="str">
        <x:f>IF(OR('Detalle'!$J605="",'Detalle'!$K605="",'Detalle'!$L605=""),"",IF(AND(O$8&lt;='Detalle'!$K605,O$9&gt;='Detalle'!$J605),1,""))</x:f>
      </x:c>
      <x:c r="P1244" s="32" t="str">
        <x:f>IF(OR('Detalle'!$J605="",'Detalle'!$K605="",'Detalle'!$L605=""),"",IF(AND(P$8&lt;='Detalle'!$K605,P$9&gt;='Detalle'!$J605),1,""))</x:f>
      </x:c>
      <x:c r="Q1244" s="68"/>
      <x:c r="R1244" s="67" t="str"/>
      <x:c r="S1244" s="67" t="str"/>
    </x:row>
    <x:row r="1245" ht="16" customHeight="1">
      <x:c r="A1245" s="56" t="str">
        <x:v>PUS03.009</x:v>
      </x:c>
      <x:c r="B1245" s="57" t="str">
        <x:v>Aplicar migración 014 al proyecto</x:v>
      </x:c>
      <x:c r="C1245" s="62" t="str">
        <x:v>E</x:v>
      </x:c>
      <x:c r="D1245" s="64" t="n">
        <x:f>'Detalle'!I606</x:f>
        <x:v>1</x:v>
      </x:c>
      <x:c r="E1245" s="60" t="str">
        <x:f>'Detalle'!F606</x:f>
        <x:v>Completado</x:v>
      </x:c>
      <x:c r="F1245" s="32" t="str">
        <x:f>IF(AND(F$8&lt;='Detalle'!$H606,F$9&gt;='Detalle'!$G606),1,"")</x:f>
      </x:c>
      <x:c r="G1245" s="32" t="str">
        <x:f>IF(AND(G$8&lt;='Detalle'!$H606,G$9&gt;='Detalle'!$G606),1,"")</x:f>
      </x:c>
      <x:c r="H1245" s="32" t="str">
        <x:f>IF(AND(H$8&lt;='Detalle'!$H606,H$9&gt;='Detalle'!$G606),1,"")</x:f>
      </x:c>
      <x:c r="I1245" s="32" t="str">
        <x:f>IF(AND(I$8&lt;='Detalle'!$H606,I$9&gt;='Detalle'!$G606),1,"")</x:f>
      </x:c>
      <x:c r="J1245" s="32" t="n">
        <x:f>IF(AND(J$8&lt;='Detalle'!$H606,J$9&gt;='Detalle'!$G606),1,"")</x:f>
        <x:v>1</x:v>
      </x:c>
      <x:c r="K1245" s="32" t="str">
        <x:f>IF(AND(K$8&lt;='Detalle'!$H606,K$9&gt;='Detalle'!$G606),1,"")</x:f>
      </x:c>
      <x:c r="L1245" s="32" t="str">
        <x:f>IF(AND(L$8&lt;='Detalle'!$H606,L$9&gt;='Detalle'!$G606),1,"")</x:f>
      </x:c>
      <x:c r="M1245" s="32" t="str">
        <x:f>IF(AND(M$8&lt;='Detalle'!$H606,M$9&gt;='Detalle'!$G606),1,"")</x:f>
      </x:c>
      <x:c r="N1245" s="32" t="str">
        <x:f>IF(AND(N$8&lt;='Detalle'!$H606,N$9&gt;='Detalle'!$G606),1,"")</x:f>
      </x:c>
      <x:c r="O1245" s="32" t="str">
        <x:f>IF(AND(O$8&lt;='Detalle'!$H606,O$9&gt;='Detalle'!$G606),1,"")</x:f>
      </x:c>
      <x:c r="P1245" s="32" t="str">
        <x:f>IF(AND(P$8&lt;='Detalle'!$H606,P$9&gt;='Detalle'!$G606),1,"")</x:f>
      </x:c>
      <x:c r="Q1245" s="68"/>
      <x:c r="R1245" s="67" t="str">
        <x:f>IF('Detalle'!M606="","",'Detalle'!M606)</x:f>
      </x:c>
      <x:c r="S1245" s="67" t="str">
        <x:f>IF('Detalle'!N606="","",'Detalle'!N606)</x:f>
      </x:c>
    </x:row>
    <x:row r="1246" ht="16" customHeight="1">
      <x:c r="A1246" s="56" t="str">
        <x:v>PUS03.009</x:v>
      </x:c>
      <x:c r="B1246" s="57" t="str">
        <x:v>Aplicar migración 014 al proyecto</x:v>
      </x:c>
      <x:c r="C1246" s="63" t="str">
        <x:v>R</x:v>
      </x:c>
      <x:c r="D1246" s="65" t="str">
        <x:f>IF('Detalle'!L606="","",'Detalle'!L606)</x:f>
      </x:c>
      <x:c r="E1246" s="60" t="str"/>
      <x:c r="F1246" s="32" t="str">
        <x:f>IF(OR('Detalle'!$J606="",'Detalle'!$K606="",'Detalle'!$L606=""),"",IF(AND(F$8&lt;='Detalle'!$K606,F$9&gt;='Detalle'!$J606),1,""))</x:f>
      </x:c>
      <x:c r="G1246" s="32" t="str">
        <x:f>IF(OR('Detalle'!$J606="",'Detalle'!$K606="",'Detalle'!$L606=""),"",IF(AND(G$8&lt;='Detalle'!$K606,G$9&gt;='Detalle'!$J606),1,""))</x:f>
      </x:c>
      <x:c r="H1246" s="32" t="str">
        <x:f>IF(OR('Detalle'!$J606="",'Detalle'!$K606="",'Detalle'!$L606=""),"",IF(AND(H$8&lt;='Detalle'!$K606,H$9&gt;='Detalle'!$J606),1,""))</x:f>
      </x:c>
      <x:c r="I1246" s="32" t="str">
        <x:f>IF(OR('Detalle'!$J606="",'Detalle'!$K606="",'Detalle'!$L606=""),"",IF(AND(I$8&lt;='Detalle'!$K606,I$9&gt;='Detalle'!$J606),1,""))</x:f>
      </x:c>
      <x:c r="J1246" s="32" t="str">
        <x:f>IF(OR('Detalle'!$J606="",'Detalle'!$K606="",'Detalle'!$L606=""),"",IF(AND(J$8&lt;='Detalle'!$K606,J$9&gt;='Detalle'!$J606),1,""))</x:f>
      </x:c>
      <x:c r="K1246" s="32" t="str">
        <x:f>IF(OR('Detalle'!$J606="",'Detalle'!$K606="",'Detalle'!$L606=""),"",IF(AND(K$8&lt;='Detalle'!$K606,K$9&gt;='Detalle'!$J606),1,""))</x:f>
      </x:c>
      <x:c r="L1246" s="32" t="str">
        <x:f>IF(OR('Detalle'!$J606="",'Detalle'!$K606="",'Detalle'!$L606=""),"",IF(AND(L$8&lt;='Detalle'!$K606,L$9&gt;='Detalle'!$J606),1,""))</x:f>
      </x:c>
      <x:c r="M1246" s="32" t="str">
        <x:f>IF(OR('Detalle'!$J606="",'Detalle'!$K606="",'Detalle'!$L606=""),"",IF(AND(M$8&lt;='Detalle'!$K606,M$9&gt;='Detalle'!$J606),1,""))</x:f>
      </x:c>
      <x:c r="N1246" s="32" t="str">
        <x:f>IF(OR('Detalle'!$J606="",'Detalle'!$K606="",'Detalle'!$L606=""),"",IF(AND(N$8&lt;='Detalle'!$K606,N$9&gt;='Detalle'!$J606),1,""))</x:f>
      </x:c>
      <x:c r="O1246" s="32" t="str">
        <x:f>IF(OR('Detalle'!$J606="",'Detalle'!$K606="",'Detalle'!$L606=""),"",IF(AND(O$8&lt;='Detalle'!$K606,O$9&gt;='Detalle'!$J606),1,""))</x:f>
      </x:c>
      <x:c r="P1246" s="32" t="str">
        <x:f>IF(OR('Detalle'!$J606="",'Detalle'!$K606="",'Detalle'!$L606=""),"",IF(AND(P$8&lt;='Detalle'!$K606,P$9&gt;='Detalle'!$J606),1,""))</x:f>
      </x:c>
      <x:c r="Q1246" s="68"/>
      <x:c r="R1246" s="67" t="str"/>
      <x:c r="S1246" s="67" t="str"/>
    </x:row>
    <x:row r="1247" ht="16" customHeight="1">
      <x:c r="A1247" s="56" t="str">
        <x:v>PUS03.010</x:v>
      </x:c>
      <x:c r="B1247" s="57" t="str">
        <x:v>Desplegar send-push</x:v>
      </x:c>
      <x:c r="C1247" s="62" t="str">
        <x:v>E</x:v>
      </x:c>
      <x:c r="D1247" s="64" t="n">
        <x:f>'Detalle'!I607</x:f>
        <x:v>1</x:v>
      </x:c>
      <x:c r="E1247" s="60" t="str">
        <x:f>'Detalle'!F607</x:f>
        <x:v>Completado</x:v>
      </x:c>
      <x:c r="F1247" s="32" t="str">
        <x:f>IF(AND(F$8&lt;='Detalle'!$H607,F$9&gt;='Detalle'!$G607),1,"")</x:f>
      </x:c>
      <x:c r="G1247" s="32" t="str">
        <x:f>IF(AND(G$8&lt;='Detalle'!$H607,G$9&gt;='Detalle'!$G607),1,"")</x:f>
      </x:c>
      <x:c r="H1247" s="32" t="str">
        <x:f>IF(AND(H$8&lt;='Detalle'!$H607,H$9&gt;='Detalle'!$G607),1,"")</x:f>
      </x:c>
      <x:c r="I1247" s="32" t="str">
        <x:f>IF(AND(I$8&lt;='Detalle'!$H607,I$9&gt;='Detalle'!$G607),1,"")</x:f>
      </x:c>
      <x:c r="J1247" s="32" t="n">
        <x:f>IF(AND(J$8&lt;='Detalle'!$H607,J$9&gt;='Detalle'!$G607),1,"")</x:f>
        <x:v>1</x:v>
      </x:c>
      <x:c r="K1247" s="32" t="str">
        <x:f>IF(AND(K$8&lt;='Detalle'!$H607,K$9&gt;='Detalle'!$G607),1,"")</x:f>
      </x:c>
      <x:c r="L1247" s="32" t="str">
        <x:f>IF(AND(L$8&lt;='Detalle'!$H607,L$9&gt;='Detalle'!$G607),1,"")</x:f>
      </x:c>
      <x:c r="M1247" s="32" t="str">
        <x:f>IF(AND(M$8&lt;='Detalle'!$H607,M$9&gt;='Detalle'!$G607),1,"")</x:f>
      </x:c>
      <x:c r="N1247" s="32" t="str">
        <x:f>IF(AND(N$8&lt;='Detalle'!$H607,N$9&gt;='Detalle'!$G607),1,"")</x:f>
      </x:c>
      <x:c r="O1247" s="32" t="str">
        <x:f>IF(AND(O$8&lt;='Detalle'!$H607,O$9&gt;='Detalle'!$G607),1,"")</x:f>
      </x:c>
      <x:c r="P1247" s="32" t="str">
        <x:f>IF(AND(P$8&lt;='Detalle'!$H607,P$9&gt;='Detalle'!$G607),1,"")</x:f>
      </x:c>
      <x:c r="Q1247" s="68"/>
      <x:c r="R1247" s="67" t="str">
        <x:f>IF('Detalle'!M607="","",'Detalle'!M607)</x:f>
      </x:c>
      <x:c r="S1247" s="67" t="str">
        <x:f>IF('Detalle'!N607="","",'Detalle'!N607)</x:f>
      </x:c>
    </x:row>
    <x:row r="1248" ht="16" customHeight="1">
      <x:c r="A1248" s="56" t="str">
        <x:v>PUS03.010</x:v>
      </x:c>
      <x:c r="B1248" s="57" t="str">
        <x:v>Desplegar send-push</x:v>
      </x:c>
      <x:c r="C1248" s="63" t="str">
        <x:v>R</x:v>
      </x:c>
      <x:c r="D1248" s="65" t="str">
        <x:f>IF('Detalle'!L607="","",'Detalle'!L607)</x:f>
      </x:c>
      <x:c r="E1248" s="60" t="str"/>
      <x:c r="F1248" s="32" t="str">
        <x:f>IF(OR('Detalle'!$J607="",'Detalle'!$K607="",'Detalle'!$L607=""),"",IF(AND(F$8&lt;='Detalle'!$K607,F$9&gt;='Detalle'!$J607),1,""))</x:f>
      </x:c>
      <x:c r="G1248" s="32" t="str">
        <x:f>IF(OR('Detalle'!$J607="",'Detalle'!$K607="",'Detalle'!$L607=""),"",IF(AND(G$8&lt;='Detalle'!$K607,G$9&gt;='Detalle'!$J607),1,""))</x:f>
      </x:c>
      <x:c r="H1248" s="32" t="str">
        <x:f>IF(OR('Detalle'!$J607="",'Detalle'!$K607="",'Detalle'!$L607=""),"",IF(AND(H$8&lt;='Detalle'!$K607,H$9&gt;='Detalle'!$J607),1,""))</x:f>
      </x:c>
      <x:c r="I1248" s="32" t="str">
        <x:f>IF(OR('Detalle'!$J607="",'Detalle'!$K607="",'Detalle'!$L607=""),"",IF(AND(I$8&lt;='Detalle'!$K607,I$9&gt;='Detalle'!$J607),1,""))</x:f>
      </x:c>
      <x:c r="J1248" s="32" t="str">
        <x:f>IF(OR('Detalle'!$J607="",'Detalle'!$K607="",'Detalle'!$L607=""),"",IF(AND(J$8&lt;='Detalle'!$K607,J$9&gt;='Detalle'!$J607),1,""))</x:f>
      </x:c>
      <x:c r="K1248" s="32" t="str">
        <x:f>IF(OR('Detalle'!$J607="",'Detalle'!$K607="",'Detalle'!$L607=""),"",IF(AND(K$8&lt;='Detalle'!$K607,K$9&gt;='Detalle'!$J607),1,""))</x:f>
      </x:c>
      <x:c r="L1248" s="32" t="str">
        <x:f>IF(OR('Detalle'!$J607="",'Detalle'!$K607="",'Detalle'!$L607=""),"",IF(AND(L$8&lt;='Detalle'!$K607,L$9&gt;='Detalle'!$J607),1,""))</x:f>
      </x:c>
      <x:c r="M1248" s="32" t="str">
        <x:f>IF(OR('Detalle'!$J607="",'Detalle'!$K607="",'Detalle'!$L607=""),"",IF(AND(M$8&lt;='Detalle'!$K607,M$9&gt;='Detalle'!$J607),1,""))</x:f>
      </x:c>
      <x:c r="N1248" s="32" t="str">
        <x:f>IF(OR('Detalle'!$J607="",'Detalle'!$K607="",'Detalle'!$L607=""),"",IF(AND(N$8&lt;='Detalle'!$K607,N$9&gt;='Detalle'!$J607),1,""))</x:f>
      </x:c>
      <x:c r="O1248" s="32" t="str">
        <x:f>IF(OR('Detalle'!$J607="",'Detalle'!$K607="",'Detalle'!$L607=""),"",IF(AND(O$8&lt;='Detalle'!$K607,O$9&gt;='Detalle'!$J607),1,""))</x:f>
      </x:c>
      <x:c r="P1248" s="32" t="str">
        <x:f>IF(OR('Detalle'!$J607="",'Detalle'!$K607="",'Detalle'!$L607=""),"",IF(AND(P$8&lt;='Detalle'!$K607,P$9&gt;='Detalle'!$J607),1,""))</x:f>
      </x:c>
      <x:c r="Q1248" s="68"/>
      <x:c r="R1248" s="67" t="str"/>
      <x:c r="S1248" s="67" t="str"/>
    </x:row>
    <x:row r="1249" ht="16" customHeight="1">
      <x:c r="A1249" s="56" t="str">
        <x:v>PUS03.011</x:v>
      </x:c>
      <x:c r="B1249" s="57" t="str">
        <x:v>Configurar URL y secreto en Vault</x:v>
      </x:c>
      <x:c r="C1249" s="62" t="str">
        <x:v>E</x:v>
      </x:c>
      <x:c r="D1249" s="64" t="n">
        <x:f>'Detalle'!I608</x:f>
        <x:v>1</x:v>
      </x:c>
      <x:c r="E1249" s="60" t="str">
        <x:f>'Detalle'!F608</x:f>
        <x:v>Completado</x:v>
      </x:c>
      <x:c r="F1249" s="32" t="str">
        <x:f>IF(AND(F$8&lt;='Detalle'!$H608,F$9&gt;='Detalle'!$G608),1,"")</x:f>
      </x:c>
      <x:c r="G1249" s="32" t="str">
        <x:f>IF(AND(G$8&lt;='Detalle'!$H608,G$9&gt;='Detalle'!$G608),1,"")</x:f>
      </x:c>
      <x:c r="H1249" s="32" t="str">
        <x:f>IF(AND(H$8&lt;='Detalle'!$H608,H$9&gt;='Detalle'!$G608),1,"")</x:f>
      </x:c>
      <x:c r="I1249" s="32" t="str">
        <x:f>IF(AND(I$8&lt;='Detalle'!$H608,I$9&gt;='Detalle'!$G608),1,"")</x:f>
      </x:c>
      <x:c r="J1249" s="32" t="n">
        <x:f>IF(AND(J$8&lt;='Detalle'!$H608,J$9&gt;='Detalle'!$G608),1,"")</x:f>
        <x:v>1</x:v>
      </x:c>
      <x:c r="K1249" s="32" t="str">
        <x:f>IF(AND(K$8&lt;='Detalle'!$H608,K$9&gt;='Detalle'!$G608),1,"")</x:f>
      </x:c>
      <x:c r="L1249" s="32" t="str">
        <x:f>IF(AND(L$8&lt;='Detalle'!$H608,L$9&gt;='Detalle'!$G608),1,"")</x:f>
      </x:c>
      <x:c r="M1249" s="32" t="str">
        <x:f>IF(AND(M$8&lt;='Detalle'!$H608,M$9&gt;='Detalle'!$G608),1,"")</x:f>
      </x:c>
      <x:c r="N1249" s="32" t="str">
        <x:f>IF(AND(N$8&lt;='Detalle'!$H608,N$9&gt;='Detalle'!$G608),1,"")</x:f>
      </x:c>
      <x:c r="O1249" s="32" t="str">
        <x:f>IF(AND(O$8&lt;='Detalle'!$H608,O$9&gt;='Detalle'!$G608),1,"")</x:f>
      </x:c>
      <x:c r="P1249" s="32" t="str">
        <x:f>IF(AND(P$8&lt;='Detalle'!$H608,P$9&gt;='Detalle'!$G608),1,"")</x:f>
      </x:c>
      <x:c r="Q1249" s="68"/>
      <x:c r="R1249" s="67" t="str">
        <x:f>IF('Detalle'!M608="","",'Detalle'!M608)</x:f>
      </x:c>
      <x:c r="S1249" s="67" t="str">
        <x:f>IF('Detalle'!N608="","",'Detalle'!N608)</x:f>
      </x:c>
    </x:row>
    <x:row r="1250" ht="16" customHeight="1">
      <x:c r="A1250" s="56" t="str">
        <x:v>PUS03.011</x:v>
      </x:c>
      <x:c r="B1250" s="57" t="str">
        <x:v>Configurar URL y secreto en Vault</x:v>
      </x:c>
      <x:c r="C1250" s="63" t="str">
        <x:v>R</x:v>
      </x:c>
      <x:c r="D1250" s="65" t="str">
        <x:f>IF('Detalle'!L608="","",'Detalle'!L608)</x:f>
      </x:c>
      <x:c r="E1250" s="60" t="str"/>
      <x:c r="F1250" s="32" t="str">
        <x:f>IF(OR('Detalle'!$J608="",'Detalle'!$K608="",'Detalle'!$L608=""),"",IF(AND(F$8&lt;='Detalle'!$K608,F$9&gt;='Detalle'!$J608),1,""))</x:f>
      </x:c>
      <x:c r="G1250" s="32" t="str">
        <x:f>IF(OR('Detalle'!$J608="",'Detalle'!$K608="",'Detalle'!$L608=""),"",IF(AND(G$8&lt;='Detalle'!$K608,G$9&gt;='Detalle'!$J608),1,""))</x:f>
      </x:c>
      <x:c r="H1250" s="32" t="str">
        <x:f>IF(OR('Detalle'!$J608="",'Detalle'!$K608="",'Detalle'!$L608=""),"",IF(AND(H$8&lt;='Detalle'!$K608,H$9&gt;='Detalle'!$J608),1,""))</x:f>
      </x:c>
      <x:c r="I1250" s="32" t="str">
        <x:f>IF(OR('Detalle'!$J608="",'Detalle'!$K608="",'Detalle'!$L608=""),"",IF(AND(I$8&lt;='Detalle'!$K608,I$9&gt;='Detalle'!$J608),1,""))</x:f>
      </x:c>
      <x:c r="J1250" s="32" t="str">
        <x:f>IF(OR('Detalle'!$J608="",'Detalle'!$K608="",'Detalle'!$L608=""),"",IF(AND(J$8&lt;='Detalle'!$K608,J$9&gt;='Detalle'!$J608),1,""))</x:f>
      </x:c>
      <x:c r="K1250" s="32" t="str">
        <x:f>IF(OR('Detalle'!$J608="",'Detalle'!$K608="",'Detalle'!$L608=""),"",IF(AND(K$8&lt;='Detalle'!$K608,K$9&gt;='Detalle'!$J608),1,""))</x:f>
      </x:c>
      <x:c r="L1250" s="32" t="str">
        <x:f>IF(OR('Detalle'!$J608="",'Detalle'!$K608="",'Detalle'!$L608=""),"",IF(AND(L$8&lt;='Detalle'!$K608,L$9&gt;='Detalle'!$J608),1,""))</x:f>
      </x:c>
      <x:c r="M1250" s="32" t="str">
        <x:f>IF(OR('Detalle'!$J608="",'Detalle'!$K608="",'Detalle'!$L608=""),"",IF(AND(M$8&lt;='Detalle'!$K608,M$9&gt;='Detalle'!$J608),1,""))</x:f>
      </x:c>
      <x:c r="N1250" s="32" t="str">
        <x:f>IF(OR('Detalle'!$J608="",'Detalle'!$K608="",'Detalle'!$L608=""),"",IF(AND(N$8&lt;='Detalle'!$K608,N$9&gt;='Detalle'!$J608),1,""))</x:f>
      </x:c>
      <x:c r="O1250" s="32" t="str">
        <x:f>IF(OR('Detalle'!$J608="",'Detalle'!$K608="",'Detalle'!$L608=""),"",IF(AND(O$8&lt;='Detalle'!$K608,O$9&gt;='Detalle'!$J608),1,""))</x:f>
      </x:c>
      <x:c r="P1250" s="32" t="str">
        <x:f>IF(OR('Detalle'!$J608="",'Detalle'!$K608="",'Detalle'!$L608=""),"",IF(AND(P$8&lt;='Detalle'!$K608,P$9&gt;='Detalle'!$J608),1,""))</x:f>
      </x:c>
      <x:c r="Q1250" s="68"/>
      <x:c r="R1250" s="67" t="str"/>
      <x:c r="S1250" s="67" t="str"/>
    </x:row>
    <x:row r="1251" ht="16" customHeight="1">
      <x:c r="A1251" s="56" t="str">
        <x:v>PUS03.012</x:v>
      </x:c>
      <x:c r="B1251" s="57" t="str">
        <x:v>Generar recursos públicos Firebase en Gradle</x:v>
      </x:c>
      <x:c r="C1251" s="62" t="str">
        <x:v>E</x:v>
      </x:c>
      <x:c r="D1251" s="64" t="n">
        <x:f>'Detalle'!I609</x:f>
        <x:v>1</x:v>
      </x:c>
      <x:c r="E1251" s="60" t="str">
        <x:f>'Detalle'!F609</x:f>
        <x:v>Completado</x:v>
      </x:c>
      <x:c r="F1251" s="32" t="str">
        <x:f>IF(AND(F$8&lt;='Detalle'!$H609,F$9&gt;='Detalle'!$G609),1,"")</x:f>
      </x:c>
      <x:c r="G1251" s="32" t="str">
        <x:f>IF(AND(G$8&lt;='Detalle'!$H609,G$9&gt;='Detalle'!$G609),1,"")</x:f>
      </x:c>
      <x:c r="H1251" s="32" t="str">
        <x:f>IF(AND(H$8&lt;='Detalle'!$H609,H$9&gt;='Detalle'!$G609),1,"")</x:f>
      </x:c>
      <x:c r="I1251" s="32" t="str">
        <x:f>IF(AND(I$8&lt;='Detalle'!$H609,I$9&gt;='Detalle'!$G609),1,"")</x:f>
      </x:c>
      <x:c r="J1251" s="32" t="n">
        <x:f>IF(AND(J$8&lt;='Detalle'!$H609,J$9&gt;='Detalle'!$G609),1,"")</x:f>
        <x:v>1</x:v>
      </x:c>
      <x:c r="K1251" s="32" t="str">
        <x:f>IF(AND(K$8&lt;='Detalle'!$H609,K$9&gt;='Detalle'!$G609),1,"")</x:f>
      </x:c>
      <x:c r="L1251" s="32" t="str">
        <x:f>IF(AND(L$8&lt;='Detalle'!$H609,L$9&gt;='Detalle'!$G609),1,"")</x:f>
      </x:c>
      <x:c r="M1251" s="32" t="str">
        <x:f>IF(AND(M$8&lt;='Detalle'!$H609,M$9&gt;='Detalle'!$G609),1,"")</x:f>
      </x:c>
      <x:c r="N1251" s="32" t="str">
        <x:f>IF(AND(N$8&lt;='Detalle'!$H609,N$9&gt;='Detalle'!$G609),1,"")</x:f>
      </x:c>
      <x:c r="O1251" s="32" t="str">
        <x:f>IF(AND(O$8&lt;='Detalle'!$H609,O$9&gt;='Detalle'!$G609),1,"")</x:f>
      </x:c>
      <x:c r="P1251" s="32" t="str">
        <x:f>IF(AND(P$8&lt;='Detalle'!$H609,P$9&gt;='Detalle'!$G609),1,"")</x:f>
      </x:c>
      <x:c r="Q1251" s="68"/>
      <x:c r="R1251" s="67" t="str">
        <x:f>IF('Detalle'!M609="","",'Detalle'!M609)</x:f>
      </x:c>
      <x:c r="S1251" s="67" t="str">
        <x:f>IF('Detalle'!N609="","",'Detalle'!N609)</x:f>
      </x:c>
    </x:row>
    <x:row r="1252" ht="16" customHeight="1">
      <x:c r="A1252" s="56" t="str">
        <x:v>PUS03.012</x:v>
      </x:c>
      <x:c r="B1252" s="57" t="str">
        <x:v>Generar recursos públicos Firebase en Gradle</x:v>
      </x:c>
      <x:c r="C1252" s="63" t="str">
        <x:v>R</x:v>
      </x:c>
      <x:c r="D1252" s="65" t="str">
        <x:f>IF('Detalle'!L609="","",'Detalle'!L609)</x:f>
      </x:c>
      <x:c r="E1252" s="60" t="str"/>
      <x:c r="F1252" s="32" t="str">
        <x:f>IF(OR('Detalle'!$J609="",'Detalle'!$K609="",'Detalle'!$L609=""),"",IF(AND(F$8&lt;='Detalle'!$K609,F$9&gt;='Detalle'!$J609),1,""))</x:f>
      </x:c>
      <x:c r="G1252" s="32" t="str">
        <x:f>IF(OR('Detalle'!$J609="",'Detalle'!$K609="",'Detalle'!$L609=""),"",IF(AND(G$8&lt;='Detalle'!$K609,G$9&gt;='Detalle'!$J609),1,""))</x:f>
      </x:c>
      <x:c r="H1252" s="32" t="str">
        <x:f>IF(OR('Detalle'!$J609="",'Detalle'!$K609="",'Detalle'!$L609=""),"",IF(AND(H$8&lt;='Detalle'!$K609,H$9&gt;='Detalle'!$J609),1,""))</x:f>
      </x:c>
      <x:c r="I1252" s="32" t="str">
        <x:f>IF(OR('Detalle'!$J609="",'Detalle'!$K609="",'Detalle'!$L609=""),"",IF(AND(I$8&lt;='Detalle'!$K609,I$9&gt;='Detalle'!$J609),1,""))</x:f>
      </x:c>
      <x:c r="J1252" s="32" t="str">
        <x:f>IF(OR('Detalle'!$J609="",'Detalle'!$K609="",'Detalle'!$L609=""),"",IF(AND(J$8&lt;='Detalle'!$K609,J$9&gt;='Detalle'!$J609),1,""))</x:f>
      </x:c>
      <x:c r="K1252" s="32" t="str">
        <x:f>IF(OR('Detalle'!$J609="",'Detalle'!$K609="",'Detalle'!$L609=""),"",IF(AND(K$8&lt;='Detalle'!$K609,K$9&gt;='Detalle'!$J609),1,""))</x:f>
      </x:c>
      <x:c r="L1252" s="32" t="str">
        <x:f>IF(OR('Detalle'!$J609="",'Detalle'!$K609="",'Detalle'!$L609=""),"",IF(AND(L$8&lt;='Detalle'!$K609,L$9&gt;='Detalle'!$J609),1,""))</x:f>
      </x:c>
      <x:c r="M1252" s="32" t="str">
        <x:f>IF(OR('Detalle'!$J609="",'Detalle'!$K609="",'Detalle'!$L609=""),"",IF(AND(M$8&lt;='Detalle'!$K609,M$9&gt;='Detalle'!$J609),1,""))</x:f>
      </x:c>
      <x:c r="N1252" s="32" t="str">
        <x:f>IF(OR('Detalle'!$J609="",'Detalle'!$K609="",'Detalle'!$L609=""),"",IF(AND(N$8&lt;='Detalle'!$K609,N$9&gt;='Detalle'!$J609),1,""))</x:f>
      </x:c>
      <x:c r="O1252" s="32" t="str">
        <x:f>IF(OR('Detalle'!$J609="",'Detalle'!$K609="",'Detalle'!$L609=""),"",IF(AND(O$8&lt;='Detalle'!$K609,O$9&gt;='Detalle'!$J609),1,""))</x:f>
      </x:c>
      <x:c r="P1252" s="32" t="str">
        <x:f>IF(OR('Detalle'!$J609="",'Detalle'!$K609="",'Detalle'!$L609=""),"",IF(AND(P$8&lt;='Detalle'!$K609,P$9&gt;='Detalle'!$J609),1,""))</x:f>
      </x:c>
      <x:c r="Q1252" s="68"/>
      <x:c r="R1252" s="67" t="str"/>
      <x:c r="S1252" s="67" t="str"/>
    </x:row>
    <x:row r="1253" ht="16" customHeight="1">
      <x:c r="A1253" s="56" t="str">
        <x:v>PUS03.013</x:v>
      </x:c>
      <x:c r="B1253" s="57" t="str">
        <x:v>Mantener auto-init bajo permiso</x:v>
      </x:c>
      <x:c r="C1253" s="62" t="str">
        <x:v>E</x:v>
      </x:c>
      <x:c r="D1253" s="64" t="n">
        <x:f>'Detalle'!I610</x:f>
        <x:v>1</x:v>
      </x:c>
      <x:c r="E1253" s="60" t="str">
        <x:f>'Detalle'!F610</x:f>
        <x:v>Completado</x:v>
      </x:c>
      <x:c r="F1253" s="32" t="str">
        <x:f>IF(AND(F$8&lt;='Detalle'!$H610,F$9&gt;='Detalle'!$G610),1,"")</x:f>
      </x:c>
      <x:c r="G1253" s="32" t="str">
        <x:f>IF(AND(G$8&lt;='Detalle'!$H610,G$9&gt;='Detalle'!$G610),1,"")</x:f>
      </x:c>
      <x:c r="H1253" s="32" t="str">
        <x:f>IF(AND(H$8&lt;='Detalle'!$H610,H$9&gt;='Detalle'!$G610),1,"")</x:f>
      </x:c>
      <x:c r="I1253" s="32" t="str">
        <x:f>IF(AND(I$8&lt;='Detalle'!$H610,I$9&gt;='Detalle'!$G610),1,"")</x:f>
      </x:c>
      <x:c r="J1253" s="32" t="n">
        <x:f>IF(AND(J$8&lt;='Detalle'!$H610,J$9&gt;='Detalle'!$G610),1,"")</x:f>
        <x:v>1</x:v>
      </x:c>
      <x:c r="K1253" s="32" t="str">
        <x:f>IF(AND(K$8&lt;='Detalle'!$H610,K$9&gt;='Detalle'!$G610),1,"")</x:f>
      </x:c>
      <x:c r="L1253" s="32" t="str">
        <x:f>IF(AND(L$8&lt;='Detalle'!$H610,L$9&gt;='Detalle'!$G610),1,"")</x:f>
      </x:c>
      <x:c r="M1253" s="32" t="str">
        <x:f>IF(AND(M$8&lt;='Detalle'!$H610,M$9&gt;='Detalle'!$G610),1,"")</x:f>
      </x:c>
      <x:c r="N1253" s="32" t="str">
        <x:f>IF(AND(N$8&lt;='Detalle'!$H610,N$9&gt;='Detalle'!$G610),1,"")</x:f>
      </x:c>
      <x:c r="O1253" s="32" t="str">
        <x:f>IF(AND(O$8&lt;='Detalle'!$H610,O$9&gt;='Detalle'!$G610),1,"")</x:f>
      </x:c>
      <x:c r="P1253" s="32" t="str">
        <x:f>IF(AND(P$8&lt;='Detalle'!$H610,P$9&gt;='Detalle'!$G610),1,"")</x:f>
      </x:c>
      <x:c r="Q1253" s="68"/>
      <x:c r="R1253" s="67" t="str">
        <x:f>IF('Detalle'!M610="","",'Detalle'!M610)</x:f>
      </x:c>
      <x:c r="S1253" s="67" t="str">
        <x:f>IF('Detalle'!N610="","",'Detalle'!N610)</x:f>
      </x:c>
    </x:row>
    <x:row r="1254" ht="16" customHeight="1">
      <x:c r="A1254" s="56" t="str">
        <x:v>PUS03.013</x:v>
      </x:c>
      <x:c r="B1254" s="57" t="str">
        <x:v>Mantener auto-init bajo permiso</x:v>
      </x:c>
      <x:c r="C1254" s="63" t="str">
        <x:v>R</x:v>
      </x:c>
      <x:c r="D1254" s="65" t="str">
        <x:f>IF('Detalle'!L610="","",'Detalle'!L610)</x:f>
      </x:c>
      <x:c r="E1254" s="60" t="str"/>
      <x:c r="F1254" s="32" t="str">
        <x:f>IF(OR('Detalle'!$J610="",'Detalle'!$K610="",'Detalle'!$L610=""),"",IF(AND(F$8&lt;='Detalle'!$K610,F$9&gt;='Detalle'!$J610),1,""))</x:f>
      </x:c>
      <x:c r="G1254" s="32" t="str">
        <x:f>IF(OR('Detalle'!$J610="",'Detalle'!$K610="",'Detalle'!$L610=""),"",IF(AND(G$8&lt;='Detalle'!$K610,G$9&gt;='Detalle'!$J610),1,""))</x:f>
      </x:c>
      <x:c r="H1254" s="32" t="str">
        <x:f>IF(OR('Detalle'!$J610="",'Detalle'!$K610="",'Detalle'!$L610=""),"",IF(AND(H$8&lt;='Detalle'!$K610,H$9&gt;='Detalle'!$J610),1,""))</x:f>
      </x:c>
      <x:c r="I1254" s="32" t="str">
        <x:f>IF(OR('Detalle'!$J610="",'Detalle'!$K610="",'Detalle'!$L610=""),"",IF(AND(I$8&lt;='Detalle'!$K610,I$9&gt;='Detalle'!$J610),1,""))</x:f>
      </x:c>
      <x:c r="J1254" s="32" t="str">
        <x:f>IF(OR('Detalle'!$J610="",'Detalle'!$K610="",'Detalle'!$L610=""),"",IF(AND(J$8&lt;='Detalle'!$K610,J$9&gt;='Detalle'!$J610),1,""))</x:f>
      </x:c>
      <x:c r="K1254" s="32" t="str">
        <x:f>IF(OR('Detalle'!$J610="",'Detalle'!$K610="",'Detalle'!$L610=""),"",IF(AND(K$8&lt;='Detalle'!$K610,K$9&gt;='Detalle'!$J610),1,""))</x:f>
      </x:c>
      <x:c r="L1254" s="32" t="str">
        <x:f>IF(OR('Detalle'!$J610="",'Detalle'!$K610="",'Detalle'!$L610=""),"",IF(AND(L$8&lt;='Detalle'!$K610,L$9&gt;='Detalle'!$J610),1,""))</x:f>
      </x:c>
      <x:c r="M1254" s="32" t="str">
        <x:f>IF(OR('Detalle'!$J610="",'Detalle'!$K610="",'Detalle'!$L610=""),"",IF(AND(M$8&lt;='Detalle'!$K610,M$9&gt;='Detalle'!$J610),1,""))</x:f>
      </x:c>
      <x:c r="N1254" s="32" t="str">
        <x:f>IF(OR('Detalle'!$J610="",'Detalle'!$K610="",'Detalle'!$L610=""),"",IF(AND(N$8&lt;='Detalle'!$K610,N$9&gt;='Detalle'!$J610),1,""))</x:f>
      </x:c>
      <x:c r="O1254" s="32" t="str">
        <x:f>IF(OR('Detalle'!$J610="",'Detalle'!$K610="",'Detalle'!$L610=""),"",IF(AND(O$8&lt;='Detalle'!$K610,O$9&gt;='Detalle'!$J610),1,""))</x:f>
      </x:c>
      <x:c r="P1254" s="32" t="str">
        <x:f>IF(OR('Detalle'!$J610="",'Detalle'!$K610="",'Detalle'!$L610=""),"",IF(AND(P$8&lt;='Detalle'!$K610,P$9&gt;='Detalle'!$J610),1,""))</x:f>
      </x:c>
      <x:c r="Q1254" s="68"/>
      <x:c r="R1254" s="67" t="str"/>
      <x:c r="S1254" s="67" t="str"/>
    </x:row>
    <x:row r="1255" ht="16" customHeight="1">
      <x:c r="A1255" s="56" t="str">
        <x:v>PUS03.014</x:v>
      </x:c>
      <x:c r="B1255" s="57" t="str">
        <x:v>Actualizar target iOS a 15</x:v>
      </x:c>
      <x:c r="C1255" s="62" t="str">
        <x:v>E</x:v>
      </x:c>
      <x:c r="D1255" s="64" t="n">
        <x:f>'Detalle'!I611</x:f>
        <x:v>1</x:v>
      </x:c>
      <x:c r="E1255" s="60" t="str">
        <x:f>'Detalle'!F611</x:f>
        <x:v>Completado</x:v>
      </x:c>
      <x:c r="F1255" s="32" t="str">
        <x:f>IF(AND(F$8&lt;='Detalle'!$H611,F$9&gt;='Detalle'!$G611),1,"")</x:f>
      </x:c>
      <x:c r="G1255" s="32" t="str">
        <x:f>IF(AND(G$8&lt;='Detalle'!$H611,G$9&gt;='Detalle'!$G611),1,"")</x:f>
      </x:c>
      <x:c r="H1255" s="32" t="str">
        <x:f>IF(AND(H$8&lt;='Detalle'!$H611,H$9&gt;='Detalle'!$G611),1,"")</x:f>
      </x:c>
      <x:c r="I1255" s="32" t="str">
        <x:f>IF(AND(I$8&lt;='Detalle'!$H611,I$9&gt;='Detalle'!$G611),1,"")</x:f>
      </x:c>
      <x:c r="J1255" s="32" t="n">
        <x:f>IF(AND(J$8&lt;='Detalle'!$H611,J$9&gt;='Detalle'!$G611),1,"")</x:f>
        <x:v>1</x:v>
      </x:c>
      <x:c r="K1255" s="32" t="str">
        <x:f>IF(AND(K$8&lt;='Detalle'!$H611,K$9&gt;='Detalle'!$G611),1,"")</x:f>
      </x:c>
      <x:c r="L1255" s="32" t="str">
        <x:f>IF(AND(L$8&lt;='Detalle'!$H611,L$9&gt;='Detalle'!$G611),1,"")</x:f>
      </x:c>
      <x:c r="M1255" s="32" t="str">
        <x:f>IF(AND(M$8&lt;='Detalle'!$H611,M$9&gt;='Detalle'!$G611),1,"")</x:f>
      </x:c>
      <x:c r="N1255" s="32" t="str">
        <x:f>IF(AND(N$8&lt;='Detalle'!$H611,N$9&gt;='Detalle'!$G611),1,"")</x:f>
      </x:c>
      <x:c r="O1255" s="32" t="str">
        <x:f>IF(AND(O$8&lt;='Detalle'!$H611,O$9&gt;='Detalle'!$G611),1,"")</x:f>
      </x:c>
      <x:c r="P1255" s="32" t="str">
        <x:f>IF(AND(P$8&lt;='Detalle'!$H611,P$9&gt;='Detalle'!$G611),1,"")</x:f>
      </x:c>
      <x:c r="Q1255" s="68"/>
      <x:c r="R1255" s="67" t="str">
        <x:f>IF('Detalle'!M611="","",'Detalle'!M611)</x:f>
      </x:c>
      <x:c r="S1255" s="67" t="str">
        <x:f>IF('Detalle'!N611="","",'Detalle'!N611)</x:f>
      </x:c>
    </x:row>
    <x:row r="1256" ht="16" customHeight="1">
      <x:c r="A1256" s="56" t="str">
        <x:v>PUS03.014</x:v>
      </x:c>
      <x:c r="B1256" s="57" t="str">
        <x:v>Actualizar target iOS a 15</x:v>
      </x:c>
      <x:c r="C1256" s="63" t="str">
        <x:v>R</x:v>
      </x:c>
      <x:c r="D1256" s="65" t="str">
        <x:f>IF('Detalle'!L611="","",'Detalle'!L611)</x:f>
      </x:c>
      <x:c r="E1256" s="60" t="str"/>
      <x:c r="F1256" s="32" t="str">
        <x:f>IF(OR('Detalle'!$J611="",'Detalle'!$K611="",'Detalle'!$L611=""),"",IF(AND(F$8&lt;='Detalle'!$K611,F$9&gt;='Detalle'!$J611),1,""))</x:f>
      </x:c>
      <x:c r="G1256" s="32" t="str">
        <x:f>IF(OR('Detalle'!$J611="",'Detalle'!$K611="",'Detalle'!$L611=""),"",IF(AND(G$8&lt;='Detalle'!$K611,G$9&gt;='Detalle'!$J611),1,""))</x:f>
      </x:c>
      <x:c r="H1256" s="32" t="str">
        <x:f>IF(OR('Detalle'!$J611="",'Detalle'!$K611="",'Detalle'!$L611=""),"",IF(AND(H$8&lt;='Detalle'!$K611,H$9&gt;='Detalle'!$J611),1,""))</x:f>
      </x:c>
      <x:c r="I1256" s="32" t="str">
        <x:f>IF(OR('Detalle'!$J611="",'Detalle'!$K611="",'Detalle'!$L611=""),"",IF(AND(I$8&lt;='Detalle'!$K611,I$9&gt;='Detalle'!$J611),1,""))</x:f>
      </x:c>
      <x:c r="J1256" s="32" t="str">
        <x:f>IF(OR('Detalle'!$J611="",'Detalle'!$K611="",'Detalle'!$L611=""),"",IF(AND(J$8&lt;='Detalle'!$K611,J$9&gt;='Detalle'!$J611),1,""))</x:f>
      </x:c>
      <x:c r="K1256" s="32" t="str">
        <x:f>IF(OR('Detalle'!$J611="",'Detalle'!$K611="",'Detalle'!$L611=""),"",IF(AND(K$8&lt;='Detalle'!$K611,K$9&gt;='Detalle'!$J611),1,""))</x:f>
      </x:c>
      <x:c r="L1256" s="32" t="str">
        <x:f>IF(OR('Detalle'!$J611="",'Detalle'!$K611="",'Detalle'!$L611=""),"",IF(AND(L$8&lt;='Detalle'!$K611,L$9&gt;='Detalle'!$J611),1,""))</x:f>
      </x:c>
      <x:c r="M1256" s="32" t="str">
        <x:f>IF(OR('Detalle'!$J611="",'Detalle'!$K611="",'Detalle'!$L611=""),"",IF(AND(M$8&lt;='Detalle'!$K611,M$9&gt;='Detalle'!$J611),1,""))</x:f>
      </x:c>
      <x:c r="N1256" s="32" t="str">
        <x:f>IF(OR('Detalle'!$J611="",'Detalle'!$K611="",'Detalle'!$L611=""),"",IF(AND(N$8&lt;='Detalle'!$K611,N$9&gt;='Detalle'!$J611),1,""))</x:f>
      </x:c>
      <x:c r="O1256" s="32" t="str">
        <x:f>IF(OR('Detalle'!$J611="",'Detalle'!$K611="",'Detalle'!$L611=""),"",IF(AND(O$8&lt;='Detalle'!$K611,O$9&gt;='Detalle'!$J611),1,""))</x:f>
      </x:c>
      <x:c r="P1256" s="32" t="str">
        <x:f>IF(OR('Detalle'!$J611="",'Detalle'!$K611="",'Detalle'!$L611=""),"",IF(AND(P$8&lt;='Detalle'!$K611,P$9&gt;='Detalle'!$J611),1,""))</x:f>
      </x:c>
      <x:c r="Q1256" s="68"/>
      <x:c r="R1256" s="67" t="str"/>
      <x:c r="S1256" s="67" t="str"/>
    </x:row>
    <x:row r="1257" ht="16" customHeight="1">
      <x:c r="A1257" s="56" t="str">
        <x:v>PUS03.015</x:v>
      </x:c>
      <x:c r="B1257" s="57" t="str">
        <x:v>Compilar APK con configuración Firebase</x:v>
      </x:c>
      <x:c r="C1257" s="62" t="str">
        <x:v>E</x:v>
      </x:c>
      <x:c r="D1257" s="64" t="n">
        <x:f>'Detalle'!I612</x:f>
        <x:v>1</x:v>
      </x:c>
      <x:c r="E1257" s="60" t="str">
        <x:f>'Detalle'!F612</x:f>
        <x:v>Completado</x:v>
      </x:c>
      <x:c r="F1257" s="32" t="str">
        <x:f>IF(AND(F$8&lt;='Detalle'!$H612,F$9&gt;='Detalle'!$G612),1,"")</x:f>
      </x:c>
      <x:c r="G1257" s="32" t="str">
        <x:f>IF(AND(G$8&lt;='Detalle'!$H612,G$9&gt;='Detalle'!$G612),1,"")</x:f>
      </x:c>
      <x:c r="H1257" s="32" t="str">
        <x:f>IF(AND(H$8&lt;='Detalle'!$H612,H$9&gt;='Detalle'!$G612),1,"")</x:f>
      </x:c>
      <x:c r="I1257" s="32" t="str">
        <x:f>IF(AND(I$8&lt;='Detalle'!$H612,I$9&gt;='Detalle'!$G612),1,"")</x:f>
      </x:c>
      <x:c r="J1257" s="32" t="n">
        <x:f>IF(AND(J$8&lt;='Detalle'!$H612,J$9&gt;='Detalle'!$G612),1,"")</x:f>
        <x:v>1</x:v>
      </x:c>
      <x:c r="K1257" s="32" t="str">
        <x:f>IF(AND(K$8&lt;='Detalle'!$H612,K$9&gt;='Detalle'!$G612),1,"")</x:f>
      </x:c>
      <x:c r="L1257" s="32" t="str">
        <x:f>IF(AND(L$8&lt;='Detalle'!$H612,L$9&gt;='Detalle'!$G612),1,"")</x:f>
      </x:c>
      <x:c r="M1257" s="32" t="str">
        <x:f>IF(AND(M$8&lt;='Detalle'!$H612,M$9&gt;='Detalle'!$G612),1,"")</x:f>
      </x:c>
      <x:c r="N1257" s="32" t="str">
        <x:f>IF(AND(N$8&lt;='Detalle'!$H612,N$9&gt;='Detalle'!$G612),1,"")</x:f>
      </x:c>
      <x:c r="O1257" s="32" t="str">
        <x:f>IF(AND(O$8&lt;='Detalle'!$H612,O$9&gt;='Detalle'!$G612),1,"")</x:f>
      </x:c>
      <x:c r="P1257" s="32" t="str">
        <x:f>IF(AND(P$8&lt;='Detalle'!$H612,P$9&gt;='Detalle'!$G612),1,"")</x:f>
      </x:c>
      <x:c r="Q1257" s="68"/>
      <x:c r="R1257" s="67" t="str">
        <x:f>IF('Detalle'!M612="","",'Detalle'!M612)</x:f>
      </x:c>
      <x:c r="S1257" s="67" t="str">
        <x:f>IF('Detalle'!N612="","",'Detalle'!N612)</x:f>
      </x:c>
    </x:row>
    <x:row r="1258" ht="16" customHeight="1">
      <x:c r="A1258" s="56" t="str">
        <x:v>PUS03.015</x:v>
      </x:c>
      <x:c r="B1258" s="57" t="str">
        <x:v>Compilar APK con configuración Firebase</x:v>
      </x:c>
      <x:c r="C1258" s="63" t="str">
        <x:v>R</x:v>
      </x:c>
      <x:c r="D1258" s="65" t="str">
        <x:f>IF('Detalle'!L612="","",'Detalle'!L612)</x:f>
      </x:c>
      <x:c r="E1258" s="60" t="str"/>
      <x:c r="F1258" s="32" t="str">
        <x:f>IF(OR('Detalle'!$J612="",'Detalle'!$K612="",'Detalle'!$L612=""),"",IF(AND(F$8&lt;='Detalle'!$K612,F$9&gt;='Detalle'!$J612),1,""))</x:f>
      </x:c>
      <x:c r="G1258" s="32" t="str">
        <x:f>IF(OR('Detalle'!$J612="",'Detalle'!$K612="",'Detalle'!$L612=""),"",IF(AND(G$8&lt;='Detalle'!$K612,G$9&gt;='Detalle'!$J612),1,""))</x:f>
      </x:c>
      <x:c r="H1258" s="32" t="str">
        <x:f>IF(OR('Detalle'!$J612="",'Detalle'!$K612="",'Detalle'!$L612=""),"",IF(AND(H$8&lt;='Detalle'!$K612,H$9&gt;='Detalle'!$J612),1,""))</x:f>
      </x:c>
      <x:c r="I1258" s="32" t="str">
        <x:f>IF(OR('Detalle'!$J612="",'Detalle'!$K612="",'Detalle'!$L612=""),"",IF(AND(I$8&lt;='Detalle'!$K612,I$9&gt;='Detalle'!$J612),1,""))</x:f>
      </x:c>
      <x:c r="J1258" s="32" t="str">
        <x:f>IF(OR('Detalle'!$J612="",'Detalle'!$K612="",'Detalle'!$L612=""),"",IF(AND(J$8&lt;='Detalle'!$K612,J$9&gt;='Detalle'!$J612),1,""))</x:f>
      </x:c>
      <x:c r="K1258" s="32" t="str">
        <x:f>IF(OR('Detalle'!$J612="",'Detalle'!$K612="",'Detalle'!$L612=""),"",IF(AND(K$8&lt;='Detalle'!$K612,K$9&gt;='Detalle'!$J612),1,""))</x:f>
      </x:c>
      <x:c r="L1258" s="32" t="str">
        <x:f>IF(OR('Detalle'!$J612="",'Detalle'!$K612="",'Detalle'!$L612=""),"",IF(AND(L$8&lt;='Detalle'!$K612,L$9&gt;='Detalle'!$J612),1,""))</x:f>
      </x:c>
      <x:c r="M1258" s="32" t="str">
        <x:f>IF(OR('Detalle'!$J612="",'Detalle'!$K612="",'Detalle'!$L612=""),"",IF(AND(M$8&lt;='Detalle'!$K612,M$9&gt;='Detalle'!$J612),1,""))</x:f>
      </x:c>
      <x:c r="N1258" s="32" t="str">
        <x:f>IF(OR('Detalle'!$J612="",'Detalle'!$K612="",'Detalle'!$L612=""),"",IF(AND(N$8&lt;='Detalle'!$K612,N$9&gt;='Detalle'!$J612),1,""))</x:f>
      </x:c>
      <x:c r="O1258" s="32" t="str">
        <x:f>IF(OR('Detalle'!$J612="",'Detalle'!$K612="",'Detalle'!$L612=""),"",IF(AND(O$8&lt;='Detalle'!$K612,O$9&gt;='Detalle'!$J612),1,""))</x:f>
      </x:c>
      <x:c r="P1258" s="32" t="str">
        <x:f>IF(OR('Detalle'!$J612="",'Detalle'!$K612="",'Detalle'!$L612=""),"",IF(AND(P$8&lt;='Detalle'!$K612,P$9&gt;='Detalle'!$J612),1,""))</x:f>
      </x:c>
      <x:c r="Q1258" s="68"/>
      <x:c r="R1258" s="67" t="str"/>
      <x:c r="S1258" s="67" t="str"/>
    </x:row>
    <x:row r="1259" ht="16" customHeight="1">
      <x:c r="A1259" s="56" t="str">
        <x:v>PUS03.016</x:v>
      </x:c>
      <x:c r="B1259" s="57" t="str">
        <x:v>Instalar APK en Samsung SM-A556E</x:v>
      </x:c>
      <x:c r="C1259" s="62" t="str">
        <x:v>E</x:v>
      </x:c>
      <x:c r="D1259" s="64" t="n">
        <x:f>'Detalle'!I613</x:f>
        <x:v>1</x:v>
      </x:c>
      <x:c r="E1259" s="60" t="str">
        <x:f>'Detalle'!F613</x:f>
        <x:v>Completado</x:v>
      </x:c>
      <x:c r="F1259" s="32" t="str">
        <x:f>IF(AND(F$8&lt;='Detalle'!$H613,F$9&gt;='Detalle'!$G613),1,"")</x:f>
      </x:c>
      <x:c r="G1259" s="32" t="str">
        <x:f>IF(AND(G$8&lt;='Detalle'!$H613,G$9&gt;='Detalle'!$G613),1,"")</x:f>
      </x:c>
      <x:c r="H1259" s="32" t="str">
        <x:f>IF(AND(H$8&lt;='Detalle'!$H613,H$9&gt;='Detalle'!$G613),1,"")</x:f>
      </x:c>
      <x:c r="I1259" s="32" t="str">
        <x:f>IF(AND(I$8&lt;='Detalle'!$H613,I$9&gt;='Detalle'!$G613),1,"")</x:f>
      </x:c>
      <x:c r="J1259" s="32" t="n">
        <x:f>IF(AND(J$8&lt;='Detalle'!$H613,J$9&gt;='Detalle'!$G613),1,"")</x:f>
        <x:v>1</x:v>
      </x:c>
      <x:c r="K1259" s="32" t="str">
        <x:f>IF(AND(K$8&lt;='Detalle'!$H613,K$9&gt;='Detalle'!$G613),1,"")</x:f>
      </x:c>
      <x:c r="L1259" s="32" t="str">
        <x:f>IF(AND(L$8&lt;='Detalle'!$H613,L$9&gt;='Detalle'!$G613),1,"")</x:f>
      </x:c>
      <x:c r="M1259" s="32" t="str">
        <x:f>IF(AND(M$8&lt;='Detalle'!$H613,M$9&gt;='Detalle'!$G613),1,"")</x:f>
      </x:c>
      <x:c r="N1259" s="32" t="str">
        <x:f>IF(AND(N$8&lt;='Detalle'!$H613,N$9&gt;='Detalle'!$G613),1,"")</x:f>
      </x:c>
      <x:c r="O1259" s="32" t="str">
        <x:f>IF(AND(O$8&lt;='Detalle'!$H613,O$9&gt;='Detalle'!$G613),1,"")</x:f>
      </x:c>
      <x:c r="P1259" s="32" t="str">
        <x:f>IF(AND(P$8&lt;='Detalle'!$H613,P$9&gt;='Detalle'!$G613),1,"")</x:f>
      </x:c>
      <x:c r="Q1259" s="68"/>
      <x:c r="R1259" s="67" t="str">
        <x:f>IF('Detalle'!M613="","",'Detalle'!M613)</x:f>
      </x:c>
      <x:c r="S1259" s="67" t="str">
        <x:f>IF('Detalle'!N613="","",'Detalle'!N613)</x:f>
      </x:c>
    </x:row>
    <x:row r="1260" ht="16" customHeight="1">
      <x:c r="A1260" s="56" t="str">
        <x:v>PUS03.016</x:v>
      </x:c>
      <x:c r="B1260" s="57" t="str">
        <x:v>Instalar APK en Samsung SM-A556E</x:v>
      </x:c>
      <x:c r="C1260" s="63" t="str">
        <x:v>R</x:v>
      </x:c>
      <x:c r="D1260" s="65" t="str">
        <x:f>IF('Detalle'!L613="","",'Detalle'!L613)</x:f>
      </x:c>
      <x:c r="E1260" s="60" t="str"/>
      <x:c r="F1260" s="32" t="str">
        <x:f>IF(OR('Detalle'!$J613="",'Detalle'!$K613="",'Detalle'!$L613=""),"",IF(AND(F$8&lt;='Detalle'!$K613,F$9&gt;='Detalle'!$J613),1,""))</x:f>
      </x:c>
      <x:c r="G1260" s="32" t="str">
        <x:f>IF(OR('Detalle'!$J613="",'Detalle'!$K613="",'Detalle'!$L613=""),"",IF(AND(G$8&lt;='Detalle'!$K613,G$9&gt;='Detalle'!$J613),1,""))</x:f>
      </x:c>
      <x:c r="H1260" s="32" t="str">
        <x:f>IF(OR('Detalle'!$J613="",'Detalle'!$K613="",'Detalle'!$L613=""),"",IF(AND(H$8&lt;='Detalle'!$K613,H$9&gt;='Detalle'!$J613),1,""))</x:f>
      </x:c>
      <x:c r="I1260" s="32" t="str">
        <x:f>IF(OR('Detalle'!$J613="",'Detalle'!$K613="",'Detalle'!$L613=""),"",IF(AND(I$8&lt;='Detalle'!$K613,I$9&gt;='Detalle'!$J613),1,""))</x:f>
      </x:c>
      <x:c r="J1260" s="32" t="str">
        <x:f>IF(OR('Detalle'!$J613="",'Detalle'!$K613="",'Detalle'!$L613=""),"",IF(AND(J$8&lt;='Detalle'!$K613,J$9&gt;='Detalle'!$J613),1,""))</x:f>
      </x:c>
      <x:c r="K1260" s="32" t="str">
        <x:f>IF(OR('Detalle'!$J613="",'Detalle'!$K613="",'Detalle'!$L613=""),"",IF(AND(K$8&lt;='Detalle'!$K613,K$9&gt;='Detalle'!$J613),1,""))</x:f>
      </x:c>
      <x:c r="L1260" s="32" t="str">
        <x:f>IF(OR('Detalle'!$J613="",'Detalle'!$K613="",'Detalle'!$L613=""),"",IF(AND(L$8&lt;='Detalle'!$K613,L$9&gt;='Detalle'!$J613),1,""))</x:f>
      </x:c>
      <x:c r="M1260" s="32" t="str">
        <x:f>IF(OR('Detalle'!$J613="",'Detalle'!$K613="",'Detalle'!$L613=""),"",IF(AND(M$8&lt;='Detalle'!$K613,M$9&gt;='Detalle'!$J613),1,""))</x:f>
      </x:c>
      <x:c r="N1260" s="32" t="str">
        <x:f>IF(OR('Detalle'!$J613="",'Detalle'!$K613="",'Detalle'!$L613=""),"",IF(AND(N$8&lt;='Detalle'!$K613,N$9&gt;='Detalle'!$J613),1,""))</x:f>
      </x:c>
      <x:c r="O1260" s="32" t="str">
        <x:f>IF(OR('Detalle'!$J613="",'Detalle'!$K613="",'Detalle'!$L613=""),"",IF(AND(O$8&lt;='Detalle'!$K613,O$9&gt;='Detalle'!$J613),1,""))</x:f>
      </x:c>
      <x:c r="P1260" s="32" t="str">
        <x:f>IF(OR('Detalle'!$J613="",'Detalle'!$K613="",'Detalle'!$L613=""),"",IF(AND(P$8&lt;='Detalle'!$K613,P$9&gt;='Detalle'!$J613),1,""))</x:f>
      </x:c>
      <x:c r="Q1260" s="68"/>
      <x:c r="R1260" s="67" t="str"/>
      <x:c r="S1260" s="67" t="str"/>
    </x:row>
    <x:row r="1261" ht="16" customHeight="1">
      <x:c r="A1261" s="56" t="str">
        <x:v>PUS03.017</x:v>
      </x:c>
      <x:c r="B1261" s="57" t="str">
        <x:v>Publicar Web compatible en Netlify</x:v>
      </x:c>
      <x:c r="C1261" s="62" t="str">
        <x:v>E</x:v>
      </x:c>
      <x:c r="D1261" s="64" t="n">
        <x:f>'Detalle'!I614</x:f>
        <x:v>1</x:v>
      </x:c>
      <x:c r="E1261" s="60" t="str">
        <x:f>'Detalle'!F614</x:f>
        <x:v>Completado</x:v>
      </x:c>
      <x:c r="F1261" s="32" t="str">
        <x:f>IF(AND(F$8&lt;='Detalle'!$H614,F$9&gt;='Detalle'!$G614),1,"")</x:f>
      </x:c>
      <x:c r="G1261" s="32" t="str">
        <x:f>IF(AND(G$8&lt;='Detalle'!$H614,G$9&gt;='Detalle'!$G614),1,"")</x:f>
      </x:c>
      <x:c r="H1261" s="32" t="str">
        <x:f>IF(AND(H$8&lt;='Detalle'!$H614,H$9&gt;='Detalle'!$G614),1,"")</x:f>
      </x:c>
      <x:c r="I1261" s="32" t="str">
        <x:f>IF(AND(I$8&lt;='Detalle'!$H614,I$9&gt;='Detalle'!$G614),1,"")</x:f>
      </x:c>
      <x:c r="J1261" s="32" t="n">
        <x:f>IF(AND(J$8&lt;='Detalle'!$H614,J$9&gt;='Detalle'!$G614),1,"")</x:f>
        <x:v>1</x:v>
      </x:c>
      <x:c r="K1261" s="32" t="str">
        <x:f>IF(AND(K$8&lt;='Detalle'!$H614,K$9&gt;='Detalle'!$G614),1,"")</x:f>
      </x:c>
      <x:c r="L1261" s="32" t="str">
        <x:f>IF(AND(L$8&lt;='Detalle'!$H614,L$9&gt;='Detalle'!$G614),1,"")</x:f>
      </x:c>
      <x:c r="M1261" s="32" t="str">
        <x:f>IF(AND(M$8&lt;='Detalle'!$H614,M$9&gt;='Detalle'!$G614),1,"")</x:f>
      </x:c>
      <x:c r="N1261" s="32" t="str">
        <x:f>IF(AND(N$8&lt;='Detalle'!$H614,N$9&gt;='Detalle'!$G614),1,"")</x:f>
      </x:c>
      <x:c r="O1261" s="32" t="str">
        <x:f>IF(AND(O$8&lt;='Detalle'!$H614,O$9&gt;='Detalle'!$G614),1,"")</x:f>
      </x:c>
      <x:c r="P1261" s="32" t="str">
        <x:f>IF(AND(P$8&lt;='Detalle'!$H614,P$9&gt;='Detalle'!$G614),1,"")</x:f>
      </x:c>
      <x:c r="Q1261" s="68"/>
      <x:c r="R1261" s="67" t="str">
        <x:f>IF('Detalle'!M614="","",'Detalle'!M614)</x:f>
      </x:c>
      <x:c r="S1261" s="67" t="str">
        <x:f>IF('Detalle'!N614="","",'Detalle'!N614)</x:f>
      </x:c>
    </x:row>
    <x:row r="1262" ht="16" customHeight="1">
      <x:c r="A1262" s="56" t="str">
        <x:v>PUS03.017</x:v>
      </x:c>
      <x:c r="B1262" s="57" t="str">
        <x:v>Publicar Web compatible en Netlify</x:v>
      </x:c>
      <x:c r="C1262" s="63" t="str">
        <x:v>R</x:v>
      </x:c>
      <x:c r="D1262" s="65" t="str">
        <x:f>IF('Detalle'!L614="","",'Detalle'!L614)</x:f>
      </x:c>
      <x:c r="E1262" s="60" t="str"/>
      <x:c r="F1262" s="32" t="str">
        <x:f>IF(OR('Detalle'!$J614="",'Detalle'!$K614="",'Detalle'!$L614=""),"",IF(AND(F$8&lt;='Detalle'!$K614,F$9&gt;='Detalle'!$J614),1,""))</x:f>
      </x:c>
      <x:c r="G1262" s="32" t="str">
        <x:f>IF(OR('Detalle'!$J614="",'Detalle'!$K614="",'Detalle'!$L614=""),"",IF(AND(G$8&lt;='Detalle'!$K614,G$9&gt;='Detalle'!$J614),1,""))</x:f>
      </x:c>
      <x:c r="H1262" s="32" t="str">
        <x:f>IF(OR('Detalle'!$J614="",'Detalle'!$K614="",'Detalle'!$L614=""),"",IF(AND(H$8&lt;='Detalle'!$K614,H$9&gt;='Detalle'!$J614),1,""))</x:f>
      </x:c>
      <x:c r="I1262" s="32" t="str">
        <x:f>IF(OR('Detalle'!$J614="",'Detalle'!$K614="",'Detalle'!$L614=""),"",IF(AND(I$8&lt;='Detalle'!$K614,I$9&gt;='Detalle'!$J614),1,""))</x:f>
      </x:c>
      <x:c r="J1262" s="32" t="str">
        <x:f>IF(OR('Detalle'!$J614="",'Detalle'!$K614="",'Detalle'!$L614=""),"",IF(AND(J$8&lt;='Detalle'!$K614,J$9&gt;='Detalle'!$J614),1,""))</x:f>
      </x:c>
      <x:c r="K1262" s="32" t="str">
        <x:f>IF(OR('Detalle'!$J614="",'Detalle'!$K614="",'Detalle'!$L614=""),"",IF(AND(K$8&lt;='Detalle'!$K614,K$9&gt;='Detalle'!$J614),1,""))</x:f>
      </x:c>
      <x:c r="L1262" s="32" t="str">
        <x:f>IF(OR('Detalle'!$J614="",'Detalle'!$K614="",'Detalle'!$L614=""),"",IF(AND(L$8&lt;='Detalle'!$K614,L$9&gt;='Detalle'!$J614),1,""))</x:f>
      </x:c>
      <x:c r="M1262" s="32" t="str">
        <x:f>IF(OR('Detalle'!$J614="",'Detalle'!$K614="",'Detalle'!$L614=""),"",IF(AND(M$8&lt;='Detalle'!$K614,M$9&gt;='Detalle'!$J614),1,""))</x:f>
      </x:c>
      <x:c r="N1262" s="32" t="str">
        <x:f>IF(OR('Detalle'!$J614="",'Detalle'!$K614="",'Detalle'!$L614=""),"",IF(AND(N$8&lt;='Detalle'!$K614,N$9&gt;='Detalle'!$J614),1,""))</x:f>
      </x:c>
      <x:c r="O1262" s="32" t="str">
        <x:f>IF(OR('Detalle'!$J614="",'Detalle'!$K614="",'Detalle'!$L614=""),"",IF(AND(O$8&lt;='Detalle'!$K614,O$9&gt;='Detalle'!$J614),1,""))</x:f>
      </x:c>
      <x:c r="P1262" s="32" t="str">
        <x:f>IF(OR('Detalle'!$J614="",'Detalle'!$K614="",'Detalle'!$L614=""),"",IF(AND(P$8&lt;='Detalle'!$K614,P$9&gt;='Detalle'!$J614),1,""))</x:f>
      </x:c>
      <x:c r="Q1262" s="68"/>
      <x:c r="R1262" s="67" t="str"/>
      <x:c r="S1262" s="67" t="str"/>
    </x:row>
    <x:row r="1263" ht="16" customHeight="1">
      <x:c r="A1263" s="56" t="str">
        <x:v>PUS03.018</x:v>
      </x:c>
      <x:c r="B1263" s="57" t="str">
        <x:v>Comparar main.dart.js público y local</x:v>
      </x:c>
      <x:c r="C1263" s="62" t="str">
        <x:v>E</x:v>
      </x:c>
      <x:c r="D1263" s="64" t="n">
        <x:f>'Detalle'!I615</x:f>
        <x:v>1</x:v>
      </x:c>
      <x:c r="E1263" s="60" t="str">
        <x:f>'Detalle'!F615</x:f>
        <x:v>Completado</x:v>
      </x:c>
      <x:c r="F1263" s="32" t="str">
        <x:f>IF(AND(F$8&lt;='Detalle'!$H615,F$9&gt;='Detalle'!$G615),1,"")</x:f>
      </x:c>
      <x:c r="G1263" s="32" t="str">
        <x:f>IF(AND(G$8&lt;='Detalle'!$H615,G$9&gt;='Detalle'!$G615),1,"")</x:f>
      </x:c>
      <x:c r="H1263" s="32" t="str">
        <x:f>IF(AND(H$8&lt;='Detalle'!$H615,H$9&gt;='Detalle'!$G615),1,"")</x:f>
      </x:c>
      <x:c r="I1263" s="32" t="str">
        <x:f>IF(AND(I$8&lt;='Detalle'!$H615,I$9&gt;='Detalle'!$G615),1,"")</x:f>
      </x:c>
      <x:c r="J1263" s="32" t="n">
        <x:f>IF(AND(J$8&lt;='Detalle'!$H615,J$9&gt;='Detalle'!$G615),1,"")</x:f>
        <x:v>1</x:v>
      </x:c>
      <x:c r="K1263" s="32" t="str">
        <x:f>IF(AND(K$8&lt;='Detalle'!$H615,K$9&gt;='Detalle'!$G615),1,"")</x:f>
      </x:c>
      <x:c r="L1263" s="32" t="str">
        <x:f>IF(AND(L$8&lt;='Detalle'!$H615,L$9&gt;='Detalle'!$G615),1,"")</x:f>
      </x:c>
      <x:c r="M1263" s="32" t="str">
        <x:f>IF(AND(M$8&lt;='Detalle'!$H615,M$9&gt;='Detalle'!$G615),1,"")</x:f>
      </x:c>
      <x:c r="N1263" s="32" t="str">
        <x:f>IF(AND(N$8&lt;='Detalle'!$H615,N$9&gt;='Detalle'!$G615),1,"")</x:f>
      </x:c>
      <x:c r="O1263" s="32" t="str">
        <x:f>IF(AND(O$8&lt;='Detalle'!$H615,O$9&gt;='Detalle'!$G615),1,"")</x:f>
      </x:c>
      <x:c r="P1263" s="32" t="str">
        <x:f>IF(AND(P$8&lt;='Detalle'!$H615,P$9&gt;='Detalle'!$G615),1,"")</x:f>
      </x:c>
      <x:c r="Q1263" s="68"/>
      <x:c r="R1263" s="67" t="str">
        <x:f>IF('Detalle'!M615="","",'Detalle'!M615)</x:f>
      </x:c>
      <x:c r="S1263" s="67" t="str">
        <x:f>IF('Detalle'!N615="","",'Detalle'!N615)</x:f>
      </x:c>
    </x:row>
    <x:row r="1264" ht="16" customHeight="1">
      <x:c r="A1264" s="56" t="str">
        <x:v>PUS03.018</x:v>
      </x:c>
      <x:c r="B1264" s="57" t="str">
        <x:v>Comparar main.dart.js público y local</x:v>
      </x:c>
      <x:c r="C1264" s="63" t="str">
        <x:v>R</x:v>
      </x:c>
      <x:c r="D1264" s="65" t="str">
        <x:f>IF('Detalle'!L615="","",'Detalle'!L615)</x:f>
      </x:c>
      <x:c r="E1264" s="60" t="str"/>
      <x:c r="F1264" s="32" t="str">
        <x:f>IF(OR('Detalle'!$J615="",'Detalle'!$K615="",'Detalle'!$L615=""),"",IF(AND(F$8&lt;='Detalle'!$K615,F$9&gt;='Detalle'!$J615),1,""))</x:f>
      </x:c>
      <x:c r="G1264" s="32" t="str">
        <x:f>IF(OR('Detalle'!$J615="",'Detalle'!$K615="",'Detalle'!$L615=""),"",IF(AND(G$8&lt;='Detalle'!$K615,G$9&gt;='Detalle'!$J615),1,""))</x:f>
      </x:c>
      <x:c r="H1264" s="32" t="str">
        <x:f>IF(OR('Detalle'!$J615="",'Detalle'!$K615="",'Detalle'!$L615=""),"",IF(AND(H$8&lt;='Detalle'!$K615,H$9&gt;='Detalle'!$J615),1,""))</x:f>
      </x:c>
      <x:c r="I1264" s="32" t="str">
        <x:f>IF(OR('Detalle'!$J615="",'Detalle'!$K615="",'Detalle'!$L615=""),"",IF(AND(I$8&lt;='Detalle'!$K615,I$9&gt;='Detalle'!$J615),1,""))</x:f>
      </x:c>
      <x:c r="J1264" s="32" t="str">
        <x:f>IF(OR('Detalle'!$J615="",'Detalle'!$K615="",'Detalle'!$L615=""),"",IF(AND(J$8&lt;='Detalle'!$K615,J$9&gt;='Detalle'!$J615),1,""))</x:f>
      </x:c>
      <x:c r="K1264" s="32" t="str">
        <x:f>IF(OR('Detalle'!$J615="",'Detalle'!$K615="",'Detalle'!$L615=""),"",IF(AND(K$8&lt;='Detalle'!$K615,K$9&gt;='Detalle'!$J615),1,""))</x:f>
      </x:c>
      <x:c r="L1264" s="32" t="str">
        <x:f>IF(OR('Detalle'!$J615="",'Detalle'!$K615="",'Detalle'!$L615=""),"",IF(AND(L$8&lt;='Detalle'!$K615,L$9&gt;='Detalle'!$J615),1,""))</x:f>
      </x:c>
      <x:c r="M1264" s="32" t="str">
        <x:f>IF(OR('Detalle'!$J615="",'Detalle'!$K615="",'Detalle'!$L615=""),"",IF(AND(M$8&lt;='Detalle'!$K615,M$9&gt;='Detalle'!$J615),1,""))</x:f>
      </x:c>
      <x:c r="N1264" s="32" t="str">
        <x:f>IF(OR('Detalle'!$J615="",'Detalle'!$K615="",'Detalle'!$L615=""),"",IF(AND(N$8&lt;='Detalle'!$K615,N$9&gt;='Detalle'!$J615),1,""))</x:f>
      </x:c>
      <x:c r="O1264" s="32" t="str">
        <x:f>IF(OR('Detalle'!$J615="",'Detalle'!$K615="",'Detalle'!$L615=""),"",IF(AND(O$8&lt;='Detalle'!$K615,O$9&gt;='Detalle'!$J615),1,""))</x:f>
      </x:c>
      <x:c r="P1264" s="32" t="str">
        <x:f>IF(OR('Detalle'!$J615="",'Detalle'!$K615="",'Detalle'!$L615=""),"",IF(AND(P$8&lt;='Detalle'!$K615,P$9&gt;='Detalle'!$J615),1,""))</x:f>
      </x:c>
      <x:c r="Q1264" s="68"/>
      <x:c r="R1264" s="67" t="str"/>
      <x:c r="S1264" s="67" t="str"/>
    </x:row>
    <x:row r="1265" ht="16" customHeight="1">
      <x:c r="A1265" s="56" t="str">
        <x:v>PUS03.019</x:v>
      </x:c>
      <x:c r="B1265" s="57" t="str">
        <x:v>Activar cron y bandera de envíos</x:v>
      </x:c>
      <x:c r="C1265" s="62" t="str">
        <x:v>E</x:v>
      </x:c>
      <x:c r="D1265" s="64" t="n">
        <x:f>'Detalle'!I616</x:f>
        <x:v>1</x:v>
      </x:c>
      <x:c r="E1265" s="60" t="str">
        <x:f>'Detalle'!F616</x:f>
        <x:v>Completado</x:v>
      </x:c>
      <x:c r="F1265" s="32" t="str">
        <x:f>IF(AND(F$8&lt;='Detalle'!$H616,F$9&gt;='Detalle'!$G616),1,"")</x:f>
      </x:c>
      <x:c r="G1265" s="32" t="str">
        <x:f>IF(AND(G$8&lt;='Detalle'!$H616,G$9&gt;='Detalle'!$G616),1,"")</x:f>
      </x:c>
      <x:c r="H1265" s="32" t="str">
        <x:f>IF(AND(H$8&lt;='Detalle'!$H616,H$9&gt;='Detalle'!$G616),1,"")</x:f>
      </x:c>
      <x:c r="I1265" s="32" t="str">
        <x:f>IF(AND(I$8&lt;='Detalle'!$H616,I$9&gt;='Detalle'!$G616),1,"")</x:f>
      </x:c>
      <x:c r="J1265" s="32" t="n">
        <x:f>IF(AND(J$8&lt;='Detalle'!$H616,J$9&gt;='Detalle'!$G616),1,"")</x:f>
        <x:v>1</x:v>
      </x:c>
      <x:c r="K1265" s="32" t="str">
        <x:f>IF(AND(K$8&lt;='Detalle'!$H616,K$9&gt;='Detalle'!$G616),1,"")</x:f>
      </x:c>
      <x:c r="L1265" s="32" t="str">
        <x:f>IF(AND(L$8&lt;='Detalle'!$H616,L$9&gt;='Detalle'!$G616),1,"")</x:f>
      </x:c>
      <x:c r="M1265" s="32" t="str">
        <x:f>IF(AND(M$8&lt;='Detalle'!$H616,M$9&gt;='Detalle'!$G616),1,"")</x:f>
      </x:c>
      <x:c r="N1265" s="32" t="str">
        <x:f>IF(AND(N$8&lt;='Detalle'!$H616,N$9&gt;='Detalle'!$G616),1,"")</x:f>
      </x:c>
      <x:c r="O1265" s="32" t="str">
        <x:f>IF(AND(O$8&lt;='Detalle'!$H616,O$9&gt;='Detalle'!$G616),1,"")</x:f>
      </x:c>
      <x:c r="P1265" s="32" t="str">
        <x:f>IF(AND(P$8&lt;='Detalle'!$H616,P$9&gt;='Detalle'!$G616),1,"")</x:f>
      </x:c>
      <x:c r="Q1265" s="68"/>
      <x:c r="R1265" s="67" t="str">
        <x:f>IF('Detalle'!M616="","",'Detalle'!M616)</x:f>
      </x:c>
      <x:c r="S1265" s="67" t="str">
        <x:f>IF('Detalle'!N616="","",'Detalle'!N616)</x:f>
      </x:c>
    </x:row>
    <x:row r="1266" ht="16" customHeight="1">
      <x:c r="A1266" s="56" t="str">
        <x:v>PUS03.019</x:v>
      </x:c>
      <x:c r="B1266" s="57" t="str">
        <x:v>Activar cron y bandera de envíos</x:v>
      </x:c>
      <x:c r="C1266" s="63" t="str">
        <x:v>R</x:v>
      </x:c>
      <x:c r="D1266" s="65" t="str">
        <x:f>IF('Detalle'!L616="","",'Detalle'!L616)</x:f>
      </x:c>
      <x:c r="E1266" s="60" t="str"/>
      <x:c r="F1266" s="32" t="str">
        <x:f>IF(OR('Detalle'!$J616="",'Detalle'!$K616="",'Detalle'!$L616=""),"",IF(AND(F$8&lt;='Detalle'!$K616,F$9&gt;='Detalle'!$J616),1,""))</x:f>
      </x:c>
      <x:c r="G1266" s="32" t="str">
        <x:f>IF(OR('Detalle'!$J616="",'Detalle'!$K616="",'Detalle'!$L616=""),"",IF(AND(G$8&lt;='Detalle'!$K616,G$9&gt;='Detalle'!$J616),1,""))</x:f>
      </x:c>
      <x:c r="H1266" s="32" t="str">
        <x:f>IF(OR('Detalle'!$J616="",'Detalle'!$K616="",'Detalle'!$L616=""),"",IF(AND(H$8&lt;='Detalle'!$K616,H$9&gt;='Detalle'!$J616),1,""))</x:f>
      </x:c>
      <x:c r="I1266" s="32" t="str">
        <x:f>IF(OR('Detalle'!$J616="",'Detalle'!$K616="",'Detalle'!$L616=""),"",IF(AND(I$8&lt;='Detalle'!$K616,I$9&gt;='Detalle'!$J616),1,""))</x:f>
      </x:c>
      <x:c r="J1266" s="32" t="str">
        <x:f>IF(OR('Detalle'!$J616="",'Detalle'!$K616="",'Detalle'!$L616=""),"",IF(AND(J$8&lt;='Detalle'!$K616,J$9&gt;='Detalle'!$J616),1,""))</x:f>
      </x:c>
      <x:c r="K1266" s="32" t="str">
        <x:f>IF(OR('Detalle'!$J616="",'Detalle'!$K616="",'Detalle'!$L616=""),"",IF(AND(K$8&lt;='Detalle'!$K616,K$9&gt;='Detalle'!$J616),1,""))</x:f>
      </x:c>
      <x:c r="L1266" s="32" t="str">
        <x:f>IF(OR('Detalle'!$J616="",'Detalle'!$K616="",'Detalle'!$L616=""),"",IF(AND(L$8&lt;='Detalle'!$K616,L$9&gt;='Detalle'!$J616),1,""))</x:f>
      </x:c>
      <x:c r="M1266" s="32" t="str">
        <x:f>IF(OR('Detalle'!$J616="",'Detalle'!$K616="",'Detalle'!$L616=""),"",IF(AND(M$8&lt;='Detalle'!$K616,M$9&gt;='Detalle'!$J616),1,""))</x:f>
      </x:c>
      <x:c r="N1266" s="32" t="str">
        <x:f>IF(OR('Detalle'!$J616="",'Detalle'!$K616="",'Detalle'!$L616=""),"",IF(AND(N$8&lt;='Detalle'!$K616,N$9&gt;='Detalle'!$J616),1,""))</x:f>
      </x:c>
      <x:c r="O1266" s="32" t="str">
        <x:f>IF(OR('Detalle'!$J616="",'Detalle'!$K616="",'Detalle'!$L616=""),"",IF(AND(O$8&lt;='Detalle'!$K616,O$9&gt;='Detalle'!$J616),1,""))</x:f>
      </x:c>
      <x:c r="P1266" s="32" t="str">
        <x:f>IF(OR('Detalle'!$J616="",'Detalle'!$K616="",'Detalle'!$L616=""),"",IF(AND(P$8&lt;='Detalle'!$K616,P$9&gt;='Detalle'!$J616),1,""))</x:f>
      </x:c>
      <x:c r="Q1266" s="68"/>
      <x:c r="R1266" s="67" t="str"/>
      <x:c r="S1266" s="67" t="str"/>
    </x:row>
    <x:row r="1267" ht="16" customHeight="1">
      <x:c r="A1267" s="56" t="str">
        <x:v>PUS03.020</x:v>
      </x:c>
      <x:c r="B1267" s="57" t="str">
        <x:v>Verificar una sola ejecución por minuto</x:v>
      </x:c>
      <x:c r="C1267" s="62" t="str">
        <x:v>E</x:v>
      </x:c>
      <x:c r="D1267" s="64" t="n">
        <x:f>'Detalle'!I617</x:f>
        <x:v>1</x:v>
      </x:c>
      <x:c r="E1267" s="60" t="str">
        <x:f>'Detalle'!F617</x:f>
        <x:v>Completado</x:v>
      </x:c>
      <x:c r="F1267" s="32" t="str">
        <x:f>IF(AND(F$8&lt;='Detalle'!$H617,F$9&gt;='Detalle'!$G617),1,"")</x:f>
      </x:c>
      <x:c r="G1267" s="32" t="str">
        <x:f>IF(AND(G$8&lt;='Detalle'!$H617,G$9&gt;='Detalle'!$G617),1,"")</x:f>
      </x:c>
      <x:c r="H1267" s="32" t="str">
        <x:f>IF(AND(H$8&lt;='Detalle'!$H617,H$9&gt;='Detalle'!$G617),1,"")</x:f>
      </x:c>
      <x:c r="I1267" s="32" t="str">
        <x:f>IF(AND(I$8&lt;='Detalle'!$H617,I$9&gt;='Detalle'!$G617),1,"")</x:f>
      </x:c>
      <x:c r="J1267" s="32" t="n">
        <x:f>IF(AND(J$8&lt;='Detalle'!$H617,J$9&gt;='Detalle'!$G617),1,"")</x:f>
        <x:v>1</x:v>
      </x:c>
      <x:c r="K1267" s="32" t="str">
        <x:f>IF(AND(K$8&lt;='Detalle'!$H617,K$9&gt;='Detalle'!$G617),1,"")</x:f>
      </x:c>
      <x:c r="L1267" s="32" t="str">
        <x:f>IF(AND(L$8&lt;='Detalle'!$H617,L$9&gt;='Detalle'!$G617),1,"")</x:f>
      </x:c>
      <x:c r="M1267" s="32" t="str">
        <x:f>IF(AND(M$8&lt;='Detalle'!$H617,M$9&gt;='Detalle'!$G617),1,"")</x:f>
      </x:c>
      <x:c r="N1267" s="32" t="str">
        <x:f>IF(AND(N$8&lt;='Detalle'!$H617,N$9&gt;='Detalle'!$G617),1,"")</x:f>
      </x:c>
      <x:c r="O1267" s="32" t="str">
        <x:f>IF(AND(O$8&lt;='Detalle'!$H617,O$9&gt;='Detalle'!$G617),1,"")</x:f>
      </x:c>
      <x:c r="P1267" s="32" t="str">
        <x:f>IF(AND(P$8&lt;='Detalle'!$H617,P$9&gt;='Detalle'!$G617),1,"")</x:f>
      </x:c>
      <x:c r="Q1267" s="68"/>
      <x:c r="R1267" s="67" t="str">
        <x:f>IF('Detalle'!M617="","",'Detalle'!M617)</x:f>
      </x:c>
      <x:c r="S1267" s="67" t="str">
        <x:f>IF('Detalle'!N617="","",'Detalle'!N617)</x:f>
      </x:c>
    </x:row>
    <x:row r="1268" ht="16" customHeight="1">
      <x:c r="A1268" s="56" t="str">
        <x:v>PUS03.020</x:v>
      </x:c>
      <x:c r="B1268" s="57" t="str">
        <x:v>Verificar una sola ejecución por minuto</x:v>
      </x:c>
      <x:c r="C1268" s="63" t="str">
        <x:v>R</x:v>
      </x:c>
      <x:c r="D1268" s="65" t="str">
        <x:f>IF('Detalle'!L617="","",'Detalle'!L617)</x:f>
      </x:c>
      <x:c r="E1268" s="60" t="str"/>
      <x:c r="F1268" s="32" t="str">
        <x:f>IF(OR('Detalle'!$J617="",'Detalle'!$K617="",'Detalle'!$L617=""),"",IF(AND(F$8&lt;='Detalle'!$K617,F$9&gt;='Detalle'!$J617),1,""))</x:f>
      </x:c>
      <x:c r="G1268" s="32" t="str">
        <x:f>IF(OR('Detalle'!$J617="",'Detalle'!$K617="",'Detalle'!$L617=""),"",IF(AND(G$8&lt;='Detalle'!$K617,G$9&gt;='Detalle'!$J617),1,""))</x:f>
      </x:c>
      <x:c r="H1268" s="32" t="str">
        <x:f>IF(OR('Detalle'!$J617="",'Detalle'!$K617="",'Detalle'!$L617=""),"",IF(AND(H$8&lt;='Detalle'!$K617,H$9&gt;='Detalle'!$J617),1,""))</x:f>
      </x:c>
      <x:c r="I1268" s="32" t="str">
        <x:f>IF(OR('Detalle'!$J617="",'Detalle'!$K617="",'Detalle'!$L617=""),"",IF(AND(I$8&lt;='Detalle'!$K617,I$9&gt;='Detalle'!$J617),1,""))</x:f>
      </x:c>
      <x:c r="J1268" s="32" t="str">
        <x:f>IF(OR('Detalle'!$J617="",'Detalle'!$K617="",'Detalle'!$L617=""),"",IF(AND(J$8&lt;='Detalle'!$K617,J$9&gt;='Detalle'!$J617),1,""))</x:f>
      </x:c>
      <x:c r="K1268" s="32" t="str">
        <x:f>IF(OR('Detalle'!$J617="",'Detalle'!$K617="",'Detalle'!$L617=""),"",IF(AND(K$8&lt;='Detalle'!$K617,K$9&gt;='Detalle'!$J617),1,""))</x:f>
      </x:c>
      <x:c r="L1268" s="32" t="str">
        <x:f>IF(OR('Detalle'!$J617="",'Detalle'!$K617="",'Detalle'!$L617=""),"",IF(AND(L$8&lt;='Detalle'!$K617,L$9&gt;='Detalle'!$J617),1,""))</x:f>
      </x:c>
      <x:c r="M1268" s="32" t="str">
        <x:f>IF(OR('Detalle'!$J617="",'Detalle'!$K617="",'Detalle'!$L617=""),"",IF(AND(M$8&lt;='Detalle'!$K617,M$9&gt;='Detalle'!$J617),1,""))</x:f>
      </x:c>
      <x:c r="N1268" s="32" t="str">
        <x:f>IF(OR('Detalle'!$J617="",'Detalle'!$K617="",'Detalle'!$L617=""),"",IF(AND(N$8&lt;='Detalle'!$K617,N$9&gt;='Detalle'!$J617),1,""))</x:f>
      </x:c>
      <x:c r="O1268" s="32" t="str">
        <x:f>IF(OR('Detalle'!$J617="",'Detalle'!$K617="",'Detalle'!$L617=""),"",IF(AND(O$8&lt;='Detalle'!$K617,O$9&gt;='Detalle'!$J617),1,""))</x:f>
      </x:c>
      <x:c r="P1268" s="32" t="str">
        <x:f>IF(OR('Detalle'!$J617="",'Detalle'!$K617="",'Detalle'!$L617=""),"",IF(AND(P$8&lt;='Detalle'!$K617,P$9&gt;='Detalle'!$J617),1,""))</x:f>
      </x:c>
      <x:c r="Q1268" s="68"/>
      <x:c r="R1268" s="67" t="str"/>
      <x:c r="S1268" s="67" t="str"/>
    </x:row>
    <x:row r="1269" ht="20" customHeight="1">
      <x:c r="A1269" s="52" t="str">
        <x:v>PUS04 · Correcciones y pruebas de push ejecutadas</x:v>
      </x:c>
      <x:c r="B1269" s="52" t="str">
        <x:v>PUS04 · Correcciones y pruebas de push ejecutadas</x:v>
      </x:c>
      <x:c r="C1269" s="52" t="str">
        <x:v>PUS04 · Correcciones y pruebas de push ejecutadas</x:v>
      </x:c>
      <x:c r="D1269" s="52" t="str">
        <x:v>PUS04 · Correcciones y pruebas de push ejecutadas</x:v>
      </x:c>
      <x:c r="E1269" s="52" t="str">
        <x:v>PUS04 · Correcciones y pruebas de push ejecutadas</x:v>
      </x:c>
      <x:c r="F1269" s="53" t="str">
        <x:v>PUS04 · Correcciones y pruebas de push ejecutadas</x:v>
      </x:c>
      <x:c r="G1269" s="53" t="str">
        <x:v>PUS04 · Correcciones y pruebas de push ejecutadas</x:v>
      </x:c>
      <x:c r="H1269" s="53" t="str">
        <x:v>PUS04 · Correcciones y pruebas de push ejecutadas</x:v>
      </x:c>
      <x:c r="I1269" s="53" t="str">
        <x:v>PUS04 · Correcciones y pruebas de push ejecutadas</x:v>
      </x:c>
      <x:c r="J1269" s="53" t="str">
        <x:v>PUS04 · Correcciones y pruebas de push ejecutadas</x:v>
      </x:c>
      <x:c r="K1269" s="53" t="str">
        <x:v>PUS04 · Correcciones y pruebas de push ejecutadas</x:v>
      </x:c>
      <x:c r="L1269" s="53" t="str">
        <x:v>PUS04 · Correcciones y pruebas de push ejecutadas</x:v>
      </x:c>
      <x:c r="M1269" s="53" t="str">
        <x:v>PUS04 · Correcciones y pruebas de push ejecutadas</x:v>
      </x:c>
      <x:c r="N1269" s="53" t="str">
        <x:v>PUS04 · Correcciones y pruebas de push ejecutadas</x:v>
      </x:c>
      <x:c r="O1269" s="53" t="str">
        <x:v>PUS04 · Correcciones y pruebas de push ejecutadas</x:v>
      </x:c>
      <x:c r="P1269" s="53" t="str">
        <x:v>PUS04 · Correcciones y pruebas de push ejecutadas</x:v>
      </x:c>
      <x:c r="Q1269" s="52" t="str">
        <x:v>PUS04 · Correcciones y pruebas de push ejecutadas</x:v>
      </x:c>
      <x:c r="R1269" s="52" t="str">
        <x:v>PUS04 · Correcciones y pruebas de push ejecutadas</x:v>
      </x:c>
      <x:c r="S1269" s="52" t="str">
        <x:v>PUS04 · Correcciones y pruebas de push ejecutadas</x:v>
      </x:c>
    </x:row>
    <x:row r="1270" ht="16" customHeight="1">
      <x:c r="A1270" s="56" t="str">
        <x:v>PUS04.001</x:v>
      </x:c>
      <x:c r="B1270" s="57" t="str">
        <x:v>Corregir logout offline o colgado</x:v>
      </x:c>
      <x:c r="C1270" s="62" t="str">
        <x:v>E</x:v>
      </x:c>
      <x:c r="D1270" s="64" t="n">
        <x:f>'Detalle'!I618</x:f>
        <x:v>1</x:v>
      </x:c>
      <x:c r="E1270" s="60" t="str">
        <x:f>'Detalle'!F618</x:f>
        <x:v>Completado</x:v>
      </x:c>
      <x:c r="F1270" s="32" t="str">
        <x:f>IF(AND(F$8&lt;='Detalle'!$H618,F$9&gt;='Detalle'!$G618),1,"")</x:f>
      </x:c>
      <x:c r="G1270" s="32" t="str">
        <x:f>IF(AND(G$8&lt;='Detalle'!$H618,G$9&gt;='Detalle'!$G618),1,"")</x:f>
      </x:c>
      <x:c r="H1270" s="32" t="str">
        <x:f>IF(AND(H$8&lt;='Detalle'!$H618,H$9&gt;='Detalle'!$G618),1,"")</x:f>
      </x:c>
      <x:c r="I1270" s="32" t="str">
        <x:f>IF(AND(I$8&lt;='Detalle'!$H618,I$9&gt;='Detalle'!$G618),1,"")</x:f>
      </x:c>
      <x:c r="J1270" s="32" t="n">
        <x:f>IF(AND(J$8&lt;='Detalle'!$H618,J$9&gt;='Detalle'!$G618),1,"")</x:f>
        <x:v>1</x:v>
      </x:c>
      <x:c r="K1270" s="32" t="str">
        <x:f>IF(AND(K$8&lt;='Detalle'!$H618,K$9&gt;='Detalle'!$G618),1,"")</x:f>
      </x:c>
      <x:c r="L1270" s="32" t="str">
        <x:f>IF(AND(L$8&lt;='Detalle'!$H618,L$9&gt;='Detalle'!$G618),1,"")</x:f>
      </x:c>
      <x:c r="M1270" s="32" t="str">
        <x:f>IF(AND(M$8&lt;='Detalle'!$H618,M$9&gt;='Detalle'!$G618),1,"")</x:f>
      </x:c>
      <x:c r="N1270" s="32" t="str">
        <x:f>IF(AND(N$8&lt;='Detalle'!$H618,N$9&gt;='Detalle'!$G618),1,"")</x:f>
      </x:c>
      <x:c r="O1270" s="32" t="str">
        <x:f>IF(AND(O$8&lt;='Detalle'!$H618,O$9&gt;='Detalle'!$G618),1,"")</x:f>
      </x:c>
      <x:c r="P1270" s="32" t="str">
        <x:f>IF(AND(P$8&lt;='Detalle'!$H618,P$9&gt;='Detalle'!$G618),1,"")</x:f>
      </x:c>
      <x:c r="Q1270" s="68"/>
      <x:c r="R1270" s="67" t="str">
        <x:f>IF('Detalle'!M618="","",'Detalle'!M618)</x:f>
      </x:c>
      <x:c r="S1270" s="67" t="str">
        <x:f>IF('Detalle'!N618="","",'Detalle'!N618)</x:f>
      </x:c>
    </x:row>
    <x:row r="1271" ht="16" customHeight="1">
      <x:c r="A1271" s="56" t="str">
        <x:v>PUS04.001</x:v>
      </x:c>
      <x:c r="B1271" s="57" t="str">
        <x:v>Corregir logout offline o colgado</x:v>
      </x:c>
      <x:c r="C1271" s="63" t="str">
        <x:v>R</x:v>
      </x:c>
      <x:c r="D1271" s="65" t="str">
        <x:f>IF('Detalle'!L618="","",'Detalle'!L618)</x:f>
      </x:c>
      <x:c r="E1271" s="60" t="str"/>
      <x:c r="F1271" s="32" t="str">
        <x:f>IF(OR('Detalle'!$J618="",'Detalle'!$K618="",'Detalle'!$L618=""),"",IF(AND(F$8&lt;='Detalle'!$K618,F$9&gt;='Detalle'!$J618),1,""))</x:f>
      </x:c>
      <x:c r="G1271" s="32" t="str">
        <x:f>IF(OR('Detalle'!$J618="",'Detalle'!$K618="",'Detalle'!$L618=""),"",IF(AND(G$8&lt;='Detalle'!$K618,G$9&gt;='Detalle'!$J618),1,""))</x:f>
      </x:c>
      <x:c r="H1271" s="32" t="str">
        <x:f>IF(OR('Detalle'!$J618="",'Detalle'!$K618="",'Detalle'!$L618=""),"",IF(AND(H$8&lt;='Detalle'!$K618,H$9&gt;='Detalle'!$J618),1,""))</x:f>
      </x:c>
      <x:c r="I1271" s="32" t="str">
        <x:f>IF(OR('Detalle'!$J618="",'Detalle'!$K618="",'Detalle'!$L618=""),"",IF(AND(I$8&lt;='Detalle'!$K618,I$9&gt;='Detalle'!$J618),1,""))</x:f>
      </x:c>
      <x:c r="J1271" s="32" t="str">
        <x:f>IF(OR('Detalle'!$J618="",'Detalle'!$K618="",'Detalle'!$L618=""),"",IF(AND(J$8&lt;='Detalle'!$K618,J$9&gt;='Detalle'!$J618),1,""))</x:f>
      </x:c>
      <x:c r="K1271" s="32" t="str">
        <x:f>IF(OR('Detalle'!$J618="",'Detalle'!$K618="",'Detalle'!$L618=""),"",IF(AND(K$8&lt;='Detalle'!$K618,K$9&gt;='Detalle'!$J618),1,""))</x:f>
      </x:c>
      <x:c r="L1271" s="32" t="str">
        <x:f>IF(OR('Detalle'!$J618="",'Detalle'!$K618="",'Detalle'!$L618=""),"",IF(AND(L$8&lt;='Detalle'!$K618,L$9&gt;='Detalle'!$J618),1,""))</x:f>
      </x:c>
      <x:c r="M1271" s="32" t="str">
        <x:f>IF(OR('Detalle'!$J618="",'Detalle'!$K618="",'Detalle'!$L618=""),"",IF(AND(M$8&lt;='Detalle'!$K618,M$9&gt;='Detalle'!$J618),1,""))</x:f>
      </x:c>
      <x:c r="N1271" s="32" t="str">
        <x:f>IF(OR('Detalle'!$J618="",'Detalle'!$K618="",'Detalle'!$L618=""),"",IF(AND(N$8&lt;='Detalle'!$K618,N$9&gt;='Detalle'!$J618),1,""))</x:f>
      </x:c>
      <x:c r="O1271" s="32" t="str">
        <x:f>IF(OR('Detalle'!$J618="",'Detalle'!$K618="",'Detalle'!$L618=""),"",IF(AND(O$8&lt;='Detalle'!$K618,O$9&gt;='Detalle'!$J618),1,""))</x:f>
      </x:c>
      <x:c r="P1271" s="32" t="str">
        <x:f>IF(OR('Detalle'!$J618="",'Detalle'!$K618="",'Detalle'!$L618=""),"",IF(AND(P$8&lt;='Detalle'!$K618,P$9&gt;='Detalle'!$J618),1,""))</x:f>
      </x:c>
      <x:c r="Q1271" s="68"/>
      <x:c r="R1271" s="67" t="str"/>
      <x:c r="S1271" s="67" t="str"/>
    </x:row>
    <x:row r="1272" ht="16" customHeight="1">
      <x:c r="A1272" s="56" t="str">
        <x:v>PUS04.002</x:v>
      </x:c>
      <x:c r="B1272" s="57" t="str">
        <x:v>Corregir reset tardío entre cuentas</x:v>
      </x:c>
      <x:c r="C1272" s="62" t="str">
        <x:v>E</x:v>
      </x:c>
      <x:c r="D1272" s="64" t="n">
        <x:f>'Detalle'!I619</x:f>
        <x:v>1</x:v>
      </x:c>
      <x:c r="E1272" s="60" t="str">
        <x:f>'Detalle'!F619</x:f>
        <x:v>Completado</x:v>
      </x:c>
      <x:c r="F1272" s="32" t="str">
        <x:f>IF(AND(F$8&lt;='Detalle'!$H619,F$9&gt;='Detalle'!$G619),1,"")</x:f>
      </x:c>
      <x:c r="G1272" s="32" t="str">
        <x:f>IF(AND(G$8&lt;='Detalle'!$H619,G$9&gt;='Detalle'!$G619),1,"")</x:f>
      </x:c>
      <x:c r="H1272" s="32" t="str">
        <x:f>IF(AND(H$8&lt;='Detalle'!$H619,H$9&gt;='Detalle'!$G619),1,"")</x:f>
      </x:c>
      <x:c r="I1272" s="32" t="str">
        <x:f>IF(AND(I$8&lt;='Detalle'!$H619,I$9&gt;='Detalle'!$G619),1,"")</x:f>
      </x:c>
      <x:c r="J1272" s="32" t="n">
        <x:f>IF(AND(J$8&lt;='Detalle'!$H619,J$9&gt;='Detalle'!$G619),1,"")</x:f>
        <x:v>1</x:v>
      </x:c>
      <x:c r="K1272" s="32" t="str">
        <x:f>IF(AND(K$8&lt;='Detalle'!$H619,K$9&gt;='Detalle'!$G619),1,"")</x:f>
      </x:c>
      <x:c r="L1272" s="32" t="str">
        <x:f>IF(AND(L$8&lt;='Detalle'!$H619,L$9&gt;='Detalle'!$G619),1,"")</x:f>
      </x:c>
      <x:c r="M1272" s="32" t="str">
        <x:f>IF(AND(M$8&lt;='Detalle'!$H619,M$9&gt;='Detalle'!$G619),1,"")</x:f>
      </x:c>
      <x:c r="N1272" s="32" t="str">
        <x:f>IF(AND(N$8&lt;='Detalle'!$H619,N$9&gt;='Detalle'!$G619),1,"")</x:f>
      </x:c>
      <x:c r="O1272" s="32" t="str">
        <x:f>IF(AND(O$8&lt;='Detalle'!$H619,O$9&gt;='Detalle'!$G619),1,"")</x:f>
      </x:c>
      <x:c r="P1272" s="32" t="str">
        <x:f>IF(AND(P$8&lt;='Detalle'!$H619,P$9&gt;='Detalle'!$G619),1,"")</x:f>
      </x:c>
      <x:c r="Q1272" s="68"/>
      <x:c r="R1272" s="67" t="str">
        <x:f>IF('Detalle'!M619="","",'Detalle'!M619)</x:f>
      </x:c>
      <x:c r="S1272" s="67" t="str">
        <x:f>IF('Detalle'!N619="","",'Detalle'!N619)</x:f>
      </x:c>
    </x:row>
    <x:row r="1273" ht="16" customHeight="1">
      <x:c r="A1273" s="56" t="str">
        <x:v>PUS04.002</x:v>
      </x:c>
      <x:c r="B1273" s="57" t="str">
        <x:v>Corregir reset tardío entre cuentas</x:v>
      </x:c>
      <x:c r="C1273" s="63" t="str">
        <x:v>R</x:v>
      </x:c>
      <x:c r="D1273" s="65" t="str">
        <x:f>IF('Detalle'!L619="","",'Detalle'!L619)</x:f>
      </x:c>
      <x:c r="E1273" s="60" t="str"/>
      <x:c r="F1273" s="32" t="str">
        <x:f>IF(OR('Detalle'!$J619="",'Detalle'!$K619="",'Detalle'!$L619=""),"",IF(AND(F$8&lt;='Detalle'!$K619,F$9&gt;='Detalle'!$J619),1,""))</x:f>
      </x:c>
      <x:c r="G1273" s="32" t="str">
        <x:f>IF(OR('Detalle'!$J619="",'Detalle'!$K619="",'Detalle'!$L619=""),"",IF(AND(G$8&lt;='Detalle'!$K619,G$9&gt;='Detalle'!$J619),1,""))</x:f>
      </x:c>
      <x:c r="H1273" s="32" t="str">
        <x:f>IF(OR('Detalle'!$J619="",'Detalle'!$K619="",'Detalle'!$L619=""),"",IF(AND(H$8&lt;='Detalle'!$K619,H$9&gt;='Detalle'!$J619),1,""))</x:f>
      </x:c>
      <x:c r="I1273" s="32" t="str">
        <x:f>IF(OR('Detalle'!$J619="",'Detalle'!$K619="",'Detalle'!$L619=""),"",IF(AND(I$8&lt;='Detalle'!$K619,I$9&gt;='Detalle'!$J619),1,""))</x:f>
      </x:c>
      <x:c r="J1273" s="32" t="str">
        <x:f>IF(OR('Detalle'!$J619="",'Detalle'!$K619="",'Detalle'!$L619=""),"",IF(AND(J$8&lt;='Detalle'!$K619,J$9&gt;='Detalle'!$J619),1,""))</x:f>
      </x:c>
      <x:c r="K1273" s="32" t="str">
        <x:f>IF(OR('Detalle'!$J619="",'Detalle'!$K619="",'Detalle'!$L619=""),"",IF(AND(K$8&lt;='Detalle'!$K619,K$9&gt;='Detalle'!$J619),1,""))</x:f>
      </x:c>
      <x:c r="L1273" s="32" t="str">
        <x:f>IF(OR('Detalle'!$J619="",'Detalle'!$K619="",'Detalle'!$L619=""),"",IF(AND(L$8&lt;='Detalle'!$K619,L$9&gt;='Detalle'!$J619),1,""))</x:f>
      </x:c>
      <x:c r="M1273" s="32" t="str">
        <x:f>IF(OR('Detalle'!$J619="",'Detalle'!$K619="",'Detalle'!$L619=""),"",IF(AND(M$8&lt;='Detalle'!$K619,M$9&gt;='Detalle'!$J619),1,""))</x:f>
      </x:c>
      <x:c r="N1273" s="32" t="str">
        <x:f>IF(OR('Detalle'!$J619="",'Detalle'!$K619="",'Detalle'!$L619=""),"",IF(AND(N$8&lt;='Detalle'!$K619,N$9&gt;='Detalle'!$J619),1,""))</x:f>
      </x:c>
      <x:c r="O1273" s="32" t="str">
        <x:f>IF(OR('Detalle'!$J619="",'Detalle'!$K619="",'Detalle'!$L619=""),"",IF(AND(O$8&lt;='Detalle'!$K619,O$9&gt;='Detalle'!$J619),1,""))</x:f>
      </x:c>
      <x:c r="P1273" s="32" t="str">
        <x:f>IF(OR('Detalle'!$J619="",'Detalle'!$K619="",'Detalle'!$L619=""),"",IF(AND(P$8&lt;='Detalle'!$K619,P$9&gt;='Detalle'!$J619),1,""))</x:f>
      </x:c>
      <x:c r="Q1273" s="68"/>
      <x:c r="R1273" s="67" t="str"/>
      <x:c r="S1273" s="67" t="str"/>
    </x:row>
    <x:row r="1274" ht="16" customHeight="1">
      <x:c r="A1274" s="56" t="str">
        <x:v>PUS04.003</x:v>
      </x:c>
      <x:c r="B1274" s="57" t="str">
        <x:v>Corregir clasificación refresh_token_not_found</x:v>
      </x:c>
      <x:c r="C1274" s="62" t="str">
        <x:v>E</x:v>
      </x:c>
      <x:c r="D1274" s="64" t="n">
        <x:f>'Detalle'!I620</x:f>
        <x:v>1</x:v>
      </x:c>
      <x:c r="E1274" s="60" t="str">
        <x:f>'Detalle'!F620</x:f>
        <x:v>Completado</x:v>
      </x:c>
      <x:c r="F1274" s="32" t="str">
        <x:f>IF(AND(F$8&lt;='Detalle'!$H620,F$9&gt;='Detalle'!$G620),1,"")</x:f>
      </x:c>
      <x:c r="G1274" s="32" t="str">
        <x:f>IF(AND(G$8&lt;='Detalle'!$H620,G$9&gt;='Detalle'!$G620),1,"")</x:f>
      </x:c>
      <x:c r="H1274" s="32" t="str">
        <x:f>IF(AND(H$8&lt;='Detalle'!$H620,H$9&gt;='Detalle'!$G620),1,"")</x:f>
      </x:c>
      <x:c r="I1274" s="32" t="str">
        <x:f>IF(AND(I$8&lt;='Detalle'!$H620,I$9&gt;='Detalle'!$G620),1,"")</x:f>
      </x:c>
      <x:c r="J1274" s="32" t="n">
        <x:f>IF(AND(J$8&lt;='Detalle'!$H620,J$9&gt;='Detalle'!$G620),1,"")</x:f>
        <x:v>1</x:v>
      </x:c>
      <x:c r="K1274" s="32" t="str">
        <x:f>IF(AND(K$8&lt;='Detalle'!$H620,K$9&gt;='Detalle'!$G620),1,"")</x:f>
      </x:c>
      <x:c r="L1274" s="32" t="str">
        <x:f>IF(AND(L$8&lt;='Detalle'!$H620,L$9&gt;='Detalle'!$G620),1,"")</x:f>
      </x:c>
      <x:c r="M1274" s="32" t="str">
        <x:f>IF(AND(M$8&lt;='Detalle'!$H620,M$9&gt;='Detalle'!$G620),1,"")</x:f>
      </x:c>
      <x:c r="N1274" s="32" t="str">
        <x:f>IF(AND(N$8&lt;='Detalle'!$H620,N$9&gt;='Detalle'!$G620),1,"")</x:f>
      </x:c>
      <x:c r="O1274" s="32" t="str">
        <x:f>IF(AND(O$8&lt;='Detalle'!$H620,O$9&gt;='Detalle'!$G620),1,"")</x:f>
      </x:c>
      <x:c r="P1274" s="32" t="str">
        <x:f>IF(AND(P$8&lt;='Detalle'!$H620,P$9&gt;='Detalle'!$G620),1,"")</x:f>
      </x:c>
      <x:c r="Q1274" s="68"/>
      <x:c r="R1274" s="67" t="str">
        <x:f>IF('Detalle'!M620="","",'Detalle'!M620)</x:f>
      </x:c>
      <x:c r="S1274" s="67" t="str">
        <x:f>IF('Detalle'!N620="","",'Detalle'!N620)</x:f>
      </x:c>
    </x:row>
    <x:row r="1275" ht="16" customHeight="1">
      <x:c r="A1275" s="56" t="str">
        <x:v>PUS04.003</x:v>
      </x:c>
      <x:c r="B1275" s="57" t="str">
        <x:v>Corregir clasificación refresh_token_not_found</x:v>
      </x:c>
      <x:c r="C1275" s="63" t="str">
        <x:v>R</x:v>
      </x:c>
      <x:c r="D1275" s="65" t="str">
        <x:f>IF('Detalle'!L620="","",'Detalle'!L620)</x:f>
      </x:c>
      <x:c r="E1275" s="60" t="str"/>
      <x:c r="F1275" s="32" t="str">
        <x:f>IF(OR('Detalle'!$J620="",'Detalle'!$K620="",'Detalle'!$L620=""),"",IF(AND(F$8&lt;='Detalle'!$K620,F$9&gt;='Detalle'!$J620),1,""))</x:f>
      </x:c>
      <x:c r="G1275" s="32" t="str">
        <x:f>IF(OR('Detalle'!$J620="",'Detalle'!$K620="",'Detalle'!$L620=""),"",IF(AND(G$8&lt;='Detalle'!$K620,G$9&gt;='Detalle'!$J620),1,""))</x:f>
      </x:c>
      <x:c r="H1275" s="32" t="str">
        <x:f>IF(OR('Detalle'!$J620="",'Detalle'!$K620="",'Detalle'!$L620=""),"",IF(AND(H$8&lt;='Detalle'!$K620,H$9&gt;='Detalle'!$J620),1,""))</x:f>
      </x:c>
      <x:c r="I1275" s="32" t="str">
        <x:f>IF(OR('Detalle'!$J620="",'Detalle'!$K620="",'Detalle'!$L620=""),"",IF(AND(I$8&lt;='Detalle'!$K620,I$9&gt;='Detalle'!$J620),1,""))</x:f>
      </x:c>
      <x:c r="J1275" s="32" t="str">
        <x:f>IF(OR('Detalle'!$J620="",'Detalle'!$K620="",'Detalle'!$L620=""),"",IF(AND(J$8&lt;='Detalle'!$K620,J$9&gt;='Detalle'!$J620),1,""))</x:f>
      </x:c>
      <x:c r="K1275" s="32" t="str">
        <x:f>IF(OR('Detalle'!$J620="",'Detalle'!$K620="",'Detalle'!$L620=""),"",IF(AND(K$8&lt;='Detalle'!$K620,K$9&gt;='Detalle'!$J620),1,""))</x:f>
      </x:c>
      <x:c r="L1275" s="32" t="str">
        <x:f>IF(OR('Detalle'!$J620="",'Detalle'!$K620="",'Detalle'!$L620=""),"",IF(AND(L$8&lt;='Detalle'!$K620,L$9&gt;='Detalle'!$J620),1,""))</x:f>
      </x:c>
      <x:c r="M1275" s="32" t="str">
        <x:f>IF(OR('Detalle'!$J620="",'Detalle'!$K620="",'Detalle'!$L620=""),"",IF(AND(M$8&lt;='Detalle'!$K620,M$9&gt;='Detalle'!$J620),1,""))</x:f>
      </x:c>
      <x:c r="N1275" s="32" t="str">
        <x:f>IF(OR('Detalle'!$J620="",'Detalle'!$K620="",'Detalle'!$L620=""),"",IF(AND(N$8&lt;='Detalle'!$K620,N$9&gt;='Detalle'!$J620),1,""))</x:f>
      </x:c>
      <x:c r="O1275" s="32" t="str">
        <x:f>IF(OR('Detalle'!$J620="",'Detalle'!$K620="",'Detalle'!$L620=""),"",IF(AND(O$8&lt;='Detalle'!$K620,O$9&gt;='Detalle'!$J620),1,""))</x:f>
      </x:c>
      <x:c r="P1275" s="32" t="str">
        <x:f>IF(OR('Detalle'!$J620="",'Detalle'!$K620="",'Detalle'!$L620=""),"",IF(AND(P$8&lt;='Detalle'!$K620,P$9&gt;='Detalle'!$J620),1,""))</x:f>
      </x:c>
      <x:c r="Q1275" s="68"/>
      <x:c r="R1275" s="67" t="str"/>
      <x:c r="S1275" s="67" t="str"/>
    </x:row>
    <x:row r="1276" ht="16" customHeight="1">
      <x:c r="A1276" s="56" t="str">
        <x:v>PUS04.004</x:v>
      </x:c>
      <x:c r="B1276" s="57" t="str">
        <x:v>Corregir recuperación de diálogo de permiso</x:v>
      </x:c>
      <x:c r="C1276" s="62" t="str">
        <x:v>E</x:v>
      </x:c>
      <x:c r="D1276" s="64" t="n">
        <x:f>'Detalle'!I621</x:f>
        <x:v>1</x:v>
      </x:c>
      <x:c r="E1276" s="60" t="str">
        <x:f>'Detalle'!F621</x:f>
        <x:v>Completado</x:v>
      </x:c>
      <x:c r="F1276" s="32" t="str">
        <x:f>IF(AND(F$8&lt;='Detalle'!$H621,F$9&gt;='Detalle'!$G621),1,"")</x:f>
      </x:c>
      <x:c r="G1276" s="32" t="str">
        <x:f>IF(AND(G$8&lt;='Detalle'!$H621,G$9&gt;='Detalle'!$G621),1,"")</x:f>
      </x:c>
      <x:c r="H1276" s="32" t="str">
        <x:f>IF(AND(H$8&lt;='Detalle'!$H621,H$9&gt;='Detalle'!$G621),1,"")</x:f>
      </x:c>
      <x:c r="I1276" s="32" t="str">
        <x:f>IF(AND(I$8&lt;='Detalle'!$H621,I$9&gt;='Detalle'!$G621),1,"")</x:f>
      </x:c>
      <x:c r="J1276" s="32" t="n">
        <x:f>IF(AND(J$8&lt;='Detalle'!$H621,J$9&gt;='Detalle'!$G621),1,"")</x:f>
        <x:v>1</x:v>
      </x:c>
      <x:c r="K1276" s="32" t="str">
        <x:f>IF(AND(K$8&lt;='Detalle'!$H621,K$9&gt;='Detalle'!$G621),1,"")</x:f>
      </x:c>
      <x:c r="L1276" s="32" t="str">
        <x:f>IF(AND(L$8&lt;='Detalle'!$H621,L$9&gt;='Detalle'!$G621),1,"")</x:f>
      </x:c>
      <x:c r="M1276" s="32" t="str">
        <x:f>IF(AND(M$8&lt;='Detalle'!$H621,M$9&gt;='Detalle'!$G621),1,"")</x:f>
      </x:c>
      <x:c r="N1276" s="32" t="str">
        <x:f>IF(AND(N$8&lt;='Detalle'!$H621,N$9&gt;='Detalle'!$G621),1,"")</x:f>
      </x:c>
      <x:c r="O1276" s="32" t="str">
        <x:f>IF(AND(O$8&lt;='Detalle'!$H621,O$9&gt;='Detalle'!$G621),1,"")</x:f>
      </x:c>
      <x:c r="P1276" s="32" t="str">
        <x:f>IF(AND(P$8&lt;='Detalle'!$H621,P$9&gt;='Detalle'!$G621),1,"")</x:f>
      </x:c>
      <x:c r="Q1276" s="68"/>
      <x:c r="R1276" s="67" t="str">
        <x:f>IF('Detalle'!M621="","",'Detalle'!M621)</x:f>
      </x:c>
      <x:c r="S1276" s="67" t="str">
        <x:f>IF('Detalle'!N621="","",'Detalle'!N621)</x:f>
      </x:c>
    </x:row>
    <x:row r="1277" ht="16" customHeight="1">
      <x:c r="A1277" s="56" t="str">
        <x:v>PUS04.004</x:v>
      </x:c>
      <x:c r="B1277" s="57" t="str">
        <x:v>Corregir recuperación de diálogo de permiso</x:v>
      </x:c>
      <x:c r="C1277" s="63" t="str">
        <x:v>R</x:v>
      </x:c>
      <x:c r="D1277" s="65" t="str">
        <x:f>IF('Detalle'!L621="","",'Detalle'!L621)</x:f>
      </x:c>
      <x:c r="E1277" s="60" t="str"/>
      <x:c r="F1277" s="32" t="str">
        <x:f>IF(OR('Detalle'!$J621="",'Detalle'!$K621="",'Detalle'!$L621=""),"",IF(AND(F$8&lt;='Detalle'!$K621,F$9&gt;='Detalle'!$J621),1,""))</x:f>
      </x:c>
      <x:c r="G1277" s="32" t="str">
        <x:f>IF(OR('Detalle'!$J621="",'Detalle'!$K621="",'Detalle'!$L621=""),"",IF(AND(G$8&lt;='Detalle'!$K621,G$9&gt;='Detalle'!$J621),1,""))</x:f>
      </x:c>
      <x:c r="H1277" s="32" t="str">
        <x:f>IF(OR('Detalle'!$J621="",'Detalle'!$K621="",'Detalle'!$L621=""),"",IF(AND(H$8&lt;='Detalle'!$K621,H$9&gt;='Detalle'!$J621),1,""))</x:f>
      </x:c>
      <x:c r="I1277" s="32" t="str">
        <x:f>IF(OR('Detalle'!$J621="",'Detalle'!$K621="",'Detalle'!$L621=""),"",IF(AND(I$8&lt;='Detalle'!$K621,I$9&gt;='Detalle'!$J621),1,""))</x:f>
      </x:c>
      <x:c r="J1277" s="32" t="str">
        <x:f>IF(OR('Detalle'!$J621="",'Detalle'!$K621="",'Detalle'!$L621=""),"",IF(AND(J$8&lt;='Detalle'!$K621,J$9&gt;='Detalle'!$J621),1,""))</x:f>
      </x:c>
      <x:c r="K1277" s="32" t="str">
        <x:f>IF(OR('Detalle'!$J621="",'Detalle'!$K621="",'Detalle'!$L621=""),"",IF(AND(K$8&lt;='Detalle'!$K621,K$9&gt;='Detalle'!$J621),1,""))</x:f>
      </x:c>
      <x:c r="L1277" s="32" t="str">
        <x:f>IF(OR('Detalle'!$J621="",'Detalle'!$K621="",'Detalle'!$L621=""),"",IF(AND(L$8&lt;='Detalle'!$K621,L$9&gt;='Detalle'!$J621),1,""))</x:f>
      </x:c>
      <x:c r="M1277" s="32" t="str">
        <x:f>IF(OR('Detalle'!$J621="",'Detalle'!$K621="",'Detalle'!$L621=""),"",IF(AND(M$8&lt;='Detalle'!$K621,M$9&gt;='Detalle'!$J621),1,""))</x:f>
      </x:c>
      <x:c r="N1277" s="32" t="str">
        <x:f>IF(OR('Detalle'!$J621="",'Detalle'!$K621="",'Detalle'!$L621=""),"",IF(AND(N$8&lt;='Detalle'!$K621,N$9&gt;='Detalle'!$J621),1,""))</x:f>
      </x:c>
      <x:c r="O1277" s="32" t="str">
        <x:f>IF(OR('Detalle'!$J621="",'Detalle'!$K621="",'Detalle'!$L621=""),"",IF(AND(O$8&lt;='Detalle'!$K621,O$9&gt;='Detalle'!$J621),1,""))</x:f>
      </x:c>
      <x:c r="P1277" s="32" t="str">
        <x:f>IF(OR('Detalle'!$J621="",'Detalle'!$K621="",'Detalle'!$L621=""),"",IF(AND(P$8&lt;='Detalle'!$K621,P$9&gt;='Detalle'!$J621),1,""))</x:f>
      </x:c>
      <x:c r="Q1277" s="68"/>
      <x:c r="R1277" s="67" t="str"/>
      <x:c r="S1277" s="67" t="str"/>
    </x:row>
    <x:row r="1278" ht="16" customHeight="1">
      <x:c r="A1278" s="56" t="str">
        <x:v>PUS04.005</x:v>
      </x:c>
      <x:c r="B1278" s="57" t="str">
        <x:v>Usar promptOnce al refrescar permiso</x:v>
      </x:c>
      <x:c r="C1278" s="62" t="str">
        <x:v>E</x:v>
      </x:c>
      <x:c r="D1278" s="64" t="n">
        <x:f>'Detalle'!I622</x:f>
        <x:v>1</x:v>
      </x:c>
      <x:c r="E1278" s="60" t="str">
        <x:f>'Detalle'!F622</x:f>
        <x:v>Completado</x:v>
      </x:c>
      <x:c r="F1278" s="32" t="str">
        <x:f>IF(AND(F$8&lt;='Detalle'!$H622,F$9&gt;='Detalle'!$G622),1,"")</x:f>
      </x:c>
      <x:c r="G1278" s="32" t="str">
        <x:f>IF(AND(G$8&lt;='Detalle'!$H622,G$9&gt;='Detalle'!$G622),1,"")</x:f>
      </x:c>
      <x:c r="H1278" s="32" t="str">
        <x:f>IF(AND(H$8&lt;='Detalle'!$H622,H$9&gt;='Detalle'!$G622),1,"")</x:f>
      </x:c>
      <x:c r="I1278" s="32" t="str">
        <x:f>IF(AND(I$8&lt;='Detalle'!$H622,I$9&gt;='Detalle'!$G622),1,"")</x:f>
      </x:c>
      <x:c r="J1278" s="32" t="n">
        <x:f>IF(AND(J$8&lt;='Detalle'!$H622,J$9&gt;='Detalle'!$G622),1,"")</x:f>
        <x:v>1</x:v>
      </x:c>
      <x:c r="K1278" s="32" t="str">
        <x:f>IF(AND(K$8&lt;='Detalle'!$H622,K$9&gt;='Detalle'!$G622),1,"")</x:f>
      </x:c>
      <x:c r="L1278" s="32" t="str">
        <x:f>IF(AND(L$8&lt;='Detalle'!$H622,L$9&gt;='Detalle'!$G622),1,"")</x:f>
      </x:c>
      <x:c r="M1278" s="32" t="str">
        <x:f>IF(AND(M$8&lt;='Detalle'!$H622,M$9&gt;='Detalle'!$G622),1,"")</x:f>
      </x:c>
      <x:c r="N1278" s="32" t="str">
        <x:f>IF(AND(N$8&lt;='Detalle'!$H622,N$9&gt;='Detalle'!$G622),1,"")</x:f>
      </x:c>
      <x:c r="O1278" s="32" t="str">
        <x:f>IF(AND(O$8&lt;='Detalle'!$H622,O$9&gt;='Detalle'!$G622),1,"")</x:f>
      </x:c>
      <x:c r="P1278" s="32" t="str">
        <x:f>IF(AND(P$8&lt;='Detalle'!$H622,P$9&gt;='Detalle'!$G622),1,"")</x:f>
      </x:c>
      <x:c r="Q1278" s="68"/>
      <x:c r="R1278" s="67" t="str">
        <x:f>IF('Detalle'!M622="","",'Detalle'!M622)</x:f>
      </x:c>
      <x:c r="S1278" s="67" t="str">
        <x:f>IF('Detalle'!N622="","",'Detalle'!N622)</x:f>
      </x:c>
    </x:row>
    <x:row r="1279" ht="16" customHeight="1">
      <x:c r="A1279" s="56" t="str">
        <x:v>PUS04.005</x:v>
      </x:c>
      <x:c r="B1279" s="57" t="str">
        <x:v>Usar promptOnce al refrescar permiso</x:v>
      </x:c>
      <x:c r="C1279" s="63" t="str">
        <x:v>R</x:v>
      </x:c>
      <x:c r="D1279" s="65" t="str">
        <x:f>IF('Detalle'!L622="","",'Detalle'!L622)</x:f>
      </x:c>
      <x:c r="E1279" s="60" t="str"/>
      <x:c r="F1279" s="32" t="str">
        <x:f>IF(OR('Detalle'!$J622="",'Detalle'!$K622="",'Detalle'!$L622=""),"",IF(AND(F$8&lt;='Detalle'!$K622,F$9&gt;='Detalle'!$J622),1,""))</x:f>
      </x:c>
      <x:c r="G1279" s="32" t="str">
        <x:f>IF(OR('Detalle'!$J622="",'Detalle'!$K622="",'Detalle'!$L622=""),"",IF(AND(G$8&lt;='Detalle'!$K622,G$9&gt;='Detalle'!$J622),1,""))</x:f>
      </x:c>
      <x:c r="H1279" s="32" t="str">
        <x:f>IF(OR('Detalle'!$J622="",'Detalle'!$K622="",'Detalle'!$L622=""),"",IF(AND(H$8&lt;='Detalle'!$K622,H$9&gt;='Detalle'!$J622),1,""))</x:f>
      </x:c>
      <x:c r="I1279" s="32" t="str">
        <x:f>IF(OR('Detalle'!$J622="",'Detalle'!$K622="",'Detalle'!$L622=""),"",IF(AND(I$8&lt;='Detalle'!$K622,I$9&gt;='Detalle'!$J622),1,""))</x:f>
      </x:c>
      <x:c r="J1279" s="32" t="str">
        <x:f>IF(OR('Detalle'!$J622="",'Detalle'!$K622="",'Detalle'!$L622=""),"",IF(AND(J$8&lt;='Detalle'!$K622,J$9&gt;='Detalle'!$J622),1,""))</x:f>
      </x:c>
      <x:c r="K1279" s="32" t="str">
        <x:f>IF(OR('Detalle'!$J622="",'Detalle'!$K622="",'Detalle'!$L622=""),"",IF(AND(K$8&lt;='Detalle'!$K622,K$9&gt;='Detalle'!$J622),1,""))</x:f>
      </x:c>
      <x:c r="L1279" s="32" t="str">
        <x:f>IF(OR('Detalle'!$J622="",'Detalle'!$K622="",'Detalle'!$L622=""),"",IF(AND(L$8&lt;='Detalle'!$K622,L$9&gt;='Detalle'!$J622),1,""))</x:f>
      </x:c>
      <x:c r="M1279" s="32" t="str">
        <x:f>IF(OR('Detalle'!$J622="",'Detalle'!$K622="",'Detalle'!$L622=""),"",IF(AND(M$8&lt;='Detalle'!$K622,M$9&gt;='Detalle'!$J622),1,""))</x:f>
      </x:c>
      <x:c r="N1279" s="32" t="str">
        <x:f>IF(OR('Detalle'!$J622="",'Detalle'!$K622="",'Detalle'!$L622=""),"",IF(AND(N$8&lt;='Detalle'!$K622,N$9&gt;='Detalle'!$J622),1,""))</x:f>
      </x:c>
      <x:c r="O1279" s="32" t="str">
        <x:f>IF(OR('Detalle'!$J622="",'Detalle'!$K622="",'Detalle'!$L622=""),"",IF(AND(O$8&lt;='Detalle'!$K622,O$9&gt;='Detalle'!$J622),1,""))</x:f>
      </x:c>
      <x:c r="P1279" s="32" t="str">
        <x:f>IF(OR('Detalle'!$J622="",'Detalle'!$K622="",'Detalle'!$L622=""),"",IF(AND(P$8&lt;='Detalle'!$K622,P$9&gt;='Detalle'!$J622),1,""))</x:f>
      </x:c>
      <x:c r="Q1279" s="68"/>
      <x:c r="R1279" s="67" t="str"/>
      <x:c r="S1279" s="67" t="str"/>
    </x:row>
    <x:row r="1280" ht="16" customHeight="1">
      <x:c r="A1280" s="56" t="str">
        <x:v>PUS04.006</x:v>
      </x:c>
      <x:c r="B1280" s="57" t="str">
        <x:v>Corregir inicialización nativa en segundo plano</x:v>
      </x:c>
      <x:c r="C1280" s="62" t="str">
        <x:v>E</x:v>
      </x:c>
      <x:c r="D1280" s="64" t="n">
        <x:f>'Detalle'!I623</x:f>
        <x:v>1</x:v>
      </x:c>
      <x:c r="E1280" s="60" t="str">
        <x:f>'Detalle'!F623</x:f>
        <x:v>Completado</x:v>
      </x:c>
      <x:c r="F1280" s="32" t="str">
        <x:f>IF(AND(F$8&lt;='Detalle'!$H623,F$9&gt;='Detalle'!$G623),1,"")</x:f>
      </x:c>
      <x:c r="G1280" s="32" t="str">
        <x:f>IF(AND(G$8&lt;='Detalle'!$H623,G$9&gt;='Detalle'!$G623),1,"")</x:f>
      </x:c>
      <x:c r="H1280" s="32" t="str">
        <x:f>IF(AND(H$8&lt;='Detalle'!$H623,H$9&gt;='Detalle'!$G623),1,"")</x:f>
      </x:c>
      <x:c r="I1280" s="32" t="str">
        <x:f>IF(AND(I$8&lt;='Detalle'!$H623,I$9&gt;='Detalle'!$G623),1,"")</x:f>
      </x:c>
      <x:c r="J1280" s="32" t="n">
        <x:f>IF(AND(J$8&lt;='Detalle'!$H623,J$9&gt;='Detalle'!$G623),1,"")</x:f>
        <x:v>1</x:v>
      </x:c>
      <x:c r="K1280" s="32" t="str">
        <x:f>IF(AND(K$8&lt;='Detalle'!$H623,K$9&gt;='Detalle'!$G623),1,"")</x:f>
      </x:c>
      <x:c r="L1280" s="32" t="str">
        <x:f>IF(AND(L$8&lt;='Detalle'!$H623,L$9&gt;='Detalle'!$G623),1,"")</x:f>
      </x:c>
      <x:c r="M1280" s="32" t="str">
        <x:f>IF(AND(M$8&lt;='Detalle'!$H623,M$9&gt;='Detalle'!$G623),1,"")</x:f>
      </x:c>
      <x:c r="N1280" s="32" t="str">
        <x:f>IF(AND(N$8&lt;='Detalle'!$H623,N$9&gt;='Detalle'!$G623),1,"")</x:f>
      </x:c>
      <x:c r="O1280" s="32" t="str">
        <x:f>IF(AND(O$8&lt;='Detalle'!$H623,O$9&gt;='Detalle'!$G623),1,"")</x:f>
      </x:c>
      <x:c r="P1280" s="32" t="str">
        <x:f>IF(AND(P$8&lt;='Detalle'!$H623,P$9&gt;='Detalle'!$G623),1,"")</x:f>
      </x:c>
      <x:c r="Q1280" s="68"/>
      <x:c r="R1280" s="67" t="str">
        <x:f>IF('Detalle'!M623="","",'Detalle'!M623)</x:f>
      </x:c>
      <x:c r="S1280" s="67" t="str">
        <x:f>IF('Detalle'!N623="","",'Detalle'!N623)</x:f>
      </x:c>
    </x:row>
    <x:row r="1281" ht="16" customHeight="1">
      <x:c r="A1281" s="56" t="str">
        <x:v>PUS04.006</x:v>
      </x:c>
      <x:c r="B1281" s="57" t="str">
        <x:v>Corregir inicialización nativa en segundo plano</x:v>
      </x:c>
      <x:c r="C1281" s="63" t="str">
        <x:v>R</x:v>
      </x:c>
      <x:c r="D1281" s="65" t="str">
        <x:f>IF('Detalle'!L623="","",'Detalle'!L623)</x:f>
      </x:c>
      <x:c r="E1281" s="60" t="str"/>
      <x:c r="F1281" s="32" t="str">
        <x:f>IF(OR('Detalle'!$J623="",'Detalle'!$K623="",'Detalle'!$L623=""),"",IF(AND(F$8&lt;='Detalle'!$K623,F$9&gt;='Detalle'!$J623),1,""))</x:f>
      </x:c>
      <x:c r="G1281" s="32" t="str">
        <x:f>IF(OR('Detalle'!$J623="",'Detalle'!$K623="",'Detalle'!$L623=""),"",IF(AND(G$8&lt;='Detalle'!$K623,G$9&gt;='Detalle'!$J623),1,""))</x:f>
      </x:c>
      <x:c r="H1281" s="32" t="str">
        <x:f>IF(OR('Detalle'!$J623="",'Detalle'!$K623="",'Detalle'!$L623=""),"",IF(AND(H$8&lt;='Detalle'!$K623,H$9&gt;='Detalle'!$J623),1,""))</x:f>
      </x:c>
      <x:c r="I1281" s="32" t="str">
        <x:f>IF(OR('Detalle'!$J623="",'Detalle'!$K623="",'Detalle'!$L623=""),"",IF(AND(I$8&lt;='Detalle'!$K623,I$9&gt;='Detalle'!$J623),1,""))</x:f>
      </x:c>
      <x:c r="J1281" s="32" t="str">
        <x:f>IF(OR('Detalle'!$J623="",'Detalle'!$K623="",'Detalle'!$L623=""),"",IF(AND(J$8&lt;='Detalle'!$K623,J$9&gt;='Detalle'!$J623),1,""))</x:f>
      </x:c>
      <x:c r="K1281" s="32" t="str">
        <x:f>IF(OR('Detalle'!$J623="",'Detalle'!$K623="",'Detalle'!$L623=""),"",IF(AND(K$8&lt;='Detalle'!$K623,K$9&gt;='Detalle'!$J623),1,""))</x:f>
      </x:c>
      <x:c r="L1281" s="32" t="str">
        <x:f>IF(OR('Detalle'!$J623="",'Detalle'!$K623="",'Detalle'!$L623=""),"",IF(AND(L$8&lt;='Detalle'!$K623,L$9&gt;='Detalle'!$J623),1,""))</x:f>
      </x:c>
      <x:c r="M1281" s="32" t="str">
        <x:f>IF(OR('Detalle'!$J623="",'Detalle'!$K623="",'Detalle'!$L623=""),"",IF(AND(M$8&lt;='Detalle'!$K623,M$9&gt;='Detalle'!$J623),1,""))</x:f>
      </x:c>
      <x:c r="N1281" s="32" t="str">
        <x:f>IF(OR('Detalle'!$J623="",'Detalle'!$K623="",'Detalle'!$L623=""),"",IF(AND(N$8&lt;='Detalle'!$K623,N$9&gt;='Detalle'!$J623),1,""))</x:f>
      </x:c>
      <x:c r="O1281" s="32" t="str">
        <x:f>IF(OR('Detalle'!$J623="",'Detalle'!$K623="",'Detalle'!$L623=""),"",IF(AND(O$8&lt;='Detalle'!$K623,O$9&gt;='Detalle'!$J623),1,""))</x:f>
      </x:c>
      <x:c r="P1281" s="32" t="str">
        <x:f>IF(OR('Detalle'!$J623="",'Detalle'!$K623="",'Detalle'!$L623=""),"",IF(AND(P$8&lt;='Detalle'!$K623,P$9&gt;='Detalle'!$J623),1,""))</x:f>
      </x:c>
      <x:c r="Q1281" s="68"/>
      <x:c r="R1281" s="67" t="str"/>
      <x:c r="S1281" s="67" t="str"/>
    </x:row>
    <x:row r="1282" ht="16" customHeight="1">
      <x:c r="A1282" s="56" t="str">
        <x:v>PUS04.007</x:v>
      </x:c>
      <x:c r="B1282" s="57" t="str">
        <x:v>Probar aviso con aplicación abierta</x:v>
      </x:c>
      <x:c r="C1282" s="62" t="str">
        <x:v>E</x:v>
      </x:c>
      <x:c r="D1282" s="64" t="n">
        <x:f>'Detalle'!I624</x:f>
        <x:v>1</x:v>
      </x:c>
      <x:c r="E1282" s="60" t="str">
        <x:f>'Detalle'!F624</x:f>
        <x:v>Completado</x:v>
      </x:c>
      <x:c r="F1282" s="32" t="str">
        <x:f>IF(AND(F$8&lt;='Detalle'!$H624,F$9&gt;='Detalle'!$G624),1,"")</x:f>
      </x:c>
      <x:c r="G1282" s="32" t="str">
        <x:f>IF(AND(G$8&lt;='Detalle'!$H624,G$9&gt;='Detalle'!$G624),1,"")</x:f>
      </x:c>
      <x:c r="H1282" s="32" t="str">
        <x:f>IF(AND(H$8&lt;='Detalle'!$H624,H$9&gt;='Detalle'!$G624),1,"")</x:f>
      </x:c>
      <x:c r="I1282" s="32" t="str">
        <x:f>IF(AND(I$8&lt;='Detalle'!$H624,I$9&gt;='Detalle'!$G624),1,"")</x:f>
      </x:c>
      <x:c r="J1282" s="32" t="n">
        <x:f>IF(AND(J$8&lt;='Detalle'!$H624,J$9&gt;='Detalle'!$G624),1,"")</x:f>
        <x:v>1</x:v>
      </x:c>
      <x:c r="K1282" s="32" t="str">
        <x:f>IF(AND(K$8&lt;='Detalle'!$H624,K$9&gt;='Detalle'!$G624),1,"")</x:f>
      </x:c>
      <x:c r="L1282" s="32" t="str">
        <x:f>IF(AND(L$8&lt;='Detalle'!$H624,L$9&gt;='Detalle'!$G624),1,"")</x:f>
      </x:c>
      <x:c r="M1282" s="32" t="str">
        <x:f>IF(AND(M$8&lt;='Detalle'!$H624,M$9&gt;='Detalle'!$G624),1,"")</x:f>
      </x:c>
      <x:c r="N1282" s="32" t="str">
        <x:f>IF(AND(N$8&lt;='Detalle'!$H624,N$9&gt;='Detalle'!$G624),1,"")</x:f>
      </x:c>
      <x:c r="O1282" s="32" t="str">
        <x:f>IF(AND(O$8&lt;='Detalle'!$H624,O$9&gt;='Detalle'!$G624),1,"")</x:f>
      </x:c>
      <x:c r="P1282" s="32" t="str">
        <x:f>IF(AND(P$8&lt;='Detalle'!$H624,P$9&gt;='Detalle'!$G624),1,"")</x:f>
      </x:c>
      <x:c r="Q1282" s="68"/>
      <x:c r="R1282" s="67" t="str">
        <x:f>IF('Detalle'!M624="","",'Detalle'!M624)</x:f>
      </x:c>
      <x:c r="S1282" s="67" t="str">
        <x:f>IF('Detalle'!N624="","",'Detalle'!N624)</x:f>
      </x:c>
    </x:row>
    <x:row r="1283" ht="16" customHeight="1">
      <x:c r="A1283" s="56" t="str">
        <x:v>PUS04.007</x:v>
      </x:c>
      <x:c r="B1283" s="57" t="str">
        <x:v>Probar aviso con aplicación abierta</x:v>
      </x:c>
      <x:c r="C1283" s="63" t="str">
        <x:v>R</x:v>
      </x:c>
      <x:c r="D1283" s="65" t="str">
        <x:f>IF('Detalle'!L624="","",'Detalle'!L624)</x:f>
      </x:c>
      <x:c r="E1283" s="60" t="str"/>
      <x:c r="F1283" s="32" t="str">
        <x:f>IF(OR('Detalle'!$J624="",'Detalle'!$K624="",'Detalle'!$L624=""),"",IF(AND(F$8&lt;='Detalle'!$K624,F$9&gt;='Detalle'!$J624),1,""))</x:f>
      </x:c>
      <x:c r="G1283" s="32" t="str">
        <x:f>IF(OR('Detalle'!$J624="",'Detalle'!$K624="",'Detalle'!$L624=""),"",IF(AND(G$8&lt;='Detalle'!$K624,G$9&gt;='Detalle'!$J624),1,""))</x:f>
      </x:c>
      <x:c r="H1283" s="32" t="str">
        <x:f>IF(OR('Detalle'!$J624="",'Detalle'!$K624="",'Detalle'!$L624=""),"",IF(AND(H$8&lt;='Detalle'!$K624,H$9&gt;='Detalle'!$J624),1,""))</x:f>
      </x:c>
      <x:c r="I1283" s="32" t="str">
        <x:f>IF(OR('Detalle'!$J624="",'Detalle'!$K624="",'Detalle'!$L624=""),"",IF(AND(I$8&lt;='Detalle'!$K624,I$9&gt;='Detalle'!$J624),1,""))</x:f>
      </x:c>
      <x:c r="J1283" s="32" t="str">
        <x:f>IF(OR('Detalle'!$J624="",'Detalle'!$K624="",'Detalle'!$L624=""),"",IF(AND(J$8&lt;='Detalle'!$K624,J$9&gt;='Detalle'!$J624),1,""))</x:f>
      </x:c>
      <x:c r="K1283" s="32" t="str">
        <x:f>IF(OR('Detalle'!$J624="",'Detalle'!$K624="",'Detalle'!$L624=""),"",IF(AND(K$8&lt;='Detalle'!$K624,K$9&gt;='Detalle'!$J624),1,""))</x:f>
      </x:c>
      <x:c r="L1283" s="32" t="str">
        <x:f>IF(OR('Detalle'!$J624="",'Detalle'!$K624="",'Detalle'!$L624=""),"",IF(AND(L$8&lt;='Detalle'!$K624,L$9&gt;='Detalle'!$J624),1,""))</x:f>
      </x:c>
      <x:c r="M1283" s="32" t="str">
        <x:f>IF(OR('Detalle'!$J624="",'Detalle'!$K624="",'Detalle'!$L624=""),"",IF(AND(M$8&lt;='Detalle'!$K624,M$9&gt;='Detalle'!$J624),1,""))</x:f>
      </x:c>
      <x:c r="N1283" s="32" t="str">
        <x:f>IF(OR('Detalle'!$J624="",'Detalle'!$K624="",'Detalle'!$L624=""),"",IF(AND(N$8&lt;='Detalle'!$K624,N$9&gt;='Detalle'!$J624),1,""))</x:f>
      </x:c>
      <x:c r="O1283" s="32" t="str">
        <x:f>IF(OR('Detalle'!$J624="",'Detalle'!$K624="",'Detalle'!$L624=""),"",IF(AND(O$8&lt;='Detalle'!$K624,O$9&gt;='Detalle'!$J624),1,""))</x:f>
      </x:c>
      <x:c r="P1283" s="32" t="str">
        <x:f>IF(OR('Detalle'!$J624="",'Detalle'!$K624="",'Detalle'!$L624=""),"",IF(AND(P$8&lt;='Detalle'!$K624,P$9&gt;='Detalle'!$J624),1,""))</x:f>
      </x:c>
      <x:c r="Q1283" s="68"/>
      <x:c r="R1283" s="67" t="str"/>
      <x:c r="S1283" s="67" t="str"/>
    </x:row>
    <x:row r="1284" ht="16" customHeight="1">
      <x:c r="A1284" s="56" t="str">
        <x:v>PUS04.008</x:v>
      </x:c>
      <x:c r="B1284" s="57" t="str">
        <x:v>Probar aviso visible en segundo plano</x:v>
      </x:c>
      <x:c r="C1284" s="62" t="str">
        <x:v>E</x:v>
      </x:c>
      <x:c r="D1284" s="64" t="n">
        <x:f>'Detalle'!I625</x:f>
        <x:v>1</x:v>
      </x:c>
      <x:c r="E1284" s="60" t="str">
        <x:f>'Detalle'!F625</x:f>
        <x:v>Completado</x:v>
      </x:c>
      <x:c r="F1284" s="32" t="str">
        <x:f>IF(AND(F$8&lt;='Detalle'!$H625,F$9&gt;='Detalle'!$G625),1,"")</x:f>
      </x:c>
      <x:c r="G1284" s="32" t="str">
        <x:f>IF(AND(G$8&lt;='Detalle'!$H625,G$9&gt;='Detalle'!$G625),1,"")</x:f>
      </x:c>
      <x:c r="H1284" s="32" t="str">
        <x:f>IF(AND(H$8&lt;='Detalle'!$H625,H$9&gt;='Detalle'!$G625),1,"")</x:f>
      </x:c>
      <x:c r="I1284" s="32" t="str">
        <x:f>IF(AND(I$8&lt;='Detalle'!$H625,I$9&gt;='Detalle'!$G625),1,"")</x:f>
      </x:c>
      <x:c r="J1284" s="32" t="n">
        <x:f>IF(AND(J$8&lt;='Detalle'!$H625,J$9&gt;='Detalle'!$G625),1,"")</x:f>
        <x:v>1</x:v>
      </x:c>
      <x:c r="K1284" s="32" t="str">
        <x:f>IF(AND(K$8&lt;='Detalle'!$H625,K$9&gt;='Detalle'!$G625),1,"")</x:f>
      </x:c>
      <x:c r="L1284" s="32" t="str">
        <x:f>IF(AND(L$8&lt;='Detalle'!$H625,L$9&gt;='Detalle'!$G625),1,"")</x:f>
      </x:c>
      <x:c r="M1284" s="32" t="str">
        <x:f>IF(AND(M$8&lt;='Detalle'!$H625,M$9&gt;='Detalle'!$G625),1,"")</x:f>
      </x:c>
      <x:c r="N1284" s="32" t="str">
        <x:f>IF(AND(N$8&lt;='Detalle'!$H625,N$9&gt;='Detalle'!$G625),1,"")</x:f>
      </x:c>
      <x:c r="O1284" s="32" t="str">
        <x:f>IF(AND(O$8&lt;='Detalle'!$H625,O$9&gt;='Detalle'!$G625),1,"")</x:f>
      </x:c>
      <x:c r="P1284" s="32" t="str">
        <x:f>IF(AND(P$8&lt;='Detalle'!$H625,P$9&gt;='Detalle'!$G625),1,"")</x:f>
      </x:c>
      <x:c r="Q1284" s="68"/>
      <x:c r="R1284" s="67" t="str">
        <x:f>IF('Detalle'!M625="","",'Detalle'!M625)</x:f>
      </x:c>
      <x:c r="S1284" s="67" t="str">
        <x:f>IF('Detalle'!N625="","",'Detalle'!N625)</x:f>
      </x:c>
    </x:row>
    <x:row r="1285" ht="16" customHeight="1">
      <x:c r="A1285" s="56" t="str">
        <x:v>PUS04.008</x:v>
      </x:c>
      <x:c r="B1285" s="57" t="str">
        <x:v>Probar aviso visible en segundo plano</x:v>
      </x:c>
      <x:c r="C1285" s="63" t="str">
        <x:v>R</x:v>
      </x:c>
      <x:c r="D1285" s="65" t="str">
        <x:f>IF('Detalle'!L625="","",'Detalle'!L625)</x:f>
      </x:c>
      <x:c r="E1285" s="60" t="str"/>
      <x:c r="F1285" s="32" t="str">
        <x:f>IF(OR('Detalle'!$J625="",'Detalle'!$K625="",'Detalle'!$L625=""),"",IF(AND(F$8&lt;='Detalle'!$K625,F$9&gt;='Detalle'!$J625),1,""))</x:f>
      </x:c>
      <x:c r="G1285" s="32" t="str">
        <x:f>IF(OR('Detalle'!$J625="",'Detalle'!$K625="",'Detalle'!$L625=""),"",IF(AND(G$8&lt;='Detalle'!$K625,G$9&gt;='Detalle'!$J625),1,""))</x:f>
      </x:c>
      <x:c r="H1285" s="32" t="str">
        <x:f>IF(OR('Detalle'!$J625="",'Detalle'!$K625="",'Detalle'!$L625=""),"",IF(AND(H$8&lt;='Detalle'!$K625,H$9&gt;='Detalle'!$J625),1,""))</x:f>
      </x:c>
      <x:c r="I1285" s="32" t="str">
        <x:f>IF(OR('Detalle'!$J625="",'Detalle'!$K625="",'Detalle'!$L625=""),"",IF(AND(I$8&lt;='Detalle'!$K625,I$9&gt;='Detalle'!$J625),1,""))</x:f>
      </x:c>
      <x:c r="J1285" s="32" t="str">
        <x:f>IF(OR('Detalle'!$J625="",'Detalle'!$K625="",'Detalle'!$L625=""),"",IF(AND(J$8&lt;='Detalle'!$K625,J$9&gt;='Detalle'!$J625),1,""))</x:f>
      </x:c>
      <x:c r="K1285" s="32" t="str">
        <x:f>IF(OR('Detalle'!$J625="",'Detalle'!$K625="",'Detalle'!$L625=""),"",IF(AND(K$8&lt;='Detalle'!$K625,K$9&gt;='Detalle'!$J625),1,""))</x:f>
      </x:c>
      <x:c r="L1285" s="32" t="str">
        <x:f>IF(OR('Detalle'!$J625="",'Detalle'!$K625="",'Detalle'!$L625=""),"",IF(AND(L$8&lt;='Detalle'!$K625,L$9&gt;='Detalle'!$J625),1,""))</x:f>
      </x:c>
      <x:c r="M1285" s="32" t="str">
        <x:f>IF(OR('Detalle'!$J625="",'Detalle'!$K625="",'Detalle'!$L625=""),"",IF(AND(M$8&lt;='Detalle'!$K625,M$9&gt;='Detalle'!$J625),1,""))</x:f>
      </x:c>
      <x:c r="N1285" s="32" t="str">
        <x:f>IF(OR('Detalle'!$J625="",'Detalle'!$K625="",'Detalle'!$L625=""),"",IF(AND(N$8&lt;='Detalle'!$K625,N$9&gt;='Detalle'!$J625),1,""))</x:f>
      </x:c>
      <x:c r="O1285" s="32" t="str">
        <x:f>IF(OR('Detalle'!$J625="",'Detalle'!$K625="",'Detalle'!$L625=""),"",IF(AND(O$8&lt;='Detalle'!$K625,O$9&gt;='Detalle'!$J625),1,""))</x:f>
      </x:c>
      <x:c r="P1285" s="32" t="str">
        <x:f>IF(OR('Detalle'!$J625="",'Detalle'!$K625="",'Detalle'!$L625=""),"",IF(AND(P$8&lt;='Detalle'!$K625,P$9&gt;='Detalle'!$J625),1,""))</x:f>
      </x:c>
      <x:c r="Q1285" s="68"/>
      <x:c r="R1285" s="67" t="str"/>
      <x:c r="S1285" s="67" t="str"/>
    </x:row>
    <x:row r="1286" ht="16" customHeight="1">
      <x:c r="A1286" s="56" t="str">
        <x:v>PUS04.009</x:v>
      </x:c>
      <x:c r="B1286" s="57" t="str">
        <x:v>Probar aviso con proceso realmente cerrado</x:v>
      </x:c>
      <x:c r="C1286" s="62" t="str">
        <x:v>E</x:v>
      </x:c>
      <x:c r="D1286" s="64" t="n">
        <x:f>'Detalle'!I626</x:f>
        <x:v>1</x:v>
      </x:c>
      <x:c r="E1286" s="60" t="str">
        <x:f>'Detalle'!F626</x:f>
        <x:v>Completado</x:v>
      </x:c>
      <x:c r="F1286" s="32" t="str">
        <x:f>IF(AND(F$8&lt;='Detalle'!$H626,F$9&gt;='Detalle'!$G626),1,"")</x:f>
      </x:c>
      <x:c r="G1286" s="32" t="str">
        <x:f>IF(AND(G$8&lt;='Detalle'!$H626,G$9&gt;='Detalle'!$G626),1,"")</x:f>
      </x:c>
      <x:c r="H1286" s="32" t="str">
        <x:f>IF(AND(H$8&lt;='Detalle'!$H626,H$9&gt;='Detalle'!$G626),1,"")</x:f>
      </x:c>
      <x:c r="I1286" s="32" t="str">
        <x:f>IF(AND(I$8&lt;='Detalle'!$H626,I$9&gt;='Detalle'!$G626),1,"")</x:f>
      </x:c>
      <x:c r="J1286" s="32" t="n">
        <x:f>IF(AND(J$8&lt;='Detalle'!$H626,J$9&gt;='Detalle'!$G626),1,"")</x:f>
        <x:v>1</x:v>
      </x:c>
      <x:c r="K1286" s="32" t="str">
        <x:f>IF(AND(K$8&lt;='Detalle'!$H626,K$9&gt;='Detalle'!$G626),1,"")</x:f>
      </x:c>
      <x:c r="L1286" s="32" t="str">
        <x:f>IF(AND(L$8&lt;='Detalle'!$H626,L$9&gt;='Detalle'!$G626),1,"")</x:f>
      </x:c>
      <x:c r="M1286" s="32" t="str">
        <x:f>IF(AND(M$8&lt;='Detalle'!$H626,M$9&gt;='Detalle'!$G626),1,"")</x:f>
      </x:c>
      <x:c r="N1286" s="32" t="str">
        <x:f>IF(AND(N$8&lt;='Detalle'!$H626,N$9&gt;='Detalle'!$G626),1,"")</x:f>
      </x:c>
      <x:c r="O1286" s="32" t="str">
        <x:f>IF(AND(O$8&lt;='Detalle'!$H626,O$9&gt;='Detalle'!$G626),1,"")</x:f>
      </x:c>
      <x:c r="P1286" s="32" t="str">
        <x:f>IF(AND(P$8&lt;='Detalle'!$H626,P$9&gt;='Detalle'!$G626),1,"")</x:f>
      </x:c>
      <x:c r="Q1286" s="68"/>
      <x:c r="R1286" s="67" t="str">
        <x:f>IF('Detalle'!M626="","",'Detalle'!M626)</x:f>
      </x:c>
      <x:c r="S1286" s="67" t="str">
        <x:f>IF('Detalle'!N626="","",'Detalle'!N626)</x:f>
      </x:c>
    </x:row>
    <x:row r="1287" ht="16" customHeight="1">
      <x:c r="A1287" s="56" t="str">
        <x:v>PUS04.009</x:v>
      </x:c>
      <x:c r="B1287" s="57" t="str">
        <x:v>Probar aviso con proceso realmente cerrado</x:v>
      </x:c>
      <x:c r="C1287" s="63" t="str">
        <x:v>R</x:v>
      </x:c>
      <x:c r="D1287" s="65" t="str">
        <x:f>IF('Detalle'!L626="","",'Detalle'!L626)</x:f>
      </x:c>
      <x:c r="E1287" s="60" t="str"/>
      <x:c r="F1287" s="32" t="str">
        <x:f>IF(OR('Detalle'!$J626="",'Detalle'!$K626="",'Detalle'!$L626=""),"",IF(AND(F$8&lt;='Detalle'!$K626,F$9&gt;='Detalle'!$J626),1,""))</x:f>
      </x:c>
      <x:c r="G1287" s="32" t="str">
        <x:f>IF(OR('Detalle'!$J626="",'Detalle'!$K626="",'Detalle'!$L626=""),"",IF(AND(G$8&lt;='Detalle'!$K626,G$9&gt;='Detalle'!$J626),1,""))</x:f>
      </x:c>
      <x:c r="H1287" s="32" t="str">
        <x:f>IF(OR('Detalle'!$J626="",'Detalle'!$K626="",'Detalle'!$L626=""),"",IF(AND(H$8&lt;='Detalle'!$K626,H$9&gt;='Detalle'!$J626),1,""))</x:f>
      </x:c>
      <x:c r="I1287" s="32" t="str">
        <x:f>IF(OR('Detalle'!$J626="",'Detalle'!$K626="",'Detalle'!$L626=""),"",IF(AND(I$8&lt;='Detalle'!$K626,I$9&gt;='Detalle'!$J626),1,""))</x:f>
      </x:c>
      <x:c r="J1287" s="32" t="str">
        <x:f>IF(OR('Detalle'!$J626="",'Detalle'!$K626="",'Detalle'!$L626=""),"",IF(AND(J$8&lt;='Detalle'!$K626,J$9&gt;='Detalle'!$J626),1,""))</x:f>
      </x:c>
      <x:c r="K1287" s="32" t="str">
        <x:f>IF(OR('Detalle'!$J626="",'Detalle'!$K626="",'Detalle'!$L626=""),"",IF(AND(K$8&lt;='Detalle'!$K626,K$9&gt;='Detalle'!$J626),1,""))</x:f>
      </x:c>
      <x:c r="L1287" s="32" t="str">
        <x:f>IF(OR('Detalle'!$J626="",'Detalle'!$K626="",'Detalle'!$L626=""),"",IF(AND(L$8&lt;='Detalle'!$K626,L$9&gt;='Detalle'!$J626),1,""))</x:f>
      </x:c>
      <x:c r="M1287" s="32" t="str">
        <x:f>IF(OR('Detalle'!$J626="",'Detalle'!$K626="",'Detalle'!$L626=""),"",IF(AND(M$8&lt;='Detalle'!$K626,M$9&gt;='Detalle'!$J626),1,""))</x:f>
      </x:c>
      <x:c r="N1287" s="32" t="str">
        <x:f>IF(OR('Detalle'!$J626="",'Detalle'!$K626="",'Detalle'!$L626=""),"",IF(AND(N$8&lt;='Detalle'!$K626,N$9&gt;='Detalle'!$J626),1,""))</x:f>
      </x:c>
      <x:c r="O1287" s="32" t="str">
        <x:f>IF(OR('Detalle'!$J626="",'Detalle'!$K626="",'Detalle'!$L626=""),"",IF(AND(O$8&lt;='Detalle'!$K626,O$9&gt;='Detalle'!$J626),1,""))</x:f>
      </x:c>
      <x:c r="P1287" s="32" t="str">
        <x:f>IF(OR('Detalle'!$J626="",'Detalle'!$K626="",'Detalle'!$L626=""),"",IF(AND(P$8&lt;='Detalle'!$K626,P$9&gt;='Detalle'!$J626),1,""))</x:f>
      </x:c>
      <x:c r="Q1287" s="68"/>
      <x:c r="R1287" s="67" t="str"/>
      <x:c r="S1287" s="67" t="str"/>
    </x:row>
    <x:row r="1288" ht="16" customHeight="1">
      <x:c r="A1288" s="56" t="str">
        <x:v>PUS04.010</x:v>
      </x:c>
      <x:c r="B1288" s="57" t="str">
        <x:v>Verificar apertura y read_at de avisos</x:v>
      </x:c>
      <x:c r="C1288" s="62" t="str">
        <x:v>E</x:v>
      </x:c>
      <x:c r="D1288" s="64" t="n">
        <x:f>'Detalle'!I627</x:f>
        <x:v>1</x:v>
      </x:c>
      <x:c r="E1288" s="60" t="str">
        <x:f>'Detalle'!F627</x:f>
        <x:v>Completado</x:v>
      </x:c>
      <x:c r="F1288" s="32" t="str">
        <x:f>IF(AND(F$8&lt;='Detalle'!$H627,F$9&gt;='Detalle'!$G627),1,"")</x:f>
      </x:c>
      <x:c r="G1288" s="32" t="str">
        <x:f>IF(AND(G$8&lt;='Detalle'!$H627,G$9&gt;='Detalle'!$G627),1,"")</x:f>
      </x:c>
      <x:c r="H1288" s="32" t="str">
        <x:f>IF(AND(H$8&lt;='Detalle'!$H627,H$9&gt;='Detalle'!$G627),1,"")</x:f>
      </x:c>
      <x:c r="I1288" s="32" t="str">
        <x:f>IF(AND(I$8&lt;='Detalle'!$H627,I$9&gt;='Detalle'!$G627),1,"")</x:f>
      </x:c>
      <x:c r="J1288" s="32" t="n">
        <x:f>IF(AND(J$8&lt;='Detalle'!$H627,J$9&gt;='Detalle'!$G627),1,"")</x:f>
        <x:v>1</x:v>
      </x:c>
      <x:c r="K1288" s="32" t="str">
        <x:f>IF(AND(K$8&lt;='Detalle'!$H627,K$9&gt;='Detalle'!$G627),1,"")</x:f>
      </x:c>
      <x:c r="L1288" s="32" t="str">
        <x:f>IF(AND(L$8&lt;='Detalle'!$H627,L$9&gt;='Detalle'!$G627),1,"")</x:f>
      </x:c>
      <x:c r="M1288" s="32" t="str">
        <x:f>IF(AND(M$8&lt;='Detalle'!$H627,M$9&gt;='Detalle'!$G627),1,"")</x:f>
      </x:c>
      <x:c r="N1288" s="32" t="str">
        <x:f>IF(AND(N$8&lt;='Detalle'!$H627,N$9&gt;='Detalle'!$G627),1,"")</x:f>
      </x:c>
      <x:c r="O1288" s="32" t="str">
        <x:f>IF(AND(O$8&lt;='Detalle'!$H627,O$9&gt;='Detalle'!$G627),1,"")</x:f>
      </x:c>
      <x:c r="P1288" s="32" t="str">
        <x:f>IF(AND(P$8&lt;='Detalle'!$H627,P$9&gt;='Detalle'!$G627),1,"")</x:f>
      </x:c>
      <x:c r="Q1288" s="68"/>
      <x:c r="R1288" s="67" t="str">
        <x:f>IF('Detalle'!M627="","",'Detalle'!M627)</x:f>
      </x:c>
      <x:c r="S1288" s="67" t="str">
        <x:f>IF('Detalle'!N627="","",'Detalle'!N627)</x:f>
      </x:c>
    </x:row>
    <x:row r="1289" ht="16" customHeight="1">
      <x:c r="A1289" s="56" t="str">
        <x:v>PUS04.010</x:v>
      </x:c>
      <x:c r="B1289" s="57" t="str">
        <x:v>Verificar apertura y read_at de avisos</x:v>
      </x:c>
      <x:c r="C1289" s="63" t="str">
        <x:v>R</x:v>
      </x:c>
      <x:c r="D1289" s="65" t="str">
        <x:f>IF('Detalle'!L627="","",'Detalle'!L627)</x:f>
      </x:c>
      <x:c r="E1289" s="60" t="str"/>
      <x:c r="F1289" s="32" t="str">
        <x:f>IF(OR('Detalle'!$J627="",'Detalle'!$K627="",'Detalle'!$L627=""),"",IF(AND(F$8&lt;='Detalle'!$K627,F$9&gt;='Detalle'!$J627),1,""))</x:f>
      </x:c>
      <x:c r="G1289" s="32" t="str">
        <x:f>IF(OR('Detalle'!$J627="",'Detalle'!$K627="",'Detalle'!$L627=""),"",IF(AND(G$8&lt;='Detalle'!$K627,G$9&gt;='Detalle'!$J627),1,""))</x:f>
      </x:c>
      <x:c r="H1289" s="32" t="str">
        <x:f>IF(OR('Detalle'!$J627="",'Detalle'!$K627="",'Detalle'!$L627=""),"",IF(AND(H$8&lt;='Detalle'!$K627,H$9&gt;='Detalle'!$J627),1,""))</x:f>
      </x:c>
      <x:c r="I1289" s="32" t="str">
        <x:f>IF(OR('Detalle'!$J627="",'Detalle'!$K627="",'Detalle'!$L627=""),"",IF(AND(I$8&lt;='Detalle'!$K627,I$9&gt;='Detalle'!$J627),1,""))</x:f>
      </x:c>
      <x:c r="J1289" s="32" t="str">
        <x:f>IF(OR('Detalle'!$J627="",'Detalle'!$K627="",'Detalle'!$L627=""),"",IF(AND(J$8&lt;='Detalle'!$K627,J$9&gt;='Detalle'!$J627),1,""))</x:f>
      </x:c>
      <x:c r="K1289" s="32" t="str">
        <x:f>IF(OR('Detalle'!$J627="",'Detalle'!$K627="",'Detalle'!$L627=""),"",IF(AND(K$8&lt;='Detalle'!$K627,K$9&gt;='Detalle'!$J627),1,""))</x:f>
      </x:c>
      <x:c r="L1289" s="32" t="str">
        <x:f>IF(OR('Detalle'!$J627="",'Detalle'!$K627="",'Detalle'!$L627=""),"",IF(AND(L$8&lt;='Detalle'!$K627,L$9&gt;='Detalle'!$J627),1,""))</x:f>
      </x:c>
      <x:c r="M1289" s="32" t="str">
        <x:f>IF(OR('Detalle'!$J627="",'Detalle'!$K627="",'Detalle'!$L627=""),"",IF(AND(M$8&lt;='Detalle'!$K627,M$9&gt;='Detalle'!$J627),1,""))</x:f>
      </x:c>
      <x:c r="N1289" s="32" t="str">
        <x:f>IF(OR('Detalle'!$J627="",'Detalle'!$K627="",'Detalle'!$L627=""),"",IF(AND(N$8&lt;='Detalle'!$K627,N$9&gt;='Detalle'!$J627),1,""))</x:f>
      </x:c>
      <x:c r="O1289" s="32" t="str">
        <x:f>IF(OR('Detalle'!$J627="",'Detalle'!$K627="",'Detalle'!$L627=""),"",IF(AND(O$8&lt;='Detalle'!$K627,O$9&gt;='Detalle'!$J627),1,""))</x:f>
      </x:c>
      <x:c r="P1289" s="32" t="str">
        <x:f>IF(OR('Detalle'!$J627="",'Detalle'!$K627="",'Detalle'!$L627=""),"",IF(AND(P$8&lt;='Detalle'!$K627,P$9&gt;='Detalle'!$J627),1,""))</x:f>
      </x:c>
      <x:c r="Q1289" s="68"/>
      <x:c r="R1289" s="67" t="str"/>
      <x:c r="S1289" s="67" t="str"/>
    </x:row>
    <x:row r="1290" ht="16" customHeight="1">
      <x:c r="A1290" s="56" t="str">
        <x:v>PUS04.011</x:v>
      </x:c>
      <x:c r="B1290" s="57" t="str">
        <x:v>Limpiar cinco eventos de diagnóstico</x:v>
      </x:c>
      <x:c r="C1290" s="62" t="str">
        <x:v>E</x:v>
      </x:c>
      <x:c r="D1290" s="64" t="n">
        <x:f>'Detalle'!I628</x:f>
        <x:v>1</x:v>
      </x:c>
      <x:c r="E1290" s="60" t="str">
        <x:f>'Detalle'!F628</x:f>
        <x:v>Completado</x:v>
      </x:c>
      <x:c r="F1290" s="32" t="str">
        <x:f>IF(AND(F$8&lt;='Detalle'!$H628,F$9&gt;='Detalle'!$G628),1,"")</x:f>
      </x:c>
      <x:c r="G1290" s="32" t="str">
        <x:f>IF(AND(G$8&lt;='Detalle'!$H628,G$9&gt;='Detalle'!$G628),1,"")</x:f>
      </x:c>
      <x:c r="H1290" s="32" t="str">
        <x:f>IF(AND(H$8&lt;='Detalle'!$H628,H$9&gt;='Detalle'!$G628),1,"")</x:f>
      </x:c>
      <x:c r="I1290" s="32" t="str">
        <x:f>IF(AND(I$8&lt;='Detalle'!$H628,I$9&gt;='Detalle'!$G628),1,"")</x:f>
      </x:c>
      <x:c r="J1290" s="32" t="n">
        <x:f>IF(AND(J$8&lt;='Detalle'!$H628,J$9&gt;='Detalle'!$G628),1,"")</x:f>
        <x:v>1</x:v>
      </x:c>
      <x:c r="K1290" s="32" t="str">
        <x:f>IF(AND(K$8&lt;='Detalle'!$H628,K$9&gt;='Detalle'!$G628),1,"")</x:f>
      </x:c>
      <x:c r="L1290" s="32" t="str">
        <x:f>IF(AND(L$8&lt;='Detalle'!$H628,L$9&gt;='Detalle'!$G628),1,"")</x:f>
      </x:c>
      <x:c r="M1290" s="32" t="str">
        <x:f>IF(AND(M$8&lt;='Detalle'!$H628,M$9&gt;='Detalle'!$G628),1,"")</x:f>
      </x:c>
      <x:c r="N1290" s="32" t="str">
        <x:f>IF(AND(N$8&lt;='Detalle'!$H628,N$9&gt;='Detalle'!$G628),1,"")</x:f>
      </x:c>
      <x:c r="O1290" s="32" t="str">
        <x:f>IF(AND(O$8&lt;='Detalle'!$H628,O$9&gt;='Detalle'!$G628),1,"")</x:f>
      </x:c>
      <x:c r="P1290" s="32" t="str">
        <x:f>IF(AND(P$8&lt;='Detalle'!$H628,P$9&gt;='Detalle'!$G628),1,"")</x:f>
      </x:c>
      <x:c r="Q1290" s="68"/>
      <x:c r="R1290" s="67" t="str">
        <x:f>IF('Detalle'!M628="","",'Detalle'!M628)</x:f>
      </x:c>
      <x:c r="S1290" s="67" t="str">
        <x:f>IF('Detalle'!N628="","",'Detalle'!N628)</x:f>
      </x:c>
    </x:row>
    <x:row r="1291" ht="16" customHeight="1">
      <x:c r="A1291" s="56" t="str">
        <x:v>PUS04.011</x:v>
      </x:c>
      <x:c r="B1291" s="57" t="str">
        <x:v>Limpiar cinco eventos de diagnóstico</x:v>
      </x:c>
      <x:c r="C1291" s="63" t="str">
        <x:v>R</x:v>
      </x:c>
      <x:c r="D1291" s="65" t="str">
        <x:f>IF('Detalle'!L628="","",'Detalle'!L628)</x:f>
      </x:c>
      <x:c r="E1291" s="60" t="str"/>
      <x:c r="F1291" s="32" t="str">
        <x:f>IF(OR('Detalle'!$J628="",'Detalle'!$K628="",'Detalle'!$L628=""),"",IF(AND(F$8&lt;='Detalle'!$K628,F$9&gt;='Detalle'!$J628),1,""))</x:f>
      </x:c>
      <x:c r="G1291" s="32" t="str">
        <x:f>IF(OR('Detalle'!$J628="",'Detalle'!$K628="",'Detalle'!$L628=""),"",IF(AND(G$8&lt;='Detalle'!$K628,G$9&gt;='Detalle'!$J628),1,""))</x:f>
      </x:c>
      <x:c r="H1291" s="32" t="str">
        <x:f>IF(OR('Detalle'!$J628="",'Detalle'!$K628="",'Detalle'!$L628=""),"",IF(AND(H$8&lt;='Detalle'!$K628,H$9&gt;='Detalle'!$J628),1,""))</x:f>
      </x:c>
      <x:c r="I1291" s="32" t="str">
        <x:f>IF(OR('Detalle'!$J628="",'Detalle'!$K628="",'Detalle'!$L628=""),"",IF(AND(I$8&lt;='Detalle'!$K628,I$9&gt;='Detalle'!$J628),1,""))</x:f>
      </x:c>
      <x:c r="J1291" s="32" t="str">
        <x:f>IF(OR('Detalle'!$J628="",'Detalle'!$K628="",'Detalle'!$L628=""),"",IF(AND(J$8&lt;='Detalle'!$K628,J$9&gt;='Detalle'!$J628),1,""))</x:f>
      </x:c>
      <x:c r="K1291" s="32" t="str">
        <x:f>IF(OR('Detalle'!$J628="",'Detalle'!$K628="",'Detalle'!$L628=""),"",IF(AND(K$8&lt;='Detalle'!$K628,K$9&gt;='Detalle'!$J628),1,""))</x:f>
      </x:c>
      <x:c r="L1291" s="32" t="str">
        <x:f>IF(OR('Detalle'!$J628="",'Detalle'!$K628="",'Detalle'!$L628=""),"",IF(AND(L$8&lt;='Detalle'!$K628,L$9&gt;='Detalle'!$J628),1,""))</x:f>
      </x:c>
      <x:c r="M1291" s="32" t="str">
        <x:f>IF(OR('Detalle'!$J628="",'Detalle'!$K628="",'Detalle'!$L628=""),"",IF(AND(M$8&lt;='Detalle'!$K628,M$9&gt;='Detalle'!$J628),1,""))</x:f>
      </x:c>
      <x:c r="N1291" s="32" t="str">
        <x:f>IF(OR('Detalle'!$J628="",'Detalle'!$K628="",'Detalle'!$L628=""),"",IF(AND(N$8&lt;='Detalle'!$K628,N$9&gt;='Detalle'!$J628),1,""))</x:f>
      </x:c>
      <x:c r="O1291" s="32" t="str">
        <x:f>IF(OR('Detalle'!$J628="",'Detalle'!$K628="",'Detalle'!$L628=""),"",IF(AND(O$8&lt;='Detalle'!$K628,O$9&gt;='Detalle'!$J628),1,""))</x:f>
      </x:c>
      <x:c r="P1291" s="32" t="str">
        <x:f>IF(OR('Detalle'!$J628="",'Detalle'!$K628="",'Detalle'!$L628=""),"",IF(AND(P$8&lt;='Detalle'!$K628,P$9&gt;='Detalle'!$J628),1,""))</x:f>
      </x:c>
      <x:c r="Q1291" s="68"/>
      <x:c r="R1291" s="67" t="str"/>
      <x:c r="S1291" s="67" t="str"/>
    </x:row>
    <x:row r="1292" ht="16" customHeight="1">
      <x:c r="A1292" s="56" t="str">
        <x:v>PUS04.012</x:v>
      </x:c>
      <x:c r="B1292" s="57" t="str">
        <x:v>Validar cola y worker reales</x:v>
      </x:c>
      <x:c r="C1292" s="62" t="str">
        <x:v>E</x:v>
      </x:c>
      <x:c r="D1292" s="64" t="n">
        <x:f>'Detalle'!I629</x:f>
        <x:v>1</x:v>
      </x:c>
      <x:c r="E1292" s="60" t="str">
        <x:f>'Detalle'!F629</x:f>
        <x:v>Completado</x:v>
      </x:c>
      <x:c r="F1292" s="32" t="str">
        <x:f>IF(AND(F$8&lt;='Detalle'!$H629,F$9&gt;='Detalle'!$G629),1,"")</x:f>
      </x:c>
      <x:c r="G1292" s="32" t="str">
        <x:f>IF(AND(G$8&lt;='Detalle'!$H629,G$9&gt;='Detalle'!$G629),1,"")</x:f>
      </x:c>
      <x:c r="H1292" s="32" t="str">
        <x:f>IF(AND(H$8&lt;='Detalle'!$H629,H$9&gt;='Detalle'!$G629),1,"")</x:f>
      </x:c>
      <x:c r="I1292" s="32" t="str">
        <x:f>IF(AND(I$8&lt;='Detalle'!$H629,I$9&gt;='Detalle'!$G629),1,"")</x:f>
      </x:c>
      <x:c r="J1292" s="32" t="n">
        <x:f>IF(AND(J$8&lt;='Detalle'!$H629,J$9&gt;='Detalle'!$G629),1,"")</x:f>
        <x:v>1</x:v>
      </x:c>
      <x:c r="K1292" s="32" t="str">
        <x:f>IF(AND(K$8&lt;='Detalle'!$H629,K$9&gt;='Detalle'!$G629),1,"")</x:f>
      </x:c>
      <x:c r="L1292" s="32" t="str">
        <x:f>IF(AND(L$8&lt;='Detalle'!$H629,L$9&gt;='Detalle'!$G629),1,"")</x:f>
      </x:c>
      <x:c r="M1292" s="32" t="str">
        <x:f>IF(AND(M$8&lt;='Detalle'!$H629,M$9&gt;='Detalle'!$G629),1,"")</x:f>
      </x:c>
      <x:c r="N1292" s="32" t="str">
        <x:f>IF(AND(N$8&lt;='Detalle'!$H629,N$9&gt;='Detalle'!$G629),1,"")</x:f>
      </x:c>
      <x:c r="O1292" s="32" t="str">
        <x:f>IF(AND(O$8&lt;='Detalle'!$H629,O$9&gt;='Detalle'!$G629),1,"")</x:f>
      </x:c>
      <x:c r="P1292" s="32" t="str">
        <x:f>IF(AND(P$8&lt;='Detalle'!$H629,P$9&gt;='Detalle'!$G629),1,"")</x:f>
      </x:c>
      <x:c r="Q1292" s="68"/>
      <x:c r="R1292" s="67" t="str">
        <x:f>IF('Detalle'!M629="","",'Detalle'!M629)</x:f>
      </x:c>
      <x:c r="S1292" s="67" t="str">
        <x:f>IF('Detalle'!N629="","",'Detalle'!N629)</x:f>
      </x:c>
    </x:row>
    <x:row r="1293" ht="16" customHeight="1">
      <x:c r="A1293" s="56" t="str">
        <x:v>PUS04.012</x:v>
      </x:c>
      <x:c r="B1293" s="57" t="str">
        <x:v>Validar cola y worker reales</x:v>
      </x:c>
      <x:c r="C1293" s="63" t="str">
        <x:v>R</x:v>
      </x:c>
      <x:c r="D1293" s="65" t="str">
        <x:f>IF('Detalle'!L629="","",'Detalle'!L629)</x:f>
      </x:c>
      <x:c r="E1293" s="60" t="str"/>
      <x:c r="F1293" s="32" t="str">
        <x:f>IF(OR('Detalle'!$J629="",'Detalle'!$K629="",'Detalle'!$L629=""),"",IF(AND(F$8&lt;='Detalle'!$K629,F$9&gt;='Detalle'!$J629),1,""))</x:f>
      </x:c>
      <x:c r="G1293" s="32" t="str">
        <x:f>IF(OR('Detalle'!$J629="",'Detalle'!$K629="",'Detalle'!$L629=""),"",IF(AND(G$8&lt;='Detalle'!$K629,G$9&gt;='Detalle'!$J629),1,""))</x:f>
      </x:c>
      <x:c r="H1293" s="32" t="str">
        <x:f>IF(OR('Detalle'!$J629="",'Detalle'!$K629="",'Detalle'!$L629=""),"",IF(AND(H$8&lt;='Detalle'!$K629,H$9&gt;='Detalle'!$J629),1,""))</x:f>
      </x:c>
      <x:c r="I1293" s="32" t="str">
        <x:f>IF(OR('Detalle'!$J629="",'Detalle'!$K629="",'Detalle'!$L629=""),"",IF(AND(I$8&lt;='Detalle'!$K629,I$9&gt;='Detalle'!$J629),1,""))</x:f>
      </x:c>
      <x:c r="J1293" s="32" t="str">
        <x:f>IF(OR('Detalle'!$J629="",'Detalle'!$K629="",'Detalle'!$L629=""),"",IF(AND(J$8&lt;='Detalle'!$K629,J$9&gt;='Detalle'!$J629),1,""))</x:f>
      </x:c>
      <x:c r="K1293" s="32" t="str">
        <x:f>IF(OR('Detalle'!$J629="",'Detalle'!$K629="",'Detalle'!$L629=""),"",IF(AND(K$8&lt;='Detalle'!$K629,K$9&gt;='Detalle'!$J629),1,""))</x:f>
      </x:c>
      <x:c r="L1293" s="32" t="str">
        <x:f>IF(OR('Detalle'!$J629="",'Detalle'!$K629="",'Detalle'!$L629=""),"",IF(AND(L$8&lt;='Detalle'!$K629,L$9&gt;='Detalle'!$J629),1,""))</x:f>
      </x:c>
      <x:c r="M1293" s="32" t="str">
        <x:f>IF(OR('Detalle'!$J629="",'Detalle'!$K629="",'Detalle'!$L629=""),"",IF(AND(M$8&lt;='Detalle'!$K629,M$9&gt;='Detalle'!$J629),1,""))</x:f>
      </x:c>
      <x:c r="N1293" s="32" t="str">
        <x:f>IF(OR('Detalle'!$J629="",'Detalle'!$K629="",'Detalle'!$L629=""),"",IF(AND(N$8&lt;='Detalle'!$K629,N$9&gt;='Detalle'!$J629),1,""))</x:f>
      </x:c>
      <x:c r="O1293" s="32" t="str">
        <x:f>IF(OR('Detalle'!$J629="",'Detalle'!$K629="",'Detalle'!$L629=""),"",IF(AND(O$8&lt;='Detalle'!$K629,O$9&gt;='Detalle'!$J629),1,""))</x:f>
      </x:c>
      <x:c r="P1293" s="32" t="str">
        <x:f>IF(OR('Detalle'!$J629="",'Detalle'!$K629="",'Detalle'!$L629=""),"",IF(AND(P$8&lt;='Detalle'!$K629,P$9&gt;='Detalle'!$J629),1,""))</x:f>
      </x:c>
      <x:c r="Q1293" s="68"/>
      <x:c r="R1293" s="67" t="str"/>
      <x:c r="S1293" s="67" t="str"/>
    </x:row>
    <x:row r="1294" ht="16" customHeight="1">
      <x:c r="A1294" s="56" t="str">
        <x:v>PUS04.013</x:v>
      </x:c>
      <x:c r="B1294" s="57" t="str">
        <x:v>Registrar suite automática de push</x:v>
      </x:c>
      <x:c r="C1294" s="62" t="str">
        <x:v>E</x:v>
      </x:c>
      <x:c r="D1294" s="64" t="n">
        <x:f>'Detalle'!I630</x:f>
        <x:v>1</x:v>
      </x:c>
      <x:c r="E1294" s="60" t="str">
        <x:f>'Detalle'!F630</x:f>
        <x:v>Completado</x:v>
      </x:c>
      <x:c r="F1294" s="32" t="str">
        <x:f>IF(AND(F$8&lt;='Detalle'!$H630,F$9&gt;='Detalle'!$G630),1,"")</x:f>
      </x:c>
      <x:c r="G1294" s="32" t="str">
        <x:f>IF(AND(G$8&lt;='Detalle'!$H630,G$9&gt;='Detalle'!$G630),1,"")</x:f>
      </x:c>
      <x:c r="H1294" s="32" t="str">
        <x:f>IF(AND(H$8&lt;='Detalle'!$H630,H$9&gt;='Detalle'!$G630),1,"")</x:f>
      </x:c>
      <x:c r="I1294" s="32" t="str">
        <x:f>IF(AND(I$8&lt;='Detalle'!$H630,I$9&gt;='Detalle'!$G630),1,"")</x:f>
      </x:c>
      <x:c r="J1294" s="32" t="n">
        <x:f>IF(AND(J$8&lt;='Detalle'!$H630,J$9&gt;='Detalle'!$G630),1,"")</x:f>
        <x:v>1</x:v>
      </x:c>
      <x:c r="K1294" s="32" t="str">
        <x:f>IF(AND(K$8&lt;='Detalle'!$H630,K$9&gt;='Detalle'!$G630),1,"")</x:f>
      </x:c>
      <x:c r="L1294" s="32" t="str">
        <x:f>IF(AND(L$8&lt;='Detalle'!$H630,L$9&gt;='Detalle'!$G630),1,"")</x:f>
      </x:c>
      <x:c r="M1294" s="32" t="str">
        <x:f>IF(AND(M$8&lt;='Detalle'!$H630,M$9&gt;='Detalle'!$G630),1,"")</x:f>
      </x:c>
      <x:c r="N1294" s="32" t="str">
        <x:f>IF(AND(N$8&lt;='Detalle'!$H630,N$9&gt;='Detalle'!$G630),1,"")</x:f>
      </x:c>
      <x:c r="O1294" s="32" t="str">
        <x:f>IF(AND(O$8&lt;='Detalle'!$H630,O$9&gt;='Detalle'!$G630),1,"")</x:f>
      </x:c>
      <x:c r="P1294" s="32" t="str">
        <x:f>IF(AND(P$8&lt;='Detalle'!$H630,P$9&gt;='Detalle'!$G630),1,"")</x:f>
      </x:c>
      <x:c r="Q1294" s="68"/>
      <x:c r="R1294" s="67" t="str">
        <x:f>IF('Detalle'!M630="","",'Detalle'!M630)</x:f>
      </x:c>
      <x:c r="S1294" s="67" t="str">
        <x:f>IF('Detalle'!N630="","",'Detalle'!N630)</x:f>
      </x:c>
    </x:row>
    <x:row r="1295" ht="16" customHeight="1">
      <x:c r="A1295" s="56" t="str">
        <x:v>PUS04.013</x:v>
      </x:c>
      <x:c r="B1295" s="57" t="str">
        <x:v>Registrar suite automática de push</x:v>
      </x:c>
      <x:c r="C1295" s="63" t="str">
        <x:v>R</x:v>
      </x:c>
      <x:c r="D1295" s="65" t="str">
        <x:f>IF('Detalle'!L630="","",'Detalle'!L630)</x:f>
      </x:c>
      <x:c r="E1295" s="60" t="str"/>
      <x:c r="F1295" s="32" t="str">
        <x:f>IF(OR('Detalle'!$J630="",'Detalle'!$K630="",'Detalle'!$L630=""),"",IF(AND(F$8&lt;='Detalle'!$K630,F$9&gt;='Detalle'!$J630),1,""))</x:f>
      </x:c>
      <x:c r="G1295" s="32" t="str">
        <x:f>IF(OR('Detalle'!$J630="",'Detalle'!$K630="",'Detalle'!$L630=""),"",IF(AND(G$8&lt;='Detalle'!$K630,G$9&gt;='Detalle'!$J630),1,""))</x:f>
      </x:c>
      <x:c r="H1295" s="32" t="str">
        <x:f>IF(OR('Detalle'!$J630="",'Detalle'!$K630="",'Detalle'!$L630=""),"",IF(AND(H$8&lt;='Detalle'!$K630,H$9&gt;='Detalle'!$J630),1,""))</x:f>
      </x:c>
      <x:c r="I1295" s="32" t="str">
        <x:f>IF(OR('Detalle'!$J630="",'Detalle'!$K630="",'Detalle'!$L630=""),"",IF(AND(I$8&lt;='Detalle'!$K630,I$9&gt;='Detalle'!$J630),1,""))</x:f>
      </x:c>
      <x:c r="J1295" s="32" t="str">
        <x:f>IF(OR('Detalle'!$J630="",'Detalle'!$K630="",'Detalle'!$L630=""),"",IF(AND(J$8&lt;='Detalle'!$K630,J$9&gt;='Detalle'!$J630),1,""))</x:f>
      </x:c>
      <x:c r="K1295" s="32" t="str">
        <x:f>IF(OR('Detalle'!$J630="",'Detalle'!$K630="",'Detalle'!$L630=""),"",IF(AND(K$8&lt;='Detalle'!$K630,K$9&gt;='Detalle'!$J630),1,""))</x:f>
      </x:c>
      <x:c r="L1295" s="32" t="str">
        <x:f>IF(OR('Detalle'!$J630="",'Detalle'!$K630="",'Detalle'!$L630=""),"",IF(AND(L$8&lt;='Detalle'!$K630,L$9&gt;='Detalle'!$J630),1,""))</x:f>
      </x:c>
      <x:c r="M1295" s="32" t="str">
        <x:f>IF(OR('Detalle'!$J630="",'Detalle'!$K630="",'Detalle'!$L630=""),"",IF(AND(M$8&lt;='Detalle'!$K630,M$9&gt;='Detalle'!$J630),1,""))</x:f>
      </x:c>
      <x:c r="N1295" s="32" t="str">
        <x:f>IF(OR('Detalle'!$J630="",'Detalle'!$K630="",'Detalle'!$L630=""),"",IF(AND(N$8&lt;='Detalle'!$K630,N$9&gt;='Detalle'!$J630),1,""))</x:f>
      </x:c>
      <x:c r="O1295" s="32" t="str">
        <x:f>IF(OR('Detalle'!$J630="",'Detalle'!$K630="",'Detalle'!$L630=""),"",IF(AND(O$8&lt;='Detalle'!$K630,O$9&gt;='Detalle'!$J630),1,""))</x:f>
      </x:c>
      <x:c r="P1295" s="32" t="str">
        <x:f>IF(OR('Detalle'!$J630="",'Detalle'!$K630="",'Detalle'!$L630=""),"",IF(AND(P$8&lt;='Detalle'!$K630,P$9&gt;='Detalle'!$J630),1,""))</x:f>
      </x:c>
      <x:c r="Q1295" s="68"/>
      <x:c r="R1295" s="67" t="str"/>
      <x:c r="S1295" s="67" t="str"/>
    </x:row>
    <x:row r="1296" ht="16" customHeight="1">
      <x:c r="A1296" s="56" t="str">
        <x:v>PUS04.014</x:v>
      </x:c>
      <x:c r="B1296" s="57" t="str">
        <x:v>Validar backend y gate de push</x:v>
      </x:c>
      <x:c r="C1296" s="62" t="str">
        <x:v>E</x:v>
      </x:c>
      <x:c r="D1296" s="64" t="n">
        <x:f>'Detalle'!I631</x:f>
        <x:v>1</x:v>
      </x:c>
      <x:c r="E1296" s="60" t="str">
        <x:f>'Detalle'!F631</x:f>
        <x:v>Completado</x:v>
      </x:c>
      <x:c r="F1296" s="32" t="str">
        <x:f>IF(AND(F$8&lt;='Detalle'!$H631,F$9&gt;='Detalle'!$G631),1,"")</x:f>
      </x:c>
      <x:c r="G1296" s="32" t="str">
        <x:f>IF(AND(G$8&lt;='Detalle'!$H631,G$9&gt;='Detalle'!$G631),1,"")</x:f>
      </x:c>
      <x:c r="H1296" s="32" t="str">
        <x:f>IF(AND(H$8&lt;='Detalle'!$H631,H$9&gt;='Detalle'!$G631),1,"")</x:f>
      </x:c>
      <x:c r="I1296" s="32" t="str">
        <x:f>IF(AND(I$8&lt;='Detalle'!$H631,I$9&gt;='Detalle'!$G631),1,"")</x:f>
      </x:c>
      <x:c r="J1296" s="32" t="n">
        <x:f>IF(AND(J$8&lt;='Detalle'!$H631,J$9&gt;='Detalle'!$G631),1,"")</x:f>
        <x:v>1</x:v>
      </x:c>
      <x:c r="K1296" s="32" t="str">
        <x:f>IF(AND(K$8&lt;='Detalle'!$H631,K$9&gt;='Detalle'!$G631),1,"")</x:f>
      </x:c>
      <x:c r="L1296" s="32" t="str">
        <x:f>IF(AND(L$8&lt;='Detalle'!$H631,L$9&gt;='Detalle'!$G631),1,"")</x:f>
      </x:c>
      <x:c r="M1296" s="32" t="str">
        <x:f>IF(AND(M$8&lt;='Detalle'!$H631,M$9&gt;='Detalle'!$G631),1,"")</x:f>
      </x:c>
      <x:c r="N1296" s="32" t="str">
        <x:f>IF(AND(N$8&lt;='Detalle'!$H631,N$9&gt;='Detalle'!$G631),1,"")</x:f>
      </x:c>
      <x:c r="O1296" s="32" t="str">
        <x:f>IF(AND(O$8&lt;='Detalle'!$H631,O$9&gt;='Detalle'!$G631),1,"")</x:f>
      </x:c>
      <x:c r="P1296" s="32" t="str">
        <x:f>IF(AND(P$8&lt;='Detalle'!$H631,P$9&gt;='Detalle'!$G631),1,"")</x:f>
      </x:c>
      <x:c r="Q1296" s="68"/>
      <x:c r="R1296" s="67" t="str">
        <x:f>IF('Detalle'!M631="","",'Detalle'!M631)</x:f>
      </x:c>
      <x:c r="S1296" s="67" t="str">
        <x:f>IF('Detalle'!N631="","",'Detalle'!N631)</x:f>
      </x:c>
    </x:row>
    <x:row r="1297" ht="16" customHeight="1">
      <x:c r="A1297" s="56" t="str">
        <x:v>PUS04.014</x:v>
      </x:c>
      <x:c r="B1297" s="57" t="str">
        <x:v>Validar backend y gate de push</x:v>
      </x:c>
      <x:c r="C1297" s="63" t="str">
        <x:v>R</x:v>
      </x:c>
      <x:c r="D1297" s="65" t="str">
        <x:f>IF('Detalle'!L631="","",'Detalle'!L631)</x:f>
      </x:c>
      <x:c r="E1297" s="60" t="str"/>
      <x:c r="F1297" s="32" t="str">
        <x:f>IF(OR('Detalle'!$J631="",'Detalle'!$K631="",'Detalle'!$L631=""),"",IF(AND(F$8&lt;='Detalle'!$K631,F$9&gt;='Detalle'!$J631),1,""))</x:f>
      </x:c>
      <x:c r="G1297" s="32" t="str">
        <x:f>IF(OR('Detalle'!$J631="",'Detalle'!$K631="",'Detalle'!$L631=""),"",IF(AND(G$8&lt;='Detalle'!$K631,G$9&gt;='Detalle'!$J631),1,""))</x:f>
      </x:c>
      <x:c r="H1297" s="32" t="str">
        <x:f>IF(OR('Detalle'!$J631="",'Detalle'!$K631="",'Detalle'!$L631=""),"",IF(AND(H$8&lt;='Detalle'!$K631,H$9&gt;='Detalle'!$J631),1,""))</x:f>
      </x:c>
      <x:c r="I1297" s="32" t="str">
        <x:f>IF(OR('Detalle'!$J631="",'Detalle'!$K631="",'Detalle'!$L631=""),"",IF(AND(I$8&lt;='Detalle'!$K631,I$9&gt;='Detalle'!$J631),1,""))</x:f>
      </x:c>
      <x:c r="J1297" s="32" t="str">
        <x:f>IF(OR('Detalle'!$J631="",'Detalle'!$K631="",'Detalle'!$L631=""),"",IF(AND(J$8&lt;='Detalle'!$K631,J$9&gt;='Detalle'!$J631),1,""))</x:f>
      </x:c>
      <x:c r="K1297" s="32" t="str">
        <x:f>IF(OR('Detalle'!$J631="",'Detalle'!$K631="",'Detalle'!$L631=""),"",IF(AND(K$8&lt;='Detalle'!$K631,K$9&gt;='Detalle'!$J631),1,""))</x:f>
      </x:c>
      <x:c r="L1297" s="32" t="str">
        <x:f>IF(OR('Detalle'!$J631="",'Detalle'!$K631="",'Detalle'!$L631=""),"",IF(AND(L$8&lt;='Detalle'!$K631,L$9&gt;='Detalle'!$J631),1,""))</x:f>
      </x:c>
      <x:c r="M1297" s="32" t="str">
        <x:f>IF(OR('Detalle'!$J631="",'Detalle'!$K631="",'Detalle'!$L631=""),"",IF(AND(M$8&lt;='Detalle'!$K631,M$9&gt;='Detalle'!$J631),1,""))</x:f>
      </x:c>
      <x:c r="N1297" s="32" t="str">
        <x:f>IF(OR('Detalle'!$J631="",'Detalle'!$K631="",'Detalle'!$L631=""),"",IF(AND(N$8&lt;='Detalle'!$K631,N$9&gt;='Detalle'!$J631),1,""))</x:f>
      </x:c>
      <x:c r="O1297" s="32" t="str">
        <x:f>IF(OR('Detalle'!$J631="",'Detalle'!$K631="",'Detalle'!$L631=""),"",IF(AND(O$8&lt;='Detalle'!$K631,O$9&gt;='Detalle'!$J631),1,""))</x:f>
      </x:c>
      <x:c r="P1297" s="32" t="str">
        <x:f>IF(OR('Detalle'!$J631="",'Detalle'!$K631="",'Detalle'!$L631=""),"",IF(AND(P$8&lt;='Detalle'!$K631,P$9&gt;='Detalle'!$J631),1,""))</x:f>
      </x:c>
      <x:c r="Q1297" s="68"/>
      <x:c r="R1297" s="67" t="str"/>
      <x:c r="S1297" s="67" t="str"/>
    </x:row>
    <x:row r="1298" ht="20" customHeight="1">
      <x:c r="A1298" s="52" t="str">
        <x:v>TOU01 · Diseño de recorridos y experiencia presencial</x:v>
      </x:c>
      <x:c r="B1298" s="52" t="str">
        <x:v>TOU01 · Diseño de recorridos y experiencia presencial</x:v>
      </x:c>
      <x:c r="C1298" s="52" t="str">
        <x:v>TOU01 · Diseño de recorridos y experiencia presencial</x:v>
      </x:c>
      <x:c r="D1298" s="52" t="str">
        <x:v>TOU01 · Diseño de recorridos y experiencia presencial</x:v>
      </x:c>
      <x:c r="E1298" s="52" t="str">
        <x:v>TOU01 · Diseño de recorridos y experiencia presencial</x:v>
      </x:c>
      <x:c r="F1298" s="53" t="str">
        <x:v>TOU01 · Diseño de recorridos y experiencia presencial</x:v>
      </x:c>
      <x:c r="G1298" s="53" t="str">
        <x:v>TOU01 · Diseño de recorridos y experiencia presencial</x:v>
      </x:c>
      <x:c r="H1298" s="53" t="str">
        <x:v>TOU01 · Diseño de recorridos y experiencia presencial</x:v>
      </x:c>
      <x:c r="I1298" s="53" t="str">
        <x:v>TOU01 · Diseño de recorridos y experiencia presencial</x:v>
      </x:c>
      <x:c r="J1298" s="53" t="str">
        <x:v>TOU01 · Diseño de recorridos y experiencia presencial</x:v>
      </x:c>
      <x:c r="K1298" s="53" t="str">
        <x:v>TOU01 · Diseño de recorridos y experiencia presencial</x:v>
      </x:c>
      <x:c r="L1298" s="53" t="str">
        <x:v>TOU01 · Diseño de recorridos y experiencia presencial</x:v>
      </x:c>
      <x:c r="M1298" s="53" t="str">
        <x:v>TOU01 · Diseño de recorridos y experiencia presencial</x:v>
      </x:c>
      <x:c r="N1298" s="53" t="str">
        <x:v>TOU01 · Diseño de recorridos y experiencia presencial</x:v>
      </x:c>
      <x:c r="O1298" s="53" t="str">
        <x:v>TOU01 · Diseño de recorridos y experiencia presencial</x:v>
      </x:c>
      <x:c r="P1298" s="53" t="str">
        <x:v>TOU01 · Diseño de recorridos y experiencia presencial</x:v>
      </x:c>
      <x:c r="Q1298" s="52" t="str">
        <x:v>TOU01 · Diseño de recorridos y experiencia presencial</x:v>
      </x:c>
      <x:c r="R1298" s="52" t="str">
        <x:v>TOU01 · Diseño de recorridos y experiencia presencial</x:v>
      </x:c>
      <x:c r="S1298" s="52" t="str">
        <x:v>TOU01 · Diseño de recorridos y experiencia presencial</x:v>
      </x:c>
    </x:row>
    <x:row r="1299" ht="16" customHeight="1">
      <x:c r="A1299" s="56" t="str">
        <x:v>TOU01.001</x:v>
      </x:c>
      <x:c r="B1299" s="57" t="str">
        <x:v>Separar visita 360° y recorrido con cámara</x:v>
      </x:c>
      <x:c r="C1299" s="62" t="str">
        <x:v>E</x:v>
      </x:c>
      <x:c r="D1299" s="64" t="n">
        <x:f>'Detalle'!I632</x:f>
        <x:v>1</x:v>
      </x:c>
      <x:c r="E1299" s="60" t="str">
        <x:f>'Detalle'!F632</x:f>
        <x:v>Completado</x:v>
      </x:c>
      <x:c r="F1299" s="32" t="str">
        <x:f>IF(AND(F$8&lt;='Detalle'!$H632,F$9&gt;='Detalle'!$G632),1,"")</x:f>
      </x:c>
      <x:c r="G1299" s="32" t="str">
        <x:f>IF(AND(G$8&lt;='Detalle'!$H632,G$9&gt;='Detalle'!$G632),1,"")</x:f>
      </x:c>
      <x:c r="H1299" s="32" t="str">
        <x:f>IF(AND(H$8&lt;='Detalle'!$H632,H$9&gt;='Detalle'!$G632),1,"")</x:f>
      </x:c>
      <x:c r="I1299" s="32" t="str">
        <x:f>IF(AND(I$8&lt;='Detalle'!$H632,I$9&gt;='Detalle'!$G632),1,"")</x:f>
      </x:c>
      <x:c r="J1299" s="32" t="n">
        <x:f>IF(AND(J$8&lt;='Detalle'!$H632,J$9&gt;='Detalle'!$G632),1,"")</x:f>
        <x:v>1</x:v>
      </x:c>
      <x:c r="K1299" s="32" t="str">
        <x:f>IF(AND(K$8&lt;='Detalle'!$H632,K$9&gt;='Detalle'!$G632),1,"")</x:f>
      </x:c>
      <x:c r="L1299" s="32" t="str">
        <x:f>IF(AND(L$8&lt;='Detalle'!$H632,L$9&gt;='Detalle'!$G632),1,"")</x:f>
      </x:c>
      <x:c r="M1299" s="32" t="str">
        <x:f>IF(AND(M$8&lt;='Detalle'!$H632,M$9&gt;='Detalle'!$G632),1,"")</x:f>
      </x:c>
      <x:c r="N1299" s="32" t="str">
        <x:f>IF(AND(N$8&lt;='Detalle'!$H632,N$9&gt;='Detalle'!$G632),1,"")</x:f>
      </x:c>
      <x:c r="O1299" s="32" t="str">
        <x:f>IF(AND(O$8&lt;='Detalle'!$H632,O$9&gt;='Detalle'!$G632),1,"")</x:f>
      </x:c>
      <x:c r="P1299" s="32" t="str">
        <x:f>IF(AND(P$8&lt;='Detalle'!$H632,P$9&gt;='Detalle'!$G632),1,"")</x:f>
      </x:c>
      <x:c r="Q1299" s="68"/>
      <x:c r="R1299" s="67" t="str">
        <x:f>IF('Detalle'!M632="","",'Detalle'!M632)</x:f>
      </x:c>
      <x:c r="S1299" s="67" t="str">
        <x:f>IF('Detalle'!N632="","",'Detalle'!N632)</x:f>
      </x:c>
    </x:row>
    <x:row r="1300" ht="16" customHeight="1">
      <x:c r="A1300" s="56" t="str">
        <x:v>TOU01.001</x:v>
      </x:c>
      <x:c r="B1300" s="57" t="str">
        <x:v>Separar visita 360° y recorrido con cámara</x:v>
      </x:c>
      <x:c r="C1300" s="63" t="str">
        <x:v>R</x:v>
      </x:c>
      <x:c r="D1300" s="65" t="str">
        <x:f>IF('Detalle'!L632="","",'Detalle'!L632)</x:f>
      </x:c>
      <x:c r="E1300" s="60" t="str"/>
      <x:c r="F1300" s="32" t="str">
        <x:f>IF(OR('Detalle'!$J632="",'Detalle'!$K632="",'Detalle'!$L632=""),"",IF(AND(F$8&lt;='Detalle'!$K632,F$9&gt;='Detalle'!$J632),1,""))</x:f>
      </x:c>
      <x:c r="G1300" s="32" t="str">
        <x:f>IF(OR('Detalle'!$J632="",'Detalle'!$K632="",'Detalle'!$L632=""),"",IF(AND(G$8&lt;='Detalle'!$K632,G$9&gt;='Detalle'!$J632),1,""))</x:f>
      </x:c>
      <x:c r="H1300" s="32" t="str">
        <x:f>IF(OR('Detalle'!$J632="",'Detalle'!$K632="",'Detalle'!$L632=""),"",IF(AND(H$8&lt;='Detalle'!$K632,H$9&gt;='Detalle'!$J632),1,""))</x:f>
      </x:c>
      <x:c r="I1300" s="32" t="str">
        <x:f>IF(OR('Detalle'!$J632="",'Detalle'!$K632="",'Detalle'!$L632=""),"",IF(AND(I$8&lt;='Detalle'!$K632,I$9&gt;='Detalle'!$J632),1,""))</x:f>
      </x:c>
      <x:c r="J1300" s="32" t="str">
        <x:f>IF(OR('Detalle'!$J632="",'Detalle'!$K632="",'Detalle'!$L632=""),"",IF(AND(J$8&lt;='Detalle'!$K632,J$9&gt;='Detalle'!$J632),1,""))</x:f>
      </x:c>
      <x:c r="K1300" s="32" t="str">
        <x:f>IF(OR('Detalle'!$J632="",'Detalle'!$K632="",'Detalle'!$L632=""),"",IF(AND(K$8&lt;='Detalle'!$K632,K$9&gt;='Detalle'!$J632),1,""))</x:f>
      </x:c>
      <x:c r="L1300" s="32" t="str">
        <x:f>IF(OR('Detalle'!$J632="",'Detalle'!$K632="",'Detalle'!$L632=""),"",IF(AND(L$8&lt;='Detalle'!$K632,L$9&gt;='Detalle'!$J632),1,""))</x:f>
      </x:c>
      <x:c r="M1300" s="32" t="str">
        <x:f>IF(OR('Detalle'!$J632="",'Detalle'!$K632="",'Detalle'!$L632=""),"",IF(AND(M$8&lt;='Detalle'!$K632,M$9&gt;='Detalle'!$J632),1,""))</x:f>
      </x:c>
      <x:c r="N1300" s="32" t="str">
        <x:f>IF(OR('Detalle'!$J632="",'Detalle'!$K632="",'Detalle'!$L632=""),"",IF(AND(N$8&lt;='Detalle'!$K632,N$9&gt;='Detalle'!$J632),1,""))</x:f>
      </x:c>
      <x:c r="O1300" s="32" t="str">
        <x:f>IF(OR('Detalle'!$J632="",'Detalle'!$K632="",'Detalle'!$L632=""),"",IF(AND(O$8&lt;='Detalle'!$K632,O$9&gt;='Detalle'!$J632),1,""))</x:f>
      </x:c>
      <x:c r="P1300" s="32" t="str">
        <x:f>IF(OR('Detalle'!$J632="",'Detalle'!$K632="",'Detalle'!$L632=""),"",IF(AND(P$8&lt;='Detalle'!$K632,P$9&gt;='Detalle'!$J632),1,""))</x:f>
      </x:c>
      <x:c r="Q1300" s="68"/>
      <x:c r="R1300" s="67" t="str"/>
      <x:c r="S1300" s="67" t="str"/>
    </x:row>
    <x:row r="1301" ht="16" customHeight="1">
      <x:c r="A1301" s="56" t="str">
        <x:v>TOU01.002</x:v>
      </x:c>
      <x:c r="B1301" s="57" t="str">
        <x:v>Definir jerarquía espacial</x:v>
      </x:c>
      <x:c r="C1301" s="62" t="str">
        <x:v>E</x:v>
      </x:c>
      <x:c r="D1301" s="64" t="n">
        <x:f>'Detalle'!I633</x:f>
        <x:v>1</x:v>
      </x:c>
      <x:c r="E1301" s="60" t="str">
        <x:f>'Detalle'!F633</x:f>
        <x:v>Completado</x:v>
      </x:c>
      <x:c r="F1301" s="32" t="str">
        <x:f>IF(AND(F$8&lt;='Detalle'!$H633,F$9&gt;='Detalle'!$G633),1,"")</x:f>
      </x:c>
      <x:c r="G1301" s="32" t="str">
        <x:f>IF(AND(G$8&lt;='Detalle'!$H633,G$9&gt;='Detalle'!$G633),1,"")</x:f>
      </x:c>
      <x:c r="H1301" s="32" t="str">
        <x:f>IF(AND(H$8&lt;='Detalle'!$H633,H$9&gt;='Detalle'!$G633),1,"")</x:f>
      </x:c>
      <x:c r="I1301" s="32" t="str">
        <x:f>IF(AND(I$8&lt;='Detalle'!$H633,I$9&gt;='Detalle'!$G633),1,"")</x:f>
      </x:c>
      <x:c r="J1301" s="32" t="n">
        <x:f>IF(AND(J$8&lt;='Detalle'!$H633,J$9&gt;='Detalle'!$G633),1,"")</x:f>
        <x:v>1</x:v>
      </x:c>
      <x:c r="K1301" s="32" t="str">
        <x:f>IF(AND(K$8&lt;='Detalle'!$H633,K$9&gt;='Detalle'!$G633),1,"")</x:f>
      </x:c>
      <x:c r="L1301" s="32" t="str">
        <x:f>IF(AND(L$8&lt;='Detalle'!$H633,L$9&gt;='Detalle'!$G633),1,"")</x:f>
      </x:c>
      <x:c r="M1301" s="32" t="str">
        <x:f>IF(AND(M$8&lt;='Detalle'!$H633,M$9&gt;='Detalle'!$G633),1,"")</x:f>
      </x:c>
      <x:c r="N1301" s="32" t="str">
        <x:f>IF(AND(N$8&lt;='Detalle'!$H633,N$9&gt;='Detalle'!$G633),1,"")</x:f>
      </x:c>
      <x:c r="O1301" s="32" t="str">
        <x:f>IF(AND(O$8&lt;='Detalle'!$H633,O$9&gt;='Detalle'!$G633),1,"")</x:f>
      </x:c>
      <x:c r="P1301" s="32" t="str">
        <x:f>IF(AND(P$8&lt;='Detalle'!$H633,P$9&gt;='Detalle'!$G633),1,"")</x:f>
      </x:c>
      <x:c r="Q1301" s="68"/>
      <x:c r="R1301" s="67" t="str">
        <x:f>IF('Detalle'!M633="","",'Detalle'!M633)</x:f>
      </x:c>
      <x:c r="S1301" s="67" t="str">
        <x:f>IF('Detalle'!N633="","",'Detalle'!N633)</x:f>
      </x:c>
    </x:row>
    <x:row r="1302" ht="16" customHeight="1">
      <x:c r="A1302" s="56" t="str">
        <x:v>TOU01.002</x:v>
      </x:c>
      <x:c r="B1302" s="57" t="str">
        <x:v>Definir jerarquía espacial</x:v>
      </x:c>
      <x:c r="C1302" s="63" t="str">
        <x:v>R</x:v>
      </x:c>
      <x:c r="D1302" s="65" t="str">
        <x:f>IF('Detalle'!L633="","",'Detalle'!L633)</x:f>
      </x:c>
      <x:c r="E1302" s="60" t="str"/>
      <x:c r="F1302" s="32" t="str">
        <x:f>IF(OR('Detalle'!$J633="",'Detalle'!$K633="",'Detalle'!$L633=""),"",IF(AND(F$8&lt;='Detalle'!$K633,F$9&gt;='Detalle'!$J633),1,""))</x:f>
      </x:c>
      <x:c r="G1302" s="32" t="str">
        <x:f>IF(OR('Detalle'!$J633="",'Detalle'!$K633="",'Detalle'!$L633=""),"",IF(AND(G$8&lt;='Detalle'!$K633,G$9&gt;='Detalle'!$J633),1,""))</x:f>
      </x:c>
      <x:c r="H1302" s="32" t="str">
        <x:f>IF(OR('Detalle'!$J633="",'Detalle'!$K633="",'Detalle'!$L633=""),"",IF(AND(H$8&lt;='Detalle'!$K633,H$9&gt;='Detalle'!$J633),1,""))</x:f>
      </x:c>
      <x:c r="I1302" s="32" t="str">
        <x:f>IF(OR('Detalle'!$J633="",'Detalle'!$K633="",'Detalle'!$L633=""),"",IF(AND(I$8&lt;='Detalle'!$K633,I$9&gt;='Detalle'!$J633),1,""))</x:f>
      </x:c>
      <x:c r="J1302" s="32" t="str">
        <x:f>IF(OR('Detalle'!$J633="",'Detalle'!$K633="",'Detalle'!$L633=""),"",IF(AND(J$8&lt;='Detalle'!$K633,J$9&gt;='Detalle'!$J633),1,""))</x:f>
      </x:c>
      <x:c r="K1302" s="32" t="str">
        <x:f>IF(OR('Detalle'!$J633="",'Detalle'!$K633="",'Detalle'!$L633=""),"",IF(AND(K$8&lt;='Detalle'!$K633,K$9&gt;='Detalle'!$J633),1,""))</x:f>
      </x:c>
      <x:c r="L1302" s="32" t="str">
        <x:f>IF(OR('Detalle'!$J633="",'Detalle'!$K633="",'Detalle'!$L633=""),"",IF(AND(L$8&lt;='Detalle'!$K633,L$9&gt;='Detalle'!$J633),1,""))</x:f>
      </x:c>
      <x:c r="M1302" s="32" t="str">
        <x:f>IF(OR('Detalle'!$J633="",'Detalle'!$K633="",'Detalle'!$L633=""),"",IF(AND(M$8&lt;='Detalle'!$K633,M$9&gt;='Detalle'!$J633),1,""))</x:f>
      </x:c>
      <x:c r="N1302" s="32" t="str">
        <x:f>IF(OR('Detalle'!$J633="",'Detalle'!$K633="",'Detalle'!$L633=""),"",IF(AND(N$8&lt;='Detalle'!$K633,N$9&gt;='Detalle'!$J633),1,""))</x:f>
      </x:c>
      <x:c r="O1302" s="32" t="str">
        <x:f>IF(OR('Detalle'!$J633="",'Detalle'!$K633="",'Detalle'!$L633=""),"",IF(AND(O$8&lt;='Detalle'!$K633,O$9&gt;='Detalle'!$J633),1,""))</x:f>
      </x:c>
      <x:c r="P1302" s="32" t="str">
        <x:f>IF(OR('Detalle'!$J633="",'Detalle'!$K633="",'Detalle'!$L633=""),"",IF(AND(P$8&lt;='Detalle'!$K633,P$9&gt;='Detalle'!$J633),1,""))</x:f>
      </x:c>
      <x:c r="Q1302" s="68"/>
      <x:c r="R1302" s="67" t="str"/>
      <x:c r="S1302" s="67" t="str"/>
    </x:row>
    <x:row r="1303" ht="16" customHeight="1">
      <x:c r="A1303" s="56" t="str">
        <x:v>TOU01.003</x:v>
      </x:c>
      <x:c r="B1303" s="57" t="str">
        <x:v>Definir versiones públicas y borradores</x:v>
      </x:c>
      <x:c r="C1303" s="62" t="str">
        <x:v>E</x:v>
      </x:c>
      <x:c r="D1303" s="64" t="n">
        <x:f>'Detalle'!I634</x:f>
        <x:v>1</x:v>
      </x:c>
      <x:c r="E1303" s="60" t="str">
        <x:f>'Detalle'!F634</x:f>
        <x:v>Completado</x:v>
      </x:c>
      <x:c r="F1303" s="32" t="str">
        <x:f>IF(AND(F$8&lt;='Detalle'!$H634,F$9&gt;='Detalle'!$G634),1,"")</x:f>
      </x:c>
      <x:c r="G1303" s="32" t="str">
        <x:f>IF(AND(G$8&lt;='Detalle'!$H634,G$9&gt;='Detalle'!$G634),1,"")</x:f>
      </x:c>
      <x:c r="H1303" s="32" t="str">
        <x:f>IF(AND(H$8&lt;='Detalle'!$H634,H$9&gt;='Detalle'!$G634),1,"")</x:f>
      </x:c>
      <x:c r="I1303" s="32" t="str">
        <x:f>IF(AND(I$8&lt;='Detalle'!$H634,I$9&gt;='Detalle'!$G634),1,"")</x:f>
      </x:c>
      <x:c r="J1303" s="32" t="n">
        <x:f>IF(AND(J$8&lt;='Detalle'!$H634,J$9&gt;='Detalle'!$G634),1,"")</x:f>
        <x:v>1</x:v>
      </x:c>
      <x:c r="K1303" s="32" t="str">
        <x:f>IF(AND(K$8&lt;='Detalle'!$H634,K$9&gt;='Detalle'!$G634),1,"")</x:f>
      </x:c>
      <x:c r="L1303" s="32" t="str">
        <x:f>IF(AND(L$8&lt;='Detalle'!$H634,L$9&gt;='Detalle'!$G634),1,"")</x:f>
      </x:c>
      <x:c r="M1303" s="32" t="str">
        <x:f>IF(AND(M$8&lt;='Detalle'!$H634,M$9&gt;='Detalle'!$G634),1,"")</x:f>
      </x:c>
      <x:c r="N1303" s="32" t="str">
        <x:f>IF(AND(N$8&lt;='Detalle'!$H634,N$9&gt;='Detalle'!$G634),1,"")</x:f>
      </x:c>
      <x:c r="O1303" s="32" t="str">
        <x:f>IF(AND(O$8&lt;='Detalle'!$H634,O$9&gt;='Detalle'!$G634),1,"")</x:f>
      </x:c>
      <x:c r="P1303" s="32" t="str">
        <x:f>IF(AND(P$8&lt;='Detalle'!$H634,P$9&gt;='Detalle'!$G634),1,"")</x:f>
      </x:c>
      <x:c r="Q1303" s="68"/>
      <x:c r="R1303" s="67" t="str">
        <x:f>IF('Detalle'!M634="","",'Detalle'!M634)</x:f>
      </x:c>
      <x:c r="S1303" s="67" t="str">
        <x:f>IF('Detalle'!N634="","",'Detalle'!N634)</x:f>
      </x:c>
    </x:row>
    <x:row r="1304" ht="16" customHeight="1">
      <x:c r="A1304" s="56" t="str">
        <x:v>TOU01.003</x:v>
      </x:c>
      <x:c r="B1304" s="57" t="str">
        <x:v>Definir versiones públicas y borradores</x:v>
      </x:c>
      <x:c r="C1304" s="63" t="str">
        <x:v>R</x:v>
      </x:c>
      <x:c r="D1304" s="65" t="str">
        <x:f>IF('Detalle'!L634="","",'Detalle'!L634)</x:f>
      </x:c>
      <x:c r="E1304" s="60" t="str"/>
      <x:c r="F1304" s="32" t="str">
        <x:f>IF(OR('Detalle'!$J634="",'Detalle'!$K634="",'Detalle'!$L634=""),"",IF(AND(F$8&lt;='Detalle'!$K634,F$9&gt;='Detalle'!$J634),1,""))</x:f>
      </x:c>
      <x:c r="G1304" s="32" t="str">
        <x:f>IF(OR('Detalle'!$J634="",'Detalle'!$K634="",'Detalle'!$L634=""),"",IF(AND(G$8&lt;='Detalle'!$K634,G$9&gt;='Detalle'!$J634),1,""))</x:f>
      </x:c>
      <x:c r="H1304" s="32" t="str">
        <x:f>IF(OR('Detalle'!$J634="",'Detalle'!$K634="",'Detalle'!$L634=""),"",IF(AND(H$8&lt;='Detalle'!$K634,H$9&gt;='Detalle'!$J634),1,""))</x:f>
      </x:c>
      <x:c r="I1304" s="32" t="str">
        <x:f>IF(OR('Detalle'!$J634="",'Detalle'!$K634="",'Detalle'!$L634=""),"",IF(AND(I$8&lt;='Detalle'!$K634,I$9&gt;='Detalle'!$J634),1,""))</x:f>
      </x:c>
      <x:c r="J1304" s="32" t="str">
        <x:f>IF(OR('Detalle'!$J634="",'Detalle'!$K634="",'Detalle'!$L634=""),"",IF(AND(J$8&lt;='Detalle'!$K634,J$9&gt;='Detalle'!$J634),1,""))</x:f>
      </x:c>
      <x:c r="K1304" s="32" t="str">
        <x:f>IF(OR('Detalle'!$J634="",'Detalle'!$K634="",'Detalle'!$L634=""),"",IF(AND(K$8&lt;='Detalle'!$K634,K$9&gt;='Detalle'!$J634),1,""))</x:f>
      </x:c>
      <x:c r="L1304" s="32" t="str">
        <x:f>IF(OR('Detalle'!$J634="",'Detalle'!$K634="",'Detalle'!$L634=""),"",IF(AND(L$8&lt;='Detalle'!$K634,L$9&gt;='Detalle'!$J634),1,""))</x:f>
      </x:c>
      <x:c r="M1304" s="32" t="str">
        <x:f>IF(OR('Detalle'!$J634="",'Detalle'!$K634="",'Detalle'!$L634=""),"",IF(AND(M$8&lt;='Detalle'!$K634,M$9&gt;='Detalle'!$J634),1,""))</x:f>
      </x:c>
      <x:c r="N1304" s="32" t="str">
        <x:f>IF(OR('Detalle'!$J634="",'Detalle'!$K634="",'Detalle'!$L634=""),"",IF(AND(N$8&lt;='Detalle'!$K634,N$9&gt;='Detalle'!$J634),1,""))</x:f>
      </x:c>
      <x:c r="O1304" s="32" t="str">
        <x:f>IF(OR('Detalle'!$J634="",'Detalle'!$K634="",'Detalle'!$L634=""),"",IF(AND(O$8&lt;='Detalle'!$K634,O$9&gt;='Detalle'!$J634),1,""))</x:f>
      </x:c>
      <x:c r="P1304" s="32" t="str">
        <x:f>IF(OR('Detalle'!$J634="",'Detalle'!$K634="",'Detalle'!$L634=""),"",IF(AND(P$8&lt;='Detalle'!$K634,P$9&gt;='Detalle'!$J634),1,""))</x:f>
      </x:c>
      <x:c r="Q1304" s="68"/>
      <x:c r="R1304" s="67" t="str"/>
      <x:c r="S1304" s="67" t="str"/>
    </x:row>
    <x:row r="1305" ht="16" customHeight="1">
      <x:c r="A1305" s="56" t="str">
        <x:v>TOU01.004</x:v>
      </x:c>
      <x:c r="B1305" s="57" t="str">
        <x:v>Definir responsabilidad del espacio</x:v>
      </x:c>
      <x:c r="C1305" s="62" t="str">
        <x:v>E</x:v>
      </x:c>
      <x:c r="D1305" s="64" t="n">
        <x:f>'Detalle'!I635</x:f>
        <x:v>1</x:v>
      </x:c>
      <x:c r="E1305" s="60" t="str">
        <x:f>'Detalle'!F635</x:f>
        <x:v>Completado</x:v>
      </x:c>
      <x:c r="F1305" s="32" t="str">
        <x:f>IF(AND(F$8&lt;='Detalle'!$H635,F$9&gt;='Detalle'!$G635),1,"")</x:f>
      </x:c>
      <x:c r="G1305" s="32" t="str">
        <x:f>IF(AND(G$8&lt;='Detalle'!$H635,G$9&gt;='Detalle'!$G635),1,"")</x:f>
      </x:c>
      <x:c r="H1305" s="32" t="str">
        <x:f>IF(AND(H$8&lt;='Detalle'!$H635,H$9&gt;='Detalle'!$G635),1,"")</x:f>
      </x:c>
      <x:c r="I1305" s="32" t="str">
        <x:f>IF(AND(I$8&lt;='Detalle'!$H635,I$9&gt;='Detalle'!$G635),1,"")</x:f>
      </x:c>
      <x:c r="J1305" s="32" t="n">
        <x:f>IF(AND(J$8&lt;='Detalle'!$H635,J$9&gt;='Detalle'!$G635),1,"")</x:f>
        <x:v>1</x:v>
      </x:c>
      <x:c r="K1305" s="32" t="str">
        <x:f>IF(AND(K$8&lt;='Detalle'!$H635,K$9&gt;='Detalle'!$G635),1,"")</x:f>
      </x:c>
      <x:c r="L1305" s="32" t="str">
        <x:f>IF(AND(L$8&lt;='Detalle'!$H635,L$9&gt;='Detalle'!$G635),1,"")</x:f>
      </x:c>
      <x:c r="M1305" s="32" t="str">
        <x:f>IF(AND(M$8&lt;='Detalle'!$H635,M$9&gt;='Detalle'!$G635),1,"")</x:f>
      </x:c>
      <x:c r="N1305" s="32" t="str">
        <x:f>IF(AND(N$8&lt;='Detalle'!$H635,N$9&gt;='Detalle'!$G635),1,"")</x:f>
      </x:c>
      <x:c r="O1305" s="32" t="str">
        <x:f>IF(AND(O$8&lt;='Detalle'!$H635,O$9&gt;='Detalle'!$G635),1,"")</x:f>
      </x:c>
      <x:c r="P1305" s="32" t="str">
        <x:f>IF(AND(P$8&lt;='Detalle'!$H635,P$9&gt;='Detalle'!$G635),1,"")</x:f>
      </x:c>
      <x:c r="Q1305" s="68"/>
      <x:c r="R1305" s="67" t="str">
        <x:f>IF('Detalle'!M635="","",'Detalle'!M635)</x:f>
      </x:c>
      <x:c r="S1305" s="67" t="str">
        <x:f>IF('Detalle'!N635="","",'Detalle'!N635)</x:f>
      </x:c>
    </x:row>
    <x:row r="1306" ht="16" customHeight="1">
      <x:c r="A1306" s="56" t="str">
        <x:v>TOU01.004</x:v>
      </x:c>
      <x:c r="B1306" s="57" t="str">
        <x:v>Definir responsabilidad del espacio</x:v>
      </x:c>
      <x:c r="C1306" s="63" t="str">
        <x:v>R</x:v>
      </x:c>
      <x:c r="D1306" s="65" t="str">
        <x:f>IF('Detalle'!L635="","",'Detalle'!L635)</x:f>
      </x:c>
      <x:c r="E1306" s="60" t="str"/>
      <x:c r="F1306" s="32" t="str">
        <x:f>IF(OR('Detalle'!$J635="",'Detalle'!$K635="",'Detalle'!$L635=""),"",IF(AND(F$8&lt;='Detalle'!$K635,F$9&gt;='Detalle'!$J635),1,""))</x:f>
      </x:c>
      <x:c r="G1306" s="32" t="str">
        <x:f>IF(OR('Detalle'!$J635="",'Detalle'!$K635="",'Detalle'!$L635=""),"",IF(AND(G$8&lt;='Detalle'!$K635,G$9&gt;='Detalle'!$J635),1,""))</x:f>
      </x:c>
      <x:c r="H1306" s="32" t="str">
        <x:f>IF(OR('Detalle'!$J635="",'Detalle'!$K635="",'Detalle'!$L635=""),"",IF(AND(H$8&lt;='Detalle'!$K635,H$9&gt;='Detalle'!$J635),1,""))</x:f>
      </x:c>
      <x:c r="I1306" s="32" t="str">
        <x:f>IF(OR('Detalle'!$J635="",'Detalle'!$K635="",'Detalle'!$L635=""),"",IF(AND(I$8&lt;='Detalle'!$K635,I$9&gt;='Detalle'!$J635),1,""))</x:f>
      </x:c>
      <x:c r="J1306" s="32" t="str">
        <x:f>IF(OR('Detalle'!$J635="",'Detalle'!$K635="",'Detalle'!$L635=""),"",IF(AND(J$8&lt;='Detalle'!$K635,J$9&gt;='Detalle'!$J635),1,""))</x:f>
      </x:c>
      <x:c r="K1306" s="32" t="str">
        <x:f>IF(OR('Detalle'!$J635="",'Detalle'!$K635="",'Detalle'!$L635=""),"",IF(AND(K$8&lt;='Detalle'!$K635,K$9&gt;='Detalle'!$J635),1,""))</x:f>
      </x:c>
      <x:c r="L1306" s="32" t="str">
        <x:f>IF(OR('Detalle'!$J635="",'Detalle'!$K635="",'Detalle'!$L635=""),"",IF(AND(L$8&lt;='Detalle'!$K635,L$9&gt;='Detalle'!$J635),1,""))</x:f>
      </x:c>
      <x:c r="M1306" s="32" t="str">
        <x:f>IF(OR('Detalle'!$J635="",'Detalle'!$K635="",'Detalle'!$L635=""),"",IF(AND(M$8&lt;='Detalle'!$K635,M$9&gt;='Detalle'!$J635),1,""))</x:f>
      </x:c>
      <x:c r="N1306" s="32" t="str">
        <x:f>IF(OR('Detalle'!$J635="",'Detalle'!$K635="",'Detalle'!$L635=""),"",IF(AND(N$8&lt;='Detalle'!$K635,N$9&gt;='Detalle'!$J635),1,""))</x:f>
      </x:c>
      <x:c r="O1306" s="32" t="str">
        <x:f>IF(OR('Detalle'!$J635="",'Detalle'!$K635="",'Detalle'!$L635=""),"",IF(AND(O$8&lt;='Detalle'!$K635,O$9&gt;='Detalle'!$J635),1,""))</x:f>
      </x:c>
      <x:c r="P1306" s="32" t="str">
        <x:f>IF(OR('Detalle'!$J635="",'Detalle'!$K635="",'Detalle'!$L635=""),"",IF(AND(P$8&lt;='Detalle'!$K635,P$9&gt;='Detalle'!$J635),1,""))</x:f>
      </x:c>
      <x:c r="Q1306" s="68"/>
      <x:c r="R1306" s="67" t="str"/>
      <x:c r="S1306" s="67" t="str"/>
    </x:row>
    <x:row r="1307" ht="16" customHeight="1">
      <x:c r="A1307" s="56" t="str">
        <x:v>TOU01.005</x:v>
      </x:c>
      <x:c r="B1307" s="57" t="str">
        <x:v>Definir permisos de contenido vinculado</x:v>
      </x:c>
      <x:c r="C1307" s="62" t="str">
        <x:v>E</x:v>
      </x:c>
      <x:c r="D1307" s="64" t="n">
        <x:f>'Detalle'!I636</x:f>
        <x:v>1</x:v>
      </x:c>
      <x:c r="E1307" s="60" t="str">
        <x:f>'Detalle'!F636</x:f>
        <x:v>Completado</x:v>
      </x:c>
      <x:c r="F1307" s="32" t="str">
        <x:f>IF(AND(F$8&lt;='Detalle'!$H636,F$9&gt;='Detalle'!$G636),1,"")</x:f>
      </x:c>
      <x:c r="G1307" s="32" t="str">
        <x:f>IF(AND(G$8&lt;='Detalle'!$H636,G$9&gt;='Detalle'!$G636),1,"")</x:f>
      </x:c>
      <x:c r="H1307" s="32" t="str">
        <x:f>IF(AND(H$8&lt;='Detalle'!$H636,H$9&gt;='Detalle'!$G636),1,"")</x:f>
      </x:c>
      <x:c r="I1307" s="32" t="str">
        <x:f>IF(AND(I$8&lt;='Detalle'!$H636,I$9&gt;='Detalle'!$G636),1,"")</x:f>
      </x:c>
      <x:c r="J1307" s="32" t="n">
        <x:f>IF(AND(J$8&lt;='Detalle'!$H636,J$9&gt;='Detalle'!$G636),1,"")</x:f>
        <x:v>1</x:v>
      </x:c>
      <x:c r="K1307" s="32" t="str">
        <x:f>IF(AND(K$8&lt;='Detalle'!$H636,K$9&gt;='Detalle'!$G636),1,"")</x:f>
      </x:c>
      <x:c r="L1307" s="32" t="str">
        <x:f>IF(AND(L$8&lt;='Detalle'!$H636,L$9&gt;='Detalle'!$G636),1,"")</x:f>
      </x:c>
      <x:c r="M1307" s="32" t="str">
        <x:f>IF(AND(M$8&lt;='Detalle'!$H636,M$9&gt;='Detalle'!$G636),1,"")</x:f>
      </x:c>
      <x:c r="N1307" s="32" t="str">
        <x:f>IF(AND(N$8&lt;='Detalle'!$H636,N$9&gt;='Detalle'!$G636),1,"")</x:f>
      </x:c>
      <x:c r="O1307" s="32" t="str">
        <x:f>IF(AND(O$8&lt;='Detalle'!$H636,O$9&gt;='Detalle'!$G636),1,"")</x:f>
      </x:c>
      <x:c r="P1307" s="32" t="str">
        <x:f>IF(AND(P$8&lt;='Detalle'!$H636,P$9&gt;='Detalle'!$G636),1,"")</x:f>
      </x:c>
      <x:c r="Q1307" s="68"/>
      <x:c r="R1307" s="67" t="str">
        <x:f>IF('Detalle'!M636="","",'Detalle'!M636)</x:f>
      </x:c>
      <x:c r="S1307" s="67" t="str">
        <x:f>IF('Detalle'!N636="","",'Detalle'!N636)</x:f>
      </x:c>
    </x:row>
    <x:row r="1308" ht="16" customHeight="1">
      <x:c r="A1308" s="56" t="str">
        <x:v>TOU01.005</x:v>
      </x:c>
      <x:c r="B1308" s="57" t="str">
        <x:v>Definir permisos de contenido vinculado</x:v>
      </x:c>
      <x:c r="C1308" s="63" t="str">
        <x:v>R</x:v>
      </x:c>
      <x:c r="D1308" s="65" t="str">
        <x:f>IF('Detalle'!L636="","",'Detalle'!L636)</x:f>
      </x:c>
      <x:c r="E1308" s="60" t="str"/>
      <x:c r="F1308" s="32" t="str">
        <x:f>IF(OR('Detalle'!$J636="",'Detalle'!$K636="",'Detalle'!$L636=""),"",IF(AND(F$8&lt;='Detalle'!$K636,F$9&gt;='Detalle'!$J636),1,""))</x:f>
      </x:c>
      <x:c r="G1308" s="32" t="str">
        <x:f>IF(OR('Detalle'!$J636="",'Detalle'!$K636="",'Detalle'!$L636=""),"",IF(AND(G$8&lt;='Detalle'!$K636,G$9&gt;='Detalle'!$J636),1,""))</x:f>
      </x:c>
      <x:c r="H1308" s="32" t="str">
        <x:f>IF(OR('Detalle'!$J636="",'Detalle'!$K636="",'Detalle'!$L636=""),"",IF(AND(H$8&lt;='Detalle'!$K636,H$9&gt;='Detalle'!$J636),1,""))</x:f>
      </x:c>
      <x:c r="I1308" s="32" t="str">
        <x:f>IF(OR('Detalle'!$J636="",'Detalle'!$K636="",'Detalle'!$L636=""),"",IF(AND(I$8&lt;='Detalle'!$K636,I$9&gt;='Detalle'!$J636),1,""))</x:f>
      </x:c>
      <x:c r="J1308" s="32" t="str">
        <x:f>IF(OR('Detalle'!$J636="",'Detalle'!$K636="",'Detalle'!$L636=""),"",IF(AND(J$8&lt;='Detalle'!$K636,J$9&gt;='Detalle'!$J636),1,""))</x:f>
      </x:c>
      <x:c r="K1308" s="32" t="str">
        <x:f>IF(OR('Detalle'!$J636="",'Detalle'!$K636="",'Detalle'!$L636=""),"",IF(AND(K$8&lt;='Detalle'!$K636,K$9&gt;='Detalle'!$J636),1,""))</x:f>
      </x:c>
      <x:c r="L1308" s="32" t="str">
        <x:f>IF(OR('Detalle'!$J636="",'Detalle'!$K636="",'Detalle'!$L636=""),"",IF(AND(L$8&lt;='Detalle'!$K636,L$9&gt;='Detalle'!$J636),1,""))</x:f>
      </x:c>
      <x:c r="M1308" s="32" t="str">
        <x:f>IF(OR('Detalle'!$J636="",'Detalle'!$K636="",'Detalle'!$L636=""),"",IF(AND(M$8&lt;='Detalle'!$K636,M$9&gt;='Detalle'!$J636),1,""))</x:f>
      </x:c>
      <x:c r="N1308" s="32" t="str">
        <x:f>IF(OR('Detalle'!$J636="",'Detalle'!$K636="",'Detalle'!$L636=""),"",IF(AND(N$8&lt;='Detalle'!$K636,N$9&gt;='Detalle'!$J636),1,""))</x:f>
      </x:c>
      <x:c r="O1308" s="32" t="str">
        <x:f>IF(OR('Detalle'!$J636="",'Detalle'!$K636="",'Detalle'!$L636=""),"",IF(AND(O$8&lt;='Detalle'!$K636,O$9&gt;='Detalle'!$J636),1,""))</x:f>
      </x:c>
      <x:c r="P1308" s="32" t="str">
        <x:f>IF(OR('Detalle'!$J636="",'Detalle'!$K636="",'Detalle'!$L636=""),"",IF(AND(P$8&lt;='Detalle'!$K636,P$9&gt;='Detalle'!$J636),1,""))</x:f>
      </x:c>
      <x:c r="Q1308" s="68"/>
      <x:c r="R1308" s="67" t="str"/>
      <x:c r="S1308" s="67" t="str"/>
    </x:row>
    <x:row r="1309" ht="16" customHeight="1">
      <x:c r="A1309" s="56" t="str">
        <x:v>TOU01.006</x:v>
      </x:c>
      <x:c r="B1309" s="57" t="str">
        <x:v>Diseñar asistente de preparación</x:v>
      </x:c>
      <x:c r="C1309" s="62" t="str">
        <x:v>E</x:v>
      </x:c>
      <x:c r="D1309" s="64" t="n">
        <x:f>'Detalle'!I637</x:f>
        <x:v>1</x:v>
      </x:c>
      <x:c r="E1309" s="60" t="str">
        <x:f>'Detalle'!F637</x:f>
        <x:v>Completado</x:v>
      </x:c>
      <x:c r="F1309" s="32" t="str">
        <x:f>IF(AND(F$8&lt;='Detalle'!$H637,F$9&gt;='Detalle'!$G637),1,"")</x:f>
      </x:c>
      <x:c r="G1309" s="32" t="str">
        <x:f>IF(AND(G$8&lt;='Detalle'!$H637,G$9&gt;='Detalle'!$G637),1,"")</x:f>
      </x:c>
      <x:c r="H1309" s="32" t="str">
        <x:f>IF(AND(H$8&lt;='Detalle'!$H637,H$9&gt;='Detalle'!$G637),1,"")</x:f>
      </x:c>
      <x:c r="I1309" s="32" t="str">
        <x:f>IF(AND(I$8&lt;='Detalle'!$H637,I$9&gt;='Detalle'!$G637),1,"")</x:f>
      </x:c>
      <x:c r="J1309" s="32" t="n">
        <x:f>IF(AND(J$8&lt;='Detalle'!$H637,J$9&gt;='Detalle'!$G637),1,"")</x:f>
        <x:v>1</x:v>
      </x:c>
      <x:c r="K1309" s="32" t="str">
        <x:f>IF(AND(K$8&lt;='Detalle'!$H637,K$9&gt;='Detalle'!$G637),1,"")</x:f>
      </x:c>
      <x:c r="L1309" s="32" t="str">
        <x:f>IF(AND(L$8&lt;='Detalle'!$H637,L$9&gt;='Detalle'!$G637),1,"")</x:f>
      </x:c>
      <x:c r="M1309" s="32" t="str">
        <x:f>IF(AND(M$8&lt;='Detalle'!$H637,M$9&gt;='Detalle'!$G637),1,"")</x:f>
      </x:c>
      <x:c r="N1309" s="32" t="str">
        <x:f>IF(AND(N$8&lt;='Detalle'!$H637,N$9&gt;='Detalle'!$G637),1,"")</x:f>
      </x:c>
      <x:c r="O1309" s="32" t="str">
        <x:f>IF(AND(O$8&lt;='Detalle'!$H637,O$9&gt;='Detalle'!$G637),1,"")</x:f>
      </x:c>
      <x:c r="P1309" s="32" t="str">
        <x:f>IF(AND(P$8&lt;='Detalle'!$H637,P$9&gt;='Detalle'!$G637),1,"")</x:f>
      </x:c>
      <x:c r="Q1309" s="68"/>
      <x:c r="R1309" s="67" t="str">
        <x:f>IF('Detalle'!M637="","",'Detalle'!M637)</x:f>
      </x:c>
      <x:c r="S1309" s="67" t="str">
        <x:f>IF('Detalle'!N637="","",'Detalle'!N637)</x:f>
      </x:c>
    </x:row>
    <x:row r="1310" ht="16" customHeight="1">
      <x:c r="A1310" s="56" t="str">
        <x:v>TOU01.006</x:v>
      </x:c>
      <x:c r="B1310" s="57" t="str">
        <x:v>Diseñar asistente de preparación</x:v>
      </x:c>
      <x:c r="C1310" s="63" t="str">
        <x:v>R</x:v>
      </x:c>
      <x:c r="D1310" s="65" t="str">
        <x:f>IF('Detalle'!L637="","",'Detalle'!L637)</x:f>
      </x:c>
      <x:c r="E1310" s="60" t="str"/>
      <x:c r="F1310" s="32" t="str">
        <x:f>IF(OR('Detalle'!$J637="",'Detalle'!$K637="",'Detalle'!$L637=""),"",IF(AND(F$8&lt;='Detalle'!$K637,F$9&gt;='Detalle'!$J637),1,""))</x:f>
      </x:c>
      <x:c r="G1310" s="32" t="str">
        <x:f>IF(OR('Detalle'!$J637="",'Detalle'!$K637="",'Detalle'!$L637=""),"",IF(AND(G$8&lt;='Detalle'!$K637,G$9&gt;='Detalle'!$J637),1,""))</x:f>
      </x:c>
      <x:c r="H1310" s="32" t="str">
        <x:f>IF(OR('Detalle'!$J637="",'Detalle'!$K637="",'Detalle'!$L637=""),"",IF(AND(H$8&lt;='Detalle'!$K637,H$9&gt;='Detalle'!$J637),1,""))</x:f>
      </x:c>
      <x:c r="I1310" s="32" t="str">
        <x:f>IF(OR('Detalle'!$J637="",'Detalle'!$K637="",'Detalle'!$L637=""),"",IF(AND(I$8&lt;='Detalle'!$K637,I$9&gt;='Detalle'!$J637),1,""))</x:f>
      </x:c>
      <x:c r="J1310" s="32" t="str">
        <x:f>IF(OR('Detalle'!$J637="",'Detalle'!$K637="",'Detalle'!$L637=""),"",IF(AND(J$8&lt;='Detalle'!$K637,J$9&gt;='Detalle'!$J637),1,""))</x:f>
      </x:c>
      <x:c r="K1310" s="32" t="str">
        <x:f>IF(OR('Detalle'!$J637="",'Detalle'!$K637="",'Detalle'!$L637=""),"",IF(AND(K$8&lt;='Detalle'!$K637,K$9&gt;='Detalle'!$J637),1,""))</x:f>
      </x:c>
      <x:c r="L1310" s="32" t="str">
        <x:f>IF(OR('Detalle'!$J637="",'Detalle'!$K637="",'Detalle'!$L637=""),"",IF(AND(L$8&lt;='Detalle'!$K637,L$9&gt;='Detalle'!$J637),1,""))</x:f>
      </x:c>
      <x:c r="M1310" s="32" t="str">
        <x:f>IF(OR('Detalle'!$J637="",'Detalle'!$K637="",'Detalle'!$L637=""),"",IF(AND(M$8&lt;='Detalle'!$K637,M$9&gt;='Detalle'!$J637),1,""))</x:f>
      </x:c>
      <x:c r="N1310" s="32" t="str">
        <x:f>IF(OR('Detalle'!$J637="",'Detalle'!$K637="",'Detalle'!$L637=""),"",IF(AND(N$8&lt;='Detalle'!$K637,N$9&gt;='Detalle'!$J637),1,""))</x:f>
      </x:c>
      <x:c r="O1310" s="32" t="str">
        <x:f>IF(OR('Detalle'!$J637="",'Detalle'!$K637="",'Detalle'!$L637=""),"",IF(AND(O$8&lt;='Detalle'!$K637,O$9&gt;='Detalle'!$J637),1,""))</x:f>
      </x:c>
      <x:c r="P1310" s="32" t="str">
        <x:f>IF(OR('Detalle'!$J637="",'Detalle'!$K637="",'Detalle'!$L637=""),"",IF(AND(P$8&lt;='Detalle'!$K637,P$9&gt;='Detalle'!$J637),1,""))</x:f>
      </x:c>
      <x:c r="Q1310" s="68"/>
      <x:c r="R1310" s="67" t="str"/>
      <x:c r="S1310" s="67" t="str"/>
    </x:row>
    <x:row r="1311" ht="16" customHeight="1">
      <x:c r="A1311" s="56" t="str">
        <x:v>TOU01.007</x:v>
      </x:c>
      <x:c r="B1311" s="57" t="str">
        <x:v>Diseñar captura desde posición fija</x:v>
      </x:c>
      <x:c r="C1311" s="62" t="str">
        <x:v>E</x:v>
      </x:c>
      <x:c r="D1311" s="64" t="n">
        <x:f>'Detalle'!I638</x:f>
        <x:v>1</x:v>
      </x:c>
      <x:c r="E1311" s="60" t="str">
        <x:f>'Detalle'!F638</x:f>
        <x:v>Completado</x:v>
      </x:c>
      <x:c r="F1311" s="32" t="str">
        <x:f>IF(AND(F$8&lt;='Detalle'!$H638,F$9&gt;='Detalle'!$G638),1,"")</x:f>
      </x:c>
      <x:c r="G1311" s="32" t="str">
        <x:f>IF(AND(G$8&lt;='Detalle'!$H638,G$9&gt;='Detalle'!$G638),1,"")</x:f>
      </x:c>
      <x:c r="H1311" s="32" t="str">
        <x:f>IF(AND(H$8&lt;='Detalle'!$H638,H$9&gt;='Detalle'!$G638),1,"")</x:f>
      </x:c>
      <x:c r="I1311" s="32" t="str">
        <x:f>IF(AND(I$8&lt;='Detalle'!$H638,I$9&gt;='Detalle'!$G638),1,"")</x:f>
      </x:c>
      <x:c r="J1311" s="32" t="n">
        <x:f>IF(AND(J$8&lt;='Detalle'!$H638,J$9&gt;='Detalle'!$G638),1,"")</x:f>
        <x:v>1</x:v>
      </x:c>
      <x:c r="K1311" s="32" t="str">
        <x:f>IF(AND(K$8&lt;='Detalle'!$H638,K$9&gt;='Detalle'!$G638),1,"")</x:f>
      </x:c>
      <x:c r="L1311" s="32" t="str">
        <x:f>IF(AND(L$8&lt;='Detalle'!$H638,L$9&gt;='Detalle'!$G638),1,"")</x:f>
      </x:c>
      <x:c r="M1311" s="32" t="str">
        <x:f>IF(AND(M$8&lt;='Detalle'!$H638,M$9&gt;='Detalle'!$G638),1,"")</x:f>
      </x:c>
      <x:c r="N1311" s="32" t="str">
        <x:f>IF(AND(N$8&lt;='Detalle'!$H638,N$9&gt;='Detalle'!$G638),1,"")</x:f>
      </x:c>
      <x:c r="O1311" s="32" t="str">
        <x:f>IF(AND(O$8&lt;='Detalle'!$H638,O$9&gt;='Detalle'!$G638),1,"")</x:f>
      </x:c>
      <x:c r="P1311" s="32" t="str">
        <x:f>IF(AND(P$8&lt;='Detalle'!$H638,P$9&gt;='Detalle'!$G638),1,"")</x:f>
      </x:c>
      <x:c r="Q1311" s="68"/>
      <x:c r="R1311" s="67" t="str">
        <x:f>IF('Detalle'!M638="","",'Detalle'!M638)</x:f>
      </x:c>
      <x:c r="S1311" s="67" t="str">
        <x:f>IF('Detalle'!N638="","",'Detalle'!N638)</x:f>
      </x:c>
    </x:row>
    <x:row r="1312" ht="16" customHeight="1">
      <x:c r="A1312" s="56" t="str">
        <x:v>TOU01.007</x:v>
      </x:c>
      <x:c r="B1312" s="57" t="str">
        <x:v>Diseñar captura desde posición fija</x:v>
      </x:c>
      <x:c r="C1312" s="63" t="str">
        <x:v>R</x:v>
      </x:c>
      <x:c r="D1312" s="65" t="str">
        <x:f>IF('Detalle'!L638="","",'Detalle'!L638)</x:f>
      </x:c>
      <x:c r="E1312" s="60" t="str"/>
      <x:c r="F1312" s="32" t="str">
        <x:f>IF(OR('Detalle'!$J638="",'Detalle'!$K638="",'Detalle'!$L638=""),"",IF(AND(F$8&lt;='Detalle'!$K638,F$9&gt;='Detalle'!$J638),1,""))</x:f>
      </x:c>
      <x:c r="G1312" s="32" t="str">
        <x:f>IF(OR('Detalle'!$J638="",'Detalle'!$K638="",'Detalle'!$L638=""),"",IF(AND(G$8&lt;='Detalle'!$K638,G$9&gt;='Detalle'!$J638),1,""))</x:f>
      </x:c>
      <x:c r="H1312" s="32" t="str">
        <x:f>IF(OR('Detalle'!$J638="",'Detalle'!$K638="",'Detalle'!$L638=""),"",IF(AND(H$8&lt;='Detalle'!$K638,H$9&gt;='Detalle'!$J638),1,""))</x:f>
      </x:c>
      <x:c r="I1312" s="32" t="str">
        <x:f>IF(OR('Detalle'!$J638="",'Detalle'!$K638="",'Detalle'!$L638=""),"",IF(AND(I$8&lt;='Detalle'!$K638,I$9&gt;='Detalle'!$J638),1,""))</x:f>
      </x:c>
      <x:c r="J1312" s="32" t="str">
        <x:f>IF(OR('Detalle'!$J638="",'Detalle'!$K638="",'Detalle'!$L638=""),"",IF(AND(J$8&lt;='Detalle'!$K638,J$9&gt;='Detalle'!$J638),1,""))</x:f>
      </x:c>
      <x:c r="K1312" s="32" t="str">
        <x:f>IF(OR('Detalle'!$J638="",'Detalle'!$K638="",'Detalle'!$L638=""),"",IF(AND(K$8&lt;='Detalle'!$K638,K$9&gt;='Detalle'!$J638),1,""))</x:f>
      </x:c>
      <x:c r="L1312" s="32" t="str">
        <x:f>IF(OR('Detalle'!$J638="",'Detalle'!$K638="",'Detalle'!$L638=""),"",IF(AND(L$8&lt;='Detalle'!$K638,L$9&gt;='Detalle'!$J638),1,""))</x:f>
      </x:c>
      <x:c r="M1312" s="32" t="str">
        <x:f>IF(OR('Detalle'!$J638="",'Detalle'!$K638="",'Detalle'!$L638=""),"",IF(AND(M$8&lt;='Detalle'!$K638,M$9&gt;='Detalle'!$J638),1,""))</x:f>
      </x:c>
      <x:c r="N1312" s="32" t="str">
        <x:f>IF(OR('Detalle'!$J638="",'Detalle'!$K638="",'Detalle'!$L638=""),"",IF(AND(N$8&lt;='Detalle'!$K638,N$9&gt;='Detalle'!$J638),1,""))</x:f>
      </x:c>
      <x:c r="O1312" s="32" t="str">
        <x:f>IF(OR('Detalle'!$J638="",'Detalle'!$K638="",'Detalle'!$L638=""),"",IF(AND(O$8&lt;='Detalle'!$K638,O$9&gt;='Detalle'!$J638),1,""))</x:f>
      </x:c>
      <x:c r="P1312" s="32" t="str">
        <x:f>IF(OR('Detalle'!$J638="",'Detalle'!$K638="",'Detalle'!$L638=""),"",IF(AND(P$8&lt;='Detalle'!$K638,P$9&gt;='Detalle'!$J638),1,""))</x:f>
      </x:c>
      <x:c r="Q1312" s="68"/>
      <x:c r="R1312" s="67" t="str"/>
      <x:c r="S1312" s="67" t="str"/>
    </x:row>
    <x:row r="1313" ht="16" customHeight="1">
      <x:c r="A1313" s="56" t="str">
        <x:v>TOU01.008</x:v>
      </x:c>
      <x:c r="B1313" s="57" t="str">
        <x:v>Diseñar visita sin permisos de cámara</x:v>
      </x:c>
      <x:c r="C1313" s="62" t="str">
        <x:v>E</x:v>
      </x:c>
      <x:c r="D1313" s="64" t="n">
        <x:f>'Detalle'!I639</x:f>
        <x:v>1</x:v>
      </x:c>
      <x:c r="E1313" s="60" t="str">
        <x:f>'Detalle'!F639</x:f>
        <x:v>Completado</x:v>
      </x:c>
      <x:c r="F1313" s="32" t="str">
        <x:f>IF(AND(F$8&lt;='Detalle'!$H639,F$9&gt;='Detalle'!$G639),1,"")</x:f>
      </x:c>
      <x:c r="G1313" s="32" t="str">
        <x:f>IF(AND(G$8&lt;='Detalle'!$H639,G$9&gt;='Detalle'!$G639),1,"")</x:f>
      </x:c>
      <x:c r="H1313" s="32" t="str">
        <x:f>IF(AND(H$8&lt;='Detalle'!$H639,H$9&gt;='Detalle'!$G639),1,"")</x:f>
      </x:c>
      <x:c r="I1313" s="32" t="str">
        <x:f>IF(AND(I$8&lt;='Detalle'!$H639,I$9&gt;='Detalle'!$G639),1,"")</x:f>
      </x:c>
      <x:c r="J1313" s="32" t="n">
        <x:f>IF(AND(J$8&lt;='Detalle'!$H639,J$9&gt;='Detalle'!$G639),1,"")</x:f>
        <x:v>1</x:v>
      </x:c>
      <x:c r="K1313" s="32" t="str">
        <x:f>IF(AND(K$8&lt;='Detalle'!$H639,K$9&gt;='Detalle'!$G639),1,"")</x:f>
      </x:c>
      <x:c r="L1313" s="32" t="str">
        <x:f>IF(AND(L$8&lt;='Detalle'!$H639,L$9&gt;='Detalle'!$G639),1,"")</x:f>
      </x:c>
      <x:c r="M1313" s="32" t="str">
        <x:f>IF(AND(M$8&lt;='Detalle'!$H639,M$9&gt;='Detalle'!$G639),1,"")</x:f>
      </x:c>
      <x:c r="N1313" s="32" t="str">
        <x:f>IF(AND(N$8&lt;='Detalle'!$H639,N$9&gt;='Detalle'!$G639),1,"")</x:f>
      </x:c>
      <x:c r="O1313" s="32" t="str">
        <x:f>IF(AND(O$8&lt;='Detalle'!$H639,O$9&gt;='Detalle'!$G639),1,"")</x:f>
      </x:c>
      <x:c r="P1313" s="32" t="str">
        <x:f>IF(AND(P$8&lt;='Detalle'!$H639,P$9&gt;='Detalle'!$G639),1,"")</x:f>
      </x:c>
      <x:c r="Q1313" s="68"/>
      <x:c r="R1313" s="67" t="str">
        <x:f>IF('Detalle'!M639="","",'Detalle'!M639)</x:f>
      </x:c>
      <x:c r="S1313" s="67" t="str">
        <x:f>IF('Detalle'!N639="","",'Detalle'!N639)</x:f>
      </x:c>
    </x:row>
    <x:row r="1314" ht="16" customHeight="1">
      <x:c r="A1314" s="56" t="str">
        <x:v>TOU01.008</x:v>
      </x:c>
      <x:c r="B1314" s="57" t="str">
        <x:v>Diseñar visita sin permisos de cámara</x:v>
      </x:c>
      <x:c r="C1314" s="63" t="str">
        <x:v>R</x:v>
      </x:c>
      <x:c r="D1314" s="65" t="str">
        <x:f>IF('Detalle'!L639="","",'Detalle'!L639)</x:f>
      </x:c>
      <x:c r="E1314" s="60" t="str"/>
      <x:c r="F1314" s="32" t="str">
        <x:f>IF(OR('Detalle'!$J639="",'Detalle'!$K639="",'Detalle'!$L639=""),"",IF(AND(F$8&lt;='Detalle'!$K639,F$9&gt;='Detalle'!$J639),1,""))</x:f>
      </x:c>
      <x:c r="G1314" s="32" t="str">
        <x:f>IF(OR('Detalle'!$J639="",'Detalle'!$K639="",'Detalle'!$L639=""),"",IF(AND(G$8&lt;='Detalle'!$K639,G$9&gt;='Detalle'!$J639),1,""))</x:f>
      </x:c>
      <x:c r="H1314" s="32" t="str">
        <x:f>IF(OR('Detalle'!$J639="",'Detalle'!$K639="",'Detalle'!$L639=""),"",IF(AND(H$8&lt;='Detalle'!$K639,H$9&gt;='Detalle'!$J639),1,""))</x:f>
      </x:c>
      <x:c r="I1314" s="32" t="str">
        <x:f>IF(OR('Detalle'!$J639="",'Detalle'!$K639="",'Detalle'!$L639=""),"",IF(AND(I$8&lt;='Detalle'!$K639,I$9&gt;='Detalle'!$J639),1,""))</x:f>
      </x:c>
      <x:c r="J1314" s="32" t="str">
        <x:f>IF(OR('Detalle'!$J639="",'Detalle'!$K639="",'Detalle'!$L639=""),"",IF(AND(J$8&lt;='Detalle'!$K639,J$9&gt;='Detalle'!$J639),1,""))</x:f>
      </x:c>
      <x:c r="K1314" s="32" t="str">
        <x:f>IF(OR('Detalle'!$J639="",'Detalle'!$K639="",'Detalle'!$L639=""),"",IF(AND(K$8&lt;='Detalle'!$K639,K$9&gt;='Detalle'!$J639),1,""))</x:f>
      </x:c>
      <x:c r="L1314" s="32" t="str">
        <x:f>IF(OR('Detalle'!$J639="",'Detalle'!$K639="",'Detalle'!$L639=""),"",IF(AND(L$8&lt;='Detalle'!$K639,L$9&gt;='Detalle'!$J639),1,""))</x:f>
      </x:c>
      <x:c r="M1314" s="32" t="str">
        <x:f>IF(OR('Detalle'!$J639="",'Detalle'!$K639="",'Detalle'!$L639=""),"",IF(AND(M$8&lt;='Detalle'!$K639,M$9&gt;='Detalle'!$J639),1,""))</x:f>
      </x:c>
      <x:c r="N1314" s="32" t="str">
        <x:f>IF(OR('Detalle'!$J639="",'Detalle'!$K639="",'Detalle'!$L639=""),"",IF(AND(N$8&lt;='Detalle'!$K639,N$9&gt;='Detalle'!$J639),1,""))</x:f>
      </x:c>
      <x:c r="O1314" s="32" t="str">
        <x:f>IF(OR('Detalle'!$J639="",'Detalle'!$K639="",'Detalle'!$L639=""),"",IF(AND(O$8&lt;='Detalle'!$K639,O$9&gt;='Detalle'!$J639),1,""))</x:f>
      </x:c>
      <x:c r="P1314" s="32" t="str">
        <x:f>IF(OR('Detalle'!$J639="",'Detalle'!$K639="",'Detalle'!$L639=""),"",IF(AND(P$8&lt;='Detalle'!$K639,P$9&gt;='Detalle'!$J639),1,""))</x:f>
      </x:c>
      <x:c r="Q1314" s="68"/>
      <x:c r="R1314" s="67" t="str"/>
      <x:c r="S1314" s="67" t="str"/>
    </x:row>
    <x:row r="1315" ht="16" customHeight="1">
      <x:c r="A1315" s="56" t="str">
        <x:v>TOU01.009</x:v>
      </x:c>
      <x:c r="B1315" s="57" t="str">
        <x:v>Diseñar alternativa de lista en AR</x:v>
      </x:c>
      <x:c r="C1315" s="62" t="str">
        <x:v>E</x:v>
      </x:c>
      <x:c r="D1315" s="64" t="n">
        <x:f>'Detalle'!I640</x:f>
        <x:v>1</x:v>
      </x:c>
      <x:c r="E1315" s="60" t="str">
        <x:f>'Detalle'!F640</x:f>
        <x:v>Completado</x:v>
      </x:c>
      <x:c r="F1315" s="32" t="str">
        <x:f>IF(AND(F$8&lt;='Detalle'!$H640,F$9&gt;='Detalle'!$G640),1,"")</x:f>
      </x:c>
      <x:c r="G1315" s="32" t="str">
        <x:f>IF(AND(G$8&lt;='Detalle'!$H640,G$9&gt;='Detalle'!$G640),1,"")</x:f>
      </x:c>
      <x:c r="H1315" s="32" t="str">
        <x:f>IF(AND(H$8&lt;='Detalle'!$H640,H$9&gt;='Detalle'!$G640),1,"")</x:f>
      </x:c>
      <x:c r="I1315" s="32" t="str">
        <x:f>IF(AND(I$8&lt;='Detalle'!$H640,I$9&gt;='Detalle'!$G640),1,"")</x:f>
      </x:c>
      <x:c r="J1315" s="32" t="n">
        <x:f>IF(AND(J$8&lt;='Detalle'!$H640,J$9&gt;='Detalle'!$G640),1,"")</x:f>
        <x:v>1</x:v>
      </x:c>
      <x:c r="K1315" s="32" t="str">
        <x:f>IF(AND(K$8&lt;='Detalle'!$H640,K$9&gt;='Detalle'!$G640),1,"")</x:f>
      </x:c>
      <x:c r="L1315" s="32" t="str">
        <x:f>IF(AND(L$8&lt;='Detalle'!$H640,L$9&gt;='Detalle'!$G640),1,"")</x:f>
      </x:c>
      <x:c r="M1315" s="32" t="str">
        <x:f>IF(AND(M$8&lt;='Detalle'!$H640,M$9&gt;='Detalle'!$G640),1,"")</x:f>
      </x:c>
      <x:c r="N1315" s="32" t="str">
        <x:f>IF(AND(N$8&lt;='Detalle'!$H640,N$9&gt;='Detalle'!$G640),1,"")</x:f>
      </x:c>
      <x:c r="O1315" s="32" t="str">
        <x:f>IF(AND(O$8&lt;='Detalle'!$H640,O$9&gt;='Detalle'!$G640),1,"")</x:f>
      </x:c>
      <x:c r="P1315" s="32" t="str">
        <x:f>IF(AND(P$8&lt;='Detalle'!$H640,P$9&gt;='Detalle'!$G640),1,"")</x:f>
      </x:c>
      <x:c r="Q1315" s="68"/>
      <x:c r="R1315" s="67" t="str">
        <x:f>IF('Detalle'!M640="","",'Detalle'!M640)</x:f>
      </x:c>
      <x:c r="S1315" s="67" t="str">
        <x:f>IF('Detalle'!N640="","",'Detalle'!N640)</x:f>
      </x:c>
    </x:row>
    <x:row r="1316" ht="16" customHeight="1">
      <x:c r="A1316" s="56" t="str">
        <x:v>TOU01.009</x:v>
      </x:c>
      <x:c r="B1316" s="57" t="str">
        <x:v>Diseñar alternativa de lista en AR</x:v>
      </x:c>
      <x:c r="C1316" s="63" t="str">
        <x:v>R</x:v>
      </x:c>
      <x:c r="D1316" s="65" t="str">
        <x:f>IF('Detalle'!L640="","",'Detalle'!L640)</x:f>
      </x:c>
      <x:c r="E1316" s="60" t="str"/>
      <x:c r="F1316" s="32" t="str">
        <x:f>IF(OR('Detalle'!$J640="",'Detalle'!$K640="",'Detalle'!$L640=""),"",IF(AND(F$8&lt;='Detalle'!$K640,F$9&gt;='Detalle'!$J640),1,""))</x:f>
      </x:c>
      <x:c r="G1316" s="32" t="str">
        <x:f>IF(OR('Detalle'!$J640="",'Detalle'!$K640="",'Detalle'!$L640=""),"",IF(AND(G$8&lt;='Detalle'!$K640,G$9&gt;='Detalle'!$J640),1,""))</x:f>
      </x:c>
      <x:c r="H1316" s="32" t="str">
        <x:f>IF(OR('Detalle'!$J640="",'Detalle'!$K640="",'Detalle'!$L640=""),"",IF(AND(H$8&lt;='Detalle'!$K640,H$9&gt;='Detalle'!$J640),1,""))</x:f>
      </x:c>
      <x:c r="I1316" s="32" t="str">
        <x:f>IF(OR('Detalle'!$J640="",'Detalle'!$K640="",'Detalle'!$L640=""),"",IF(AND(I$8&lt;='Detalle'!$K640,I$9&gt;='Detalle'!$J640),1,""))</x:f>
      </x:c>
      <x:c r="J1316" s="32" t="str">
        <x:f>IF(OR('Detalle'!$J640="",'Detalle'!$K640="",'Detalle'!$L640=""),"",IF(AND(J$8&lt;='Detalle'!$K640,J$9&gt;='Detalle'!$J640),1,""))</x:f>
      </x:c>
      <x:c r="K1316" s="32" t="str">
        <x:f>IF(OR('Detalle'!$J640="",'Detalle'!$K640="",'Detalle'!$L640=""),"",IF(AND(K$8&lt;='Detalle'!$K640,K$9&gt;='Detalle'!$J640),1,""))</x:f>
      </x:c>
      <x:c r="L1316" s="32" t="str">
        <x:f>IF(OR('Detalle'!$J640="",'Detalle'!$K640="",'Detalle'!$L640=""),"",IF(AND(L$8&lt;='Detalle'!$K640,L$9&gt;='Detalle'!$J640),1,""))</x:f>
      </x:c>
      <x:c r="M1316" s="32" t="str">
        <x:f>IF(OR('Detalle'!$J640="",'Detalle'!$K640="",'Detalle'!$L640=""),"",IF(AND(M$8&lt;='Detalle'!$K640,M$9&gt;='Detalle'!$J640),1,""))</x:f>
      </x:c>
      <x:c r="N1316" s="32" t="str">
        <x:f>IF(OR('Detalle'!$J640="",'Detalle'!$K640="",'Detalle'!$L640=""),"",IF(AND(N$8&lt;='Detalle'!$K640,N$9&gt;='Detalle'!$J640),1,""))</x:f>
      </x:c>
      <x:c r="O1316" s="32" t="str">
        <x:f>IF(OR('Detalle'!$J640="",'Detalle'!$K640="",'Detalle'!$L640=""),"",IF(AND(O$8&lt;='Detalle'!$K640,O$9&gt;='Detalle'!$J640),1,""))</x:f>
      </x:c>
      <x:c r="P1316" s="32" t="str">
        <x:f>IF(OR('Detalle'!$J640="",'Detalle'!$K640="",'Detalle'!$L640=""),"",IF(AND(P$8&lt;='Detalle'!$K640,P$9&gt;='Detalle'!$J640),1,""))</x:f>
      </x:c>
      <x:c r="Q1316" s="68"/>
      <x:c r="R1316" s="67" t="str"/>
      <x:c r="S1316" s="67" t="str"/>
    </x:row>
    <x:row r="1317" ht="16" customHeight="1">
      <x:c r="A1317" s="56" t="str">
        <x:v>TOU01.010</x:v>
      </x:c>
      <x:c r="B1317" s="57" t="str">
        <x:v>Crear seis láminas de referencia</x:v>
      </x:c>
      <x:c r="C1317" s="62" t="str">
        <x:v>E</x:v>
      </x:c>
      <x:c r="D1317" s="64" t="n">
        <x:f>'Detalle'!I641</x:f>
        <x:v>1</x:v>
      </x:c>
      <x:c r="E1317" s="60" t="str">
        <x:f>'Detalle'!F641</x:f>
        <x:v>Completado</x:v>
      </x:c>
      <x:c r="F1317" s="32" t="str">
        <x:f>IF(AND(F$8&lt;='Detalle'!$H641,F$9&gt;='Detalle'!$G641),1,"")</x:f>
      </x:c>
      <x:c r="G1317" s="32" t="str">
        <x:f>IF(AND(G$8&lt;='Detalle'!$H641,G$9&gt;='Detalle'!$G641),1,"")</x:f>
      </x:c>
      <x:c r="H1317" s="32" t="str">
        <x:f>IF(AND(H$8&lt;='Detalle'!$H641,H$9&gt;='Detalle'!$G641),1,"")</x:f>
      </x:c>
      <x:c r="I1317" s="32" t="str">
        <x:f>IF(AND(I$8&lt;='Detalle'!$H641,I$9&gt;='Detalle'!$G641),1,"")</x:f>
      </x:c>
      <x:c r="J1317" s="32" t="n">
        <x:f>IF(AND(J$8&lt;='Detalle'!$H641,J$9&gt;='Detalle'!$G641),1,"")</x:f>
        <x:v>1</x:v>
      </x:c>
      <x:c r="K1317" s="32" t="str">
        <x:f>IF(AND(K$8&lt;='Detalle'!$H641,K$9&gt;='Detalle'!$G641),1,"")</x:f>
      </x:c>
      <x:c r="L1317" s="32" t="str">
        <x:f>IF(AND(L$8&lt;='Detalle'!$H641,L$9&gt;='Detalle'!$G641),1,"")</x:f>
      </x:c>
      <x:c r="M1317" s="32" t="str">
        <x:f>IF(AND(M$8&lt;='Detalle'!$H641,M$9&gt;='Detalle'!$G641),1,"")</x:f>
      </x:c>
      <x:c r="N1317" s="32" t="str">
        <x:f>IF(AND(N$8&lt;='Detalle'!$H641,N$9&gt;='Detalle'!$G641),1,"")</x:f>
      </x:c>
      <x:c r="O1317" s="32" t="str">
        <x:f>IF(AND(O$8&lt;='Detalle'!$H641,O$9&gt;='Detalle'!$G641),1,"")</x:f>
      </x:c>
      <x:c r="P1317" s="32" t="str">
        <x:f>IF(AND(P$8&lt;='Detalle'!$H641,P$9&gt;='Detalle'!$G641),1,"")</x:f>
      </x:c>
      <x:c r="Q1317" s="68"/>
      <x:c r="R1317" s="67" t="str">
        <x:f>IF('Detalle'!M641="","",'Detalle'!M641)</x:f>
      </x:c>
      <x:c r="S1317" s="67" t="str">
        <x:f>IF('Detalle'!N641="","",'Detalle'!N641)</x:f>
      </x:c>
    </x:row>
    <x:row r="1318" ht="16" customHeight="1">
      <x:c r="A1318" s="56" t="str">
        <x:v>TOU01.010</x:v>
      </x:c>
      <x:c r="B1318" s="57" t="str">
        <x:v>Crear seis láminas de referencia</x:v>
      </x:c>
      <x:c r="C1318" s="63" t="str">
        <x:v>R</x:v>
      </x:c>
      <x:c r="D1318" s="65" t="str">
        <x:f>IF('Detalle'!L641="","",'Detalle'!L641)</x:f>
      </x:c>
      <x:c r="E1318" s="60" t="str"/>
      <x:c r="F1318" s="32" t="str">
        <x:f>IF(OR('Detalle'!$J641="",'Detalle'!$K641="",'Detalle'!$L641=""),"",IF(AND(F$8&lt;='Detalle'!$K641,F$9&gt;='Detalle'!$J641),1,""))</x:f>
      </x:c>
      <x:c r="G1318" s="32" t="str">
        <x:f>IF(OR('Detalle'!$J641="",'Detalle'!$K641="",'Detalle'!$L641=""),"",IF(AND(G$8&lt;='Detalle'!$K641,G$9&gt;='Detalle'!$J641),1,""))</x:f>
      </x:c>
      <x:c r="H1318" s="32" t="str">
        <x:f>IF(OR('Detalle'!$J641="",'Detalle'!$K641="",'Detalle'!$L641=""),"",IF(AND(H$8&lt;='Detalle'!$K641,H$9&gt;='Detalle'!$J641),1,""))</x:f>
      </x:c>
      <x:c r="I1318" s="32" t="str">
        <x:f>IF(OR('Detalle'!$J641="",'Detalle'!$K641="",'Detalle'!$L641=""),"",IF(AND(I$8&lt;='Detalle'!$K641,I$9&gt;='Detalle'!$J641),1,""))</x:f>
      </x:c>
      <x:c r="J1318" s="32" t="str">
        <x:f>IF(OR('Detalle'!$J641="",'Detalle'!$K641="",'Detalle'!$L641=""),"",IF(AND(J$8&lt;='Detalle'!$K641,J$9&gt;='Detalle'!$J641),1,""))</x:f>
      </x:c>
      <x:c r="K1318" s="32" t="str">
        <x:f>IF(OR('Detalle'!$J641="",'Detalle'!$K641="",'Detalle'!$L641=""),"",IF(AND(K$8&lt;='Detalle'!$K641,K$9&gt;='Detalle'!$J641),1,""))</x:f>
      </x:c>
      <x:c r="L1318" s="32" t="str">
        <x:f>IF(OR('Detalle'!$J641="",'Detalle'!$K641="",'Detalle'!$L641=""),"",IF(AND(L$8&lt;='Detalle'!$K641,L$9&gt;='Detalle'!$J641),1,""))</x:f>
      </x:c>
      <x:c r="M1318" s="32" t="str">
        <x:f>IF(OR('Detalle'!$J641="",'Detalle'!$K641="",'Detalle'!$L641=""),"",IF(AND(M$8&lt;='Detalle'!$K641,M$9&gt;='Detalle'!$J641),1,""))</x:f>
      </x:c>
      <x:c r="N1318" s="32" t="str">
        <x:f>IF(OR('Detalle'!$J641="",'Detalle'!$K641="",'Detalle'!$L641=""),"",IF(AND(N$8&lt;='Detalle'!$K641,N$9&gt;='Detalle'!$J641),1,""))</x:f>
      </x:c>
      <x:c r="O1318" s="32" t="str">
        <x:f>IF(OR('Detalle'!$J641="",'Detalle'!$K641="",'Detalle'!$L641=""),"",IF(AND(O$8&lt;='Detalle'!$K641,O$9&gt;='Detalle'!$J641),1,""))</x:f>
      </x:c>
      <x:c r="P1318" s="32" t="str">
        <x:f>IF(OR('Detalle'!$J641="",'Detalle'!$K641="",'Detalle'!$L641=""),"",IF(AND(P$8&lt;='Detalle'!$K641,P$9&gt;='Detalle'!$J641),1,""))</x:f>
      </x:c>
      <x:c r="Q1318" s="68"/>
      <x:c r="R1318" s="67" t="str"/>
      <x:c r="S1318" s="67" t="str"/>
    </x:row>
    <x:row r="1319" ht="16" customHeight="1">
      <x:c r="A1319" s="56" t="str">
        <x:v>TOU01.011</x:v>
      </x:c>
      <x:c r="B1319" s="57" t="str">
        <x:v>Actualizar fichas de pantalla del recorrido</x:v>
      </x:c>
      <x:c r="C1319" s="62" t="str">
        <x:v>E</x:v>
      </x:c>
      <x:c r="D1319" s="64" t="n">
        <x:f>'Detalle'!I642</x:f>
        <x:v>1</x:v>
      </x:c>
      <x:c r="E1319" s="60" t="str">
        <x:f>'Detalle'!F642</x:f>
        <x:v>Completado</x:v>
      </x:c>
      <x:c r="F1319" s="32" t="str">
        <x:f>IF(AND(F$8&lt;='Detalle'!$H642,F$9&gt;='Detalle'!$G642),1,"")</x:f>
      </x:c>
      <x:c r="G1319" s="32" t="str">
        <x:f>IF(AND(G$8&lt;='Detalle'!$H642,G$9&gt;='Detalle'!$G642),1,"")</x:f>
      </x:c>
      <x:c r="H1319" s="32" t="str">
        <x:f>IF(AND(H$8&lt;='Detalle'!$H642,H$9&gt;='Detalle'!$G642),1,"")</x:f>
      </x:c>
      <x:c r="I1319" s="32" t="str">
        <x:f>IF(AND(I$8&lt;='Detalle'!$H642,I$9&gt;='Detalle'!$G642),1,"")</x:f>
      </x:c>
      <x:c r="J1319" s="32" t="n">
        <x:f>IF(AND(J$8&lt;='Detalle'!$H642,J$9&gt;='Detalle'!$G642),1,"")</x:f>
        <x:v>1</x:v>
      </x:c>
      <x:c r="K1319" s="32" t="str">
        <x:f>IF(AND(K$8&lt;='Detalle'!$H642,K$9&gt;='Detalle'!$G642),1,"")</x:f>
      </x:c>
      <x:c r="L1319" s="32" t="str">
        <x:f>IF(AND(L$8&lt;='Detalle'!$H642,L$9&gt;='Detalle'!$G642),1,"")</x:f>
      </x:c>
      <x:c r="M1319" s="32" t="str">
        <x:f>IF(AND(M$8&lt;='Detalle'!$H642,M$9&gt;='Detalle'!$G642),1,"")</x:f>
      </x:c>
      <x:c r="N1319" s="32" t="str">
        <x:f>IF(AND(N$8&lt;='Detalle'!$H642,N$9&gt;='Detalle'!$G642),1,"")</x:f>
      </x:c>
      <x:c r="O1319" s="32" t="str">
        <x:f>IF(AND(O$8&lt;='Detalle'!$H642,O$9&gt;='Detalle'!$G642),1,"")</x:f>
      </x:c>
      <x:c r="P1319" s="32" t="str">
        <x:f>IF(AND(P$8&lt;='Detalle'!$H642,P$9&gt;='Detalle'!$G642),1,"")</x:f>
      </x:c>
      <x:c r="Q1319" s="68"/>
      <x:c r="R1319" s="67" t="str">
        <x:f>IF('Detalle'!M642="","",'Detalle'!M642)</x:f>
      </x:c>
      <x:c r="S1319" s="67" t="str">
        <x:f>IF('Detalle'!N642="","",'Detalle'!N642)</x:f>
      </x:c>
    </x:row>
    <x:row r="1320" ht="16" customHeight="1">
      <x:c r="A1320" s="56" t="str">
        <x:v>TOU01.011</x:v>
      </x:c>
      <x:c r="B1320" s="57" t="str">
        <x:v>Actualizar fichas de pantalla del recorrido</x:v>
      </x:c>
      <x:c r="C1320" s="63" t="str">
        <x:v>R</x:v>
      </x:c>
      <x:c r="D1320" s="65" t="str">
        <x:f>IF('Detalle'!L642="","",'Detalle'!L642)</x:f>
      </x:c>
      <x:c r="E1320" s="60" t="str"/>
      <x:c r="F1320" s="32" t="str">
        <x:f>IF(OR('Detalle'!$J642="",'Detalle'!$K642="",'Detalle'!$L642=""),"",IF(AND(F$8&lt;='Detalle'!$K642,F$9&gt;='Detalle'!$J642),1,""))</x:f>
      </x:c>
      <x:c r="G1320" s="32" t="str">
        <x:f>IF(OR('Detalle'!$J642="",'Detalle'!$K642="",'Detalle'!$L642=""),"",IF(AND(G$8&lt;='Detalle'!$K642,G$9&gt;='Detalle'!$J642),1,""))</x:f>
      </x:c>
      <x:c r="H1320" s="32" t="str">
        <x:f>IF(OR('Detalle'!$J642="",'Detalle'!$K642="",'Detalle'!$L642=""),"",IF(AND(H$8&lt;='Detalle'!$K642,H$9&gt;='Detalle'!$J642),1,""))</x:f>
      </x:c>
      <x:c r="I1320" s="32" t="str">
        <x:f>IF(OR('Detalle'!$J642="",'Detalle'!$K642="",'Detalle'!$L642=""),"",IF(AND(I$8&lt;='Detalle'!$K642,I$9&gt;='Detalle'!$J642),1,""))</x:f>
      </x:c>
      <x:c r="J1320" s="32" t="str">
        <x:f>IF(OR('Detalle'!$J642="",'Detalle'!$K642="",'Detalle'!$L642=""),"",IF(AND(J$8&lt;='Detalle'!$K642,J$9&gt;='Detalle'!$J642),1,""))</x:f>
      </x:c>
      <x:c r="K1320" s="32" t="str">
        <x:f>IF(OR('Detalle'!$J642="",'Detalle'!$K642="",'Detalle'!$L642=""),"",IF(AND(K$8&lt;='Detalle'!$K642,K$9&gt;='Detalle'!$J642),1,""))</x:f>
      </x:c>
      <x:c r="L1320" s="32" t="str">
        <x:f>IF(OR('Detalle'!$J642="",'Detalle'!$K642="",'Detalle'!$L642=""),"",IF(AND(L$8&lt;='Detalle'!$K642,L$9&gt;='Detalle'!$J642),1,""))</x:f>
      </x:c>
      <x:c r="M1320" s="32" t="str">
        <x:f>IF(OR('Detalle'!$J642="",'Detalle'!$K642="",'Detalle'!$L642=""),"",IF(AND(M$8&lt;='Detalle'!$K642,M$9&gt;='Detalle'!$J642),1,""))</x:f>
      </x:c>
      <x:c r="N1320" s="32" t="str">
        <x:f>IF(OR('Detalle'!$J642="",'Detalle'!$K642="",'Detalle'!$L642=""),"",IF(AND(N$8&lt;='Detalle'!$K642,N$9&gt;='Detalle'!$J642),1,""))</x:f>
      </x:c>
      <x:c r="O1320" s="32" t="str">
        <x:f>IF(OR('Detalle'!$J642="",'Detalle'!$K642="",'Detalle'!$L642=""),"",IF(AND(O$8&lt;='Detalle'!$K642,O$9&gt;='Detalle'!$J642),1,""))</x:f>
      </x:c>
      <x:c r="P1320" s="32" t="str">
        <x:f>IF(OR('Detalle'!$J642="",'Detalle'!$K642="",'Detalle'!$L642=""),"",IF(AND(P$8&lt;='Detalle'!$K642,P$9&gt;='Detalle'!$J642),1,""))</x:f>
      </x:c>
      <x:c r="Q1320" s="68"/>
      <x:c r="R1320" s="67" t="str"/>
      <x:c r="S1320" s="67" t="str"/>
    </x:row>
    <x:row r="1321" ht="16" customHeight="1">
      <x:c r="A1321" s="56" t="str">
        <x:v>TOU01.012</x:v>
      </x:c>
      <x:c r="B1321" s="57" t="str">
        <x:v>Definir criterios de aceptación física</x:v>
      </x:c>
      <x:c r="C1321" s="62" t="str">
        <x:v>E</x:v>
      </x:c>
      <x:c r="D1321" s="64" t="n">
        <x:f>'Detalle'!I643</x:f>
        <x:v>1</x:v>
      </x:c>
      <x:c r="E1321" s="60" t="str">
        <x:f>'Detalle'!F643</x:f>
        <x:v>Completado</x:v>
      </x:c>
      <x:c r="F1321" s="32" t="str">
        <x:f>IF(AND(F$8&lt;='Detalle'!$H643,F$9&gt;='Detalle'!$G643),1,"")</x:f>
      </x:c>
      <x:c r="G1321" s="32" t="str">
        <x:f>IF(AND(G$8&lt;='Detalle'!$H643,G$9&gt;='Detalle'!$G643),1,"")</x:f>
      </x:c>
      <x:c r="H1321" s="32" t="str">
        <x:f>IF(AND(H$8&lt;='Detalle'!$H643,H$9&gt;='Detalle'!$G643),1,"")</x:f>
      </x:c>
      <x:c r="I1321" s="32" t="str">
        <x:f>IF(AND(I$8&lt;='Detalle'!$H643,I$9&gt;='Detalle'!$G643),1,"")</x:f>
      </x:c>
      <x:c r="J1321" s="32" t="n">
        <x:f>IF(AND(J$8&lt;='Detalle'!$H643,J$9&gt;='Detalle'!$G643),1,"")</x:f>
        <x:v>1</x:v>
      </x:c>
      <x:c r="K1321" s="32" t="str">
        <x:f>IF(AND(K$8&lt;='Detalle'!$H643,K$9&gt;='Detalle'!$G643),1,"")</x:f>
      </x:c>
      <x:c r="L1321" s="32" t="str">
        <x:f>IF(AND(L$8&lt;='Detalle'!$H643,L$9&gt;='Detalle'!$G643),1,"")</x:f>
      </x:c>
      <x:c r="M1321" s="32" t="str">
        <x:f>IF(AND(M$8&lt;='Detalle'!$H643,M$9&gt;='Detalle'!$G643),1,"")</x:f>
      </x:c>
      <x:c r="N1321" s="32" t="str">
        <x:f>IF(AND(N$8&lt;='Detalle'!$H643,N$9&gt;='Detalle'!$G643),1,"")</x:f>
      </x:c>
      <x:c r="O1321" s="32" t="str">
        <x:f>IF(AND(O$8&lt;='Detalle'!$H643,O$9&gt;='Detalle'!$G643),1,"")</x:f>
      </x:c>
      <x:c r="P1321" s="32" t="str">
        <x:f>IF(AND(P$8&lt;='Detalle'!$H643,P$9&gt;='Detalle'!$G643),1,"")</x:f>
      </x:c>
      <x:c r="Q1321" s="68"/>
      <x:c r="R1321" s="67" t="str">
        <x:f>IF('Detalle'!M643="","",'Detalle'!M643)</x:f>
      </x:c>
      <x:c r="S1321" s="67" t="str">
        <x:f>IF('Detalle'!N643="","",'Detalle'!N643)</x:f>
      </x:c>
    </x:row>
    <x:row r="1322" ht="16" customHeight="1">
      <x:c r="A1322" s="56" t="str">
        <x:v>TOU01.012</x:v>
      </x:c>
      <x:c r="B1322" s="57" t="str">
        <x:v>Definir criterios de aceptación física</x:v>
      </x:c>
      <x:c r="C1322" s="63" t="str">
        <x:v>R</x:v>
      </x:c>
      <x:c r="D1322" s="65" t="str">
        <x:f>IF('Detalle'!L643="","",'Detalle'!L643)</x:f>
      </x:c>
      <x:c r="E1322" s="60" t="str"/>
      <x:c r="F1322" s="32" t="str">
        <x:f>IF(OR('Detalle'!$J643="",'Detalle'!$K643="",'Detalle'!$L643=""),"",IF(AND(F$8&lt;='Detalle'!$K643,F$9&gt;='Detalle'!$J643),1,""))</x:f>
      </x:c>
      <x:c r="G1322" s="32" t="str">
        <x:f>IF(OR('Detalle'!$J643="",'Detalle'!$K643="",'Detalle'!$L643=""),"",IF(AND(G$8&lt;='Detalle'!$K643,G$9&gt;='Detalle'!$J643),1,""))</x:f>
      </x:c>
      <x:c r="H1322" s="32" t="str">
        <x:f>IF(OR('Detalle'!$J643="",'Detalle'!$K643="",'Detalle'!$L643=""),"",IF(AND(H$8&lt;='Detalle'!$K643,H$9&gt;='Detalle'!$J643),1,""))</x:f>
      </x:c>
      <x:c r="I1322" s="32" t="str">
        <x:f>IF(OR('Detalle'!$J643="",'Detalle'!$K643="",'Detalle'!$L643=""),"",IF(AND(I$8&lt;='Detalle'!$K643,I$9&gt;='Detalle'!$J643),1,""))</x:f>
      </x:c>
      <x:c r="J1322" s="32" t="str">
        <x:f>IF(OR('Detalle'!$J643="",'Detalle'!$K643="",'Detalle'!$L643=""),"",IF(AND(J$8&lt;='Detalle'!$K643,J$9&gt;='Detalle'!$J643),1,""))</x:f>
      </x:c>
      <x:c r="K1322" s="32" t="str">
        <x:f>IF(OR('Detalle'!$J643="",'Detalle'!$K643="",'Detalle'!$L643=""),"",IF(AND(K$8&lt;='Detalle'!$K643,K$9&gt;='Detalle'!$J643),1,""))</x:f>
      </x:c>
      <x:c r="L1322" s="32" t="str">
        <x:f>IF(OR('Detalle'!$J643="",'Detalle'!$K643="",'Detalle'!$L643=""),"",IF(AND(L$8&lt;='Detalle'!$K643,L$9&gt;='Detalle'!$J643),1,""))</x:f>
      </x:c>
      <x:c r="M1322" s="32" t="str">
        <x:f>IF(OR('Detalle'!$J643="",'Detalle'!$K643="",'Detalle'!$L643=""),"",IF(AND(M$8&lt;='Detalle'!$K643,M$9&gt;='Detalle'!$J643),1,""))</x:f>
      </x:c>
      <x:c r="N1322" s="32" t="str">
        <x:f>IF(OR('Detalle'!$J643="",'Detalle'!$K643="",'Detalle'!$L643=""),"",IF(AND(N$8&lt;='Detalle'!$K643,N$9&gt;='Detalle'!$J643),1,""))</x:f>
      </x:c>
      <x:c r="O1322" s="32" t="str">
        <x:f>IF(OR('Detalle'!$J643="",'Detalle'!$K643="",'Detalle'!$L643=""),"",IF(AND(O$8&lt;='Detalle'!$K643,O$9&gt;='Detalle'!$J643),1,""))</x:f>
      </x:c>
      <x:c r="P1322" s="32" t="str">
        <x:f>IF(OR('Detalle'!$J643="",'Detalle'!$K643="",'Detalle'!$L643=""),"",IF(AND(P$8&lt;='Detalle'!$K643,P$9&gt;='Detalle'!$J643),1,""))</x:f>
      </x:c>
      <x:c r="Q1322" s="68"/>
      <x:c r="R1322" s="67" t="str"/>
      <x:c r="S1322" s="67" t="str"/>
    </x:row>
    <x:row r="1323" ht="20" customHeight="1">
      <x:c r="A1323" s="52" t="str">
        <x:v>TOU02 · Editor del local, zonas, puntos y versiones</x:v>
      </x:c>
      <x:c r="B1323" s="52" t="str">
        <x:v>TOU02 · Editor del local, zonas, puntos y versiones</x:v>
      </x:c>
      <x:c r="C1323" s="52" t="str">
        <x:v>TOU02 · Editor del local, zonas, puntos y versiones</x:v>
      </x:c>
      <x:c r="D1323" s="52" t="str">
        <x:v>TOU02 · Editor del local, zonas, puntos y versiones</x:v>
      </x:c>
      <x:c r="E1323" s="52" t="str">
        <x:v>TOU02 · Editor del local, zonas, puntos y versiones</x:v>
      </x:c>
      <x:c r="F1323" s="53" t="str">
        <x:v>TOU02 · Editor del local, zonas, puntos y versiones</x:v>
      </x:c>
      <x:c r="G1323" s="53" t="str">
        <x:v>TOU02 · Editor del local, zonas, puntos y versiones</x:v>
      </x:c>
      <x:c r="H1323" s="53" t="str">
        <x:v>TOU02 · Editor del local, zonas, puntos y versiones</x:v>
      </x:c>
      <x:c r="I1323" s="53" t="str">
        <x:v>TOU02 · Editor del local, zonas, puntos y versiones</x:v>
      </x:c>
      <x:c r="J1323" s="53" t="str">
        <x:v>TOU02 · Editor del local, zonas, puntos y versiones</x:v>
      </x:c>
      <x:c r="K1323" s="53" t="str">
        <x:v>TOU02 · Editor del local, zonas, puntos y versiones</x:v>
      </x:c>
      <x:c r="L1323" s="53" t="str">
        <x:v>TOU02 · Editor del local, zonas, puntos y versiones</x:v>
      </x:c>
      <x:c r="M1323" s="53" t="str">
        <x:v>TOU02 · Editor del local, zonas, puntos y versiones</x:v>
      </x:c>
      <x:c r="N1323" s="53" t="str">
        <x:v>TOU02 · Editor del local, zonas, puntos y versiones</x:v>
      </x:c>
      <x:c r="O1323" s="53" t="str">
        <x:v>TOU02 · Editor del local, zonas, puntos y versiones</x:v>
      </x:c>
      <x:c r="P1323" s="53" t="str">
        <x:v>TOU02 · Editor del local, zonas, puntos y versiones</x:v>
      </x:c>
      <x:c r="Q1323" s="52" t="str">
        <x:v>TOU02 · Editor del local, zonas, puntos y versiones</x:v>
      </x:c>
      <x:c r="R1323" s="52" t="str">
        <x:v>TOU02 · Editor del local, zonas, puntos y versiones</x:v>
      </x:c>
      <x:c r="S1323" s="52" t="str">
        <x:v>TOU02 · Editor del local, zonas, puntos y versiones</x:v>
      </x:c>
    </x:row>
    <x:row r="1324" ht="16" customHeight="1">
      <x:c r="A1324" s="56" t="str">
        <x:v>TOU02.001</x:v>
      </x:c>
      <x:c r="B1324" s="57" t="str">
        <x:v>Crear modelos tipados del recorrido</x:v>
      </x:c>
      <x:c r="C1324" s="62" t="str">
        <x:v>E</x:v>
      </x:c>
      <x:c r="D1324" s="64" t="n">
        <x:f>'Detalle'!I644</x:f>
        <x:v>1</x:v>
      </x:c>
      <x:c r="E1324" s="60" t="str">
        <x:f>'Detalle'!F644</x:f>
        <x:v>Completado</x:v>
      </x:c>
      <x:c r="F1324" s="32" t="str">
        <x:f>IF(AND(F$8&lt;='Detalle'!$H644,F$9&gt;='Detalle'!$G644),1,"")</x:f>
      </x:c>
      <x:c r="G1324" s="32" t="str">
        <x:f>IF(AND(G$8&lt;='Detalle'!$H644,G$9&gt;='Detalle'!$G644),1,"")</x:f>
      </x:c>
      <x:c r="H1324" s="32" t="str">
        <x:f>IF(AND(H$8&lt;='Detalle'!$H644,H$9&gt;='Detalle'!$G644),1,"")</x:f>
      </x:c>
      <x:c r="I1324" s="32" t="str">
        <x:f>IF(AND(I$8&lt;='Detalle'!$H644,I$9&gt;='Detalle'!$G644),1,"")</x:f>
      </x:c>
      <x:c r="J1324" s="32" t="n">
        <x:f>IF(AND(J$8&lt;='Detalle'!$H644,J$9&gt;='Detalle'!$G644),1,"")</x:f>
        <x:v>1</x:v>
      </x:c>
      <x:c r="K1324" s="32" t="str">
        <x:f>IF(AND(K$8&lt;='Detalle'!$H644,K$9&gt;='Detalle'!$G644),1,"")</x:f>
      </x:c>
      <x:c r="L1324" s="32" t="str">
        <x:f>IF(AND(L$8&lt;='Detalle'!$H644,L$9&gt;='Detalle'!$G644),1,"")</x:f>
      </x:c>
      <x:c r="M1324" s="32" t="str">
        <x:f>IF(AND(M$8&lt;='Detalle'!$H644,M$9&gt;='Detalle'!$G644),1,"")</x:f>
      </x:c>
      <x:c r="N1324" s="32" t="str">
        <x:f>IF(AND(N$8&lt;='Detalle'!$H644,N$9&gt;='Detalle'!$G644),1,"")</x:f>
      </x:c>
      <x:c r="O1324" s="32" t="str">
        <x:f>IF(AND(O$8&lt;='Detalle'!$H644,O$9&gt;='Detalle'!$G644),1,"")</x:f>
      </x:c>
      <x:c r="P1324" s="32" t="str">
        <x:f>IF(AND(P$8&lt;='Detalle'!$H644,P$9&gt;='Detalle'!$G644),1,"")</x:f>
      </x:c>
      <x:c r="Q1324" s="68"/>
      <x:c r="R1324" s="67" t="str">
        <x:f>IF('Detalle'!M644="","",'Detalle'!M644)</x:f>
      </x:c>
      <x:c r="S1324" s="67" t="str">
        <x:f>IF('Detalle'!N644="","",'Detalle'!N644)</x:f>
      </x:c>
    </x:row>
    <x:row r="1325" ht="16" customHeight="1">
      <x:c r="A1325" s="56" t="str">
        <x:v>TOU02.001</x:v>
      </x:c>
      <x:c r="B1325" s="57" t="str">
        <x:v>Crear modelos tipados del recorrido</x:v>
      </x:c>
      <x:c r="C1325" s="63" t="str">
        <x:v>R</x:v>
      </x:c>
      <x:c r="D1325" s="65" t="str">
        <x:f>IF('Detalle'!L644="","",'Detalle'!L644)</x:f>
      </x:c>
      <x:c r="E1325" s="60" t="str"/>
      <x:c r="F1325" s="32" t="str">
        <x:f>IF(OR('Detalle'!$J644="",'Detalle'!$K644="",'Detalle'!$L644=""),"",IF(AND(F$8&lt;='Detalle'!$K644,F$9&gt;='Detalle'!$J644),1,""))</x:f>
      </x:c>
      <x:c r="G1325" s="32" t="str">
        <x:f>IF(OR('Detalle'!$J644="",'Detalle'!$K644="",'Detalle'!$L644=""),"",IF(AND(G$8&lt;='Detalle'!$K644,G$9&gt;='Detalle'!$J644),1,""))</x:f>
      </x:c>
      <x:c r="H1325" s="32" t="str">
        <x:f>IF(OR('Detalle'!$J644="",'Detalle'!$K644="",'Detalle'!$L644=""),"",IF(AND(H$8&lt;='Detalle'!$K644,H$9&gt;='Detalle'!$J644),1,""))</x:f>
      </x:c>
      <x:c r="I1325" s="32" t="str">
        <x:f>IF(OR('Detalle'!$J644="",'Detalle'!$K644="",'Detalle'!$L644=""),"",IF(AND(I$8&lt;='Detalle'!$K644,I$9&gt;='Detalle'!$J644),1,""))</x:f>
      </x:c>
      <x:c r="J1325" s="32" t="str">
        <x:f>IF(OR('Detalle'!$J644="",'Detalle'!$K644="",'Detalle'!$L644=""),"",IF(AND(J$8&lt;='Detalle'!$K644,J$9&gt;='Detalle'!$J644),1,""))</x:f>
      </x:c>
      <x:c r="K1325" s="32" t="str">
        <x:f>IF(OR('Detalle'!$J644="",'Detalle'!$K644="",'Detalle'!$L644=""),"",IF(AND(K$8&lt;='Detalle'!$K644,K$9&gt;='Detalle'!$J644),1,""))</x:f>
      </x:c>
      <x:c r="L1325" s="32" t="str">
        <x:f>IF(OR('Detalle'!$J644="",'Detalle'!$K644="",'Detalle'!$L644=""),"",IF(AND(L$8&lt;='Detalle'!$K644,L$9&gt;='Detalle'!$J644),1,""))</x:f>
      </x:c>
      <x:c r="M1325" s="32" t="str">
        <x:f>IF(OR('Detalle'!$J644="",'Detalle'!$K644="",'Detalle'!$L644=""),"",IF(AND(M$8&lt;='Detalle'!$K644,M$9&gt;='Detalle'!$J644),1,""))</x:f>
      </x:c>
      <x:c r="N1325" s="32" t="str">
        <x:f>IF(OR('Detalle'!$J644="",'Detalle'!$K644="",'Detalle'!$L644=""),"",IF(AND(N$8&lt;='Detalle'!$K644,N$9&gt;='Detalle'!$J644),1,""))</x:f>
      </x:c>
      <x:c r="O1325" s="32" t="str">
        <x:f>IF(OR('Detalle'!$J644="",'Detalle'!$K644="",'Detalle'!$L644=""),"",IF(AND(O$8&lt;='Detalle'!$K644,O$9&gt;='Detalle'!$J644),1,""))</x:f>
      </x:c>
      <x:c r="P1325" s="32" t="str">
        <x:f>IF(OR('Detalle'!$J644="",'Detalle'!$K644="",'Detalle'!$L644=""),"",IF(AND(P$8&lt;='Detalle'!$K644,P$9&gt;='Detalle'!$J644),1,""))</x:f>
      </x:c>
      <x:c r="Q1325" s="68"/>
      <x:c r="R1325" s="67" t="str"/>
      <x:c r="S1325" s="67" t="str"/>
    </x:row>
    <x:row r="1326" ht="16" customHeight="1">
      <x:c r="A1326" s="56" t="str">
        <x:v>TOU02.002</x:v>
      </x:c>
      <x:c r="B1326" s="57" t="str">
        <x:v>Crear repositorio de recorridos</x:v>
      </x:c>
      <x:c r="C1326" s="62" t="str">
        <x:v>E</x:v>
      </x:c>
      <x:c r="D1326" s="64" t="n">
        <x:f>'Detalle'!I645</x:f>
        <x:v>1</x:v>
      </x:c>
      <x:c r="E1326" s="60" t="str">
        <x:f>'Detalle'!F645</x:f>
        <x:v>Completado</x:v>
      </x:c>
      <x:c r="F1326" s="32" t="str">
        <x:f>IF(AND(F$8&lt;='Detalle'!$H645,F$9&gt;='Detalle'!$G645),1,"")</x:f>
      </x:c>
      <x:c r="G1326" s="32" t="str">
        <x:f>IF(AND(G$8&lt;='Detalle'!$H645,G$9&gt;='Detalle'!$G645),1,"")</x:f>
      </x:c>
      <x:c r="H1326" s="32" t="str">
        <x:f>IF(AND(H$8&lt;='Detalle'!$H645,H$9&gt;='Detalle'!$G645),1,"")</x:f>
      </x:c>
      <x:c r="I1326" s="32" t="str">
        <x:f>IF(AND(I$8&lt;='Detalle'!$H645,I$9&gt;='Detalle'!$G645),1,"")</x:f>
      </x:c>
      <x:c r="J1326" s="32" t="n">
        <x:f>IF(AND(J$8&lt;='Detalle'!$H645,J$9&gt;='Detalle'!$G645),1,"")</x:f>
        <x:v>1</x:v>
      </x:c>
      <x:c r="K1326" s="32" t="str">
        <x:f>IF(AND(K$8&lt;='Detalle'!$H645,K$9&gt;='Detalle'!$G645),1,"")</x:f>
      </x:c>
      <x:c r="L1326" s="32" t="str">
        <x:f>IF(AND(L$8&lt;='Detalle'!$H645,L$9&gt;='Detalle'!$G645),1,"")</x:f>
      </x:c>
      <x:c r="M1326" s="32" t="str">
        <x:f>IF(AND(M$8&lt;='Detalle'!$H645,M$9&gt;='Detalle'!$G645),1,"")</x:f>
      </x:c>
      <x:c r="N1326" s="32" t="str">
        <x:f>IF(AND(N$8&lt;='Detalle'!$H645,N$9&gt;='Detalle'!$G645),1,"")</x:f>
      </x:c>
      <x:c r="O1326" s="32" t="str">
        <x:f>IF(AND(O$8&lt;='Detalle'!$H645,O$9&gt;='Detalle'!$G645),1,"")</x:f>
      </x:c>
      <x:c r="P1326" s="32" t="str">
        <x:f>IF(AND(P$8&lt;='Detalle'!$H645,P$9&gt;='Detalle'!$G645),1,"")</x:f>
      </x:c>
      <x:c r="Q1326" s="68"/>
      <x:c r="R1326" s="67" t="str">
        <x:f>IF('Detalle'!M645="","",'Detalle'!M645)</x:f>
      </x:c>
      <x:c r="S1326" s="67" t="str">
        <x:f>IF('Detalle'!N645="","",'Detalle'!N645)</x:f>
      </x:c>
    </x:row>
    <x:row r="1327" ht="16" customHeight="1">
      <x:c r="A1327" s="56" t="str">
        <x:v>TOU02.002</x:v>
      </x:c>
      <x:c r="B1327" s="57" t="str">
        <x:v>Crear repositorio de recorridos</x:v>
      </x:c>
      <x:c r="C1327" s="63" t="str">
        <x:v>R</x:v>
      </x:c>
      <x:c r="D1327" s="65" t="str">
        <x:f>IF('Detalle'!L645="","",'Detalle'!L645)</x:f>
      </x:c>
      <x:c r="E1327" s="60" t="str"/>
      <x:c r="F1327" s="32" t="str">
        <x:f>IF(OR('Detalle'!$J645="",'Detalle'!$K645="",'Detalle'!$L645=""),"",IF(AND(F$8&lt;='Detalle'!$K645,F$9&gt;='Detalle'!$J645),1,""))</x:f>
      </x:c>
      <x:c r="G1327" s="32" t="str">
        <x:f>IF(OR('Detalle'!$J645="",'Detalle'!$K645="",'Detalle'!$L645=""),"",IF(AND(G$8&lt;='Detalle'!$K645,G$9&gt;='Detalle'!$J645),1,""))</x:f>
      </x:c>
      <x:c r="H1327" s="32" t="str">
        <x:f>IF(OR('Detalle'!$J645="",'Detalle'!$K645="",'Detalle'!$L645=""),"",IF(AND(H$8&lt;='Detalle'!$K645,H$9&gt;='Detalle'!$J645),1,""))</x:f>
      </x:c>
      <x:c r="I1327" s="32" t="str">
        <x:f>IF(OR('Detalle'!$J645="",'Detalle'!$K645="",'Detalle'!$L645=""),"",IF(AND(I$8&lt;='Detalle'!$K645,I$9&gt;='Detalle'!$J645),1,""))</x:f>
      </x:c>
      <x:c r="J1327" s="32" t="str">
        <x:f>IF(OR('Detalle'!$J645="",'Detalle'!$K645="",'Detalle'!$L645=""),"",IF(AND(J$8&lt;='Detalle'!$K645,J$9&gt;='Detalle'!$J645),1,""))</x:f>
      </x:c>
      <x:c r="K1327" s="32" t="str">
        <x:f>IF(OR('Detalle'!$J645="",'Detalle'!$K645="",'Detalle'!$L645=""),"",IF(AND(K$8&lt;='Detalle'!$K645,K$9&gt;='Detalle'!$J645),1,""))</x:f>
      </x:c>
      <x:c r="L1327" s="32" t="str">
        <x:f>IF(OR('Detalle'!$J645="",'Detalle'!$K645="",'Detalle'!$L645=""),"",IF(AND(L$8&lt;='Detalle'!$K645,L$9&gt;='Detalle'!$J645),1,""))</x:f>
      </x:c>
      <x:c r="M1327" s="32" t="str">
        <x:f>IF(OR('Detalle'!$J645="",'Detalle'!$K645="",'Detalle'!$L645=""),"",IF(AND(M$8&lt;='Detalle'!$K645,M$9&gt;='Detalle'!$J645),1,""))</x:f>
      </x:c>
      <x:c r="N1327" s="32" t="str">
        <x:f>IF(OR('Detalle'!$J645="",'Detalle'!$K645="",'Detalle'!$L645=""),"",IF(AND(N$8&lt;='Detalle'!$K645,N$9&gt;='Detalle'!$J645),1,""))</x:f>
      </x:c>
      <x:c r="O1327" s="32" t="str">
        <x:f>IF(OR('Detalle'!$J645="",'Detalle'!$K645="",'Detalle'!$L645=""),"",IF(AND(O$8&lt;='Detalle'!$K645,O$9&gt;='Detalle'!$J645),1,""))</x:f>
      </x:c>
      <x:c r="P1327" s="32" t="str">
        <x:f>IF(OR('Detalle'!$J645="",'Detalle'!$K645="",'Detalle'!$L645=""),"",IF(AND(P$8&lt;='Detalle'!$K645,P$9&gt;='Detalle'!$J645),1,""))</x:f>
      </x:c>
      <x:c r="Q1327" s="68"/>
      <x:c r="R1327" s="67" t="str"/>
      <x:c r="S1327" s="67" t="str"/>
    </x:row>
    <x:row r="1328" ht="16" customHeight="1">
      <x:c r="A1328" s="56" t="str">
        <x:v>TOU02.003</x:v>
      </x:c>
      <x:c r="B1328" s="57" t="str">
        <x:v>Crear administración de recorridos</x:v>
      </x:c>
      <x:c r="C1328" s="62" t="str">
        <x:v>E</x:v>
      </x:c>
      <x:c r="D1328" s="64" t="n">
        <x:f>'Detalle'!I646</x:f>
        <x:v>1</x:v>
      </x:c>
      <x:c r="E1328" s="60" t="str">
        <x:f>'Detalle'!F646</x:f>
        <x:v>Completado</x:v>
      </x:c>
      <x:c r="F1328" s="32" t="str">
        <x:f>IF(AND(F$8&lt;='Detalle'!$H646,F$9&gt;='Detalle'!$G646),1,"")</x:f>
      </x:c>
      <x:c r="G1328" s="32" t="str">
        <x:f>IF(AND(G$8&lt;='Detalle'!$H646,G$9&gt;='Detalle'!$G646),1,"")</x:f>
      </x:c>
      <x:c r="H1328" s="32" t="str">
        <x:f>IF(AND(H$8&lt;='Detalle'!$H646,H$9&gt;='Detalle'!$G646),1,"")</x:f>
      </x:c>
      <x:c r="I1328" s="32" t="str">
        <x:f>IF(AND(I$8&lt;='Detalle'!$H646,I$9&gt;='Detalle'!$G646),1,"")</x:f>
      </x:c>
      <x:c r="J1328" s="32" t="n">
        <x:f>IF(AND(J$8&lt;='Detalle'!$H646,J$9&gt;='Detalle'!$G646),1,"")</x:f>
        <x:v>1</x:v>
      </x:c>
      <x:c r="K1328" s="32" t="str">
        <x:f>IF(AND(K$8&lt;='Detalle'!$H646,K$9&gt;='Detalle'!$G646),1,"")</x:f>
      </x:c>
      <x:c r="L1328" s="32" t="str">
        <x:f>IF(AND(L$8&lt;='Detalle'!$H646,L$9&gt;='Detalle'!$G646),1,"")</x:f>
      </x:c>
      <x:c r="M1328" s="32" t="str">
        <x:f>IF(AND(M$8&lt;='Detalle'!$H646,M$9&gt;='Detalle'!$G646),1,"")</x:f>
      </x:c>
      <x:c r="N1328" s="32" t="str">
        <x:f>IF(AND(N$8&lt;='Detalle'!$H646,N$9&gt;='Detalle'!$G646),1,"")</x:f>
      </x:c>
      <x:c r="O1328" s="32" t="str">
        <x:f>IF(AND(O$8&lt;='Detalle'!$H646,O$9&gt;='Detalle'!$G646),1,"")</x:f>
      </x:c>
      <x:c r="P1328" s="32" t="str">
        <x:f>IF(AND(P$8&lt;='Detalle'!$H646,P$9&gt;='Detalle'!$G646),1,"")</x:f>
      </x:c>
      <x:c r="Q1328" s="68"/>
      <x:c r="R1328" s="67" t="str">
        <x:f>IF('Detalle'!M646="","",'Detalle'!M646)</x:f>
      </x:c>
      <x:c r="S1328" s="67" t="str">
        <x:f>IF('Detalle'!N646="","",'Detalle'!N646)</x:f>
      </x:c>
    </x:row>
    <x:row r="1329" ht="16" customHeight="1">
      <x:c r="A1329" s="56" t="str">
        <x:v>TOU02.003</x:v>
      </x:c>
      <x:c r="B1329" s="57" t="str">
        <x:v>Crear administración de recorridos</x:v>
      </x:c>
      <x:c r="C1329" s="63" t="str">
        <x:v>R</x:v>
      </x:c>
      <x:c r="D1329" s="65" t="str">
        <x:f>IF('Detalle'!L646="","",'Detalle'!L646)</x:f>
      </x:c>
      <x:c r="E1329" s="60" t="str"/>
      <x:c r="F1329" s="32" t="str">
        <x:f>IF(OR('Detalle'!$J646="",'Detalle'!$K646="",'Detalle'!$L646=""),"",IF(AND(F$8&lt;='Detalle'!$K646,F$9&gt;='Detalle'!$J646),1,""))</x:f>
      </x:c>
      <x:c r="G1329" s="32" t="str">
        <x:f>IF(OR('Detalle'!$J646="",'Detalle'!$K646="",'Detalle'!$L646=""),"",IF(AND(G$8&lt;='Detalle'!$K646,G$9&gt;='Detalle'!$J646),1,""))</x:f>
      </x:c>
      <x:c r="H1329" s="32" t="str">
        <x:f>IF(OR('Detalle'!$J646="",'Detalle'!$K646="",'Detalle'!$L646=""),"",IF(AND(H$8&lt;='Detalle'!$K646,H$9&gt;='Detalle'!$J646),1,""))</x:f>
      </x:c>
      <x:c r="I1329" s="32" t="str">
        <x:f>IF(OR('Detalle'!$J646="",'Detalle'!$K646="",'Detalle'!$L646=""),"",IF(AND(I$8&lt;='Detalle'!$K646,I$9&gt;='Detalle'!$J646),1,""))</x:f>
      </x:c>
      <x:c r="J1329" s="32" t="str">
        <x:f>IF(OR('Detalle'!$J646="",'Detalle'!$K646="",'Detalle'!$L646=""),"",IF(AND(J$8&lt;='Detalle'!$K646,J$9&gt;='Detalle'!$J646),1,""))</x:f>
      </x:c>
      <x:c r="K1329" s="32" t="str">
        <x:f>IF(OR('Detalle'!$J646="",'Detalle'!$K646="",'Detalle'!$L646=""),"",IF(AND(K$8&lt;='Detalle'!$K646,K$9&gt;='Detalle'!$J646),1,""))</x:f>
      </x:c>
      <x:c r="L1329" s="32" t="str">
        <x:f>IF(OR('Detalle'!$J646="",'Detalle'!$K646="",'Detalle'!$L646=""),"",IF(AND(L$8&lt;='Detalle'!$K646,L$9&gt;='Detalle'!$J646),1,""))</x:f>
      </x:c>
      <x:c r="M1329" s="32" t="str">
        <x:f>IF(OR('Detalle'!$J646="",'Detalle'!$K646="",'Detalle'!$L646=""),"",IF(AND(M$8&lt;='Detalle'!$K646,M$9&gt;='Detalle'!$J646),1,""))</x:f>
      </x:c>
      <x:c r="N1329" s="32" t="str">
        <x:f>IF(OR('Detalle'!$J646="",'Detalle'!$K646="",'Detalle'!$L646=""),"",IF(AND(N$8&lt;='Detalle'!$K646,N$9&gt;='Detalle'!$J646),1,""))</x:f>
      </x:c>
      <x:c r="O1329" s="32" t="str">
        <x:f>IF(OR('Detalle'!$J646="",'Detalle'!$K646="",'Detalle'!$L646=""),"",IF(AND(O$8&lt;='Detalle'!$K646,O$9&gt;='Detalle'!$J646),1,""))</x:f>
      </x:c>
      <x:c r="P1329" s="32" t="str">
        <x:f>IF(OR('Detalle'!$J646="",'Detalle'!$K646="",'Detalle'!$L646=""),"",IF(AND(P$8&lt;='Detalle'!$K646,P$9&gt;='Detalle'!$J646),1,""))</x:f>
      </x:c>
      <x:c r="Q1329" s="68"/>
      <x:c r="R1329" s="67" t="str"/>
      <x:c r="S1329" s="67" t="str"/>
    </x:row>
    <x:row r="1330" ht="16" customHeight="1">
      <x:c r="A1330" s="56" t="str">
        <x:v>TOU02.004</x:v>
      </x:c>
      <x:c r="B1330" s="57" t="str">
        <x:v>Confirmar nombre y ubicación del local</x:v>
      </x:c>
      <x:c r="C1330" s="62" t="str">
        <x:v>E</x:v>
      </x:c>
      <x:c r="D1330" s="64" t="n">
        <x:f>'Detalle'!I647</x:f>
        <x:v>1</x:v>
      </x:c>
      <x:c r="E1330" s="60" t="str">
        <x:f>'Detalle'!F647</x:f>
        <x:v>Completado</x:v>
      </x:c>
      <x:c r="F1330" s="32" t="str">
        <x:f>IF(AND(F$8&lt;='Detalle'!$H647,F$9&gt;='Detalle'!$G647),1,"")</x:f>
      </x:c>
      <x:c r="G1330" s="32" t="str">
        <x:f>IF(AND(G$8&lt;='Detalle'!$H647,G$9&gt;='Detalle'!$G647),1,"")</x:f>
      </x:c>
      <x:c r="H1330" s="32" t="str">
        <x:f>IF(AND(H$8&lt;='Detalle'!$H647,H$9&gt;='Detalle'!$G647),1,"")</x:f>
      </x:c>
      <x:c r="I1330" s="32" t="str">
        <x:f>IF(AND(I$8&lt;='Detalle'!$H647,I$9&gt;='Detalle'!$G647),1,"")</x:f>
      </x:c>
      <x:c r="J1330" s="32" t="n">
        <x:f>IF(AND(J$8&lt;='Detalle'!$H647,J$9&gt;='Detalle'!$G647),1,"")</x:f>
        <x:v>1</x:v>
      </x:c>
      <x:c r="K1330" s="32" t="str">
        <x:f>IF(AND(K$8&lt;='Detalle'!$H647,K$9&gt;='Detalle'!$G647),1,"")</x:f>
      </x:c>
      <x:c r="L1330" s="32" t="str">
        <x:f>IF(AND(L$8&lt;='Detalle'!$H647,L$9&gt;='Detalle'!$G647),1,"")</x:f>
      </x:c>
      <x:c r="M1330" s="32" t="str">
        <x:f>IF(AND(M$8&lt;='Detalle'!$H647,M$9&gt;='Detalle'!$G647),1,"")</x:f>
      </x:c>
      <x:c r="N1330" s="32" t="str">
        <x:f>IF(AND(N$8&lt;='Detalle'!$H647,N$9&gt;='Detalle'!$G647),1,"")</x:f>
      </x:c>
      <x:c r="O1330" s="32" t="str">
        <x:f>IF(AND(O$8&lt;='Detalle'!$H647,O$9&gt;='Detalle'!$G647),1,"")</x:f>
      </x:c>
      <x:c r="P1330" s="32" t="str">
        <x:f>IF(AND(P$8&lt;='Detalle'!$H647,P$9&gt;='Detalle'!$G647),1,"")</x:f>
      </x:c>
      <x:c r="Q1330" s="68"/>
      <x:c r="R1330" s="67" t="str">
        <x:f>IF('Detalle'!M647="","",'Detalle'!M647)</x:f>
      </x:c>
      <x:c r="S1330" s="67" t="str">
        <x:f>IF('Detalle'!N647="","",'Detalle'!N647)</x:f>
      </x:c>
    </x:row>
    <x:row r="1331" ht="16" customHeight="1">
      <x:c r="A1331" s="56" t="str">
        <x:v>TOU02.004</x:v>
      </x:c>
      <x:c r="B1331" s="57" t="str">
        <x:v>Confirmar nombre y ubicación del local</x:v>
      </x:c>
      <x:c r="C1331" s="63" t="str">
        <x:v>R</x:v>
      </x:c>
      <x:c r="D1331" s="65" t="str">
        <x:f>IF('Detalle'!L647="","",'Detalle'!L647)</x:f>
      </x:c>
      <x:c r="E1331" s="60" t="str"/>
      <x:c r="F1331" s="32" t="str">
        <x:f>IF(OR('Detalle'!$J647="",'Detalle'!$K647="",'Detalle'!$L647=""),"",IF(AND(F$8&lt;='Detalle'!$K647,F$9&gt;='Detalle'!$J647),1,""))</x:f>
      </x:c>
      <x:c r="G1331" s="32" t="str">
        <x:f>IF(OR('Detalle'!$J647="",'Detalle'!$K647="",'Detalle'!$L647=""),"",IF(AND(G$8&lt;='Detalle'!$K647,G$9&gt;='Detalle'!$J647),1,""))</x:f>
      </x:c>
      <x:c r="H1331" s="32" t="str">
        <x:f>IF(OR('Detalle'!$J647="",'Detalle'!$K647="",'Detalle'!$L647=""),"",IF(AND(H$8&lt;='Detalle'!$K647,H$9&gt;='Detalle'!$J647),1,""))</x:f>
      </x:c>
      <x:c r="I1331" s="32" t="str">
        <x:f>IF(OR('Detalle'!$J647="",'Detalle'!$K647="",'Detalle'!$L647=""),"",IF(AND(I$8&lt;='Detalle'!$K647,I$9&gt;='Detalle'!$J647),1,""))</x:f>
      </x:c>
      <x:c r="J1331" s="32" t="str">
        <x:f>IF(OR('Detalle'!$J647="",'Detalle'!$K647="",'Detalle'!$L647=""),"",IF(AND(J$8&lt;='Detalle'!$K647,J$9&gt;='Detalle'!$J647),1,""))</x:f>
      </x:c>
      <x:c r="K1331" s="32" t="str">
        <x:f>IF(OR('Detalle'!$J647="",'Detalle'!$K647="",'Detalle'!$L647=""),"",IF(AND(K$8&lt;='Detalle'!$K647,K$9&gt;='Detalle'!$J647),1,""))</x:f>
      </x:c>
      <x:c r="L1331" s="32" t="str">
        <x:f>IF(OR('Detalle'!$J647="",'Detalle'!$K647="",'Detalle'!$L647=""),"",IF(AND(L$8&lt;='Detalle'!$K647,L$9&gt;='Detalle'!$J647),1,""))</x:f>
      </x:c>
      <x:c r="M1331" s="32" t="str">
        <x:f>IF(OR('Detalle'!$J647="",'Detalle'!$K647="",'Detalle'!$L647=""),"",IF(AND(M$8&lt;='Detalle'!$K647,M$9&gt;='Detalle'!$J647),1,""))</x:f>
      </x:c>
      <x:c r="N1331" s="32" t="str">
        <x:f>IF(OR('Detalle'!$J647="",'Detalle'!$K647="",'Detalle'!$L647=""),"",IF(AND(N$8&lt;='Detalle'!$K647,N$9&gt;='Detalle'!$J647),1,""))</x:f>
      </x:c>
      <x:c r="O1331" s="32" t="str">
        <x:f>IF(OR('Detalle'!$J647="",'Detalle'!$K647="",'Detalle'!$L647=""),"",IF(AND(O$8&lt;='Detalle'!$K647,O$9&gt;='Detalle'!$J647),1,""))</x:f>
      </x:c>
      <x:c r="P1331" s="32" t="str">
        <x:f>IF(OR('Detalle'!$J647="",'Detalle'!$K647="",'Detalle'!$L647=""),"",IF(AND(P$8&lt;='Detalle'!$K647,P$9&gt;='Detalle'!$J647),1,""))</x:f>
      </x:c>
      <x:c r="Q1331" s="68"/>
      <x:c r="R1331" s="67" t="str"/>
      <x:c r="S1331" s="67" t="str"/>
    </x:row>
    <x:row r="1332" ht="16" customHeight="1">
      <x:c r="A1332" s="56" t="str">
        <x:v>TOU02.005</x:v>
      </x:c>
      <x:c r="B1332" s="57" t="str">
        <x:v>Capturar contexto y evidencia privada</x:v>
      </x:c>
      <x:c r="C1332" s="62" t="str">
        <x:v>E</x:v>
      </x:c>
      <x:c r="D1332" s="64" t="n">
        <x:f>'Detalle'!I648</x:f>
        <x:v>1</x:v>
      </x:c>
      <x:c r="E1332" s="60" t="str">
        <x:f>'Detalle'!F648</x:f>
        <x:v>Completado</x:v>
      </x:c>
      <x:c r="F1332" s="32" t="str">
        <x:f>IF(AND(F$8&lt;='Detalle'!$H648,F$9&gt;='Detalle'!$G648),1,"")</x:f>
      </x:c>
      <x:c r="G1332" s="32" t="str">
        <x:f>IF(AND(G$8&lt;='Detalle'!$H648,G$9&gt;='Detalle'!$G648),1,"")</x:f>
      </x:c>
      <x:c r="H1332" s="32" t="str">
        <x:f>IF(AND(H$8&lt;='Detalle'!$H648,H$9&gt;='Detalle'!$G648),1,"")</x:f>
      </x:c>
      <x:c r="I1332" s="32" t="str">
        <x:f>IF(AND(I$8&lt;='Detalle'!$H648,I$9&gt;='Detalle'!$G648),1,"")</x:f>
      </x:c>
      <x:c r="J1332" s="32" t="n">
        <x:f>IF(AND(J$8&lt;='Detalle'!$H648,J$9&gt;='Detalle'!$G648),1,"")</x:f>
        <x:v>1</x:v>
      </x:c>
      <x:c r="K1332" s="32" t="str">
        <x:f>IF(AND(K$8&lt;='Detalle'!$H648,K$9&gt;='Detalle'!$G648),1,"")</x:f>
      </x:c>
      <x:c r="L1332" s="32" t="str">
        <x:f>IF(AND(L$8&lt;='Detalle'!$H648,L$9&gt;='Detalle'!$G648),1,"")</x:f>
      </x:c>
      <x:c r="M1332" s="32" t="str">
        <x:f>IF(AND(M$8&lt;='Detalle'!$H648,M$9&gt;='Detalle'!$G648),1,"")</x:f>
      </x:c>
      <x:c r="N1332" s="32" t="str">
        <x:f>IF(AND(N$8&lt;='Detalle'!$H648,N$9&gt;='Detalle'!$G648),1,"")</x:f>
      </x:c>
      <x:c r="O1332" s="32" t="str">
        <x:f>IF(AND(O$8&lt;='Detalle'!$H648,O$9&gt;='Detalle'!$G648),1,"")</x:f>
      </x:c>
      <x:c r="P1332" s="32" t="str">
        <x:f>IF(AND(P$8&lt;='Detalle'!$H648,P$9&gt;='Detalle'!$G648),1,"")</x:f>
      </x:c>
      <x:c r="Q1332" s="68"/>
      <x:c r="R1332" s="67" t="str">
        <x:f>IF('Detalle'!M648="","",'Detalle'!M648)</x:f>
      </x:c>
      <x:c r="S1332" s="67" t="str">
        <x:f>IF('Detalle'!N648="","",'Detalle'!N648)</x:f>
      </x:c>
    </x:row>
    <x:row r="1333" ht="16" customHeight="1">
      <x:c r="A1333" s="56" t="str">
        <x:v>TOU02.005</x:v>
      </x:c>
      <x:c r="B1333" s="57" t="str">
        <x:v>Capturar contexto y evidencia privada</x:v>
      </x:c>
      <x:c r="C1333" s="63" t="str">
        <x:v>R</x:v>
      </x:c>
      <x:c r="D1333" s="65" t="str">
        <x:f>IF('Detalle'!L648="","",'Detalle'!L648)</x:f>
      </x:c>
      <x:c r="E1333" s="60" t="str"/>
      <x:c r="F1333" s="32" t="str">
        <x:f>IF(OR('Detalle'!$J648="",'Detalle'!$K648="",'Detalle'!$L648=""),"",IF(AND(F$8&lt;='Detalle'!$K648,F$9&gt;='Detalle'!$J648),1,""))</x:f>
      </x:c>
      <x:c r="G1333" s="32" t="str">
        <x:f>IF(OR('Detalle'!$J648="",'Detalle'!$K648="",'Detalle'!$L648=""),"",IF(AND(G$8&lt;='Detalle'!$K648,G$9&gt;='Detalle'!$J648),1,""))</x:f>
      </x:c>
      <x:c r="H1333" s="32" t="str">
        <x:f>IF(OR('Detalle'!$J648="",'Detalle'!$K648="",'Detalle'!$L648=""),"",IF(AND(H$8&lt;='Detalle'!$K648,H$9&gt;='Detalle'!$J648),1,""))</x:f>
      </x:c>
      <x:c r="I1333" s="32" t="str">
        <x:f>IF(OR('Detalle'!$J648="",'Detalle'!$K648="",'Detalle'!$L648=""),"",IF(AND(I$8&lt;='Detalle'!$K648,I$9&gt;='Detalle'!$J648),1,""))</x:f>
      </x:c>
      <x:c r="J1333" s="32" t="str">
        <x:f>IF(OR('Detalle'!$J648="",'Detalle'!$K648="",'Detalle'!$L648=""),"",IF(AND(J$8&lt;='Detalle'!$K648,J$9&gt;='Detalle'!$J648),1,""))</x:f>
      </x:c>
      <x:c r="K1333" s="32" t="str">
        <x:f>IF(OR('Detalle'!$J648="",'Detalle'!$K648="",'Detalle'!$L648=""),"",IF(AND(K$8&lt;='Detalle'!$K648,K$9&gt;='Detalle'!$J648),1,""))</x:f>
      </x:c>
      <x:c r="L1333" s="32" t="str">
        <x:f>IF(OR('Detalle'!$J648="",'Detalle'!$K648="",'Detalle'!$L648=""),"",IF(AND(L$8&lt;='Detalle'!$K648,L$9&gt;='Detalle'!$J648),1,""))</x:f>
      </x:c>
      <x:c r="M1333" s="32" t="str">
        <x:f>IF(OR('Detalle'!$J648="",'Detalle'!$K648="",'Detalle'!$L648=""),"",IF(AND(M$8&lt;='Detalle'!$K648,M$9&gt;='Detalle'!$J648),1,""))</x:f>
      </x:c>
      <x:c r="N1333" s="32" t="str">
        <x:f>IF(OR('Detalle'!$J648="",'Detalle'!$K648="",'Detalle'!$L648=""),"",IF(AND(N$8&lt;='Detalle'!$K648,N$9&gt;='Detalle'!$J648),1,""))</x:f>
      </x:c>
      <x:c r="O1333" s="32" t="str">
        <x:f>IF(OR('Detalle'!$J648="",'Detalle'!$K648="",'Detalle'!$L648=""),"",IF(AND(O$8&lt;='Detalle'!$K648,O$9&gt;='Detalle'!$J648),1,""))</x:f>
      </x:c>
      <x:c r="P1333" s="32" t="str">
        <x:f>IF(OR('Detalle'!$J648="",'Detalle'!$K648="",'Detalle'!$L648=""),"",IF(AND(P$8&lt;='Detalle'!$K648,P$9&gt;='Detalle'!$J648),1,""))</x:f>
      </x:c>
      <x:c r="Q1333" s="68"/>
      <x:c r="R1333" s="67" t="str"/>
      <x:c r="S1333" s="67" t="str"/>
    </x:row>
    <x:row r="1334" ht="16" customHeight="1">
      <x:c r="A1334" s="56" t="str">
        <x:v>TOU02.006</x:v>
      </x:c>
      <x:c r="B1334" s="57" t="str">
        <x:v>Crear y editar zonas</x:v>
      </x:c>
      <x:c r="C1334" s="62" t="str">
        <x:v>E</x:v>
      </x:c>
      <x:c r="D1334" s="64" t="n">
        <x:f>'Detalle'!I649</x:f>
        <x:v>1</x:v>
      </x:c>
      <x:c r="E1334" s="60" t="str">
        <x:f>'Detalle'!F649</x:f>
        <x:v>Completado</x:v>
      </x:c>
      <x:c r="F1334" s="32" t="str">
        <x:f>IF(AND(F$8&lt;='Detalle'!$H649,F$9&gt;='Detalle'!$G649),1,"")</x:f>
      </x:c>
      <x:c r="G1334" s="32" t="str">
        <x:f>IF(AND(G$8&lt;='Detalle'!$H649,G$9&gt;='Detalle'!$G649),1,"")</x:f>
      </x:c>
      <x:c r="H1334" s="32" t="str">
        <x:f>IF(AND(H$8&lt;='Detalle'!$H649,H$9&gt;='Detalle'!$G649),1,"")</x:f>
      </x:c>
      <x:c r="I1334" s="32" t="str">
        <x:f>IF(AND(I$8&lt;='Detalle'!$H649,I$9&gt;='Detalle'!$G649),1,"")</x:f>
      </x:c>
      <x:c r="J1334" s="32" t="n">
        <x:f>IF(AND(J$8&lt;='Detalle'!$H649,J$9&gt;='Detalle'!$G649),1,"")</x:f>
        <x:v>1</x:v>
      </x:c>
      <x:c r="K1334" s="32" t="str">
        <x:f>IF(AND(K$8&lt;='Detalle'!$H649,K$9&gt;='Detalle'!$G649),1,"")</x:f>
      </x:c>
      <x:c r="L1334" s="32" t="str">
        <x:f>IF(AND(L$8&lt;='Detalle'!$H649,L$9&gt;='Detalle'!$G649),1,"")</x:f>
      </x:c>
      <x:c r="M1334" s="32" t="str">
        <x:f>IF(AND(M$8&lt;='Detalle'!$H649,M$9&gt;='Detalle'!$G649),1,"")</x:f>
      </x:c>
      <x:c r="N1334" s="32" t="str">
        <x:f>IF(AND(N$8&lt;='Detalle'!$H649,N$9&gt;='Detalle'!$G649),1,"")</x:f>
      </x:c>
      <x:c r="O1334" s="32" t="str">
        <x:f>IF(AND(O$8&lt;='Detalle'!$H649,O$9&gt;='Detalle'!$G649),1,"")</x:f>
      </x:c>
      <x:c r="P1334" s="32" t="str">
        <x:f>IF(AND(P$8&lt;='Detalle'!$H649,P$9&gt;='Detalle'!$G649),1,"")</x:f>
      </x:c>
      <x:c r="Q1334" s="68"/>
      <x:c r="R1334" s="67" t="str">
        <x:f>IF('Detalle'!M649="","",'Detalle'!M649)</x:f>
      </x:c>
      <x:c r="S1334" s="67" t="str">
        <x:f>IF('Detalle'!N649="","",'Detalle'!N649)</x:f>
      </x:c>
    </x:row>
    <x:row r="1335" ht="16" customHeight="1">
      <x:c r="A1335" s="56" t="str">
        <x:v>TOU02.006</x:v>
      </x:c>
      <x:c r="B1335" s="57" t="str">
        <x:v>Crear y editar zonas</x:v>
      </x:c>
      <x:c r="C1335" s="63" t="str">
        <x:v>R</x:v>
      </x:c>
      <x:c r="D1335" s="65" t="str">
        <x:f>IF('Detalle'!L649="","",'Detalle'!L649)</x:f>
      </x:c>
      <x:c r="E1335" s="60" t="str"/>
      <x:c r="F1335" s="32" t="str">
        <x:f>IF(OR('Detalle'!$J649="",'Detalle'!$K649="",'Detalle'!$L649=""),"",IF(AND(F$8&lt;='Detalle'!$K649,F$9&gt;='Detalle'!$J649),1,""))</x:f>
      </x:c>
      <x:c r="G1335" s="32" t="str">
        <x:f>IF(OR('Detalle'!$J649="",'Detalle'!$K649="",'Detalle'!$L649=""),"",IF(AND(G$8&lt;='Detalle'!$K649,G$9&gt;='Detalle'!$J649),1,""))</x:f>
      </x:c>
      <x:c r="H1335" s="32" t="str">
        <x:f>IF(OR('Detalle'!$J649="",'Detalle'!$K649="",'Detalle'!$L649=""),"",IF(AND(H$8&lt;='Detalle'!$K649,H$9&gt;='Detalle'!$J649),1,""))</x:f>
      </x:c>
      <x:c r="I1335" s="32" t="str">
        <x:f>IF(OR('Detalle'!$J649="",'Detalle'!$K649="",'Detalle'!$L649=""),"",IF(AND(I$8&lt;='Detalle'!$K649,I$9&gt;='Detalle'!$J649),1,""))</x:f>
      </x:c>
      <x:c r="J1335" s="32" t="str">
        <x:f>IF(OR('Detalle'!$J649="",'Detalle'!$K649="",'Detalle'!$L649=""),"",IF(AND(J$8&lt;='Detalle'!$K649,J$9&gt;='Detalle'!$J649),1,""))</x:f>
      </x:c>
      <x:c r="K1335" s="32" t="str">
        <x:f>IF(OR('Detalle'!$J649="",'Detalle'!$K649="",'Detalle'!$L649=""),"",IF(AND(K$8&lt;='Detalle'!$K649,K$9&gt;='Detalle'!$J649),1,""))</x:f>
      </x:c>
      <x:c r="L1335" s="32" t="str">
        <x:f>IF(OR('Detalle'!$J649="",'Detalle'!$K649="",'Detalle'!$L649=""),"",IF(AND(L$8&lt;='Detalle'!$K649,L$9&gt;='Detalle'!$J649),1,""))</x:f>
      </x:c>
      <x:c r="M1335" s="32" t="str">
        <x:f>IF(OR('Detalle'!$J649="",'Detalle'!$K649="",'Detalle'!$L649=""),"",IF(AND(M$8&lt;='Detalle'!$K649,M$9&gt;='Detalle'!$J649),1,""))</x:f>
      </x:c>
      <x:c r="N1335" s="32" t="str">
        <x:f>IF(OR('Detalle'!$J649="",'Detalle'!$K649="",'Detalle'!$L649=""),"",IF(AND(N$8&lt;='Detalle'!$K649,N$9&gt;='Detalle'!$J649),1,""))</x:f>
      </x:c>
      <x:c r="O1335" s="32" t="str">
        <x:f>IF(OR('Detalle'!$J649="",'Detalle'!$K649="",'Detalle'!$L649=""),"",IF(AND(O$8&lt;='Detalle'!$K649,O$9&gt;='Detalle'!$J649),1,""))</x:f>
      </x:c>
      <x:c r="P1335" s="32" t="str">
        <x:f>IF(OR('Detalle'!$J649="",'Detalle'!$K649="",'Detalle'!$L649=""),"",IF(AND(P$8&lt;='Detalle'!$K649,P$9&gt;='Detalle'!$J649),1,""))</x:f>
      </x:c>
      <x:c r="Q1335" s="68"/>
      <x:c r="R1335" s="67" t="str"/>
      <x:c r="S1335" s="67" t="str"/>
    </x:row>
    <x:row r="1336" ht="16" customHeight="1">
      <x:c r="A1336" s="56" t="str">
        <x:v>TOU02.007</x:v>
      </x:c>
      <x:c r="B1336" s="57" t="str">
        <x:v>Crear y editar posiciones 360°</x:v>
      </x:c>
      <x:c r="C1336" s="62" t="str">
        <x:v>E</x:v>
      </x:c>
      <x:c r="D1336" s="64" t="n">
        <x:f>'Detalle'!I650</x:f>
        <x:v>1</x:v>
      </x:c>
      <x:c r="E1336" s="60" t="str">
        <x:f>'Detalle'!F650</x:f>
        <x:v>Completado</x:v>
      </x:c>
      <x:c r="F1336" s="32" t="str">
        <x:f>IF(AND(F$8&lt;='Detalle'!$H650,F$9&gt;='Detalle'!$G650),1,"")</x:f>
      </x:c>
      <x:c r="G1336" s="32" t="str">
        <x:f>IF(AND(G$8&lt;='Detalle'!$H650,G$9&gt;='Detalle'!$G650),1,"")</x:f>
      </x:c>
      <x:c r="H1336" s="32" t="str">
        <x:f>IF(AND(H$8&lt;='Detalle'!$H650,H$9&gt;='Detalle'!$G650),1,"")</x:f>
      </x:c>
      <x:c r="I1336" s="32" t="str">
        <x:f>IF(AND(I$8&lt;='Detalle'!$H650,I$9&gt;='Detalle'!$G650),1,"")</x:f>
      </x:c>
      <x:c r="J1336" s="32" t="n">
        <x:f>IF(AND(J$8&lt;='Detalle'!$H650,J$9&gt;='Detalle'!$G650),1,"")</x:f>
        <x:v>1</x:v>
      </x:c>
      <x:c r="K1336" s="32" t="str">
        <x:f>IF(AND(K$8&lt;='Detalle'!$H650,K$9&gt;='Detalle'!$G650),1,"")</x:f>
      </x:c>
      <x:c r="L1336" s="32" t="str">
        <x:f>IF(AND(L$8&lt;='Detalle'!$H650,L$9&gt;='Detalle'!$G650),1,"")</x:f>
      </x:c>
      <x:c r="M1336" s="32" t="str">
        <x:f>IF(AND(M$8&lt;='Detalle'!$H650,M$9&gt;='Detalle'!$G650),1,"")</x:f>
      </x:c>
      <x:c r="N1336" s="32" t="str">
        <x:f>IF(AND(N$8&lt;='Detalle'!$H650,N$9&gt;='Detalle'!$G650),1,"")</x:f>
      </x:c>
      <x:c r="O1336" s="32" t="str">
        <x:f>IF(AND(O$8&lt;='Detalle'!$H650,O$9&gt;='Detalle'!$G650),1,"")</x:f>
      </x:c>
      <x:c r="P1336" s="32" t="str">
        <x:f>IF(AND(P$8&lt;='Detalle'!$H650,P$9&gt;='Detalle'!$G650),1,"")</x:f>
      </x:c>
      <x:c r="Q1336" s="68"/>
      <x:c r="R1336" s="67" t="str">
        <x:f>IF('Detalle'!M650="","",'Detalle'!M650)</x:f>
      </x:c>
      <x:c r="S1336" s="67" t="str">
        <x:f>IF('Detalle'!N650="","",'Detalle'!N650)</x:f>
      </x:c>
    </x:row>
    <x:row r="1337" ht="16" customHeight="1">
      <x:c r="A1337" s="56" t="str">
        <x:v>TOU02.007</x:v>
      </x:c>
      <x:c r="B1337" s="57" t="str">
        <x:v>Crear y editar posiciones 360°</x:v>
      </x:c>
      <x:c r="C1337" s="63" t="str">
        <x:v>R</x:v>
      </x:c>
      <x:c r="D1337" s="65" t="str">
        <x:f>IF('Detalle'!L650="","",'Detalle'!L650)</x:f>
      </x:c>
      <x:c r="E1337" s="60" t="str"/>
      <x:c r="F1337" s="32" t="str">
        <x:f>IF(OR('Detalle'!$J650="",'Detalle'!$K650="",'Detalle'!$L650=""),"",IF(AND(F$8&lt;='Detalle'!$K650,F$9&gt;='Detalle'!$J650),1,""))</x:f>
      </x:c>
      <x:c r="G1337" s="32" t="str">
        <x:f>IF(OR('Detalle'!$J650="",'Detalle'!$K650="",'Detalle'!$L650=""),"",IF(AND(G$8&lt;='Detalle'!$K650,G$9&gt;='Detalle'!$J650),1,""))</x:f>
      </x:c>
      <x:c r="H1337" s="32" t="str">
        <x:f>IF(OR('Detalle'!$J650="",'Detalle'!$K650="",'Detalle'!$L650=""),"",IF(AND(H$8&lt;='Detalle'!$K650,H$9&gt;='Detalle'!$J650),1,""))</x:f>
      </x:c>
      <x:c r="I1337" s="32" t="str">
        <x:f>IF(OR('Detalle'!$J650="",'Detalle'!$K650="",'Detalle'!$L650=""),"",IF(AND(I$8&lt;='Detalle'!$K650,I$9&gt;='Detalle'!$J650),1,""))</x:f>
      </x:c>
      <x:c r="J1337" s="32" t="str">
        <x:f>IF(OR('Detalle'!$J650="",'Detalle'!$K650="",'Detalle'!$L650=""),"",IF(AND(J$8&lt;='Detalle'!$K650,J$9&gt;='Detalle'!$J650),1,""))</x:f>
      </x:c>
      <x:c r="K1337" s="32" t="str">
        <x:f>IF(OR('Detalle'!$J650="",'Detalle'!$K650="",'Detalle'!$L650=""),"",IF(AND(K$8&lt;='Detalle'!$K650,K$9&gt;='Detalle'!$J650),1,""))</x:f>
      </x:c>
      <x:c r="L1337" s="32" t="str">
        <x:f>IF(OR('Detalle'!$J650="",'Detalle'!$K650="",'Detalle'!$L650=""),"",IF(AND(L$8&lt;='Detalle'!$K650,L$9&gt;='Detalle'!$J650),1,""))</x:f>
      </x:c>
      <x:c r="M1337" s="32" t="str">
        <x:f>IF(OR('Detalle'!$J650="",'Detalle'!$K650="",'Detalle'!$L650=""),"",IF(AND(M$8&lt;='Detalle'!$K650,M$9&gt;='Detalle'!$J650),1,""))</x:f>
      </x:c>
      <x:c r="N1337" s="32" t="str">
        <x:f>IF(OR('Detalle'!$J650="",'Detalle'!$K650="",'Detalle'!$L650=""),"",IF(AND(N$8&lt;='Detalle'!$K650,N$9&gt;='Detalle'!$J650),1,""))</x:f>
      </x:c>
      <x:c r="O1337" s="32" t="str">
        <x:f>IF(OR('Detalle'!$J650="",'Detalle'!$K650="",'Detalle'!$L650=""),"",IF(AND(O$8&lt;='Detalle'!$K650,O$9&gt;='Detalle'!$J650),1,""))</x:f>
      </x:c>
      <x:c r="P1337" s="32" t="str">
        <x:f>IF(OR('Detalle'!$J650="",'Detalle'!$K650="",'Detalle'!$L650=""),"",IF(AND(P$8&lt;='Detalle'!$K650,P$9&gt;='Detalle'!$J650),1,""))</x:f>
      </x:c>
      <x:c r="Q1337" s="68"/>
      <x:c r="R1337" s="67" t="str"/>
      <x:c r="S1337" s="67" t="str"/>
    </x:row>
    <x:row r="1338" ht="16" customHeight="1">
      <x:c r="A1338" s="56" t="str">
        <x:v>TOU02.008</x:v>
      </x:c>
      <x:c r="B1338" s="57" t="str">
        <x:v>Seleccionar posición de inicio</x:v>
      </x:c>
      <x:c r="C1338" s="62" t="str">
        <x:v>E</x:v>
      </x:c>
      <x:c r="D1338" s="64" t="n">
        <x:f>'Detalle'!I651</x:f>
        <x:v>1</x:v>
      </x:c>
      <x:c r="E1338" s="60" t="str">
        <x:f>'Detalle'!F651</x:f>
        <x:v>Completado</x:v>
      </x:c>
      <x:c r="F1338" s="32" t="str">
        <x:f>IF(AND(F$8&lt;='Detalle'!$H651,F$9&gt;='Detalle'!$G651),1,"")</x:f>
      </x:c>
      <x:c r="G1338" s="32" t="str">
        <x:f>IF(AND(G$8&lt;='Detalle'!$H651,G$9&gt;='Detalle'!$G651),1,"")</x:f>
      </x:c>
      <x:c r="H1338" s="32" t="str">
        <x:f>IF(AND(H$8&lt;='Detalle'!$H651,H$9&gt;='Detalle'!$G651),1,"")</x:f>
      </x:c>
      <x:c r="I1338" s="32" t="str">
        <x:f>IF(AND(I$8&lt;='Detalle'!$H651,I$9&gt;='Detalle'!$G651),1,"")</x:f>
      </x:c>
      <x:c r="J1338" s="32" t="n">
        <x:f>IF(AND(J$8&lt;='Detalle'!$H651,J$9&gt;='Detalle'!$G651),1,"")</x:f>
        <x:v>1</x:v>
      </x:c>
      <x:c r="K1338" s="32" t="str">
        <x:f>IF(AND(K$8&lt;='Detalle'!$H651,K$9&gt;='Detalle'!$G651),1,"")</x:f>
      </x:c>
      <x:c r="L1338" s="32" t="str">
        <x:f>IF(AND(L$8&lt;='Detalle'!$H651,L$9&gt;='Detalle'!$G651),1,"")</x:f>
      </x:c>
      <x:c r="M1338" s="32" t="str">
        <x:f>IF(AND(M$8&lt;='Detalle'!$H651,M$9&gt;='Detalle'!$G651),1,"")</x:f>
      </x:c>
      <x:c r="N1338" s="32" t="str">
        <x:f>IF(AND(N$8&lt;='Detalle'!$H651,N$9&gt;='Detalle'!$G651),1,"")</x:f>
      </x:c>
      <x:c r="O1338" s="32" t="str">
        <x:f>IF(AND(O$8&lt;='Detalle'!$H651,O$9&gt;='Detalle'!$G651),1,"")</x:f>
      </x:c>
      <x:c r="P1338" s="32" t="str">
        <x:f>IF(AND(P$8&lt;='Detalle'!$H651,P$9&gt;='Detalle'!$G651),1,"")</x:f>
      </x:c>
      <x:c r="Q1338" s="68"/>
      <x:c r="R1338" s="67" t="str">
        <x:f>IF('Detalle'!M651="","",'Detalle'!M651)</x:f>
      </x:c>
      <x:c r="S1338" s="67" t="str">
        <x:f>IF('Detalle'!N651="","",'Detalle'!N651)</x:f>
      </x:c>
    </x:row>
    <x:row r="1339" ht="16" customHeight="1">
      <x:c r="A1339" s="56" t="str">
        <x:v>TOU02.008</x:v>
      </x:c>
      <x:c r="B1339" s="57" t="str">
        <x:v>Seleccionar posición de inicio</x:v>
      </x:c>
      <x:c r="C1339" s="63" t="str">
        <x:v>R</x:v>
      </x:c>
      <x:c r="D1339" s="65" t="str">
        <x:f>IF('Detalle'!L651="","",'Detalle'!L651)</x:f>
      </x:c>
      <x:c r="E1339" s="60" t="str"/>
      <x:c r="F1339" s="32" t="str">
        <x:f>IF(OR('Detalle'!$J651="",'Detalle'!$K651="",'Detalle'!$L651=""),"",IF(AND(F$8&lt;='Detalle'!$K651,F$9&gt;='Detalle'!$J651),1,""))</x:f>
      </x:c>
      <x:c r="G1339" s="32" t="str">
        <x:f>IF(OR('Detalle'!$J651="",'Detalle'!$K651="",'Detalle'!$L651=""),"",IF(AND(G$8&lt;='Detalle'!$K651,G$9&gt;='Detalle'!$J651),1,""))</x:f>
      </x:c>
      <x:c r="H1339" s="32" t="str">
        <x:f>IF(OR('Detalle'!$J651="",'Detalle'!$K651="",'Detalle'!$L651=""),"",IF(AND(H$8&lt;='Detalle'!$K651,H$9&gt;='Detalle'!$J651),1,""))</x:f>
      </x:c>
      <x:c r="I1339" s="32" t="str">
        <x:f>IF(OR('Detalle'!$J651="",'Detalle'!$K651="",'Detalle'!$L651=""),"",IF(AND(I$8&lt;='Detalle'!$K651,I$9&gt;='Detalle'!$J651),1,""))</x:f>
      </x:c>
      <x:c r="J1339" s="32" t="str">
        <x:f>IF(OR('Detalle'!$J651="",'Detalle'!$K651="",'Detalle'!$L651=""),"",IF(AND(J$8&lt;='Detalle'!$K651,J$9&gt;='Detalle'!$J651),1,""))</x:f>
      </x:c>
      <x:c r="K1339" s="32" t="str">
        <x:f>IF(OR('Detalle'!$J651="",'Detalle'!$K651="",'Detalle'!$L651=""),"",IF(AND(K$8&lt;='Detalle'!$K651,K$9&gt;='Detalle'!$J651),1,""))</x:f>
      </x:c>
      <x:c r="L1339" s="32" t="str">
        <x:f>IF(OR('Detalle'!$J651="",'Detalle'!$K651="",'Detalle'!$L651=""),"",IF(AND(L$8&lt;='Detalle'!$K651,L$9&gt;='Detalle'!$J651),1,""))</x:f>
      </x:c>
      <x:c r="M1339" s="32" t="str">
        <x:f>IF(OR('Detalle'!$J651="",'Detalle'!$K651="",'Detalle'!$L651=""),"",IF(AND(M$8&lt;='Detalle'!$K651,M$9&gt;='Detalle'!$J651),1,""))</x:f>
      </x:c>
      <x:c r="N1339" s="32" t="str">
        <x:f>IF(OR('Detalle'!$J651="",'Detalle'!$K651="",'Detalle'!$L651=""),"",IF(AND(N$8&lt;='Detalle'!$K651,N$9&gt;='Detalle'!$J651),1,""))</x:f>
      </x:c>
      <x:c r="O1339" s="32" t="str">
        <x:f>IF(OR('Detalle'!$J651="",'Detalle'!$K651="",'Detalle'!$L651=""),"",IF(AND(O$8&lt;='Detalle'!$K651,O$9&gt;='Detalle'!$J651),1,""))</x:f>
      </x:c>
      <x:c r="P1339" s="32" t="str">
        <x:f>IF(OR('Detalle'!$J651="",'Detalle'!$K651="",'Detalle'!$L651=""),"",IF(AND(P$8&lt;='Detalle'!$K651,P$9&gt;='Detalle'!$J651),1,""))</x:f>
      </x:c>
      <x:c r="Q1339" s="68"/>
      <x:c r="R1339" s="67" t="str"/>
      <x:c r="S1339" s="67" t="str"/>
    </x:row>
    <x:row r="1340" ht="16" customHeight="1">
      <x:c r="A1340" s="56" t="str">
        <x:v>TOU02.009</x:v>
      </x:c>
      <x:c r="B1340" s="57" t="str">
        <x:v>Crear puntos con explicación propia</x:v>
      </x:c>
      <x:c r="C1340" s="62" t="str">
        <x:v>E</x:v>
      </x:c>
      <x:c r="D1340" s="64" t="n">
        <x:f>'Detalle'!I652</x:f>
        <x:v>1</x:v>
      </x:c>
      <x:c r="E1340" s="60" t="str">
        <x:f>'Detalle'!F652</x:f>
        <x:v>Completado</x:v>
      </x:c>
      <x:c r="F1340" s="32" t="str">
        <x:f>IF(AND(F$8&lt;='Detalle'!$H652,F$9&gt;='Detalle'!$G652),1,"")</x:f>
      </x:c>
      <x:c r="G1340" s="32" t="str">
        <x:f>IF(AND(G$8&lt;='Detalle'!$H652,G$9&gt;='Detalle'!$G652),1,"")</x:f>
      </x:c>
      <x:c r="H1340" s="32" t="str">
        <x:f>IF(AND(H$8&lt;='Detalle'!$H652,H$9&gt;='Detalle'!$G652),1,"")</x:f>
      </x:c>
      <x:c r="I1340" s="32" t="str">
        <x:f>IF(AND(I$8&lt;='Detalle'!$H652,I$9&gt;='Detalle'!$G652),1,"")</x:f>
      </x:c>
      <x:c r="J1340" s="32" t="n">
        <x:f>IF(AND(J$8&lt;='Detalle'!$H652,J$9&gt;='Detalle'!$G652),1,"")</x:f>
        <x:v>1</x:v>
      </x:c>
      <x:c r="K1340" s="32" t="str">
        <x:f>IF(AND(K$8&lt;='Detalle'!$H652,K$9&gt;='Detalle'!$G652),1,"")</x:f>
      </x:c>
      <x:c r="L1340" s="32" t="str">
        <x:f>IF(AND(L$8&lt;='Detalle'!$H652,L$9&gt;='Detalle'!$G652),1,"")</x:f>
      </x:c>
      <x:c r="M1340" s="32" t="str">
        <x:f>IF(AND(M$8&lt;='Detalle'!$H652,M$9&gt;='Detalle'!$G652),1,"")</x:f>
      </x:c>
      <x:c r="N1340" s="32" t="str">
        <x:f>IF(AND(N$8&lt;='Detalle'!$H652,N$9&gt;='Detalle'!$G652),1,"")</x:f>
      </x:c>
      <x:c r="O1340" s="32" t="str">
        <x:f>IF(AND(O$8&lt;='Detalle'!$H652,O$9&gt;='Detalle'!$G652),1,"")</x:f>
      </x:c>
      <x:c r="P1340" s="32" t="str">
        <x:f>IF(AND(P$8&lt;='Detalle'!$H652,P$9&gt;='Detalle'!$G652),1,"")</x:f>
      </x:c>
      <x:c r="Q1340" s="68"/>
      <x:c r="R1340" s="67" t="str">
        <x:f>IF('Detalle'!M652="","",'Detalle'!M652)</x:f>
      </x:c>
      <x:c r="S1340" s="67" t="str">
        <x:f>IF('Detalle'!N652="","",'Detalle'!N652)</x:f>
      </x:c>
    </x:row>
    <x:row r="1341" ht="16" customHeight="1">
      <x:c r="A1341" s="56" t="str">
        <x:v>TOU02.009</x:v>
      </x:c>
      <x:c r="B1341" s="57" t="str">
        <x:v>Crear puntos con explicación propia</x:v>
      </x:c>
      <x:c r="C1341" s="63" t="str">
        <x:v>R</x:v>
      </x:c>
      <x:c r="D1341" s="65" t="str">
        <x:f>IF('Detalle'!L652="","",'Detalle'!L652)</x:f>
      </x:c>
      <x:c r="E1341" s="60" t="str"/>
      <x:c r="F1341" s="32" t="str">
        <x:f>IF(OR('Detalle'!$J652="",'Detalle'!$K652="",'Detalle'!$L652=""),"",IF(AND(F$8&lt;='Detalle'!$K652,F$9&gt;='Detalle'!$J652),1,""))</x:f>
      </x:c>
      <x:c r="G1341" s="32" t="str">
        <x:f>IF(OR('Detalle'!$J652="",'Detalle'!$K652="",'Detalle'!$L652=""),"",IF(AND(G$8&lt;='Detalle'!$K652,G$9&gt;='Detalle'!$J652),1,""))</x:f>
      </x:c>
      <x:c r="H1341" s="32" t="str">
        <x:f>IF(OR('Detalle'!$J652="",'Detalle'!$K652="",'Detalle'!$L652=""),"",IF(AND(H$8&lt;='Detalle'!$K652,H$9&gt;='Detalle'!$J652),1,""))</x:f>
      </x:c>
      <x:c r="I1341" s="32" t="str">
        <x:f>IF(OR('Detalle'!$J652="",'Detalle'!$K652="",'Detalle'!$L652=""),"",IF(AND(I$8&lt;='Detalle'!$K652,I$9&gt;='Detalle'!$J652),1,""))</x:f>
      </x:c>
      <x:c r="J1341" s="32" t="str">
        <x:f>IF(OR('Detalle'!$J652="",'Detalle'!$K652="",'Detalle'!$L652=""),"",IF(AND(J$8&lt;='Detalle'!$K652,J$9&gt;='Detalle'!$J652),1,""))</x:f>
      </x:c>
      <x:c r="K1341" s="32" t="str">
        <x:f>IF(OR('Detalle'!$J652="",'Detalle'!$K652="",'Detalle'!$L652=""),"",IF(AND(K$8&lt;='Detalle'!$K652,K$9&gt;='Detalle'!$J652),1,""))</x:f>
      </x:c>
      <x:c r="L1341" s="32" t="str">
        <x:f>IF(OR('Detalle'!$J652="",'Detalle'!$K652="",'Detalle'!$L652=""),"",IF(AND(L$8&lt;='Detalle'!$K652,L$9&gt;='Detalle'!$J652),1,""))</x:f>
      </x:c>
      <x:c r="M1341" s="32" t="str">
        <x:f>IF(OR('Detalle'!$J652="",'Detalle'!$K652="",'Detalle'!$L652=""),"",IF(AND(M$8&lt;='Detalle'!$K652,M$9&gt;='Detalle'!$J652),1,""))</x:f>
      </x:c>
      <x:c r="N1341" s="32" t="str">
        <x:f>IF(OR('Detalle'!$J652="",'Detalle'!$K652="",'Detalle'!$L652=""),"",IF(AND(N$8&lt;='Detalle'!$K652,N$9&gt;='Detalle'!$J652),1,""))</x:f>
      </x:c>
      <x:c r="O1341" s="32" t="str">
        <x:f>IF(OR('Detalle'!$J652="",'Detalle'!$K652="",'Detalle'!$L652=""),"",IF(AND(O$8&lt;='Detalle'!$K652,O$9&gt;='Detalle'!$J652),1,""))</x:f>
      </x:c>
      <x:c r="P1341" s="32" t="str">
        <x:f>IF(OR('Detalle'!$J652="",'Detalle'!$K652="",'Detalle'!$L652=""),"",IF(AND(P$8&lt;='Detalle'!$K652,P$9&gt;='Detalle'!$J652),1,""))</x:f>
      </x:c>
      <x:c r="Q1341" s="68"/>
      <x:c r="R1341" s="67" t="str"/>
      <x:c r="S1341" s="67" t="str"/>
    </x:row>
    <x:row r="1342" ht="16" customHeight="1">
      <x:c r="A1342" s="56" t="str">
        <x:v>TOU02.010</x:v>
      </x:c>
      <x:c r="B1342" s="57" t="str">
        <x:v>Ubicar puntos mediante yaw y pitch</x:v>
      </x:c>
      <x:c r="C1342" s="62" t="str">
        <x:v>E</x:v>
      </x:c>
      <x:c r="D1342" s="64" t="n">
        <x:f>'Detalle'!I653</x:f>
        <x:v>1</x:v>
      </x:c>
      <x:c r="E1342" s="60" t="str">
        <x:f>'Detalle'!F653</x:f>
        <x:v>Completado</x:v>
      </x:c>
      <x:c r="F1342" s="32" t="str">
        <x:f>IF(AND(F$8&lt;='Detalle'!$H653,F$9&gt;='Detalle'!$G653),1,"")</x:f>
      </x:c>
      <x:c r="G1342" s="32" t="str">
        <x:f>IF(AND(G$8&lt;='Detalle'!$H653,G$9&gt;='Detalle'!$G653),1,"")</x:f>
      </x:c>
      <x:c r="H1342" s="32" t="str">
        <x:f>IF(AND(H$8&lt;='Detalle'!$H653,H$9&gt;='Detalle'!$G653),1,"")</x:f>
      </x:c>
      <x:c r="I1342" s="32" t="str">
        <x:f>IF(AND(I$8&lt;='Detalle'!$H653,I$9&gt;='Detalle'!$G653),1,"")</x:f>
      </x:c>
      <x:c r="J1342" s="32" t="n">
        <x:f>IF(AND(J$8&lt;='Detalle'!$H653,J$9&gt;='Detalle'!$G653),1,"")</x:f>
        <x:v>1</x:v>
      </x:c>
      <x:c r="K1342" s="32" t="str">
        <x:f>IF(AND(K$8&lt;='Detalle'!$H653,K$9&gt;='Detalle'!$G653),1,"")</x:f>
      </x:c>
      <x:c r="L1342" s="32" t="str">
        <x:f>IF(AND(L$8&lt;='Detalle'!$H653,L$9&gt;='Detalle'!$G653),1,"")</x:f>
      </x:c>
      <x:c r="M1342" s="32" t="str">
        <x:f>IF(AND(M$8&lt;='Detalle'!$H653,M$9&gt;='Detalle'!$G653),1,"")</x:f>
      </x:c>
      <x:c r="N1342" s="32" t="str">
        <x:f>IF(AND(N$8&lt;='Detalle'!$H653,N$9&gt;='Detalle'!$G653),1,"")</x:f>
      </x:c>
      <x:c r="O1342" s="32" t="str">
        <x:f>IF(AND(O$8&lt;='Detalle'!$H653,O$9&gt;='Detalle'!$G653),1,"")</x:f>
      </x:c>
      <x:c r="P1342" s="32" t="str">
        <x:f>IF(AND(P$8&lt;='Detalle'!$H653,P$9&gt;='Detalle'!$G653),1,"")</x:f>
      </x:c>
      <x:c r="Q1342" s="68"/>
      <x:c r="R1342" s="67" t="str">
        <x:f>IF('Detalle'!M653="","",'Detalle'!M653)</x:f>
      </x:c>
      <x:c r="S1342" s="67" t="str">
        <x:f>IF('Detalle'!N653="","",'Detalle'!N653)</x:f>
      </x:c>
    </x:row>
    <x:row r="1343" ht="16" customHeight="1">
      <x:c r="A1343" s="56" t="str">
        <x:v>TOU02.010</x:v>
      </x:c>
      <x:c r="B1343" s="57" t="str">
        <x:v>Ubicar puntos mediante yaw y pitch</x:v>
      </x:c>
      <x:c r="C1343" s="63" t="str">
        <x:v>R</x:v>
      </x:c>
      <x:c r="D1343" s="65" t="str">
        <x:f>IF('Detalle'!L653="","",'Detalle'!L653)</x:f>
      </x:c>
      <x:c r="E1343" s="60" t="str"/>
      <x:c r="F1343" s="32" t="str">
        <x:f>IF(OR('Detalle'!$J653="",'Detalle'!$K653="",'Detalle'!$L653=""),"",IF(AND(F$8&lt;='Detalle'!$K653,F$9&gt;='Detalle'!$J653),1,""))</x:f>
      </x:c>
      <x:c r="G1343" s="32" t="str">
        <x:f>IF(OR('Detalle'!$J653="",'Detalle'!$K653="",'Detalle'!$L653=""),"",IF(AND(G$8&lt;='Detalle'!$K653,G$9&gt;='Detalle'!$J653),1,""))</x:f>
      </x:c>
      <x:c r="H1343" s="32" t="str">
        <x:f>IF(OR('Detalle'!$J653="",'Detalle'!$K653="",'Detalle'!$L653=""),"",IF(AND(H$8&lt;='Detalle'!$K653,H$9&gt;='Detalle'!$J653),1,""))</x:f>
      </x:c>
      <x:c r="I1343" s="32" t="str">
        <x:f>IF(OR('Detalle'!$J653="",'Detalle'!$K653="",'Detalle'!$L653=""),"",IF(AND(I$8&lt;='Detalle'!$K653,I$9&gt;='Detalle'!$J653),1,""))</x:f>
      </x:c>
      <x:c r="J1343" s="32" t="str">
        <x:f>IF(OR('Detalle'!$J653="",'Detalle'!$K653="",'Detalle'!$L653=""),"",IF(AND(J$8&lt;='Detalle'!$K653,J$9&gt;='Detalle'!$J653),1,""))</x:f>
      </x:c>
      <x:c r="K1343" s="32" t="str">
        <x:f>IF(OR('Detalle'!$J653="",'Detalle'!$K653="",'Detalle'!$L653=""),"",IF(AND(K$8&lt;='Detalle'!$K653,K$9&gt;='Detalle'!$J653),1,""))</x:f>
      </x:c>
      <x:c r="L1343" s="32" t="str">
        <x:f>IF(OR('Detalle'!$J653="",'Detalle'!$K653="",'Detalle'!$L653=""),"",IF(AND(L$8&lt;='Detalle'!$K653,L$9&gt;='Detalle'!$J653),1,""))</x:f>
      </x:c>
      <x:c r="M1343" s="32" t="str">
        <x:f>IF(OR('Detalle'!$J653="",'Detalle'!$K653="",'Detalle'!$L653=""),"",IF(AND(M$8&lt;='Detalle'!$K653,M$9&gt;='Detalle'!$J653),1,""))</x:f>
      </x:c>
      <x:c r="N1343" s="32" t="str">
        <x:f>IF(OR('Detalle'!$J653="",'Detalle'!$K653="",'Detalle'!$L653=""),"",IF(AND(N$8&lt;='Detalle'!$K653,N$9&gt;='Detalle'!$J653),1,""))</x:f>
      </x:c>
      <x:c r="O1343" s="32" t="str">
        <x:f>IF(OR('Detalle'!$J653="",'Detalle'!$K653="",'Detalle'!$L653=""),"",IF(AND(O$8&lt;='Detalle'!$K653,O$9&gt;='Detalle'!$J653),1,""))</x:f>
      </x:c>
      <x:c r="P1343" s="32" t="str">
        <x:f>IF(OR('Detalle'!$J653="",'Detalle'!$K653="",'Detalle'!$L653=""),"",IF(AND(P$8&lt;='Detalle'!$K653,P$9&gt;='Detalle'!$J653),1,""))</x:f>
      </x:c>
      <x:c r="Q1343" s="68"/>
      <x:c r="R1343" s="67" t="str"/>
      <x:c r="S1343" s="67" t="str"/>
    </x:row>
    <x:row r="1344" ht="16" customHeight="1">
      <x:c r="A1344" s="56" t="str">
        <x:v>TOU02.011</x:v>
      </x:c>
      <x:c r="B1344" s="57" t="str">
        <x:v>Crear puntos solo en lista</x:v>
      </x:c>
      <x:c r="C1344" s="62" t="str">
        <x:v>E</x:v>
      </x:c>
      <x:c r="D1344" s="64" t="n">
        <x:f>'Detalle'!I654</x:f>
        <x:v>1</x:v>
      </x:c>
      <x:c r="E1344" s="60" t="str">
        <x:f>'Detalle'!F654</x:f>
        <x:v>Completado</x:v>
      </x:c>
      <x:c r="F1344" s="32" t="str">
        <x:f>IF(AND(F$8&lt;='Detalle'!$H654,F$9&gt;='Detalle'!$G654),1,"")</x:f>
      </x:c>
      <x:c r="G1344" s="32" t="str">
        <x:f>IF(AND(G$8&lt;='Detalle'!$H654,G$9&gt;='Detalle'!$G654),1,"")</x:f>
      </x:c>
      <x:c r="H1344" s="32" t="str">
        <x:f>IF(AND(H$8&lt;='Detalle'!$H654,H$9&gt;='Detalle'!$G654),1,"")</x:f>
      </x:c>
      <x:c r="I1344" s="32" t="str">
        <x:f>IF(AND(I$8&lt;='Detalle'!$H654,I$9&gt;='Detalle'!$G654),1,"")</x:f>
      </x:c>
      <x:c r="J1344" s="32" t="n">
        <x:f>IF(AND(J$8&lt;='Detalle'!$H654,J$9&gt;='Detalle'!$G654),1,"")</x:f>
        <x:v>1</x:v>
      </x:c>
      <x:c r="K1344" s="32" t="str">
        <x:f>IF(AND(K$8&lt;='Detalle'!$H654,K$9&gt;='Detalle'!$G654),1,"")</x:f>
      </x:c>
      <x:c r="L1344" s="32" t="str">
        <x:f>IF(AND(L$8&lt;='Detalle'!$H654,L$9&gt;='Detalle'!$G654),1,"")</x:f>
      </x:c>
      <x:c r="M1344" s="32" t="str">
        <x:f>IF(AND(M$8&lt;='Detalle'!$H654,M$9&gt;='Detalle'!$G654),1,"")</x:f>
      </x:c>
      <x:c r="N1344" s="32" t="str">
        <x:f>IF(AND(N$8&lt;='Detalle'!$H654,N$9&gt;='Detalle'!$G654),1,"")</x:f>
      </x:c>
      <x:c r="O1344" s="32" t="str">
        <x:f>IF(AND(O$8&lt;='Detalle'!$H654,O$9&gt;='Detalle'!$G654),1,"")</x:f>
      </x:c>
      <x:c r="P1344" s="32" t="str">
        <x:f>IF(AND(P$8&lt;='Detalle'!$H654,P$9&gt;='Detalle'!$G654),1,"")</x:f>
      </x:c>
      <x:c r="Q1344" s="68"/>
      <x:c r="R1344" s="67" t="str">
        <x:f>IF('Detalle'!M654="","",'Detalle'!M654)</x:f>
      </x:c>
      <x:c r="S1344" s="67" t="str">
        <x:f>IF('Detalle'!N654="","",'Detalle'!N654)</x:f>
      </x:c>
    </x:row>
    <x:row r="1345" ht="16" customHeight="1">
      <x:c r="A1345" s="56" t="str">
        <x:v>TOU02.011</x:v>
      </x:c>
      <x:c r="B1345" s="57" t="str">
        <x:v>Crear puntos solo en lista</x:v>
      </x:c>
      <x:c r="C1345" s="63" t="str">
        <x:v>R</x:v>
      </x:c>
      <x:c r="D1345" s="65" t="str">
        <x:f>IF('Detalle'!L654="","",'Detalle'!L654)</x:f>
      </x:c>
      <x:c r="E1345" s="60" t="str"/>
      <x:c r="F1345" s="32" t="str">
        <x:f>IF(OR('Detalle'!$J654="",'Detalle'!$K654="",'Detalle'!$L654=""),"",IF(AND(F$8&lt;='Detalle'!$K654,F$9&gt;='Detalle'!$J654),1,""))</x:f>
      </x:c>
      <x:c r="G1345" s="32" t="str">
        <x:f>IF(OR('Detalle'!$J654="",'Detalle'!$K654="",'Detalle'!$L654=""),"",IF(AND(G$8&lt;='Detalle'!$K654,G$9&gt;='Detalle'!$J654),1,""))</x:f>
      </x:c>
      <x:c r="H1345" s="32" t="str">
        <x:f>IF(OR('Detalle'!$J654="",'Detalle'!$K654="",'Detalle'!$L654=""),"",IF(AND(H$8&lt;='Detalle'!$K654,H$9&gt;='Detalle'!$J654),1,""))</x:f>
      </x:c>
      <x:c r="I1345" s="32" t="str">
        <x:f>IF(OR('Detalle'!$J654="",'Detalle'!$K654="",'Detalle'!$L654=""),"",IF(AND(I$8&lt;='Detalle'!$K654,I$9&gt;='Detalle'!$J654),1,""))</x:f>
      </x:c>
      <x:c r="J1345" s="32" t="str">
        <x:f>IF(OR('Detalle'!$J654="",'Detalle'!$K654="",'Detalle'!$L654=""),"",IF(AND(J$8&lt;='Detalle'!$K654,J$9&gt;='Detalle'!$J654),1,""))</x:f>
      </x:c>
      <x:c r="K1345" s="32" t="str">
        <x:f>IF(OR('Detalle'!$J654="",'Detalle'!$K654="",'Detalle'!$L654=""),"",IF(AND(K$8&lt;='Detalle'!$K654,K$9&gt;='Detalle'!$J654),1,""))</x:f>
      </x:c>
      <x:c r="L1345" s="32" t="str">
        <x:f>IF(OR('Detalle'!$J654="",'Detalle'!$K654="",'Detalle'!$L654=""),"",IF(AND(L$8&lt;='Detalle'!$K654,L$9&gt;='Detalle'!$J654),1,""))</x:f>
      </x:c>
      <x:c r="M1345" s="32" t="str">
        <x:f>IF(OR('Detalle'!$J654="",'Detalle'!$K654="",'Detalle'!$L654=""),"",IF(AND(M$8&lt;='Detalle'!$K654,M$9&gt;='Detalle'!$J654),1,""))</x:f>
      </x:c>
      <x:c r="N1345" s="32" t="str">
        <x:f>IF(OR('Detalle'!$J654="",'Detalle'!$K654="",'Detalle'!$L654=""),"",IF(AND(N$8&lt;='Detalle'!$K654,N$9&gt;='Detalle'!$J654),1,""))</x:f>
      </x:c>
      <x:c r="O1345" s="32" t="str">
        <x:f>IF(OR('Detalle'!$J654="",'Detalle'!$K654="",'Detalle'!$L654=""),"",IF(AND(O$8&lt;='Detalle'!$K654,O$9&gt;='Detalle'!$J654),1,""))</x:f>
      </x:c>
      <x:c r="P1345" s="32" t="str">
        <x:f>IF(OR('Detalle'!$J654="",'Detalle'!$K654="",'Detalle'!$L654=""),"",IF(AND(P$8&lt;='Detalle'!$K654,P$9&gt;='Detalle'!$J654),1,""))</x:f>
      </x:c>
      <x:c r="Q1345" s="68"/>
      <x:c r="R1345" s="67" t="str"/>
      <x:c r="S1345" s="67" t="str"/>
    </x:row>
    <x:row r="1346" ht="16" customHeight="1">
      <x:c r="A1346" s="56" t="str">
        <x:v>TOU02.012</x:v>
      </x:c>
      <x:c r="B1346" s="57" t="str">
        <x:v>Vincular contenido existente</x:v>
      </x:c>
      <x:c r="C1346" s="62" t="str">
        <x:v>E</x:v>
      </x:c>
      <x:c r="D1346" s="64" t="n">
        <x:f>'Detalle'!I655</x:f>
        <x:v>1</x:v>
      </x:c>
      <x:c r="E1346" s="60" t="str">
        <x:f>'Detalle'!F655</x:f>
        <x:v>Completado</x:v>
      </x:c>
      <x:c r="F1346" s="32" t="str">
        <x:f>IF(AND(F$8&lt;='Detalle'!$H655,F$9&gt;='Detalle'!$G655),1,"")</x:f>
      </x:c>
      <x:c r="G1346" s="32" t="str">
        <x:f>IF(AND(G$8&lt;='Detalle'!$H655,G$9&gt;='Detalle'!$G655),1,"")</x:f>
      </x:c>
      <x:c r="H1346" s="32" t="str">
        <x:f>IF(AND(H$8&lt;='Detalle'!$H655,H$9&gt;='Detalle'!$G655),1,"")</x:f>
      </x:c>
      <x:c r="I1346" s="32" t="str">
        <x:f>IF(AND(I$8&lt;='Detalle'!$H655,I$9&gt;='Detalle'!$G655),1,"")</x:f>
      </x:c>
      <x:c r="J1346" s="32" t="n">
        <x:f>IF(AND(J$8&lt;='Detalle'!$H655,J$9&gt;='Detalle'!$G655),1,"")</x:f>
        <x:v>1</x:v>
      </x:c>
      <x:c r="K1346" s="32" t="str">
        <x:f>IF(AND(K$8&lt;='Detalle'!$H655,K$9&gt;='Detalle'!$G655),1,"")</x:f>
      </x:c>
      <x:c r="L1346" s="32" t="str">
        <x:f>IF(AND(L$8&lt;='Detalle'!$H655,L$9&gt;='Detalle'!$G655),1,"")</x:f>
      </x:c>
      <x:c r="M1346" s="32" t="str">
        <x:f>IF(AND(M$8&lt;='Detalle'!$H655,M$9&gt;='Detalle'!$G655),1,"")</x:f>
      </x:c>
      <x:c r="N1346" s="32" t="str">
        <x:f>IF(AND(N$8&lt;='Detalle'!$H655,N$9&gt;='Detalle'!$G655),1,"")</x:f>
      </x:c>
      <x:c r="O1346" s="32" t="str">
        <x:f>IF(AND(O$8&lt;='Detalle'!$H655,O$9&gt;='Detalle'!$G655),1,"")</x:f>
      </x:c>
      <x:c r="P1346" s="32" t="str">
        <x:f>IF(AND(P$8&lt;='Detalle'!$H655,P$9&gt;='Detalle'!$G655),1,"")</x:f>
      </x:c>
      <x:c r="Q1346" s="68"/>
      <x:c r="R1346" s="67" t="str">
        <x:f>IF('Detalle'!M655="","",'Detalle'!M655)</x:f>
      </x:c>
      <x:c r="S1346" s="67" t="str">
        <x:f>IF('Detalle'!N655="","",'Detalle'!N655)</x:f>
      </x:c>
    </x:row>
    <x:row r="1347" ht="16" customHeight="1">
      <x:c r="A1347" s="56" t="str">
        <x:v>TOU02.012</x:v>
      </x:c>
      <x:c r="B1347" s="57" t="str">
        <x:v>Vincular contenido existente</x:v>
      </x:c>
      <x:c r="C1347" s="63" t="str">
        <x:v>R</x:v>
      </x:c>
      <x:c r="D1347" s="65" t="str">
        <x:f>IF('Detalle'!L655="","",'Detalle'!L655)</x:f>
      </x:c>
      <x:c r="E1347" s="60" t="str"/>
      <x:c r="F1347" s="32" t="str">
        <x:f>IF(OR('Detalle'!$J655="",'Detalle'!$K655="",'Detalle'!$L655=""),"",IF(AND(F$8&lt;='Detalle'!$K655,F$9&gt;='Detalle'!$J655),1,""))</x:f>
      </x:c>
      <x:c r="G1347" s="32" t="str">
        <x:f>IF(OR('Detalle'!$J655="",'Detalle'!$K655="",'Detalle'!$L655=""),"",IF(AND(G$8&lt;='Detalle'!$K655,G$9&gt;='Detalle'!$J655),1,""))</x:f>
      </x:c>
      <x:c r="H1347" s="32" t="str">
        <x:f>IF(OR('Detalle'!$J655="",'Detalle'!$K655="",'Detalle'!$L655=""),"",IF(AND(H$8&lt;='Detalle'!$K655,H$9&gt;='Detalle'!$J655),1,""))</x:f>
      </x:c>
      <x:c r="I1347" s="32" t="str">
        <x:f>IF(OR('Detalle'!$J655="",'Detalle'!$K655="",'Detalle'!$L655=""),"",IF(AND(I$8&lt;='Detalle'!$K655,I$9&gt;='Detalle'!$J655),1,""))</x:f>
      </x:c>
      <x:c r="J1347" s="32" t="str">
        <x:f>IF(OR('Detalle'!$J655="",'Detalle'!$K655="",'Detalle'!$L655=""),"",IF(AND(J$8&lt;='Detalle'!$K655,J$9&gt;='Detalle'!$J655),1,""))</x:f>
      </x:c>
      <x:c r="K1347" s="32" t="str">
        <x:f>IF(OR('Detalle'!$J655="",'Detalle'!$K655="",'Detalle'!$L655=""),"",IF(AND(K$8&lt;='Detalle'!$K655,K$9&gt;='Detalle'!$J655),1,""))</x:f>
      </x:c>
      <x:c r="L1347" s="32" t="str">
        <x:f>IF(OR('Detalle'!$J655="",'Detalle'!$K655="",'Detalle'!$L655=""),"",IF(AND(L$8&lt;='Detalle'!$K655,L$9&gt;='Detalle'!$J655),1,""))</x:f>
      </x:c>
      <x:c r="M1347" s="32" t="str">
        <x:f>IF(OR('Detalle'!$J655="",'Detalle'!$K655="",'Detalle'!$L655=""),"",IF(AND(M$8&lt;='Detalle'!$K655,M$9&gt;='Detalle'!$J655),1,""))</x:f>
      </x:c>
      <x:c r="N1347" s="32" t="str">
        <x:f>IF(OR('Detalle'!$J655="",'Detalle'!$K655="",'Detalle'!$L655=""),"",IF(AND(N$8&lt;='Detalle'!$K655,N$9&gt;='Detalle'!$J655),1,""))</x:f>
      </x:c>
      <x:c r="O1347" s="32" t="str">
        <x:f>IF(OR('Detalle'!$J655="",'Detalle'!$K655="",'Detalle'!$L655=""),"",IF(AND(O$8&lt;='Detalle'!$K655,O$9&gt;='Detalle'!$J655),1,""))</x:f>
      </x:c>
      <x:c r="P1347" s="32" t="str">
        <x:f>IF(OR('Detalle'!$J655="",'Detalle'!$K655="",'Detalle'!$L655=""),"",IF(AND(P$8&lt;='Detalle'!$K655,P$9&gt;='Detalle'!$J655),1,""))</x:f>
      </x:c>
      <x:c r="Q1347" s="68"/>
      <x:c r="R1347" s="67" t="str"/>
      <x:c r="S1347" s="67" t="str"/>
    </x:row>
    <x:row r="1348" ht="16" customHeight="1">
      <x:c r="A1348" s="56" t="str">
        <x:v>TOU02.013</x:v>
      </x:c>
      <x:c r="B1348" s="57" t="str">
        <x:v>Solicitar permiso al autor vinculado</x:v>
      </x:c>
      <x:c r="C1348" s="62" t="str">
        <x:v>E</x:v>
      </x:c>
      <x:c r="D1348" s="64" t="n">
        <x:f>'Detalle'!I656</x:f>
        <x:v>1</x:v>
      </x:c>
      <x:c r="E1348" s="60" t="str">
        <x:f>'Detalle'!F656</x:f>
        <x:v>Completado</x:v>
      </x:c>
      <x:c r="F1348" s="32" t="str">
        <x:f>IF(AND(F$8&lt;='Detalle'!$H656,F$9&gt;='Detalle'!$G656),1,"")</x:f>
      </x:c>
      <x:c r="G1348" s="32" t="str">
        <x:f>IF(AND(G$8&lt;='Detalle'!$H656,G$9&gt;='Detalle'!$G656),1,"")</x:f>
      </x:c>
      <x:c r="H1348" s="32" t="str">
        <x:f>IF(AND(H$8&lt;='Detalle'!$H656,H$9&gt;='Detalle'!$G656),1,"")</x:f>
      </x:c>
      <x:c r="I1348" s="32" t="str">
        <x:f>IF(AND(I$8&lt;='Detalle'!$H656,I$9&gt;='Detalle'!$G656),1,"")</x:f>
      </x:c>
      <x:c r="J1348" s="32" t="n">
        <x:f>IF(AND(J$8&lt;='Detalle'!$H656,J$9&gt;='Detalle'!$G656),1,"")</x:f>
        <x:v>1</x:v>
      </x:c>
      <x:c r="K1348" s="32" t="str">
        <x:f>IF(AND(K$8&lt;='Detalle'!$H656,K$9&gt;='Detalle'!$G656),1,"")</x:f>
      </x:c>
      <x:c r="L1348" s="32" t="str">
        <x:f>IF(AND(L$8&lt;='Detalle'!$H656,L$9&gt;='Detalle'!$G656),1,"")</x:f>
      </x:c>
      <x:c r="M1348" s="32" t="str">
        <x:f>IF(AND(M$8&lt;='Detalle'!$H656,M$9&gt;='Detalle'!$G656),1,"")</x:f>
      </x:c>
      <x:c r="N1348" s="32" t="str">
        <x:f>IF(AND(N$8&lt;='Detalle'!$H656,N$9&gt;='Detalle'!$G656),1,"")</x:f>
      </x:c>
      <x:c r="O1348" s="32" t="str">
        <x:f>IF(AND(O$8&lt;='Detalle'!$H656,O$9&gt;='Detalle'!$G656),1,"")</x:f>
      </x:c>
      <x:c r="P1348" s="32" t="str">
        <x:f>IF(AND(P$8&lt;='Detalle'!$H656,P$9&gt;='Detalle'!$G656),1,"")</x:f>
      </x:c>
      <x:c r="Q1348" s="68"/>
      <x:c r="R1348" s="67" t="str">
        <x:f>IF('Detalle'!M656="","",'Detalle'!M656)</x:f>
      </x:c>
      <x:c r="S1348" s="67" t="str">
        <x:f>IF('Detalle'!N656="","",'Detalle'!N656)</x:f>
      </x:c>
    </x:row>
    <x:row r="1349" ht="16" customHeight="1">
      <x:c r="A1349" s="56" t="str">
        <x:v>TOU02.013</x:v>
      </x:c>
      <x:c r="B1349" s="57" t="str">
        <x:v>Solicitar permiso al autor vinculado</x:v>
      </x:c>
      <x:c r="C1349" s="63" t="str">
        <x:v>R</x:v>
      </x:c>
      <x:c r="D1349" s="65" t="str">
        <x:f>IF('Detalle'!L656="","",'Detalle'!L656)</x:f>
      </x:c>
      <x:c r="E1349" s="60" t="str"/>
      <x:c r="F1349" s="32" t="str">
        <x:f>IF(OR('Detalle'!$J656="",'Detalle'!$K656="",'Detalle'!$L656=""),"",IF(AND(F$8&lt;='Detalle'!$K656,F$9&gt;='Detalle'!$J656),1,""))</x:f>
      </x:c>
      <x:c r="G1349" s="32" t="str">
        <x:f>IF(OR('Detalle'!$J656="",'Detalle'!$K656="",'Detalle'!$L656=""),"",IF(AND(G$8&lt;='Detalle'!$K656,G$9&gt;='Detalle'!$J656),1,""))</x:f>
      </x:c>
      <x:c r="H1349" s="32" t="str">
        <x:f>IF(OR('Detalle'!$J656="",'Detalle'!$K656="",'Detalle'!$L656=""),"",IF(AND(H$8&lt;='Detalle'!$K656,H$9&gt;='Detalle'!$J656),1,""))</x:f>
      </x:c>
      <x:c r="I1349" s="32" t="str">
        <x:f>IF(OR('Detalle'!$J656="",'Detalle'!$K656="",'Detalle'!$L656=""),"",IF(AND(I$8&lt;='Detalle'!$K656,I$9&gt;='Detalle'!$J656),1,""))</x:f>
      </x:c>
      <x:c r="J1349" s="32" t="str">
        <x:f>IF(OR('Detalle'!$J656="",'Detalle'!$K656="",'Detalle'!$L656=""),"",IF(AND(J$8&lt;='Detalle'!$K656,J$9&gt;='Detalle'!$J656),1,""))</x:f>
      </x:c>
      <x:c r="K1349" s="32" t="str">
        <x:f>IF(OR('Detalle'!$J656="",'Detalle'!$K656="",'Detalle'!$L656=""),"",IF(AND(K$8&lt;='Detalle'!$K656,K$9&gt;='Detalle'!$J656),1,""))</x:f>
      </x:c>
      <x:c r="L1349" s="32" t="str">
        <x:f>IF(OR('Detalle'!$J656="",'Detalle'!$K656="",'Detalle'!$L656=""),"",IF(AND(L$8&lt;='Detalle'!$K656,L$9&gt;='Detalle'!$J656),1,""))</x:f>
      </x:c>
      <x:c r="M1349" s="32" t="str">
        <x:f>IF(OR('Detalle'!$J656="",'Detalle'!$K656="",'Detalle'!$L656=""),"",IF(AND(M$8&lt;='Detalle'!$K656,M$9&gt;='Detalle'!$J656),1,""))</x:f>
      </x:c>
      <x:c r="N1349" s="32" t="str">
        <x:f>IF(OR('Detalle'!$J656="",'Detalle'!$K656="",'Detalle'!$L656=""),"",IF(AND(N$8&lt;='Detalle'!$K656,N$9&gt;='Detalle'!$J656),1,""))</x:f>
      </x:c>
      <x:c r="O1349" s="32" t="str">
        <x:f>IF(OR('Detalle'!$J656="",'Detalle'!$K656="",'Detalle'!$L656=""),"",IF(AND(O$8&lt;='Detalle'!$K656,O$9&gt;='Detalle'!$J656),1,""))</x:f>
      </x:c>
      <x:c r="P1349" s="32" t="str">
        <x:f>IF(OR('Detalle'!$J656="",'Detalle'!$K656="",'Detalle'!$L656=""),"",IF(AND(P$8&lt;='Detalle'!$K656,P$9&gt;='Detalle'!$J656),1,""))</x:f>
      </x:c>
      <x:c r="Q1349" s="68"/>
      <x:c r="R1349" s="67" t="str"/>
      <x:c r="S1349" s="67" t="str"/>
    </x:row>
    <x:row r="1350" ht="16" customHeight="1">
      <x:c r="A1350" s="56" t="str">
        <x:v>TOU02.014</x:v>
      </x:c>
      <x:c r="B1350" s="57" t="str">
        <x:v>Crear conexiones entre posiciones</x:v>
      </x:c>
      <x:c r="C1350" s="62" t="str">
        <x:v>E</x:v>
      </x:c>
      <x:c r="D1350" s="64" t="n">
        <x:f>'Detalle'!I657</x:f>
        <x:v>1</x:v>
      </x:c>
      <x:c r="E1350" s="60" t="str">
        <x:f>'Detalle'!F657</x:f>
        <x:v>Completado</x:v>
      </x:c>
      <x:c r="F1350" s="32" t="str">
        <x:f>IF(AND(F$8&lt;='Detalle'!$H657,F$9&gt;='Detalle'!$G657),1,"")</x:f>
      </x:c>
      <x:c r="G1350" s="32" t="str">
        <x:f>IF(AND(G$8&lt;='Detalle'!$H657,G$9&gt;='Detalle'!$G657),1,"")</x:f>
      </x:c>
      <x:c r="H1350" s="32" t="str">
        <x:f>IF(AND(H$8&lt;='Detalle'!$H657,H$9&gt;='Detalle'!$G657),1,"")</x:f>
      </x:c>
      <x:c r="I1350" s="32" t="str">
        <x:f>IF(AND(I$8&lt;='Detalle'!$H657,I$9&gt;='Detalle'!$G657),1,"")</x:f>
      </x:c>
      <x:c r="J1350" s="32" t="n">
        <x:f>IF(AND(J$8&lt;='Detalle'!$H657,J$9&gt;='Detalle'!$G657),1,"")</x:f>
        <x:v>1</x:v>
      </x:c>
      <x:c r="K1350" s="32" t="str">
        <x:f>IF(AND(K$8&lt;='Detalle'!$H657,K$9&gt;='Detalle'!$G657),1,"")</x:f>
      </x:c>
      <x:c r="L1350" s="32" t="str">
        <x:f>IF(AND(L$8&lt;='Detalle'!$H657,L$9&gt;='Detalle'!$G657),1,"")</x:f>
      </x:c>
      <x:c r="M1350" s="32" t="str">
        <x:f>IF(AND(M$8&lt;='Detalle'!$H657,M$9&gt;='Detalle'!$G657),1,"")</x:f>
      </x:c>
      <x:c r="N1350" s="32" t="str">
        <x:f>IF(AND(N$8&lt;='Detalle'!$H657,N$9&gt;='Detalle'!$G657),1,"")</x:f>
      </x:c>
      <x:c r="O1350" s="32" t="str">
        <x:f>IF(AND(O$8&lt;='Detalle'!$H657,O$9&gt;='Detalle'!$G657),1,"")</x:f>
      </x:c>
      <x:c r="P1350" s="32" t="str">
        <x:f>IF(AND(P$8&lt;='Detalle'!$H657,P$9&gt;='Detalle'!$G657),1,"")</x:f>
      </x:c>
      <x:c r="Q1350" s="68"/>
      <x:c r="R1350" s="67" t="str">
        <x:f>IF('Detalle'!M657="","",'Detalle'!M657)</x:f>
      </x:c>
      <x:c r="S1350" s="67" t="str">
        <x:f>IF('Detalle'!N657="","",'Detalle'!N657)</x:f>
      </x:c>
    </x:row>
    <x:row r="1351" ht="16" customHeight="1">
      <x:c r="A1351" s="56" t="str">
        <x:v>TOU02.014</x:v>
      </x:c>
      <x:c r="B1351" s="57" t="str">
        <x:v>Crear conexiones entre posiciones</x:v>
      </x:c>
      <x:c r="C1351" s="63" t="str">
        <x:v>R</x:v>
      </x:c>
      <x:c r="D1351" s="65" t="str">
        <x:f>IF('Detalle'!L657="","",'Detalle'!L657)</x:f>
      </x:c>
      <x:c r="E1351" s="60" t="str"/>
      <x:c r="F1351" s="32" t="str">
        <x:f>IF(OR('Detalle'!$J657="",'Detalle'!$K657="",'Detalle'!$L657=""),"",IF(AND(F$8&lt;='Detalle'!$K657,F$9&gt;='Detalle'!$J657),1,""))</x:f>
      </x:c>
      <x:c r="G1351" s="32" t="str">
        <x:f>IF(OR('Detalle'!$J657="",'Detalle'!$K657="",'Detalle'!$L657=""),"",IF(AND(G$8&lt;='Detalle'!$K657,G$9&gt;='Detalle'!$J657),1,""))</x:f>
      </x:c>
      <x:c r="H1351" s="32" t="str">
        <x:f>IF(OR('Detalle'!$J657="",'Detalle'!$K657="",'Detalle'!$L657=""),"",IF(AND(H$8&lt;='Detalle'!$K657,H$9&gt;='Detalle'!$J657),1,""))</x:f>
      </x:c>
      <x:c r="I1351" s="32" t="str">
        <x:f>IF(OR('Detalle'!$J657="",'Detalle'!$K657="",'Detalle'!$L657=""),"",IF(AND(I$8&lt;='Detalle'!$K657,I$9&gt;='Detalle'!$J657),1,""))</x:f>
      </x:c>
      <x:c r="J1351" s="32" t="str">
        <x:f>IF(OR('Detalle'!$J657="",'Detalle'!$K657="",'Detalle'!$L657=""),"",IF(AND(J$8&lt;='Detalle'!$K657,J$9&gt;='Detalle'!$J657),1,""))</x:f>
      </x:c>
      <x:c r="K1351" s="32" t="str">
        <x:f>IF(OR('Detalle'!$J657="",'Detalle'!$K657="",'Detalle'!$L657=""),"",IF(AND(K$8&lt;='Detalle'!$K657,K$9&gt;='Detalle'!$J657),1,""))</x:f>
      </x:c>
      <x:c r="L1351" s="32" t="str">
        <x:f>IF(OR('Detalle'!$J657="",'Detalle'!$K657="",'Detalle'!$L657=""),"",IF(AND(L$8&lt;='Detalle'!$K657,L$9&gt;='Detalle'!$J657),1,""))</x:f>
      </x:c>
      <x:c r="M1351" s="32" t="str">
        <x:f>IF(OR('Detalle'!$J657="",'Detalle'!$K657="",'Detalle'!$L657=""),"",IF(AND(M$8&lt;='Detalle'!$K657,M$9&gt;='Detalle'!$J657),1,""))</x:f>
      </x:c>
      <x:c r="N1351" s="32" t="str">
        <x:f>IF(OR('Detalle'!$J657="",'Detalle'!$K657="",'Detalle'!$L657=""),"",IF(AND(N$8&lt;='Detalle'!$K657,N$9&gt;='Detalle'!$J657),1,""))</x:f>
      </x:c>
      <x:c r="O1351" s="32" t="str">
        <x:f>IF(OR('Detalle'!$J657="",'Detalle'!$K657="",'Detalle'!$L657=""),"",IF(AND(O$8&lt;='Detalle'!$K657,O$9&gt;='Detalle'!$J657),1,""))</x:f>
      </x:c>
      <x:c r="P1351" s="32" t="str">
        <x:f>IF(OR('Detalle'!$J657="",'Detalle'!$K657="",'Detalle'!$L657=""),"",IF(AND(P$8&lt;='Detalle'!$K657,P$9&gt;='Detalle'!$J657),1,""))</x:f>
      </x:c>
      <x:c r="Q1351" s="68"/>
      <x:c r="R1351" s="67" t="str"/>
      <x:c r="S1351" s="67" t="str"/>
    </x:row>
    <x:row r="1352" ht="16" customHeight="1">
      <x:c r="A1352" s="56" t="str">
        <x:v>TOU02.015</x:v>
      </x:c>
      <x:c r="B1352" s="57" t="str">
        <x:v>Ordenar paradas del recorrido</x:v>
      </x:c>
      <x:c r="C1352" s="62" t="str">
        <x:v>E</x:v>
      </x:c>
      <x:c r="D1352" s="64" t="n">
        <x:f>'Detalle'!I658</x:f>
        <x:v>1</x:v>
      </x:c>
      <x:c r="E1352" s="60" t="str">
        <x:f>'Detalle'!F658</x:f>
        <x:v>Completado</x:v>
      </x:c>
      <x:c r="F1352" s="32" t="str">
        <x:f>IF(AND(F$8&lt;='Detalle'!$H658,F$9&gt;='Detalle'!$G658),1,"")</x:f>
      </x:c>
      <x:c r="G1352" s="32" t="str">
        <x:f>IF(AND(G$8&lt;='Detalle'!$H658,G$9&gt;='Detalle'!$G658),1,"")</x:f>
      </x:c>
      <x:c r="H1352" s="32" t="str">
        <x:f>IF(AND(H$8&lt;='Detalle'!$H658,H$9&gt;='Detalle'!$G658),1,"")</x:f>
      </x:c>
      <x:c r="I1352" s="32" t="str">
        <x:f>IF(AND(I$8&lt;='Detalle'!$H658,I$9&gt;='Detalle'!$G658),1,"")</x:f>
      </x:c>
      <x:c r="J1352" s="32" t="n">
        <x:f>IF(AND(J$8&lt;='Detalle'!$H658,J$9&gt;='Detalle'!$G658),1,"")</x:f>
        <x:v>1</x:v>
      </x:c>
      <x:c r="K1352" s="32" t="str">
        <x:f>IF(AND(K$8&lt;='Detalle'!$H658,K$9&gt;='Detalle'!$G658),1,"")</x:f>
      </x:c>
      <x:c r="L1352" s="32" t="str">
        <x:f>IF(AND(L$8&lt;='Detalle'!$H658,L$9&gt;='Detalle'!$G658),1,"")</x:f>
      </x:c>
      <x:c r="M1352" s="32" t="str">
        <x:f>IF(AND(M$8&lt;='Detalle'!$H658,M$9&gt;='Detalle'!$G658),1,"")</x:f>
      </x:c>
      <x:c r="N1352" s="32" t="str">
        <x:f>IF(AND(N$8&lt;='Detalle'!$H658,N$9&gt;='Detalle'!$G658),1,"")</x:f>
      </x:c>
      <x:c r="O1352" s="32" t="str">
        <x:f>IF(AND(O$8&lt;='Detalle'!$H658,O$9&gt;='Detalle'!$G658),1,"")</x:f>
      </x:c>
      <x:c r="P1352" s="32" t="str">
        <x:f>IF(AND(P$8&lt;='Detalle'!$H658,P$9&gt;='Detalle'!$G658),1,"")</x:f>
      </x:c>
      <x:c r="Q1352" s="68"/>
      <x:c r="R1352" s="67" t="str">
        <x:f>IF('Detalle'!M658="","",'Detalle'!M658)</x:f>
      </x:c>
      <x:c r="S1352" s="67" t="str">
        <x:f>IF('Detalle'!N658="","",'Detalle'!N658)</x:f>
      </x:c>
    </x:row>
    <x:row r="1353" ht="16" customHeight="1">
      <x:c r="A1353" s="56" t="str">
        <x:v>TOU02.015</x:v>
      </x:c>
      <x:c r="B1353" s="57" t="str">
        <x:v>Ordenar paradas del recorrido</x:v>
      </x:c>
      <x:c r="C1353" s="63" t="str">
        <x:v>R</x:v>
      </x:c>
      <x:c r="D1353" s="65" t="str">
        <x:f>IF('Detalle'!L658="","",'Detalle'!L658)</x:f>
      </x:c>
      <x:c r="E1353" s="60" t="str"/>
      <x:c r="F1353" s="32" t="str">
        <x:f>IF(OR('Detalle'!$J658="",'Detalle'!$K658="",'Detalle'!$L658=""),"",IF(AND(F$8&lt;='Detalle'!$K658,F$9&gt;='Detalle'!$J658),1,""))</x:f>
      </x:c>
      <x:c r="G1353" s="32" t="str">
        <x:f>IF(OR('Detalle'!$J658="",'Detalle'!$K658="",'Detalle'!$L658=""),"",IF(AND(G$8&lt;='Detalle'!$K658,G$9&gt;='Detalle'!$J658),1,""))</x:f>
      </x:c>
      <x:c r="H1353" s="32" t="str">
        <x:f>IF(OR('Detalle'!$J658="",'Detalle'!$K658="",'Detalle'!$L658=""),"",IF(AND(H$8&lt;='Detalle'!$K658,H$9&gt;='Detalle'!$J658),1,""))</x:f>
      </x:c>
      <x:c r="I1353" s="32" t="str">
        <x:f>IF(OR('Detalle'!$J658="",'Detalle'!$K658="",'Detalle'!$L658=""),"",IF(AND(I$8&lt;='Detalle'!$K658,I$9&gt;='Detalle'!$J658),1,""))</x:f>
      </x:c>
      <x:c r="J1353" s="32" t="str">
        <x:f>IF(OR('Detalle'!$J658="",'Detalle'!$K658="",'Detalle'!$L658=""),"",IF(AND(J$8&lt;='Detalle'!$K658,J$9&gt;='Detalle'!$J658),1,""))</x:f>
      </x:c>
      <x:c r="K1353" s="32" t="str">
        <x:f>IF(OR('Detalle'!$J658="",'Detalle'!$K658="",'Detalle'!$L658=""),"",IF(AND(K$8&lt;='Detalle'!$K658,K$9&gt;='Detalle'!$J658),1,""))</x:f>
      </x:c>
      <x:c r="L1353" s="32" t="str">
        <x:f>IF(OR('Detalle'!$J658="",'Detalle'!$K658="",'Detalle'!$L658=""),"",IF(AND(L$8&lt;='Detalle'!$K658,L$9&gt;='Detalle'!$J658),1,""))</x:f>
      </x:c>
      <x:c r="M1353" s="32" t="str">
        <x:f>IF(OR('Detalle'!$J658="",'Detalle'!$K658="",'Detalle'!$L658=""),"",IF(AND(M$8&lt;='Detalle'!$K658,M$9&gt;='Detalle'!$J658),1,""))</x:f>
      </x:c>
      <x:c r="N1353" s="32" t="str">
        <x:f>IF(OR('Detalle'!$J658="",'Detalle'!$K658="",'Detalle'!$L658=""),"",IF(AND(N$8&lt;='Detalle'!$K658,N$9&gt;='Detalle'!$J658),1,""))</x:f>
      </x:c>
      <x:c r="O1353" s="32" t="str">
        <x:f>IF(OR('Detalle'!$J658="",'Detalle'!$K658="",'Detalle'!$L658=""),"",IF(AND(O$8&lt;='Detalle'!$K658,O$9&gt;='Detalle'!$J658),1,""))</x:f>
      </x:c>
      <x:c r="P1353" s="32" t="str">
        <x:f>IF(OR('Detalle'!$J658="",'Detalle'!$K658="",'Detalle'!$L658=""),"",IF(AND(P$8&lt;='Detalle'!$K658,P$9&gt;='Detalle'!$J658),1,""))</x:f>
      </x:c>
      <x:c r="Q1353" s="68"/>
      <x:c r="R1353" s="67" t="str"/>
      <x:c r="S1353" s="67" t="str"/>
    </x:row>
    <x:row r="1354" ht="16" customHeight="1">
      <x:c r="A1354" s="56" t="str">
        <x:v>TOU02.016</x:v>
      </x:c>
      <x:c r="B1354" s="57" t="str">
        <x:v>Configurar vigencia de versión</x:v>
      </x:c>
      <x:c r="C1354" s="62" t="str">
        <x:v>E</x:v>
      </x:c>
      <x:c r="D1354" s="64" t="n">
        <x:f>'Detalle'!I659</x:f>
        <x:v>1</x:v>
      </x:c>
      <x:c r="E1354" s="60" t="str">
        <x:f>'Detalle'!F659</x:f>
        <x:v>Completado</x:v>
      </x:c>
      <x:c r="F1354" s="32" t="str">
        <x:f>IF(AND(F$8&lt;='Detalle'!$H659,F$9&gt;='Detalle'!$G659),1,"")</x:f>
      </x:c>
      <x:c r="G1354" s="32" t="str">
        <x:f>IF(AND(G$8&lt;='Detalle'!$H659,G$9&gt;='Detalle'!$G659),1,"")</x:f>
      </x:c>
      <x:c r="H1354" s="32" t="str">
        <x:f>IF(AND(H$8&lt;='Detalle'!$H659,H$9&gt;='Detalle'!$G659),1,"")</x:f>
      </x:c>
      <x:c r="I1354" s="32" t="str">
        <x:f>IF(AND(I$8&lt;='Detalle'!$H659,I$9&gt;='Detalle'!$G659),1,"")</x:f>
      </x:c>
      <x:c r="J1354" s="32" t="n">
        <x:f>IF(AND(J$8&lt;='Detalle'!$H659,J$9&gt;='Detalle'!$G659),1,"")</x:f>
        <x:v>1</x:v>
      </x:c>
      <x:c r="K1354" s="32" t="str">
        <x:f>IF(AND(K$8&lt;='Detalle'!$H659,K$9&gt;='Detalle'!$G659),1,"")</x:f>
      </x:c>
      <x:c r="L1354" s="32" t="str">
        <x:f>IF(AND(L$8&lt;='Detalle'!$H659,L$9&gt;='Detalle'!$G659),1,"")</x:f>
      </x:c>
      <x:c r="M1354" s="32" t="str">
        <x:f>IF(AND(M$8&lt;='Detalle'!$H659,M$9&gt;='Detalle'!$G659),1,"")</x:f>
      </x:c>
      <x:c r="N1354" s="32" t="str">
        <x:f>IF(AND(N$8&lt;='Detalle'!$H659,N$9&gt;='Detalle'!$G659),1,"")</x:f>
      </x:c>
      <x:c r="O1354" s="32" t="str">
        <x:f>IF(AND(O$8&lt;='Detalle'!$H659,O$9&gt;='Detalle'!$G659),1,"")</x:f>
      </x:c>
      <x:c r="P1354" s="32" t="str">
        <x:f>IF(AND(P$8&lt;='Detalle'!$H659,P$9&gt;='Detalle'!$G659),1,"")</x:f>
      </x:c>
      <x:c r="Q1354" s="68"/>
      <x:c r="R1354" s="67" t="str">
        <x:f>IF('Detalle'!M659="","",'Detalle'!M659)</x:f>
      </x:c>
      <x:c r="S1354" s="67" t="str">
        <x:f>IF('Detalle'!N659="","",'Detalle'!N659)</x:f>
      </x:c>
    </x:row>
    <x:row r="1355" ht="16" customHeight="1">
      <x:c r="A1355" s="56" t="str">
        <x:v>TOU02.016</x:v>
      </x:c>
      <x:c r="B1355" s="57" t="str">
        <x:v>Configurar vigencia de versión</x:v>
      </x:c>
      <x:c r="C1355" s="63" t="str">
        <x:v>R</x:v>
      </x:c>
      <x:c r="D1355" s="65" t="str">
        <x:f>IF('Detalle'!L659="","",'Detalle'!L659)</x:f>
      </x:c>
      <x:c r="E1355" s="60" t="str"/>
      <x:c r="F1355" s="32" t="str">
        <x:f>IF(OR('Detalle'!$J659="",'Detalle'!$K659="",'Detalle'!$L659=""),"",IF(AND(F$8&lt;='Detalle'!$K659,F$9&gt;='Detalle'!$J659),1,""))</x:f>
      </x:c>
      <x:c r="G1355" s="32" t="str">
        <x:f>IF(OR('Detalle'!$J659="",'Detalle'!$K659="",'Detalle'!$L659=""),"",IF(AND(G$8&lt;='Detalle'!$K659,G$9&gt;='Detalle'!$J659),1,""))</x:f>
      </x:c>
      <x:c r="H1355" s="32" t="str">
        <x:f>IF(OR('Detalle'!$J659="",'Detalle'!$K659="",'Detalle'!$L659=""),"",IF(AND(H$8&lt;='Detalle'!$K659,H$9&gt;='Detalle'!$J659),1,""))</x:f>
      </x:c>
      <x:c r="I1355" s="32" t="str">
        <x:f>IF(OR('Detalle'!$J659="",'Detalle'!$K659="",'Detalle'!$L659=""),"",IF(AND(I$8&lt;='Detalle'!$K659,I$9&gt;='Detalle'!$J659),1,""))</x:f>
      </x:c>
      <x:c r="J1355" s="32" t="str">
        <x:f>IF(OR('Detalle'!$J659="",'Detalle'!$K659="",'Detalle'!$L659=""),"",IF(AND(J$8&lt;='Detalle'!$K659,J$9&gt;='Detalle'!$J659),1,""))</x:f>
      </x:c>
      <x:c r="K1355" s="32" t="str">
        <x:f>IF(OR('Detalle'!$J659="",'Detalle'!$K659="",'Detalle'!$L659=""),"",IF(AND(K$8&lt;='Detalle'!$K659,K$9&gt;='Detalle'!$J659),1,""))</x:f>
      </x:c>
      <x:c r="L1355" s="32" t="str">
        <x:f>IF(OR('Detalle'!$J659="",'Detalle'!$K659="",'Detalle'!$L659=""),"",IF(AND(L$8&lt;='Detalle'!$K659,L$9&gt;='Detalle'!$J659),1,""))</x:f>
      </x:c>
      <x:c r="M1355" s="32" t="str">
        <x:f>IF(OR('Detalle'!$J659="",'Detalle'!$K659="",'Detalle'!$L659=""),"",IF(AND(M$8&lt;='Detalle'!$K659,M$9&gt;='Detalle'!$J659),1,""))</x:f>
      </x:c>
      <x:c r="N1355" s="32" t="str">
        <x:f>IF(OR('Detalle'!$J659="",'Detalle'!$K659="",'Detalle'!$L659=""),"",IF(AND(N$8&lt;='Detalle'!$K659,N$9&gt;='Detalle'!$J659),1,""))</x:f>
      </x:c>
      <x:c r="O1355" s="32" t="str">
        <x:f>IF(OR('Detalle'!$J659="",'Detalle'!$K659="",'Detalle'!$L659=""),"",IF(AND(O$8&lt;='Detalle'!$K659,O$9&gt;='Detalle'!$J659),1,""))</x:f>
      </x:c>
      <x:c r="P1355" s="32" t="str">
        <x:f>IF(OR('Detalle'!$J659="",'Detalle'!$K659="",'Detalle'!$L659=""),"",IF(AND(P$8&lt;='Detalle'!$K659,P$9&gt;='Detalle'!$J659),1,""))</x:f>
      </x:c>
      <x:c r="Q1355" s="68"/>
      <x:c r="R1355" s="67" t="str"/>
      <x:c r="S1355" s="67" t="str"/>
    </x:row>
    <x:row r="1356" ht="16" customHeight="1">
      <x:c r="A1356" s="56" t="str">
        <x:v>TOU02.017</x:v>
      </x:c>
      <x:c r="B1356" s="57" t="str">
        <x:v>Crear vista previa privada</x:v>
      </x:c>
      <x:c r="C1356" s="62" t="str">
        <x:v>E</x:v>
      </x:c>
      <x:c r="D1356" s="64" t="n">
        <x:f>'Detalle'!I660</x:f>
        <x:v>1</x:v>
      </x:c>
      <x:c r="E1356" s="60" t="str">
        <x:f>'Detalle'!F660</x:f>
        <x:v>Completado</x:v>
      </x:c>
      <x:c r="F1356" s="32" t="str">
        <x:f>IF(AND(F$8&lt;='Detalle'!$H660,F$9&gt;='Detalle'!$G660),1,"")</x:f>
      </x:c>
      <x:c r="G1356" s="32" t="str">
        <x:f>IF(AND(G$8&lt;='Detalle'!$H660,G$9&gt;='Detalle'!$G660),1,"")</x:f>
      </x:c>
      <x:c r="H1356" s="32" t="str">
        <x:f>IF(AND(H$8&lt;='Detalle'!$H660,H$9&gt;='Detalle'!$G660),1,"")</x:f>
      </x:c>
      <x:c r="I1356" s="32" t="str">
        <x:f>IF(AND(I$8&lt;='Detalle'!$H660,I$9&gt;='Detalle'!$G660),1,"")</x:f>
      </x:c>
      <x:c r="J1356" s="32" t="n">
        <x:f>IF(AND(J$8&lt;='Detalle'!$H660,J$9&gt;='Detalle'!$G660),1,"")</x:f>
        <x:v>1</x:v>
      </x:c>
      <x:c r="K1356" s="32" t="str">
        <x:f>IF(AND(K$8&lt;='Detalle'!$H660,K$9&gt;='Detalle'!$G660),1,"")</x:f>
      </x:c>
      <x:c r="L1356" s="32" t="str">
        <x:f>IF(AND(L$8&lt;='Detalle'!$H660,L$9&gt;='Detalle'!$G660),1,"")</x:f>
      </x:c>
      <x:c r="M1356" s="32" t="str">
        <x:f>IF(AND(M$8&lt;='Detalle'!$H660,M$9&gt;='Detalle'!$G660),1,"")</x:f>
      </x:c>
      <x:c r="N1356" s="32" t="str">
        <x:f>IF(AND(N$8&lt;='Detalle'!$H660,N$9&gt;='Detalle'!$G660),1,"")</x:f>
      </x:c>
      <x:c r="O1356" s="32" t="str">
        <x:f>IF(AND(O$8&lt;='Detalle'!$H660,O$9&gt;='Detalle'!$G660),1,"")</x:f>
      </x:c>
      <x:c r="P1356" s="32" t="str">
        <x:f>IF(AND(P$8&lt;='Detalle'!$H660,P$9&gt;='Detalle'!$G660),1,"")</x:f>
      </x:c>
      <x:c r="Q1356" s="68"/>
      <x:c r="R1356" s="67" t="str">
        <x:f>IF('Detalle'!M660="","",'Detalle'!M660)</x:f>
      </x:c>
      <x:c r="S1356" s="67" t="str">
        <x:f>IF('Detalle'!N660="","",'Detalle'!N660)</x:f>
      </x:c>
    </x:row>
    <x:row r="1357" ht="16" customHeight="1">
      <x:c r="A1357" s="56" t="str">
        <x:v>TOU02.017</x:v>
      </x:c>
      <x:c r="B1357" s="57" t="str">
        <x:v>Crear vista previa privada</x:v>
      </x:c>
      <x:c r="C1357" s="63" t="str">
        <x:v>R</x:v>
      </x:c>
      <x:c r="D1357" s="65" t="str">
        <x:f>IF('Detalle'!L660="","",'Detalle'!L660)</x:f>
      </x:c>
      <x:c r="E1357" s="60" t="str"/>
      <x:c r="F1357" s="32" t="str">
        <x:f>IF(OR('Detalle'!$J660="",'Detalle'!$K660="",'Detalle'!$L660=""),"",IF(AND(F$8&lt;='Detalle'!$K660,F$9&gt;='Detalle'!$J660),1,""))</x:f>
      </x:c>
      <x:c r="G1357" s="32" t="str">
        <x:f>IF(OR('Detalle'!$J660="",'Detalle'!$K660="",'Detalle'!$L660=""),"",IF(AND(G$8&lt;='Detalle'!$K660,G$9&gt;='Detalle'!$J660),1,""))</x:f>
      </x:c>
      <x:c r="H1357" s="32" t="str">
        <x:f>IF(OR('Detalle'!$J660="",'Detalle'!$K660="",'Detalle'!$L660=""),"",IF(AND(H$8&lt;='Detalle'!$K660,H$9&gt;='Detalle'!$J660),1,""))</x:f>
      </x:c>
      <x:c r="I1357" s="32" t="str">
        <x:f>IF(OR('Detalle'!$J660="",'Detalle'!$K660="",'Detalle'!$L660=""),"",IF(AND(I$8&lt;='Detalle'!$K660,I$9&gt;='Detalle'!$J660),1,""))</x:f>
      </x:c>
      <x:c r="J1357" s="32" t="str">
        <x:f>IF(OR('Detalle'!$J660="",'Detalle'!$K660="",'Detalle'!$L660=""),"",IF(AND(J$8&lt;='Detalle'!$K660,J$9&gt;='Detalle'!$J660),1,""))</x:f>
      </x:c>
      <x:c r="K1357" s="32" t="str">
        <x:f>IF(OR('Detalle'!$J660="",'Detalle'!$K660="",'Detalle'!$L660=""),"",IF(AND(K$8&lt;='Detalle'!$K660,K$9&gt;='Detalle'!$J660),1,""))</x:f>
      </x:c>
      <x:c r="L1357" s="32" t="str">
        <x:f>IF(OR('Detalle'!$J660="",'Detalle'!$K660="",'Detalle'!$L660=""),"",IF(AND(L$8&lt;='Detalle'!$K660,L$9&gt;='Detalle'!$J660),1,""))</x:f>
      </x:c>
      <x:c r="M1357" s="32" t="str">
        <x:f>IF(OR('Detalle'!$J660="",'Detalle'!$K660="",'Detalle'!$L660=""),"",IF(AND(M$8&lt;='Detalle'!$K660,M$9&gt;='Detalle'!$J660),1,""))</x:f>
      </x:c>
      <x:c r="N1357" s="32" t="str">
        <x:f>IF(OR('Detalle'!$J660="",'Detalle'!$K660="",'Detalle'!$L660=""),"",IF(AND(N$8&lt;='Detalle'!$K660,N$9&gt;='Detalle'!$J660),1,""))</x:f>
      </x:c>
      <x:c r="O1357" s="32" t="str">
        <x:f>IF(OR('Detalle'!$J660="",'Detalle'!$K660="",'Detalle'!$L660=""),"",IF(AND(O$8&lt;='Detalle'!$K660,O$9&gt;='Detalle'!$J660),1,""))</x:f>
      </x:c>
      <x:c r="P1357" s="32" t="str">
        <x:f>IF(OR('Detalle'!$J660="",'Detalle'!$K660="",'Detalle'!$L660=""),"",IF(AND(P$8&lt;='Detalle'!$K660,P$9&gt;='Detalle'!$J660),1,""))</x:f>
      </x:c>
      <x:c r="Q1357" s="68"/>
      <x:c r="R1357" s="67" t="str"/>
      <x:c r="S1357" s="67" t="str"/>
    </x:row>
    <x:row r="1358" ht="16" customHeight="1">
      <x:c r="A1358" s="56" t="str">
        <x:v>TOU02.018</x:v>
      </x:c>
      <x:c r="B1358" s="57" t="str">
        <x:v>Guardar borrador inmediatamente en local</x:v>
      </x:c>
      <x:c r="C1358" s="62" t="str">
        <x:v>E</x:v>
      </x:c>
      <x:c r="D1358" s="64" t="n">
        <x:f>'Detalle'!I661</x:f>
        <x:v>1</x:v>
      </x:c>
      <x:c r="E1358" s="60" t="str">
        <x:f>'Detalle'!F661</x:f>
        <x:v>Completado</x:v>
      </x:c>
      <x:c r="F1358" s="32" t="str">
        <x:f>IF(AND(F$8&lt;='Detalle'!$H661,F$9&gt;='Detalle'!$G661),1,"")</x:f>
      </x:c>
      <x:c r="G1358" s="32" t="str">
        <x:f>IF(AND(G$8&lt;='Detalle'!$H661,G$9&gt;='Detalle'!$G661),1,"")</x:f>
      </x:c>
      <x:c r="H1358" s="32" t="str">
        <x:f>IF(AND(H$8&lt;='Detalle'!$H661,H$9&gt;='Detalle'!$G661),1,"")</x:f>
      </x:c>
      <x:c r="I1358" s="32" t="str">
        <x:f>IF(AND(I$8&lt;='Detalle'!$H661,I$9&gt;='Detalle'!$G661),1,"")</x:f>
      </x:c>
      <x:c r="J1358" s="32" t="n">
        <x:f>IF(AND(J$8&lt;='Detalle'!$H661,J$9&gt;='Detalle'!$G661),1,"")</x:f>
        <x:v>1</x:v>
      </x:c>
      <x:c r="K1358" s="32" t="str">
        <x:f>IF(AND(K$8&lt;='Detalle'!$H661,K$9&gt;='Detalle'!$G661),1,"")</x:f>
      </x:c>
      <x:c r="L1358" s="32" t="str">
        <x:f>IF(AND(L$8&lt;='Detalle'!$H661,L$9&gt;='Detalle'!$G661),1,"")</x:f>
      </x:c>
      <x:c r="M1358" s="32" t="str">
        <x:f>IF(AND(M$8&lt;='Detalle'!$H661,M$9&gt;='Detalle'!$G661),1,"")</x:f>
      </x:c>
      <x:c r="N1358" s="32" t="str">
        <x:f>IF(AND(N$8&lt;='Detalle'!$H661,N$9&gt;='Detalle'!$G661),1,"")</x:f>
      </x:c>
      <x:c r="O1358" s="32" t="str">
        <x:f>IF(AND(O$8&lt;='Detalle'!$H661,O$9&gt;='Detalle'!$G661),1,"")</x:f>
      </x:c>
      <x:c r="P1358" s="32" t="str">
        <x:f>IF(AND(P$8&lt;='Detalle'!$H661,P$9&gt;='Detalle'!$G661),1,"")</x:f>
      </x:c>
      <x:c r="Q1358" s="68"/>
      <x:c r="R1358" s="67" t="str">
        <x:f>IF('Detalle'!M661="","",'Detalle'!M661)</x:f>
      </x:c>
      <x:c r="S1358" s="67" t="str">
        <x:f>IF('Detalle'!N661="","",'Detalle'!N661)</x:f>
      </x:c>
    </x:row>
    <x:row r="1359" ht="16" customHeight="1">
      <x:c r="A1359" s="56" t="str">
        <x:v>TOU02.018</x:v>
      </x:c>
      <x:c r="B1359" s="57" t="str">
        <x:v>Guardar borrador inmediatamente en local</x:v>
      </x:c>
      <x:c r="C1359" s="63" t="str">
        <x:v>R</x:v>
      </x:c>
      <x:c r="D1359" s="65" t="str">
        <x:f>IF('Detalle'!L661="","",'Detalle'!L661)</x:f>
      </x:c>
      <x:c r="E1359" s="60" t="str"/>
      <x:c r="F1359" s="32" t="str">
        <x:f>IF(OR('Detalle'!$J661="",'Detalle'!$K661="",'Detalle'!$L661=""),"",IF(AND(F$8&lt;='Detalle'!$K661,F$9&gt;='Detalle'!$J661),1,""))</x:f>
      </x:c>
      <x:c r="G1359" s="32" t="str">
        <x:f>IF(OR('Detalle'!$J661="",'Detalle'!$K661="",'Detalle'!$L661=""),"",IF(AND(G$8&lt;='Detalle'!$K661,G$9&gt;='Detalle'!$J661),1,""))</x:f>
      </x:c>
      <x:c r="H1359" s="32" t="str">
        <x:f>IF(OR('Detalle'!$J661="",'Detalle'!$K661="",'Detalle'!$L661=""),"",IF(AND(H$8&lt;='Detalle'!$K661,H$9&gt;='Detalle'!$J661),1,""))</x:f>
      </x:c>
      <x:c r="I1359" s="32" t="str">
        <x:f>IF(OR('Detalle'!$J661="",'Detalle'!$K661="",'Detalle'!$L661=""),"",IF(AND(I$8&lt;='Detalle'!$K661,I$9&gt;='Detalle'!$J661),1,""))</x:f>
      </x:c>
      <x:c r="J1359" s="32" t="str">
        <x:f>IF(OR('Detalle'!$J661="",'Detalle'!$K661="",'Detalle'!$L661=""),"",IF(AND(J$8&lt;='Detalle'!$K661,J$9&gt;='Detalle'!$J661),1,""))</x:f>
      </x:c>
      <x:c r="K1359" s="32" t="str">
        <x:f>IF(OR('Detalle'!$J661="",'Detalle'!$K661="",'Detalle'!$L661=""),"",IF(AND(K$8&lt;='Detalle'!$K661,K$9&gt;='Detalle'!$J661),1,""))</x:f>
      </x:c>
      <x:c r="L1359" s="32" t="str">
        <x:f>IF(OR('Detalle'!$J661="",'Detalle'!$K661="",'Detalle'!$L661=""),"",IF(AND(L$8&lt;='Detalle'!$K661,L$9&gt;='Detalle'!$J661),1,""))</x:f>
      </x:c>
      <x:c r="M1359" s="32" t="str">
        <x:f>IF(OR('Detalle'!$J661="",'Detalle'!$K661="",'Detalle'!$L661=""),"",IF(AND(M$8&lt;='Detalle'!$K661,M$9&gt;='Detalle'!$J661),1,""))</x:f>
      </x:c>
      <x:c r="N1359" s="32" t="str">
        <x:f>IF(OR('Detalle'!$J661="",'Detalle'!$K661="",'Detalle'!$L661=""),"",IF(AND(N$8&lt;='Detalle'!$K661,N$9&gt;='Detalle'!$J661),1,""))</x:f>
      </x:c>
      <x:c r="O1359" s="32" t="str">
        <x:f>IF(OR('Detalle'!$J661="",'Detalle'!$K661="",'Detalle'!$L661=""),"",IF(AND(O$8&lt;='Detalle'!$K661,O$9&gt;='Detalle'!$J661),1,""))</x:f>
      </x:c>
      <x:c r="P1359" s="32" t="str">
        <x:f>IF(OR('Detalle'!$J661="",'Detalle'!$K661="",'Detalle'!$L661=""),"",IF(AND(P$8&lt;='Detalle'!$K661,P$9&gt;='Detalle'!$J661),1,""))</x:f>
      </x:c>
      <x:c r="Q1359" s="68"/>
      <x:c r="R1359" s="67" t="str"/>
      <x:c r="S1359" s="67" t="str"/>
    </x:row>
    <x:row r="1360" ht="16" customHeight="1">
      <x:c r="A1360" s="56" t="str">
        <x:v>TOU02.019</x:v>
      </x:c>
      <x:c r="B1360" s="57" t="str">
        <x:v>Recuperar edición sin red</x:v>
      </x:c>
      <x:c r="C1360" s="62" t="str">
        <x:v>E</x:v>
      </x:c>
      <x:c r="D1360" s="64" t="n">
        <x:f>'Detalle'!I662</x:f>
        <x:v>1</x:v>
      </x:c>
      <x:c r="E1360" s="60" t="str">
        <x:f>'Detalle'!F662</x:f>
        <x:v>Completado</x:v>
      </x:c>
      <x:c r="F1360" s="32" t="str">
        <x:f>IF(AND(F$8&lt;='Detalle'!$H662,F$9&gt;='Detalle'!$G662),1,"")</x:f>
      </x:c>
      <x:c r="G1360" s="32" t="str">
        <x:f>IF(AND(G$8&lt;='Detalle'!$H662,G$9&gt;='Detalle'!$G662),1,"")</x:f>
      </x:c>
      <x:c r="H1360" s="32" t="str">
        <x:f>IF(AND(H$8&lt;='Detalle'!$H662,H$9&gt;='Detalle'!$G662),1,"")</x:f>
      </x:c>
      <x:c r="I1360" s="32" t="str">
        <x:f>IF(AND(I$8&lt;='Detalle'!$H662,I$9&gt;='Detalle'!$G662),1,"")</x:f>
      </x:c>
      <x:c r="J1360" s="32" t="n">
        <x:f>IF(AND(J$8&lt;='Detalle'!$H662,J$9&gt;='Detalle'!$G662),1,"")</x:f>
        <x:v>1</x:v>
      </x:c>
      <x:c r="K1360" s="32" t="str">
        <x:f>IF(AND(K$8&lt;='Detalle'!$H662,K$9&gt;='Detalle'!$G662),1,"")</x:f>
      </x:c>
      <x:c r="L1360" s="32" t="str">
        <x:f>IF(AND(L$8&lt;='Detalle'!$H662,L$9&gt;='Detalle'!$G662),1,"")</x:f>
      </x:c>
      <x:c r="M1360" s="32" t="str">
        <x:f>IF(AND(M$8&lt;='Detalle'!$H662,M$9&gt;='Detalle'!$G662),1,"")</x:f>
      </x:c>
      <x:c r="N1360" s="32" t="str">
        <x:f>IF(AND(N$8&lt;='Detalle'!$H662,N$9&gt;='Detalle'!$G662),1,"")</x:f>
      </x:c>
      <x:c r="O1360" s="32" t="str">
        <x:f>IF(AND(O$8&lt;='Detalle'!$H662,O$9&gt;='Detalle'!$G662),1,"")</x:f>
      </x:c>
      <x:c r="P1360" s="32" t="str">
        <x:f>IF(AND(P$8&lt;='Detalle'!$H662,P$9&gt;='Detalle'!$G662),1,"")</x:f>
      </x:c>
      <x:c r="Q1360" s="68"/>
      <x:c r="R1360" s="67" t="str">
        <x:f>IF('Detalle'!M662="","",'Detalle'!M662)</x:f>
      </x:c>
      <x:c r="S1360" s="67" t="str">
        <x:f>IF('Detalle'!N662="","",'Detalle'!N662)</x:f>
      </x:c>
    </x:row>
    <x:row r="1361" ht="16" customHeight="1">
      <x:c r="A1361" s="56" t="str">
        <x:v>TOU02.019</x:v>
      </x:c>
      <x:c r="B1361" s="57" t="str">
        <x:v>Recuperar edición sin red</x:v>
      </x:c>
      <x:c r="C1361" s="63" t="str">
        <x:v>R</x:v>
      </x:c>
      <x:c r="D1361" s="65" t="str">
        <x:f>IF('Detalle'!L662="","",'Detalle'!L662)</x:f>
      </x:c>
      <x:c r="E1361" s="60" t="str"/>
      <x:c r="F1361" s="32" t="str">
        <x:f>IF(OR('Detalle'!$J662="",'Detalle'!$K662="",'Detalle'!$L662=""),"",IF(AND(F$8&lt;='Detalle'!$K662,F$9&gt;='Detalle'!$J662),1,""))</x:f>
      </x:c>
      <x:c r="G1361" s="32" t="str">
        <x:f>IF(OR('Detalle'!$J662="",'Detalle'!$K662="",'Detalle'!$L662=""),"",IF(AND(G$8&lt;='Detalle'!$K662,G$9&gt;='Detalle'!$J662),1,""))</x:f>
      </x:c>
      <x:c r="H1361" s="32" t="str">
        <x:f>IF(OR('Detalle'!$J662="",'Detalle'!$K662="",'Detalle'!$L662=""),"",IF(AND(H$8&lt;='Detalle'!$K662,H$9&gt;='Detalle'!$J662),1,""))</x:f>
      </x:c>
      <x:c r="I1361" s="32" t="str">
        <x:f>IF(OR('Detalle'!$J662="",'Detalle'!$K662="",'Detalle'!$L662=""),"",IF(AND(I$8&lt;='Detalle'!$K662,I$9&gt;='Detalle'!$J662),1,""))</x:f>
      </x:c>
      <x:c r="J1361" s="32" t="str">
        <x:f>IF(OR('Detalle'!$J662="",'Detalle'!$K662="",'Detalle'!$L662=""),"",IF(AND(J$8&lt;='Detalle'!$K662,J$9&gt;='Detalle'!$J662),1,""))</x:f>
      </x:c>
      <x:c r="K1361" s="32" t="str">
        <x:f>IF(OR('Detalle'!$J662="",'Detalle'!$K662="",'Detalle'!$L662=""),"",IF(AND(K$8&lt;='Detalle'!$K662,K$9&gt;='Detalle'!$J662),1,""))</x:f>
      </x:c>
      <x:c r="L1361" s="32" t="str">
        <x:f>IF(OR('Detalle'!$J662="",'Detalle'!$K662="",'Detalle'!$L662=""),"",IF(AND(L$8&lt;='Detalle'!$K662,L$9&gt;='Detalle'!$J662),1,""))</x:f>
      </x:c>
      <x:c r="M1361" s="32" t="str">
        <x:f>IF(OR('Detalle'!$J662="",'Detalle'!$K662="",'Detalle'!$L662=""),"",IF(AND(M$8&lt;='Detalle'!$K662,M$9&gt;='Detalle'!$J662),1,""))</x:f>
      </x:c>
      <x:c r="N1361" s="32" t="str">
        <x:f>IF(OR('Detalle'!$J662="",'Detalle'!$K662="",'Detalle'!$L662=""),"",IF(AND(N$8&lt;='Detalle'!$K662,N$9&gt;='Detalle'!$J662),1,""))</x:f>
      </x:c>
      <x:c r="O1361" s="32" t="str">
        <x:f>IF(OR('Detalle'!$J662="",'Detalle'!$K662="",'Detalle'!$L662=""),"",IF(AND(O$8&lt;='Detalle'!$K662,O$9&gt;='Detalle'!$J662),1,""))</x:f>
      </x:c>
      <x:c r="P1361" s="32" t="str">
        <x:f>IF(OR('Detalle'!$J662="",'Detalle'!$K662="",'Detalle'!$L662=""),"",IF(AND(P$8&lt;='Detalle'!$K662,P$9&gt;='Detalle'!$J662),1,""))</x:f>
      </x:c>
      <x:c r="Q1361" s="68"/>
      <x:c r="R1361" s="67" t="str"/>
      <x:c r="S1361" s="67" t="str"/>
    </x:row>
    <x:row r="1362" ht="16" customHeight="1">
      <x:c r="A1362" s="56" t="str">
        <x:v>TOU02.020</x:v>
      </x:c>
      <x:c r="B1362" s="57" t="str">
        <x:v>Esperar guardado al salir del editor</x:v>
      </x:c>
      <x:c r="C1362" s="62" t="str">
        <x:v>E</x:v>
      </x:c>
      <x:c r="D1362" s="64" t="n">
        <x:f>'Detalle'!I663</x:f>
        <x:v>1</x:v>
      </x:c>
      <x:c r="E1362" s="60" t="str">
        <x:f>'Detalle'!F663</x:f>
        <x:v>Completado</x:v>
      </x:c>
      <x:c r="F1362" s="32" t="str">
        <x:f>IF(AND(F$8&lt;='Detalle'!$H663,F$9&gt;='Detalle'!$G663),1,"")</x:f>
      </x:c>
      <x:c r="G1362" s="32" t="str">
        <x:f>IF(AND(G$8&lt;='Detalle'!$H663,G$9&gt;='Detalle'!$G663),1,"")</x:f>
      </x:c>
      <x:c r="H1362" s="32" t="str">
        <x:f>IF(AND(H$8&lt;='Detalle'!$H663,H$9&gt;='Detalle'!$G663),1,"")</x:f>
      </x:c>
      <x:c r="I1362" s="32" t="str">
        <x:f>IF(AND(I$8&lt;='Detalle'!$H663,I$9&gt;='Detalle'!$G663),1,"")</x:f>
      </x:c>
      <x:c r="J1362" s="32" t="n">
        <x:f>IF(AND(J$8&lt;='Detalle'!$H663,J$9&gt;='Detalle'!$G663),1,"")</x:f>
        <x:v>1</x:v>
      </x:c>
      <x:c r="K1362" s="32" t="str">
        <x:f>IF(AND(K$8&lt;='Detalle'!$H663,K$9&gt;='Detalle'!$G663),1,"")</x:f>
      </x:c>
      <x:c r="L1362" s="32" t="str">
        <x:f>IF(AND(L$8&lt;='Detalle'!$H663,L$9&gt;='Detalle'!$G663),1,"")</x:f>
      </x:c>
      <x:c r="M1362" s="32" t="str">
        <x:f>IF(AND(M$8&lt;='Detalle'!$H663,M$9&gt;='Detalle'!$G663),1,"")</x:f>
      </x:c>
      <x:c r="N1362" s="32" t="str">
        <x:f>IF(AND(N$8&lt;='Detalle'!$H663,N$9&gt;='Detalle'!$G663),1,"")</x:f>
      </x:c>
      <x:c r="O1362" s="32" t="str">
        <x:f>IF(AND(O$8&lt;='Detalle'!$H663,O$9&gt;='Detalle'!$G663),1,"")</x:f>
      </x:c>
      <x:c r="P1362" s="32" t="str">
        <x:f>IF(AND(P$8&lt;='Detalle'!$H663,P$9&gt;='Detalle'!$G663),1,"")</x:f>
      </x:c>
      <x:c r="Q1362" s="68"/>
      <x:c r="R1362" s="67" t="str">
        <x:f>IF('Detalle'!M663="","",'Detalle'!M663)</x:f>
      </x:c>
      <x:c r="S1362" s="67" t="str">
        <x:f>IF('Detalle'!N663="","",'Detalle'!N663)</x:f>
      </x:c>
    </x:row>
    <x:row r="1363" ht="16" customHeight="1">
      <x:c r="A1363" s="56" t="str">
        <x:v>TOU02.020</x:v>
      </x:c>
      <x:c r="B1363" s="57" t="str">
        <x:v>Esperar guardado al salir del editor</x:v>
      </x:c>
      <x:c r="C1363" s="63" t="str">
        <x:v>R</x:v>
      </x:c>
      <x:c r="D1363" s="65" t="str">
        <x:f>IF('Detalle'!L663="","",'Detalle'!L663)</x:f>
      </x:c>
      <x:c r="E1363" s="60" t="str"/>
      <x:c r="F1363" s="32" t="str">
        <x:f>IF(OR('Detalle'!$J663="",'Detalle'!$K663="",'Detalle'!$L663=""),"",IF(AND(F$8&lt;='Detalle'!$K663,F$9&gt;='Detalle'!$J663),1,""))</x:f>
      </x:c>
      <x:c r="G1363" s="32" t="str">
        <x:f>IF(OR('Detalle'!$J663="",'Detalle'!$K663="",'Detalle'!$L663=""),"",IF(AND(G$8&lt;='Detalle'!$K663,G$9&gt;='Detalle'!$J663),1,""))</x:f>
      </x:c>
      <x:c r="H1363" s="32" t="str">
        <x:f>IF(OR('Detalle'!$J663="",'Detalle'!$K663="",'Detalle'!$L663=""),"",IF(AND(H$8&lt;='Detalle'!$K663,H$9&gt;='Detalle'!$J663),1,""))</x:f>
      </x:c>
      <x:c r="I1363" s="32" t="str">
        <x:f>IF(OR('Detalle'!$J663="",'Detalle'!$K663="",'Detalle'!$L663=""),"",IF(AND(I$8&lt;='Detalle'!$K663,I$9&gt;='Detalle'!$J663),1,""))</x:f>
      </x:c>
      <x:c r="J1363" s="32" t="str">
        <x:f>IF(OR('Detalle'!$J663="",'Detalle'!$K663="",'Detalle'!$L663=""),"",IF(AND(J$8&lt;='Detalle'!$K663,J$9&gt;='Detalle'!$J663),1,""))</x:f>
      </x:c>
      <x:c r="K1363" s="32" t="str">
        <x:f>IF(OR('Detalle'!$J663="",'Detalle'!$K663="",'Detalle'!$L663=""),"",IF(AND(K$8&lt;='Detalle'!$K663,K$9&gt;='Detalle'!$J663),1,""))</x:f>
      </x:c>
      <x:c r="L1363" s="32" t="str">
        <x:f>IF(OR('Detalle'!$J663="",'Detalle'!$K663="",'Detalle'!$L663=""),"",IF(AND(L$8&lt;='Detalle'!$K663,L$9&gt;='Detalle'!$J663),1,""))</x:f>
      </x:c>
      <x:c r="M1363" s="32" t="str">
        <x:f>IF(OR('Detalle'!$J663="",'Detalle'!$K663="",'Detalle'!$L663=""),"",IF(AND(M$8&lt;='Detalle'!$K663,M$9&gt;='Detalle'!$J663),1,""))</x:f>
      </x:c>
      <x:c r="N1363" s="32" t="str">
        <x:f>IF(OR('Detalle'!$J663="",'Detalle'!$K663="",'Detalle'!$L663=""),"",IF(AND(N$8&lt;='Detalle'!$K663,N$9&gt;='Detalle'!$J663),1,""))</x:f>
      </x:c>
      <x:c r="O1363" s="32" t="str">
        <x:f>IF(OR('Detalle'!$J663="",'Detalle'!$K663="",'Detalle'!$L663=""),"",IF(AND(O$8&lt;='Detalle'!$K663,O$9&gt;='Detalle'!$J663),1,""))</x:f>
      </x:c>
      <x:c r="P1363" s="32" t="str">
        <x:f>IF(OR('Detalle'!$J663="",'Detalle'!$K663="",'Detalle'!$L663=""),"",IF(AND(P$8&lt;='Detalle'!$K663,P$9&gt;='Detalle'!$J663),1,""))</x:f>
      </x:c>
      <x:c r="Q1363" s="68"/>
      <x:c r="R1363" s="67" t="str"/>
      <x:c r="S1363" s="67" t="str"/>
    </x:row>
    <x:row r="1364" ht="16" customHeight="1">
      <x:c r="A1364" s="56" t="str">
        <x:v>TOU02.021</x:v>
      </x:c>
      <x:c r="B1364" s="57" t="str">
        <x:v>Congelar snapshot al enviar versión</x:v>
      </x:c>
      <x:c r="C1364" s="62" t="str">
        <x:v>E</x:v>
      </x:c>
      <x:c r="D1364" s="64" t="n">
        <x:f>'Detalle'!I664</x:f>
        <x:v>1</x:v>
      </x:c>
      <x:c r="E1364" s="60" t="str">
        <x:f>'Detalle'!F664</x:f>
        <x:v>Completado</x:v>
      </x:c>
      <x:c r="F1364" s="32" t="str">
        <x:f>IF(AND(F$8&lt;='Detalle'!$H664,F$9&gt;='Detalle'!$G664),1,"")</x:f>
      </x:c>
      <x:c r="G1364" s="32" t="str">
        <x:f>IF(AND(G$8&lt;='Detalle'!$H664,G$9&gt;='Detalle'!$G664),1,"")</x:f>
      </x:c>
      <x:c r="H1364" s="32" t="str">
        <x:f>IF(AND(H$8&lt;='Detalle'!$H664,H$9&gt;='Detalle'!$G664),1,"")</x:f>
      </x:c>
      <x:c r="I1364" s="32" t="str">
        <x:f>IF(AND(I$8&lt;='Detalle'!$H664,I$9&gt;='Detalle'!$G664),1,"")</x:f>
      </x:c>
      <x:c r="J1364" s="32" t="n">
        <x:f>IF(AND(J$8&lt;='Detalle'!$H664,J$9&gt;='Detalle'!$G664),1,"")</x:f>
        <x:v>1</x:v>
      </x:c>
      <x:c r="K1364" s="32" t="str">
        <x:f>IF(AND(K$8&lt;='Detalle'!$H664,K$9&gt;='Detalle'!$G664),1,"")</x:f>
      </x:c>
      <x:c r="L1364" s="32" t="str">
        <x:f>IF(AND(L$8&lt;='Detalle'!$H664,L$9&gt;='Detalle'!$G664),1,"")</x:f>
      </x:c>
      <x:c r="M1364" s="32" t="str">
        <x:f>IF(AND(M$8&lt;='Detalle'!$H664,M$9&gt;='Detalle'!$G664),1,"")</x:f>
      </x:c>
      <x:c r="N1364" s="32" t="str">
        <x:f>IF(AND(N$8&lt;='Detalle'!$H664,N$9&gt;='Detalle'!$G664),1,"")</x:f>
      </x:c>
      <x:c r="O1364" s="32" t="str">
        <x:f>IF(AND(O$8&lt;='Detalle'!$H664,O$9&gt;='Detalle'!$G664),1,"")</x:f>
      </x:c>
      <x:c r="P1364" s="32" t="str">
        <x:f>IF(AND(P$8&lt;='Detalle'!$H664,P$9&gt;='Detalle'!$G664),1,"")</x:f>
      </x:c>
      <x:c r="Q1364" s="68"/>
      <x:c r="R1364" s="67" t="str">
        <x:f>IF('Detalle'!M664="","",'Detalle'!M664)</x:f>
      </x:c>
      <x:c r="S1364" s="67" t="str">
        <x:f>IF('Detalle'!N664="","",'Detalle'!N664)</x:f>
      </x:c>
    </x:row>
    <x:row r="1365" ht="16" customHeight="1">
      <x:c r="A1365" s="56" t="str">
        <x:v>TOU02.021</x:v>
      </x:c>
      <x:c r="B1365" s="57" t="str">
        <x:v>Congelar snapshot al enviar versión</x:v>
      </x:c>
      <x:c r="C1365" s="63" t="str">
        <x:v>R</x:v>
      </x:c>
      <x:c r="D1365" s="65" t="str">
        <x:f>IF('Detalle'!L664="","",'Detalle'!L664)</x:f>
      </x:c>
      <x:c r="E1365" s="60" t="str"/>
      <x:c r="F1365" s="32" t="str">
        <x:f>IF(OR('Detalle'!$J664="",'Detalle'!$K664="",'Detalle'!$L664=""),"",IF(AND(F$8&lt;='Detalle'!$K664,F$9&gt;='Detalle'!$J664),1,""))</x:f>
      </x:c>
      <x:c r="G1365" s="32" t="str">
        <x:f>IF(OR('Detalle'!$J664="",'Detalle'!$K664="",'Detalle'!$L664=""),"",IF(AND(G$8&lt;='Detalle'!$K664,G$9&gt;='Detalle'!$J664),1,""))</x:f>
      </x:c>
      <x:c r="H1365" s="32" t="str">
        <x:f>IF(OR('Detalle'!$J664="",'Detalle'!$K664="",'Detalle'!$L664=""),"",IF(AND(H$8&lt;='Detalle'!$K664,H$9&gt;='Detalle'!$J664),1,""))</x:f>
      </x:c>
      <x:c r="I1365" s="32" t="str">
        <x:f>IF(OR('Detalle'!$J664="",'Detalle'!$K664="",'Detalle'!$L664=""),"",IF(AND(I$8&lt;='Detalle'!$K664,I$9&gt;='Detalle'!$J664),1,""))</x:f>
      </x:c>
      <x:c r="J1365" s="32" t="str">
        <x:f>IF(OR('Detalle'!$J664="",'Detalle'!$K664="",'Detalle'!$L664=""),"",IF(AND(J$8&lt;='Detalle'!$K664,J$9&gt;='Detalle'!$J664),1,""))</x:f>
      </x:c>
      <x:c r="K1365" s="32" t="str">
        <x:f>IF(OR('Detalle'!$J664="",'Detalle'!$K664="",'Detalle'!$L664=""),"",IF(AND(K$8&lt;='Detalle'!$K664,K$9&gt;='Detalle'!$J664),1,""))</x:f>
      </x:c>
      <x:c r="L1365" s="32" t="str">
        <x:f>IF(OR('Detalle'!$J664="",'Detalle'!$K664="",'Detalle'!$L664=""),"",IF(AND(L$8&lt;='Detalle'!$K664,L$9&gt;='Detalle'!$J664),1,""))</x:f>
      </x:c>
      <x:c r="M1365" s="32" t="str">
        <x:f>IF(OR('Detalle'!$J664="",'Detalle'!$K664="",'Detalle'!$L664=""),"",IF(AND(M$8&lt;='Detalle'!$K664,M$9&gt;='Detalle'!$J664),1,""))</x:f>
      </x:c>
      <x:c r="N1365" s="32" t="str">
        <x:f>IF(OR('Detalle'!$J664="",'Detalle'!$K664="",'Detalle'!$L664=""),"",IF(AND(N$8&lt;='Detalle'!$K664,N$9&gt;='Detalle'!$J664),1,""))</x:f>
      </x:c>
      <x:c r="O1365" s="32" t="str">
        <x:f>IF(OR('Detalle'!$J664="",'Detalle'!$K664="",'Detalle'!$L664=""),"",IF(AND(O$8&lt;='Detalle'!$K664,O$9&gt;='Detalle'!$J664),1,""))</x:f>
      </x:c>
      <x:c r="P1365" s="32" t="str">
        <x:f>IF(OR('Detalle'!$J664="",'Detalle'!$K664="",'Detalle'!$L664=""),"",IF(AND(P$8&lt;='Detalle'!$K664,P$9&gt;='Detalle'!$J664),1,""))</x:f>
      </x:c>
      <x:c r="Q1365" s="68"/>
      <x:c r="R1365" s="67" t="str"/>
      <x:c r="S1365" s="67" t="str"/>
    </x:row>
    <x:row r="1366" ht="16" customHeight="1">
      <x:c r="A1366" s="56" t="str">
        <x:v>TOU02.022</x:v>
      </x:c>
      <x:c r="B1366" s="57" t="str">
        <x:v>Recuperar envío tras respuesta perdida</x:v>
      </x:c>
      <x:c r="C1366" s="62" t="str">
        <x:v>E</x:v>
      </x:c>
      <x:c r="D1366" s="64" t="n">
        <x:f>'Detalle'!I665</x:f>
        <x:v>1</x:v>
      </x:c>
      <x:c r="E1366" s="60" t="str">
        <x:f>'Detalle'!F665</x:f>
        <x:v>Completado</x:v>
      </x:c>
      <x:c r="F1366" s="32" t="str">
        <x:f>IF(AND(F$8&lt;='Detalle'!$H665,F$9&gt;='Detalle'!$G665),1,"")</x:f>
      </x:c>
      <x:c r="G1366" s="32" t="str">
        <x:f>IF(AND(G$8&lt;='Detalle'!$H665,G$9&gt;='Detalle'!$G665),1,"")</x:f>
      </x:c>
      <x:c r="H1366" s="32" t="str">
        <x:f>IF(AND(H$8&lt;='Detalle'!$H665,H$9&gt;='Detalle'!$G665),1,"")</x:f>
      </x:c>
      <x:c r="I1366" s="32" t="str">
        <x:f>IF(AND(I$8&lt;='Detalle'!$H665,I$9&gt;='Detalle'!$G665),1,"")</x:f>
      </x:c>
      <x:c r="J1366" s="32" t="n">
        <x:f>IF(AND(J$8&lt;='Detalle'!$H665,J$9&gt;='Detalle'!$G665),1,"")</x:f>
        <x:v>1</x:v>
      </x:c>
      <x:c r="K1366" s="32" t="str">
        <x:f>IF(AND(K$8&lt;='Detalle'!$H665,K$9&gt;='Detalle'!$G665),1,"")</x:f>
      </x:c>
      <x:c r="L1366" s="32" t="str">
        <x:f>IF(AND(L$8&lt;='Detalle'!$H665,L$9&gt;='Detalle'!$G665),1,"")</x:f>
      </x:c>
      <x:c r="M1366" s="32" t="str">
        <x:f>IF(AND(M$8&lt;='Detalle'!$H665,M$9&gt;='Detalle'!$G665),1,"")</x:f>
      </x:c>
      <x:c r="N1366" s="32" t="str">
        <x:f>IF(AND(N$8&lt;='Detalle'!$H665,N$9&gt;='Detalle'!$G665),1,"")</x:f>
      </x:c>
      <x:c r="O1366" s="32" t="str">
        <x:f>IF(AND(O$8&lt;='Detalle'!$H665,O$9&gt;='Detalle'!$G665),1,"")</x:f>
      </x:c>
      <x:c r="P1366" s="32" t="str">
        <x:f>IF(AND(P$8&lt;='Detalle'!$H665,P$9&gt;='Detalle'!$G665),1,"")</x:f>
      </x:c>
      <x:c r="Q1366" s="68"/>
      <x:c r="R1366" s="67" t="str">
        <x:f>IF('Detalle'!M665="","",'Detalle'!M665)</x:f>
      </x:c>
      <x:c r="S1366" s="67" t="str">
        <x:f>IF('Detalle'!N665="","",'Detalle'!N665)</x:f>
      </x:c>
    </x:row>
    <x:row r="1367" ht="16" customHeight="1">
      <x:c r="A1367" s="56" t="str">
        <x:v>TOU02.022</x:v>
      </x:c>
      <x:c r="B1367" s="57" t="str">
        <x:v>Recuperar envío tras respuesta perdida</x:v>
      </x:c>
      <x:c r="C1367" s="63" t="str">
        <x:v>R</x:v>
      </x:c>
      <x:c r="D1367" s="65" t="str">
        <x:f>IF('Detalle'!L665="","",'Detalle'!L665)</x:f>
      </x:c>
      <x:c r="E1367" s="60" t="str"/>
      <x:c r="F1367" s="32" t="str">
        <x:f>IF(OR('Detalle'!$J665="",'Detalle'!$K665="",'Detalle'!$L665=""),"",IF(AND(F$8&lt;='Detalle'!$K665,F$9&gt;='Detalle'!$J665),1,""))</x:f>
      </x:c>
      <x:c r="G1367" s="32" t="str">
        <x:f>IF(OR('Detalle'!$J665="",'Detalle'!$K665="",'Detalle'!$L665=""),"",IF(AND(G$8&lt;='Detalle'!$K665,G$9&gt;='Detalle'!$J665),1,""))</x:f>
      </x:c>
      <x:c r="H1367" s="32" t="str">
        <x:f>IF(OR('Detalle'!$J665="",'Detalle'!$K665="",'Detalle'!$L665=""),"",IF(AND(H$8&lt;='Detalle'!$K665,H$9&gt;='Detalle'!$J665),1,""))</x:f>
      </x:c>
      <x:c r="I1367" s="32" t="str">
        <x:f>IF(OR('Detalle'!$J665="",'Detalle'!$K665="",'Detalle'!$L665=""),"",IF(AND(I$8&lt;='Detalle'!$K665,I$9&gt;='Detalle'!$J665),1,""))</x:f>
      </x:c>
      <x:c r="J1367" s="32" t="str">
        <x:f>IF(OR('Detalle'!$J665="",'Detalle'!$K665="",'Detalle'!$L665=""),"",IF(AND(J$8&lt;='Detalle'!$K665,J$9&gt;='Detalle'!$J665),1,""))</x:f>
      </x:c>
      <x:c r="K1367" s="32" t="str">
        <x:f>IF(OR('Detalle'!$J665="",'Detalle'!$K665="",'Detalle'!$L665=""),"",IF(AND(K$8&lt;='Detalle'!$K665,K$9&gt;='Detalle'!$J665),1,""))</x:f>
      </x:c>
      <x:c r="L1367" s="32" t="str">
        <x:f>IF(OR('Detalle'!$J665="",'Detalle'!$K665="",'Detalle'!$L665=""),"",IF(AND(L$8&lt;='Detalle'!$K665,L$9&gt;='Detalle'!$J665),1,""))</x:f>
      </x:c>
      <x:c r="M1367" s="32" t="str">
        <x:f>IF(OR('Detalle'!$J665="",'Detalle'!$K665="",'Detalle'!$L665=""),"",IF(AND(M$8&lt;='Detalle'!$K665,M$9&gt;='Detalle'!$J665),1,""))</x:f>
      </x:c>
      <x:c r="N1367" s="32" t="str">
        <x:f>IF(OR('Detalle'!$J665="",'Detalle'!$K665="",'Detalle'!$L665=""),"",IF(AND(N$8&lt;='Detalle'!$K665,N$9&gt;='Detalle'!$J665),1,""))</x:f>
      </x:c>
      <x:c r="O1367" s="32" t="str">
        <x:f>IF(OR('Detalle'!$J665="",'Detalle'!$K665="",'Detalle'!$L665=""),"",IF(AND(O$8&lt;='Detalle'!$K665,O$9&gt;='Detalle'!$J665),1,""))</x:f>
      </x:c>
      <x:c r="P1367" s="32" t="str">
        <x:f>IF(OR('Detalle'!$J665="",'Detalle'!$K665="",'Detalle'!$L665=""),"",IF(AND(P$8&lt;='Detalle'!$K665,P$9&gt;='Detalle'!$J665),1,""))</x:f>
      </x:c>
      <x:c r="Q1367" s="68"/>
      <x:c r="R1367" s="67" t="str"/>
      <x:c r="S1367" s="67" t="str"/>
    </x:row>
    <x:row r="1368" ht="16" customHeight="1">
      <x:c r="A1368" s="56" t="str">
        <x:v>TOU02.023</x:v>
      </x:c>
      <x:c r="B1368" s="57" t="str">
        <x:v>Pausar recorrido público</x:v>
      </x:c>
      <x:c r="C1368" s="62" t="str">
        <x:v>E</x:v>
      </x:c>
      <x:c r="D1368" s="64" t="n">
        <x:f>'Detalle'!I666</x:f>
        <x:v>1</x:v>
      </x:c>
      <x:c r="E1368" s="60" t="str">
        <x:f>'Detalle'!F666</x:f>
        <x:v>Completado</x:v>
      </x:c>
      <x:c r="F1368" s="32" t="str">
        <x:f>IF(AND(F$8&lt;='Detalle'!$H666,F$9&gt;='Detalle'!$G666),1,"")</x:f>
      </x:c>
      <x:c r="G1368" s="32" t="str">
        <x:f>IF(AND(G$8&lt;='Detalle'!$H666,G$9&gt;='Detalle'!$G666),1,"")</x:f>
      </x:c>
      <x:c r="H1368" s="32" t="str">
        <x:f>IF(AND(H$8&lt;='Detalle'!$H666,H$9&gt;='Detalle'!$G666),1,"")</x:f>
      </x:c>
      <x:c r="I1368" s="32" t="str">
        <x:f>IF(AND(I$8&lt;='Detalle'!$H666,I$9&gt;='Detalle'!$G666),1,"")</x:f>
      </x:c>
      <x:c r="J1368" s="32" t="n">
        <x:f>IF(AND(J$8&lt;='Detalle'!$H666,J$9&gt;='Detalle'!$G666),1,"")</x:f>
        <x:v>1</x:v>
      </x:c>
      <x:c r="K1368" s="32" t="str">
        <x:f>IF(AND(K$8&lt;='Detalle'!$H666,K$9&gt;='Detalle'!$G666),1,"")</x:f>
      </x:c>
      <x:c r="L1368" s="32" t="str">
        <x:f>IF(AND(L$8&lt;='Detalle'!$H666,L$9&gt;='Detalle'!$G666),1,"")</x:f>
      </x:c>
      <x:c r="M1368" s="32" t="str">
        <x:f>IF(AND(M$8&lt;='Detalle'!$H666,M$9&gt;='Detalle'!$G666),1,"")</x:f>
      </x:c>
      <x:c r="N1368" s="32" t="str">
        <x:f>IF(AND(N$8&lt;='Detalle'!$H666,N$9&gt;='Detalle'!$G666),1,"")</x:f>
      </x:c>
      <x:c r="O1368" s="32" t="str">
        <x:f>IF(AND(O$8&lt;='Detalle'!$H666,O$9&gt;='Detalle'!$G666),1,"")</x:f>
      </x:c>
      <x:c r="P1368" s="32" t="str">
        <x:f>IF(AND(P$8&lt;='Detalle'!$H666,P$9&gt;='Detalle'!$G666),1,"")</x:f>
      </x:c>
      <x:c r="Q1368" s="68"/>
      <x:c r="R1368" s="67" t="str">
        <x:f>IF('Detalle'!M666="","",'Detalle'!M666)</x:f>
      </x:c>
      <x:c r="S1368" s="67" t="str">
        <x:f>IF('Detalle'!N666="","",'Detalle'!N666)</x:f>
      </x:c>
    </x:row>
    <x:row r="1369" ht="16" customHeight="1">
      <x:c r="A1369" s="56" t="str">
        <x:v>TOU02.023</x:v>
      </x:c>
      <x:c r="B1369" s="57" t="str">
        <x:v>Pausar recorrido público</x:v>
      </x:c>
      <x:c r="C1369" s="63" t="str">
        <x:v>R</x:v>
      </x:c>
      <x:c r="D1369" s="65" t="str">
        <x:f>IF('Detalle'!L666="","",'Detalle'!L666)</x:f>
      </x:c>
      <x:c r="E1369" s="60" t="str"/>
      <x:c r="F1369" s="32" t="str">
        <x:f>IF(OR('Detalle'!$J666="",'Detalle'!$K666="",'Detalle'!$L666=""),"",IF(AND(F$8&lt;='Detalle'!$K666,F$9&gt;='Detalle'!$J666),1,""))</x:f>
      </x:c>
      <x:c r="G1369" s="32" t="str">
        <x:f>IF(OR('Detalle'!$J666="",'Detalle'!$K666="",'Detalle'!$L666=""),"",IF(AND(G$8&lt;='Detalle'!$K666,G$9&gt;='Detalle'!$J666),1,""))</x:f>
      </x:c>
      <x:c r="H1369" s="32" t="str">
        <x:f>IF(OR('Detalle'!$J666="",'Detalle'!$K666="",'Detalle'!$L666=""),"",IF(AND(H$8&lt;='Detalle'!$K666,H$9&gt;='Detalle'!$J666),1,""))</x:f>
      </x:c>
      <x:c r="I1369" s="32" t="str">
        <x:f>IF(OR('Detalle'!$J666="",'Detalle'!$K666="",'Detalle'!$L666=""),"",IF(AND(I$8&lt;='Detalle'!$K666,I$9&gt;='Detalle'!$J666),1,""))</x:f>
      </x:c>
      <x:c r="J1369" s="32" t="str">
        <x:f>IF(OR('Detalle'!$J666="",'Detalle'!$K666="",'Detalle'!$L666=""),"",IF(AND(J$8&lt;='Detalle'!$K666,J$9&gt;='Detalle'!$J666),1,""))</x:f>
      </x:c>
      <x:c r="K1369" s="32" t="str">
        <x:f>IF(OR('Detalle'!$J666="",'Detalle'!$K666="",'Detalle'!$L666=""),"",IF(AND(K$8&lt;='Detalle'!$K666,K$9&gt;='Detalle'!$J666),1,""))</x:f>
      </x:c>
      <x:c r="L1369" s="32" t="str">
        <x:f>IF(OR('Detalle'!$J666="",'Detalle'!$K666="",'Detalle'!$L666=""),"",IF(AND(L$8&lt;='Detalle'!$K666,L$9&gt;='Detalle'!$J666),1,""))</x:f>
      </x:c>
      <x:c r="M1369" s="32" t="str">
        <x:f>IF(OR('Detalle'!$J666="",'Detalle'!$K666="",'Detalle'!$L666=""),"",IF(AND(M$8&lt;='Detalle'!$K666,M$9&gt;='Detalle'!$J666),1,""))</x:f>
      </x:c>
      <x:c r="N1369" s="32" t="str">
        <x:f>IF(OR('Detalle'!$J666="",'Detalle'!$K666="",'Detalle'!$L666=""),"",IF(AND(N$8&lt;='Detalle'!$K666,N$9&gt;='Detalle'!$J666),1,""))</x:f>
      </x:c>
      <x:c r="O1369" s="32" t="str">
        <x:f>IF(OR('Detalle'!$J666="",'Detalle'!$K666="",'Detalle'!$L666=""),"",IF(AND(O$8&lt;='Detalle'!$K666,O$9&gt;='Detalle'!$J666),1,""))</x:f>
      </x:c>
      <x:c r="P1369" s="32" t="str">
        <x:f>IF(OR('Detalle'!$J666="",'Detalle'!$K666="",'Detalle'!$L666=""),"",IF(AND(P$8&lt;='Detalle'!$K666,P$9&gt;='Detalle'!$J666),1,""))</x:f>
      </x:c>
      <x:c r="Q1369" s="68"/>
      <x:c r="R1369" s="67" t="str"/>
      <x:c r="S1369" s="67" t="str"/>
    </x:row>
    <x:row r="1370" ht="16" customHeight="1">
      <x:c r="A1370" s="56" t="str">
        <x:v>TOU02.024</x:v>
      </x:c>
      <x:c r="B1370" s="57" t="str">
        <x:v>Invalidar puntos al reemplazar panorama</x:v>
      </x:c>
      <x:c r="C1370" s="62" t="str">
        <x:v>E</x:v>
      </x:c>
      <x:c r="D1370" s="64" t="n">
        <x:f>'Detalle'!I667</x:f>
        <x:v>1</x:v>
      </x:c>
      <x:c r="E1370" s="60" t="str">
        <x:f>'Detalle'!F667</x:f>
        <x:v>Completado</x:v>
      </x:c>
      <x:c r="F1370" s="32" t="str">
        <x:f>IF(AND(F$8&lt;='Detalle'!$H667,F$9&gt;='Detalle'!$G667),1,"")</x:f>
      </x:c>
      <x:c r="G1370" s="32" t="str">
        <x:f>IF(AND(G$8&lt;='Detalle'!$H667,G$9&gt;='Detalle'!$G667),1,"")</x:f>
      </x:c>
      <x:c r="H1370" s="32" t="str">
        <x:f>IF(AND(H$8&lt;='Detalle'!$H667,H$9&gt;='Detalle'!$G667),1,"")</x:f>
      </x:c>
      <x:c r="I1370" s="32" t="str">
        <x:f>IF(AND(I$8&lt;='Detalle'!$H667,I$9&gt;='Detalle'!$G667),1,"")</x:f>
      </x:c>
      <x:c r="J1370" s="32" t="n">
        <x:f>IF(AND(J$8&lt;='Detalle'!$H667,J$9&gt;='Detalle'!$G667),1,"")</x:f>
        <x:v>1</x:v>
      </x:c>
      <x:c r="K1370" s="32" t="str">
        <x:f>IF(AND(K$8&lt;='Detalle'!$H667,K$9&gt;='Detalle'!$G667),1,"")</x:f>
      </x:c>
      <x:c r="L1370" s="32" t="str">
        <x:f>IF(AND(L$8&lt;='Detalle'!$H667,L$9&gt;='Detalle'!$G667),1,"")</x:f>
      </x:c>
      <x:c r="M1370" s="32" t="str">
        <x:f>IF(AND(M$8&lt;='Detalle'!$H667,M$9&gt;='Detalle'!$G667),1,"")</x:f>
      </x:c>
      <x:c r="N1370" s="32" t="str">
        <x:f>IF(AND(N$8&lt;='Detalle'!$H667,N$9&gt;='Detalle'!$G667),1,"")</x:f>
      </x:c>
      <x:c r="O1370" s="32" t="str">
        <x:f>IF(AND(O$8&lt;='Detalle'!$H667,O$9&gt;='Detalle'!$G667),1,"")</x:f>
      </x:c>
      <x:c r="P1370" s="32" t="str">
        <x:f>IF(AND(P$8&lt;='Detalle'!$H667,P$9&gt;='Detalle'!$G667),1,"")</x:f>
      </x:c>
      <x:c r="Q1370" s="68"/>
      <x:c r="R1370" s="67" t="str">
        <x:f>IF('Detalle'!M667="","",'Detalle'!M667)</x:f>
      </x:c>
      <x:c r="S1370" s="67" t="str">
        <x:f>IF('Detalle'!N667="","",'Detalle'!N667)</x:f>
      </x:c>
    </x:row>
    <x:row r="1371" ht="16" customHeight="1">
      <x:c r="A1371" s="56" t="str">
        <x:v>TOU02.024</x:v>
      </x:c>
      <x:c r="B1371" s="57" t="str">
        <x:v>Invalidar puntos al reemplazar panorama</x:v>
      </x:c>
      <x:c r="C1371" s="63" t="str">
        <x:v>R</x:v>
      </x:c>
      <x:c r="D1371" s="65" t="str">
        <x:f>IF('Detalle'!L667="","",'Detalle'!L667)</x:f>
      </x:c>
      <x:c r="E1371" s="60" t="str"/>
      <x:c r="F1371" s="32" t="str">
        <x:f>IF(OR('Detalle'!$J667="",'Detalle'!$K667="",'Detalle'!$L667=""),"",IF(AND(F$8&lt;='Detalle'!$K667,F$9&gt;='Detalle'!$J667),1,""))</x:f>
      </x:c>
      <x:c r="G1371" s="32" t="str">
        <x:f>IF(OR('Detalle'!$J667="",'Detalle'!$K667="",'Detalle'!$L667=""),"",IF(AND(G$8&lt;='Detalle'!$K667,G$9&gt;='Detalle'!$J667),1,""))</x:f>
      </x:c>
      <x:c r="H1371" s="32" t="str">
        <x:f>IF(OR('Detalle'!$J667="",'Detalle'!$K667="",'Detalle'!$L667=""),"",IF(AND(H$8&lt;='Detalle'!$K667,H$9&gt;='Detalle'!$J667),1,""))</x:f>
      </x:c>
      <x:c r="I1371" s="32" t="str">
        <x:f>IF(OR('Detalle'!$J667="",'Detalle'!$K667="",'Detalle'!$L667=""),"",IF(AND(I$8&lt;='Detalle'!$K667,I$9&gt;='Detalle'!$J667),1,""))</x:f>
      </x:c>
      <x:c r="J1371" s="32" t="str">
        <x:f>IF(OR('Detalle'!$J667="",'Detalle'!$K667="",'Detalle'!$L667=""),"",IF(AND(J$8&lt;='Detalle'!$K667,J$9&gt;='Detalle'!$J667),1,""))</x:f>
      </x:c>
      <x:c r="K1371" s="32" t="str">
        <x:f>IF(OR('Detalle'!$J667="",'Detalle'!$K667="",'Detalle'!$L667=""),"",IF(AND(K$8&lt;='Detalle'!$K667,K$9&gt;='Detalle'!$J667),1,""))</x:f>
      </x:c>
      <x:c r="L1371" s="32" t="str">
        <x:f>IF(OR('Detalle'!$J667="",'Detalle'!$K667="",'Detalle'!$L667=""),"",IF(AND(L$8&lt;='Detalle'!$K667,L$9&gt;='Detalle'!$J667),1,""))</x:f>
      </x:c>
      <x:c r="M1371" s="32" t="str">
        <x:f>IF(OR('Detalle'!$J667="",'Detalle'!$K667="",'Detalle'!$L667=""),"",IF(AND(M$8&lt;='Detalle'!$K667,M$9&gt;='Detalle'!$J667),1,""))</x:f>
      </x:c>
      <x:c r="N1371" s="32" t="str">
        <x:f>IF(OR('Detalle'!$J667="",'Detalle'!$K667="",'Detalle'!$L667=""),"",IF(AND(N$8&lt;='Detalle'!$K667,N$9&gt;='Detalle'!$J667),1,""))</x:f>
      </x:c>
      <x:c r="O1371" s="32" t="str">
        <x:f>IF(OR('Detalle'!$J667="",'Detalle'!$K667="",'Detalle'!$L667=""),"",IF(AND(O$8&lt;='Detalle'!$K667,O$9&gt;='Detalle'!$J667),1,""))</x:f>
      </x:c>
      <x:c r="P1371" s="32" t="str">
        <x:f>IF(OR('Detalle'!$J667="",'Detalle'!$K667="",'Detalle'!$L667=""),"",IF(AND(P$8&lt;='Detalle'!$K667,P$9&gt;='Detalle'!$J667),1,""))</x:f>
      </x:c>
      <x:c r="Q1371" s="68"/>
      <x:c r="R1371" s="67" t="str"/>
      <x:c r="S1371" s="67" t="str"/>
    </x:row>
    <x:row r="1372" ht="20" customHeight="1">
      <x:c r="A1372" s="52" t="str">
        <x:v>TOU03 · Captura guiada y persistencia local</x:v>
      </x:c>
      <x:c r="B1372" s="52" t="str">
        <x:v>TOU03 · Captura guiada y persistencia local</x:v>
      </x:c>
      <x:c r="C1372" s="52" t="str">
        <x:v>TOU03 · Captura guiada y persistencia local</x:v>
      </x:c>
      <x:c r="D1372" s="52" t="str">
        <x:v>TOU03 · Captura guiada y persistencia local</x:v>
      </x:c>
      <x:c r="E1372" s="52" t="str">
        <x:v>TOU03 · Captura guiada y persistencia local</x:v>
      </x:c>
      <x:c r="F1372" s="53" t="str">
        <x:v>TOU03 · Captura guiada y persistencia local</x:v>
      </x:c>
      <x:c r="G1372" s="53" t="str">
        <x:v>TOU03 · Captura guiada y persistencia local</x:v>
      </x:c>
      <x:c r="H1372" s="53" t="str">
        <x:v>TOU03 · Captura guiada y persistencia local</x:v>
      </x:c>
      <x:c r="I1372" s="53" t="str">
        <x:v>TOU03 · Captura guiada y persistencia local</x:v>
      </x:c>
      <x:c r="J1372" s="53" t="str">
        <x:v>TOU03 · Captura guiada y persistencia local</x:v>
      </x:c>
      <x:c r="K1372" s="53" t="str">
        <x:v>TOU03 · Captura guiada y persistencia local</x:v>
      </x:c>
      <x:c r="L1372" s="53" t="str">
        <x:v>TOU03 · Captura guiada y persistencia local</x:v>
      </x:c>
      <x:c r="M1372" s="53" t="str">
        <x:v>TOU03 · Captura guiada y persistencia local</x:v>
      </x:c>
      <x:c r="N1372" s="53" t="str">
        <x:v>TOU03 · Captura guiada y persistencia local</x:v>
      </x:c>
      <x:c r="O1372" s="53" t="str">
        <x:v>TOU03 · Captura guiada y persistencia local</x:v>
      </x:c>
      <x:c r="P1372" s="53" t="str">
        <x:v>TOU03 · Captura guiada y persistencia local</x:v>
      </x:c>
      <x:c r="Q1372" s="52" t="str">
        <x:v>TOU03 · Captura guiada y persistencia local</x:v>
      </x:c>
      <x:c r="R1372" s="52" t="str">
        <x:v>TOU03 · Captura guiada y persistencia local</x:v>
      </x:c>
      <x:c r="S1372" s="52" t="str">
        <x:v>TOU03 · Captura guiada y persistencia local</x:v>
      </x:c>
    </x:row>
    <x:row r="1373" ht="16" customHeight="1">
      <x:c r="A1373" s="56" t="str">
        <x:v>TOU03.001</x:v>
      </x:c>
      <x:c r="B1373" s="57" t="str">
        <x:v>Abrir cámara principal posterior a 1×</x:v>
      </x:c>
      <x:c r="C1373" s="62" t="str">
        <x:v>E</x:v>
      </x:c>
      <x:c r="D1373" s="64" t="n">
        <x:f>'Detalle'!I668</x:f>
        <x:v>1</x:v>
      </x:c>
      <x:c r="E1373" s="60" t="str">
        <x:f>'Detalle'!F668</x:f>
        <x:v>Completado</x:v>
      </x:c>
      <x:c r="F1373" s="32" t="str">
        <x:f>IF(AND(F$8&lt;='Detalle'!$H668,F$9&gt;='Detalle'!$G668),1,"")</x:f>
      </x:c>
      <x:c r="G1373" s="32" t="str">
        <x:f>IF(AND(G$8&lt;='Detalle'!$H668,G$9&gt;='Detalle'!$G668),1,"")</x:f>
      </x:c>
      <x:c r="H1373" s="32" t="str">
        <x:f>IF(AND(H$8&lt;='Detalle'!$H668,H$9&gt;='Detalle'!$G668),1,"")</x:f>
      </x:c>
      <x:c r="I1373" s="32" t="str">
        <x:f>IF(AND(I$8&lt;='Detalle'!$H668,I$9&gt;='Detalle'!$G668),1,"")</x:f>
      </x:c>
      <x:c r="J1373" s="32" t="n">
        <x:f>IF(AND(J$8&lt;='Detalle'!$H668,J$9&gt;='Detalle'!$G668),1,"")</x:f>
        <x:v>1</x:v>
      </x:c>
      <x:c r="K1373" s="32" t="str">
        <x:f>IF(AND(K$8&lt;='Detalle'!$H668,K$9&gt;='Detalle'!$G668),1,"")</x:f>
      </x:c>
      <x:c r="L1373" s="32" t="str">
        <x:f>IF(AND(L$8&lt;='Detalle'!$H668,L$9&gt;='Detalle'!$G668),1,"")</x:f>
      </x:c>
      <x:c r="M1373" s="32" t="str">
        <x:f>IF(AND(M$8&lt;='Detalle'!$H668,M$9&gt;='Detalle'!$G668),1,"")</x:f>
      </x:c>
      <x:c r="N1373" s="32" t="str">
        <x:f>IF(AND(N$8&lt;='Detalle'!$H668,N$9&gt;='Detalle'!$G668),1,"")</x:f>
      </x:c>
      <x:c r="O1373" s="32" t="str">
        <x:f>IF(AND(O$8&lt;='Detalle'!$H668,O$9&gt;='Detalle'!$G668),1,"")</x:f>
      </x:c>
      <x:c r="P1373" s="32" t="str">
        <x:f>IF(AND(P$8&lt;='Detalle'!$H668,P$9&gt;='Detalle'!$G668),1,"")</x:f>
      </x:c>
      <x:c r="Q1373" s="68"/>
      <x:c r="R1373" s="67" t="str">
        <x:f>IF('Detalle'!M668="","",'Detalle'!M668)</x:f>
      </x:c>
      <x:c r="S1373" s="67" t="str">
        <x:f>IF('Detalle'!N668="","",'Detalle'!N668)</x:f>
      </x:c>
    </x:row>
    <x:row r="1374" ht="16" customHeight="1">
      <x:c r="A1374" s="56" t="str">
        <x:v>TOU03.001</x:v>
      </x:c>
      <x:c r="B1374" s="57" t="str">
        <x:v>Abrir cámara principal posterior a 1×</x:v>
      </x:c>
      <x:c r="C1374" s="63" t="str">
        <x:v>R</x:v>
      </x:c>
      <x:c r="D1374" s="65" t="str">
        <x:f>IF('Detalle'!L668="","",'Detalle'!L668)</x:f>
      </x:c>
      <x:c r="E1374" s="60" t="str"/>
      <x:c r="F1374" s="32" t="str">
        <x:f>IF(OR('Detalle'!$J668="",'Detalle'!$K668="",'Detalle'!$L668=""),"",IF(AND(F$8&lt;='Detalle'!$K668,F$9&gt;='Detalle'!$J668),1,""))</x:f>
      </x:c>
      <x:c r="G1374" s="32" t="str">
        <x:f>IF(OR('Detalle'!$J668="",'Detalle'!$K668="",'Detalle'!$L668=""),"",IF(AND(G$8&lt;='Detalle'!$K668,G$9&gt;='Detalle'!$J668),1,""))</x:f>
      </x:c>
      <x:c r="H1374" s="32" t="str">
        <x:f>IF(OR('Detalle'!$J668="",'Detalle'!$K668="",'Detalle'!$L668=""),"",IF(AND(H$8&lt;='Detalle'!$K668,H$9&gt;='Detalle'!$J668),1,""))</x:f>
      </x:c>
      <x:c r="I1374" s="32" t="str">
        <x:f>IF(OR('Detalle'!$J668="",'Detalle'!$K668="",'Detalle'!$L668=""),"",IF(AND(I$8&lt;='Detalle'!$K668,I$9&gt;='Detalle'!$J668),1,""))</x:f>
      </x:c>
      <x:c r="J1374" s="32" t="str">
        <x:f>IF(OR('Detalle'!$J668="",'Detalle'!$K668="",'Detalle'!$L668=""),"",IF(AND(J$8&lt;='Detalle'!$K668,J$9&gt;='Detalle'!$J668),1,""))</x:f>
      </x:c>
      <x:c r="K1374" s="32" t="str">
        <x:f>IF(OR('Detalle'!$J668="",'Detalle'!$K668="",'Detalle'!$L668=""),"",IF(AND(K$8&lt;='Detalle'!$K668,K$9&gt;='Detalle'!$J668),1,""))</x:f>
      </x:c>
      <x:c r="L1374" s="32" t="str">
        <x:f>IF(OR('Detalle'!$J668="",'Detalle'!$K668="",'Detalle'!$L668=""),"",IF(AND(L$8&lt;='Detalle'!$K668,L$9&gt;='Detalle'!$J668),1,""))</x:f>
      </x:c>
      <x:c r="M1374" s="32" t="str">
        <x:f>IF(OR('Detalle'!$J668="",'Detalle'!$K668="",'Detalle'!$L668=""),"",IF(AND(M$8&lt;='Detalle'!$K668,M$9&gt;='Detalle'!$J668),1,""))</x:f>
      </x:c>
      <x:c r="N1374" s="32" t="str">
        <x:f>IF(OR('Detalle'!$J668="",'Detalle'!$K668="",'Detalle'!$L668=""),"",IF(AND(N$8&lt;='Detalle'!$K668,N$9&gt;='Detalle'!$J668),1,""))</x:f>
      </x:c>
      <x:c r="O1374" s="32" t="str">
        <x:f>IF(OR('Detalle'!$J668="",'Detalle'!$K668="",'Detalle'!$L668=""),"",IF(AND(O$8&lt;='Detalle'!$K668,O$9&gt;='Detalle'!$J668),1,""))</x:f>
      </x:c>
      <x:c r="P1374" s="32" t="str">
        <x:f>IF(OR('Detalle'!$J668="",'Detalle'!$K668="",'Detalle'!$L668=""),"",IF(AND(P$8&lt;='Detalle'!$K668,P$9&gt;='Detalle'!$J668),1,""))</x:f>
      </x:c>
      <x:c r="Q1374" s="68"/>
      <x:c r="R1374" s="67" t="str"/>
      <x:c r="S1374" s="67" t="str"/>
    </x:row>
    <x:row r="1375" ht="16" customHeight="1">
      <x:c r="A1375" s="56" t="str">
        <x:v>TOU03.002</x:v>
      </x:c>
      <x:c r="B1375" s="57" t="str">
        <x:v>Bloquear orientación de captura en retrato</x:v>
      </x:c>
      <x:c r="C1375" s="62" t="str">
        <x:v>E</x:v>
      </x:c>
      <x:c r="D1375" s="64" t="n">
        <x:f>'Detalle'!I669</x:f>
        <x:v>1</x:v>
      </x:c>
      <x:c r="E1375" s="60" t="str">
        <x:f>'Detalle'!F669</x:f>
        <x:v>Completado</x:v>
      </x:c>
      <x:c r="F1375" s="32" t="str">
        <x:f>IF(AND(F$8&lt;='Detalle'!$H669,F$9&gt;='Detalle'!$G669),1,"")</x:f>
      </x:c>
      <x:c r="G1375" s="32" t="str">
        <x:f>IF(AND(G$8&lt;='Detalle'!$H669,G$9&gt;='Detalle'!$G669),1,"")</x:f>
      </x:c>
      <x:c r="H1375" s="32" t="str">
        <x:f>IF(AND(H$8&lt;='Detalle'!$H669,H$9&gt;='Detalle'!$G669),1,"")</x:f>
      </x:c>
      <x:c r="I1375" s="32" t="str">
        <x:f>IF(AND(I$8&lt;='Detalle'!$H669,I$9&gt;='Detalle'!$G669),1,"")</x:f>
      </x:c>
      <x:c r="J1375" s="32" t="n">
        <x:f>IF(AND(J$8&lt;='Detalle'!$H669,J$9&gt;='Detalle'!$G669),1,"")</x:f>
        <x:v>1</x:v>
      </x:c>
      <x:c r="K1375" s="32" t="str">
        <x:f>IF(AND(K$8&lt;='Detalle'!$H669,K$9&gt;='Detalle'!$G669),1,"")</x:f>
      </x:c>
      <x:c r="L1375" s="32" t="str">
        <x:f>IF(AND(L$8&lt;='Detalle'!$H669,L$9&gt;='Detalle'!$G669),1,"")</x:f>
      </x:c>
      <x:c r="M1375" s="32" t="str">
        <x:f>IF(AND(M$8&lt;='Detalle'!$H669,M$9&gt;='Detalle'!$G669),1,"")</x:f>
      </x:c>
      <x:c r="N1375" s="32" t="str">
        <x:f>IF(AND(N$8&lt;='Detalle'!$H669,N$9&gt;='Detalle'!$G669),1,"")</x:f>
      </x:c>
      <x:c r="O1375" s="32" t="str">
        <x:f>IF(AND(O$8&lt;='Detalle'!$H669,O$9&gt;='Detalle'!$G669),1,"")</x:f>
      </x:c>
      <x:c r="P1375" s="32" t="str">
        <x:f>IF(AND(P$8&lt;='Detalle'!$H669,P$9&gt;='Detalle'!$G669),1,"")</x:f>
      </x:c>
      <x:c r="Q1375" s="68"/>
      <x:c r="R1375" s="67" t="str">
        <x:f>IF('Detalle'!M669="","",'Detalle'!M669)</x:f>
      </x:c>
      <x:c r="S1375" s="67" t="str">
        <x:f>IF('Detalle'!N669="","",'Detalle'!N669)</x:f>
      </x:c>
    </x:row>
    <x:row r="1376" ht="16" customHeight="1">
      <x:c r="A1376" s="56" t="str">
        <x:v>TOU03.002</x:v>
      </x:c>
      <x:c r="B1376" s="57" t="str">
        <x:v>Bloquear orientación de captura en retrato</x:v>
      </x:c>
      <x:c r="C1376" s="63" t="str">
        <x:v>R</x:v>
      </x:c>
      <x:c r="D1376" s="65" t="str">
        <x:f>IF('Detalle'!L669="","",'Detalle'!L669)</x:f>
      </x:c>
      <x:c r="E1376" s="60" t="str"/>
      <x:c r="F1376" s="32" t="str">
        <x:f>IF(OR('Detalle'!$J669="",'Detalle'!$K669="",'Detalle'!$L669=""),"",IF(AND(F$8&lt;='Detalle'!$K669,F$9&gt;='Detalle'!$J669),1,""))</x:f>
      </x:c>
      <x:c r="G1376" s="32" t="str">
        <x:f>IF(OR('Detalle'!$J669="",'Detalle'!$K669="",'Detalle'!$L669=""),"",IF(AND(G$8&lt;='Detalle'!$K669,G$9&gt;='Detalle'!$J669),1,""))</x:f>
      </x:c>
      <x:c r="H1376" s="32" t="str">
        <x:f>IF(OR('Detalle'!$J669="",'Detalle'!$K669="",'Detalle'!$L669=""),"",IF(AND(H$8&lt;='Detalle'!$K669,H$9&gt;='Detalle'!$J669),1,""))</x:f>
      </x:c>
      <x:c r="I1376" s="32" t="str">
        <x:f>IF(OR('Detalle'!$J669="",'Detalle'!$K669="",'Detalle'!$L669=""),"",IF(AND(I$8&lt;='Detalle'!$K669,I$9&gt;='Detalle'!$J669),1,""))</x:f>
      </x:c>
      <x:c r="J1376" s="32" t="str">
        <x:f>IF(OR('Detalle'!$J669="",'Detalle'!$K669="",'Detalle'!$L669=""),"",IF(AND(J$8&lt;='Detalle'!$K669,J$9&gt;='Detalle'!$J669),1,""))</x:f>
      </x:c>
      <x:c r="K1376" s="32" t="str">
        <x:f>IF(OR('Detalle'!$J669="",'Detalle'!$K669="",'Detalle'!$L669=""),"",IF(AND(K$8&lt;='Detalle'!$K669,K$9&gt;='Detalle'!$J669),1,""))</x:f>
      </x:c>
      <x:c r="L1376" s="32" t="str">
        <x:f>IF(OR('Detalle'!$J669="",'Detalle'!$K669="",'Detalle'!$L669=""),"",IF(AND(L$8&lt;='Detalle'!$K669,L$9&gt;='Detalle'!$J669),1,""))</x:f>
      </x:c>
      <x:c r="M1376" s="32" t="str">
        <x:f>IF(OR('Detalle'!$J669="",'Detalle'!$K669="",'Detalle'!$L669=""),"",IF(AND(M$8&lt;='Detalle'!$K669,M$9&gt;='Detalle'!$J669),1,""))</x:f>
      </x:c>
      <x:c r="N1376" s="32" t="str">
        <x:f>IF(OR('Detalle'!$J669="",'Detalle'!$K669="",'Detalle'!$L669=""),"",IF(AND(N$8&lt;='Detalle'!$K669,N$9&gt;='Detalle'!$J669),1,""))</x:f>
      </x:c>
      <x:c r="O1376" s="32" t="str">
        <x:f>IF(OR('Detalle'!$J669="",'Detalle'!$K669="",'Detalle'!$L669=""),"",IF(AND(O$8&lt;='Detalle'!$K669,O$9&gt;='Detalle'!$J669),1,""))</x:f>
      </x:c>
      <x:c r="P1376" s="32" t="str">
        <x:f>IF(OR('Detalle'!$J669="",'Detalle'!$K669="",'Detalle'!$L669=""),"",IF(AND(P$8&lt;='Detalle'!$K669,P$9&gt;='Detalle'!$J669),1,""))</x:f>
      </x:c>
      <x:c r="Q1376" s="68"/>
      <x:c r="R1376" s="67" t="str"/>
      <x:c r="S1376" s="67" t="str"/>
    </x:row>
    <x:row r="1377" ht="16" customHeight="1">
      <x:c r="A1377" s="56" t="str">
        <x:v>TOU03.003</x:v>
      </x:c>
      <x:c r="B1377" s="57" t="str">
        <x:v>Tomar JPEG de calibración</x:v>
      </x:c>
      <x:c r="C1377" s="62" t="str">
        <x:v>E</x:v>
      </x:c>
      <x:c r="D1377" s="64" t="n">
        <x:f>'Detalle'!I670</x:f>
        <x:v>1</x:v>
      </x:c>
      <x:c r="E1377" s="60" t="str">
        <x:f>'Detalle'!F670</x:f>
        <x:v>Completado</x:v>
      </x:c>
      <x:c r="F1377" s="32" t="str">
        <x:f>IF(AND(F$8&lt;='Detalle'!$H670,F$9&gt;='Detalle'!$G670),1,"")</x:f>
      </x:c>
      <x:c r="G1377" s="32" t="str">
        <x:f>IF(AND(G$8&lt;='Detalle'!$H670,G$9&gt;='Detalle'!$G670),1,"")</x:f>
      </x:c>
      <x:c r="H1377" s="32" t="str">
        <x:f>IF(AND(H$8&lt;='Detalle'!$H670,H$9&gt;='Detalle'!$G670),1,"")</x:f>
      </x:c>
      <x:c r="I1377" s="32" t="str">
        <x:f>IF(AND(I$8&lt;='Detalle'!$H670,I$9&gt;='Detalle'!$G670),1,"")</x:f>
      </x:c>
      <x:c r="J1377" s="32" t="n">
        <x:f>IF(AND(J$8&lt;='Detalle'!$H670,J$9&gt;='Detalle'!$G670),1,"")</x:f>
        <x:v>1</x:v>
      </x:c>
      <x:c r="K1377" s="32" t="str">
        <x:f>IF(AND(K$8&lt;='Detalle'!$H670,K$9&gt;='Detalle'!$G670),1,"")</x:f>
      </x:c>
      <x:c r="L1377" s="32" t="str">
        <x:f>IF(AND(L$8&lt;='Detalle'!$H670,L$9&gt;='Detalle'!$G670),1,"")</x:f>
      </x:c>
      <x:c r="M1377" s="32" t="str">
        <x:f>IF(AND(M$8&lt;='Detalle'!$H670,M$9&gt;='Detalle'!$G670),1,"")</x:f>
      </x:c>
      <x:c r="N1377" s="32" t="str">
        <x:f>IF(AND(N$8&lt;='Detalle'!$H670,N$9&gt;='Detalle'!$G670),1,"")</x:f>
      </x:c>
      <x:c r="O1377" s="32" t="str">
        <x:f>IF(AND(O$8&lt;='Detalle'!$H670,O$9&gt;='Detalle'!$G670),1,"")</x:f>
      </x:c>
      <x:c r="P1377" s="32" t="str">
        <x:f>IF(AND(P$8&lt;='Detalle'!$H670,P$9&gt;='Detalle'!$G670),1,"")</x:f>
      </x:c>
      <x:c r="Q1377" s="68"/>
      <x:c r="R1377" s="67" t="str">
        <x:f>IF('Detalle'!M670="","",'Detalle'!M670)</x:f>
      </x:c>
      <x:c r="S1377" s="67" t="str">
        <x:f>IF('Detalle'!N670="","",'Detalle'!N670)</x:f>
      </x:c>
    </x:row>
    <x:row r="1378" ht="16" customHeight="1">
      <x:c r="A1378" s="56" t="str">
        <x:v>TOU03.003</x:v>
      </x:c>
      <x:c r="B1378" s="57" t="str">
        <x:v>Tomar JPEG de calibración</x:v>
      </x:c>
      <x:c r="C1378" s="63" t="str">
        <x:v>R</x:v>
      </x:c>
      <x:c r="D1378" s="65" t="str">
        <x:f>IF('Detalle'!L670="","",'Detalle'!L670)</x:f>
      </x:c>
      <x:c r="E1378" s="60" t="str"/>
      <x:c r="F1378" s="32" t="str">
        <x:f>IF(OR('Detalle'!$J670="",'Detalle'!$K670="",'Detalle'!$L670=""),"",IF(AND(F$8&lt;='Detalle'!$K670,F$9&gt;='Detalle'!$J670),1,""))</x:f>
      </x:c>
      <x:c r="G1378" s="32" t="str">
        <x:f>IF(OR('Detalle'!$J670="",'Detalle'!$K670="",'Detalle'!$L670=""),"",IF(AND(G$8&lt;='Detalle'!$K670,G$9&gt;='Detalle'!$J670),1,""))</x:f>
      </x:c>
      <x:c r="H1378" s="32" t="str">
        <x:f>IF(OR('Detalle'!$J670="",'Detalle'!$K670="",'Detalle'!$L670=""),"",IF(AND(H$8&lt;='Detalle'!$K670,H$9&gt;='Detalle'!$J670),1,""))</x:f>
      </x:c>
      <x:c r="I1378" s="32" t="str">
        <x:f>IF(OR('Detalle'!$J670="",'Detalle'!$K670="",'Detalle'!$L670=""),"",IF(AND(I$8&lt;='Detalle'!$K670,I$9&gt;='Detalle'!$J670),1,""))</x:f>
      </x:c>
      <x:c r="J1378" s="32" t="str">
        <x:f>IF(OR('Detalle'!$J670="",'Detalle'!$K670="",'Detalle'!$L670=""),"",IF(AND(J$8&lt;='Detalle'!$K670,J$9&gt;='Detalle'!$J670),1,""))</x:f>
      </x:c>
      <x:c r="K1378" s="32" t="str">
        <x:f>IF(OR('Detalle'!$J670="",'Detalle'!$K670="",'Detalle'!$L670=""),"",IF(AND(K$8&lt;='Detalle'!$K670,K$9&gt;='Detalle'!$J670),1,""))</x:f>
      </x:c>
      <x:c r="L1378" s="32" t="str">
        <x:f>IF(OR('Detalle'!$J670="",'Detalle'!$K670="",'Detalle'!$L670=""),"",IF(AND(L$8&lt;='Detalle'!$K670,L$9&gt;='Detalle'!$J670),1,""))</x:f>
      </x:c>
      <x:c r="M1378" s="32" t="str">
        <x:f>IF(OR('Detalle'!$J670="",'Detalle'!$K670="",'Detalle'!$L670=""),"",IF(AND(M$8&lt;='Detalle'!$K670,M$9&gt;='Detalle'!$J670),1,""))</x:f>
      </x:c>
      <x:c r="N1378" s="32" t="str">
        <x:f>IF(OR('Detalle'!$J670="",'Detalle'!$K670="",'Detalle'!$L670=""),"",IF(AND(N$8&lt;='Detalle'!$K670,N$9&gt;='Detalle'!$J670),1,""))</x:f>
      </x:c>
      <x:c r="O1378" s="32" t="str">
        <x:f>IF(OR('Detalle'!$J670="",'Detalle'!$K670="",'Detalle'!$L670=""),"",IF(AND(O$8&lt;='Detalle'!$K670,O$9&gt;='Detalle'!$J670),1,""))</x:f>
      </x:c>
      <x:c r="P1378" s="32" t="str">
        <x:f>IF(OR('Detalle'!$J670="",'Detalle'!$K670="",'Detalle'!$L670=""),"",IF(AND(P$8&lt;='Detalle'!$K670,P$9&gt;='Detalle'!$J670),1,""))</x:f>
      </x:c>
      <x:c r="Q1378" s="68"/>
      <x:c r="R1378" s="67" t="str"/>
      <x:c r="S1378" s="67" t="str"/>
    </x:row>
    <x:row r="1379" ht="16" customHeight="1">
      <x:c r="A1379" s="56" t="str">
        <x:v>TOU03.004</x:v>
      </x:c>
      <x:c r="B1379" s="57" t="str">
        <x:v>Excluir calibración del conteo de tomas</x:v>
      </x:c>
      <x:c r="C1379" s="62" t="str">
        <x:v>E</x:v>
      </x:c>
      <x:c r="D1379" s="64" t="n">
        <x:f>'Detalle'!I671</x:f>
        <x:v>1</x:v>
      </x:c>
      <x:c r="E1379" s="60" t="str">
        <x:f>'Detalle'!F671</x:f>
        <x:v>Completado</x:v>
      </x:c>
      <x:c r="F1379" s="32" t="str">
        <x:f>IF(AND(F$8&lt;='Detalle'!$H671,F$9&gt;='Detalle'!$G671),1,"")</x:f>
      </x:c>
      <x:c r="G1379" s="32" t="str">
        <x:f>IF(AND(G$8&lt;='Detalle'!$H671,G$9&gt;='Detalle'!$G671),1,"")</x:f>
      </x:c>
      <x:c r="H1379" s="32" t="str">
        <x:f>IF(AND(H$8&lt;='Detalle'!$H671,H$9&gt;='Detalle'!$G671),1,"")</x:f>
      </x:c>
      <x:c r="I1379" s="32" t="str">
        <x:f>IF(AND(I$8&lt;='Detalle'!$H671,I$9&gt;='Detalle'!$G671),1,"")</x:f>
      </x:c>
      <x:c r="J1379" s="32" t="n">
        <x:f>IF(AND(J$8&lt;='Detalle'!$H671,J$9&gt;='Detalle'!$G671),1,"")</x:f>
        <x:v>1</x:v>
      </x:c>
      <x:c r="K1379" s="32" t="str">
        <x:f>IF(AND(K$8&lt;='Detalle'!$H671,K$9&gt;='Detalle'!$G671),1,"")</x:f>
      </x:c>
      <x:c r="L1379" s="32" t="str">
        <x:f>IF(AND(L$8&lt;='Detalle'!$H671,L$9&gt;='Detalle'!$G671),1,"")</x:f>
      </x:c>
      <x:c r="M1379" s="32" t="str">
        <x:f>IF(AND(M$8&lt;='Detalle'!$H671,M$9&gt;='Detalle'!$G671),1,"")</x:f>
      </x:c>
      <x:c r="N1379" s="32" t="str">
        <x:f>IF(AND(N$8&lt;='Detalle'!$H671,N$9&gt;='Detalle'!$G671),1,"")</x:f>
      </x:c>
      <x:c r="O1379" s="32" t="str">
        <x:f>IF(AND(O$8&lt;='Detalle'!$H671,O$9&gt;='Detalle'!$G671),1,"")</x:f>
      </x:c>
      <x:c r="P1379" s="32" t="str">
        <x:f>IF(AND(P$8&lt;='Detalle'!$H671,P$9&gt;='Detalle'!$G671),1,"")</x:f>
      </x:c>
      <x:c r="Q1379" s="68"/>
      <x:c r="R1379" s="67" t="str">
        <x:f>IF('Detalle'!M671="","",'Detalle'!M671)</x:f>
      </x:c>
      <x:c r="S1379" s="67" t="str">
        <x:f>IF('Detalle'!N671="","",'Detalle'!N671)</x:f>
      </x:c>
    </x:row>
    <x:row r="1380" ht="16" customHeight="1">
      <x:c r="A1380" s="56" t="str">
        <x:v>TOU03.004</x:v>
      </x:c>
      <x:c r="B1380" s="57" t="str">
        <x:v>Excluir calibración del conteo de tomas</x:v>
      </x:c>
      <x:c r="C1380" s="63" t="str">
        <x:v>R</x:v>
      </x:c>
      <x:c r="D1380" s="65" t="str">
        <x:f>IF('Detalle'!L671="","",'Detalle'!L671)</x:f>
      </x:c>
      <x:c r="E1380" s="60" t="str"/>
      <x:c r="F1380" s="32" t="str">
        <x:f>IF(OR('Detalle'!$J671="",'Detalle'!$K671="",'Detalle'!$L671=""),"",IF(AND(F$8&lt;='Detalle'!$K671,F$9&gt;='Detalle'!$J671),1,""))</x:f>
      </x:c>
      <x:c r="G1380" s="32" t="str">
        <x:f>IF(OR('Detalle'!$J671="",'Detalle'!$K671="",'Detalle'!$L671=""),"",IF(AND(G$8&lt;='Detalle'!$K671,G$9&gt;='Detalle'!$J671),1,""))</x:f>
      </x:c>
      <x:c r="H1380" s="32" t="str">
        <x:f>IF(OR('Detalle'!$J671="",'Detalle'!$K671="",'Detalle'!$L671=""),"",IF(AND(H$8&lt;='Detalle'!$K671,H$9&gt;='Detalle'!$J671),1,""))</x:f>
      </x:c>
      <x:c r="I1380" s="32" t="str">
        <x:f>IF(OR('Detalle'!$J671="",'Detalle'!$K671="",'Detalle'!$L671=""),"",IF(AND(I$8&lt;='Detalle'!$K671,I$9&gt;='Detalle'!$J671),1,""))</x:f>
      </x:c>
      <x:c r="J1380" s="32" t="str">
        <x:f>IF(OR('Detalle'!$J671="",'Detalle'!$K671="",'Detalle'!$L671=""),"",IF(AND(J$8&lt;='Detalle'!$K671,J$9&gt;='Detalle'!$J671),1,""))</x:f>
      </x:c>
      <x:c r="K1380" s="32" t="str">
        <x:f>IF(OR('Detalle'!$J671="",'Detalle'!$K671="",'Detalle'!$L671=""),"",IF(AND(K$8&lt;='Detalle'!$K671,K$9&gt;='Detalle'!$J671),1,""))</x:f>
      </x:c>
      <x:c r="L1380" s="32" t="str">
        <x:f>IF(OR('Detalle'!$J671="",'Detalle'!$K671="",'Detalle'!$L671=""),"",IF(AND(L$8&lt;='Detalle'!$K671,L$9&gt;='Detalle'!$J671),1,""))</x:f>
      </x:c>
      <x:c r="M1380" s="32" t="str">
        <x:f>IF(OR('Detalle'!$J671="",'Detalle'!$K671="",'Detalle'!$L671=""),"",IF(AND(M$8&lt;='Detalle'!$K671,M$9&gt;='Detalle'!$J671),1,""))</x:f>
      </x:c>
      <x:c r="N1380" s="32" t="str">
        <x:f>IF(OR('Detalle'!$J671="",'Detalle'!$K671="",'Detalle'!$L671=""),"",IF(AND(N$8&lt;='Detalle'!$K671,N$9&gt;='Detalle'!$J671),1,""))</x:f>
      </x:c>
      <x:c r="O1380" s="32" t="str">
        <x:f>IF(OR('Detalle'!$J671="",'Detalle'!$K671="",'Detalle'!$L671=""),"",IF(AND(O$8&lt;='Detalle'!$K671,O$9&gt;='Detalle'!$J671),1,""))</x:f>
      </x:c>
      <x:c r="P1380" s="32" t="str">
        <x:f>IF(OR('Detalle'!$J671="",'Detalle'!$K671="",'Detalle'!$L671=""),"",IF(AND(P$8&lt;='Detalle'!$K671,P$9&gt;='Detalle'!$J671),1,""))</x:f>
      </x:c>
      <x:c r="Q1380" s="68"/>
      <x:c r="R1380" s="67" t="str"/>
      <x:c r="S1380" s="67" t="str"/>
    </x:row>
    <x:row r="1381" ht="16" customHeight="1">
      <x:c r="A1381" s="56" t="str">
        <x:v>TOU03.005</x:v>
      </x:c>
      <x:c r="B1381" s="57" t="str">
        <x:v>Consultar FOV nativo de la cámara</x:v>
      </x:c>
      <x:c r="C1381" s="62" t="str">
        <x:v>E</x:v>
      </x:c>
      <x:c r="D1381" s="64" t="n">
        <x:f>'Detalle'!I672</x:f>
        <x:v>1</x:v>
      </x:c>
      <x:c r="E1381" s="60" t="str">
        <x:f>'Detalle'!F672</x:f>
        <x:v>Completado</x:v>
      </x:c>
      <x:c r="F1381" s="32" t="str">
        <x:f>IF(AND(F$8&lt;='Detalle'!$H672,F$9&gt;='Detalle'!$G672),1,"")</x:f>
      </x:c>
      <x:c r="G1381" s="32" t="str">
        <x:f>IF(AND(G$8&lt;='Detalle'!$H672,G$9&gt;='Detalle'!$G672),1,"")</x:f>
      </x:c>
      <x:c r="H1381" s="32" t="str">
        <x:f>IF(AND(H$8&lt;='Detalle'!$H672,H$9&gt;='Detalle'!$G672),1,"")</x:f>
      </x:c>
      <x:c r="I1381" s="32" t="str">
        <x:f>IF(AND(I$8&lt;='Detalle'!$H672,I$9&gt;='Detalle'!$G672),1,"")</x:f>
      </x:c>
      <x:c r="J1381" s="32" t="n">
        <x:f>IF(AND(J$8&lt;='Detalle'!$H672,J$9&gt;='Detalle'!$G672),1,"")</x:f>
        <x:v>1</x:v>
      </x:c>
      <x:c r="K1381" s="32" t="str">
        <x:f>IF(AND(K$8&lt;='Detalle'!$H672,K$9&gt;='Detalle'!$G672),1,"")</x:f>
      </x:c>
      <x:c r="L1381" s="32" t="str">
        <x:f>IF(AND(L$8&lt;='Detalle'!$H672,L$9&gt;='Detalle'!$G672),1,"")</x:f>
      </x:c>
      <x:c r="M1381" s="32" t="str">
        <x:f>IF(AND(M$8&lt;='Detalle'!$H672,M$9&gt;='Detalle'!$G672),1,"")</x:f>
      </x:c>
      <x:c r="N1381" s="32" t="str">
        <x:f>IF(AND(N$8&lt;='Detalle'!$H672,N$9&gt;='Detalle'!$G672),1,"")</x:f>
      </x:c>
      <x:c r="O1381" s="32" t="str">
        <x:f>IF(AND(O$8&lt;='Detalle'!$H672,O$9&gt;='Detalle'!$G672),1,"")</x:f>
      </x:c>
      <x:c r="P1381" s="32" t="str">
        <x:f>IF(AND(P$8&lt;='Detalle'!$H672,P$9&gt;='Detalle'!$G672),1,"")</x:f>
      </x:c>
      <x:c r="Q1381" s="68"/>
      <x:c r="R1381" s="67" t="str">
        <x:f>IF('Detalle'!M672="","",'Detalle'!M672)</x:f>
      </x:c>
      <x:c r="S1381" s="67" t="str">
        <x:f>IF('Detalle'!N672="","",'Detalle'!N672)</x:f>
      </x:c>
    </x:row>
    <x:row r="1382" ht="16" customHeight="1">
      <x:c r="A1382" s="56" t="str">
        <x:v>TOU03.005</x:v>
      </x:c>
      <x:c r="B1382" s="57" t="str">
        <x:v>Consultar FOV nativo de la cámara</x:v>
      </x:c>
      <x:c r="C1382" s="63" t="str">
        <x:v>R</x:v>
      </x:c>
      <x:c r="D1382" s="65" t="str">
        <x:f>IF('Detalle'!L672="","",'Detalle'!L672)</x:f>
      </x:c>
      <x:c r="E1382" s="60" t="str"/>
      <x:c r="F1382" s="32" t="str">
        <x:f>IF(OR('Detalle'!$J672="",'Detalle'!$K672="",'Detalle'!$L672=""),"",IF(AND(F$8&lt;='Detalle'!$K672,F$9&gt;='Detalle'!$J672),1,""))</x:f>
      </x:c>
      <x:c r="G1382" s="32" t="str">
        <x:f>IF(OR('Detalle'!$J672="",'Detalle'!$K672="",'Detalle'!$L672=""),"",IF(AND(G$8&lt;='Detalle'!$K672,G$9&gt;='Detalle'!$J672),1,""))</x:f>
      </x:c>
      <x:c r="H1382" s="32" t="str">
        <x:f>IF(OR('Detalle'!$J672="",'Detalle'!$K672="",'Detalle'!$L672=""),"",IF(AND(H$8&lt;='Detalle'!$K672,H$9&gt;='Detalle'!$J672),1,""))</x:f>
      </x:c>
      <x:c r="I1382" s="32" t="str">
        <x:f>IF(OR('Detalle'!$J672="",'Detalle'!$K672="",'Detalle'!$L672=""),"",IF(AND(I$8&lt;='Detalle'!$K672,I$9&gt;='Detalle'!$J672),1,""))</x:f>
      </x:c>
      <x:c r="J1382" s="32" t="str">
        <x:f>IF(OR('Detalle'!$J672="",'Detalle'!$K672="",'Detalle'!$L672=""),"",IF(AND(J$8&lt;='Detalle'!$K672,J$9&gt;='Detalle'!$J672),1,""))</x:f>
      </x:c>
      <x:c r="K1382" s="32" t="str">
        <x:f>IF(OR('Detalle'!$J672="",'Detalle'!$K672="",'Detalle'!$L672=""),"",IF(AND(K$8&lt;='Detalle'!$K672,K$9&gt;='Detalle'!$J672),1,""))</x:f>
      </x:c>
      <x:c r="L1382" s="32" t="str">
        <x:f>IF(OR('Detalle'!$J672="",'Detalle'!$K672="",'Detalle'!$L672=""),"",IF(AND(L$8&lt;='Detalle'!$K672,L$9&gt;='Detalle'!$J672),1,""))</x:f>
      </x:c>
      <x:c r="M1382" s="32" t="str">
        <x:f>IF(OR('Detalle'!$J672="",'Detalle'!$K672="",'Detalle'!$L672=""),"",IF(AND(M$8&lt;='Detalle'!$K672,M$9&gt;='Detalle'!$J672),1,""))</x:f>
      </x:c>
      <x:c r="N1382" s="32" t="str">
        <x:f>IF(OR('Detalle'!$J672="",'Detalle'!$K672="",'Detalle'!$L672=""),"",IF(AND(N$8&lt;='Detalle'!$K672,N$9&gt;='Detalle'!$J672),1,""))</x:f>
      </x:c>
      <x:c r="O1382" s="32" t="str">
        <x:f>IF(OR('Detalle'!$J672="",'Detalle'!$K672="",'Detalle'!$L672=""),"",IF(AND(O$8&lt;='Detalle'!$K672,O$9&gt;='Detalle'!$J672),1,""))</x:f>
      </x:c>
      <x:c r="P1382" s="32" t="str">
        <x:f>IF(OR('Detalle'!$J672="",'Detalle'!$K672="",'Detalle'!$L672=""),"",IF(AND(P$8&lt;='Detalle'!$K672,P$9&gt;='Detalle'!$J672),1,""))</x:f>
      </x:c>
      <x:c r="Q1382" s="68"/>
      <x:c r="R1382" s="67" t="str"/>
      <x:c r="S1382" s="67" t="str"/>
    </x:row>
    <x:row r="1383" ht="16" customHeight="1">
      <x:c r="A1383" s="56" t="str">
        <x:v>TOU03.006</x:v>
      </x:c>
      <x:c r="B1383" s="57" t="str">
        <x:v>Crear objetivos según FOV</x:v>
      </x:c>
      <x:c r="C1383" s="62" t="str">
        <x:v>E</x:v>
      </x:c>
      <x:c r="D1383" s="64" t="n">
        <x:f>'Detalle'!I673</x:f>
        <x:v>1</x:v>
      </x:c>
      <x:c r="E1383" s="60" t="str">
        <x:f>'Detalle'!F673</x:f>
        <x:v>Completado</x:v>
      </x:c>
      <x:c r="F1383" s="32" t="str">
        <x:f>IF(AND(F$8&lt;='Detalle'!$H673,F$9&gt;='Detalle'!$G673),1,"")</x:f>
      </x:c>
      <x:c r="G1383" s="32" t="str">
        <x:f>IF(AND(G$8&lt;='Detalle'!$H673,G$9&gt;='Detalle'!$G673),1,"")</x:f>
      </x:c>
      <x:c r="H1383" s="32" t="str">
        <x:f>IF(AND(H$8&lt;='Detalle'!$H673,H$9&gt;='Detalle'!$G673),1,"")</x:f>
      </x:c>
      <x:c r="I1383" s="32" t="str">
        <x:f>IF(AND(I$8&lt;='Detalle'!$H673,I$9&gt;='Detalle'!$G673),1,"")</x:f>
      </x:c>
      <x:c r="J1383" s="32" t="n">
        <x:f>IF(AND(J$8&lt;='Detalle'!$H673,J$9&gt;='Detalle'!$G673),1,"")</x:f>
        <x:v>1</x:v>
      </x:c>
      <x:c r="K1383" s="32" t="str">
        <x:f>IF(AND(K$8&lt;='Detalle'!$H673,K$9&gt;='Detalle'!$G673),1,"")</x:f>
      </x:c>
      <x:c r="L1383" s="32" t="str">
        <x:f>IF(AND(L$8&lt;='Detalle'!$H673,L$9&gt;='Detalle'!$G673),1,"")</x:f>
      </x:c>
      <x:c r="M1383" s="32" t="str">
        <x:f>IF(AND(M$8&lt;='Detalle'!$H673,M$9&gt;='Detalle'!$G673),1,"")</x:f>
      </x:c>
      <x:c r="N1383" s="32" t="str">
        <x:f>IF(AND(N$8&lt;='Detalle'!$H673,N$9&gt;='Detalle'!$G673),1,"")</x:f>
      </x:c>
      <x:c r="O1383" s="32" t="str">
        <x:f>IF(AND(O$8&lt;='Detalle'!$H673,O$9&gt;='Detalle'!$G673),1,"")</x:f>
      </x:c>
      <x:c r="P1383" s="32" t="str">
        <x:f>IF(AND(P$8&lt;='Detalle'!$H673,P$9&gt;='Detalle'!$G673),1,"")</x:f>
      </x:c>
      <x:c r="Q1383" s="68"/>
      <x:c r="R1383" s="67" t="str">
        <x:f>IF('Detalle'!M673="","",'Detalle'!M673)</x:f>
      </x:c>
      <x:c r="S1383" s="67" t="str">
        <x:f>IF('Detalle'!N673="","",'Detalle'!N673)</x:f>
      </x:c>
    </x:row>
    <x:row r="1384" ht="16" customHeight="1">
      <x:c r="A1384" s="56" t="str">
        <x:v>TOU03.006</x:v>
      </x:c>
      <x:c r="B1384" s="57" t="str">
        <x:v>Crear objetivos según FOV</x:v>
      </x:c>
      <x:c r="C1384" s="63" t="str">
        <x:v>R</x:v>
      </x:c>
      <x:c r="D1384" s="65" t="str">
        <x:f>IF('Detalle'!L673="","",'Detalle'!L673)</x:f>
      </x:c>
      <x:c r="E1384" s="60" t="str"/>
      <x:c r="F1384" s="32" t="str">
        <x:f>IF(OR('Detalle'!$J673="",'Detalle'!$K673="",'Detalle'!$L673=""),"",IF(AND(F$8&lt;='Detalle'!$K673,F$9&gt;='Detalle'!$J673),1,""))</x:f>
      </x:c>
      <x:c r="G1384" s="32" t="str">
        <x:f>IF(OR('Detalle'!$J673="",'Detalle'!$K673="",'Detalle'!$L673=""),"",IF(AND(G$8&lt;='Detalle'!$K673,G$9&gt;='Detalle'!$J673),1,""))</x:f>
      </x:c>
      <x:c r="H1384" s="32" t="str">
        <x:f>IF(OR('Detalle'!$J673="",'Detalle'!$K673="",'Detalle'!$L673=""),"",IF(AND(H$8&lt;='Detalle'!$K673,H$9&gt;='Detalle'!$J673),1,""))</x:f>
      </x:c>
      <x:c r="I1384" s="32" t="str">
        <x:f>IF(OR('Detalle'!$J673="",'Detalle'!$K673="",'Detalle'!$L673=""),"",IF(AND(I$8&lt;='Detalle'!$K673,I$9&gt;='Detalle'!$J673),1,""))</x:f>
      </x:c>
      <x:c r="J1384" s="32" t="str">
        <x:f>IF(OR('Detalle'!$J673="",'Detalle'!$K673="",'Detalle'!$L673=""),"",IF(AND(J$8&lt;='Detalle'!$K673,J$9&gt;='Detalle'!$J673),1,""))</x:f>
      </x:c>
      <x:c r="K1384" s="32" t="str">
        <x:f>IF(OR('Detalle'!$J673="",'Detalle'!$K673="",'Detalle'!$L673=""),"",IF(AND(K$8&lt;='Detalle'!$K673,K$9&gt;='Detalle'!$J673),1,""))</x:f>
      </x:c>
      <x:c r="L1384" s="32" t="str">
        <x:f>IF(OR('Detalle'!$J673="",'Detalle'!$K673="",'Detalle'!$L673=""),"",IF(AND(L$8&lt;='Detalle'!$K673,L$9&gt;='Detalle'!$J673),1,""))</x:f>
      </x:c>
      <x:c r="M1384" s="32" t="str">
        <x:f>IF(OR('Detalle'!$J673="",'Detalle'!$K673="",'Detalle'!$L673=""),"",IF(AND(M$8&lt;='Detalle'!$K673,M$9&gt;='Detalle'!$J673),1,""))</x:f>
      </x:c>
      <x:c r="N1384" s="32" t="str">
        <x:f>IF(OR('Detalle'!$J673="",'Detalle'!$K673="",'Detalle'!$L673=""),"",IF(AND(N$8&lt;='Detalle'!$K673,N$9&gt;='Detalle'!$J673),1,""))</x:f>
      </x:c>
      <x:c r="O1384" s="32" t="str">
        <x:f>IF(OR('Detalle'!$J673="",'Detalle'!$K673="",'Detalle'!$L673=""),"",IF(AND(O$8&lt;='Detalle'!$K673,O$9&gt;='Detalle'!$J673),1,""))</x:f>
      </x:c>
      <x:c r="P1384" s="32" t="str">
        <x:f>IF(OR('Detalle'!$J673="",'Detalle'!$K673="",'Detalle'!$L673=""),"",IF(AND(P$8&lt;='Detalle'!$K673,P$9&gt;='Detalle'!$J673),1,""))</x:f>
      </x:c>
      <x:c r="Q1384" s="68"/>
      <x:c r="R1384" s="67" t="str"/>
      <x:c r="S1384" s="67" t="str"/>
    </x:row>
    <x:row r="1385" ht="16" customHeight="1">
      <x:c r="A1385" s="56" t="str">
        <x:v>TOU03.007</x:v>
      </x:c>
      <x:c r="B1385" s="57" t="str">
        <x:v>Agregar objetivos de cenit y nadir</x:v>
      </x:c>
      <x:c r="C1385" s="62" t="str">
        <x:v>E</x:v>
      </x:c>
      <x:c r="D1385" s="64" t="n">
        <x:f>'Detalle'!I674</x:f>
        <x:v>1</x:v>
      </x:c>
      <x:c r="E1385" s="60" t="str">
        <x:f>'Detalle'!F674</x:f>
        <x:v>Completado</x:v>
      </x:c>
      <x:c r="F1385" s="32" t="str">
        <x:f>IF(AND(F$8&lt;='Detalle'!$H674,F$9&gt;='Detalle'!$G674),1,"")</x:f>
      </x:c>
      <x:c r="G1385" s="32" t="str">
        <x:f>IF(AND(G$8&lt;='Detalle'!$H674,G$9&gt;='Detalle'!$G674),1,"")</x:f>
      </x:c>
      <x:c r="H1385" s="32" t="str">
        <x:f>IF(AND(H$8&lt;='Detalle'!$H674,H$9&gt;='Detalle'!$G674),1,"")</x:f>
      </x:c>
      <x:c r="I1385" s="32" t="str">
        <x:f>IF(AND(I$8&lt;='Detalle'!$H674,I$9&gt;='Detalle'!$G674),1,"")</x:f>
      </x:c>
      <x:c r="J1385" s="32" t="n">
        <x:f>IF(AND(J$8&lt;='Detalle'!$H674,J$9&gt;='Detalle'!$G674),1,"")</x:f>
        <x:v>1</x:v>
      </x:c>
      <x:c r="K1385" s="32" t="str">
        <x:f>IF(AND(K$8&lt;='Detalle'!$H674,K$9&gt;='Detalle'!$G674),1,"")</x:f>
      </x:c>
      <x:c r="L1385" s="32" t="str">
        <x:f>IF(AND(L$8&lt;='Detalle'!$H674,L$9&gt;='Detalle'!$G674),1,"")</x:f>
      </x:c>
      <x:c r="M1385" s="32" t="str">
        <x:f>IF(AND(M$8&lt;='Detalle'!$H674,M$9&gt;='Detalle'!$G674),1,"")</x:f>
      </x:c>
      <x:c r="N1385" s="32" t="str">
        <x:f>IF(AND(N$8&lt;='Detalle'!$H674,N$9&gt;='Detalle'!$G674),1,"")</x:f>
      </x:c>
      <x:c r="O1385" s="32" t="str">
        <x:f>IF(AND(O$8&lt;='Detalle'!$H674,O$9&gt;='Detalle'!$G674),1,"")</x:f>
      </x:c>
      <x:c r="P1385" s="32" t="str">
        <x:f>IF(AND(P$8&lt;='Detalle'!$H674,P$9&gt;='Detalle'!$G674),1,"")</x:f>
      </x:c>
      <x:c r="Q1385" s="68"/>
      <x:c r="R1385" s="67" t="str">
        <x:f>IF('Detalle'!M674="","",'Detalle'!M674)</x:f>
      </x:c>
      <x:c r="S1385" s="67" t="str">
        <x:f>IF('Detalle'!N674="","",'Detalle'!N674)</x:f>
      </x:c>
    </x:row>
    <x:row r="1386" ht="16" customHeight="1">
      <x:c r="A1386" s="56" t="str">
        <x:v>TOU03.007</x:v>
      </x:c>
      <x:c r="B1386" s="57" t="str">
        <x:v>Agregar objetivos de cenit y nadir</x:v>
      </x:c>
      <x:c r="C1386" s="63" t="str">
        <x:v>R</x:v>
      </x:c>
      <x:c r="D1386" s="65" t="str">
        <x:f>IF('Detalle'!L674="","",'Detalle'!L674)</x:f>
      </x:c>
      <x:c r="E1386" s="60" t="str"/>
      <x:c r="F1386" s="32" t="str">
        <x:f>IF(OR('Detalle'!$J674="",'Detalle'!$K674="",'Detalle'!$L674=""),"",IF(AND(F$8&lt;='Detalle'!$K674,F$9&gt;='Detalle'!$J674),1,""))</x:f>
      </x:c>
      <x:c r="G1386" s="32" t="str">
        <x:f>IF(OR('Detalle'!$J674="",'Detalle'!$K674="",'Detalle'!$L674=""),"",IF(AND(G$8&lt;='Detalle'!$K674,G$9&gt;='Detalle'!$J674),1,""))</x:f>
      </x:c>
      <x:c r="H1386" s="32" t="str">
        <x:f>IF(OR('Detalle'!$J674="",'Detalle'!$K674="",'Detalle'!$L674=""),"",IF(AND(H$8&lt;='Detalle'!$K674,H$9&gt;='Detalle'!$J674),1,""))</x:f>
      </x:c>
      <x:c r="I1386" s="32" t="str">
        <x:f>IF(OR('Detalle'!$J674="",'Detalle'!$K674="",'Detalle'!$L674=""),"",IF(AND(I$8&lt;='Detalle'!$K674,I$9&gt;='Detalle'!$J674),1,""))</x:f>
      </x:c>
      <x:c r="J1386" s="32" t="str">
        <x:f>IF(OR('Detalle'!$J674="",'Detalle'!$K674="",'Detalle'!$L674=""),"",IF(AND(J$8&lt;='Detalle'!$K674,J$9&gt;='Detalle'!$J674),1,""))</x:f>
      </x:c>
      <x:c r="K1386" s="32" t="str">
        <x:f>IF(OR('Detalle'!$J674="",'Detalle'!$K674="",'Detalle'!$L674=""),"",IF(AND(K$8&lt;='Detalle'!$K674,K$9&gt;='Detalle'!$J674),1,""))</x:f>
      </x:c>
      <x:c r="L1386" s="32" t="str">
        <x:f>IF(OR('Detalle'!$J674="",'Detalle'!$K674="",'Detalle'!$L674=""),"",IF(AND(L$8&lt;='Detalle'!$K674,L$9&gt;='Detalle'!$J674),1,""))</x:f>
      </x:c>
      <x:c r="M1386" s="32" t="str">
        <x:f>IF(OR('Detalle'!$J674="",'Detalle'!$K674="",'Detalle'!$L674=""),"",IF(AND(M$8&lt;='Detalle'!$K674,M$9&gt;='Detalle'!$J674),1,""))</x:f>
      </x:c>
      <x:c r="N1386" s="32" t="str">
        <x:f>IF(OR('Detalle'!$J674="",'Detalle'!$K674="",'Detalle'!$L674=""),"",IF(AND(N$8&lt;='Detalle'!$K674,N$9&gt;='Detalle'!$J674),1,""))</x:f>
      </x:c>
      <x:c r="O1386" s="32" t="str">
        <x:f>IF(OR('Detalle'!$J674="",'Detalle'!$K674="",'Detalle'!$L674=""),"",IF(AND(O$8&lt;='Detalle'!$K674,O$9&gt;='Detalle'!$J674),1,""))</x:f>
      </x:c>
      <x:c r="P1386" s="32" t="str">
        <x:f>IF(OR('Detalle'!$J674="",'Detalle'!$K674="",'Detalle'!$L674=""),"",IF(AND(P$8&lt;='Detalle'!$K674,P$9&gt;='Detalle'!$J674),1,""))</x:f>
      </x:c>
      <x:c r="Q1386" s="68"/>
      <x:c r="R1386" s="67" t="str"/>
      <x:c r="S1386" s="67" t="str"/>
    </x:row>
    <x:row r="1387" ht="16" customHeight="1">
      <x:c r="A1387" s="56" t="str">
        <x:v>TOU03.008</x:v>
      </x:c>
      <x:c r="B1387" s="57" t="str">
        <x:v>Mostrar objetivo y estabilidad</x:v>
      </x:c>
      <x:c r="C1387" s="62" t="str">
        <x:v>E</x:v>
      </x:c>
      <x:c r="D1387" s="64" t="n">
        <x:f>'Detalle'!I675</x:f>
        <x:v>1</x:v>
      </x:c>
      <x:c r="E1387" s="60" t="str">
        <x:f>'Detalle'!F675</x:f>
        <x:v>Completado</x:v>
      </x:c>
      <x:c r="F1387" s="32" t="str">
        <x:f>IF(AND(F$8&lt;='Detalle'!$H675,F$9&gt;='Detalle'!$G675),1,"")</x:f>
      </x:c>
      <x:c r="G1387" s="32" t="str">
        <x:f>IF(AND(G$8&lt;='Detalle'!$H675,G$9&gt;='Detalle'!$G675),1,"")</x:f>
      </x:c>
      <x:c r="H1387" s="32" t="str">
        <x:f>IF(AND(H$8&lt;='Detalle'!$H675,H$9&gt;='Detalle'!$G675),1,"")</x:f>
      </x:c>
      <x:c r="I1387" s="32" t="str">
        <x:f>IF(AND(I$8&lt;='Detalle'!$H675,I$9&gt;='Detalle'!$G675),1,"")</x:f>
      </x:c>
      <x:c r="J1387" s="32" t="n">
        <x:f>IF(AND(J$8&lt;='Detalle'!$H675,J$9&gt;='Detalle'!$G675),1,"")</x:f>
        <x:v>1</x:v>
      </x:c>
      <x:c r="K1387" s="32" t="str">
        <x:f>IF(AND(K$8&lt;='Detalle'!$H675,K$9&gt;='Detalle'!$G675),1,"")</x:f>
      </x:c>
      <x:c r="L1387" s="32" t="str">
        <x:f>IF(AND(L$8&lt;='Detalle'!$H675,L$9&gt;='Detalle'!$G675),1,"")</x:f>
      </x:c>
      <x:c r="M1387" s="32" t="str">
        <x:f>IF(AND(M$8&lt;='Detalle'!$H675,M$9&gt;='Detalle'!$G675),1,"")</x:f>
      </x:c>
      <x:c r="N1387" s="32" t="str">
        <x:f>IF(AND(N$8&lt;='Detalle'!$H675,N$9&gt;='Detalle'!$G675),1,"")</x:f>
      </x:c>
      <x:c r="O1387" s="32" t="str">
        <x:f>IF(AND(O$8&lt;='Detalle'!$H675,O$9&gt;='Detalle'!$G675),1,"")</x:f>
      </x:c>
      <x:c r="P1387" s="32" t="str">
        <x:f>IF(AND(P$8&lt;='Detalle'!$H675,P$9&gt;='Detalle'!$G675),1,"")</x:f>
      </x:c>
      <x:c r="Q1387" s="68"/>
      <x:c r="R1387" s="67" t="str">
        <x:f>IF('Detalle'!M675="","",'Detalle'!M675)</x:f>
      </x:c>
      <x:c r="S1387" s="67" t="str">
        <x:f>IF('Detalle'!N675="","",'Detalle'!N675)</x:f>
      </x:c>
    </x:row>
    <x:row r="1388" ht="16" customHeight="1">
      <x:c r="A1388" s="56" t="str">
        <x:v>TOU03.008</x:v>
      </x:c>
      <x:c r="B1388" s="57" t="str">
        <x:v>Mostrar objetivo y estabilidad</x:v>
      </x:c>
      <x:c r="C1388" s="63" t="str">
        <x:v>R</x:v>
      </x:c>
      <x:c r="D1388" s="65" t="str">
        <x:f>IF('Detalle'!L675="","",'Detalle'!L675)</x:f>
      </x:c>
      <x:c r="E1388" s="60" t="str"/>
      <x:c r="F1388" s="32" t="str">
        <x:f>IF(OR('Detalle'!$J675="",'Detalle'!$K675="",'Detalle'!$L675=""),"",IF(AND(F$8&lt;='Detalle'!$K675,F$9&gt;='Detalle'!$J675),1,""))</x:f>
      </x:c>
      <x:c r="G1388" s="32" t="str">
        <x:f>IF(OR('Detalle'!$J675="",'Detalle'!$K675="",'Detalle'!$L675=""),"",IF(AND(G$8&lt;='Detalle'!$K675,G$9&gt;='Detalle'!$J675),1,""))</x:f>
      </x:c>
      <x:c r="H1388" s="32" t="str">
        <x:f>IF(OR('Detalle'!$J675="",'Detalle'!$K675="",'Detalle'!$L675=""),"",IF(AND(H$8&lt;='Detalle'!$K675,H$9&gt;='Detalle'!$J675),1,""))</x:f>
      </x:c>
      <x:c r="I1388" s="32" t="str">
        <x:f>IF(OR('Detalle'!$J675="",'Detalle'!$K675="",'Detalle'!$L675=""),"",IF(AND(I$8&lt;='Detalle'!$K675,I$9&gt;='Detalle'!$J675),1,""))</x:f>
      </x:c>
      <x:c r="J1388" s="32" t="str">
        <x:f>IF(OR('Detalle'!$J675="",'Detalle'!$K675="",'Detalle'!$L675=""),"",IF(AND(J$8&lt;='Detalle'!$K675,J$9&gt;='Detalle'!$J675),1,""))</x:f>
      </x:c>
      <x:c r="K1388" s="32" t="str">
        <x:f>IF(OR('Detalle'!$J675="",'Detalle'!$K675="",'Detalle'!$L675=""),"",IF(AND(K$8&lt;='Detalle'!$K675,K$9&gt;='Detalle'!$J675),1,""))</x:f>
      </x:c>
      <x:c r="L1388" s="32" t="str">
        <x:f>IF(OR('Detalle'!$J675="",'Detalle'!$K675="",'Detalle'!$L675=""),"",IF(AND(L$8&lt;='Detalle'!$K675,L$9&gt;='Detalle'!$J675),1,""))</x:f>
      </x:c>
      <x:c r="M1388" s="32" t="str">
        <x:f>IF(OR('Detalle'!$J675="",'Detalle'!$K675="",'Detalle'!$L675=""),"",IF(AND(M$8&lt;='Detalle'!$K675,M$9&gt;='Detalle'!$J675),1,""))</x:f>
      </x:c>
      <x:c r="N1388" s="32" t="str">
        <x:f>IF(OR('Detalle'!$J675="",'Detalle'!$K675="",'Detalle'!$L675=""),"",IF(AND(N$8&lt;='Detalle'!$K675,N$9&gt;='Detalle'!$J675),1,""))</x:f>
      </x:c>
      <x:c r="O1388" s="32" t="str">
        <x:f>IF(OR('Detalle'!$J675="",'Detalle'!$K675="",'Detalle'!$L675=""),"",IF(AND(O$8&lt;='Detalle'!$K675,O$9&gt;='Detalle'!$J675),1,""))</x:f>
      </x:c>
      <x:c r="P1388" s="32" t="str">
        <x:f>IF(OR('Detalle'!$J675="",'Detalle'!$K675="",'Detalle'!$L675=""),"",IF(AND(P$8&lt;='Detalle'!$K675,P$9&gt;='Detalle'!$J675),1,""))</x:f>
      </x:c>
      <x:c r="Q1388" s="68"/>
      <x:c r="R1388" s="67" t="str"/>
      <x:c r="S1388" s="67" t="str"/>
    </x:row>
    <x:row r="1389" ht="16" customHeight="1">
      <x:c r="A1389" s="56" t="str">
        <x:v>TOU03.009</x:v>
      </x:c>
      <x:c r="B1389" s="57" t="str">
        <x:v>Aceptar y contar tomas confirmadas</x:v>
      </x:c>
      <x:c r="C1389" s="62" t="str">
        <x:v>E</x:v>
      </x:c>
      <x:c r="D1389" s="64" t="n">
        <x:f>'Detalle'!I676</x:f>
        <x:v>1</x:v>
      </x:c>
      <x:c r="E1389" s="60" t="str">
        <x:f>'Detalle'!F676</x:f>
        <x:v>Completado</x:v>
      </x:c>
      <x:c r="F1389" s="32" t="str">
        <x:f>IF(AND(F$8&lt;='Detalle'!$H676,F$9&gt;='Detalle'!$G676),1,"")</x:f>
      </x:c>
      <x:c r="G1389" s="32" t="str">
        <x:f>IF(AND(G$8&lt;='Detalle'!$H676,G$9&gt;='Detalle'!$G676),1,"")</x:f>
      </x:c>
      <x:c r="H1389" s="32" t="str">
        <x:f>IF(AND(H$8&lt;='Detalle'!$H676,H$9&gt;='Detalle'!$G676),1,"")</x:f>
      </x:c>
      <x:c r="I1389" s="32" t="str">
        <x:f>IF(AND(I$8&lt;='Detalle'!$H676,I$9&gt;='Detalle'!$G676),1,"")</x:f>
      </x:c>
      <x:c r="J1389" s="32" t="n">
        <x:f>IF(AND(J$8&lt;='Detalle'!$H676,J$9&gt;='Detalle'!$G676),1,"")</x:f>
        <x:v>1</x:v>
      </x:c>
      <x:c r="K1389" s="32" t="str">
        <x:f>IF(AND(K$8&lt;='Detalle'!$H676,K$9&gt;='Detalle'!$G676),1,"")</x:f>
      </x:c>
      <x:c r="L1389" s="32" t="str">
        <x:f>IF(AND(L$8&lt;='Detalle'!$H676,L$9&gt;='Detalle'!$G676),1,"")</x:f>
      </x:c>
      <x:c r="M1389" s="32" t="str">
        <x:f>IF(AND(M$8&lt;='Detalle'!$H676,M$9&gt;='Detalle'!$G676),1,"")</x:f>
      </x:c>
      <x:c r="N1389" s="32" t="str">
        <x:f>IF(AND(N$8&lt;='Detalle'!$H676,N$9&gt;='Detalle'!$G676),1,"")</x:f>
      </x:c>
      <x:c r="O1389" s="32" t="str">
        <x:f>IF(AND(O$8&lt;='Detalle'!$H676,O$9&gt;='Detalle'!$G676),1,"")</x:f>
      </x:c>
      <x:c r="P1389" s="32" t="str">
        <x:f>IF(AND(P$8&lt;='Detalle'!$H676,P$9&gt;='Detalle'!$G676),1,"")</x:f>
      </x:c>
      <x:c r="Q1389" s="68"/>
      <x:c r="R1389" s="67" t="str">
        <x:f>IF('Detalle'!M676="","",'Detalle'!M676)</x:f>
      </x:c>
      <x:c r="S1389" s="67" t="str">
        <x:f>IF('Detalle'!N676="","",'Detalle'!N676)</x:f>
      </x:c>
    </x:row>
    <x:row r="1390" ht="16" customHeight="1">
      <x:c r="A1390" s="56" t="str">
        <x:v>TOU03.009</x:v>
      </x:c>
      <x:c r="B1390" s="57" t="str">
        <x:v>Aceptar y contar tomas confirmadas</x:v>
      </x:c>
      <x:c r="C1390" s="63" t="str">
        <x:v>R</x:v>
      </x:c>
      <x:c r="D1390" s="65" t="str">
        <x:f>IF('Detalle'!L676="","",'Detalle'!L676)</x:f>
      </x:c>
      <x:c r="E1390" s="60" t="str"/>
      <x:c r="F1390" s="32" t="str">
        <x:f>IF(OR('Detalle'!$J676="",'Detalle'!$K676="",'Detalle'!$L676=""),"",IF(AND(F$8&lt;='Detalle'!$K676,F$9&gt;='Detalle'!$J676),1,""))</x:f>
      </x:c>
      <x:c r="G1390" s="32" t="str">
        <x:f>IF(OR('Detalle'!$J676="",'Detalle'!$K676="",'Detalle'!$L676=""),"",IF(AND(G$8&lt;='Detalle'!$K676,G$9&gt;='Detalle'!$J676),1,""))</x:f>
      </x:c>
      <x:c r="H1390" s="32" t="str">
        <x:f>IF(OR('Detalle'!$J676="",'Detalle'!$K676="",'Detalle'!$L676=""),"",IF(AND(H$8&lt;='Detalle'!$K676,H$9&gt;='Detalle'!$J676),1,""))</x:f>
      </x:c>
      <x:c r="I1390" s="32" t="str">
        <x:f>IF(OR('Detalle'!$J676="",'Detalle'!$K676="",'Detalle'!$L676=""),"",IF(AND(I$8&lt;='Detalle'!$K676,I$9&gt;='Detalle'!$J676),1,""))</x:f>
      </x:c>
      <x:c r="J1390" s="32" t="str">
        <x:f>IF(OR('Detalle'!$J676="",'Detalle'!$K676="",'Detalle'!$L676=""),"",IF(AND(J$8&lt;='Detalle'!$K676,J$9&gt;='Detalle'!$J676),1,""))</x:f>
      </x:c>
      <x:c r="K1390" s="32" t="str">
        <x:f>IF(OR('Detalle'!$J676="",'Detalle'!$K676="",'Detalle'!$L676=""),"",IF(AND(K$8&lt;='Detalle'!$K676,K$9&gt;='Detalle'!$J676),1,""))</x:f>
      </x:c>
      <x:c r="L1390" s="32" t="str">
        <x:f>IF(OR('Detalle'!$J676="",'Detalle'!$K676="",'Detalle'!$L676=""),"",IF(AND(L$8&lt;='Detalle'!$K676,L$9&gt;='Detalle'!$J676),1,""))</x:f>
      </x:c>
      <x:c r="M1390" s="32" t="str">
        <x:f>IF(OR('Detalle'!$J676="",'Detalle'!$K676="",'Detalle'!$L676=""),"",IF(AND(M$8&lt;='Detalle'!$K676,M$9&gt;='Detalle'!$J676),1,""))</x:f>
      </x:c>
      <x:c r="N1390" s="32" t="str">
        <x:f>IF(OR('Detalle'!$J676="",'Detalle'!$K676="",'Detalle'!$L676=""),"",IF(AND(N$8&lt;='Detalle'!$K676,N$9&gt;='Detalle'!$J676),1,""))</x:f>
      </x:c>
      <x:c r="O1390" s="32" t="str">
        <x:f>IF(OR('Detalle'!$J676="",'Detalle'!$K676="",'Detalle'!$L676=""),"",IF(AND(O$8&lt;='Detalle'!$K676,O$9&gt;='Detalle'!$J676),1,""))</x:f>
      </x:c>
      <x:c r="P1390" s="32" t="str">
        <x:f>IF(OR('Detalle'!$J676="",'Detalle'!$K676="",'Detalle'!$L676=""),"",IF(AND(P$8&lt;='Detalle'!$K676,P$9&gt;='Detalle'!$J676),1,""))</x:f>
      </x:c>
      <x:c r="Q1390" s="68"/>
      <x:c r="R1390" s="67" t="str"/>
      <x:c r="S1390" s="67" t="str"/>
    </x:row>
    <x:row r="1391" ht="16" customHeight="1">
      <x:c r="A1391" s="56" t="str">
        <x:v>TOU03.010</x:v>
      </x:c>
      <x:c r="B1391" s="57" t="str">
        <x:v>Repetir una toma confirmada</x:v>
      </x:c>
      <x:c r="C1391" s="62" t="str">
        <x:v>E</x:v>
      </x:c>
      <x:c r="D1391" s="64" t="n">
        <x:f>'Detalle'!I677</x:f>
        <x:v>1</x:v>
      </x:c>
      <x:c r="E1391" s="60" t="str">
        <x:f>'Detalle'!F677</x:f>
        <x:v>Completado</x:v>
      </x:c>
      <x:c r="F1391" s="32" t="str">
        <x:f>IF(AND(F$8&lt;='Detalle'!$H677,F$9&gt;='Detalle'!$G677),1,"")</x:f>
      </x:c>
      <x:c r="G1391" s="32" t="str">
        <x:f>IF(AND(G$8&lt;='Detalle'!$H677,G$9&gt;='Detalle'!$G677),1,"")</x:f>
      </x:c>
      <x:c r="H1391" s="32" t="str">
        <x:f>IF(AND(H$8&lt;='Detalle'!$H677,H$9&gt;='Detalle'!$G677),1,"")</x:f>
      </x:c>
      <x:c r="I1391" s="32" t="str">
        <x:f>IF(AND(I$8&lt;='Detalle'!$H677,I$9&gt;='Detalle'!$G677),1,"")</x:f>
      </x:c>
      <x:c r="J1391" s="32" t="n">
        <x:f>IF(AND(J$8&lt;='Detalle'!$H677,J$9&gt;='Detalle'!$G677),1,"")</x:f>
        <x:v>1</x:v>
      </x:c>
      <x:c r="K1391" s="32" t="str">
        <x:f>IF(AND(K$8&lt;='Detalle'!$H677,K$9&gt;='Detalle'!$G677),1,"")</x:f>
      </x:c>
      <x:c r="L1391" s="32" t="str">
        <x:f>IF(AND(L$8&lt;='Detalle'!$H677,L$9&gt;='Detalle'!$G677),1,"")</x:f>
      </x:c>
      <x:c r="M1391" s="32" t="str">
        <x:f>IF(AND(M$8&lt;='Detalle'!$H677,M$9&gt;='Detalle'!$G677),1,"")</x:f>
      </x:c>
      <x:c r="N1391" s="32" t="str">
        <x:f>IF(AND(N$8&lt;='Detalle'!$H677,N$9&gt;='Detalle'!$G677),1,"")</x:f>
      </x:c>
      <x:c r="O1391" s="32" t="str">
        <x:f>IF(AND(O$8&lt;='Detalle'!$H677,O$9&gt;='Detalle'!$G677),1,"")</x:f>
      </x:c>
      <x:c r="P1391" s="32" t="str">
        <x:f>IF(AND(P$8&lt;='Detalle'!$H677,P$9&gt;='Detalle'!$G677),1,"")</x:f>
      </x:c>
      <x:c r="Q1391" s="68"/>
      <x:c r="R1391" s="67" t="str">
        <x:f>IF('Detalle'!M677="","",'Detalle'!M677)</x:f>
      </x:c>
      <x:c r="S1391" s="67" t="str">
        <x:f>IF('Detalle'!N677="","",'Detalle'!N677)</x:f>
      </x:c>
    </x:row>
    <x:row r="1392" ht="16" customHeight="1">
      <x:c r="A1392" s="56" t="str">
        <x:v>TOU03.010</x:v>
      </x:c>
      <x:c r="B1392" s="57" t="str">
        <x:v>Repetir una toma confirmada</x:v>
      </x:c>
      <x:c r="C1392" s="63" t="str">
        <x:v>R</x:v>
      </x:c>
      <x:c r="D1392" s="65" t="str">
        <x:f>IF('Detalle'!L677="","",'Detalle'!L677)</x:f>
      </x:c>
      <x:c r="E1392" s="60" t="str"/>
      <x:c r="F1392" s="32" t="str">
        <x:f>IF(OR('Detalle'!$J677="",'Detalle'!$K677="",'Detalle'!$L677=""),"",IF(AND(F$8&lt;='Detalle'!$K677,F$9&gt;='Detalle'!$J677),1,""))</x:f>
      </x:c>
      <x:c r="G1392" s="32" t="str">
        <x:f>IF(OR('Detalle'!$J677="",'Detalle'!$K677="",'Detalle'!$L677=""),"",IF(AND(G$8&lt;='Detalle'!$K677,G$9&gt;='Detalle'!$J677),1,""))</x:f>
      </x:c>
      <x:c r="H1392" s="32" t="str">
        <x:f>IF(OR('Detalle'!$J677="",'Detalle'!$K677="",'Detalle'!$L677=""),"",IF(AND(H$8&lt;='Detalle'!$K677,H$9&gt;='Detalle'!$J677),1,""))</x:f>
      </x:c>
      <x:c r="I1392" s="32" t="str">
        <x:f>IF(OR('Detalle'!$J677="",'Detalle'!$K677="",'Detalle'!$L677=""),"",IF(AND(I$8&lt;='Detalle'!$K677,I$9&gt;='Detalle'!$J677),1,""))</x:f>
      </x:c>
      <x:c r="J1392" s="32" t="str">
        <x:f>IF(OR('Detalle'!$J677="",'Detalle'!$K677="",'Detalle'!$L677=""),"",IF(AND(J$8&lt;='Detalle'!$K677,J$9&gt;='Detalle'!$J677),1,""))</x:f>
      </x:c>
      <x:c r="K1392" s="32" t="str">
        <x:f>IF(OR('Detalle'!$J677="",'Detalle'!$K677="",'Detalle'!$L677=""),"",IF(AND(K$8&lt;='Detalle'!$K677,K$9&gt;='Detalle'!$J677),1,""))</x:f>
      </x:c>
      <x:c r="L1392" s="32" t="str">
        <x:f>IF(OR('Detalle'!$J677="",'Detalle'!$K677="",'Detalle'!$L677=""),"",IF(AND(L$8&lt;='Detalle'!$K677,L$9&gt;='Detalle'!$J677),1,""))</x:f>
      </x:c>
      <x:c r="M1392" s="32" t="str">
        <x:f>IF(OR('Detalle'!$J677="",'Detalle'!$K677="",'Detalle'!$L677=""),"",IF(AND(M$8&lt;='Detalle'!$K677,M$9&gt;='Detalle'!$J677),1,""))</x:f>
      </x:c>
      <x:c r="N1392" s="32" t="str">
        <x:f>IF(OR('Detalle'!$J677="",'Detalle'!$K677="",'Detalle'!$L677=""),"",IF(AND(N$8&lt;='Detalle'!$K677,N$9&gt;='Detalle'!$J677),1,""))</x:f>
      </x:c>
      <x:c r="O1392" s="32" t="str">
        <x:f>IF(OR('Detalle'!$J677="",'Detalle'!$K677="",'Detalle'!$L677=""),"",IF(AND(O$8&lt;='Detalle'!$K677,O$9&gt;='Detalle'!$J677),1,""))</x:f>
      </x:c>
      <x:c r="P1392" s="32" t="str">
        <x:f>IF(OR('Detalle'!$J677="",'Detalle'!$K677="",'Detalle'!$L677=""),"",IF(AND(P$8&lt;='Detalle'!$K677,P$9&gt;='Detalle'!$J677),1,""))</x:f>
      </x:c>
      <x:c r="Q1392" s="68"/>
      <x:c r="R1392" s="67" t="str"/>
      <x:c r="S1392" s="67" t="str"/>
    </x:row>
    <x:row r="1393" ht="16" customHeight="1">
      <x:c r="A1393" s="56" t="str">
        <x:v>TOU03.011</x:v>
      </x:c>
      <x:c r="B1393" s="57" t="str">
        <x:v>Guardar fotos por cuenta en dispositivo</x:v>
      </x:c>
      <x:c r="C1393" s="62" t="str">
        <x:v>E</x:v>
      </x:c>
      <x:c r="D1393" s="64" t="n">
        <x:f>'Detalle'!I678</x:f>
        <x:v>1</x:v>
      </x:c>
      <x:c r="E1393" s="60" t="str">
        <x:f>'Detalle'!F678</x:f>
        <x:v>Completado</x:v>
      </x:c>
      <x:c r="F1393" s="32" t="str">
        <x:f>IF(AND(F$8&lt;='Detalle'!$H678,F$9&gt;='Detalle'!$G678),1,"")</x:f>
      </x:c>
      <x:c r="G1393" s="32" t="str">
        <x:f>IF(AND(G$8&lt;='Detalle'!$H678,G$9&gt;='Detalle'!$G678),1,"")</x:f>
      </x:c>
      <x:c r="H1393" s="32" t="str">
        <x:f>IF(AND(H$8&lt;='Detalle'!$H678,H$9&gt;='Detalle'!$G678),1,"")</x:f>
      </x:c>
      <x:c r="I1393" s="32" t="str">
        <x:f>IF(AND(I$8&lt;='Detalle'!$H678,I$9&gt;='Detalle'!$G678),1,"")</x:f>
      </x:c>
      <x:c r="J1393" s="32" t="n">
        <x:f>IF(AND(J$8&lt;='Detalle'!$H678,J$9&gt;='Detalle'!$G678),1,"")</x:f>
        <x:v>1</x:v>
      </x:c>
      <x:c r="K1393" s="32" t="str">
        <x:f>IF(AND(K$8&lt;='Detalle'!$H678,K$9&gt;='Detalle'!$G678),1,"")</x:f>
      </x:c>
      <x:c r="L1393" s="32" t="str">
        <x:f>IF(AND(L$8&lt;='Detalle'!$H678,L$9&gt;='Detalle'!$G678),1,"")</x:f>
      </x:c>
      <x:c r="M1393" s="32" t="str">
        <x:f>IF(AND(M$8&lt;='Detalle'!$H678,M$9&gt;='Detalle'!$G678),1,"")</x:f>
      </x:c>
      <x:c r="N1393" s="32" t="str">
        <x:f>IF(AND(N$8&lt;='Detalle'!$H678,N$9&gt;='Detalle'!$G678),1,"")</x:f>
      </x:c>
      <x:c r="O1393" s="32" t="str">
        <x:f>IF(AND(O$8&lt;='Detalle'!$H678,O$9&gt;='Detalle'!$G678),1,"")</x:f>
      </x:c>
      <x:c r="P1393" s="32" t="str">
        <x:f>IF(AND(P$8&lt;='Detalle'!$H678,P$9&gt;='Detalle'!$G678),1,"")</x:f>
      </x:c>
      <x:c r="Q1393" s="68"/>
      <x:c r="R1393" s="67" t="str">
        <x:f>IF('Detalle'!M678="","",'Detalle'!M678)</x:f>
      </x:c>
      <x:c r="S1393" s="67" t="str">
        <x:f>IF('Detalle'!N678="","",'Detalle'!N678)</x:f>
      </x:c>
    </x:row>
    <x:row r="1394" ht="16" customHeight="1">
      <x:c r="A1394" s="56" t="str">
        <x:v>TOU03.011</x:v>
      </x:c>
      <x:c r="B1394" s="57" t="str">
        <x:v>Guardar fotos por cuenta en dispositivo</x:v>
      </x:c>
      <x:c r="C1394" s="63" t="str">
        <x:v>R</x:v>
      </x:c>
      <x:c r="D1394" s="65" t="str">
        <x:f>IF('Detalle'!L678="","",'Detalle'!L678)</x:f>
      </x:c>
      <x:c r="E1394" s="60" t="str"/>
      <x:c r="F1394" s="32" t="str">
        <x:f>IF(OR('Detalle'!$J678="",'Detalle'!$K678="",'Detalle'!$L678=""),"",IF(AND(F$8&lt;='Detalle'!$K678,F$9&gt;='Detalle'!$J678),1,""))</x:f>
      </x:c>
      <x:c r="G1394" s="32" t="str">
        <x:f>IF(OR('Detalle'!$J678="",'Detalle'!$K678="",'Detalle'!$L678=""),"",IF(AND(G$8&lt;='Detalle'!$K678,G$9&gt;='Detalle'!$J678),1,""))</x:f>
      </x:c>
      <x:c r="H1394" s="32" t="str">
        <x:f>IF(OR('Detalle'!$J678="",'Detalle'!$K678="",'Detalle'!$L678=""),"",IF(AND(H$8&lt;='Detalle'!$K678,H$9&gt;='Detalle'!$J678),1,""))</x:f>
      </x:c>
      <x:c r="I1394" s="32" t="str">
        <x:f>IF(OR('Detalle'!$J678="",'Detalle'!$K678="",'Detalle'!$L678=""),"",IF(AND(I$8&lt;='Detalle'!$K678,I$9&gt;='Detalle'!$J678),1,""))</x:f>
      </x:c>
      <x:c r="J1394" s="32" t="str">
        <x:f>IF(OR('Detalle'!$J678="",'Detalle'!$K678="",'Detalle'!$L678=""),"",IF(AND(J$8&lt;='Detalle'!$K678,J$9&gt;='Detalle'!$J678),1,""))</x:f>
      </x:c>
      <x:c r="K1394" s="32" t="str">
        <x:f>IF(OR('Detalle'!$J678="",'Detalle'!$K678="",'Detalle'!$L678=""),"",IF(AND(K$8&lt;='Detalle'!$K678,K$9&gt;='Detalle'!$J678),1,""))</x:f>
      </x:c>
      <x:c r="L1394" s="32" t="str">
        <x:f>IF(OR('Detalle'!$J678="",'Detalle'!$K678="",'Detalle'!$L678=""),"",IF(AND(L$8&lt;='Detalle'!$K678,L$9&gt;='Detalle'!$J678),1,""))</x:f>
      </x:c>
      <x:c r="M1394" s="32" t="str">
        <x:f>IF(OR('Detalle'!$J678="",'Detalle'!$K678="",'Detalle'!$L678=""),"",IF(AND(M$8&lt;='Detalle'!$K678,M$9&gt;='Detalle'!$J678),1,""))</x:f>
      </x:c>
      <x:c r="N1394" s="32" t="str">
        <x:f>IF(OR('Detalle'!$J678="",'Detalle'!$K678="",'Detalle'!$L678=""),"",IF(AND(N$8&lt;='Detalle'!$K678,N$9&gt;='Detalle'!$J678),1,""))</x:f>
      </x:c>
      <x:c r="O1394" s="32" t="str">
        <x:f>IF(OR('Detalle'!$J678="",'Detalle'!$K678="",'Detalle'!$L678=""),"",IF(AND(O$8&lt;='Detalle'!$K678,O$9&gt;='Detalle'!$J678),1,""))</x:f>
      </x:c>
      <x:c r="P1394" s="32" t="str">
        <x:f>IF(OR('Detalle'!$J678="",'Detalle'!$K678="",'Detalle'!$L678=""),"",IF(AND(P$8&lt;='Detalle'!$K678,P$9&gt;='Detalle'!$J678),1,""))</x:f>
      </x:c>
      <x:c r="Q1394" s="68"/>
      <x:c r="R1394" s="67" t="str"/>
      <x:c r="S1394" s="67" t="str"/>
    </x:row>
    <x:row r="1395" ht="16" customHeight="1">
      <x:c r="A1395" s="56" t="str">
        <x:v>TOU03.012</x:v>
      </x:c>
      <x:c r="B1395" s="57" t="str">
        <x:v>Guardar manifiesto y orientación de tomas</x:v>
      </x:c>
      <x:c r="C1395" s="62" t="str">
        <x:v>E</x:v>
      </x:c>
      <x:c r="D1395" s="64" t="n">
        <x:f>'Detalle'!I679</x:f>
        <x:v>1</x:v>
      </x:c>
      <x:c r="E1395" s="60" t="str">
        <x:f>'Detalle'!F679</x:f>
        <x:v>Completado</x:v>
      </x:c>
      <x:c r="F1395" s="32" t="str">
        <x:f>IF(AND(F$8&lt;='Detalle'!$H679,F$9&gt;='Detalle'!$G679),1,"")</x:f>
      </x:c>
      <x:c r="G1395" s="32" t="str">
        <x:f>IF(AND(G$8&lt;='Detalle'!$H679,G$9&gt;='Detalle'!$G679),1,"")</x:f>
      </x:c>
      <x:c r="H1395" s="32" t="str">
        <x:f>IF(AND(H$8&lt;='Detalle'!$H679,H$9&gt;='Detalle'!$G679),1,"")</x:f>
      </x:c>
      <x:c r="I1395" s="32" t="str">
        <x:f>IF(AND(I$8&lt;='Detalle'!$H679,I$9&gt;='Detalle'!$G679),1,"")</x:f>
      </x:c>
      <x:c r="J1395" s="32" t="n">
        <x:f>IF(AND(J$8&lt;='Detalle'!$H679,J$9&gt;='Detalle'!$G679),1,"")</x:f>
        <x:v>1</x:v>
      </x:c>
      <x:c r="K1395" s="32" t="str">
        <x:f>IF(AND(K$8&lt;='Detalle'!$H679,K$9&gt;='Detalle'!$G679),1,"")</x:f>
      </x:c>
      <x:c r="L1395" s="32" t="str">
        <x:f>IF(AND(L$8&lt;='Detalle'!$H679,L$9&gt;='Detalle'!$G679),1,"")</x:f>
      </x:c>
      <x:c r="M1395" s="32" t="str">
        <x:f>IF(AND(M$8&lt;='Detalle'!$H679,M$9&gt;='Detalle'!$G679),1,"")</x:f>
      </x:c>
      <x:c r="N1395" s="32" t="str">
        <x:f>IF(AND(N$8&lt;='Detalle'!$H679,N$9&gt;='Detalle'!$G679),1,"")</x:f>
      </x:c>
      <x:c r="O1395" s="32" t="str">
        <x:f>IF(AND(O$8&lt;='Detalle'!$H679,O$9&gt;='Detalle'!$G679),1,"")</x:f>
      </x:c>
      <x:c r="P1395" s="32" t="str">
        <x:f>IF(AND(P$8&lt;='Detalle'!$H679,P$9&gt;='Detalle'!$G679),1,"")</x:f>
      </x:c>
      <x:c r="Q1395" s="68"/>
      <x:c r="R1395" s="67" t="str">
        <x:f>IF('Detalle'!M679="","",'Detalle'!M679)</x:f>
      </x:c>
      <x:c r="S1395" s="67" t="str">
        <x:f>IF('Detalle'!N679="","",'Detalle'!N679)</x:f>
      </x:c>
    </x:row>
    <x:row r="1396" ht="16" customHeight="1">
      <x:c r="A1396" s="56" t="str">
        <x:v>TOU03.012</x:v>
      </x:c>
      <x:c r="B1396" s="57" t="str">
        <x:v>Guardar manifiesto y orientación de tomas</x:v>
      </x:c>
      <x:c r="C1396" s="63" t="str">
        <x:v>R</x:v>
      </x:c>
      <x:c r="D1396" s="65" t="str">
        <x:f>IF('Detalle'!L679="","",'Detalle'!L679)</x:f>
      </x:c>
      <x:c r="E1396" s="60" t="str"/>
      <x:c r="F1396" s="32" t="str">
        <x:f>IF(OR('Detalle'!$J679="",'Detalle'!$K679="",'Detalle'!$L679=""),"",IF(AND(F$8&lt;='Detalle'!$K679,F$9&gt;='Detalle'!$J679),1,""))</x:f>
      </x:c>
      <x:c r="G1396" s="32" t="str">
        <x:f>IF(OR('Detalle'!$J679="",'Detalle'!$K679="",'Detalle'!$L679=""),"",IF(AND(G$8&lt;='Detalle'!$K679,G$9&gt;='Detalle'!$J679),1,""))</x:f>
      </x:c>
      <x:c r="H1396" s="32" t="str">
        <x:f>IF(OR('Detalle'!$J679="",'Detalle'!$K679="",'Detalle'!$L679=""),"",IF(AND(H$8&lt;='Detalle'!$K679,H$9&gt;='Detalle'!$J679),1,""))</x:f>
      </x:c>
      <x:c r="I1396" s="32" t="str">
        <x:f>IF(OR('Detalle'!$J679="",'Detalle'!$K679="",'Detalle'!$L679=""),"",IF(AND(I$8&lt;='Detalle'!$K679,I$9&gt;='Detalle'!$J679),1,""))</x:f>
      </x:c>
      <x:c r="J1396" s="32" t="str">
        <x:f>IF(OR('Detalle'!$J679="",'Detalle'!$K679="",'Detalle'!$L679=""),"",IF(AND(J$8&lt;='Detalle'!$K679,J$9&gt;='Detalle'!$J679),1,""))</x:f>
      </x:c>
      <x:c r="K1396" s="32" t="str">
        <x:f>IF(OR('Detalle'!$J679="",'Detalle'!$K679="",'Detalle'!$L679=""),"",IF(AND(K$8&lt;='Detalle'!$K679,K$9&gt;='Detalle'!$J679),1,""))</x:f>
      </x:c>
      <x:c r="L1396" s="32" t="str">
        <x:f>IF(OR('Detalle'!$J679="",'Detalle'!$K679="",'Detalle'!$L679=""),"",IF(AND(L$8&lt;='Detalle'!$K679,L$9&gt;='Detalle'!$J679),1,""))</x:f>
      </x:c>
      <x:c r="M1396" s="32" t="str">
        <x:f>IF(OR('Detalle'!$J679="",'Detalle'!$K679="",'Detalle'!$L679=""),"",IF(AND(M$8&lt;='Detalle'!$K679,M$9&gt;='Detalle'!$J679),1,""))</x:f>
      </x:c>
      <x:c r="N1396" s="32" t="str">
        <x:f>IF(OR('Detalle'!$J679="",'Detalle'!$K679="",'Detalle'!$L679=""),"",IF(AND(N$8&lt;='Detalle'!$K679,N$9&gt;='Detalle'!$J679),1,""))</x:f>
      </x:c>
      <x:c r="O1396" s="32" t="str">
        <x:f>IF(OR('Detalle'!$J679="",'Detalle'!$K679="",'Detalle'!$L679=""),"",IF(AND(O$8&lt;='Detalle'!$K679,O$9&gt;='Detalle'!$J679),1,""))</x:f>
      </x:c>
      <x:c r="P1396" s="32" t="str">
        <x:f>IF(OR('Detalle'!$J679="",'Detalle'!$K679="",'Detalle'!$L679=""),"",IF(AND(P$8&lt;='Detalle'!$K679,P$9&gt;='Detalle'!$J679),1,""))</x:f>
      </x:c>
      <x:c r="Q1396" s="68"/>
      <x:c r="R1396" s="67" t="str"/>
      <x:c r="S1396" s="67" t="str"/>
    </x:row>
    <x:row r="1397" ht="16" customHeight="1">
      <x:c r="A1397" s="56" t="str">
        <x:v>TOU03.013</x:v>
      </x:c>
      <x:c r="B1397" s="57" t="str">
        <x:v>Recuperar sesión de captura interrumpida</x:v>
      </x:c>
      <x:c r="C1397" s="62" t="str">
        <x:v>E</x:v>
      </x:c>
      <x:c r="D1397" s="64" t="n">
        <x:f>'Detalle'!I680</x:f>
        <x:v>1</x:v>
      </x:c>
      <x:c r="E1397" s="60" t="str">
        <x:f>'Detalle'!F680</x:f>
        <x:v>Completado</x:v>
      </x:c>
      <x:c r="F1397" s="32" t="str">
        <x:f>IF(AND(F$8&lt;='Detalle'!$H680,F$9&gt;='Detalle'!$G680),1,"")</x:f>
      </x:c>
      <x:c r="G1397" s="32" t="str">
        <x:f>IF(AND(G$8&lt;='Detalle'!$H680,G$9&gt;='Detalle'!$G680),1,"")</x:f>
      </x:c>
      <x:c r="H1397" s="32" t="str">
        <x:f>IF(AND(H$8&lt;='Detalle'!$H680,H$9&gt;='Detalle'!$G680),1,"")</x:f>
      </x:c>
      <x:c r="I1397" s="32" t="str">
        <x:f>IF(AND(I$8&lt;='Detalle'!$H680,I$9&gt;='Detalle'!$G680),1,"")</x:f>
      </x:c>
      <x:c r="J1397" s="32" t="n">
        <x:f>IF(AND(J$8&lt;='Detalle'!$H680,J$9&gt;='Detalle'!$G680),1,"")</x:f>
        <x:v>1</x:v>
      </x:c>
      <x:c r="K1397" s="32" t="str">
        <x:f>IF(AND(K$8&lt;='Detalle'!$H680,K$9&gt;='Detalle'!$G680),1,"")</x:f>
      </x:c>
      <x:c r="L1397" s="32" t="str">
        <x:f>IF(AND(L$8&lt;='Detalle'!$H680,L$9&gt;='Detalle'!$G680),1,"")</x:f>
      </x:c>
      <x:c r="M1397" s="32" t="str">
        <x:f>IF(AND(M$8&lt;='Detalle'!$H680,M$9&gt;='Detalle'!$G680),1,"")</x:f>
      </x:c>
      <x:c r="N1397" s="32" t="str">
        <x:f>IF(AND(N$8&lt;='Detalle'!$H680,N$9&gt;='Detalle'!$G680),1,"")</x:f>
      </x:c>
      <x:c r="O1397" s="32" t="str">
        <x:f>IF(AND(O$8&lt;='Detalle'!$H680,O$9&gt;='Detalle'!$G680),1,"")</x:f>
      </x:c>
      <x:c r="P1397" s="32" t="str">
        <x:f>IF(AND(P$8&lt;='Detalle'!$H680,P$9&gt;='Detalle'!$G680),1,"")</x:f>
      </x:c>
      <x:c r="Q1397" s="68"/>
      <x:c r="R1397" s="67" t="str">
        <x:f>IF('Detalle'!M680="","",'Detalle'!M680)</x:f>
      </x:c>
      <x:c r="S1397" s="67" t="str">
        <x:f>IF('Detalle'!N680="","",'Detalle'!N680)</x:f>
      </x:c>
    </x:row>
    <x:row r="1398" ht="16" customHeight="1">
      <x:c r="A1398" s="56" t="str">
        <x:v>TOU03.013</x:v>
      </x:c>
      <x:c r="B1398" s="57" t="str">
        <x:v>Recuperar sesión de captura interrumpida</x:v>
      </x:c>
      <x:c r="C1398" s="63" t="str">
        <x:v>R</x:v>
      </x:c>
      <x:c r="D1398" s="65" t="str">
        <x:f>IF('Detalle'!L680="","",'Detalle'!L680)</x:f>
      </x:c>
      <x:c r="E1398" s="60" t="str"/>
      <x:c r="F1398" s="32" t="str">
        <x:f>IF(OR('Detalle'!$J680="",'Detalle'!$K680="",'Detalle'!$L680=""),"",IF(AND(F$8&lt;='Detalle'!$K680,F$9&gt;='Detalle'!$J680),1,""))</x:f>
      </x:c>
      <x:c r="G1398" s="32" t="str">
        <x:f>IF(OR('Detalle'!$J680="",'Detalle'!$K680="",'Detalle'!$L680=""),"",IF(AND(G$8&lt;='Detalle'!$K680,G$9&gt;='Detalle'!$J680),1,""))</x:f>
      </x:c>
      <x:c r="H1398" s="32" t="str">
        <x:f>IF(OR('Detalle'!$J680="",'Detalle'!$K680="",'Detalle'!$L680=""),"",IF(AND(H$8&lt;='Detalle'!$K680,H$9&gt;='Detalle'!$J680),1,""))</x:f>
      </x:c>
      <x:c r="I1398" s="32" t="str">
        <x:f>IF(OR('Detalle'!$J680="",'Detalle'!$K680="",'Detalle'!$L680=""),"",IF(AND(I$8&lt;='Detalle'!$K680,I$9&gt;='Detalle'!$J680),1,""))</x:f>
      </x:c>
      <x:c r="J1398" s="32" t="str">
        <x:f>IF(OR('Detalle'!$J680="",'Detalle'!$K680="",'Detalle'!$L680=""),"",IF(AND(J$8&lt;='Detalle'!$K680,J$9&gt;='Detalle'!$J680),1,""))</x:f>
      </x:c>
      <x:c r="K1398" s="32" t="str">
        <x:f>IF(OR('Detalle'!$J680="",'Detalle'!$K680="",'Detalle'!$L680=""),"",IF(AND(K$8&lt;='Detalle'!$K680,K$9&gt;='Detalle'!$J680),1,""))</x:f>
      </x:c>
      <x:c r="L1398" s="32" t="str">
        <x:f>IF(OR('Detalle'!$J680="",'Detalle'!$K680="",'Detalle'!$L680=""),"",IF(AND(L$8&lt;='Detalle'!$K680,L$9&gt;='Detalle'!$J680),1,""))</x:f>
      </x:c>
      <x:c r="M1398" s="32" t="str">
        <x:f>IF(OR('Detalle'!$J680="",'Detalle'!$K680="",'Detalle'!$L680=""),"",IF(AND(M$8&lt;='Detalle'!$K680,M$9&gt;='Detalle'!$J680),1,""))</x:f>
      </x:c>
      <x:c r="N1398" s="32" t="str">
        <x:f>IF(OR('Detalle'!$J680="",'Detalle'!$K680="",'Detalle'!$L680=""),"",IF(AND(N$8&lt;='Detalle'!$K680,N$9&gt;='Detalle'!$J680),1,""))</x:f>
      </x:c>
      <x:c r="O1398" s="32" t="str">
        <x:f>IF(OR('Detalle'!$J680="",'Detalle'!$K680="",'Detalle'!$L680=""),"",IF(AND(O$8&lt;='Detalle'!$K680,O$9&gt;='Detalle'!$J680),1,""))</x:f>
      </x:c>
      <x:c r="P1398" s="32" t="str">
        <x:f>IF(OR('Detalle'!$J680="",'Detalle'!$K680="",'Detalle'!$L680=""),"",IF(AND(P$8&lt;='Detalle'!$K680,P$9&gt;='Detalle'!$J680),1,""))</x:f>
      </x:c>
      <x:c r="Q1398" s="68"/>
      <x:c r="R1398" s="67" t="str"/>
      <x:c r="S1398" s="67" t="str"/>
    </x:row>
    <x:row r="1399" ht="16" customHeight="1">
      <x:c r="A1399" s="56" t="str">
        <x:v>TOU03.014</x:v>
      </x:c>
      <x:c r="B1399" s="57" t="str">
        <x:v>Comprobar lente y FOV al retomar</x:v>
      </x:c>
      <x:c r="C1399" s="62" t="str">
        <x:v>E</x:v>
      </x:c>
      <x:c r="D1399" s="64" t="n">
        <x:f>'Detalle'!I681</x:f>
        <x:v>1</x:v>
      </x:c>
      <x:c r="E1399" s="60" t="str">
        <x:f>'Detalle'!F681</x:f>
        <x:v>Completado</x:v>
      </x:c>
      <x:c r="F1399" s="32" t="str">
        <x:f>IF(AND(F$8&lt;='Detalle'!$H681,F$9&gt;='Detalle'!$G681),1,"")</x:f>
      </x:c>
      <x:c r="G1399" s="32" t="str">
        <x:f>IF(AND(G$8&lt;='Detalle'!$H681,G$9&gt;='Detalle'!$G681),1,"")</x:f>
      </x:c>
      <x:c r="H1399" s="32" t="str">
        <x:f>IF(AND(H$8&lt;='Detalle'!$H681,H$9&gt;='Detalle'!$G681),1,"")</x:f>
      </x:c>
      <x:c r="I1399" s="32" t="str">
        <x:f>IF(AND(I$8&lt;='Detalle'!$H681,I$9&gt;='Detalle'!$G681),1,"")</x:f>
      </x:c>
      <x:c r="J1399" s="32" t="n">
        <x:f>IF(AND(J$8&lt;='Detalle'!$H681,J$9&gt;='Detalle'!$G681),1,"")</x:f>
        <x:v>1</x:v>
      </x:c>
      <x:c r="K1399" s="32" t="str">
        <x:f>IF(AND(K$8&lt;='Detalle'!$H681,K$9&gt;='Detalle'!$G681),1,"")</x:f>
      </x:c>
      <x:c r="L1399" s="32" t="str">
        <x:f>IF(AND(L$8&lt;='Detalle'!$H681,L$9&gt;='Detalle'!$G681),1,"")</x:f>
      </x:c>
      <x:c r="M1399" s="32" t="str">
        <x:f>IF(AND(M$8&lt;='Detalle'!$H681,M$9&gt;='Detalle'!$G681),1,"")</x:f>
      </x:c>
      <x:c r="N1399" s="32" t="str">
        <x:f>IF(AND(N$8&lt;='Detalle'!$H681,N$9&gt;='Detalle'!$G681),1,"")</x:f>
      </x:c>
      <x:c r="O1399" s="32" t="str">
        <x:f>IF(AND(O$8&lt;='Detalle'!$H681,O$9&gt;='Detalle'!$G681),1,"")</x:f>
      </x:c>
      <x:c r="P1399" s="32" t="str">
        <x:f>IF(AND(P$8&lt;='Detalle'!$H681,P$9&gt;='Detalle'!$G681),1,"")</x:f>
      </x:c>
      <x:c r="Q1399" s="68"/>
      <x:c r="R1399" s="67" t="str">
        <x:f>IF('Detalle'!M681="","",'Detalle'!M681)</x:f>
      </x:c>
      <x:c r="S1399" s="67" t="str">
        <x:f>IF('Detalle'!N681="","",'Detalle'!N681)</x:f>
      </x:c>
    </x:row>
    <x:row r="1400" ht="16" customHeight="1">
      <x:c r="A1400" s="56" t="str">
        <x:v>TOU03.014</x:v>
      </x:c>
      <x:c r="B1400" s="57" t="str">
        <x:v>Comprobar lente y FOV al retomar</x:v>
      </x:c>
      <x:c r="C1400" s="63" t="str">
        <x:v>R</x:v>
      </x:c>
      <x:c r="D1400" s="65" t="str">
        <x:f>IF('Detalle'!L681="","",'Detalle'!L681)</x:f>
      </x:c>
      <x:c r="E1400" s="60" t="str"/>
      <x:c r="F1400" s="32" t="str">
        <x:f>IF(OR('Detalle'!$J681="",'Detalle'!$K681="",'Detalle'!$L681=""),"",IF(AND(F$8&lt;='Detalle'!$K681,F$9&gt;='Detalle'!$J681),1,""))</x:f>
      </x:c>
      <x:c r="G1400" s="32" t="str">
        <x:f>IF(OR('Detalle'!$J681="",'Detalle'!$K681="",'Detalle'!$L681=""),"",IF(AND(G$8&lt;='Detalle'!$K681,G$9&gt;='Detalle'!$J681),1,""))</x:f>
      </x:c>
      <x:c r="H1400" s="32" t="str">
        <x:f>IF(OR('Detalle'!$J681="",'Detalle'!$K681="",'Detalle'!$L681=""),"",IF(AND(H$8&lt;='Detalle'!$K681,H$9&gt;='Detalle'!$J681),1,""))</x:f>
      </x:c>
      <x:c r="I1400" s="32" t="str">
        <x:f>IF(OR('Detalle'!$J681="",'Detalle'!$K681="",'Detalle'!$L681=""),"",IF(AND(I$8&lt;='Detalle'!$K681,I$9&gt;='Detalle'!$J681),1,""))</x:f>
      </x:c>
      <x:c r="J1400" s="32" t="str">
        <x:f>IF(OR('Detalle'!$J681="",'Detalle'!$K681="",'Detalle'!$L681=""),"",IF(AND(J$8&lt;='Detalle'!$K681,J$9&gt;='Detalle'!$J681),1,""))</x:f>
      </x:c>
      <x:c r="K1400" s="32" t="str">
        <x:f>IF(OR('Detalle'!$J681="",'Detalle'!$K681="",'Detalle'!$L681=""),"",IF(AND(K$8&lt;='Detalle'!$K681,K$9&gt;='Detalle'!$J681),1,""))</x:f>
      </x:c>
      <x:c r="L1400" s="32" t="str">
        <x:f>IF(OR('Detalle'!$J681="",'Detalle'!$K681="",'Detalle'!$L681=""),"",IF(AND(L$8&lt;='Detalle'!$K681,L$9&gt;='Detalle'!$J681),1,""))</x:f>
      </x:c>
      <x:c r="M1400" s="32" t="str">
        <x:f>IF(OR('Detalle'!$J681="",'Detalle'!$K681="",'Detalle'!$L681=""),"",IF(AND(M$8&lt;='Detalle'!$K681,M$9&gt;='Detalle'!$J681),1,""))</x:f>
      </x:c>
      <x:c r="N1400" s="32" t="str">
        <x:f>IF(OR('Detalle'!$J681="",'Detalle'!$K681="",'Detalle'!$L681=""),"",IF(AND(N$8&lt;='Detalle'!$K681,N$9&gt;='Detalle'!$J681),1,""))</x:f>
      </x:c>
      <x:c r="O1400" s="32" t="str">
        <x:f>IF(OR('Detalle'!$J681="",'Detalle'!$K681="",'Detalle'!$L681=""),"",IF(AND(O$8&lt;='Detalle'!$K681,O$9&gt;='Detalle'!$J681),1,""))</x:f>
      </x:c>
      <x:c r="P1400" s="32" t="str">
        <x:f>IF(OR('Detalle'!$J681="",'Detalle'!$K681="",'Detalle'!$L681=""),"",IF(AND(P$8&lt;='Detalle'!$K681,P$9&gt;='Detalle'!$J681),1,""))</x:f>
      </x:c>
      <x:c r="Q1400" s="68"/>
      <x:c r="R1400" s="67" t="str"/>
      <x:c r="S1400" s="67" t="str"/>
    </x:row>
    <x:row r="1401" ht="16" customHeight="1">
      <x:c r="A1401" s="56" t="str">
        <x:v>TOU03.015</x:v>
      </x:c>
      <x:c r="B1401" s="57" t="str">
        <x:v>Realinear con primera foto al retomar</x:v>
      </x:c>
      <x:c r="C1401" s="62" t="str">
        <x:v>E</x:v>
      </x:c>
      <x:c r="D1401" s="64" t="n">
        <x:f>'Detalle'!I682</x:f>
        <x:v>1</x:v>
      </x:c>
      <x:c r="E1401" s="60" t="str">
        <x:f>'Detalle'!F682</x:f>
        <x:v>Completado</x:v>
      </x:c>
      <x:c r="F1401" s="32" t="str">
        <x:f>IF(AND(F$8&lt;='Detalle'!$H682,F$9&gt;='Detalle'!$G682),1,"")</x:f>
      </x:c>
      <x:c r="G1401" s="32" t="str">
        <x:f>IF(AND(G$8&lt;='Detalle'!$H682,G$9&gt;='Detalle'!$G682),1,"")</x:f>
      </x:c>
      <x:c r="H1401" s="32" t="str">
        <x:f>IF(AND(H$8&lt;='Detalle'!$H682,H$9&gt;='Detalle'!$G682),1,"")</x:f>
      </x:c>
      <x:c r="I1401" s="32" t="str">
        <x:f>IF(AND(I$8&lt;='Detalle'!$H682,I$9&gt;='Detalle'!$G682),1,"")</x:f>
      </x:c>
      <x:c r="J1401" s="32" t="n">
        <x:f>IF(AND(J$8&lt;='Detalle'!$H682,J$9&gt;='Detalle'!$G682),1,"")</x:f>
        <x:v>1</x:v>
      </x:c>
      <x:c r="K1401" s="32" t="str">
        <x:f>IF(AND(K$8&lt;='Detalle'!$H682,K$9&gt;='Detalle'!$G682),1,"")</x:f>
      </x:c>
      <x:c r="L1401" s="32" t="str">
        <x:f>IF(AND(L$8&lt;='Detalle'!$H682,L$9&gt;='Detalle'!$G682),1,"")</x:f>
      </x:c>
      <x:c r="M1401" s="32" t="str">
        <x:f>IF(AND(M$8&lt;='Detalle'!$H682,M$9&gt;='Detalle'!$G682),1,"")</x:f>
      </x:c>
      <x:c r="N1401" s="32" t="str">
        <x:f>IF(AND(N$8&lt;='Detalle'!$H682,N$9&gt;='Detalle'!$G682),1,"")</x:f>
      </x:c>
      <x:c r="O1401" s="32" t="str">
        <x:f>IF(AND(O$8&lt;='Detalle'!$H682,O$9&gt;='Detalle'!$G682),1,"")</x:f>
      </x:c>
      <x:c r="P1401" s="32" t="str">
        <x:f>IF(AND(P$8&lt;='Detalle'!$H682,P$9&gt;='Detalle'!$G682),1,"")</x:f>
      </x:c>
      <x:c r="Q1401" s="68"/>
      <x:c r="R1401" s="67" t="str">
        <x:f>IF('Detalle'!M682="","",'Detalle'!M682)</x:f>
      </x:c>
      <x:c r="S1401" s="67" t="str">
        <x:f>IF('Detalle'!N682="","",'Detalle'!N682)</x:f>
      </x:c>
    </x:row>
    <x:row r="1402" ht="16" customHeight="1">
      <x:c r="A1402" s="56" t="str">
        <x:v>TOU03.015</x:v>
      </x:c>
      <x:c r="B1402" s="57" t="str">
        <x:v>Realinear con primera foto al retomar</x:v>
      </x:c>
      <x:c r="C1402" s="63" t="str">
        <x:v>R</x:v>
      </x:c>
      <x:c r="D1402" s="65" t="str">
        <x:f>IF('Detalle'!L682="","",'Detalle'!L682)</x:f>
      </x:c>
      <x:c r="E1402" s="60" t="str"/>
      <x:c r="F1402" s="32" t="str">
        <x:f>IF(OR('Detalle'!$J682="",'Detalle'!$K682="",'Detalle'!$L682=""),"",IF(AND(F$8&lt;='Detalle'!$K682,F$9&gt;='Detalle'!$J682),1,""))</x:f>
      </x:c>
      <x:c r="G1402" s="32" t="str">
        <x:f>IF(OR('Detalle'!$J682="",'Detalle'!$K682="",'Detalle'!$L682=""),"",IF(AND(G$8&lt;='Detalle'!$K682,G$9&gt;='Detalle'!$J682),1,""))</x:f>
      </x:c>
      <x:c r="H1402" s="32" t="str">
        <x:f>IF(OR('Detalle'!$J682="",'Detalle'!$K682="",'Detalle'!$L682=""),"",IF(AND(H$8&lt;='Detalle'!$K682,H$9&gt;='Detalle'!$J682),1,""))</x:f>
      </x:c>
      <x:c r="I1402" s="32" t="str">
        <x:f>IF(OR('Detalle'!$J682="",'Detalle'!$K682="",'Detalle'!$L682=""),"",IF(AND(I$8&lt;='Detalle'!$K682,I$9&gt;='Detalle'!$J682),1,""))</x:f>
      </x:c>
      <x:c r="J1402" s="32" t="str">
        <x:f>IF(OR('Detalle'!$J682="",'Detalle'!$K682="",'Detalle'!$L682=""),"",IF(AND(J$8&lt;='Detalle'!$K682,J$9&gt;='Detalle'!$J682),1,""))</x:f>
      </x:c>
      <x:c r="K1402" s="32" t="str">
        <x:f>IF(OR('Detalle'!$J682="",'Detalle'!$K682="",'Detalle'!$L682=""),"",IF(AND(K$8&lt;='Detalle'!$K682,K$9&gt;='Detalle'!$J682),1,""))</x:f>
      </x:c>
      <x:c r="L1402" s="32" t="str">
        <x:f>IF(OR('Detalle'!$J682="",'Detalle'!$K682="",'Detalle'!$L682=""),"",IF(AND(L$8&lt;='Detalle'!$K682,L$9&gt;='Detalle'!$J682),1,""))</x:f>
      </x:c>
      <x:c r="M1402" s="32" t="str">
        <x:f>IF(OR('Detalle'!$J682="",'Detalle'!$K682="",'Detalle'!$L682=""),"",IF(AND(M$8&lt;='Detalle'!$K682,M$9&gt;='Detalle'!$J682),1,""))</x:f>
      </x:c>
      <x:c r="N1402" s="32" t="str">
        <x:f>IF(OR('Detalle'!$J682="",'Detalle'!$K682="",'Detalle'!$L682=""),"",IF(AND(N$8&lt;='Detalle'!$K682,N$9&gt;='Detalle'!$J682),1,""))</x:f>
      </x:c>
      <x:c r="O1402" s="32" t="str">
        <x:f>IF(OR('Detalle'!$J682="",'Detalle'!$K682="",'Detalle'!$L682=""),"",IF(AND(O$8&lt;='Detalle'!$K682,O$9&gt;='Detalle'!$J682),1,""))</x:f>
      </x:c>
      <x:c r="P1402" s="32" t="str">
        <x:f>IF(OR('Detalle'!$J682="",'Detalle'!$K682="",'Detalle'!$L682=""),"",IF(AND(P$8&lt;='Detalle'!$K682,P$9&gt;='Detalle'!$J682),1,""))</x:f>
      </x:c>
      <x:c r="Q1402" s="68"/>
      <x:c r="R1402" s="67" t="str"/>
      <x:c r="S1402" s="67" t="str"/>
    </x:row>
    <x:row r="1403" ht="16" customHeight="1">
      <x:c r="A1403" s="56" t="str">
        <x:v>TOU03.016</x:v>
      </x:c>
      <x:c r="B1403" s="57" t="str">
        <x:v>Ofrecer nueva captura si cambia lente</x:v>
      </x:c>
      <x:c r="C1403" s="62" t="str">
        <x:v>E</x:v>
      </x:c>
      <x:c r="D1403" s="64" t="n">
        <x:f>'Detalle'!I683</x:f>
        <x:v>1</x:v>
      </x:c>
      <x:c r="E1403" s="60" t="str">
        <x:f>'Detalle'!F683</x:f>
        <x:v>Completado</x:v>
      </x:c>
      <x:c r="F1403" s="32" t="str">
        <x:f>IF(AND(F$8&lt;='Detalle'!$H683,F$9&gt;='Detalle'!$G683),1,"")</x:f>
      </x:c>
      <x:c r="G1403" s="32" t="str">
        <x:f>IF(AND(G$8&lt;='Detalle'!$H683,G$9&gt;='Detalle'!$G683),1,"")</x:f>
      </x:c>
      <x:c r="H1403" s="32" t="str">
        <x:f>IF(AND(H$8&lt;='Detalle'!$H683,H$9&gt;='Detalle'!$G683),1,"")</x:f>
      </x:c>
      <x:c r="I1403" s="32" t="str">
        <x:f>IF(AND(I$8&lt;='Detalle'!$H683,I$9&gt;='Detalle'!$G683),1,"")</x:f>
      </x:c>
      <x:c r="J1403" s="32" t="n">
        <x:f>IF(AND(J$8&lt;='Detalle'!$H683,J$9&gt;='Detalle'!$G683),1,"")</x:f>
        <x:v>1</x:v>
      </x:c>
      <x:c r="K1403" s="32" t="str">
        <x:f>IF(AND(K$8&lt;='Detalle'!$H683,K$9&gt;='Detalle'!$G683),1,"")</x:f>
      </x:c>
      <x:c r="L1403" s="32" t="str">
        <x:f>IF(AND(L$8&lt;='Detalle'!$H683,L$9&gt;='Detalle'!$G683),1,"")</x:f>
      </x:c>
      <x:c r="M1403" s="32" t="str">
        <x:f>IF(AND(M$8&lt;='Detalle'!$H683,M$9&gt;='Detalle'!$G683),1,"")</x:f>
      </x:c>
      <x:c r="N1403" s="32" t="str">
        <x:f>IF(AND(N$8&lt;='Detalle'!$H683,N$9&gt;='Detalle'!$G683),1,"")</x:f>
      </x:c>
      <x:c r="O1403" s="32" t="str">
        <x:f>IF(AND(O$8&lt;='Detalle'!$H683,O$9&gt;='Detalle'!$G683),1,"")</x:f>
      </x:c>
      <x:c r="P1403" s="32" t="str">
        <x:f>IF(AND(P$8&lt;='Detalle'!$H683,P$9&gt;='Detalle'!$G683),1,"")</x:f>
      </x:c>
      <x:c r="Q1403" s="68"/>
      <x:c r="R1403" s="67" t="str">
        <x:f>IF('Detalle'!M683="","",'Detalle'!M683)</x:f>
      </x:c>
      <x:c r="S1403" s="67" t="str">
        <x:f>IF('Detalle'!N683="","",'Detalle'!N683)</x:f>
      </x:c>
    </x:row>
    <x:row r="1404" ht="16" customHeight="1">
      <x:c r="A1404" s="56" t="str">
        <x:v>TOU03.016</x:v>
      </x:c>
      <x:c r="B1404" s="57" t="str">
        <x:v>Ofrecer nueva captura si cambia lente</x:v>
      </x:c>
      <x:c r="C1404" s="63" t="str">
        <x:v>R</x:v>
      </x:c>
      <x:c r="D1404" s="65" t="str">
        <x:f>IF('Detalle'!L683="","",'Detalle'!L683)</x:f>
      </x:c>
      <x:c r="E1404" s="60" t="str"/>
      <x:c r="F1404" s="32" t="str">
        <x:f>IF(OR('Detalle'!$J683="",'Detalle'!$K683="",'Detalle'!$L683=""),"",IF(AND(F$8&lt;='Detalle'!$K683,F$9&gt;='Detalle'!$J683),1,""))</x:f>
      </x:c>
      <x:c r="G1404" s="32" t="str">
        <x:f>IF(OR('Detalle'!$J683="",'Detalle'!$K683="",'Detalle'!$L683=""),"",IF(AND(G$8&lt;='Detalle'!$K683,G$9&gt;='Detalle'!$J683),1,""))</x:f>
      </x:c>
      <x:c r="H1404" s="32" t="str">
        <x:f>IF(OR('Detalle'!$J683="",'Detalle'!$K683="",'Detalle'!$L683=""),"",IF(AND(H$8&lt;='Detalle'!$K683,H$9&gt;='Detalle'!$J683),1,""))</x:f>
      </x:c>
      <x:c r="I1404" s="32" t="str">
        <x:f>IF(OR('Detalle'!$J683="",'Detalle'!$K683="",'Detalle'!$L683=""),"",IF(AND(I$8&lt;='Detalle'!$K683,I$9&gt;='Detalle'!$J683),1,""))</x:f>
      </x:c>
      <x:c r="J1404" s="32" t="str">
        <x:f>IF(OR('Detalle'!$J683="",'Detalle'!$K683="",'Detalle'!$L683=""),"",IF(AND(J$8&lt;='Detalle'!$K683,J$9&gt;='Detalle'!$J683),1,""))</x:f>
      </x:c>
      <x:c r="K1404" s="32" t="str">
        <x:f>IF(OR('Detalle'!$J683="",'Detalle'!$K683="",'Detalle'!$L683=""),"",IF(AND(K$8&lt;='Detalle'!$K683,K$9&gt;='Detalle'!$J683),1,""))</x:f>
      </x:c>
      <x:c r="L1404" s="32" t="str">
        <x:f>IF(OR('Detalle'!$J683="",'Detalle'!$K683="",'Detalle'!$L683=""),"",IF(AND(L$8&lt;='Detalle'!$K683,L$9&gt;='Detalle'!$J683),1,""))</x:f>
      </x:c>
      <x:c r="M1404" s="32" t="str">
        <x:f>IF(OR('Detalle'!$J683="",'Detalle'!$K683="",'Detalle'!$L683=""),"",IF(AND(M$8&lt;='Detalle'!$K683,M$9&gt;='Detalle'!$J683),1,""))</x:f>
      </x:c>
      <x:c r="N1404" s="32" t="str">
        <x:f>IF(OR('Detalle'!$J683="",'Detalle'!$K683="",'Detalle'!$L683=""),"",IF(AND(N$8&lt;='Detalle'!$K683,N$9&gt;='Detalle'!$J683),1,""))</x:f>
      </x:c>
      <x:c r="O1404" s="32" t="str">
        <x:f>IF(OR('Detalle'!$J683="",'Detalle'!$K683="",'Detalle'!$L683=""),"",IF(AND(O$8&lt;='Detalle'!$K683,O$9&gt;='Detalle'!$J683),1,""))</x:f>
      </x:c>
      <x:c r="P1404" s="32" t="str">
        <x:f>IF(OR('Detalle'!$J683="",'Detalle'!$K683="",'Detalle'!$L683=""),"",IF(AND(P$8&lt;='Detalle'!$K683,P$9&gt;='Detalle'!$J683),1,""))</x:f>
      </x:c>
      <x:c r="Q1404" s="68"/>
      <x:c r="R1404" s="67" t="str"/>
      <x:c r="S1404" s="67" t="str"/>
    </x:row>
    <x:row r="1405" ht="16" customHeight="1">
      <x:c r="A1405" s="56" t="str">
        <x:v>TOU03.017</x:v>
      </x:c>
      <x:c r="B1405" s="57" t="str">
        <x:v>Detener cámara al salir o cambiar cuenta</x:v>
      </x:c>
      <x:c r="C1405" s="62" t="str">
        <x:v>E</x:v>
      </x:c>
      <x:c r="D1405" s="64" t="n">
        <x:f>'Detalle'!I684</x:f>
        <x:v>1</x:v>
      </x:c>
      <x:c r="E1405" s="60" t="str">
        <x:f>'Detalle'!F684</x:f>
        <x:v>Completado</x:v>
      </x:c>
      <x:c r="F1405" s="32" t="str">
        <x:f>IF(AND(F$8&lt;='Detalle'!$H684,F$9&gt;='Detalle'!$G684),1,"")</x:f>
      </x:c>
      <x:c r="G1405" s="32" t="str">
        <x:f>IF(AND(G$8&lt;='Detalle'!$H684,G$9&gt;='Detalle'!$G684),1,"")</x:f>
      </x:c>
      <x:c r="H1405" s="32" t="str">
        <x:f>IF(AND(H$8&lt;='Detalle'!$H684,H$9&gt;='Detalle'!$G684),1,"")</x:f>
      </x:c>
      <x:c r="I1405" s="32" t="str">
        <x:f>IF(AND(I$8&lt;='Detalle'!$H684,I$9&gt;='Detalle'!$G684),1,"")</x:f>
      </x:c>
      <x:c r="J1405" s="32" t="n">
        <x:f>IF(AND(J$8&lt;='Detalle'!$H684,J$9&gt;='Detalle'!$G684),1,"")</x:f>
        <x:v>1</x:v>
      </x:c>
      <x:c r="K1405" s="32" t="str">
        <x:f>IF(AND(K$8&lt;='Detalle'!$H684,K$9&gt;='Detalle'!$G684),1,"")</x:f>
      </x:c>
      <x:c r="L1405" s="32" t="str">
        <x:f>IF(AND(L$8&lt;='Detalle'!$H684,L$9&gt;='Detalle'!$G684),1,"")</x:f>
      </x:c>
      <x:c r="M1405" s="32" t="str">
        <x:f>IF(AND(M$8&lt;='Detalle'!$H684,M$9&gt;='Detalle'!$G684),1,"")</x:f>
      </x:c>
      <x:c r="N1405" s="32" t="str">
        <x:f>IF(AND(N$8&lt;='Detalle'!$H684,N$9&gt;='Detalle'!$G684),1,"")</x:f>
      </x:c>
      <x:c r="O1405" s="32" t="str">
        <x:f>IF(AND(O$8&lt;='Detalle'!$H684,O$9&gt;='Detalle'!$G684),1,"")</x:f>
      </x:c>
      <x:c r="P1405" s="32" t="str">
        <x:f>IF(AND(P$8&lt;='Detalle'!$H684,P$9&gt;='Detalle'!$G684),1,"")</x:f>
      </x:c>
      <x:c r="Q1405" s="68"/>
      <x:c r="R1405" s="67" t="str">
        <x:f>IF('Detalle'!M684="","",'Detalle'!M684)</x:f>
      </x:c>
      <x:c r="S1405" s="67" t="str">
        <x:f>IF('Detalle'!N684="","",'Detalle'!N684)</x:f>
      </x:c>
    </x:row>
    <x:row r="1406" ht="16" customHeight="1">
      <x:c r="A1406" s="56" t="str">
        <x:v>TOU03.017</x:v>
      </x:c>
      <x:c r="B1406" s="57" t="str">
        <x:v>Detener cámara al salir o cambiar cuenta</x:v>
      </x:c>
      <x:c r="C1406" s="63" t="str">
        <x:v>R</x:v>
      </x:c>
      <x:c r="D1406" s="65" t="str">
        <x:f>IF('Detalle'!L684="","",'Detalle'!L684)</x:f>
      </x:c>
      <x:c r="E1406" s="60" t="str"/>
      <x:c r="F1406" s="32" t="str">
        <x:f>IF(OR('Detalle'!$J684="",'Detalle'!$K684="",'Detalle'!$L684=""),"",IF(AND(F$8&lt;='Detalle'!$K684,F$9&gt;='Detalle'!$J684),1,""))</x:f>
      </x:c>
      <x:c r="G1406" s="32" t="str">
        <x:f>IF(OR('Detalle'!$J684="",'Detalle'!$K684="",'Detalle'!$L684=""),"",IF(AND(G$8&lt;='Detalle'!$K684,G$9&gt;='Detalle'!$J684),1,""))</x:f>
      </x:c>
      <x:c r="H1406" s="32" t="str">
        <x:f>IF(OR('Detalle'!$J684="",'Detalle'!$K684="",'Detalle'!$L684=""),"",IF(AND(H$8&lt;='Detalle'!$K684,H$9&gt;='Detalle'!$J684),1,""))</x:f>
      </x:c>
      <x:c r="I1406" s="32" t="str">
        <x:f>IF(OR('Detalle'!$J684="",'Detalle'!$K684="",'Detalle'!$L684=""),"",IF(AND(I$8&lt;='Detalle'!$K684,I$9&gt;='Detalle'!$J684),1,""))</x:f>
      </x:c>
      <x:c r="J1406" s="32" t="str">
        <x:f>IF(OR('Detalle'!$J684="",'Detalle'!$K684="",'Detalle'!$L684=""),"",IF(AND(J$8&lt;='Detalle'!$K684,J$9&gt;='Detalle'!$J684),1,""))</x:f>
      </x:c>
      <x:c r="K1406" s="32" t="str">
        <x:f>IF(OR('Detalle'!$J684="",'Detalle'!$K684="",'Detalle'!$L684=""),"",IF(AND(K$8&lt;='Detalle'!$K684,K$9&gt;='Detalle'!$J684),1,""))</x:f>
      </x:c>
      <x:c r="L1406" s="32" t="str">
        <x:f>IF(OR('Detalle'!$J684="",'Detalle'!$K684="",'Detalle'!$L684=""),"",IF(AND(L$8&lt;='Detalle'!$K684,L$9&gt;='Detalle'!$J684),1,""))</x:f>
      </x:c>
      <x:c r="M1406" s="32" t="str">
        <x:f>IF(OR('Detalle'!$J684="",'Detalle'!$K684="",'Detalle'!$L684=""),"",IF(AND(M$8&lt;='Detalle'!$K684,M$9&gt;='Detalle'!$J684),1,""))</x:f>
      </x:c>
      <x:c r="N1406" s="32" t="str">
        <x:f>IF(OR('Detalle'!$J684="",'Detalle'!$K684="",'Detalle'!$L684=""),"",IF(AND(N$8&lt;='Detalle'!$K684,N$9&gt;='Detalle'!$J684),1,""))</x:f>
      </x:c>
      <x:c r="O1406" s="32" t="str">
        <x:f>IF(OR('Detalle'!$J684="",'Detalle'!$K684="",'Detalle'!$L684=""),"",IF(AND(O$8&lt;='Detalle'!$K684,O$9&gt;='Detalle'!$J684),1,""))</x:f>
      </x:c>
      <x:c r="P1406" s="32" t="str">
        <x:f>IF(OR('Detalle'!$J684="",'Detalle'!$K684="",'Detalle'!$L684=""),"",IF(AND(P$8&lt;='Detalle'!$K684,P$9&gt;='Detalle'!$J684),1,""))</x:f>
      </x:c>
      <x:c r="Q1406" s="68"/>
      <x:c r="R1406" s="67" t="str"/>
      <x:c r="S1406" s="67" t="str"/>
    </x:row>
    <x:row r="1407" ht="16" customHeight="1">
      <x:c r="A1407" s="56" t="str">
        <x:v>TOU03.018</x:v>
      </x:c>
      <x:c r="B1407" s="57" t="str">
        <x:v>Separar captura y vista AR</x:v>
      </x:c>
      <x:c r="C1407" s="62" t="str">
        <x:v>E</x:v>
      </x:c>
      <x:c r="D1407" s="64" t="n">
        <x:f>'Detalle'!I685</x:f>
        <x:v>1</x:v>
      </x:c>
      <x:c r="E1407" s="60" t="str">
        <x:f>'Detalle'!F685</x:f>
        <x:v>Completado</x:v>
      </x:c>
      <x:c r="F1407" s="32" t="str">
        <x:f>IF(AND(F$8&lt;='Detalle'!$H685,F$9&gt;='Detalle'!$G685),1,"")</x:f>
      </x:c>
      <x:c r="G1407" s="32" t="str">
        <x:f>IF(AND(G$8&lt;='Detalle'!$H685,G$9&gt;='Detalle'!$G685),1,"")</x:f>
      </x:c>
      <x:c r="H1407" s="32" t="str">
        <x:f>IF(AND(H$8&lt;='Detalle'!$H685,H$9&gt;='Detalle'!$G685),1,"")</x:f>
      </x:c>
      <x:c r="I1407" s="32" t="str">
        <x:f>IF(AND(I$8&lt;='Detalle'!$H685,I$9&gt;='Detalle'!$G685),1,"")</x:f>
      </x:c>
      <x:c r="J1407" s="32" t="n">
        <x:f>IF(AND(J$8&lt;='Detalle'!$H685,J$9&gt;='Detalle'!$G685),1,"")</x:f>
        <x:v>1</x:v>
      </x:c>
      <x:c r="K1407" s="32" t="str">
        <x:f>IF(AND(K$8&lt;='Detalle'!$H685,K$9&gt;='Detalle'!$G685),1,"")</x:f>
      </x:c>
      <x:c r="L1407" s="32" t="str">
        <x:f>IF(AND(L$8&lt;='Detalle'!$H685,L$9&gt;='Detalle'!$G685),1,"")</x:f>
      </x:c>
      <x:c r="M1407" s="32" t="str">
        <x:f>IF(AND(M$8&lt;='Detalle'!$H685,M$9&gt;='Detalle'!$G685),1,"")</x:f>
      </x:c>
      <x:c r="N1407" s="32" t="str">
        <x:f>IF(AND(N$8&lt;='Detalle'!$H685,N$9&gt;='Detalle'!$G685),1,"")</x:f>
      </x:c>
      <x:c r="O1407" s="32" t="str">
        <x:f>IF(AND(O$8&lt;='Detalle'!$H685,O$9&gt;='Detalle'!$G685),1,"")</x:f>
      </x:c>
      <x:c r="P1407" s="32" t="str">
        <x:f>IF(AND(P$8&lt;='Detalle'!$H685,P$9&gt;='Detalle'!$G685),1,"")</x:f>
      </x:c>
      <x:c r="Q1407" s="68"/>
      <x:c r="R1407" s="67" t="str">
        <x:f>IF('Detalle'!M685="","",'Detalle'!M685)</x:f>
      </x:c>
      <x:c r="S1407" s="67" t="str">
        <x:f>IF('Detalle'!N685="","",'Detalle'!N685)</x:f>
      </x:c>
    </x:row>
    <x:row r="1408" ht="16" customHeight="1">
      <x:c r="A1408" s="56" t="str">
        <x:v>TOU03.018</x:v>
      </x:c>
      <x:c r="B1408" s="57" t="str">
        <x:v>Separar captura y vista AR</x:v>
      </x:c>
      <x:c r="C1408" s="63" t="str">
        <x:v>R</x:v>
      </x:c>
      <x:c r="D1408" s="65" t="str">
        <x:f>IF('Detalle'!L685="","",'Detalle'!L685)</x:f>
      </x:c>
      <x:c r="E1408" s="60" t="str"/>
      <x:c r="F1408" s="32" t="str">
        <x:f>IF(OR('Detalle'!$J685="",'Detalle'!$K685="",'Detalle'!$L685=""),"",IF(AND(F$8&lt;='Detalle'!$K685,F$9&gt;='Detalle'!$J685),1,""))</x:f>
      </x:c>
      <x:c r="G1408" s="32" t="str">
        <x:f>IF(OR('Detalle'!$J685="",'Detalle'!$K685="",'Detalle'!$L685=""),"",IF(AND(G$8&lt;='Detalle'!$K685,G$9&gt;='Detalle'!$J685),1,""))</x:f>
      </x:c>
      <x:c r="H1408" s="32" t="str">
        <x:f>IF(OR('Detalle'!$J685="",'Detalle'!$K685="",'Detalle'!$L685=""),"",IF(AND(H$8&lt;='Detalle'!$K685,H$9&gt;='Detalle'!$J685),1,""))</x:f>
      </x:c>
      <x:c r="I1408" s="32" t="str">
        <x:f>IF(OR('Detalle'!$J685="",'Detalle'!$K685="",'Detalle'!$L685=""),"",IF(AND(I$8&lt;='Detalle'!$K685,I$9&gt;='Detalle'!$J685),1,""))</x:f>
      </x:c>
      <x:c r="J1408" s="32" t="str">
        <x:f>IF(OR('Detalle'!$J685="",'Detalle'!$K685="",'Detalle'!$L685=""),"",IF(AND(J$8&lt;='Detalle'!$K685,J$9&gt;='Detalle'!$J685),1,""))</x:f>
      </x:c>
      <x:c r="K1408" s="32" t="str">
        <x:f>IF(OR('Detalle'!$J685="",'Detalle'!$K685="",'Detalle'!$L685=""),"",IF(AND(K$8&lt;='Detalle'!$K685,K$9&gt;='Detalle'!$J685),1,""))</x:f>
      </x:c>
      <x:c r="L1408" s="32" t="str">
        <x:f>IF(OR('Detalle'!$J685="",'Detalle'!$K685="",'Detalle'!$L685=""),"",IF(AND(L$8&lt;='Detalle'!$K685,L$9&gt;='Detalle'!$J685),1,""))</x:f>
      </x:c>
      <x:c r="M1408" s="32" t="str">
        <x:f>IF(OR('Detalle'!$J685="",'Detalle'!$K685="",'Detalle'!$L685=""),"",IF(AND(M$8&lt;='Detalle'!$K685,M$9&gt;='Detalle'!$J685),1,""))</x:f>
      </x:c>
      <x:c r="N1408" s="32" t="str">
        <x:f>IF(OR('Detalle'!$J685="",'Detalle'!$K685="",'Detalle'!$L685=""),"",IF(AND(N$8&lt;='Detalle'!$K685,N$9&gt;='Detalle'!$J685),1,""))</x:f>
      </x:c>
      <x:c r="O1408" s="32" t="str">
        <x:f>IF(OR('Detalle'!$J685="",'Detalle'!$K685="",'Detalle'!$L685=""),"",IF(AND(O$8&lt;='Detalle'!$K685,O$9&gt;='Detalle'!$J685),1,""))</x:f>
      </x:c>
      <x:c r="P1408" s="32" t="str">
        <x:f>IF(OR('Detalle'!$J685="",'Detalle'!$K685="",'Detalle'!$L685=""),"",IF(AND(P$8&lt;='Detalle'!$K685,P$9&gt;='Detalle'!$J685),1,""))</x:f>
      </x:c>
      <x:c r="Q1408" s="68"/>
      <x:c r="R1408" s="67" t="str"/>
      <x:c r="S1408" s="67" t="str"/>
    </x:row>
    <x:row r="1409" ht="20" customHeight="1">
      <x:c r="A1409" s="52" t="str">
        <x:v>TOU04 · Orientación nativa Android e iOS</x:v>
      </x:c>
      <x:c r="B1409" s="52" t="str">
        <x:v>TOU04 · Orientación nativa Android e iOS</x:v>
      </x:c>
      <x:c r="C1409" s="52" t="str">
        <x:v>TOU04 · Orientación nativa Android e iOS</x:v>
      </x:c>
      <x:c r="D1409" s="52" t="str">
        <x:v>TOU04 · Orientación nativa Android e iOS</x:v>
      </x:c>
      <x:c r="E1409" s="52" t="str">
        <x:v>TOU04 · Orientación nativa Android e iOS</x:v>
      </x:c>
      <x:c r="F1409" s="53" t="str">
        <x:v>TOU04 · Orientación nativa Android e iOS</x:v>
      </x:c>
      <x:c r="G1409" s="53" t="str">
        <x:v>TOU04 · Orientación nativa Android e iOS</x:v>
      </x:c>
      <x:c r="H1409" s="53" t="str">
        <x:v>TOU04 · Orientación nativa Android e iOS</x:v>
      </x:c>
      <x:c r="I1409" s="53" t="str">
        <x:v>TOU04 · Orientación nativa Android e iOS</x:v>
      </x:c>
      <x:c r="J1409" s="53" t="str">
        <x:v>TOU04 · Orientación nativa Android e iOS</x:v>
      </x:c>
      <x:c r="K1409" s="53" t="str">
        <x:v>TOU04 · Orientación nativa Android e iOS</x:v>
      </x:c>
      <x:c r="L1409" s="53" t="str">
        <x:v>TOU04 · Orientación nativa Android e iOS</x:v>
      </x:c>
      <x:c r="M1409" s="53" t="str">
        <x:v>TOU04 · Orientación nativa Android e iOS</x:v>
      </x:c>
      <x:c r="N1409" s="53" t="str">
        <x:v>TOU04 · Orientación nativa Android e iOS</x:v>
      </x:c>
      <x:c r="O1409" s="53" t="str">
        <x:v>TOU04 · Orientación nativa Android e iOS</x:v>
      </x:c>
      <x:c r="P1409" s="53" t="str">
        <x:v>TOU04 · Orientación nativa Android e iOS</x:v>
      </x:c>
      <x:c r="Q1409" s="52" t="str">
        <x:v>TOU04 · Orientación nativa Android e iOS</x:v>
      </x:c>
      <x:c r="R1409" s="52" t="str">
        <x:v>TOU04 · Orientación nativa Android e iOS</x:v>
      </x:c>
      <x:c r="S1409" s="52" t="str">
        <x:v>TOU04 · Orientación nativa Android e iOS</x:v>
      </x:c>
    </x:row>
    <x:row r="1410" ht="16" customHeight="1">
      <x:c r="A1410" s="56" t="str">
        <x:v>TOU04.001</x:v>
      </x:c>
      <x:c r="B1410" s="57" t="str">
        <x:v>Registrar canal marea/tour_motion Android</x:v>
      </x:c>
      <x:c r="C1410" s="62" t="str">
        <x:v>E</x:v>
      </x:c>
      <x:c r="D1410" s="64" t="n">
        <x:f>'Detalle'!I686</x:f>
        <x:v>1</x:v>
      </x:c>
      <x:c r="E1410" s="60" t="str">
        <x:f>'Detalle'!F686</x:f>
        <x:v>Completado</x:v>
      </x:c>
      <x:c r="F1410" s="32" t="str">
        <x:f>IF(AND(F$8&lt;='Detalle'!$H686,F$9&gt;='Detalle'!$G686),1,"")</x:f>
      </x:c>
      <x:c r="G1410" s="32" t="str">
        <x:f>IF(AND(G$8&lt;='Detalle'!$H686,G$9&gt;='Detalle'!$G686),1,"")</x:f>
      </x:c>
      <x:c r="H1410" s="32" t="str">
        <x:f>IF(AND(H$8&lt;='Detalle'!$H686,H$9&gt;='Detalle'!$G686),1,"")</x:f>
      </x:c>
      <x:c r="I1410" s="32" t="str">
        <x:f>IF(AND(I$8&lt;='Detalle'!$H686,I$9&gt;='Detalle'!$G686),1,"")</x:f>
      </x:c>
      <x:c r="J1410" s="32" t="n">
        <x:f>IF(AND(J$8&lt;='Detalle'!$H686,J$9&gt;='Detalle'!$G686),1,"")</x:f>
        <x:v>1</x:v>
      </x:c>
      <x:c r="K1410" s="32" t="str">
        <x:f>IF(AND(K$8&lt;='Detalle'!$H686,K$9&gt;='Detalle'!$G686),1,"")</x:f>
      </x:c>
      <x:c r="L1410" s="32" t="str">
        <x:f>IF(AND(L$8&lt;='Detalle'!$H686,L$9&gt;='Detalle'!$G686),1,"")</x:f>
      </x:c>
      <x:c r="M1410" s="32" t="str">
        <x:f>IF(AND(M$8&lt;='Detalle'!$H686,M$9&gt;='Detalle'!$G686),1,"")</x:f>
      </x:c>
      <x:c r="N1410" s="32" t="str">
        <x:f>IF(AND(N$8&lt;='Detalle'!$H686,N$9&gt;='Detalle'!$G686),1,"")</x:f>
      </x:c>
      <x:c r="O1410" s="32" t="str">
        <x:f>IF(AND(O$8&lt;='Detalle'!$H686,O$9&gt;='Detalle'!$G686),1,"")</x:f>
      </x:c>
      <x:c r="P1410" s="32" t="str">
        <x:f>IF(AND(P$8&lt;='Detalle'!$H686,P$9&gt;='Detalle'!$G686),1,"")</x:f>
      </x:c>
      <x:c r="Q1410" s="68"/>
      <x:c r="R1410" s="67" t="str">
        <x:f>IF('Detalle'!M686="","",'Detalle'!M686)</x:f>
      </x:c>
      <x:c r="S1410" s="67" t="str">
        <x:f>IF('Detalle'!N686="","",'Detalle'!N686)</x:f>
      </x:c>
    </x:row>
    <x:row r="1411" ht="16" customHeight="1">
      <x:c r="A1411" s="56" t="str">
        <x:v>TOU04.001</x:v>
      </x:c>
      <x:c r="B1411" s="57" t="str">
        <x:v>Registrar canal marea/tour_motion Android</x:v>
      </x:c>
      <x:c r="C1411" s="63" t="str">
        <x:v>R</x:v>
      </x:c>
      <x:c r="D1411" s="65" t="str">
        <x:f>IF('Detalle'!L686="","",'Detalle'!L686)</x:f>
      </x:c>
      <x:c r="E1411" s="60" t="str"/>
      <x:c r="F1411" s="32" t="str">
        <x:f>IF(OR('Detalle'!$J686="",'Detalle'!$K686="",'Detalle'!$L686=""),"",IF(AND(F$8&lt;='Detalle'!$K686,F$9&gt;='Detalle'!$J686),1,""))</x:f>
      </x:c>
      <x:c r="G1411" s="32" t="str">
        <x:f>IF(OR('Detalle'!$J686="",'Detalle'!$K686="",'Detalle'!$L686=""),"",IF(AND(G$8&lt;='Detalle'!$K686,G$9&gt;='Detalle'!$J686),1,""))</x:f>
      </x:c>
      <x:c r="H1411" s="32" t="str">
        <x:f>IF(OR('Detalle'!$J686="",'Detalle'!$K686="",'Detalle'!$L686=""),"",IF(AND(H$8&lt;='Detalle'!$K686,H$9&gt;='Detalle'!$J686),1,""))</x:f>
      </x:c>
      <x:c r="I1411" s="32" t="str">
        <x:f>IF(OR('Detalle'!$J686="",'Detalle'!$K686="",'Detalle'!$L686=""),"",IF(AND(I$8&lt;='Detalle'!$K686,I$9&gt;='Detalle'!$J686),1,""))</x:f>
      </x:c>
      <x:c r="J1411" s="32" t="str">
        <x:f>IF(OR('Detalle'!$J686="",'Detalle'!$K686="",'Detalle'!$L686=""),"",IF(AND(J$8&lt;='Detalle'!$K686,J$9&gt;='Detalle'!$J686),1,""))</x:f>
      </x:c>
      <x:c r="K1411" s="32" t="str">
        <x:f>IF(OR('Detalle'!$J686="",'Detalle'!$K686="",'Detalle'!$L686=""),"",IF(AND(K$8&lt;='Detalle'!$K686,K$9&gt;='Detalle'!$J686),1,""))</x:f>
      </x:c>
      <x:c r="L1411" s="32" t="str">
        <x:f>IF(OR('Detalle'!$J686="",'Detalle'!$K686="",'Detalle'!$L686=""),"",IF(AND(L$8&lt;='Detalle'!$K686,L$9&gt;='Detalle'!$J686),1,""))</x:f>
      </x:c>
      <x:c r="M1411" s="32" t="str">
        <x:f>IF(OR('Detalle'!$J686="",'Detalle'!$K686="",'Detalle'!$L686=""),"",IF(AND(M$8&lt;='Detalle'!$K686,M$9&gt;='Detalle'!$J686),1,""))</x:f>
      </x:c>
      <x:c r="N1411" s="32" t="str">
        <x:f>IF(OR('Detalle'!$J686="",'Detalle'!$K686="",'Detalle'!$L686=""),"",IF(AND(N$8&lt;='Detalle'!$K686,N$9&gt;='Detalle'!$J686),1,""))</x:f>
      </x:c>
      <x:c r="O1411" s="32" t="str">
        <x:f>IF(OR('Detalle'!$J686="",'Detalle'!$K686="",'Detalle'!$L686=""),"",IF(AND(O$8&lt;='Detalle'!$K686,O$9&gt;='Detalle'!$J686),1,""))</x:f>
      </x:c>
      <x:c r="P1411" s="32" t="str">
        <x:f>IF(OR('Detalle'!$J686="",'Detalle'!$K686="",'Detalle'!$L686=""),"",IF(AND(P$8&lt;='Detalle'!$K686,P$9&gt;='Detalle'!$J686),1,""))</x:f>
      </x:c>
      <x:c r="Q1411" s="68"/>
      <x:c r="R1411" s="67" t="str"/>
      <x:c r="S1411" s="67" t="str"/>
    </x:row>
    <x:row r="1412" ht="16" customHeight="1">
      <x:c r="A1412" s="56" t="str">
        <x:v>TOU04.002</x:v>
      </x:c>
      <x:c r="B1412" s="57" t="str">
        <x:v>Registrar canal de orientación en iOS</x:v>
      </x:c>
      <x:c r="C1412" s="62" t="str">
        <x:v>E</x:v>
      </x:c>
      <x:c r="D1412" s="64" t="n">
        <x:f>'Detalle'!I687</x:f>
        <x:v>1</x:v>
      </x:c>
      <x:c r="E1412" s="60" t="str">
        <x:f>'Detalle'!F687</x:f>
        <x:v>Completado</x:v>
      </x:c>
      <x:c r="F1412" s="32" t="str">
        <x:f>IF(AND(F$8&lt;='Detalle'!$H687,F$9&gt;='Detalle'!$G687),1,"")</x:f>
      </x:c>
      <x:c r="G1412" s="32" t="str">
        <x:f>IF(AND(G$8&lt;='Detalle'!$H687,G$9&gt;='Detalle'!$G687),1,"")</x:f>
      </x:c>
      <x:c r="H1412" s="32" t="str">
        <x:f>IF(AND(H$8&lt;='Detalle'!$H687,H$9&gt;='Detalle'!$G687),1,"")</x:f>
      </x:c>
      <x:c r="I1412" s="32" t="str">
        <x:f>IF(AND(I$8&lt;='Detalle'!$H687,I$9&gt;='Detalle'!$G687),1,"")</x:f>
      </x:c>
      <x:c r="J1412" s="32" t="n">
        <x:f>IF(AND(J$8&lt;='Detalle'!$H687,J$9&gt;='Detalle'!$G687),1,"")</x:f>
        <x:v>1</x:v>
      </x:c>
      <x:c r="K1412" s="32" t="str">
        <x:f>IF(AND(K$8&lt;='Detalle'!$H687,K$9&gt;='Detalle'!$G687),1,"")</x:f>
      </x:c>
      <x:c r="L1412" s="32" t="str">
        <x:f>IF(AND(L$8&lt;='Detalle'!$H687,L$9&gt;='Detalle'!$G687),1,"")</x:f>
      </x:c>
      <x:c r="M1412" s="32" t="str">
        <x:f>IF(AND(M$8&lt;='Detalle'!$H687,M$9&gt;='Detalle'!$G687),1,"")</x:f>
      </x:c>
      <x:c r="N1412" s="32" t="str">
        <x:f>IF(AND(N$8&lt;='Detalle'!$H687,N$9&gt;='Detalle'!$G687),1,"")</x:f>
      </x:c>
      <x:c r="O1412" s="32" t="str">
        <x:f>IF(AND(O$8&lt;='Detalle'!$H687,O$9&gt;='Detalle'!$G687),1,"")</x:f>
      </x:c>
      <x:c r="P1412" s="32" t="str">
        <x:f>IF(AND(P$8&lt;='Detalle'!$H687,P$9&gt;='Detalle'!$G687),1,"")</x:f>
      </x:c>
      <x:c r="Q1412" s="68"/>
      <x:c r="R1412" s="67" t="str">
        <x:f>IF('Detalle'!M687="","",'Detalle'!M687)</x:f>
      </x:c>
      <x:c r="S1412" s="67" t="str">
        <x:f>IF('Detalle'!N687="","",'Detalle'!N687)</x:f>
      </x:c>
    </x:row>
    <x:row r="1413" ht="16" customHeight="1">
      <x:c r="A1413" s="56" t="str">
        <x:v>TOU04.002</x:v>
      </x:c>
      <x:c r="B1413" s="57" t="str">
        <x:v>Registrar canal de orientación en iOS</x:v>
      </x:c>
      <x:c r="C1413" s="63" t="str">
        <x:v>R</x:v>
      </x:c>
      <x:c r="D1413" s="65" t="str">
        <x:f>IF('Detalle'!L687="","",'Detalle'!L687)</x:f>
      </x:c>
      <x:c r="E1413" s="60" t="str"/>
      <x:c r="F1413" s="32" t="str">
        <x:f>IF(OR('Detalle'!$J687="",'Detalle'!$K687="",'Detalle'!$L687=""),"",IF(AND(F$8&lt;='Detalle'!$K687,F$9&gt;='Detalle'!$J687),1,""))</x:f>
      </x:c>
      <x:c r="G1413" s="32" t="str">
        <x:f>IF(OR('Detalle'!$J687="",'Detalle'!$K687="",'Detalle'!$L687=""),"",IF(AND(G$8&lt;='Detalle'!$K687,G$9&gt;='Detalle'!$J687),1,""))</x:f>
      </x:c>
      <x:c r="H1413" s="32" t="str">
        <x:f>IF(OR('Detalle'!$J687="",'Detalle'!$K687="",'Detalle'!$L687=""),"",IF(AND(H$8&lt;='Detalle'!$K687,H$9&gt;='Detalle'!$J687),1,""))</x:f>
      </x:c>
      <x:c r="I1413" s="32" t="str">
        <x:f>IF(OR('Detalle'!$J687="",'Detalle'!$K687="",'Detalle'!$L687=""),"",IF(AND(I$8&lt;='Detalle'!$K687,I$9&gt;='Detalle'!$J687),1,""))</x:f>
      </x:c>
      <x:c r="J1413" s="32" t="str">
        <x:f>IF(OR('Detalle'!$J687="",'Detalle'!$K687="",'Detalle'!$L687=""),"",IF(AND(J$8&lt;='Detalle'!$K687,J$9&gt;='Detalle'!$J687),1,""))</x:f>
      </x:c>
      <x:c r="K1413" s="32" t="str">
        <x:f>IF(OR('Detalle'!$J687="",'Detalle'!$K687="",'Detalle'!$L687=""),"",IF(AND(K$8&lt;='Detalle'!$K687,K$9&gt;='Detalle'!$J687),1,""))</x:f>
      </x:c>
      <x:c r="L1413" s="32" t="str">
        <x:f>IF(OR('Detalle'!$J687="",'Detalle'!$K687="",'Detalle'!$L687=""),"",IF(AND(L$8&lt;='Detalle'!$K687,L$9&gt;='Detalle'!$J687),1,""))</x:f>
      </x:c>
      <x:c r="M1413" s="32" t="str">
        <x:f>IF(OR('Detalle'!$J687="",'Detalle'!$K687="",'Detalle'!$L687=""),"",IF(AND(M$8&lt;='Detalle'!$K687,M$9&gt;='Detalle'!$J687),1,""))</x:f>
      </x:c>
      <x:c r="N1413" s="32" t="str">
        <x:f>IF(OR('Detalle'!$J687="",'Detalle'!$K687="",'Detalle'!$L687=""),"",IF(AND(N$8&lt;='Detalle'!$K687,N$9&gt;='Detalle'!$J687),1,""))</x:f>
      </x:c>
      <x:c r="O1413" s="32" t="str">
        <x:f>IF(OR('Detalle'!$J687="",'Detalle'!$K687="",'Detalle'!$L687=""),"",IF(AND(O$8&lt;='Detalle'!$K687,O$9&gt;='Detalle'!$J687),1,""))</x:f>
      </x:c>
      <x:c r="P1413" s="32" t="str">
        <x:f>IF(OR('Detalle'!$J687="",'Detalle'!$K687="",'Detalle'!$L687=""),"",IF(AND(P$8&lt;='Detalle'!$K687,P$9&gt;='Detalle'!$J687),1,""))</x:f>
      </x:c>
      <x:c r="Q1413" s="68"/>
      <x:c r="R1413" s="67" t="str"/>
      <x:c r="S1413" s="67" t="str"/>
    </x:row>
    <x:row r="1414" ht="16" customHeight="1">
      <x:c r="A1414" s="56" t="str">
        <x:v>TOU04.003</x:v>
      </x:c>
      <x:c r="B1414" s="57" t="str">
        <x:v>Transformar RotationVector Android</x:v>
      </x:c>
      <x:c r="C1414" s="62" t="str">
        <x:v>E</x:v>
      </x:c>
      <x:c r="D1414" s="64" t="n">
        <x:f>'Detalle'!I688</x:f>
        <x:v>1</x:v>
      </x:c>
      <x:c r="E1414" s="60" t="str">
        <x:f>'Detalle'!F688</x:f>
        <x:v>Completado</x:v>
      </x:c>
      <x:c r="F1414" s="32" t="str">
        <x:f>IF(AND(F$8&lt;='Detalle'!$H688,F$9&gt;='Detalle'!$G688),1,"")</x:f>
      </x:c>
      <x:c r="G1414" s="32" t="str">
        <x:f>IF(AND(G$8&lt;='Detalle'!$H688,G$9&gt;='Detalle'!$G688),1,"")</x:f>
      </x:c>
      <x:c r="H1414" s="32" t="str">
        <x:f>IF(AND(H$8&lt;='Detalle'!$H688,H$9&gt;='Detalle'!$G688),1,"")</x:f>
      </x:c>
      <x:c r="I1414" s="32" t="str">
        <x:f>IF(AND(I$8&lt;='Detalle'!$H688,I$9&gt;='Detalle'!$G688),1,"")</x:f>
      </x:c>
      <x:c r="J1414" s="32" t="n">
        <x:f>IF(AND(J$8&lt;='Detalle'!$H688,J$9&gt;='Detalle'!$G688),1,"")</x:f>
        <x:v>1</x:v>
      </x:c>
      <x:c r="K1414" s="32" t="str">
        <x:f>IF(AND(K$8&lt;='Detalle'!$H688,K$9&gt;='Detalle'!$G688),1,"")</x:f>
      </x:c>
      <x:c r="L1414" s="32" t="str">
        <x:f>IF(AND(L$8&lt;='Detalle'!$H688,L$9&gt;='Detalle'!$G688),1,"")</x:f>
      </x:c>
      <x:c r="M1414" s="32" t="str">
        <x:f>IF(AND(M$8&lt;='Detalle'!$H688,M$9&gt;='Detalle'!$G688),1,"")</x:f>
      </x:c>
      <x:c r="N1414" s="32" t="str">
        <x:f>IF(AND(N$8&lt;='Detalle'!$H688,N$9&gt;='Detalle'!$G688),1,"")</x:f>
      </x:c>
      <x:c r="O1414" s="32" t="str">
        <x:f>IF(AND(O$8&lt;='Detalle'!$H688,O$9&gt;='Detalle'!$G688),1,"")</x:f>
      </x:c>
      <x:c r="P1414" s="32" t="str">
        <x:f>IF(AND(P$8&lt;='Detalle'!$H688,P$9&gt;='Detalle'!$G688),1,"")</x:f>
      </x:c>
      <x:c r="Q1414" s="68"/>
      <x:c r="R1414" s="67" t="str">
        <x:f>IF('Detalle'!M688="","",'Detalle'!M688)</x:f>
      </x:c>
      <x:c r="S1414" s="67" t="str">
        <x:f>IF('Detalle'!N688="","",'Detalle'!N688)</x:f>
      </x:c>
    </x:row>
    <x:row r="1415" ht="16" customHeight="1">
      <x:c r="A1415" s="56" t="str">
        <x:v>TOU04.003</x:v>
      </x:c>
      <x:c r="B1415" s="57" t="str">
        <x:v>Transformar RotationVector Android</x:v>
      </x:c>
      <x:c r="C1415" s="63" t="str">
        <x:v>R</x:v>
      </x:c>
      <x:c r="D1415" s="65" t="str">
        <x:f>IF('Detalle'!L688="","",'Detalle'!L688)</x:f>
      </x:c>
      <x:c r="E1415" s="60" t="str"/>
      <x:c r="F1415" s="32" t="str">
        <x:f>IF(OR('Detalle'!$J688="",'Detalle'!$K688="",'Detalle'!$L688=""),"",IF(AND(F$8&lt;='Detalle'!$K688,F$9&gt;='Detalle'!$J688),1,""))</x:f>
      </x:c>
      <x:c r="G1415" s="32" t="str">
        <x:f>IF(OR('Detalle'!$J688="",'Detalle'!$K688="",'Detalle'!$L688=""),"",IF(AND(G$8&lt;='Detalle'!$K688,G$9&gt;='Detalle'!$J688),1,""))</x:f>
      </x:c>
      <x:c r="H1415" s="32" t="str">
        <x:f>IF(OR('Detalle'!$J688="",'Detalle'!$K688="",'Detalle'!$L688=""),"",IF(AND(H$8&lt;='Detalle'!$K688,H$9&gt;='Detalle'!$J688),1,""))</x:f>
      </x:c>
      <x:c r="I1415" s="32" t="str">
        <x:f>IF(OR('Detalle'!$J688="",'Detalle'!$K688="",'Detalle'!$L688=""),"",IF(AND(I$8&lt;='Detalle'!$K688,I$9&gt;='Detalle'!$J688),1,""))</x:f>
      </x:c>
      <x:c r="J1415" s="32" t="str">
        <x:f>IF(OR('Detalle'!$J688="",'Detalle'!$K688="",'Detalle'!$L688=""),"",IF(AND(J$8&lt;='Detalle'!$K688,J$9&gt;='Detalle'!$J688),1,""))</x:f>
      </x:c>
      <x:c r="K1415" s="32" t="str">
        <x:f>IF(OR('Detalle'!$J688="",'Detalle'!$K688="",'Detalle'!$L688=""),"",IF(AND(K$8&lt;='Detalle'!$K688,K$9&gt;='Detalle'!$J688),1,""))</x:f>
      </x:c>
      <x:c r="L1415" s="32" t="str">
        <x:f>IF(OR('Detalle'!$J688="",'Detalle'!$K688="",'Detalle'!$L688=""),"",IF(AND(L$8&lt;='Detalle'!$K688,L$9&gt;='Detalle'!$J688),1,""))</x:f>
      </x:c>
      <x:c r="M1415" s="32" t="str">
        <x:f>IF(OR('Detalle'!$J688="",'Detalle'!$K688="",'Detalle'!$L688=""),"",IF(AND(M$8&lt;='Detalle'!$K688,M$9&gt;='Detalle'!$J688),1,""))</x:f>
      </x:c>
      <x:c r="N1415" s="32" t="str">
        <x:f>IF(OR('Detalle'!$J688="",'Detalle'!$K688="",'Detalle'!$L688=""),"",IF(AND(N$8&lt;='Detalle'!$K688,N$9&gt;='Detalle'!$J688),1,""))</x:f>
      </x:c>
      <x:c r="O1415" s="32" t="str">
        <x:f>IF(OR('Detalle'!$J688="",'Detalle'!$K688="",'Detalle'!$L688=""),"",IF(AND(O$8&lt;='Detalle'!$K688,O$9&gt;='Detalle'!$J688),1,""))</x:f>
      </x:c>
      <x:c r="P1415" s="32" t="str">
        <x:f>IF(OR('Detalle'!$J688="",'Detalle'!$K688="",'Detalle'!$L688=""),"",IF(AND(P$8&lt;='Detalle'!$K688,P$9&gt;='Detalle'!$J688),1,""))</x:f>
      </x:c>
      <x:c r="Q1415" s="68"/>
      <x:c r="R1415" s="67" t="str"/>
      <x:c r="S1415" s="67" t="str"/>
    </x:row>
    <x:row r="1416" ht="16" customHeight="1">
      <x:c r="A1416" s="56" t="str">
        <x:v>TOU04.004</x:v>
      </x:c>
      <x:c r="B1416" s="57" t="str">
        <x:v>Invertir quaternion CoreMotion iOS</x:v>
      </x:c>
      <x:c r="C1416" s="62" t="str">
        <x:v>E</x:v>
      </x:c>
      <x:c r="D1416" s="64" t="n">
        <x:f>'Detalle'!I689</x:f>
        <x:v>1</x:v>
      </x:c>
      <x:c r="E1416" s="60" t="str">
        <x:f>'Detalle'!F689</x:f>
        <x:v>Completado</x:v>
      </x:c>
      <x:c r="F1416" s="32" t="str">
        <x:f>IF(AND(F$8&lt;='Detalle'!$H689,F$9&gt;='Detalle'!$G689),1,"")</x:f>
      </x:c>
      <x:c r="G1416" s="32" t="str">
        <x:f>IF(AND(G$8&lt;='Detalle'!$H689,G$9&gt;='Detalle'!$G689),1,"")</x:f>
      </x:c>
      <x:c r="H1416" s="32" t="str">
        <x:f>IF(AND(H$8&lt;='Detalle'!$H689,H$9&gt;='Detalle'!$G689),1,"")</x:f>
      </x:c>
      <x:c r="I1416" s="32" t="str">
        <x:f>IF(AND(I$8&lt;='Detalle'!$H689,I$9&gt;='Detalle'!$G689),1,"")</x:f>
      </x:c>
      <x:c r="J1416" s="32" t="n">
        <x:f>IF(AND(J$8&lt;='Detalle'!$H689,J$9&gt;='Detalle'!$G689),1,"")</x:f>
        <x:v>1</x:v>
      </x:c>
      <x:c r="K1416" s="32" t="str">
        <x:f>IF(AND(K$8&lt;='Detalle'!$H689,K$9&gt;='Detalle'!$G689),1,"")</x:f>
      </x:c>
      <x:c r="L1416" s="32" t="str">
        <x:f>IF(AND(L$8&lt;='Detalle'!$H689,L$9&gt;='Detalle'!$G689),1,"")</x:f>
      </x:c>
      <x:c r="M1416" s="32" t="str">
        <x:f>IF(AND(M$8&lt;='Detalle'!$H689,M$9&gt;='Detalle'!$G689),1,"")</x:f>
      </x:c>
      <x:c r="N1416" s="32" t="str">
        <x:f>IF(AND(N$8&lt;='Detalle'!$H689,N$9&gt;='Detalle'!$G689),1,"")</x:f>
      </x:c>
      <x:c r="O1416" s="32" t="str">
        <x:f>IF(AND(O$8&lt;='Detalle'!$H689,O$9&gt;='Detalle'!$G689),1,"")</x:f>
      </x:c>
      <x:c r="P1416" s="32" t="str">
        <x:f>IF(AND(P$8&lt;='Detalle'!$H689,P$9&gt;='Detalle'!$G689),1,"")</x:f>
      </x:c>
      <x:c r="Q1416" s="68"/>
      <x:c r="R1416" s="67" t="str">
        <x:f>IF('Detalle'!M689="","",'Detalle'!M689)</x:f>
      </x:c>
      <x:c r="S1416" s="67" t="str">
        <x:f>IF('Detalle'!N689="","",'Detalle'!N689)</x:f>
      </x:c>
    </x:row>
    <x:row r="1417" ht="16" customHeight="1">
      <x:c r="A1417" s="56" t="str">
        <x:v>TOU04.004</x:v>
      </x:c>
      <x:c r="B1417" s="57" t="str">
        <x:v>Invertir quaternion CoreMotion iOS</x:v>
      </x:c>
      <x:c r="C1417" s="63" t="str">
        <x:v>R</x:v>
      </x:c>
      <x:c r="D1417" s="65" t="str">
        <x:f>IF('Detalle'!L689="","",'Detalle'!L689)</x:f>
      </x:c>
      <x:c r="E1417" s="60" t="str"/>
      <x:c r="F1417" s="32" t="str">
        <x:f>IF(OR('Detalle'!$J689="",'Detalle'!$K689="",'Detalle'!$L689=""),"",IF(AND(F$8&lt;='Detalle'!$K689,F$9&gt;='Detalle'!$J689),1,""))</x:f>
      </x:c>
      <x:c r="G1417" s="32" t="str">
        <x:f>IF(OR('Detalle'!$J689="",'Detalle'!$K689="",'Detalle'!$L689=""),"",IF(AND(G$8&lt;='Detalle'!$K689,G$9&gt;='Detalle'!$J689),1,""))</x:f>
      </x:c>
      <x:c r="H1417" s="32" t="str">
        <x:f>IF(OR('Detalle'!$J689="",'Detalle'!$K689="",'Detalle'!$L689=""),"",IF(AND(H$8&lt;='Detalle'!$K689,H$9&gt;='Detalle'!$J689),1,""))</x:f>
      </x:c>
      <x:c r="I1417" s="32" t="str">
        <x:f>IF(OR('Detalle'!$J689="",'Detalle'!$K689="",'Detalle'!$L689=""),"",IF(AND(I$8&lt;='Detalle'!$K689,I$9&gt;='Detalle'!$J689),1,""))</x:f>
      </x:c>
      <x:c r="J1417" s="32" t="str">
        <x:f>IF(OR('Detalle'!$J689="",'Detalle'!$K689="",'Detalle'!$L689=""),"",IF(AND(J$8&lt;='Detalle'!$K689,J$9&gt;='Detalle'!$J689),1,""))</x:f>
      </x:c>
      <x:c r="K1417" s="32" t="str">
        <x:f>IF(OR('Detalle'!$J689="",'Detalle'!$K689="",'Detalle'!$L689=""),"",IF(AND(K$8&lt;='Detalle'!$K689,K$9&gt;='Detalle'!$J689),1,""))</x:f>
      </x:c>
      <x:c r="L1417" s="32" t="str">
        <x:f>IF(OR('Detalle'!$J689="",'Detalle'!$K689="",'Detalle'!$L689=""),"",IF(AND(L$8&lt;='Detalle'!$K689,L$9&gt;='Detalle'!$J689),1,""))</x:f>
      </x:c>
      <x:c r="M1417" s="32" t="str">
        <x:f>IF(OR('Detalle'!$J689="",'Detalle'!$K689="",'Detalle'!$L689=""),"",IF(AND(M$8&lt;='Detalle'!$K689,M$9&gt;='Detalle'!$J689),1,""))</x:f>
      </x:c>
      <x:c r="N1417" s="32" t="str">
        <x:f>IF(OR('Detalle'!$J689="",'Detalle'!$K689="",'Detalle'!$L689=""),"",IF(AND(N$8&lt;='Detalle'!$K689,N$9&gt;='Detalle'!$J689),1,""))</x:f>
      </x:c>
      <x:c r="O1417" s="32" t="str">
        <x:f>IF(OR('Detalle'!$J689="",'Detalle'!$K689="",'Detalle'!$L689=""),"",IF(AND(O$8&lt;='Detalle'!$K689,O$9&gt;='Detalle'!$J689),1,""))</x:f>
      </x:c>
      <x:c r="P1417" s="32" t="str">
        <x:f>IF(OR('Detalle'!$J689="",'Detalle'!$K689="",'Detalle'!$L689=""),"",IF(AND(P$8&lt;='Detalle'!$K689,P$9&gt;='Detalle'!$J689),1,""))</x:f>
      </x:c>
      <x:c r="Q1417" s="68"/>
      <x:c r="R1417" s="67" t="str"/>
      <x:c r="S1417" s="67" t="str"/>
    </x:row>
    <x:row r="1418" ht="16" customHeight="1">
      <x:c r="A1418" s="56" t="str">
        <x:v>TOU04.005</x:v>
      </x:c>
      <x:c r="B1418" s="57" t="str">
        <x:v>Normalizar yaw respecto del inicio</x:v>
      </x:c>
      <x:c r="C1418" s="62" t="str">
        <x:v>E</x:v>
      </x:c>
      <x:c r="D1418" s="64" t="n">
        <x:f>'Detalle'!I690</x:f>
        <x:v>1</x:v>
      </x:c>
      <x:c r="E1418" s="60" t="str">
        <x:f>'Detalle'!F690</x:f>
        <x:v>Completado</x:v>
      </x:c>
      <x:c r="F1418" s="32" t="str">
        <x:f>IF(AND(F$8&lt;='Detalle'!$H690,F$9&gt;='Detalle'!$G690),1,"")</x:f>
      </x:c>
      <x:c r="G1418" s="32" t="str">
        <x:f>IF(AND(G$8&lt;='Detalle'!$H690,G$9&gt;='Detalle'!$G690),1,"")</x:f>
      </x:c>
      <x:c r="H1418" s="32" t="str">
        <x:f>IF(AND(H$8&lt;='Detalle'!$H690,H$9&gt;='Detalle'!$G690),1,"")</x:f>
      </x:c>
      <x:c r="I1418" s="32" t="str">
        <x:f>IF(AND(I$8&lt;='Detalle'!$H690,I$9&gt;='Detalle'!$G690),1,"")</x:f>
      </x:c>
      <x:c r="J1418" s="32" t="n">
        <x:f>IF(AND(J$8&lt;='Detalle'!$H690,J$9&gt;='Detalle'!$G690),1,"")</x:f>
        <x:v>1</x:v>
      </x:c>
      <x:c r="K1418" s="32" t="str">
        <x:f>IF(AND(K$8&lt;='Detalle'!$H690,K$9&gt;='Detalle'!$G690),1,"")</x:f>
      </x:c>
      <x:c r="L1418" s="32" t="str">
        <x:f>IF(AND(L$8&lt;='Detalle'!$H690,L$9&gt;='Detalle'!$G690),1,"")</x:f>
      </x:c>
      <x:c r="M1418" s="32" t="str">
        <x:f>IF(AND(M$8&lt;='Detalle'!$H690,M$9&gt;='Detalle'!$G690),1,"")</x:f>
      </x:c>
      <x:c r="N1418" s="32" t="str">
        <x:f>IF(AND(N$8&lt;='Detalle'!$H690,N$9&gt;='Detalle'!$G690),1,"")</x:f>
      </x:c>
      <x:c r="O1418" s="32" t="str">
        <x:f>IF(AND(O$8&lt;='Detalle'!$H690,O$9&gt;='Detalle'!$G690),1,"")</x:f>
      </x:c>
      <x:c r="P1418" s="32" t="str">
        <x:f>IF(AND(P$8&lt;='Detalle'!$H690,P$9&gt;='Detalle'!$G690),1,"")</x:f>
      </x:c>
      <x:c r="Q1418" s="68"/>
      <x:c r="R1418" s="67" t="str">
        <x:f>IF('Detalle'!M690="","",'Detalle'!M690)</x:f>
      </x:c>
      <x:c r="S1418" s="67" t="str">
        <x:f>IF('Detalle'!N690="","",'Detalle'!N690)</x:f>
      </x:c>
    </x:row>
    <x:row r="1419" ht="16" customHeight="1">
      <x:c r="A1419" s="56" t="str">
        <x:v>TOU04.005</x:v>
      </x:c>
      <x:c r="B1419" s="57" t="str">
        <x:v>Normalizar yaw respecto del inicio</x:v>
      </x:c>
      <x:c r="C1419" s="63" t="str">
        <x:v>R</x:v>
      </x:c>
      <x:c r="D1419" s="65" t="str">
        <x:f>IF('Detalle'!L690="","",'Detalle'!L690)</x:f>
      </x:c>
      <x:c r="E1419" s="60" t="str"/>
      <x:c r="F1419" s="32" t="str">
        <x:f>IF(OR('Detalle'!$J690="",'Detalle'!$K690="",'Detalle'!$L690=""),"",IF(AND(F$8&lt;='Detalle'!$K690,F$9&gt;='Detalle'!$J690),1,""))</x:f>
      </x:c>
      <x:c r="G1419" s="32" t="str">
        <x:f>IF(OR('Detalle'!$J690="",'Detalle'!$K690="",'Detalle'!$L690=""),"",IF(AND(G$8&lt;='Detalle'!$K690,G$9&gt;='Detalle'!$J690),1,""))</x:f>
      </x:c>
      <x:c r="H1419" s="32" t="str">
        <x:f>IF(OR('Detalle'!$J690="",'Detalle'!$K690="",'Detalle'!$L690=""),"",IF(AND(H$8&lt;='Detalle'!$K690,H$9&gt;='Detalle'!$J690),1,""))</x:f>
      </x:c>
      <x:c r="I1419" s="32" t="str">
        <x:f>IF(OR('Detalle'!$J690="",'Detalle'!$K690="",'Detalle'!$L690=""),"",IF(AND(I$8&lt;='Detalle'!$K690,I$9&gt;='Detalle'!$J690),1,""))</x:f>
      </x:c>
      <x:c r="J1419" s="32" t="str">
        <x:f>IF(OR('Detalle'!$J690="",'Detalle'!$K690="",'Detalle'!$L690=""),"",IF(AND(J$8&lt;='Detalle'!$K690,J$9&gt;='Detalle'!$J690),1,""))</x:f>
      </x:c>
      <x:c r="K1419" s="32" t="str">
        <x:f>IF(OR('Detalle'!$J690="",'Detalle'!$K690="",'Detalle'!$L690=""),"",IF(AND(K$8&lt;='Detalle'!$K690,K$9&gt;='Detalle'!$J690),1,""))</x:f>
      </x:c>
      <x:c r="L1419" s="32" t="str">
        <x:f>IF(OR('Detalle'!$J690="",'Detalle'!$K690="",'Detalle'!$L690=""),"",IF(AND(L$8&lt;='Detalle'!$K690,L$9&gt;='Detalle'!$J690),1,""))</x:f>
      </x:c>
      <x:c r="M1419" s="32" t="str">
        <x:f>IF(OR('Detalle'!$J690="",'Detalle'!$K690="",'Detalle'!$L690=""),"",IF(AND(M$8&lt;='Detalle'!$K690,M$9&gt;='Detalle'!$J690),1,""))</x:f>
      </x:c>
      <x:c r="N1419" s="32" t="str">
        <x:f>IF(OR('Detalle'!$J690="",'Detalle'!$K690="",'Detalle'!$L690=""),"",IF(AND(N$8&lt;='Detalle'!$K690,N$9&gt;='Detalle'!$J690),1,""))</x:f>
      </x:c>
      <x:c r="O1419" s="32" t="str">
        <x:f>IF(OR('Detalle'!$J690="",'Detalle'!$K690="",'Detalle'!$L690=""),"",IF(AND(O$8&lt;='Detalle'!$K690,O$9&gt;='Detalle'!$J690),1,""))</x:f>
      </x:c>
      <x:c r="P1419" s="32" t="str">
        <x:f>IF(OR('Detalle'!$J690="",'Detalle'!$K690="",'Detalle'!$L690=""),"",IF(AND(P$8&lt;='Detalle'!$K690,P$9&gt;='Detalle'!$J690),1,""))</x:f>
      </x:c>
      <x:c r="Q1419" s="68"/>
      <x:c r="R1419" s="67" t="str"/>
      <x:c r="S1419" s="67" t="str"/>
    </x:row>
    <x:row r="1420" ht="16" customHeight="1">
      <x:c r="A1420" s="56" t="str">
        <x:v>TOU04.006</x:v>
      </x:c>
      <x:c r="B1420" s="57" t="str">
        <x:v>Diferir origen azimutal en inicio polar</x:v>
      </x:c>
      <x:c r="C1420" s="62" t="str">
        <x:v>E</x:v>
      </x:c>
      <x:c r="D1420" s="64" t="n">
        <x:f>'Detalle'!I691</x:f>
        <x:v>1</x:v>
      </x:c>
      <x:c r="E1420" s="60" t="str">
        <x:f>'Detalle'!F691</x:f>
        <x:v>Completado</x:v>
      </x:c>
      <x:c r="F1420" s="32" t="str">
        <x:f>IF(AND(F$8&lt;='Detalle'!$H691,F$9&gt;='Detalle'!$G691),1,"")</x:f>
      </x:c>
      <x:c r="G1420" s="32" t="str">
        <x:f>IF(AND(G$8&lt;='Detalle'!$H691,G$9&gt;='Detalle'!$G691),1,"")</x:f>
      </x:c>
      <x:c r="H1420" s="32" t="str">
        <x:f>IF(AND(H$8&lt;='Detalle'!$H691,H$9&gt;='Detalle'!$G691),1,"")</x:f>
      </x:c>
      <x:c r="I1420" s="32" t="str">
        <x:f>IF(AND(I$8&lt;='Detalle'!$H691,I$9&gt;='Detalle'!$G691),1,"")</x:f>
      </x:c>
      <x:c r="J1420" s="32" t="n">
        <x:f>IF(AND(J$8&lt;='Detalle'!$H691,J$9&gt;='Detalle'!$G691),1,"")</x:f>
        <x:v>1</x:v>
      </x:c>
      <x:c r="K1420" s="32" t="str">
        <x:f>IF(AND(K$8&lt;='Detalle'!$H691,K$9&gt;='Detalle'!$G691),1,"")</x:f>
      </x:c>
      <x:c r="L1420" s="32" t="str">
        <x:f>IF(AND(L$8&lt;='Detalle'!$H691,L$9&gt;='Detalle'!$G691),1,"")</x:f>
      </x:c>
      <x:c r="M1420" s="32" t="str">
        <x:f>IF(AND(M$8&lt;='Detalle'!$H691,M$9&gt;='Detalle'!$G691),1,"")</x:f>
      </x:c>
      <x:c r="N1420" s="32" t="str">
        <x:f>IF(AND(N$8&lt;='Detalle'!$H691,N$9&gt;='Detalle'!$G691),1,"")</x:f>
      </x:c>
      <x:c r="O1420" s="32" t="str">
        <x:f>IF(AND(O$8&lt;='Detalle'!$H691,O$9&gt;='Detalle'!$G691),1,"")</x:f>
      </x:c>
      <x:c r="P1420" s="32" t="str">
        <x:f>IF(AND(P$8&lt;='Detalle'!$H691,P$9&gt;='Detalle'!$G691),1,"")</x:f>
      </x:c>
      <x:c r="Q1420" s="68"/>
      <x:c r="R1420" s="67" t="str">
        <x:f>IF('Detalle'!M691="","",'Detalle'!M691)</x:f>
      </x:c>
      <x:c r="S1420" s="67" t="str">
        <x:f>IF('Detalle'!N691="","",'Detalle'!N691)</x:f>
      </x:c>
    </x:row>
    <x:row r="1421" ht="16" customHeight="1">
      <x:c r="A1421" s="56" t="str">
        <x:v>TOU04.006</x:v>
      </x:c>
      <x:c r="B1421" s="57" t="str">
        <x:v>Diferir origen azimutal en inicio polar</x:v>
      </x:c>
      <x:c r="C1421" s="63" t="str">
        <x:v>R</x:v>
      </x:c>
      <x:c r="D1421" s="65" t="str">
        <x:f>IF('Detalle'!L691="","",'Detalle'!L691)</x:f>
      </x:c>
      <x:c r="E1421" s="60" t="str"/>
      <x:c r="F1421" s="32" t="str">
        <x:f>IF(OR('Detalle'!$J691="",'Detalle'!$K691="",'Detalle'!$L691=""),"",IF(AND(F$8&lt;='Detalle'!$K691,F$9&gt;='Detalle'!$J691),1,""))</x:f>
      </x:c>
      <x:c r="G1421" s="32" t="str">
        <x:f>IF(OR('Detalle'!$J691="",'Detalle'!$K691="",'Detalle'!$L691=""),"",IF(AND(G$8&lt;='Detalle'!$K691,G$9&gt;='Detalle'!$J691),1,""))</x:f>
      </x:c>
      <x:c r="H1421" s="32" t="str">
        <x:f>IF(OR('Detalle'!$J691="",'Detalle'!$K691="",'Detalle'!$L691=""),"",IF(AND(H$8&lt;='Detalle'!$K691,H$9&gt;='Detalle'!$J691),1,""))</x:f>
      </x:c>
      <x:c r="I1421" s="32" t="str">
        <x:f>IF(OR('Detalle'!$J691="",'Detalle'!$K691="",'Detalle'!$L691=""),"",IF(AND(I$8&lt;='Detalle'!$K691,I$9&gt;='Detalle'!$J691),1,""))</x:f>
      </x:c>
      <x:c r="J1421" s="32" t="str">
        <x:f>IF(OR('Detalle'!$J691="",'Detalle'!$K691="",'Detalle'!$L691=""),"",IF(AND(J$8&lt;='Detalle'!$K691,J$9&gt;='Detalle'!$J691),1,""))</x:f>
      </x:c>
      <x:c r="K1421" s="32" t="str">
        <x:f>IF(OR('Detalle'!$J691="",'Detalle'!$K691="",'Detalle'!$L691=""),"",IF(AND(K$8&lt;='Detalle'!$K691,K$9&gt;='Detalle'!$J691),1,""))</x:f>
      </x:c>
      <x:c r="L1421" s="32" t="str">
        <x:f>IF(OR('Detalle'!$J691="",'Detalle'!$K691="",'Detalle'!$L691=""),"",IF(AND(L$8&lt;='Detalle'!$K691,L$9&gt;='Detalle'!$J691),1,""))</x:f>
      </x:c>
      <x:c r="M1421" s="32" t="str">
        <x:f>IF(OR('Detalle'!$J691="",'Detalle'!$K691="",'Detalle'!$L691=""),"",IF(AND(M$8&lt;='Detalle'!$K691,M$9&gt;='Detalle'!$J691),1,""))</x:f>
      </x:c>
      <x:c r="N1421" s="32" t="str">
        <x:f>IF(OR('Detalle'!$J691="",'Detalle'!$K691="",'Detalle'!$L691=""),"",IF(AND(N$8&lt;='Detalle'!$K691,N$9&gt;='Detalle'!$J691),1,""))</x:f>
      </x:c>
      <x:c r="O1421" s="32" t="str">
        <x:f>IF(OR('Detalle'!$J691="",'Detalle'!$K691="",'Detalle'!$L691=""),"",IF(AND(O$8&lt;='Detalle'!$K691,O$9&gt;='Detalle'!$J691),1,""))</x:f>
      </x:c>
      <x:c r="P1421" s="32" t="str">
        <x:f>IF(OR('Detalle'!$J691="",'Detalle'!$K691="",'Detalle'!$L691=""),"",IF(AND(P$8&lt;='Detalle'!$K691,P$9&gt;='Detalle'!$J691),1,""))</x:f>
      </x:c>
      <x:c r="Q1421" s="68"/>
      <x:c r="R1421" s="67" t="str"/>
      <x:c r="S1421" s="67" t="str"/>
    </x:row>
    <x:row r="1422" ht="16" customHeight="1">
      <x:c r="A1422" s="56" t="str">
        <x:v>TOU04.007</x:v>
      </x:c>
      <x:c r="B1422" s="57" t="str">
        <x:v>Calcular FOV Android desde características</x:v>
      </x:c>
      <x:c r="C1422" s="62" t="str">
        <x:v>E</x:v>
      </x:c>
      <x:c r="D1422" s="64" t="n">
        <x:f>'Detalle'!I692</x:f>
        <x:v>1</x:v>
      </x:c>
      <x:c r="E1422" s="60" t="str">
        <x:f>'Detalle'!F692</x:f>
        <x:v>Completado</x:v>
      </x:c>
      <x:c r="F1422" s="32" t="str">
        <x:f>IF(AND(F$8&lt;='Detalle'!$H692,F$9&gt;='Detalle'!$G692),1,"")</x:f>
      </x:c>
      <x:c r="G1422" s="32" t="str">
        <x:f>IF(AND(G$8&lt;='Detalle'!$H692,G$9&gt;='Detalle'!$G692),1,"")</x:f>
      </x:c>
      <x:c r="H1422" s="32" t="str">
        <x:f>IF(AND(H$8&lt;='Detalle'!$H692,H$9&gt;='Detalle'!$G692),1,"")</x:f>
      </x:c>
      <x:c r="I1422" s="32" t="str">
        <x:f>IF(AND(I$8&lt;='Detalle'!$H692,I$9&gt;='Detalle'!$G692),1,"")</x:f>
      </x:c>
      <x:c r="J1422" s="32" t="n">
        <x:f>IF(AND(J$8&lt;='Detalle'!$H692,J$9&gt;='Detalle'!$G692),1,"")</x:f>
        <x:v>1</x:v>
      </x:c>
      <x:c r="K1422" s="32" t="str">
        <x:f>IF(AND(K$8&lt;='Detalle'!$H692,K$9&gt;='Detalle'!$G692),1,"")</x:f>
      </x:c>
      <x:c r="L1422" s="32" t="str">
        <x:f>IF(AND(L$8&lt;='Detalle'!$H692,L$9&gt;='Detalle'!$G692),1,"")</x:f>
      </x:c>
      <x:c r="M1422" s="32" t="str">
        <x:f>IF(AND(M$8&lt;='Detalle'!$H692,M$9&gt;='Detalle'!$G692),1,"")</x:f>
      </x:c>
      <x:c r="N1422" s="32" t="str">
        <x:f>IF(AND(N$8&lt;='Detalle'!$H692,N$9&gt;='Detalle'!$G692),1,"")</x:f>
      </x:c>
      <x:c r="O1422" s="32" t="str">
        <x:f>IF(AND(O$8&lt;='Detalle'!$H692,O$9&gt;='Detalle'!$G692),1,"")</x:f>
      </x:c>
      <x:c r="P1422" s="32" t="str">
        <x:f>IF(AND(P$8&lt;='Detalle'!$H692,P$9&gt;='Detalle'!$G692),1,"")</x:f>
      </x:c>
      <x:c r="Q1422" s="68"/>
      <x:c r="R1422" s="67" t="str">
        <x:f>IF('Detalle'!M692="","",'Detalle'!M692)</x:f>
      </x:c>
      <x:c r="S1422" s="67" t="str">
        <x:f>IF('Detalle'!N692="","",'Detalle'!N692)</x:f>
      </x:c>
    </x:row>
    <x:row r="1423" ht="16" customHeight="1">
      <x:c r="A1423" s="56" t="str">
        <x:v>TOU04.007</x:v>
      </x:c>
      <x:c r="B1423" s="57" t="str">
        <x:v>Calcular FOV Android desde características</x:v>
      </x:c>
      <x:c r="C1423" s="63" t="str">
        <x:v>R</x:v>
      </x:c>
      <x:c r="D1423" s="65" t="str">
        <x:f>IF('Detalle'!L692="","",'Detalle'!L692)</x:f>
      </x:c>
      <x:c r="E1423" s="60" t="str"/>
      <x:c r="F1423" s="32" t="str">
        <x:f>IF(OR('Detalle'!$J692="",'Detalle'!$K692="",'Detalle'!$L692=""),"",IF(AND(F$8&lt;='Detalle'!$K692,F$9&gt;='Detalle'!$J692),1,""))</x:f>
      </x:c>
      <x:c r="G1423" s="32" t="str">
        <x:f>IF(OR('Detalle'!$J692="",'Detalle'!$K692="",'Detalle'!$L692=""),"",IF(AND(G$8&lt;='Detalle'!$K692,G$9&gt;='Detalle'!$J692),1,""))</x:f>
      </x:c>
      <x:c r="H1423" s="32" t="str">
        <x:f>IF(OR('Detalle'!$J692="",'Detalle'!$K692="",'Detalle'!$L692=""),"",IF(AND(H$8&lt;='Detalle'!$K692,H$9&gt;='Detalle'!$J692),1,""))</x:f>
      </x:c>
      <x:c r="I1423" s="32" t="str">
        <x:f>IF(OR('Detalle'!$J692="",'Detalle'!$K692="",'Detalle'!$L692=""),"",IF(AND(I$8&lt;='Detalle'!$K692,I$9&gt;='Detalle'!$J692),1,""))</x:f>
      </x:c>
      <x:c r="J1423" s="32" t="str">
        <x:f>IF(OR('Detalle'!$J692="",'Detalle'!$K692="",'Detalle'!$L692=""),"",IF(AND(J$8&lt;='Detalle'!$K692,J$9&gt;='Detalle'!$J692),1,""))</x:f>
      </x:c>
      <x:c r="K1423" s="32" t="str">
        <x:f>IF(OR('Detalle'!$J692="",'Detalle'!$K692="",'Detalle'!$L692=""),"",IF(AND(K$8&lt;='Detalle'!$K692,K$9&gt;='Detalle'!$J692),1,""))</x:f>
      </x:c>
      <x:c r="L1423" s="32" t="str">
        <x:f>IF(OR('Detalle'!$J692="",'Detalle'!$K692="",'Detalle'!$L692=""),"",IF(AND(L$8&lt;='Detalle'!$K692,L$9&gt;='Detalle'!$J692),1,""))</x:f>
      </x:c>
      <x:c r="M1423" s="32" t="str">
        <x:f>IF(OR('Detalle'!$J692="",'Detalle'!$K692="",'Detalle'!$L692=""),"",IF(AND(M$8&lt;='Detalle'!$K692,M$9&gt;='Detalle'!$J692),1,""))</x:f>
      </x:c>
      <x:c r="N1423" s="32" t="str">
        <x:f>IF(OR('Detalle'!$J692="",'Detalle'!$K692="",'Detalle'!$L692=""),"",IF(AND(N$8&lt;='Detalle'!$K692,N$9&gt;='Detalle'!$J692),1,""))</x:f>
      </x:c>
      <x:c r="O1423" s="32" t="str">
        <x:f>IF(OR('Detalle'!$J692="",'Detalle'!$K692="",'Detalle'!$L692=""),"",IF(AND(O$8&lt;='Detalle'!$K692,O$9&gt;='Detalle'!$J692),1,""))</x:f>
      </x:c>
      <x:c r="P1423" s="32" t="str">
        <x:f>IF(OR('Detalle'!$J692="",'Detalle'!$K692="",'Detalle'!$L692=""),"",IF(AND(P$8&lt;='Detalle'!$K692,P$9&gt;='Detalle'!$J692),1,""))</x:f>
      </x:c>
      <x:c r="Q1423" s="68"/>
      <x:c r="R1423" s="67" t="str"/>
      <x:c r="S1423" s="67" t="str"/>
    </x:row>
    <x:row r="1424" ht="16" customHeight="1">
      <x:c r="A1424" s="56" t="str">
        <x:v>TOU04.008</x:v>
      </x:c>
      <x:c r="B1424" s="57" t="str">
        <x:v>Rechazar cámaras Android ambiguas</x:v>
      </x:c>
      <x:c r="C1424" s="62" t="str">
        <x:v>E</x:v>
      </x:c>
      <x:c r="D1424" s="64" t="n">
        <x:f>'Detalle'!I693</x:f>
        <x:v>1</x:v>
      </x:c>
      <x:c r="E1424" s="60" t="str">
        <x:f>'Detalle'!F693</x:f>
        <x:v>Completado</x:v>
      </x:c>
      <x:c r="F1424" s="32" t="str">
        <x:f>IF(AND(F$8&lt;='Detalle'!$H693,F$9&gt;='Detalle'!$G693),1,"")</x:f>
      </x:c>
      <x:c r="G1424" s="32" t="str">
        <x:f>IF(AND(G$8&lt;='Detalle'!$H693,G$9&gt;='Detalle'!$G693),1,"")</x:f>
      </x:c>
      <x:c r="H1424" s="32" t="str">
        <x:f>IF(AND(H$8&lt;='Detalle'!$H693,H$9&gt;='Detalle'!$G693),1,"")</x:f>
      </x:c>
      <x:c r="I1424" s="32" t="str">
        <x:f>IF(AND(I$8&lt;='Detalle'!$H693,I$9&gt;='Detalle'!$G693),1,"")</x:f>
      </x:c>
      <x:c r="J1424" s="32" t="n">
        <x:f>IF(AND(J$8&lt;='Detalle'!$H693,J$9&gt;='Detalle'!$G693),1,"")</x:f>
        <x:v>1</x:v>
      </x:c>
      <x:c r="K1424" s="32" t="str">
        <x:f>IF(AND(K$8&lt;='Detalle'!$H693,K$9&gt;='Detalle'!$G693),1,"")</x:f>
      </x:c>
      <x:c r="L1424" s="32" t="str">
        <x:f>IF(AND(L$8&lt;='Detalle'!$H693,L$9&gt;='Detalle'!$G693),1,"")</x:f>
      </x:c>
      <x:c r="M1424" s="32" t="str">
        <x:f>IF(AND(M$8&lt;='Detalle'!$H693,M$9&gt;='Detalle'!$G693),1,"")</x:f>
      </x:c>
      <x:c r="N1424" s="32" t="str">
        <x:f>IF(AND(N$8&lt;='Detalle'!$H693,N$9&gt;='Detalle'!$G693),1,"")</x:f>
      </x:c>
      <x:c r="O1424" s="32" t="str">
        <x:f>IF(AND(O$8&lt;='Detalle'!$H693,O$9&gt;='Detalle'!$G693),1,"")</x:f>
      </x:c>
      <x:c r="P1424" s="32" t="str">
        <x:f>IF(AND(P$8&lt;='Detalle'!$H693,P$9&gt;='Detalle'!$G693),1,"")</x:f>
      </x:c>
      <x:c r="Q1424" s="68"/>
      <x:c r="R1424" s="67" t="str">
        <x:f>IF('Detalle'!M693="","",'Detalle'!M693)</x:f>
      </x:c>
      <x:c r="S1424" s="67" t="str">
        <x:f>IF('Detalle'!N693="","",'Detalle'!N693)</x:f>
      </x:c>
    </x:row>
    <x:row r="1425" ht="16" customHeight="1">
      <x:c r="A1425" s="56" t="str">
        <x:v>TOU04.008</x:v>
      </x:c>
      <x:c r="B1425" s="57" t="str">
        <x:v>Rechazar cámaras Android ambiguas</x:v>
      </x:c>
      <x:c r="C1425" s="63" t="str">
        <x:v>R</x:v>
      </x:c>
      <x:c r="D1425" s="65" t="str">
        <x:f>IF('Detalle'!L693="","",'Detalle'!L693)</x:f>
      </x:c>
      <x:c r="E1425" s="60" t="str"/>
      <x:c r="F1425" s="32" t="str">
        <x:f>IF(OR('Detalle'!$J693="",'Detalle'!$K693="",'Detalle'!$L693=""),"",IF(AND(F$8&lt;='Detalle'!$K693,F$9&gt;='Detalle'!$J693),1,""))</x:f>
      </x:c>
      <x:c r="G1425" s="32" t="str">
        <x:f>IF(OR('Detalle'!$J693="",'Detalle'!$K693="",'Detalle'!$L693=""),"",IF(AND(G$8&lt;='Detalle'!$K693,G$9&gt;='Detalle'!$J693),1,""))</x:f>
      </x:c>
      <x:c r="H1425" s="32" t="str">
        <x:f>IF(OR('Detalle'!$J693="",'Detalle'!$K693="",'Detalle'!$L693=""),"",IF(AND(H$8&lt;='Detalle'!$K693,H$9&gt;='Detalle'!$J693),1,""))</x:f>
      </x:c>
      <x:c r="I1425" s="32" t="str">
        <x:f>IF(OR('Detalle'!$J693="",'Detalle'!$K693="",'Detalle'!$L693=""),"",IF(AND(I$8&lt;='Detalle'!$K693,I$9&gt;='Detalle'!$J693),1,""))</x:f>
      </x:c>
      <x:c r="J1425" s="32" t="str">
        <x:f>IF(OR('Detalle'!$J693="",'Detalle'!$K693="",'Detalle'!$L693=""),"",IF(AND(J$8&lt;='Detalle'!$K693,J$9&gt;='Detalle'!$J693),1,""))</x:f>
      </x:c>
      <x:c r="K1425" s="32" t="str">
        <x:f>IF(OR('Detalle'!$J693="",'Detalle'!$K693="",'Detalle'!$L693=""),"",IF(AND(K$8&lt;='Detalle'!$K693,K$9&gt;='Detalle'!$J693),1,""))</x:f>
      </x:c>
      <x:c r="L1425" s="32" t="str">
        <x:f>IF(OR('Detalle'!$J693="",'Detalle'!$K693="",'Detalle'!$L693=""),"",IF(AND(L$8&lt;='Detalle'!$K693,L$9&gt;='Detalle'!$J693),1,""))</x:f>
      </x:c>
      <x:c r="M1425" s="32" t="str">
        <x:f>IF(OR('Detalle'!$J693="",'Detalle'!$K693="",'Detalle'!$L693=""),"",IF(AND(M$8&lt;='Detalle'!$K693,M$9&gt;='Detalle'!$J693),1,""))</x:f>
      </x:c>
      <x:c r="N1425" s="32" t="str">
        <x:f>IF(OR('Detalle'!$J693="",'Detalle'!$K693="",'Detalle'!$L693=""),"",IF(AND(N$8&lt;='Detalle'!$K693,N$9&gt;='Detalle'!$J693),1,""))</x:f>
      </x:c>
      <x:c r="O1425" s="32" t="str">
        <x:f>IF(OR('Detalle'!$J693="",'Detalle'!$K693="",'Detalle'!$L693=""),"",IF(AND(O$8&lt;='Detalle'!$K693,O$9&gt;='Detalle'!$J693),1,""))</x:f>
      </x:c>
      <x:c r="P1425" s="32" t="str">
        <x:f>IF(OR('Detalle'!$J693="",'Detalle'!$K693="",'Detalle'!$L693=""),"",IF(AND(P$8&lt;='Detalle'!$K693,P$9&gt;='Detalle'!$J693),1,""))</x:f>
      </x:c>
      <x:c r="Q1425" s="68"/>
      <x:c r="R1425" s="67" t="str"/>
      <x:c r="S1425" s="67" t="str"/>
    </x:row>
    <x:row r="1426" ht="16" customHeight="1">
      <x:c r="A1426" s="56" t="str">
        <x:v>TOU04.009</x:v>
      </x:c>
      <x:c r="B1426" s="57" t="str">
        <x:v>Calcular FOV iOS desde cámara identificada</x:v>
      </x:c>
      <x:c r="C1426" s="62" t="str">
        <x:v>E</x:v>
      </x:c>
      <x:c r="D1426" s="64" t="n">
        <x:f>'Detalle'!I694</x:f>
        <x:v>1</x:v>
      </x:c>
      <x:c r="E1426" s="60" t="str">
        <x:f>'Detalle'!F694</x:f>
        <x:v>Completado</x:v>
      </x:c>
      <x:c r="F1426" s="32" t="str">
        <x:f>IF(AND(F$8&lt;='Detalle'!$H694,F$9&gt;='Detalle'!$G694),1,"")</x:f>
      </x:c>
      <x:c r="G1426" s="32" t="str">
        <x:f>IF(AND(G$8&lt;='Detalle'!$H694,G$9&gt;='Detalle'!$G694),1,"")</x:f>
      </x:c>
      <x:c r="H1426" s="32" t="str">
        <x:f>IF(AND(H$8&lt;='Detalle'!$H694,H$9&gt;='Detalle'!$G694),1,"")</x:f>
      </x:c>
      <x:c r="I1426" s="32" t="str">
        <x:f>IF(AND(I$8&lt;='Detalle'!$H694,I$9&gt;='Detalle'!$G694),1,"")</x:f>
      </x:c>
      <x:c r="J1426" s="32" t="n">
        <x:f>IF(AND(J$8&lt;='Detalle'!$H694,J$9&gt;='Detalle'!$G694),1,"")</x:f>
        <x:v>1</x:v>
      </x:c>
      <x:c r="K1426" s="32" t="str">
        <x:f>IF(AND(K$8&lt;='Detalle'!$H694,K$9&gt;='Detalle'!$G694),1,"")</x:f>
      </x:c>
      <x:c r="L1426" s="32" t="str">
        <x:f>IF(AND(L$8&lt;='Detalle'!$H694,L$9&gt;='Detalle'!$G694),1,"")</x:f>
      </x:c>
      <x:c r="M1426" s="32" t="str">
        <x:f>IF(AND(M$8&lt;='Detalle'!$H694,M$9&gt;='Detalle'!$G694),1,"")</x:f>
      </x:c>
      <x:c r="N1426" s="32" t="str">
        <x:f>IF(AND(N$8&lt;='Detalle'!$H694,N$9&gt;='Detalle'!$G694),1,"")</x:f>
      </x:c>
      <x:c r="O1426" s="32" t="str">
        <x:f>IF(AND(O$8&lt;='Detalle'!$H694,O$9&gt;='Detalle'!$G694),1,"")</x:f>
      </x:c>
      <x:c r="P1426" s="32" t="str">
        <x:f>IF(AND(P$8&lt;='Detalle'!$H694,P$9&gt;='Detalle'!$G694),1,"")</x:f>
      </x:c>
      <x:c r="Q1426" s="68"/>
      <x:c r="R1426" s="67" t="str">
        <x:f>IF('Detalle'!M694="","",'Detalle'!M694)</x:f>
      </x:c>
      <x:c r="S1426" s="67" t="str">
        <x:f>IF('Detalle'!N694="","",'Detalle'!N694)</x:f>
      </x:c>
    </x:row>
    <x:row r="1427" ht="16" customHeight="1">
      <x:c r="A1427" s="56" t="str">
        <x:v>TOU04.009</x:v>
      </x:c>
      <x:c r="B1427" s="57" t="str">
        <x:v>Calcular FOV iOS desde cámara identificada</x:v>
      </x:c>
      <x:c r="C1427" s="63" t="str">
        <x:v>R</x:v>
      </x:c>
      <x:c r="D1427" s="65" t="str">
        <x:f>IF('Detalle'!L694="","",'Detalle'!L694)</x:f>
      </x:c>
      <x:c r="E1427" s="60" t="str"/>
      <x:c r="F1427" s="32" t="str">
        <x:f>IF(OR('Detalle'!$J694="",'Detalle'!$K694="",'Detalle'!$L694=""),"",IF(AND(F$8&lt;='Detalle'!$K694,F$9&gt;='Detalle'!$J694),1,""))</x:f>
      </x:c>
      <x:c r="G1427" s="32" t="str">
        <x:f>IF(OR('Detalle'!$J694="",'Detalle'!$K694="",'Detalle'!$L694=""),"",IF(AND(G$8&lt;='Detalle'!$K694,G$9&gt;='Detalle'!$J694),1,""))</x:f>
      </x:c>
      <x:c r="H1427" s="32" t="str">
        <x:f>IF(OR('Detalle'!$J694="",'Detalle'!$K694="",'Detalle'!$L694=""),"",IF(AND(H$8&lt;='Detalle'!$K694,H$9&gt;='Detalle'!$J694),1,""))</x:f>
      </x:c>
      <x:c r="I1427" s="32" t="str">
        <x:f>IF(OR('Detalle'!$J694="",'Detalle'!$K694="",'Detalle'!$L694=""),"",IF(AND(I$8&lt;='Detalle'!$K694,I$9&gt;='Detalle'!$J694),1,""))</x:f>
      </x:c>
      <x:c r="J1427" s="32" t="str">
        <x:f>IF(OR('Detalle'!$J694="",'Detalle'!$K694="",'Detalle'!$L694=""),"",IF(AND(J$8&lt;='Detalle'!$K694,J$9&gt;='Detalle'!$J694),1,""))</x:f>
      </x:c>
      <x:c r="K1427" s="32" t="str">
        <x:f>IF(OR('Detalle'!$J694="",'Detalle'!$K694="",'Detalle'!$L694=""),"",IF(AND(K$8&lt;='Detalle'!$K694,K$9&gt;='Detalle'!$J694),1,""))</x:f>
      </x:c>
      <x:c r="L1427" s="32" t="str">
        <x:f>IF(OR('Detalle'!$J694="",'Detalle'!$K694="",'Detalle'!$L694=""),"",IF(AND(L$8&lt;='Detalle'!$K694,L$9&gt;='Detalle'!$J694),1,""))</x:f>
      </x:c>
      <x:c r="M1427" s="32" t="str">
        <x:f>IF(OR('Detalle'!$J694="",'Detalle'!$K694="",'Detalle'!$L694=""),"",IF(AND(M$8&lt;='Detalle'!$K694,M$9&gt;='Detalle'!$J694),1,""))</x:f>
      </x:c>
      <x:c r="N1427" s="32" t="str">
        <x:f>IF(OR('Detalle'!$J694="",'Detalle'!$K694="",'Detalle'!$L694=""),"",IF(AND(N$8&lt;='Detalle'!$K694,N$9&gt;='Detalle'!$J694),1,""))</x:f>
      </x:c>
      <x:c r="O1427" s="32" t="str">
        <x:f>IF(OR('Detalle'!$J694="",'Detalle'!$K694="",'Detalle'!$L694=""),"",IF(AND(O$8&lt;='Detalle'!$K694,O$9&gt;='Detalle'!$J694),1,""))</x:f>
      </x:c>
      <x:c r="P1427" s="32" t="str">
        <x:f>IF(OR('Detalle'!$J694="",'Detalle'!$K694="",'Detalle'!$L694=""),"",IF(AND(P$8&lt;='Detalle'!$K694,P$9&gt;='Detalle'!$J694),1,""))</x:f>
      </x:c>
      <x:c r="Q1427" s="68"/>
      <x:c r="R1427" s="67" t="str"/>
      <x:c r="S1427" s="67" t="str"/>
    </x:row>
    <x:row r="1428" ht="16" customHeight="1">
      <x:c r="A1428" s="56" t="str">
        <x:v>TOU04.010</x:v>
      </x:c>
      <x:c r="B1428" s="57" t="str">
        <x:v>Emitir error sin datos de cámara</x:v>
      </x:c>
      <x:c r="C1428" s="62" t="str">
        <x:v>E</x:v>
      </x:c>
      <x:c r="D1428" s="64" t="n">
        <x:f>'Detalle'!I695</x:f>
        <x:v>1</x:v>
      </x:c>
      <x:c r="E1428" s="60" t="str">
        <x:f>'Detalle'!F695</x:f>
        <x:v>Completado</x:v>
      </x:c>
      <x:c r="F1428" s="32" t="str">
        <x:f>IF(AND(F$8&lt;='Detalle'!$H695,F$9&gt;='Detalle'!$G695),1,"")</x:f>
      </x:c>
      <x:c r="G1428" s="32" t="str">
        <x:f>IF(AND(G$8&lt;='Detalle'!$H695,G$9&gt;='Detalle'!$G695),1,"")</x:f>
      </x:c>
      <x:c r="H1428" s="32" t="str">
        <x:f>IF(AND(H$8&lt;='Detalle'!$H695,H$9&gt;='Detalle'!$G695),1,"")</x:f>
      </x:c>
      <x:c r="I1428" s="32" t="str">
        <x:f>IF(AND(I$8&lt;='Detalle'!$H695,I$9&gt;='Detalle'!$G695),1,"")</x:f>
      </x:c>
      <x:c r="J1428" s="32" t="n">
        <x:f>IF(AND(J$8&lt;='Detalle'!$H695,J$9&gt;='Detalle'!$G695),1,"")</x:f>
        <x:v>1</x:v>
      </x:c>
      <x:c r="K1428" s="32" t="str">
        <x:f>IF(AND(K$8&lt;='Detalle'!$H695,K$9&gt;='Detalle'!$G695),1,"")</x:f>
      </x:c>
      <x:c r="L1428" s="32" t="str">
        <x:f>IF(AND(L$8&lt;='Detalle'!$H695,L$9&gt;='Detalle'!$G695),1,"")</x:f>
      </x:c>
      <x:c r="M1428" s="32" t="str">
        <x:f>IF(AND(M$8&lt;='Detalle'!$H695,M$9&gt;='Detalle'!$G695),1,"")</x:f>
      </x:c>
      <x:c r="N1428" s="32" t="str">
        <x:f>IF(AND(N$8&lt;='Detalle'!$H695,N$9&gt;='Detalle'!$G695),1,"")</x:f>
      </x:c>
      <x:c r="O1428" s="32" t="str">
        <x:f>IF(AND(O$8&lt;='Detalle'!$H695,O$9&gt;='Detalle'!$G695),1,"")</x:f>
      </x:c>
      <x:c r="P1428" s="32" t="str">
        <x:f>IF(AND(P$8&lt;='Detalle'!$H695,P$9&gt;='Detalle'!$G695),1,"")</x:f>
      </x:c>
      <x:c r="Q1428" s="68"/>
      <x:c r="R1428" s="67" t="str">
        <x:f>IF('Detalle'!M695="","",'Detalle'!M695)</x:f>
      </x:c>
      <x:c r="S1428" s="67" t="str">
        <x:f>IF('Detalle'!N695="","",'Detalle'!N695)</x:f>
      </x:c>
    </x:row>
    <x:row r="1429" ht="16" customHeight="1">
      <x:c r="A1429" s="56" t="str">
        <x:v>TOU04.010</x:v>
      </x:c>
      <x:c r="B1429" s="57" t="str">
        <x:v>Emitir error sin datos de cámara</x:v>
      </x:c>
      <x:c r="C1429" s="63" t="str">
        <x:v>R</x:v>
      </x:c>
      <x:c r="D1429" s="65" t="str">
        <x:f>IF('Detalle'!L695="","",'Detalle'!L695)</x:f>
      </x:c>
      <x:c r="E1429" s="60" t="str"/>
      <x:c r="F1429" s="32" t="str">
        <x:f>IF(OR('Detalle'!$J695="",'Detalle'!$K695="",'Detalle'!$L695=""),"",IF(AND(F$8&lt;='Detalle'!$K695,F$9&gt;='Detalle'!$J695),1,""))</x:f>
      </x:c>
      <x:c r="G1429" s="32" t="str">
        <x:f>IF(OR('Detalle'!$J695="",'Detalle'!$K695="",'Detalle'!$L695=""),"",IF(AND(G$8&lt;='Detalle'!$K695,G$9&gt;='Detalle'!$J695),1,""))</x:f>
      </x:c>
      <x:c r="H1429" s="32" t="str">
        <x:f>IF(OR('Detalle'!$J695="",'Detalle'!$K695="",'Detalle'!$L695=""),"",IF(AND(H$8&lt;='Detalle'!$K695,H$9&gt;='Detalle'!$J695),1,""))</x:f>
      </x:c>
      <x:c r="I1429" s="32" t="str">
        <x:f>IF(OR('Detalle'!$J695="",'Detalle'!$K695="",'Detalle'!$L695=""),"",IF(AND(I$8&lt;='Detalle'!$K695,I$9&gt;='Detalle'!$J695),1,""))</x:f>
      </x:c>
      <x:c r="J1429" s="32" t="str">
        <x:f>IF(OR('Detalle'!$J695="",'Detalle'!$K695="",'Detalle'!$L695=""),"",IF(AND(J$8&lt;='Detalle'!$K695,J$9&gt;='Detalle'!$J695),1,""))</x:f>
      </x:c>
      <x:c r="K1429" s="32" t="str">
        <x:f>IF(OR('Detalle'!$J695="",'Detalle'!$K695="",'Detalle'!$L695=""),"",IF(AND(K$8&lt;='Detalle'!$K695,K$9&gt;='Detalle'!$J695),1,""))</x:f>
      </x:c>
      <x:c r="L1429" s="32" t="str">
        <x:f>IF(OR('Detalle'!$J695="",'Detalle'!$K695="",'Detalle'!$L695=""),"",IF(AND(L$8&lt;='Detalle'!$K695,L$9&gt;='Detalle'!$J695),1,""))</x:f>
      </x:c>
      <x:c r="M1429" s="32" t="str">
        <x:f>IF(OR('Detalle'!$J695="",'Detalle'!$K695="",'Detalle'!$L695=""),"",IF(AND(M$8&lt;='Detalle'!$K695,M$9&gt;='Detalle'!$J695),1,""))</x:f>
      </x:c>
      <x:c r="N1429" s="32" t="str">
        <x:f>IF(OR('Detalle'!$J695="",'Detalle'!$K695="",'Detalle'!$L695=""),"",IF(AND(N$8&lt;='Detalle'!$K695,N$9&gt;='Detalle'!$J695),1,""))</x:f>
      </x:c>
      <x:c r="O1429" s="32" t="str">
        <x:f>IF(OR('Detalle'!$J695="",'Detalle'!$K695="",'Detalle'!$L695=""),"",IF(AND(O$8&lt;='Detalle'!$K695,O$9&gt;='Detalle'!$J695),1,""))</x:f>
      </x:c>
      <x:c r="P1429" s="32" t="str">
        <x:f>IF(OR('Detalle'!$J695="",'Detalle'!$K695="",'Detalle'!$L695=""),"",IF(AND(P$8&lt;='Detalle'!$K695,P$9&gt;='Detalle'!$J695),1,""))</x:f>
      </x:c>
      <x:c r="Q1429" s="68"/>
      <x:c r="R1429" s="67" t="str"/>
      <x:c r="S1429" s="67" t="str"/>
    </x:row>
    <x:row r="1430" ht="16" customHeight="1">
      <x:c r="A1430" s="56" t="str">
        <x:v>TOU04.011</x:v>
      </x:c>
      <x:c r="B1430" s="57" t="str">
        <x:v>Liberar sensores al pausar</x:v>
      </x:c>
      <x:c r="C1430" s="62" t="str">
        <x:v>E</x:v>
      </x:c>
      <x:c r="D1430" s="64" t="n">
        <x:f>'Detalle'!I696</x:f>
        <x:v>1</x:v>
      </x:c>
      <x:c r="E1430" s="60" t="str">
        <x:f>'Detalle'!F696</x:f>
        <x:v>Completado</x:v>
      </x:c>
      <x:c r="F1430" s="32" t="str">
        <x:f>IF(AND(F$8&lt;='Detalle'!$H696,F$9&gt;='Detalle'!$G696),1,"")</x:f>
      </x:c>
      <x:c r="G1430" s="32" t="str">
        <x:f>IF(AND(G$8&lt;='Detalle'!$H696,G$9&gt;='Detalle'!$G696),1,"")</x:f>
      </x:c>
      <x:c r="H1430" s="32" t="str">
        <x:f>IF(AND(H$8&lt;='Detalle'!$H696,H$9&gt;='Detalle'!$G696),1,"")</x:f>
      </x:c>
      <x:c r="I1430" s="32" t="str">
        <x:f>IF(AND(I$8&lt;='Detalle'!$H696,I$9&gt;='Detalle'!$G696),1,"")</x:f>
      </x:c>
      <x:c r="J1430" s="32" t="n">
        <x:f>IF(AND(J$8&lt;='Detalle'!$H696,J$9&gt;='Detalle'!$G696),1,"")</x:f>
        <x:v>1</x:v>
      </x:c>
      <x:c r="K1430" s="32" t="str">
        <x:f>IF(AND(K$8&lt;='Detalle'!$H696,K$9&gt;='Detalle'!$G696),1,"")</x:f>
      </x:c>
      <x:c r="L1430" s="32" t="str">
        <x:f>IF(AND(L$8&lt;='Detalle'!$H696,L$9&gt;='Detalle'!$G696),1,"")</x:f>
      </x:c>
      <x:c r="M1430" s="32" t="str">
        <x:f>IF(AND(M$8&lt;='Detalle'!$H696,M$9&gt;='Detalle'!$G696),1,"")</x:f>
      </x:c>
      <x:c r="N1430" s="32" t="str">
        <x:f>IF(AND(N$8&lt;='Detalle'!$H696,N$9&gt;='Detalle'!$G696),1,"")</x:f>
      </x:c>
      <x:c r="O1430" s="32" t="str">
        <x:f>IF(AND(O$8&lt;='Detalle'!$H696,O$9&gt;='Detalle'!$G696),1,"")</x:f>
      </x:c>
      <x:c r="P1430" s="32" t="str">
        <x:f>IF(AND(P$8&lt;='Detalle'!$H696,P$9&gt;='Detalle'!$G696),1,"")</x:f>
      </x:c>
      <x:c r="Q1430" s="68"/>
      <x:c r="R1430" s="67" t="str">
        <x:f>IF('Detalle'!M696="","",'Detalle'!M696)</x:f>
      </x:c>
      <x:c r="S1430" s="67" t="str">
        <x:f>IF('Detalle'!N696="","",'Detalle'!N696)</x:f>
      </x:c>
    </x:row>
    <x:row r="1431" ht="16" customHeight="1">
      <x:c r="A1431" s="56" t="str">
        <x:v>TOU04.011</x:v>
      </x:c>
      <x:c r="B1431" s="57" t="str">
        <x:v>Liberar sensores al pausar</x:v>
      </x:c>
      <x:c r="C1431" s="63" t="str">
        <x:v>R</x:v>
      </x:c>
      <x:c r="D1431" s="65" t="str">
        <x:f>IF('Detalle'!L696="","",'Detalle'!L696)</x:f>
      </x:c>
      <x:c r="E1431" s="60" t="str"/>
      <x:c r="F1431" s="32" t="str">
        <x:f>IF(OR('Detalle'!$J696="",'Detalle'!$K696="",'Detalle'!$L696=""),"",IF(AND(F$8&lt;='Detalle'!$K696,F$9&gt;='Detalle'!$J696),1,""))</x:f>
      </x:c>
      <x:c r="G1431" s="32" t="str">
        <x:f>IF(OR('Detalle'!$J696="",'Detalle'!$K696="",'Detalle'!$L696=""),"",IF(AND(G$8&lt;='Detalle'!$K696,G$9&gt;='Detalle'!$J696),1,""))</x:f>
      </x:c>
      <x:c r="H1431" s="32" t="str">
        <x:f>IF(OR('Detalle'!$J696="",'Detalle'!$K696="",'Detalle'!$L696=""),"",IF(AND(H$8&lt;='Detalle'!$K696,H$9&gt;='Detalle'!$J696),1,""))</x:f>
      </x:c>
      <x:c r="I1431" s="32" t="str">
        <x:f>IF(OR('Detalle'!$J696="",'Detalle'!$K696="",'Detalle'!$L696=""),"",IF(AND(I$8&lt;='Detalle'!$K696,I$9&gt;='Detalle'!$J696),1,""))</x:f>
      </x:c>
      <x:c r="J1431" s="32" t="str">
        <x:f>IF(OR('Detalle'!$J696="",'Detalle'!$K696="",'Detalle'!$L696=""),"",IF(AND(J$8&lt;='Detalle'!$K696,J$9&gt;='Detalle'!$J696),1,""))</x:f>
      </x:c>
      <x:c r="K1431" s="32" t="str">
        <x:f>IF(OR('Detalle'!$J696="",'Detalle'!$K696="",'Detalle'!$L696=""),"",IF(AND(K$8&lt;='Detalle'!$K696,K$9&gt;='Detalle'!$J696),1,""))</x:f>
      </x:c>
      <x:c r="L1431" s="32" t="str">
        <x:f>IF(OR('Detalle'!$J696="",'Detalle'!$K696="",'Detalle'!$L696=""),"",IF(AND(L$8&lt;='Detalle'!$K696,L$9&gt;='Detalle'!$J696),1,""))</x:f>
      </x:c>
      <x:c r="M1431" s="32" t="str">
        <x:f>IF(OR('Detalle'!$J696="",'Detalle'!$K696="",'Detalle'!$L696=""),"",IF(AND(M$8&lt;='Detalle'!$K696,M$9&gt;='Detalle'!$J696),1,""))</x:f>
      </x:c>
      <x:c r="N1431" s="32" t="str">
        <x:f>IF(OR('Detalle'!$J696="",'Detalle'!$K696="",'Detalle'!$L696=""),"",IF(AND(N$8&lt;='Detalle'!$K696,N$9&gt;='Detalle'!$J696),1,""))</x:f>
      </x:c>
      <x:c r="O1431" s="32" t="str">
        <x:f>IF(OR('Detalle'!$J696="",'Detalle'!$K696="",'Detalle'!$L696=""),"",IF(AND(O$8&lt;='Detalle'!$K696,O$9&gt;='Detalle'!$J696),1,""))</x:f>
      </x:c>
      <x:c r="P1431" s="32" t="str">
        <x:f>IF(OR('Detalle'!$J696="",'Detalle'!$K696="",'Detalle'!$L696=""),"",IF(AND(P$8&lt;='Detalle'!$K696,P$9&gt;='Detalle'!$J696),1,""))</x:f>
      </x:c>
      <x:c r="Q1431" s="68"/>
      <x:c r="R1431" s="67" t="str"/>
      <x:c r="S1431" s="67" t="str"/>
    </x:row>
    <x:row r="1432" ht="16" customHeight="1">
      <x:c r="A1432" s="56" t="str">
        <x:v>TOU04.012</x:v>
      </x:c>
      <x:c r="B1432" s="57" t="str">
        <x:v>Verificar matemáticas y callbacks nativos</x:v>
      </x:c>
      <x:c r="C1432" s="62" t="str">
        <x:v>E</x:v>
      </x:c>
      <x:c r="D1432" s="64" t="n">
        <x:f>'Detalle'!I697</x:f>
        <x:v>1</x:v>
      </x:c>
      <x:c r="E1432" s="60" t="str">
        <x:f>'Detalle'!F697</x:f>
        <x:v>Completado</x:v>
      </x:c>
      <x:c r="F1432" s="32" t="str">
        <x:f>IF(AND(F$8&lt;='Detalle'!$H697,F$9&gt;='Detalle'!$G697),1,"")</x:f>
      </x:c>
      <x:c r="G1432" s="32" t="str">
        <x:f>IF(AND(G$8&lt;='Detalle'!$H697,G$9&gt;='Detalle'!$G697),1,"")</x:f>
      </x:c>
      <x:c r="H1432" s="32" t="str">
        <x:f>IF(AND(H$8&lt;='Detalle'!$H697,H$9&gt;='Detalle'!$G697),1,"")</x:f>
      </x:c>
      <x:c r="I1432" s="32" t="str">
        <x:f>IF(AND(I$8&lt;='Detalle'!$H697,I$9&gt;='Detalle'!$G697),1,"")</x:f>
      </x:c>
      <x:c r="J1432" s="32" t="n">
        <x:f>IF(AND(J$8&lt;='Detalle'!$H697,J$9&gt;='Detalle'!$G697),1,"")</x:f>
        <x:v>1</x:v>
      </x:c>
      <x:c r="K1432" s="32" t="str">
        <x:f>IF(AND(K$8&lt;='Detalle'!$H697,K$9&gt;='Detalle'!$G697),1,"")</x:f>
      </x:c>
      <x:c r="L1432" s="32" t="str">
        <x:f>IF(AND(L$8&lt;='Detalle'!$H697,L$9&gt;='Detalle'!$G697),1,"")</x:f>
      </x:c>
      <x:c r="M1432" s="32" t="str">
        <x:f>IF(AND(M$8&lt;='Detalle'!$H697,M$9&gt;='Detalle'!$G697),1,"")</x:f>
      </x:c>
      <x:c r="N1432" s="32" t="str">
        <x:f>IF(AND(N$8&lt;='Detalle'!$H697,N$9&gt;='Detalle'!$G697),1,"")</x:f>
      </x:c>
      <x:c r="O1432" s="32" t="str">
        <x:f>IF(AND(O$8&lt;='Detalle'!$H697,O$9&gt;='Detalle'!$G697),1,"")</x:f>
      </x:c>
      <x:c r="P1432" s="32" t="str">
        <x:f>IF(AND(P$8&lt;='Detalle'!$H697,P$9&gt;='Detalle'!$G697),1,"")</x:f>
      </x:c>
      <x:c r="Q1432" s="68"/>
      <x:c r="R1432" s="67" t="str">
        <x:f>IF('Detalle'!M697="","",'Detalle'!M697)</x:f>
      </x:c>
      <x:c r="S1432" s="67" t="str">
        <x:f>IF('Detalle'!N697="","",'Detalle'!N697)</x:f>
      </x:c>
    </x:row>
    <x:row r="1433" ht="16" customHeight="1">
      <x:c r="A1433" s="56" t="str">
        <x:v>TOU04.012</x:v>
      </x:c>
      <x:c r="B1433" s="57" t="str">
        <x:v>Verificar matemáticas y callbacks nativos</x:v>
      </x:c>
      <x:c r="C1433" s="63" t="str">
        <x:v>R</x:v>
      </x:c>
      <x:c r="D1433" s="65" t="str">
        <x:f>IF('Detalle'!L697="","",'Detalle'!L697)</x:f>
      </x:c>
      <x:c r="E1433" s="60" t="str"/>
      <x:c r="F1433" s="32" t="str">
        <x:f>IF(OR('Detalle'!$J697="",'Detalle'!$K697="",'Detalle'!$L697=""),"",IF(AND(F$8&lt;='Detalle'!$K697,F$9&gt;='Detalle'!$J697),1,""))</x:f>
      </x:c>
      <x:c r="G1433" s="32" t="str">
        <x:f>IF(OR('Detalle'!$J697="",'Detalle'!$K697="",'Detalle'!$L697=""),"",IF(AND(G$8&lt;='Detalle'!$K697,G$9&gt;='Detalle'!$J697),1,""))</x:f>
      </x:c>
      <x:c r="H1433" s="32" t="str">
        <x:f>IF(OR('Detalle'!$J697="",'Detalle'!$K697="",'Detalle'!$L697=""),"",IF(AND(H$8&lt;='Detalle'!$K697,H$9&gt;='Detalle'!$J697),1,""))</x:f>
      </x:c>
      <x:c r="I1433" s="32" t="str">
        <x:f>IF(OR('Detalle'!$J697="",'Detalle'!$K697="",'Detalle'!$L697=""),"",IF(AND(I$8&lt;='Detalle'!$K697,I$9&gt;='Detalle'!$J697),1,""))</x:f>
      </x:c>
      <x:c r="J1433" s="32" t="str">
        <x:f>IF(OR('Detalle'!$J697="",'Detalle'!$K697="",'Detalle'!$L697=""),"",IF(AND(J$8&lt;='Detalle'!$K697,J$9&gt;='Detalle'!$J697),1,""))</x:f>
      </x:c>
      <x:c r="K1433" s="32" t="str">
        <x:f>IF(OR('Detalle'!$J697="",'Detalle'!$K697="",'Detalle'!$L697=""),"",IF(AND(K$8&lt;='Detalle'!$K697,K$9&gt;='Detalle'!$J697),1,""))</x:f>
      </x:c>
      <x:c r="L1433" s="32" t="str">
        <x:f>IF(OR('Detalle'!$J697="",'Detalle'!$K697="",'Detalle'!$L697=""),"",IF(AND(L$8&lt;='Detalle'!$K697,L$9&gt;='Detalle'!$J697),1,""))</x:f>
      </x:c>
      <x:c r="M1433" s="32" t="str">
        <x:f>IF(OR('Detalle'!$J697="",'Detalle'!$K697="",'Detalle'!$L697=""),"",IF(AND(M$8&lt;='Detalle'!$K697,M$9&gt;='Detalle'!$J697),1,""))</x:f>
      </x:c>
      <x:c r="N1433" s="32" t="str">
        <x:f>IF(OR('Detalle'!$J697="",'Detalle'!$K697="",'Detalle'!$L697=""),"",IF(AND(N$8&lt;='Detalle'!$K697,N$9&gt;='Detalle'!$J697),1,""))</x:f>
      </x:c>
      <x:c r="O1433" s="32" t="str">
        <x:f>IF(OR('Detalle'!$J697="",'Detalle'!$K697="",'Detalle'!$L697=""),"",IF(AND(O$8&lt;='Detalle'!$K697,O$9&gt;='Detalle'!$J697),1,""))</x:f>
      </x:c>
      <x:c r="P1433" s="32" t="str">
        <x:f>IF(OR('Detalle'!$J697="",'Detalle'!$K697="",'Detalle'!$L697=""),"",IF(AND(P$8&lt;='Detalle'!$K697,P$9&gt;='Detalle'!$J697),1,""))</x:f>
      </x:c>
      <x:c r="Q1433" s="68"/>
      <x:c r="R1433" s="67" t="str"/>
      <x:c r="S1433" s="67" t="str"/>
    </x:row>
    <x:row r="1434" ht="20" customHeight="1">
      <x:c r="A1434" s="52" t="str">
        <x:v>TOU05 · Importación GPano y carga privada reanudable</x:v>
      </x:c>
      <x:c r="B1434" s="52" t="str">
        <x:v>TOU05 · Importación GPano y carga privada reanudable</x:v>
      </x:c>
      <x:c r="C1434" s="52" t="str">
        <x:v>TOU05 · Importación GPano y carga privada reanudable</x:v>
      </x:c>
      <x:c r="D1434" s="52" t="str">
        <x:v>TOU05 · Importación GPano y carga privada reanudable</x:v>
      </x:c>
      <x:c r="E1434" s="52" t="str">
        <x:v>TOU05 · Importación GPano y carga privada reanudable</x:v>
      </x:c>
      <x:c r="F1434" s="53" t="str">
        <x:v>TOU05 · Importación GPano y carga privada reanudable</x:v>
      </x:c>
      <x:c r="G1434" s="53" t="str">
        <x:v>TOU05 · Importación GPano y carga privada reanudable</x:v>
      </x:c>
      <x:c r="H1434" s="53" t="str">
        <x:v>TOU05 · Importación GPano y carga privada reanudable</x:v>
      </x:c>
      <x:c r="I1434" s="53" t="str">
        <x:v>TOU05 · Importación GPano y carga privada reanudable</x:v>
      </x:c>
      <x:c r="J1434" s="53" t="str">
        <x:v>TOU05 · Importación GPano y carga privada reanudable</x:v>
      </x:c>
      <x:c r="K1434" s="53" t="str">
        <x:v>TOU05 · Importación GPano y carga privada reanudable</x:v>
      </x:c>
      <x:c r="L1434" s="53" t="str">
        <x:v>TOU05 · Importación GPano y carga privada reanudable</x:v>
      </x:c>
      <x:c r="M1434" s="53" t="str">
        <x:v>TOU05 · Importación GPano y carga privada reanudable</x:v>
      </x:c>
      <x:c r="N1434" s="53" t="str">
        <x:v>TOU05 · Importación GPano y carga privada reanudable</x:v>
      </x:c>
      <x:c r="O1434" s="53" t="str">
        <x:v>TOU05 · Importación GPano y carga privada reanudable</x:v>
      </x:c>
      <x:c r="P1434" s="53" t="str">
        <x:v>TOU05 · Importación GPano y carga privada reanudable</x:v>
      </x:c>
      <x:c r="Q1434" s="52" t="str">
        <x:v>TOU05 · Importación GPano y carga privada reanudable</x:v>
      </x:c>
      <x:c r="R1434" s="52" t="str">
        <x:v>TOU05 · Importación GPano y carga privada reanudable</x:v>
      </x:c>
      <x:c r="S1434" s="52" t="str">
        <x:v>TOU05 · Importación GPano y carga privada reanudable</x:v>
      </x:c>
    </x:row>
    <x:row r="1435" ht="16" customHeight="1">
      <x:c r="A1435" s="56" t="str">
        <x:v>TOU05.001</x:v>
      </x:c>
      <x:c r="B1435" s="57" t="str">
        <x:v>Importar JPEG equirectangular GPano</x:v>
      </x:c>
      <x:c r="C1435" s="62" t="str">
        <x:v>E</x:v>
      </x:c>
      <x:c r="D1435" s="64" t="n">
        <x:f>'Detalle'!I698</x:f>
        <x:v>1</x:v>
      </x:c>
      <x:c r="E1435" s="60" t="str">
        <x:f>'Detalle'!F698</x:f>
        <x:v>Completado</x:v>
      </x:c>
      <x:c r="F1435" s="32" t="str">
        <x:f>IF(AND(F$8&lt;='Detalle'!$H698,F$9&gt;='Detalle'!$G698),1,"")</x:f>
      </x:c>
      <x:c r="G1435" s="32" t="str">
        <x:f>IF(AND(G$8&lt;='Detalle'!$H698,G$9&gt;='Detalle'!$G698),1,"")</x:f>
      </x:c>
      <x:c r="H1435" s="32" t="str">
        <x:f>IF(AND(H$8&lt;='Detalle'!$H698,H$9&gt;='Detalle'!$G698),1,"")</x:f>
      </x:c>
      <x:c r="I1435" s="32" t="str">
        <x:f>IF(AND(I$8&lt;='Detalle'!$H698,I$9&gt;='Detalle'!$G698),1,"")</x:f>
      </x:c>
      <x:c r="J1435" s="32" t="n">
        <x:f>IF(AND(J$8&lt;='Detalle'!$H698,J$9&gt;='Detalle'!$G698),1,"")</x:f>
        <x:v>1</x:v>
      </x:c>
      <x:c r="K1435" s="32" t="str">
        <x:f>IF(AND(K$8&lt;='Detalle'!$H698,K$9&gt;='Detalle'!$G698),1,"")</x:f>
      </x:c>
      <x:c r="L1435" s="32" t="str">
        <x:f>IF(AND(L$8&lt;='Detalle'!$H698,L$9&gt;='Detalle'!$G698),1,"")</x:f>
      </x:c>
      <x:c r="M1435" s="32" t="str">
        <x:f>IF(AND(M$8&lt;='Detalle'!$H698,M$9&gt;='Detalle'!$G698),1,"")</x:f>
      </x:c>
      <x:c r="N1435" s="32" t="str">
        <x:f>IF(AND(N$8&lt;='Detalle'!$H698,N$9&gt;='Detalle'!$G698),1,"")</x:f>
      </x:c>
      <x:c r="O1435" s="32" t="str">
        <x:f>IF(AND(O$8&lt;='Detalle'!$H698,O$9&gt;='Detalle'!$G698),1,"")</x:f>
      </x:c>
      <x:c r="P1435" s="32" t="str">
        <x:f>IF(AND(P$8&lt;='Detalle'!$H698,P$9&gt;='Detalle'!$G698),1,"")</x:f>
      </x:c>
      <x:c r="Q1435" s="68"/>
      <x:c r="R1435" s="67" t="str">
        <x:f>IF('Detalle'!M698="","",'Detalle'!M698)</x:f>
      </x:c>
      <x:c r="S1435" s="67" t="str">
        <x:f>IF('Detalle'!N698="","",'Detalle'!N698)</x:f>
      </x:c>
    </x:row>
    <x:row r="1436" ht="16" customHeight="1">
      <x:c r="A1436" s="56" t="str">
        <x:v>TOU05.001</x:v>
      </x:c>
      <x:c r="B1436" s="57" t="str">
        <x:v>Importar JPEG equirectangular GPano</x:v>
      </x:c>
      <x:c r="C1436" s="63" t="str">
        <x:v>R</x:v>
      </x:c>
      <x:c r="D1436" s="65" t="str">
        <x:f>IF('Detalle'!L698="","",'Detalle'!L698)</x:f>
      </x:c>
      <x:c r="E1436" s="60" t="str"/>
      <x:c r="F1436" s="32" t="str">
        <x:f>IF(OR('Detalle'!$J698="",'Detalle'!$K698="",'Detalle'!$L698=""),"",IF(AND(F$8&lt;='Detalle'!$K698,F$9&gt;='Detalle'!$J698),1,""))</x:f>
      </x:c>
      <x:c r="G1436" s="32" t="str">
        <x:f>IF(OR('Detalle'!$J698="",'Detalle'!$K698="",'Detalle'!$L698=""),"",IF(AND(G$8&lt;='Detalle'!$K698,G$9&gt;='Detalle'!$J698),1,""))</x:f>
      </x:c>
      <x:c r="H1436" s="32" t="str">
        <x:f>IF(OR('Detalle'!$J698="",'Detalle'!$K698="",'Detalle'!$L698=""),"",IF(AND(H$8&lt;='Detalle'!$K698,H$9&gt;='Detalle'!$J698),1,""))</x:f>
      </x:c>
      <x:c r="I1436" s="32" t="str">
        <x:f>IF(OR('Detalle'!$J698="",'Detalle'!$K698="",'Detalle'!$L698=""),"",IF(AND(I$8&lt;='Detalle'!$K698,I$9&gt;='Detalle'!$J698),1,""))</x:f>
      </x:c>
      <x:c r="J1436" s="32" t="str">
        <x:f>IF(OR('Detalle'!$J698="",'Detalle'!$K698="",'Detalle'!$L698=""),"",IF(AND(J$8&lt;='Detalle'!$K698,J$9&gt;='Detalle'!$J698),1,""))</x:f>
      </x:c>
      <x:c r="K1436" s="32" t="str">
        <x:f>IF(OR('Detalle'!$J698="",'Detalle'!$K698="",'Detalle'!$L698=""),"",IF(AND(K$8&lt;='Detalle'!$K698,K$9&gt;='Detalle'!$J698),1,""))</x:f>
      </x:c>
      <x:c r="L1436" s="32" t="str">
        <x:f>IF(OR('Detalle'!$J698="",'Detalle'!$K698="",'Detalle'!$L698=""),"",IF(AND(L$8&lt;='Detalle'!$K698,L$9&gt;='Detalle'!$J698),1,""))</x:f>
      </x:c>
      <x:c r="M1436" s="32" t="str">
        <x:f>IF(OR('Detalle'!$J698="",'Detalle'!$K698="",'Detalle'!$L698=""),"",IF(AND(M$8&lt;='Detalle'!$K698,M$9&gt;='Detalle'!$J698),1,""))</x:f>
      </x:c>
      <x:c r="N1436" s="32" t="str">
        <x:f>IF(OR('Detalle'!$J698="",'Detalle'!$K698="",'Detalle'!$L698=""),"",IF(AND(N$8&lt;='Detalle'!$K698,N$9&gt;='Detalle'!$J698),1,""))</x:f>
      </x:c>
      <x:c r="O1436" s="32" t="str">
        <x:f>IF(OR('Detalle'!$J698="",'Detalle'!$K698="",'Detalle'!$L698=""),"",IF(AND(O$8&lt;='Detalle'!$K698,O$9&gt;='Detalle'!$J698),1,""))</x:f>
      </x:c>
      <x:c r="P1436" s="32" t="str">
        <x:f>IF(OR('Detalle'!$J698="",'Detalle'!$K698="",'Detalle'!$L698=""),"",IF(AND(P$8&lt;='Detalle'!$K698,P$9&gt;='Detalle'!$J698),1,""))</x:f>
      </x:c>
      <x:c r="Q1436" s="68"/>
      <x:c r="R1436" s="67" t="str"/>
      <x:c r="S1436" s="67" t="str"/>
    </x:row>
    <x:row r="1437" ht="16" customHeight="1">
      <x:c r="A1437" s="56" t="str">
        <x:v>TOU05.002</x:v>
      </x:c>
      <x:c r="B1437" s="57" t="str">
        <x:v>Validar dimensiones y área GPano</x:v>
      </x:c>
      <x:c r="C1437" s="62" t="str">
        <x:v>E</x:v>
      </x:c>
      <x:c r="D1437" s="64" t="n">
        <x:f>'Detalle'!I699</x:f>
        <x:v>1</x:v>
      </x:c>
      <x:c r="E1437" s="60" t="str">
        <x:f>'Detalle'!F699</x:f>
        <x:v>Completado</x:v>
      </x:c>
      <x:c r="F1437" s="32" t="str">
        <x:f>IF(AND(F$8&lt;='Detalle'!$H699,F$9&gt;='Detalle'!$G699),1,"")</x:f>
      </x:c>
      <x:c r="G1437" s="32" t="str">
        <x:f>IF(AND(G$8&lt;='Detalle'!$H699,G$9&gt;='Detalle'!$G699),1,"")</x:f>
      </x:c>
      <x:c r="H1437" s="32" t="str">
        <x:f>IF(AND(H$8&lt;='Detalle'!$H699,H$9&gt;='Detalle'!$G699),1,"")</x:f>
      </x:c>
      <x:c r="I1437" s="32" t="str">
        <x:f>IF(AND(I$8&lt;='Detalle'!$H699,I$9&gt;='Detalle'!$G699),1,"")</x:f>
      </x:c>
      <x:c r="J1437" s="32" t="n">
        <x:f>IF(AND(J$8&lt;='Detalle'!$H699,J$9&gt;='Detalle'!$G699),1,"")</x:f>
        <x:v>1</x:v>
      </x:c>
      <x:c r="K1437" s="32" t="str">
        <x:f>IF(AND(K$8&lt;='Detalle'!$H699,K$9&gt;='Detalle'!$G699),1,"")</x:f>
      </x:c>
      <x:c r="L1437" s="32" t="str">
        <x:f>IF(AND(L$8&lt;='Detalle'!$H699,L$9&gt;='Detalle'!$G699),1,"")</x:f>
      </x:c>
      <x:c r="M1437" s="32" t="str">
        <x:f>IF(AND(M$8&lt;='Detalle'!$H699,M$9&gt;='Detalle'!$G699),1,"")</x:f>
      </x:c>
      <x:c r="N1437" s="32" t="str">
        <x:f>IF(AND(N$8&lt;='Detalle'!$H699,N$9&gt;='Detalle'!$G699),1,"")</x:f>
      </x:c>
      <x:c r="O1437" s="32" t="str">
        <x:f>IF(AND(O$8&lt;='Detalle'!$H699,O$9&gt;='Detalle'!$G699),1,"")</x:f>
      </x:c>
      <x:c r="P1437" s="32" t="str">
        <x:f>IF(AND(P$8&lt;='Detalle'!$H699,P$9&gt;='Detalle'!$G699),1,"")</x:f>
      </x:c>
      <x:c r="Q1437" s="68"/>
      <x:c r="R1437" s="67" t="str">
        <x:f>IF('Detalle'!M699="","",'Detalle'!M699)</x:f>
      </x:c>
      <x:c r="S1437" s="67" t="str">
        <x:f>IF('Detalle'!N699="","",'Detalle'!N699)</x:f>
      </x:c>
    </x:row>
    <x:row r="1438" ht="16" customHeight="1">
      <x:c r="A1438" s="56" t="str">
        <x:v>TOU05.002</x:v>
      </x:c>
      <x:c r="B1438" s="57" t="str">
        <x:v>Validar dimensiones y área GPano</x:v>
      </x:c>
      <x:c r="C1438" s="63" t="str">
        <x:v>R</x:v>
      </x:c>
      <x:c r="D1438" s="65" t="str">
        <x:f>IF('Detalle'!L699="","",'Detalle'!L699)</x:f>
      </x:c>
      <x:c r="E1438" s="60" t="str"/>
      <x:c r="F1438" s="32" t="str">
        <x:f>IF(OR('Detalle'!$J699="",'Detalle'!$K699="",'Detalle'!$L699=""),"",IF(AND(F$8&lt;='Detalle'!$K699,F$9&gt;='Detalle'!$J699),1,""))</x:f>
      </x:c>
      <x:c r="G1438" s="32" t="str">
        <x:f>IF(OR('Detalle'!$J699="",'Detalle'!$K699="",'Detalle'!$L699=""),"",IF(AND(G$8&lt;='Detalle'!$K699,G$9&gt;='Detalle'!$J699),1,""))</x:f>
      </x:c>
      <x:c r="H1438" s="32" t="str">
        <x:f>IF(OR('Detalle'!$J699="",'Detalle'!$K699="",'Detalle'!$L699=""),"",IF(AND(H$8&lt;='Detalle'!$K699,H$9&gt;='Detalle'!$J699),1,""))</x:f>
      </x:c>
      <x:c r="I1438" s="32" t="str">
        <x:f>IF(OR('Detalle'!$J699="",'Detalle'!$K699="",'Detalle'!$L699=""),"",IF(AND(I$8&lt;='Detalle'!$K699,I$9&gt;='Detalle'!$J699),1,""))</x:f>
      </x:c>
      <x:c r="J1438" s="32" t="str">
        <x:f>IF(OR('Detalle'!$J699="",'Detalle'!$K699="",'Detalle'!$L699=""),"",IF(AND(J$8&lt;='Detalle'!$K699,J$9&gt;='Detalle'!$J699),1,""))</x:f>
      </x:c>
      <x:c r="K1438" s="32" t="str">
        <x:f>IF(OR('Detalle'!$J699="",'Detalle'!$K699="",'Detalle'!$L699=""),"",IF(AND(K$8&lt;='Detalle'!$K699,K$9&gt;='Detalle'!$J699),1,""))</x:f>
      </x:c>
      <x:c r="L1438" s="32" t="str">
        <x:f>IF(OR('Detalle'!$J699="",'Detalle'!$K699="",'Detalle'!$L699=""),"",IF(AND(L$8&lt;='Detalle'!$K699,L$9&gt;='Detalle'!$J699),1,""))</x:f>
      </x:c>
      <x:c r="M1438" s="32" t="str">
        <x:f>IF(OR('Detalle'!$J699="",'Detalle'!$K699="",'Detalle'!$L699=""),"",IF(AND(M$8&lt;='Detalle'!$K699,M$9&gt;='Detalle'!$J699),1,""))</x:f>
      </x:c>
      <x:c r="N1438" s="32" t="str">
        <x:f>IF(OR('Detalle'!$J699="",'Detalle'!$K699="",'Detalle'!$L699=""),"",IF(AND(N$8&lt;='Detalle'!$K699,N$9&gt;='Detalle'!$J699),1,""))</x:f>
      </x:c>
      <x:c r="O1438" s="32" t="str">
        <x:f>IF(OR('Detalle'!$J699="",'Detalle'!$K699="",'Detalle'!$L699=""),"",IF(AND(O$8&lt;='Detalle'!$K699,O$9&gt;='Detalle'!$J699),1,""))</x:f>
      </x:c>
      <x:c r="P1438" s="32" t="str">
        <x:f>IF(OR('Detalle'!$J699="",'Detalle'!$K699="",'Detalle'!$L699=""),"",IF(AND(P$8&lt;='Detalle'!$K699,P$9&gt;='Detalle'!$J699),1,""))</x:f>
      </x:c>
      <x:c r="Q1438" s="68"/>
      <x:c r="R1438" s="67" t="str"/>
      <x:c r="S1438" s="67" t="str"/>
    </x:row>
    <x:row r="1439" ht="16" customHeight="1">
      <x:c r="A1439" s="56" t="str">
        <x:v>TOU05.003</x:v>
      </x:c>
      <x:c r="B1439" s="57" t="str">
        <x:v>Permitir administración e importación web</x:v>
      </x:c>
      <x:c r="C1439" s="62" t="str">
        <x:v>E</x:v>
      </x:c>
      <x:c r="D1439" s="64" t="n">
        <x:f>'Detalle'!I700</x:f>
        <x:v>1</x:v>
      </x:c>
      <x:c r="E1439" s="60" t="str">
        <x:f>'Detalle'!F700</x:f>
        <x:v>Completado</x:v>
      </x:c>
      <x:c r="F1439" s="32" t="str">
        <x:f>IF(AND(F$8&lt;='Detalle'!$H700,F$9&gt;='Detalle'!$G700),1,"")</x:f>
      </x:c>
      <x:c r="G1439" s="32" t="str">
        <x:f>IF(AND(G$8&lt;='Detalle'!$H700,G$9&gt;='Detalle'!$G700),1,"")</x:f>
      </x:c>
      <x:c r="H1439" s="32" t="str">
        <x:f>IF(AND(H$8&lt;='Detalle'!$H700,H$9&gt;='Detalle'!$G700),1,"")</x:f>
      </x:c>
      <x:c r="I1439" s="32" t="str">
        <x:f>IF(AND(I$8&lt;='Detalle'!$H700,I$9&gt;='Detalle'!$G700),1,"")</x:f>
      </x:c>
      <x:c r="J1439" s="32" t="n">
        <x:f>IF(AND(J$8&lt;='Detalle'!$H700,J$9&gt;='Detalle'!$G700),1,"")</x:f>
        <x:v>1</x:v>
      </x:c>
      <x:c r="K1439" s="32" t="str">
        <x:f>IF(AND(K$8&lt;='Detalle'!$H700,K$9&gt;='Detalle'!$G700),1,"")</x:f>
      </x:c>
      <x:c r="L1439" s="32" t="str">
        <x:f>IF(AND(L$8&lt;='Detalle'!$H700,L$9&gt;='Detalle'!$G700),1,"")</x:f>
      </x:c>
      <x:c r="M1439" s="32" t="str">
        <x:f>IF(AND(M$8&lt;='Detalle'!$H700,M$9&gt;='Detalle'!$G700),1,"")</x:f>
      </x:c>
      <x:c r="N1439" s="32" t="str">
        <x:f>IF(AND(N$8&lt;='Detalle'!$H700,N$9&gt;='Detalle'!$G700),1,"")</x:f>
      </x:c>
      <x:c r="O1439" s="32" t="str">
        <x:f>IF(AND(O$8&lt;='Detalle'!$H700,O$9&gt;='Detalle'!$G700),1,"")</x:f>
      </x:c>
      <x:c r="P1439" s="32" t="str">
        <x:f>IF(AND(P$8&lt;='Detalle'!$H700,P$9&gt;='Detalle'!$G700),1,"")</x:f>
      </x:c>
      <x:c r="Q1439" s="68"/>
      <x:c r="R1439" s="67" t="str">
        <x:f>IF('Detalle'!M700="","",'Detalle'!M700)</x:f>
      </x:c>
      <x:c r="S1439" s="67" t="str">
        <x:f>IF('Detalle'!N700="","",'Detalle'!N700)</x:f>
      </x:c>
    </x:row>
    <x:row r="1440" ht="16" customHeight="1">
      <x:c r="A1440" s="56" t="str">
        <x:v>TOU05.003</x:v>
      </x:c>
      <x:c r="B1440" s="57" t="str">
        <x:v>Permitir administración e importación web</x:v>
      </x:c>
      <x:c r="C1440" s="63" t="str">
        <x:v>R</x:v>
      </x:c>
      <x:c r="D1440" s="65" t="str">
        <x:f>IF('Detalle'!L700="","",'Detalle'!L700)</x:f>
      </x:c>
      <x:c r="E1440" s="60" t="str"/>
      <x:c r="F1440" s="32" t="str">
        <x:f>IF(OR('Detalle'!$J700="",'Detalle'!$K700="",'Detalle'!$L700=""),"",IF(AND(F$8&lt;='Detalle'!$K700,F$9&gt;='Detalle'!$J700),1,""))</x:f>
      </x:c>
      <x:c r="G1440" s="32" t="str">
        <x:f>IF(OR('Detalle'!$J700="",'Detalle'!$K700="",'Detalle'!$L700=""),"",IF(AND(G$8&lt;='Detalle'!$K700,G$9&gt;='Detalle'!$J700),1,""))</x:f>
      </x:c>
      <x:c r="H1440" s="32" t="str">
        <x:f>IF(OR('Detalle'!$J700="",'Detalle'!$K700="",'Detalle'!$L700=""),"",IF(AND(H$8&lt;='Detalle'!$K700,H$9&gt;='Detalle'!$J700),1,""))</x:f>
      </x:c>
      <x:c r="I1440" s="32" t="str">
        <x:f>IF(OR('Detalle'!$J700="",'Detalle'!$K700="",'Detalle'!$L700=""),"",IF(AND(I$8&lt;='Detalle'!$K700,I$9&gt;='Detalle'!$J700),1,""))</x:f>
      </x:c>
      <x:c r="J1440" s="32" t="str">
        <x:f>IF(OR('Detalle'!$J700="",'Detalle'!$K700="",'Detalle'!$L700=""),"",IF(AND(J$8&lt;='Detalle'!$K700,J$9&gt;='Detalle'!$J700),1,""))</x:f>
      </x:c>
      <x:c r="K1440" s="32" t="str">
        <x:f>IF(OR('Detalle'!$J700="",'Detalle'!$K700="",'Detalle'!$L700=""),"",IF(AND(K$8&lt;='Detalle'!$K700,K$9&gt;='Detalle'!$J700),1,""))</x:f>
      </x:c>
      <x:c r="L1440" s="32" t="str">
        <x:f>IF(OR('Detalle'!$J700="",'Detalle'!$K700="",'Detalle'!$L700=""),"",IF(AND(L$8&lt;='Detalle'!$K700,L$9&gt;='Detalle'!$J700),1,""))</x:f>
      </x:c>
      <x:c r="M1440" s="32" t="str">
        <x:f>IF(OR('Detalle'!$J700="",'Detalle'!$K700="",'Detalle'!$L700=""),"",IF(AND(M$8&lt;='Detalle'!$K700,M$9&gt;='Detalle'!$J700),1,""))</x:f>
      </x:c>
      <x:c r="N1440" s="32" t="str">
        <x:f>IF(OR('Detalle'!$J700="",'Detalle'!$K700="",'Detalle'!$L700=""),"",IF(AND(N$8&lt;='Detalle'!$K700,N$9&gt;='Detalle'!$J700),1,""))</x:f>
      </x:c>
      <x:c r="O1440" s="32" t="str">
        <x:f>IF(OR('Detalle'!$J700="",'Detalle'!$K700="",'Detalle'!$L700=""),"",IF(AND(O$8&lt;='Detalle'!$K700,O$9&gt;='Detalle'!$J700),1,""))</x:f>
      </x:c>
      <x:c r="P1440" s="32" t="str">
        <x:f>IF(OR('Detalle'!$J700="",'Detalle'!$K700="",'Detalle'!$L700=""),"",IF(AND(P$8&lt;='Detalle'!$K700,P$9&gt;='Detalle'!$J700),1,""))</x:f>
      </x:c>
      <x:c r="Q1440" s="68"/>
      <x:c r="R1440" s="67" t="str"/>
      <x:c r="S1440" s="67" t="str"/>
    </x:row>
    <x:row r="1441" ht="16" customHeight="1">
      <x:c r="A1441" s="56" t="str">
        <x:v>TOU05.004</x:v>
      </x:c>
      <x:c r="B1441" s="57" t="str">
        <x:v>Explicar reselección de archivo Web</x:v>
      </x:c>
      <x:c r="C1441" s="62" t="str">
        <x:v>E</x:v>
      </x:c>
      <x:c r="D1441" s="64" t="n">
        <x:f>'Detalle'!I701</x:f>
        <x:v>1</x:v>
      </x:c>
      <x:c r="E1441" s="60" t="str">
        <x:f>'Detalle'!F701</x:f>
        <x:v>Completado</x:v>
      </x:c>
      <x:c r="F1441" s="32" t="str">
        <x:f>IF(AND(F$8&lt;='Detalle'!$H701,F$9&gt;='Detalle'!$G701),1,"")</x:f>
      </x:c>
      <x:c r="G1441" s="32" t="str">
        <x:f>IF(AND(G$8&lt;='Detalle'!$H701,G$9&gt;='Detalle'!$G701),1,"")</x:f>
      </x:c>
      <x:c r="H1441" s="32" t="str">
        <x:f>IF(AND(H$8&lt;='Detalle'!$H701,H$9&gt;='Detalle'!$G701),1,"")</x:f>
      </x:c>
      <x:c r="I1441" s="32" t="str">
        <x:f>IF(AND(I$8&lt;='Detalle'!$H701,I$9&gt;='Detalle'!$G701),1,"")</x:f>
      </x:c>
      <x:c r="J1441" s="32" t="n">
        <x:f>IF(AND(J$8&lt;='Detalle'!$H701,J$9&gt;='Detalle'!$G701),1,"")</x:f>
        <x:v>1</x:v>
      </x:c>
      <x:c r="K1441" s="32" t="str">
        <x:f>IF(AND(K$8&lt;='Detalle'!$H701,K$9&gt;='Detalle'!$G701),1,"")</x:f>
      </x:c>
      <x:c r="L1441" s="32" t="str">
        <x:f>IF(AND(L$8&lt;='Detalle'!$H701,L$9&gt;='Detalle'!$G701),1,"")</x:f>
      </x:c>
      <x:c r="M1441" s="32" t="str">
        <x:f>IF(AND(M$8&lt;='Detalle'!$H701,M$9&gt;='Detalle'!$G701),1,"")</x:f>
      </x:c>
      <x:c r="N1441" s="32" t="str">
        <x:f>IF(AND(N$8&lt;='Detalle'!$H701,N$9&gt;='Detalle'!$G701),1,"")</x:f>
      </x:c>
      <x:c r="O1441" s="32" t="str">
        <x:f>IF(AND(O$8&lt;='Detalle'!$H701,O$9&gt;='Detalle'!$G701),1,"")</x:f>
      </x:c>
      <x:c r="P1441" s="32" t="str">
        <x:f>IF(AND(P$8&lt;='Detalle'!$H701,P$9&gt;='Detalle'!$G701),1,"")</x:f>
      </x:c>
      <x:c r="Q1441" s="68"/>
      <x:c r="R1441" s="67" t="str">
        <x:f>IF('Detalle'!M701="","",'Detalle'!M701)</x:f>
      </x:c>
      <x:c r="S1441" s="67" t="str">
        <x:f>IF('Detalle'!N701="","",'Detalle'!N701)</x:f>
      </x:c>
    </x:row>
    <x:row r="1442" ht="16" customHeight="1">
      <x:c r="A1442" s="56" t="str">
        <x:v>TOU05.004</x:v>
      </x:c>
      <x:c r="B1442" s="57" t="str">
        <x:v>Explicar reselección de archivo Web</x:v>
      </x:c>
      <x:c r="C1442" s="63" t="str">
        <x:v>R</x:v>
      </x:c>
      <x:c r="D1442" s="65" t="str">
        <x:f>IF('Detalle'!L701="","",'Detalle'!L701)</x:f>
      </x:c>
      <x:c r="E1442" s="60" t="str"/>
      <x:c r="F1442" s="32" t="str">
        <x:f>IF(OR('Detalle'!$J701="",'Detalle'!$K701="",'Detalle'!$L701=""),"",IF(AND(F$8&lt;='Detalle'!$K701,F$9&gt;='Detalle'!$J701),1,""))</x:f>
      </x:c>
      <x:c r="G1442" s="32" t="str">
        <x:f>IF(OR('Detalle'!$J701="",'Detalle'!$K701="",'Detalle'!$L701=""),"",IF(AND(G$8&lt;='Detalle'!$K701,G$9&gt;='Detalle'!$J701),1,""))</x:f>
      </x:c>
      <x:c r="H1442" s="32" t="str">
        <x:f>IF(OR('Detalle'!$J701="",'Detalle'!$K701="",'Detalle'!$L701=""),"",IF(AND(H$8&lt;='Detalle'!$K701,H$9&gt;='Detalle'!$J701),1,""))</x:f>
      </x:c>
      <x:c r="I1442" s="32" t="str">
        <x:f>IF(OR('Detalle'!$J701="",'Detalle'!$K701="",'Detalle'!$L701=""),"",IF(AND(I$8&lt;='Detalle'!$K701,I$9&gt;='Detalle'!$J701),1,""))</x:f>
      </x:c>
      <x:c r="J1442" s="32" t="str">
        <x:f>IF(OR('Detalle'!$J701="",'Detalle'!$K701="",'Detalle'!$L701=""),"",IF(AND(J$8&lt;='Detalle'!$K701,J$9&gt;='Detalle'!$J701),1,""))</x:f>
      </x:c>
      <x:c r="K1442" s="32" t="str">
        <x:f>IF(OR('Detalle'!$J701="",'Detalle'!$K701="",'Detalle'!$L701=""),"",IF(AND(K$8&lt;='Detalle'!$K701,K$9&gt;='Detalle'!$J701),1,""))</x:f>
      </x:c>
      <x:c r="L1442" s="32" t="str">
        <x:f>IF(OR('Detalle'!$J701="",'Detalle'!$K701="",'Detalle'!$L701=""),"",IF(AND(L$8&lt;='Detalle'!$K701,L$9&gt;='Detalle'!$J701),1,""))</x:f>
      </x:c>
      <x:c r="M1442" s="32" t="str">
        <x:f>IF(OR('Detalle'!$J701="",'Detalle'!$K701="",'Detalle'!$L701=""),"",IF(AND(M$8&lt;='Detalle'!$K701,M$9&gt;='Detalle'!$J701),1,""))</x:f>
      </x:c>
      <x:c r="N1442" s="32" t="str">
        <x:f>IF(OR('Detalle'!$J701="",'Detalle'!$K701="",'Detalle'!$L701=""),"",IF(AND(N$8&lt;='Detalle'!$K701,N$9&gt;='Detalle'!$J701),1,""))</x:f>
      </x:c>
      <x:c r="O1442" s="32" t="str">
        <x:f>IF(OR('Detalle'!$J701="",'Detalle'!$K701="",'Detalle'!$L701=""),"",IF(AND(O$8&lt;='Detalle'!$K701,O$9&gt;='Detalle'!$J701),1,""))</x:f>
      </x:c>
      <x:c r="P1442" s="32" t="str">
        <x:f>IF(OR('Detalle'!$J701="",'Detalle'!$K701="",'Detalle'!$L701=""),"",IF(AND(P$8&lt;='Detalle'!$K701,P$9&gt;='Detalle'!$J701),1,""))</x:f>
      </x:c>
      <x:c r="Q1442" s="68"/>
      <x:c r="R1442" s="67" t="str"/>
      <x:c r="S1442" s="67" t="str"/>
    </x:row>
    <x:row r="1443" ht="16" customHeight="1">
      <x:c r="A1443" s="56" t="str">
        <x:v>TOU05.005</x:v>
      </x:c>
      <x:c r="B1443" s="57" t="str">
        <x:v>Crear carga TUS de fragmentos 6 MiB</x:v>
      </x:c>
      <x:c r="C1443" s="62" t="str">
        <x:v>E</x:v>
      </x:c>
      <x:c r="D1443" s="64" t="n">
        <x:f>'Detalle'!I702</x:f>
        <x:v>1</x:v>
      </x:c>
      <x:c r="E1443" s="60" t="str">
        <x:f>'Detalle'!F702</x:f>
        <x:v>Completado</x:v>
      </x:c>
      <x:c r="F1443" s="32" t="str">
        <x:f>IF(AND(F$8&lt;='Detalle'!$H702,F$9&gt;='Detalle'!$G702),1,"")</x:f>
      </x:c>
      <x:c r="G1443" s="32" t="str">
        <x:f>IF(AND(G$8&lt;='Detalle'!$H702,G$9&gt;='Detalle'!$G702),1,"")</x:f>
      </x:c>
      <x:c r="H1443" s="32" t="str">
        <x:f>IF(AND(H$8&lt;='Detalle'!$H702,H$9&gt;='Detalle'!$G702),1,"")</x:f>
      </x:c>
      <x:c r="I1443" s="32" t="str">
        <x:f>IF(AND(I$8&lt;='Detalle'!$H702,I$9&gt;='Detalle'!$G702),1,"")</x:f>
      </x:c>
      <x:c r="J1443" s="32" t="n">
        <x:f>IF(AND(J$8&lt;='Detalle'!$H702,J$9&gt;='Detalle'!$G702),1,"")</x:f>
        <x:v>1</x:v>
      </x:c>
      <x:c r="K1443" s="32" t="str">
        <x:f>IF(AND(K$8&lt;='Detalle'!$H702,K$9&gt;='Detalle'!$G702),1,"")</x:f>
      </x:c>
      <x:c r="L1443" s="32" t="str">
        <x:f>IF(AND(L$8&lt;='Detalle'!$H702,L$9&gt;='Detalle'!$G702),1,"")</x:f>
      </x:c>
      <x:c r="M1443" s="32" t="str">
        <x:f>IF(AND(M$8&lt;='Detalle'!$H702,M$9&gt;='Detalle'!$G702),1,"")</x:f>
      </x:c>
      <x:c r="N1443" s="32" t="str">
        <x:f>IF(AND(N$8&lt;='Detalle'!$H702,N$9&gt;='Detalle'!$G702),1,"")</x:f>
      </x:c>
      <x:c r="O1443" s="32" t="str">
        <x:f>IF(AND(O$8&lt;='Detalle'!$H702,O$9&gt;='Detalle'!$G702),1,"")</x:f>
      </x:c>
      <x:c r="P1443" s="32" t="str">
        <x:f>IF(AND(P$8&lt;='Detalle'!$H702,P$9&gt;='Detalle'!$G702),1,"")</x:f>
      </x:c>
      <x:c r="Q1443" s="68"/>
      <x:c r="R1443" s="67" t="str">
        <x:f>IF('Detalle'!M702="","",'Detalle'!M702)</x:f>
      </x:c>
      <x:c r="S1443" s="67" t="str">
        <x:f>IF('Detalle'!N702="","",'Detalle'!N702)</x:f>
      </x:c>
    </x:row>
    <x:row r="1444" ht="16" customHeight="1">
      <x:c r="A1444" s="56" t="str">
        <x:v>TOU05.005</x:v>
      </x:c>
      <x:c r="B1444" s="57" t="str">
        <x:v>Crear carga TUS de fragmentos 6 MiB</x:v>
      </x:c>
      <x:c r="C1444" s="63" t="str">
        <x:v>R</x:v>
      </x:c>
      <x:c r="D1444" s="65" t="str">
        <x:f>IF('Detalle'!L702="","",'Detalle'!L702)</x:f>
      </x:c>
      <x:c r="E1444" s="60" t="str"/>
      <x:c r="F1444" s="32" t="str">
        <x:f>IF(OR('Detalle'!$J702="",'Detalle'!$K702="",'Detalle'!$L702=""),"",IF(AND(F$8&lt;='Detalle'!$K702,F$9&gt;='Detalle'!$J702),1,""))</x:f>
      </x:c>
      <x:c r="G1444" s="32" t="str">
        <x:f>IF(OR('Detalle'!$J702="",'Detalle'!$K702="",'Detalle'!$L702=""),"",IF(AND(G$8&lt;='Detalle'!$K702,G$9&gt;='Detalle'!$J702),1,""))</x:f>
      </x:c>
      <x:c r="H1444" s="32" t="str">
        <x:f>IF(OR('Detalle'!$J702="",'Detalle'!$K702="",'Detalle'!$L702=""),"",IF(AND(H$8&lt;='Detalle'!$K702,H$9&gt;='Detalle'!$J702),1,""))</x:f>
      </x:c>
      <x:c r="I1444" s="32" t="str">
        <x:f>IF(OR('Detalle'!$J702="",'Detalle'!$K702="",'Detalle'!$L702=""),"",IF(AND(I$8&lt;='Detalle'!$K702,I$9&gt;='Detalle'!$J702),1,""))</x:f>
      </x:c>
      <x:c r="J1444" s="32" t="str">
        <x:f>IF(OR('Detalle'!$J702="",'Detalle'!$K702="",'Detalle'!$L702=""),"",IF(AND(J$8&lt;='Detalle'!$K702,J$9&gt;='Detalle'!$J702),1,""))</x:f>
      </x:c>
      <x:c r="K1444" s="32" t="str">
        <x:f>IF(OR('Detalle'!$J702="",'Detalle'!$K702="",'Detalle'!$L702=""),"",IF(AND(K$8&lt;='Detalle'!$K702,K$9&gt;='Detalle'!$J702),1,""))</x:f>
      </x:c>
      <x:c r="L1444" s="32" t="str">
        <x:f>IF(OR('Detalle'!$J702="",'Detalle'!$K702="",'Detalle'!$L702=""),"",IF(AND(L$8&lt;='Detalle'!$K702,L$9&gt;='Detalle'!$J702),1,""))</x:f>
      </x:c>
      <x:c r="M1444" s="32" t="str">
        <x:f>IF(OR('Detalle'!$J702="",'Detalle'!$K702="",'Detalle'!$L702=""),"",IF(AND(M$8&lt;='Detalle'!$K702,M$9&gt;='Detalle'!$J702),1,""))</x:f>
      </x:c>
      <x:c r="N1444" s="32" t="str">
        <x:f>IF(OR('Detalle'!$J702="",'Detalle'!$K702="",'Detalle'!$L702=""),"",IF(AND(N$8&lt;='Detalle'!$K702,N$9&gt;='Detalle'!$J702),1,""))</x:f>
      </x:c>
      <x:c r="O1444" s="32" t="str">
        <x:f>IF(OR('Detalle'!$J702="",'Detalle'!$K702="",'Detalle'!$L702=""),"",IF(AND(O$8&lt;='Detalle'!$K702,O$9&gt;='Detalle'!$J702),1,""))</x:f>
      </x:c>
      <x:c r="P1444" s="32" t="str">
        <x:f>IF(OR('Detalle'!$J702="",'Detalle'!$K702="",'Detalle'!$L702=""),"",IF(AND(P$8&lt;='Detalle'!$K702,P$9&gt;='Detalle'!$J702),1,""))</x:f>
      </x:c>
      <x:c r="Q1444" s="68"/>
      <x:c r="R1444" s="67" t="str"/>
      <x:c r="S1444" s="67" t="str"/>
    </x:row>
    <x:row r="1445" ht="16" customHeight="1">
      <x:c r="A1445" s="56" t="str">
        <x:v>TOU05.006</x:v>
      </x:c>
      <x:c r="B1445" s="57" t="str">
        <x:v>Guardar URL y offset de carga</x:v>
      </x:c>
      <x:c r="C1445" s="62" t="str">
        <x:v>E</x:v>
      </x:c>
      <x:c r="D1445" s="64" t="n">
        <x:f>'Detalle'!I703</x:f>
        <x:v>1</x:v>
      </x:c>
      <x:c r="E1445" s="60" t="str">
        <x:f>'Detalle'!F703</x:f>
        <x:v>Completado</x:v>
      </x:c>
      <x:c r="F1445" s="32" t="str">
        <x:f>IF(AND(F$8&lt;='Detalle'!$H703,F$9&gt;='Detalle'!$G703),1,"")</x:f>
      </x:c>
      <x:c r="G1445" s="32" t="str">
        <x:f>IF(AND(G$8&lt;='Detalle'!$H703,G$9&gt;='Detalle'!$G703),1,"")</x:f>
      </x:c>
      <x:c r="H1445" s="32" t="str">
        <x:f>IF(AND(H$8&lt;='Detalle'!$H703,H$9&gt;='Detalle'!$G703),1,"")</x:f>
      </x:c>
      <x:c r="I1445" s="32" t="str">
        <x:f>IF(AND(I$8&lt;='Detalle'!$H703,I$9&gt;='Detalle'!$G703),1,"")</x:f>
      </x:c>
      <x:c r="J1445" s="32" t="n">
        <x:f>IF(AND(J$8&lt;='Detalle'!$H703,J$9&gt;='Detalle'!$G703),1,"")</x:f>
        <x:v>1</x:v>
      </x:c>
      <x:c r="K1445" s="32" t="str">
        <x:f>IF(AND(K$8&lt;='Detalle'!$H703,K$9&gt;='Detalle'!$G703),1,"")</x:f>
      </x:c>
      <x:c r="L1445" s="32" t="str">
        <x:f>IF(AND(L$8&lt;='Detalle'!$H703,L$9&gt;='Detalle'!$G703),1,"")</x:f>
      </x:c>
      <x:c r="M1445" s="32" t="str">
        <x:f>IF(AND(M$8&lt;='Detalle'!$H703,M$9&gt;='Detalle'!$G703),1,"")</x:f>
      </x:c>
      <x:c r="N1445" s="32" t="str">
        <x:f>IF(AND(N$8&lt;='Detalle'!$H703,N$9&gt;='Detalle'!$G703),1,"")</x:f>
      </x:c>
      <x:c r="O1445" s="32" t="str">
        <x:f>IF(AND(O$8&lt;='Detalle'!$H703,O$9&gt;='Detalle'!$G703),1,"")</x:f>
      </x:c>
      <x:c r="P1445" s="32" t="str">
        <x:f>IF(AND(P$8&lt;='Detalle'!$H703,P$9&gt;='Detalle'!$G703),1,"")</x:f>
      </x:c>
      <x:c r="Q1445" s="68"/>
      <x:c r="R1445" s="67" t="str">
        <x:f>IF('Detalle'!M703="","",'Detalle'!M703)</x:f>
      </x:c>
      <x:c r="S1445" s="67" t="str">
        <x:f>IF('Detalle'!N703="","",'Detalle'!N703)</x:f>
      </x:c>
    </x:row>
    <x:row r="1446" ht="16" customHeight="1">
      <x:c r="A1446" s="56" t="str">
        <x:v>TOU05.006</x:v>
      </x:c>
      <x:c r="B1446" s="57" t="str">
        <x:v>Guardar URL y offset de carga</x:v>
      </x:c>
      <x:c r="C1446" s="63" t="str">
        <x:v>R</x:v>
      </x:c>
      <x:c r="D1446" s="65" t="str">
        <x:f>IF('Detalle'!L703="","",'Detalle'!L703)</x:f>
      </x:c>
      <x:c r="E1446" s="60" t="str"/>
      <x:c r="F1446" s="32" t="str">
        <x:f>IF(OR('Detalle'!$J703="",'Detalle'!$K703="",'Detalle'!$L703=""),"",IF(AND(F$8&lt;='Detalle'!$K703,F$9&gt;='Detalle'!$J703),1,""))</x:f>
      </x:c>
      <x:c r="G1446" s="32" t="str">
        <x:f>IF(OR('Detalle'!$J703="",'Detalle'!$K703="",'Detalle'!$L703=""),"",IF(AND(G$8&lt;='Detalle'!$K703,G$9&gt;='Detalle'!$J703),1,""))</x:f>
      </x:c>
      <x:c r="H1446" s="32" t="str">
        <x:f>IF(OR('Detalle'!$J703="",'Detalle'!$K703="",'Detalle'!$L703=""),"",IF(AND(H$8&lt;='Detalle'!$K703,H$9&gt;='Detalle'!$J703),1,""))</x:f>
      </x:c>
      <x:c r="I1446" s="32" t="str">
        <x:f>IF(OR('Detalle'!$J703="",'Detalle'!$K703="",'Detalle'!$L703=""),"",IF(AND(I$8&lt;='Detalle'!$K703,I$9&gt;='Detalle'!$J703),1,""))</x:f>
      </x:c>
      <x:c r="J1446" s="32" t="str">
        <x:f>IF(OR('Detalle'!$J703="",'Detalle'!$K703="",'Detalle'!$L703=""),"",IF(AND(J$8&lt;='Detalle'!$K703,J$9&gt;='Detalle'!$J703),1,""))</x:f>
      </x:c>
      <x:c r="K1446" s="32" t="str">
        <x:f>IF(OR('Detalle'!$J703="",'Detalle'!$K703="",'Detalle'!$L703=""),"",IF(AND(K$8&lt;='Detalle'!$K703,K$9&gt;='Detalle'!$J703),1,""))</x:f>
      </x:c>
      <x:c r="L1446" s="32" t="str">
        <x:f>IF(OR('Detalle'!$J703="",'Detalle'!$K703="",'Detalle'!$L703=""),"",IF(AND(L$8&lt;='Detalle'!$K703,L$9&gt;='Detalle'!$J703),1,""))</x:f>
      </x:c>
      <x:c r="M1446" s="32" t="str">
        <x:f>IF(OR('Detalle'!$J703="",'Detalle'!$K703="",'Detalle'!$L703=""),"",IF(AND(M$8&lt;='Detalle'!$K703,M$9&gt;='Detalle'!$J703),1,""))</x:f>
      </x:c>
      <x:c r="N1446" s="32" t="str">
        <x:f>IF(OR('Detalle'!$J703="",'Detalle'!$K703="",'Detalle'!$L703=""),"",IF(AND(N$8&lt;='Detalle'!$K703,N$9&gt;='Detalle'!$J703),1,""))</x:f>
      </x:c>
      <x:c r="O1446" s="32" t="str">
        <x:f>IF(OR('Detalle'!$J703="",'Detalle'!$K703="",'Detalle'!$L703=""),"",IF(AND(O$8&lt;='Detalle'!$K703,O$9&gt;='Detalle'!$J703),1,""))</x:f>
      </x:c>
      <x:c r="P1446" s="32" t="str">
        <x:f>IF(OR('Detalle'!$J703="",'Detalle'!$K703="",'Detalle'!$L703=""),"",IF(AND(P$8&lt;='Detalle'!$K703,P$9&gt;='Detalle'!$J703),1,""))</x:f>
      </x:c>
      <x:c r="Q1446" s="68"/>
      <x:c r="R1446" s="67" t="str"/>
      <x:c r="S1446" s="67" t="str"/>
    </x:row>
    <x:row r="1447" ht="16" customHeight="1">
      <x:c r="A1447" s="56" t="str">
        <x:v>TOU05.007</x:v>
      </x:c>
      <x:c r="B1447" s="57" t="str">
        <x:v>Consultar HEAD al reanudar</x:v>
      </x:c>
      <x:c r="C1447" s="62" t="str">
        <x:v>E</x:v>
      </x:c>
      <x:c r="D1447" s="64" t="n">
        <x:f>'Detalle'!I704</x:f>
        <x:v>1</x:v>
      </x:c>
      <x:c r="E1447" s="60" t="str">
        <x:f>'Detalle'!F704</x:f>
        <x:v>Completado</x:v>
      </x:c>
      <x:c r="F1447" s="32" t="str">
        <x:f>IF(AND(F$8&lt;='Detalle'!$H704,F$9&gt;='Detalle'!$G704),1,"")</x:f>
      </x:c>
      <x:c r="G1447" s="32" t="str">
        <x:f>IF(AND(G$8&lt;='Detalle'!$H704,G$9&gt;='Detalle'!$G704),1,"")</x:f>
      </x:c>
      <x:c r="H1447" s="32" t="str">
        <x:f>IF(AND(H$8&lt;='Detalle'!$H704,H$9&gt;='Detalle'!$G704),1,"")</x:f>
      </x:c>
      <x:c r="I1447" s="32" t="str">
        <x:f>IF(AND(I$8&lt;='Detalle'!$H704,I$9&gt;='Detalle'!$G704),1,"")</x:f>
      </x:c>
      <x:c r="J1447" s="32" t="n">
        <x:f>IF(AND(J$8&lt;='Detalle'!$H704,J$9&gt;='Detalle'!$G704),1,"")</x:f>
        <x:v>1</x:v>
      </x:c>
      <x:c r="K1447" s="32" t="str">
        <x:f>IF(AND(K$8&lt;='Detalle'!$H704,K$9&gt;='Detalle'!$G704),1,"")</x:f>
      </x:c>
      <x:c r="L1447" s="32" t="str">
        <x:f>IF(AND(L$8&lt;='Detalle'!$H704,L$9&gt;='Detalle'!$G704),1,"")</x:f>
      </x:c>
      <x:c r="M1447" s="32" t="str">
        <x:f>IF(AND(M$8&lt;='Detalle'!$H704,M$9&gt;='Detalle'!$G704),1,"")</x:f>
      </x:c>
      <x:c r="N1447" s="32" t="str">
        <x:f>IF(AND(N$8&lt;='Detalle'!$H704,N$9&gt;='Detalle'!$G704),1,"")</x:f>
      </x:c>
      <x:c r="O1447" s="32" t="str">
        <x:f>IF(AND(O$8&lt;='Detalle'!$H704,O$9&gt;='Detalle'!$G704),1,"")</x:f>
      </x:c>
      <x:c r="P1447" s="32" t="str">
        <x:f>IF(AND(P$8&lt;='Detalle'!$H704,P$9&gt;='Detalle'!$G704),1,"")</x:f>
      </x:c>
      <x:c r="Q1447" s="68"/>
      <x:c r="R1447" s="67" t="str">
        <x:f>IF('Detalle'!M704="","",'Detalle'!M704)</x:f>
      </x:c>
      <x:c r="S1447" s="67" t="str">
        <x:f>IF('Detalle'!N704="","",'Detalle'!N704)</x:f>
      </x:c>
    </x:row>
    <x:row r="1448" ht="16" customHeight="1">
      <x:c r="A1448" s="56" t="str">
        <x:v>TOU05.007</x:v>
      </x:c>
      <x:c r="B1448" s="57" t="str">
        <x:v>Consultar HEAD al reanudar</x:v>
      </x:c>
      <x:c r="C1448" s="63" t="str">
        <x:v>R</x:v>
      </x:c>
      <x:c r="D1448" s="65" t="str">
        <x:f>IF('Detalle'!L704="","",'Detalle'!L704)</x:f>
      </x:c>
      <x:c r="E1448" s="60" t="str"/>
      <x:c r="F1448" s="32" t="str">
        <x:f>IF(OR('Detalle'!$J704="",'Detalle'!$K704="",'Detalle'!$L704=""),"",IF(AND(F$8&lt;='Detalle'!$K704,F$9&gt;='Detalle'!$J704),1,""))</x:f>
      </x:c>
      <x:c r="G1448" s="32" t="str">
        <x:f>IF(OR('Detalle'!$J704="",'Detalle'!$K704="",'Detalle'!$L704=""),"",IF(AND(G$8&lt;='Detalle'!$K704,G$9&gt;='Detalle'!$J704),1,""))</x:f>
      </x:c>
      <x:c r="H1448" s="32" t="str">
        <x:f>IF(OR('Detalle'!$J704="",'Detalle'!$K704="",'Detalle'!$L704=""),"",IF(AND(H$8&lt;='Detalle'!$K704,H$9&gt;='Detalle'!$J704),1,""))</x:f>
      </x:c>
      <x:c r="I1448" s="32" t="str">
        <x:f>IF(OR('Detalle'!$J704="",'Detalle'!$K704="",'Detalle'!$L704=""),"",IF(AND(I$8&lt;='Detalle'!$K704,I$9&gt;='Detalle'!$J704),1,""))</x:f>
      </x:c>
      <x:c r="J1448" s="32" t="str">
        <x:f>IF(OR('Detalle'!$J704="",'Detalle'!$K704="",'Detalle'!$L704=""),"",IF(AND(J$8&lt;='Detalle'!$K704,J$9&gt;='Detalle'!$J704),1,""))</x:f>
      </x:c>
      <x:c r="K1448" s="32" t="str">
        <x:f>IF(OR('Detalle'!$J704="",'Detalle'!$K704="",'Detalle'!$L704=""),"",IF(AND(K$8&lt;='Detalle'!$K704,K$9&gt;='Detalle'!$J704),1,""))</x:f>
      </x:c>
      <x:c r="L1448" s="32" t="str">
        <x:f>IF(OR('Detalle'!$J704="",'Detalle'!$K704="",'Detalle'!$L704=""),"",IF(AND(L$8&lt;='Detalle'!$K704,L$9&gt;='Detalle'!$J704),1,""))</x:f>
      </x:c>
      <x:c r="M1448" s="32" t="str">
        <x:f>IF(OR('Detalle'!$J704="",'Detalle'!$K704="",'Detalle'!$L704=""),"",IF(AND(M$8&lt;='Detalle'!$K704,M$9&gt;='Detalle'!$J704),1,""))</x:f>
      </x:c>
      <x:c r="N1448" s="32" t="str">
        <x:f>IF(OR('Detalle'!$J704="",'Detalle'!$K704="",'Detalle'!$L704=""),"",IF(AND(N$8&lt;='Detalle'!$K704,N$9&gt;='Detalle'!$J704),1,""))</x:f>
      </x:c>
      <x:c r="O1448" s="32" t="str">
        <x:f>IF(OR('Detalle'!$J704="",'Detalle'!$K704="",'Detalle'!$L704=""),"",IF(AND(O$8&lt;='Detalle'!$K704,O$9&gt;='Detalle'!$J704),1,""))</x:f>
      </x:c>
      <x:c r="P1448" s="32" t="str">
        <x:f>IF(OR('Detalle'!$J704="",'Detalle'!$K704="",'Detalle'!$L704=""),"",IF(AND(P$8&lt;='Detalle'!$K704,P$9&gt;='Detalle'!$J704),1,""))</x:f>
      </x:c>
      <x:c r="Q1448" s="68"/>
      <x:c r="R1448" s="67" t="str"/>
      <x:c r="S1448" s="67" t="str"/>
    </x:row>
    <x:row r="1449" ht="16" customHeight="1">
      <x:c r="A1449" s="56" t="str">
        <x:v>TOU05.008</x:v>
      </x:c>
      <x:c r="B1449" s="57" t="str">
        <x:v>Validar host del endpoint TUS</x:v>
      </x:c>
      <x:c r="C1449" s="62" t="str">
        <x:v>E</x:v>
      </x:c>
      <x:c r="D1449" s="64" t="n">
        <x:f>'Detalle'!I705</x:f>
        <x:v>1</x:v>
      </x:c>
      <x:c r="E1449" s="60" t="str">
        <x:f>'Detalle'!F705</x:f>
        <x:v>Completado</x:v>
      </x:c>
      <x:c r="F1449" s="32" t="str">
        <x:f>IF(AND(F$8&lt;='Detalle'!$H705,F$9&gt;='Detalle'!$G705),1,"")</x:f>
      </x:c>
      <x:c r="G1449" s="32" t="str">
        <x:f>IF(AND(G$8&lt;='Detalle'!$H705,G$9&gt;='Detalle'!$G705),1,"")</x:f>
      </x:c>
      <x:c r="H1449" s="32" t="str">
        <x:f>IF(AND(H$8&lt;='Detalle'!$H705,H$9&gt;='Detalle'!$G705),1,"")</x:f>
      </x:c>
      <x:c r="I1449" s="32" t="str">
        <x:f>IF(AND(I$8&lt;='Detalle'!$H705,I$9&gt;='Detalle'!$G705),1,"")</x:f>
      </x:c>
      <x:c r="J1449" s="32" t="n">
        <x:f>IF(AND(J$8&lt;='Detalle'!$H705,J$9&gt;='Detalle'!$G705),1,"")</x:f>
        <x:v>1</x:v>
      </x:c>
      <x:c r="K1449" s="32" t="str">
        <x:f>IF(AND(K$8&lt;='Detalle'!$H705,K$9&gt;='Detalle'!$G705),1,"")</x:f>
      </x:c>
      <x:c r="L1449" s="32" t="str">
        <x:f>IF(AND(L$8&lt;='Detalle'!$H705,L$9&gt;='Detalle'!$G705),1,"")</x:f>
      </x:c>
      <x:c r="M1449" s="32" t="str">
        <x:f>IF(AND(M$8&lt;='Detalle'!$H705,M$9&gt;='Detalle'!$G705),1,"")</x:f>
      </x:c>
      <x:c r="N1449" s="32" t="str">
        <x:f>IF(AND(N$8&lt;='Detalle'!$H705,N$9&gt;='Detalle'!$G705),1,"")</x:f>
      </x:c>
      <x:c r="O1449" s="32" t="str">
        <x:f>IF(AND(O$8&lt;='Detalle'!$H705,O$9&gt;='Detalle'!$G705),1,"")</x:f>
      </x:c>
      <x:c r="P1449" s="32" t="str">
        <x:f>IF(AND(P$8&lt;='Detalle'!$H705,P$9&gt;='Detalle'!$G705),1,"")</x:f>
      </x:c>
      <x:c r="Q1449" s="68"/>
      <x:c r="R1449" s="67" t="str">
        <x:f>IF('Detalle'!M705="","",'Detalle'!M705)</x:f>
      </x:c>
      <x:c r="S1449" s="67" t="str">
        <x:f>IF('Detalle'!N705="","",'Detalle'!N705)</x:f>
      </x:c>
    </x:row>
    <x:row r="1450" ht="16" customHeight="1">
      <x:c r="A1450" s="56" t="str">
        <x:v>TOU05.008</x:v>
      </x:c>
      <x:c r="B1450" s="57" t="str">
        <x:v>Validar host del endpoint TUS</x:v>
      </x:c>
      <x:c r="C1450" s="63" t="str">
        <x:v>R</x:v>
      </x:c>
      <x:c r="D1450" s="65" t="str">
        <x:f>IF('Detalle'!L705="","",'Detalle'!L705)</x:f>
      </x:c>
      <x:c r="E1450" s="60" t="str"/>
      <x:c r="F1450" s="32" t="str">
        <x:f>IF(OR('Detalle'!$J705="",'Detalle'!$K705="",'Detalle'!$L705=""),"",IF(AND(F$8&lt;='Detalle'!$K705,F$9&gt;='Detalle'!$J705),1,""))</x:f>
      </x:c>
      <x:c r="G1450" s="32" t="str">
        <x:f>IF(OR('Detalle'!$J705="",'Detalle'!$K705="",'Detalle'!$L705=""),"",IF(AND(G$8&lt;='Detalle'!$K705,G$9&gt;='Detalle'!$J705),1,""))</x:f>
      </x:c>
      <x:c r="H1450" s="32" t="str">
        <x:f>IF(OR('Detalle'!$J705="",'Detalle'!$K705="",'Detalle'!$L705=""),"",IF(AND(H$8&lt;='Detalle'!$K705,H$9&gt;='Detalle'!$J705),1,""))</x:f>
      </x:c>
      <x:c r="I1450" s="32" t="str">
        <x:f>IF(OR('Detalle'!$J705="",'Detalle'!$K705="",'Detalle'!$L705=""),"",IF(AND(I$8&lt;='Detalle'!$K705,I$9&gt;='Detalle'!$J705),1,""))</x:f>
      </x:c>
      <x:c r="J1450" s="32" t="str">
        <x:f>IF(OR('Detalle'!$J705="",'Detalle'!$K705="",'Detalle'!$L705=""),"",IF(AND(J$8&lt;='Detalle'!$K705,J$9&gt;='Detalle'!$J705),1,""))</x:f>
      </x:c>
      <x:c r="K1450" s="32" t="str">
        <x:f>IF(OR('Detalle'!$J705="",'Detalle'!$K705="",'Detalle'!$L705=""),"",IF(AND(K$8&lt;='Detalle'!$K705,K$9&gt;='Detalle'!$J705),1,""))</x:f>
      </x:c>
      <x:c r="L1450" s="32" t="str">
        <x:f>IF(OR('Detalle'!$J705="",'Detalle'!$K705="",'Detalle'!$L705=""),"",IF(AND(L$8&lt;='Detalle'!$K705,L$9&gt;='Detalle'!$J705),1,""))</x:f>
      </x:c>
      <x:c r="M1450" s="32" t="str">
        <x:f>IF(OR('Detalle'!$J705="",'Detalle'!$K705="",'Detalle'!$L705=""),"",IF(AND(M$8&lt;='Detalle'!$K705,M$9&gt;='Detalle'!$J705),1,""))</x:f>
      </x:c>
      <x:c r="N1450" s="32" t="str">
        <x:f>IF(OR('Detalle'!$J705="",'Detalle'!$K705="",'Detalle'!$L705=""),"",IF(AND(N$8&lt;='Detalle'!$K705,N$9&gt;='Detalle'!$J705),1,""))</x:f>
      </x:c>
      <x:c r="O1450" s="32" t="str">
        <x:f>IF(OR('Detalle'!$J705="",'Detalle'!$K705="",'Detalle'!$L705=""),"",IF(AND(O$8&lt;='Detalle'!$K705,O$9&gt;='Detalle'!$J705),1,""))</x:f>
      </x:c>
      <x:c r="P1450" s="32" t="str">
        <x:f>IF(OR('Detalle'!$J705="",'Detalle'!$K705="",'Detalle'!$L705=""),"",IF(AND(P$8&lt;='Detalle'!$K705,P$9&gt;='Detalle'!$J705),1,""))</x:f>
      </x:c>
      <x:c r="Q1450" s="68"/>
      <x:c r="R1450" s="67" t="str"/>
      <x:c r="S1450" s="67" t="str"/>
    </x:row>
    <x:row r="1451" ht="16" customHeight="1">
      <x:c r="A1451" s="56" t="str">
        <x:v>TOU05.009</x:v>
      </x:c>
      <x:c r="B1451" s="57" t="str">
        <x:v>Validar cuenta activa durante carga</x:v>
      </x:c>
      <x:c r="C1451" s="62" t="str">
        <x:v>E</x:v>
      </x:c>
      <x:c r="D1451" s="64" t="n">
        <x:f>'Detalle'!I706</x:f>
        <x:v>1</x:v>
      </x:c>
      <x:c r="E1451" s="60" t="str">
        <x:f>'Detalle'!F706</x:f>
        <x:v>Completado</x:v>
      </x:c>
      <x:c r="F1451" s="32" t="str">
        <x:f>IF(AND(F$8&lt;='Detalle'!$H706,F$9&gt;='Detalle'!$G706),1,"")</x:f>
      </x:c>
      <x:c r="G1451" s="32" t="str">
        <x:f>IF(AND(G$8&lt;='Detalle'!$H706,G$9&gt;='Detalle'!$G706),1,"")</x:f>
      </x:c>
      <x:c r="H1451" s="32" t="str">
        <x:f>IF(AND(H$8&lt;='Detalle'!$H706,H$9&gt;='Detalle'!$G706),1,"")</x:f>
      </x:c>
      <x:c r="I1451" s="32" t="str">
        <x:f>IF(AND(I$8&lt;='Detalle'!$H706,I$9&gt;='Detalle'!$G706),1,"")</x:f>
      </x:c>
      <x:c r="J1451" s="32" t="n">
        <x:f>IF(AND(J$8&lt;='Detalle'!$H706,J$9&gt;='Detalle'!$G706),1,"")</x:f>
        <x:v>1</x:v>
      </x:c>
      <x:c r="K1451" s="32" t="str">
        <x:f>IF(AND(K$8&lt;='Detalle'!$H706,K$9&gt;='Detalle'!$G706),1,"")</x:f>
      </x:c>
      <x:c r="L1451" s="32" t="str">
        <x:f>IF(AND(L$8&lt;='Detalle'!$H706,L$9&gt;='Detalle'!$G706),1,"")</x:f>
      </x:c>
      <x:c r="M1451" s="32" t="str">
        <x:f>IF(AND(M$8&lt;='Detalle'!$H706,M$9&gt;='Detalle'!$G706),1,"")</x:f>
      </x:c>
      <x:c r="N1451" s="32" t="str">
        <x:f>IF(AND(N$8&lt;='Detalle'!$H706,N$9&gt;='Detalle'!$G706),1,"")</x:f>
      </x:c>
      <x:c r="O1451" s="32" t="str">
        <x:f>IF(AND(O$8&lt;='Detalle'!$H706,O$9&gt;='Detalle'!$G706),1,"")</x:f>
      </x:c>
      <x:c r="P1451" s="32" t="str">
        <x:f>IF(AND(P$8&lt;='Detalle'!$H706,P$9&gt;='Detalle'!$G706),1,"")</x:f>
      </x:c>
      <x:c r="Q1451" s="68"/>
      <x:c r="R1451" s="67" t="str">
        <x:f>IF('Detalle'!M706="","",'Detalle'!M706)</x:f>
      </x:c>
      <x:c r="S1451" s="67" t="str">
        <x:f>IF('Detalle'!N706="","",'Detalle'!N706)</x:f>
      </x:c>
    </x:row>
    <x:row r="1452" ht="16" customHeight="1">
      <x:c r="A1452" s="56" t="str">
        <x:v>TOU05.009</x:v>
      </x:c>
      <x:c r="B1452" s="57" t="str">
        <x:v>Validar cuenta activa durante carga</x:v>
      </x:c>
      <x:c r="C1452" s="63" t="str">
        <x:v>R</x:v>
      </x:c>
      <x:c r="D1452" s="65" t="str">
        <x:f>IF('Detalle'!L706="","",'Detalle'!L706)</x:f>
      </x:c>
      <x:c r="E1452" s="60" t="str"/>
      <x:c r="F1452" s="32" t="str">
        <x:f>IF(OR('Detalle'!$J706="",'Detalle'!$K706="",'Detalle'!$L706=""),"",IF(AND(F$8&lt;='Detalle'!$K706,F$9&gt;='Detalle'!$J706),1,""))</x:f>
      </x:c>
      <x:c r="G1452" s="32" t="str">
        <x:f>IF(OR('Detalle'!$J706="",'Detalle'!$K706="",'Detalle'!$L706=""),"",IF(AND(G$8&lt;='Detalle'!$K706,G$9&gt;='Detalle'!$J706),1,""))</x:f>
      </x:c>
      <x:c r="H1452" s="32" t="str">
        <x:f>IF(OR('Detalle'!$J706="",'Detalle'!$K706="",'Detalle'!$L706=""),"",IF(AND(H$8&lt;='Detalle'!$K706,H$9&gt;='Detalle'!$J706),1,""))</x:f>
      </x:c>
      <x:c r="I1452" s="32" t="str">
        <x:f>IF(OR('Detalle'!$J706="",'Detalle'!$K706="",'Detalle'!$L706=""),"",IF(AND(I$8&lt;='Detalle'!$K706,I$9&gt;='Detalle'!$J706),1,""))</x:f>
      </x:c>
      <x:c r="J1452" s="32" t="str">
        <x:f>IF(OR('Detalle'!$J706="",'Detalle'!$K706="",'Detalle'!$L706=""),"",IF(AND(J$8&lt;='Detalle'!$K706,J$9&gt;='Detalle'!$J706),1,""))</x:f>
      </x:c>
      <x:c r="K1452" s="32" t="str">
        <x:f>IF(OR('Detalle'!$J706="",'Detalle'!$K706="",'Detalle'!$L706=""),"",IF(AND(K$8&lt;='Detalle'!$K706,K$9&gt;='Detalle'!$J706),1,""))</x:f>
      </x:c>
      <x:c r="L1452" s="32" t="str">
        <x:f>IF(OR('Detalle'!$J706="",'Detalle'!$K706="",'Detalle'!$L706=""),"",IF(AND(L$8&lt;='Detalle'!$K706,L$9&gt;='Detalle'!$J706),1,""))</x:f>
      </x:c>
      <x:c r="M1452" s="32" t="str">
        <x:f>IF(OR('Detalle'!$J706="",'Detalle'!$K706="",'Detalle'!$L706=""),"",IF(AND(M$8&lt;='Detalle'!$K706,M$9&gt;='Detalle'!$J706),1,""))</x:f>
      </x:c>
      <x:c r="N1452" s="32" t="str">
        <x:f>IF(OR('Detalle'!$J706="",'Detalle'!$K706="",'Detalle'!$L706=""),"",IF(AND(N$8&lt;='Detalle'!$K706,N$9&gt;='Detalle'!$J706),1,""))</x:f>
      </x:c>
      <x:c r="O1452" s="32" t="str">
        <x:f>IF(OR('Detalle'!$J706="",'Detalle'!$K706="",'Detalle'!$L706=""),"",IF(AND(O$8&lt;='Detalle'!$K706,O$9&gt;='Detalle'!$J706),1,""))</x:f>
      </x:c>
      <x:c r="P1452" s="32" t="str">
        <x:f>IF(OR('Detalle'!$J706="",'Detalle'!$K706="",'Detalle'!$L706=""),"",IF(AND(P$8&lt;='Detalle'!$K706,P$9&gt;='Detalle'!$J706),1,""))</x:f>
      </x:c>
      <x:c r="Q1452" s="68"/>
      <x:c r="R1452" s="67" t="str"/>
      <x:c r="S1452" s="67" t="str"/>
    </x:row>
    <x:row r="1453" ht="16" customHeight="1">
      <x:c r="A1453" s="56" t="str">
        <x:v>TOU05.010</x:v>
      </x:c>
      <x:c r="B1453" s="57" t="str">
        <x:v>Subir todos los archivos del manifiesto</x:v>
      </x:c>
      <x:c r="C1453" s="62" t="str">
        <x:v>E</x:v>
      </x:c>
      <x:c r="D1453" s="64" t="n">
        <x:f>'Detalle'!I707</x:f>
        <x:v>1</x:v>
      </x:c>
      <x:c r="E1453" s="60" t="str">
        <x:f>'Detalle'!F707</x:f>
        <x:v>Completado</x:v>
      </x:c>
      <x:c r="F1453" s="32" t="str">
        <x:f>IF(AND(F$8&lt;='Detalle'!$H707,F$9&gt;='Detalle'!$G707),1,"")</x:f>
      </x:c>
      <x:c r="G1453" s="32" t="str">
        <x:f>IF(AND(G$8&lt;='Detalle'!$H707,G$9&gt;='Detalle'!$G707),1,"")</x:f>
      </x:c>
      <x:c r="H1453" s="32" t="str">
        <x:f>IF(AND(H$8&lt;='Detalle'!$H707,H$9&gt;='Detalle'!$G707),1,"")</x:f>
      </x:c>
      <x:c r="I1453" s="32" t="str">
        <x:f>IF(AND(I$8&lt;='Detalle'!$H707,I$9&gt;='Detalle'!$G707),1,"")</x:f>
      </x:c>
      <x:c r="J1453" s="32" t="n">
        <x:f>IF(AND(J$8&lt;='Detalle'!$H707,J$9&gt;='Detalle'!$G707),1,"")</x:f>
        <x:v>1</x:v>
      </x:c>
      <x:c r="K1453" s="32" t="str">
        <x:f>IF(AND(K$8&lt;='Detalle'!$H707,K$9&gt;='Detalle'!$G707),1,"")</x:f>
      </x:c>
      <x:c r="L1453" s="32" t="str">
        <x:f>IF(AND(L$8&lt;='Detalle'!$H707,L$9&gt;='Detalle'!$G707),1,"")</x:f>
      </x:c>
      <x:c r="M1453" s="32" t="str">
        <x:f>IF(AND(M$8&lt;='Detalle'!$H707,M$9&gt;='Detalle'!$G707),1,"")</x:f>
      </x:c>
      <x:c r="N1453" s="32" t="str">
        <x:f>IF(AND(N$8&lt;='Detalle'!$H707,N$9&gt;='Detalle'!$G707),1,"")</x:f>
      </x:c>
      <x:c r="O1453" s="32" t="str">
        <x:f>IF(AND(O$8&lt;='Detalle'!$H707,O$9&gt;='Detalle'!$G707),1,"")</x:f>
      </x:c>
      <x:c r="P1453" s="32" t="str">
        <x:f>IF(AND(P$8&lt;='Detalle'!$H707,P$9&gt;='Detalle'!$G707),1,"")</x:f>
      </x:c>
      <x:c r="Q1453" s="68"/>
      <x:c r="R1453" s="67" t="str">
        <x:f>IF('Detalle'!M707="","",'Detalle'!M707)</x:f>
      </x:c>
      <x:c r="S1453" s="67" t="str">
        <x:f>IF('Detalle'!N707="","",'Detalle'!N707)</x:f>
      </x:c>
    </x:row>
    <x:row r="1454" ht="16" customHeight="1">
      <x:c r="A1454" s="56" t="str">
        <x:v>TOU05.010</x:v>
      </x:c>
      <x:c r="B1454" s="57" t="str">
        <x:v>Subir todos los archivos del manifiesto</x:v>
      </x:c>
      <x:c r="C1454" s="63" t="str">
        <x:v>R</x:v>
      </x:c>
      <x:c r="D1454" s="65" t="str">
        <x:f>IF('Detalle'!L707="","",'Detalle'!L707)</x:f>
      </x:c>
      <x:c r="E1454" s="60" t="str"/>
      <x:c r="F1454" s="32" t="str">
        <x:f>IF(OR('Detalle'!$J707="",'Detalle'!$K707="",'Detalle'!$L707=""),"",IF(AND(F$8&lt;='Detalle'!$K707,F$9&gt;='Detalle'!$J707),1,""))</x:f>
      </x:c>
      <x:c r="G1454" s="32" t="str">
        <x:f>IF(OR('Detalle'!$J707="",'Detalle'!$K707="",'Detalle'!$L707=""),"",IF(AND(G$8&lt;='Detalle'!$K707,G$9&gt;='Detalle'!$J707),1,""))</x:f>
      </x:c>
      <x:c r="H1454" s="32" t="str">
        <x:f>IF(OR('Detalle'!$J707="",'Detalle'!$K707="",'Detalle'!$L707=""),"",IF(AND(H$8&lt;='Detalle'!$K707,H$9&gt;='Detalle'!$J707),1,""))</x:f>
      </x:c>
      <x:c r="I1454" s="32" t="str">
        <x:f>IF(OR('Detalle'!$J707="",'Detalle'!$K707="",'Detalle'!$L707=""),"",IF(AND(I$8&lt;='Detalle'!$K707,I$9&gt;='Detalle'!$J707),1,""))</x:f>
      </x:c>
      <x:c r="J1454" s="32" t="str">
        <x:f>IF(OR('Detalle'!$J707="",'Detalle'!$K707="",'Detalle'!$L707=""),"",IF(AND(J$8&lt;='Detalle'!$K707,J$9&gt;='Detalle'!$J707),1,""))</x:f>
      </x:c>
      <x:c r="K1454" s="32" t="str">
        <x:f>IF(OR('Detalle'!$J707="",'Detalle'!$K707="",'Detalle'!$L707=""),"",IF(AND(K$8&lt;='Detalle'!$K707,K$9&gt;='Detalle'!$J707),1,""))</x:f>
      </x:c>
      <x:c r="L1454" s="32" t="str">
        <x:f>IF(OR('Detalle'!$J707="",'Detalle'!$K707="",'Detalle'!$L707=""),"",IF(AND(L$8&lt;='Detalle'!$K707,L$9&gt;='Detalle'!$J707),1,""))</x:f>
      </x:c>
      <x:c r="M1454" s="32" t="str">
        <x:f>IF(OR('Detalle'!$J707="",'Detalle'!$K707="",'Detalle'!$L707=""),"",IF(AND(M$8&lt;='Detalle'!$K707,M$9&gt;='Detalle'!$J707),1,""))</x:f>
      </x:c>
      <x:c r="N1454" s="32" t="str">
        <x:f>IF(OR('Detalle'!$J707="",'Detalle'!$K707="",'Detalle'!$L707=""),"",IF(AND(N$8&lt;='Detalle'!$K707,N$9&gt;='Detalle'!$J707),1,""))</x:f>
      </x:c>
      <x:c r="O1454" s="32" t="str">
        <x:f>IF(OR('Detalle'!$J707="",'Detalle'!$K707="",'Detalle'!$L707=""),"",IF(AND(O$8&lt;='Detalle'!$K707,O$9&gt;='Detalle'!$J707),1,""))</x:f>
      </x:c>
      <x:c r="P1454" s="32" t="str">
        <x:f>IF(OR('Detalle'!$J707="",'Detalle'!$K707="",'Detalle'!$L707=""),"",IF(AND(P$8&lt;='Detalle'!$K707,P$9&gt;='Detalle'!$J707),1,""))</x:f>
      </x:c>
      <x:c r="Q1454" s="68"/>
      <x:c r="R1454" s="67" t="str"/>
      <x:c r="S1454" s="67" t="str"/>
    </x:row>
    <x:row r="1455" ht="16" customHeight="1">
      <x:c r="A1455" s="56" t="str">
        <x:v>TOU05.011</x:v>
      </x:c>
      <x:c r="B1455" s="57" t="str">
        <x:v>Confirmar captura enviada inmutable</x:v>
      </x:c>
      <x:c r="C1455" s="62" t="str">
        <x:v>E</x:v>
      </x:c>
      <x:c r="D1455" s="64" t="n">
        <x:f>'Detalle'!I708</x:f>
        <x:v>1</x:v>
      </x:c>
      <x:c r="E1455" s="60" t="str">
        <x:f>'Detalle'!F708</x:f>
        <x:v>Completado</x:v>
      </x:c>
      <x:c r="F1455" s="32" t="str">
        <x:f>IF(AND(F$8&lt;='Detalle'!$H708,F$9&gt;='Detalle'!$G708),1,"")</x:f>
      </x:c>
      <x:c r="G1455" s="32" t="str">
        <x:f>IF(AND(G$8&lt;='Detalle'!$H708,G$9&gt;='Detalle'!$G708),1,"")</x:f>
      </x:c>
      <x:c r="H1455" s="32" t="str">
        <x:f>IF(AND(H$8&lt;='Detalle'!$H708,H$9&gt;='Detalle'!$G708),1,"")</x:f>
      </x:c>
      <x:c r="I1455" s="32" t="str">
        <x:f>IF(AND(I$8&lt;='Detalle'!$H708,I$9&gt;='Detalle'!$G708),1,"")</x:f>
      </x:c>
      <x:c r="J1455" s="32" t="n">
        <x:f>IF(AND(J$8&lt;='Detalle'!$H708,J$9&gt;='Detalle'!$G708),1,"")</x:f>
        <x:v>1</x:v>
      </x:c>
      <x:c r="K1455" s="32" t="str">
        <x:f>IF(AND(K$8&lt;='Detalle'!$H708,K$9&gt;='Detalle'!$G708),1,"")</x:f>
      </x:c>
      <x:c r="L1455" s="32" t="str">
        <x:f>IF(AND(L$8&lt;='Detalle'!$H708,L$9&gt;='Detalle'!$G708),1,"")</x:f>
      </x:c>
      <x:c r="M1455" s="32" t="str">
        <x:f>IF(AND(M$8&lt;='Detalle'!$H708,M$9&gt;='Detalle'!$G708),1,"")</x:f>
      </x:c>
      <x:c r="N1455" s="32" t="str">
        <x:f>IF(AND(N$8&lt;='Detalle'!$H708,N$9&gt;='Detalle'!$G708),1,"")</x:f>
      </x:c>
      <x:c r="O1455" s="32" t="str">
        <x:f>IF(AND(O$8&lt;='Detalle'!$H708,O$9&gt;='Detalle'!$G708),1,"")</x:f>
      </x:c>
      <x:c r="P1455" s="32" t="str">
        <x:f>IF(AND(P$8&lt;='Detalle'!$H708,P$9&gt;='Detalle'!$G708),1,"")</x:f>
      </x:c>
      <x:c r="Q1455" s="68"/>
      <x:c r="R1455" s="67" t="str">
        <x:f>IF('Detalle'!M708="","",'Detalle'!M708)</x:f>
      </x:c>
      <x:c r="S1455" s="67" t="str">
        <x:f>IF('Detalle'!N708="","",'Detalle'!N708)</x:f>
      </x:c>
    </x:row>
    <x:row r="1456" ht="16" customHeight="1">
      <x:c r="A1456" s="56" t="str">
        <x:v>TOU05.011</x:v>
      </x:c>
      <x:c r="B1456" s="57" t="str">
        <x:v>Confirmar captura enviada inmutable</x:v>
      </x:c>
      <x:c r="C1456" s="63" t="str">
        <x:v>R</x:v>
      </x:c>
      <x:c r="D1456" s="65" t="str">
        <x:f>IF('Detalle'!L708="","",'Detalle'!L708)</x:f>
      </x:c>
      <x:c r="E1456" s="60" t="str"/>
      <x:c r="F1456" s="32" t="str">
        <x:f>IF(OR('Detalle'!$J708="",'Detalle'!$K708="",'Detalle'!$L708=""),"",IF(AND(F$8&lt;='Detalle'!$K708,F$9&gt;='Detalle'!$J708),1,""))</x:f>
      </x:c>
      <x:c r="G1456" s="32" t="str">
        <x:f>IF(OR('Detalle'!$J708="",'Detalle'!$K708="",'Detalle'!$L708=""),"",IF(AND(G$8&lt;='Detalle'!$K708,G$9&gt;='Detalle'!$J708),1,""))</x:f>
      </x:c>
      <x:c r="H1456" s="32" t="str">
        <x:f>IF(OR('Detalle'!$J708="",'Detalle'!$K708="",'Detalle'!$L708=""),"",IF(AND(H$8&lt;='Detalle'!$K708,H$9&gt;='Detalle'!$J708),1,""))</x:f>
      </x:c>
      <x:c r="I1456" s="32" t="str">
        <x:f>IF(OR('Detalle'!$J708="",'Detalle'!$K708="",'Detalle'!$L708=""),"",IF(AND(I$8&lt;='Detalle'!$K708,I$9&gt;='Detalle'!$J708),1,""))</x:f>
      </x:c>
      <x:c r="J1456" s="32" t="str">
        <x:f>IF(OR('Detalle'!$J708="",'Detalle'!$K708="",'Detalle'!$L708=""),"",IF(AND(J$8&lt;='Detalle'!$K708,J$9&gt;='Detalle'!$J708),1,""))</x:f>
      </x:c>
      <x:c r="K1456" s="32" t="str">
        <x:f>IF(OR('Detalle'!$J708="",'Detalle'!$K708="",'Detalle'!$L708=""),"",IF(AND(K$8&lt;='Detalle'!$K708,K$9&gt;='Detalle'!$J708),1,""))</x:f>
      </x:c>
      <x:c r="L1456" s="32" t="str">
        <x:f>IF(OR('Detalle'!$J708="",'Detalle'!$K708="",'Detalle'!$L708=""),"",IF(AND(L$8&lt;='Detalle'!$K708,L$9&gt;='Detalle'!$J708),1,""))</x:f>
      </x:c>
      <x:c r="M1456" s="32" t="str">
        <x:f>IF(OR('Detalle'!$J708="",'Detalle'!$K708="",'Detalle'!$L708=""),"",IF(AND(M$8&lt;='Detalle'!$K708,M$9&gt;='Detalle'!$J708),1,""))</x:f>
      </x:c>
      <x:c r="N1456" s="32" t="str">
        <x:f>IF(OR('Detalle'!$J708="",'Detalle'!$K708="",'Detalle'!$L708=""),"",IF(AND(N$8&lt;='Detalle'!$K708,N$9&gt;='Detalle'!$J708),1,""))</x:f>
      </x:c>
      <x:c r="O1456" s="32" t="str">
        <x:f>IF(OR('Detalle'!$J708="",'Detalle'!$K708="",'Detalle'!$L708=""),"",IF(AND(O$8&lt;='Detalle'!$K708,O$9&gt;='Detalle'!$J708),1,""))</x:f>
      </x:c>
      <x:c r="P1456" s="32" t="str">
        <x:f>IF(OR('Detalle'!$J708="",'Detalle'!$K708="",'Detalle'!$L708=""),"",IF(AND(P$8&lt;='Detalle'!$K708,P$9&gt;='Detalle'!$J708),1,""))</x:f>
      </x:c>
      <x:c r="Q1456" s="68"/>
      <x:c r="R1456" s="67" t="str"/>
      <x:c r="S1456" s="67" t="str"/>
    </x:row>
    <x:row r="1457" ht="16" customHeight="1">
      <x:c r="A1457" s="56" t="str">
        <x:v>TOU05.012</x:v>
      </x:c>
      <x:c r="B1457" s="57" t="str">
        <x:v>Recuperar respuesta perdida de envío</x:v>
      </x:c>
      <x:c r="C1457" s="62" t="str">
        <x:v>E</x:v>
      </x:c>
      <x:c r="D1457" s="64" t="n">
        <x:f>'Detalle'!I709</x:f>
        <x:v>1</x:v>
      </x:c>
      <x:c r="E1457" s="60" t="str">
        <x:f>'Detalle'!F709</x:f>
        <x:v>Completado</x:v>
      </x:c>
      <x:c r="F1457" s="32" t="str">
        <x:f>IF(AND(F$8&lt;='Detalle'!$H709,F$9&gt;='Detalle'!$G709),1,"")</x:f>
      </x:c>
      <x:c r="G1457" s="32" t="str">
        <x:f>IF(AND(G$8&lt;='Detalle'!$H709,G$9&gt;='Detalle'!$G709),1,"")</x:f>
      </x:c>
      <x:c r="H1457" s="32" t="str">
        <x:f>IF(AND(H$8&lt;='Detalle'!$H709,H$9&gt;='Detalle'!$G709),1,"")</x:f>
      </x:c>
      <x:c r="I1457" s="32" t="str">
        <x:f>IF(AND(I$8&lt;='Detalle'!$H709,I$9&gt;='Detalle'!$G709),1,"")</x:f>
      </x:c>
      <x:c r="J1457" s="32" t="n">
        <x:f>IF(AND(J$8&lt;='Detalle'!$H709,J$9&gt;='Detalle'!$G709),1,"")</x:f>
        <x:v>1</x:v>
      </x:c>
      <x:c r="K1457" s="32" t="str">
        <x:f>IF(AND(K$8&lt;='Detalle'!$H709,K$9&gt;='Detalle'!$G709),1,"")</x:f>
      </x:c>
      <x:c r="L1457" s="32" t="str">
        <x:f>IF(AND(L$8&lt;='Detalle'!$H709,L$9&gt;='Detalle'!$G709),1,"")</x:f>
      </x:c>
      <x:c r="M1457" s="32" t="str">
        <x:f>IF(AND(M$8&lt;='Detalle'!$H709,M$9&gt;='Detalle'!$G709),1,"")</x:f>
      </x:c>
      <x:c r="N1457" s="32" t="str">
        <x:f>IF(AND(N$8&lt;='Detalle'!$H709,N$9&gt;='Detalle'!$G709),1,"")</x:f>
      </x:c>
      <x:c r="O1457" s="32" t="str">
        <x:f>IF(AND(O$8&lt;='Detalle'!$H709,O$9&gt;='Detalle'!$G709),1,"")</x:f>
      </x:c>
      <x:c r="P1457" s="32" t="str">
        <x:f>IF(AND(P$8&lt;='Detalle'!$H709,P$9&gt;='Detalle'!$G709),1,"")</x:f>
      </x:c>
      <x:c r="Q1457" s="68"/>
      <x:c r="R1457" s="67" t="str">
        <x:f>IF('Detalle'!M709="","",'Detalle'!M709)</x:f>
      </x:c>
      <x:c r="S1457" s="67" t="str">
        <x:f>IF('Detalle'!N709="","",'Detalle'!N709)</x:f>
      </x:c>
    </x:row>
    <x:row r="1458" ht="16" customHeight="1">
      <x:c r="A1458" s="56" t="str">
        <x:v>TOU05.012</x:v>
      </x:c>
      <x:c r="B1458" s="57" t="str">
        <x:v>Recuperar respuesta perdida de envío</x:v>
      </x:c>
      <x:c r="C1458" s="63" t="str">
        <x:v>R</x:v>
      </x:c>
      <x:c r="D1458" s="65" t="str">
        <x:f>IF('Detalle'!L709="","",'Detalle'!L709)</x:f>
      </x:c>
      <x:c r="E1458" s="60" t="str"/>
      <x:c r="F1458" s="32" t="str">
        <x:f>IF(OR('Detalle'!$J709="",'Detalle'!$K709="",'Detalle'!$L709=""),"",IF(AND(F$8&lt;='Detalle'!$K709,F$9&gt;='Detalle'!$J709),1,""))</x:f>
      </x:c>
      <x:c r="G1458" s="32" t="str">
        <x:f>IF(OR('Detalle'!$J709="",'Detalle'!$K709="",'Detalle'!$L709=""),"",IF(AND(G$8&lt;='Detalle'!$K709,G$9&gt;='Detalle'!$J709),1,""))</x:f>
      </x:c>
      <x:c r="H1458" s="32" t="str">
        <x:f>IF(OR('Detalle'!$J709="",'Detalle'!$K709="",'Detalle'!$L709=""),"",IF(AND(H$8&lt;='Detalle'!$K709,H$9&gt;='Detalle'!$J709),1,""))</x:f>
      </x:c>
      <x:c r="I1458" s="32" t="str">
        <x:f>IF(OR('Detalle'!$J709="",'Detalle'!$K709="",'Detalle'!$L709=""),"",IF(AND(I$8&lt;='Detalle'!$K709,I$9&gt;='Detalle'!$J709),1,""))</x:f>
      </x:c>
      <x:c r="J1458" s="32" t="str">
        <x:f>IF(OR('Detalle'!$J709="",'Detalle'!$K709="",'Detalle'!$L709=""),"",IF(AND(J$8&lt;='Detalle'!$K709,J$9&gt;='Detalle'!$J709),1,""))</x:f>
      </x:c>
      <x:c r="K1458" s="32" t="str">
        <x:f>IF(OR('Detalle'!$J709="",'Detalle'!$K709="",'Detalle'!$L709=""),"",IF(AND(K$8&lt;='Detalle'!$K709,K$9&gt;='Detalle'!$J709),1,""))</x:f>
      </x:c>
      <x:c r="L1458" s="32" t="str">
        <x:f>IF(OR('Detalle'!$J709="",'Detalle'!$K709="",'Detalle'!$L709=""),"",IF(AND(L$8&lt;='Detalle'!$K709,L$9&gt;='Detalle'!$J709),1,""))</x:f>
      </x:c>
      <x:c r="M1458" s="32" t="str">
        <x:f>IF(OR('Detalle'!$J709="",'Detalle'!$K709="",'Detalle'!$L709=""),"",IF(AND(M$8&lt;='Detalle'!$K709,M$9&gt;='Detalle'!$J709),1,""))</x:f>
      </x:c>
      <x:c r="N1458" s="32" t="str">
        <x:f>IF(OR('Detalle'!$J709="",'Detalle'!$K709="",'Detalle'!$L709=""),"",IF(AND(N$8&lt;='Detalle'!$K709,N$9&gt;='Detalle'!$J709),1,""))</x:f>
      </x:c>
      <x:c r="O1458" s="32" t="str">
        <x:f>IF(OR('Detalle'!$J709="",'Detalle'!$K709="",'Detalle'!$L709=""),"",IF(AND(O$8&lt;='Detalle'!$K709,O$9&gt;='Detalle'!$J709),1,""))</x:f>
      </x:c>
      <x:c r="P1458" s="32" t="str">
        <x:f>IF(OR('Detalle'!$J709="",'Detalle'!$K709="",'Detalle'!$L709=""),"",IF(AND(P$8&lt;='Detalle'!$K709,P$9&gt;='Detalle'!$J709),1,""))</x:f>
      </x:c>
      <x:c r="Q1458" s="68"/>
      <x:c r="R1458" s="67" t="str"/>
      <x:c r="S1458" s="67" t="str"/>
    </x:row>
    <x:row r="1459" ht="16" customHeight="1">
      <x:c r="A1459" s="56" t="str">
        <x:v>TOU05.013</x:v>
      </x:c>
      <x:c r="B1459" s="57" t="str">
        <x:v>Mantener cuenta original de archivos locales</x:v>
      </x:c>
      <x:c r="C1459" s="62" t="str">
        <x:v>E</x:v>
      </x:c>
      <x:c r="D1459" s="64" t="n">
        <x:f>'Detalle'!I710</x:f>
        <x:v>1</x:v>
      </x:c>
      <x:c r="E1459" s="60" t="str">
        <x:f>'Detalle'!F710</x:f>
        <x:v>Completado</x:v>
      </x:c>
      <x:c r="F1459" s="32" t="str">
        <x:f>IF(AND(F$8&lt;='Detalle'!$H710,F$9&gt;='Detalle'!$G710),1,"")</x:f>
      </x:c>
      <x:c r="G1459" s="32" t="str">
        <x:f>IF(AND(G$8&lt;='Detalle'!$H710,G$9&gt;='Detalle'!$G710),1,"")</x:f>
      </x:c>
      <x:c r="H1459" s="32" t="str">
        <x:f>IF(AND(H$8&lt;='Detalle'!$H710,H$9&gt;='Detalle'!$G710),1,"")</x:f>
      </x:c>
      <x:c r="I1459" s="32" t="str">
        <x:f>IF(AND(I$8&lt;='Detalle'!$H710,I$9&gt;='Detalle'!$G710),1,"")</x:f>
      </x:c>
      <x:c r="J1459" s="32" t="n">
        <x:f>IF(AND(J$8&lt;='Detalle'!$H710,J$9&gt;='Detalle'!$G710),1,"")</x:f>
        <x:v>1</x:v>
      </x:c>
      <x:c r="K1459" s="32" t="str">
        <x:f>IF(AND(K$8&lt;='Detalle'!$H710,K$9&gt;='Detalle'!$G710),1,"")</x:f>
      </x:c>
      <x:c r="L1459" s="32" t="str">
        <x:f>IF(AND(L$8&lt;='Detalle'!$H710,L$9&gt;='Detalle'!$G710),1,"")</x:f>
      </x:c>
      <x:c r="M1459" s="32" t="str">
        <x:f>IF(AND(M$8&lt;='Detalle'!$H710,M$9&gt;='Detalle'!$G710),1,"")</x:f>
      </x:c>
      <x:c r="N1459" s="32" t="str">
        <x:f>IF(AND(N$8&lt;='Detalle'!$H710,N$9&gt;='Detalle'!$G710),1,"")</x:f>
      </x:c>
      <x:c r="O1459" s="32" t="str">
        <x:f>IF(AND(O$8&lt;='Detalle'!$H710,O$9&gt;='Detalle'!$G710),1,"")</x:f>
      </x:c>
      <x:c r="P1459" s="32" t="str">
        <x:f>IF(AND(P$8&lt;='Detalle'!$H710,P$9&gt;='Detalle'!$G710),1,"")</x:f>
      </x:c>
      <x:c r="Q1459" s="68"/>
      <x:c r="R1459" s="67" t="str">
        <x:f>IF('Detalle'!M710="","",'Detalle'!M710)</x:f>
      </x:c>
      <x:c r="S1459" s="67" t="str">
        <x:f>IF('Detalle'!N710="","",'Detalle'!N710)</x:f>
      </x:c>
    </x:row>
    <x:row r="1460" ht="16" customHeight="1">
      <x:c r="A1460" s="56" t="str">
        <x:v>TOU05.013</x:v>
      </x:c>
      <x:c r="B1460" s="57" t="str">
        <x:v>Mantener cuenta original de archivos locales</x:v>
      </x:c>
      <x:c r="C1460" s="63" t="str">
        <x:v>R</x:v>
      </x:c>
      <x:c r="D1460" s="65" t="str">
        <x:f>IF('Detalle'!L710="","",'Detalle'!L710)</x:f>
      </x:c>
      <x:c r="E1460" s="60" t="str"/>
      <x:c r="F1460" s="32" t="str">
        <x:f>IF(OR('Detalle'!$J710="",'Detalle'!$K710="",'Detalle'!$L710=""),"",IF(AND(F$8&lt;='Detalle'!$K710,F$9&gt;='Detalle'!$J710),1,""))</x:f>
      </x:c>
      <x:c r="G1460" s="32" t="str">
        <x:f>IF(OR('Detalle'!$J710="",'Detalle'!$K710="",'Detalle'!$L710=""),"",IF(AND(G$8&lt;='Detalle'!$K710,G$9&gt;='Detalle'!$J710),1,""))</x:f>
      </x:c>
      <x:c r="H1460" s="32" t="str">
        <x:f>IF(OR('Detalle'!$J710="",'Detalle'!$K710="",'Detalle'!$L710=""),"",IF(AND(H$8&lt;='Detalle'!$K710,H$9&gt;='Detalle'!$J710),1,""))</x:f>
      </x:c>
      <x:c r="I1460" s="32" t="str">
        <x:f>IF(OR('Detalle'!$J710="",'Detalle'!$K710="",'Detalle'!$L710=""),"",IF(AND(I$8&lt;='Detalle'!$K710,I$9&gt;='Detalle'!$J710),1,""))</x:f>
      </x:c>
      <x:c r="J1460" s="32" t="str">
        <x:f>IF(OR('Detalle'!$J710="",'Detalle'!$K710="",'Detalle'!$L710=""),"",IF(AND(J$8&lt;='Detalle'!$K710,J$9&gt;='Detalle'!$J710),1,""))</x:f>
      </x:c>
      <x:c r="K1460" s="32" t="str">
        <x:f>IF(OR('Detalle'!$J710="",'Detalle'!$K710="",'Detalle'!$L710=""),"",IF(AND(K$8&lt;='Detalle'!$K710,K$9&gt;='Detalle'!$J710),1,""))</x:f>
      </x:c>
      <x:c r="L1460" s="32" t="str">
        <x:f>IF(OR('Detalle'!$J710="",'Detalle'!$K710="",'Detalle'!$L710=""),"",IF(AND(L$8&lt;='Detalle'!$K710,L$9&gt;='Detalle'!$J710),1,""))</x:f>
      </x:c>
      <x:c r="M1460" s="32" t="str">
        <x:f>IF(OR('Detalle'!$J710="",'Detalle'!$K710="",'Detalle'!$L710=""),"",IF(AND(M$8&lt;='Detalle'!$K710,M$9&gt;='Detalle'!$J710),1,""))</x:f>
      </x:c>
      <x:c r="N1460" s="32" t="str">
        <x:f>IF(OR('Detalle'!$J710="",'Detalle'!$K710="",'Detalle'!$L710=""),"",IF(AND(N$8&lt;='Detalle'!$K710,N$9&gt;='Detalle'!$J710),1,""))</x:f>
      </x:c>
      <x:c r="O1460" s="32" t="str">
        <x:f>IF(OR('Detalle'!$J710="",'Detalle'!$K710="",'Detalle'!$L710=""),"",IF(AND(O$8&lt;='Detalle'!$K710,O$9&gt;='Detalle'!$J710),1,""))</x:f>
      </x:c>
      <x:c r="P1460" s="32" t="str">
        <x:f>IF(OR('Detalle'!$J710="",'Detalle'!$K710="",'Detalle'!$L710=""),"",IF(AND(P$8&lt;='Detalle'!$K710,P$9&gt;='Detalle'!$J710),1,""))</x:f>
      </x:c>
      <x:c r="Q1460" s="68"/>
      <x:c r="R1460" s="67" t="str"/>
      <x:c r="S1460" s="67" t="str"/>
    </x:row>
    <x:row r="1461" ht="16" customHeight="1">
      <x:c r="A1461" s="56" t="str">
        <x:v>TOU05.014</x:v>
      </x:c>
      <x:c r="B1461" s="57" t="str">
        <x:v>Probar interrupción y hash de TUS</x:v>
      </x:c>
      <x:c r="C1461" s="62" t="str">
        <x:v>E</x:v>
      </x:c>
      <x:c r="D1461" s="64" t="n">
        <x:f>'Detalle'!I711</x:f>
        <x:v>1</x:v>
      </x:c>
      <x:c r="E1461" s="60" t="str">
        <x:f>'Detalle'!F711</x:f>
        <x:v>Completado</x:v>
      </x:c>
      <x:c r="F1461" s="32" t="str">
        <x:f>IF(AND(F$8&lt;='Detalle'!$H711,F$9&gt;='Detalle'!$G711),1,"")</x:f>
      </x:c>
      <x:c r="G1461" s="32" t="str">
        <x:f>IF(AND(G$8&lt;='Detalle'!$H711,G$9&gt;='Detalle'!$G711),1,"")</x:f>
      </x:c>
      <x:c r="H1461" s="32" t="str">
        <x:f>IF(AND(H$8&lt;='Detalle'!$H711,H$9&gt;='Detalle'!$G711),1,"")</x:f>
      </x:c>
      <x:c r="I1461" s="32" t="str">
        <x:f>IF(AND(I$8&lt;='Detalle'!$H711,I$9&gt;='Detalle'!$G711),1,"")</x:f>
      </x:c>
      <x:c r="J1461" s="32" t="n">
        <x:f>IF(AND(J$8&lt;='Detalle'!$H711,J$9&gt;='Detalle'!$G711),1,"")</x:f>
        <x:v>1</x:v>
      </x:c>
      <x:c r="K1461" s="32" t="str">
        <x:f>IF(AND(K$8&lt;='Detalle'!$H711,K$9&gt;='Detalle'!$G711),1,"")</x:f>
      </x:c>
      <x:c r="L1461" s="32" t="str">
        <x:f>IF(AND(L$8&lt;='Detalle'!$H711,L$9&gt;='Detalle'!$G711),1,"")</x:f>
      </x:c>
      <x:c r="M1461" s="32" t="str">
        <x:f>IF(AND(M$8&lt;='Detalle'!$H711,M$9&gt;='Detalle'!$G711),1,"")</x:f>
      </x:c>
      <x:c r="N1461" s="32" t="str">
        <x:f>IF(AND(N$8&lt;='Detalle'!$H711,N$9&gt;='Detalle'!$G711),1,"")</x:f>
      </x:c>
      <x:c r="O1461" s="32" t="str">
        <x:f>IF(AND(O$8&lt;='Detalle'!$H711,O$9&gt;='Detalle'!$G711),1,"")</x:f>
      </x:c>
      <x:c r="P1461" s="32" t="str">
        <x:f>IF(AND(P$8&lt;='Detalle'!$H711,P$9&gt;='Detalle'!$G711),1,"")</x:f>
      </x:c>
      <x:c r="Q1461" s="68"/>
      <x:c r="R1461" s="67" t="str">
        <x:f>IF('Detalle'!M711="","",'Detalle'!M711)</x:f>
      </x:c>
      <x:c r="S1461" s="67" t="str">
        <x:f>IF('Detalle'!N711="","",'Detalle'!N711)</x:f>
      </x:c>
    </x:row>
    <x:row r="1462" ht="16" customHeight="1">
      <x:c r="A1462" s="56" t="str">
        <x:v>TOU05.014</x:v>
      </x:c>
      <x:c r="B1462" s="57" t="str">
        <x:v>Probar interrupción y hash de TUS</x:v>
      </x:c>
      <x:c r="C1462" s="63" t="str">
        <x:v>R</x:v>
      </x:c>
      <x:c r="D1462" s="65" t="str">
        <x:f>IF('Detalle'!L711="","",'Detalle'!L711)</x:f>
      </x:c>
      <x:c r="E1462" s="60" t="str"/>
      <x:c r="F1462" s="32" t="str">
        <x:f>IF(OR('Detalle'!$J711="",'Detalle'!$K711="",'Detalle'!$L711=""),"",IF(AND(F$8&lt;='Detalle'!$K711,F$9&gt;='Detalle'!$J711),1,""))</x:f>
      </x:c>
      <x:c r="G1462" s="32" t="str">
        <x:f>IF(OR('Detalle'!$J711="",'Detalle'!$K711="",'Detalle'!$L711=""),"",IF(AND(G$8&lt;='Detalle'!$K711,G$9&gt;='Detalle'!$J711),1,""))</x:f>
      </x:c>
      <x:c r="H1462" s="32" t="str">
        <x:f>IF(OR('Detalle'!$J711="",'Detalle'!$K711="",'Detalle'!$L711=""),"",IF(AND(H$8&lt;='Detalle'!$K711,H$9&gt;='Detalle'!$J711),1,""))</x:f>
      </x:c>
      <x:c r="I1462" s="32" t="str">
        <x:f>IF(OR('Detalle'!$J711="",'Detalle'!$K711="",'Detalle'!$L711=""),"",IF(AND(I$8&lt;='Detalle'!$K711,I$9&gt;='Detalle'!$J711),1,""))</x:f>
      </x:c>
      <x:c r="J1462" s="32" t="str">
        <x:f>IF(OR('Detalle'!$J711="",'Detalle'!$K711="",'Detalle'!$L711=""),"",IF(AND(J$8&lt;='Detalle'!$K711,J$9&gt;='Detalle'!$J711),1,""))</x:f>
      </x:c>
      <x:c r="K1462" s="32" t="str">
        <x:f>IF(OR('Detalle'!$J711="",'Detalle'!$K711="",'Detalle'!$L711=""),"",IF(AND(K$8&lt;='Detalle'!$K711,K$9&gt;='Detalle'!$J711),1,""))</x:f>
      </x:c>
      <x:c r="L1462" s="32" t="str">
        <x:f>IF(OR('Detalle'!$J711="",'Detalle'!$K711="",'Detalle'!$L711=""),"",IF(AND(L$8&lt;='Detalle'!$K711,L$9&gt;='Detalle'!$J711),1,""))</x:f>
      </x:c>
      <x:c r="M1462" s="32" t="str">
        <x:f>IF(OR('Detalle'!$J711="",'Detalle'!$K711="",'Detalle'!$L711=""),"",IF(AND(M$8&lt;='Detalle'!$K711,M$9&gt;='Detalle'!$J711),1,""))</x:f>
      </x:c>
      <x:c r="N1462" s="32" t="str">
        <x:f>IF(OR('Detalle'!$J711="",'Detalle'!$K711="",'Detalle'!$L711=""),"",IF(AND(N$8&lt;='Detalle'!$K711,N$9&gt;='Detalle'!$J711),1,""))</x:f>
      </x:c>
      <x:c r="O1462" s="32" t="str">
        <x:f>IF(OR('Detalle'!$J711="",'Detalle'!$K711="",'Detalle'!$L711=""),"",IF(AND(O$8&lt;='Detalle'!$K711,O$9&gt;='Detalle'!$J711),1,""))</x:f>
      </x:c>
      <x:c r="P1462" s="32" t="str">
        <x:f>IF(OR('Detalle'!$J711="",'Detalle'!$K711="",'Detalle'!$L711=""),"",IF(AND(P$8&lt;='Detalle'!$K711,P$9&gt;='Detalle'!$J711),1,""))</x:f>
      </x:c>
      <x:c r="Q1462" s="68"/>
      <x:c r="R1462" s="67" t="str"/>
      <x:c r="S1462" s="67" t="str"/>
    </x:row>
    <x:row r="1463" ht="20" customHeight="1">
      <x:c r="A1463" s="52" t="str">
        <x:v>TOU06 · Backend de recorridos, permisos y limpieza</x:v>
      </x:c>
      <x:c r="B1463" s="52" t="str">
        <x:v>TOU06 · Backend de recorridos, permisos y limpieza</x:v>
      </x:c>
      <x:c r="C1463" s="52" t="str">
        <x:v>TOU06 · Backend de recorridos, permisos y limpieza</x:v>
      </x:c>
      <x:c r="D1463" s="52" t="str">
        <x:v>TOU06 · Backend de recorridos, permisos y limpieza</x:v>
      </x:c>
      <x:c r="E1463" s="52" t="str">
        <x:v>TOU06 · Backend de recorridos, permisos y limpieza</x:v>
      </x:c>
      <x:c r="F1463" s="53" t="str">
        <x:v>TOU06 · Backend de recorridos, permisos y limpieza</x:v>
      </x:c>
      <x:c r="G1463" s="53" t="str">
        <x:v>TOU06 · Backend de recorridos, permisos y limpieza</x:v>
      </x:c>
      <x:c r="H1463" s="53" t="str">
        <x:v>TOU06 · Backend de recorridos, permisos y limpieza</x:v>
      </x:c>
      <x:c r="I1463" s="53" t="str">
        <x:v>TOU06 · Backend de recorridos, permisos y limpieza</x:v>
      </x:c>
      <x:c r="J1463" s="53" t="str">
        <x:v>TOU06 · Backend de recorridos, permisos y limpieza</x:v>
      </x:c>
      <x:c r="K1463" s="53" t="str">
        <x:v>TOU06 · Backend de recorridos, permisos y limpieza</x:v>
      </x:c>
      <x:c r="L1463" s="53" t="str">
        <x:v>TOU06 · Backend de recorridos, permisos y limpieza</x:v>
      </x:c>
      <x:c r="M1463" s="53" t="str">
        <x:v>TOU06 · Backend de recorridos, permisos y limpieza</x:v>
      </x:c>
      <x:c r="N1463" s="53" t="str">
        <x:v>TOU06 · Backend de recorridos, permisos y limpieza</x:v>
      </x:c>
      <x:c r="O1463" s="53" t="str">
        <x:v>TOU06 · Backend de recorridos, permisos y limpieza</x:v>
      </x:c>
      <x:c r="P1463" s="53" t="str">
        <x:v>TOU06 · Backend de recorridos, permisos y limpieza</x:v>
      </x:c>
      <x:c r="Q1463" s="52" t="str">
        <x:v>TOU06 · Backend de recorridos, permisos y limpieza</x:v>
      </x:c>
      <x:c r="R1463" s="52" t="str">
        <x:v>TOU06 · Backend de recorridos, permisos y limpieza</x:v>
      </x:c>
      <x:c r="S1463" s="52" t="str">
        <x:v>TOU06 · Backend de recorridos, permisos y limpieza</x:v>
      </x:c>
    </x:row>
    <x:row r="1464" ht="16" customHeight="1">
      <x:c r="A1464" s="56" t="str">
        <x:v>TOU06.001</x:v>
      </x:c>
      <x:c r="B1464" s="57" t="str">
        <x:v>Crear migración 015 de recorridos</x:v>
      </x:c>
      <x:c r="C1464" s="62" t="str">
        <x:v>E</x:v>
      </x:c>
      <x:c r="D1464" s="64" t="n">
        <x:f>'Detalle'!I712</x:f>
        <x:v>1</x:v>
      </x:c>
      <x:c r="E1464" s="60" t="str">
        <x:f>'Detalle'!F712</x:f>
        <x:v>Completado</x:v>
      </x:c>
      <x:c r="F1464" s="32" t="str">
        <x:f>IF(AND(F$8&lt;='Detalle'!$H712,F$9&gt;='Detalle'!$G712),1,"")</x:f>
      </x:c>
      <x:c r="G1464" s="32" t="str">
        <x:f>IF(AND(G$8&lt;='Detalle'!$H712,G$9&gt;='Detalle'!$G712),1,"")</x:f>
      </x:c>
      <x:c r="H1464" s="32" t="str">
        <x:f>IF(AND(H$8&lt;='Detalle'!$H712,H$9&gt;='Detalle'!$G712),1,"")</x:f>
      </x:c>
      <x:c r="I1464" s="32" t="str">
        <x:f>IF(AND(I$8&lt;='Detalle'!$H712,I$9&gt;='Detalle'!$G712),1,"")</x:f>
      </x:c>
      <x:c r="J1464" s="32" t="n">
        <x:f>IF(AND(J$8&lt;='Detalle'!$H712,J$9&gt;='Detalle'!$G712),1,"")</x:f>
        <x:v>1</x:v>
      </x:c>
      <x:c r="K1464" s="32" t="str">
        <x:f>IF(AND(K$8&lt;='Detalle'!$H712,K$9&gt;='Detalle'!$G712),1,"")</x:f>
      </x:c>
      <x:c r="L1464" s="32" t="str">
        <x:f>IF(AND(L$8&lt;='Detalle'!$H712,L$9&gt;='Detalle'!$G712),1,"")</x:f>
      </x:c>
      <x:c r="M1464" s="32" t="str">
        <x:f>IF(AND(M$8&lt;='Detalle'!$H712,M$9&gt;='Detalle'!$G712),1,"")</x:f>
      </x:c>
      <x:c r="N1464" s="32" t="str">
        <x:f>IF(AND(N$8&lt;='Detalle'!$H712,N$9&gt;='Detalle'!$G712),1,"")</x:f>
      </x:c>
      <x:c r="O1464" s="32" t="str">
        <x:f>IF(AND(O$8&lt;='Detalle'!$H712,O$9&gt;='Detalle'!$G712),1,"")</x:f>
      </x:c>
      <x:c r="P1464" s="32" t="str">
        <x:f>IF(AND(P$8&lt;='Detalle'!$H712,P$9&gt;='Detalle'!$G712),1,"")</x:f>
      </x:c>
      <x:c r="Q1464" s="68"/>
      <x:c r="R1464" s="67" t="str">
        <x:f>IF('Detalle'!M712="","",'Detalle'!M712)</x:f>
      </x:c>
      <x:c r="S1464" s="67" t="str">
        <x:f>IF('Detalle'!N712="","",'Detalle'!N712)</x:f>
      </x:c>
    </x:row>
    <x:row r="1465" ht="16" customHeight="1">
      <x:c r="A1465" s="56" t="str">
        <x:v>TOU06.001</x:v>
      </x:c>
      <x:c r="B1465" s="57" t="str">
        <x:v>Crear migración 015 de recorridos</x:v>
      </x:c>
      <x:c r="C1465" s="63" t="str">
        <x:v>R</x:v>
      </x:c>
      <x:c r="D1465" s="65" t="str">
        <x:f>IF('Detalle'!L712="","",'Detalle'!L712)</x:f>
      </x:c>
      <x:c r="E1465" s="60" t="str"/>
      <x:c r="F1465" s="32" t="str">
        <x:f>IF(OR('Detalle'!$J712="",'Detalle'!$K712="",'Detalle'!$L712=""),"",IF(AND(F$8&lt;='Detalle'!$K712,F$9&gt;='Detalle'!$J712),1,""))</x:f>
      </x:c>
      <x:c r="G1465" s="32" t="str">
        <x:f>IF(OR('Detalle'!$J712="",'Detalle'!$K712="",'Detalle'!$L712=""),"",IF(AND(G$8&lt;='Detalle'!$K712,G$9&gt;='Detalle'!$J712),1,""))</x:f>
      </x:c>
      <x:c r="H1465" s="32" t="str">
        <x:f>IF(OR('Detalle'!$J712="",'Detalle'!$K712="",'Detalle'!$L712=""),"",IF(AND(H$8&lt;='Detalle'!$K712,H$9&gt;='Detalle'!$J712),1,""))</x:f>
      </x:c>
      <x:c r="I1465" s="32" t="str">
        <x:f>IF(OR('Detalle'!$J712="",'Detalle'!$K712="",'Detalle'!$L712=""),"",IF(AND(I$8&lt;='Detalle'!$K712,I$9&gt;='Detalle'!$J712),1,""))</x:f>
      </x:c>
      <x:c r="J1465" s="32" t="str">
        <x:f>IF(OR('Detalle'!$J712="",'Detalle'!$K712="",'Detalle'!$L712=""),"",IF(AND(J$8&lt;='Detalle'!$K712,J$9&gt;='Detalle'!$J712),1,""))</x:f>
      </x:c>
      <x:c r="K1465" s="32" t="str">
        <x:f>IF(OR('Detalle'!$J712="",'Detalle'!$K712="",'Detalle'!$L712=""),"",IF(AND(K$8&lt;='Detalle'!$K712,K$9&gt;='Detalle'!$J712),1,""))</x:f>
      </x:c>
      <x:c r="L1465" s="32" t="str">
        <x:f>IF(OR('Detalle'!$J712="",'Detalle'!$K712="",'Detalle'!$L712=""),"",IF(AND(L$8&lt;='Detalle'!$K712,L$9&gt;='Detalle'!$J712),1,""))</x:f>
      </x:c>
      <x:c r="M1465" s="32" t="str">
        <x:f>IF(OR('Detalle'!$J712="",'Detalle'!$K712="",'Detalle'!$L712=""),"",IF(AND(M$8&lt;='Detalle'!$K712,M$9&gt;='Detalle'!$J712),1,""))</x:f>
      </x:c>
      <x:c r="N1465" s="32" t="str">
        <x:f>IF(OR('Detalle'!$J712="",'Detalle'!$K712="",'Detalle'!$L712=""),"",IF(AND(N$8&lt;='Detalle'!$K712,N$9&gt;='Detalle'!$J712),1,""))</x:f>
      </x:c>
      <x:c r="O1465" s="32" t="str">
        <x:f>IF(OR('Detalle'!$J712="",'Detalle'!$K712="",'Detalle'!$L712=""),"",IF(AND(O$8&lt;='Detalle'!$K712,O$9&gt;='Detalle'!$J712),1,""))</x:f>
      </x:c>
      <x:c r="P1465" s="32" t="str">
        <x:f>IF(OR('Detalle'!$J712="",'Detalle'!$K712="",'Detalle'!$L712=""),"",IF(AND(P$8&lt;='Detalle'!$K712,P$9&gt;='Detalle'!$J712),1,""))</x:f>
      </x:c>
      <x:c r="Q1465" s="68"/>
      <x:c r="R1465" s="67" t="str"/>
      <x:c r="S1465" s="67" t="str"/>
    </x:row>
    <x:row r="1466" ht="16" customHeight="1">
      <x:c r="A1466" s="56" t="str">
        <x:v>TOU06.002</x:v>
      </x:c>
      <x:c r="B1466" s="57" t="str">
        <x:v>Crear buckets tour-inputs y tour-assets</x:v>
      </x:c>
      <x:c r="C1466" s="62" t="str">
        <x:v>E</x:v>
      </x:c>
      <x:c r="D1466" s="64" t="n">
        <x:f>'Detalle'!I713</x:f>
        <x:v>1</x:v>
      </x:c>
      <x:c r="E1466" s="60" t="str">
        <x:f>'Detalle'!F713</x:f>
        <x:v>Completado</x:v>
      </x:c>
      <x:c r="F1466" s="32" t="str">
        <x:f>IF(AND(F$8&lt;='Detalle'!$H713,F$9&gt;='Detalle'!$G713),1,"")</x:f>
      </x:c>
      <x:c r="G1466" s="32" t="str">
        <x:f>IF(AND(G$8&lt;='Detalle'!$H713,G$9&gt;='Detalle'!$G713),1,"")</x:f>
      </x:c>
      <x:c r="H1466" s="32" t="str">
        <x:f>IF(AND(H$8&lt;='Detalle'!$H713,H$9&gt;='Detalle'!$G713),1,"")</x:f>
      </x:c>
      <x:c r="I1466" s="32" t="str">
        <x:f>IF(AND(I$8&lt;='Detalle'!$H713,I$9&gt;='Detalle'!$G713),1,"")</x:f>
      </x:c>
      <x:c r="J1466" s="32" t="n">
        <x:f>IF(AND(J$8&lt;='Detalle'!$H713,J$9&gt;='Detalle'!$G713),1,"")</x:f>
        <x:v>1</x:v>
      </x:c>
      <x:c r="K1466" s="32" t="str">
        <x:f>IF(AND(K$8&lt;='Detalle'!$H713,K$9&gt;='Detalle'!$G713),1,"")</x:f>
      </x:c>
      <x:c r="L1466" s="32" t="str">
        <x:f>IF(AND(L$8&lt;='Detalle'!$H713,L$9&gt;='Detalle'!$G713),1,"")</x:f>
      </x:c>
      <x:c r="M1466" s="32" t="str">
        <x:f>IF(AND(M$8&lt;='Detalle'!$H713,M$9&gt;='Detalle'!$G713),1,"")</x:f>
      </x:c>
      <x:c r="N1466" s="32" t="str">
        <x:f>IF(AND(N$8&lt;='Detalle'!$H713,N$9&gt;='Detalle'!$G713),1,"")</x:f>
      </x:c>
      <x:c r="O1466" s="32" t="str">
        <x:f>IF(AND(O$8&lt;='Detalle'!$H713,O$9&gt;='Detalle'!$G713),1,"")</x:f>
      </x:c>
      <x:c r="P1466" s="32" t="str">
        <x:f>IF(AND(P$8&lt;='Detalle'!$H713,P$9&gt;='Detalle'!$G713),1,"")</x:f>
      </x:c>
      <x:c r="Q1466" s="68"/>
      <x:c r="R1466" s="67" t="str">
        <x:f>IF('Detalle'!M713="","",'Detalle'!M713)</x:f>
      </x:c>
      <x:c r="S1466" s="67" t="str">
        <x:f>IF('Detalle'!N713="","",'Detalle'!N713)</x:f>
      </x:c>
    </x:row>
    <x:row r="1467" ht="16" customHeight="1">
      <x:c r="A1467" s="56" t="str">
        <x:v>TOU06.002</x:v>
      </x:c>
      <x:c r="B1467" s="57" t="str">
        <x:v>Crear buckets tour-inputs y tour-assets</x:v>
      </x:c>
      <x:c r="C1467" s="63" t="str">
        <x:v>R</x:v>
      </x:c>
      <x:c r="D1467" s="65" t="str">
        <x:f>IF('Detalle'!L713="","",'Detalle'!L713)</x:f>
      </x:c>
      <x:c r="E1467" s="60" t="str"/>
      <x:c r="F1467" s="32" t="str">
        <x:f>IF(OR('Detalle'!$J713="",'Detalle'!$K713="",'Detalle'!$L713=""),"",IF(AND(F$8&lt;='Detalle'!$K713,F$9&gt;='Detalle'!$J713),1,""))</x:f>
      </x:c>
      <x:c r="G1467" s="32" t="str">
        <x:f>IF(OR('Detalle'!$J713="",'Detalle'!$K713="",'Detalle'!$L713=""),"",IF(AND(G$8&lt;='Detalle'!$K713,G$9&gt;='Detalle'!$J713),1,""))</x:f>
      </x:c>
      <x:c r="H1467" s="32" t="str">
        <x:f>IF(OR('Detalle'!$J713="",'Detalle'!$K713="",'Detalle'!$L713=""),"",IF(AND(H$8&lt;='Detalle'!$K713,H$9&gt;='Detalle'!$J713),1,""))</x:f>
      </x:c>
      <x:c r="I1467" s="32" t="str">
        <x:f>IF(OR('Detalle'!$J713="",'Detalle'!$K713="",'Detalle'!$L713=""),"",IF(AND(I$8&lt;='Detalle'!$K713,I$9&gt;='Detalle'!$J713),1,""))</x:f>
      </x:c>
      <x:c r="J1467" s="32" t="str">
        <x:f>IF(OR('Detalle'!$J713="",'Detalle'!$K713="",'Detalle'!$L713=""),"",IF(AND(J$8&lt;='Detalle'!$K713,J$9&gt;='Detalle'!$J713),1,""))</x:f>
      </x:c>
      <x:c r="K1467" s="32" t="str">
        <x:f>IF(OR('Detalle'!$J713="",'Detalle'!$K713="",'Detalle'!$L713=""),"",IF(AND(K$8&lt;='Detalle'!$K713,K$9&gt;='Detalle'!$J713),1,""))</x:f>
      </x:c>
      <x:c r="L1467" s="32" t="str">
        <x:f>IF(OR('Detalle'!$J713="",'Detalle'!$K713="",'Detalle'!$L713=""),"",IF(AND(L$8&lt;='Detalle'!$K713,L$9&gt;='Detalle'!$J713),1,""))</x:f>
      </x:c>
      <x:c r="M1467" s="32" t="str">
        <x:f>IF(OR('Detalle'!$J713="",'Detalle'!$K713="",'Detalle'!$L713=""),"",IF(AND(M$8&lt;='Detalle'!$K713,M$9&gt;='Detalle'!$J713),1,""))</x:f>
      </x:c>
      <x:c r="N1467" s="32" t="str">
        <x:f>IF(OR('Detalle'!$J713="",'Detalle'!$K713="",'Detalle'!$L713=""),"",IF(AND(N$8&lt;='Detalle'!$K713,N$9&gt;='Detalle'!$J713),1,""))</x:f>
      </x:c>
      <x:c r="O1467" s="32" t="str">
        <x:f>IF(OR('Detalle'!$J713="",'Detalle'!$K713="",'Detalle'!$L713=""),"",IF(AND(O$8&lt;='Detalle'!$K713,O$9&gt;='Detalle'!$J713),1,""))</x:f>
      </x:c>
      <x:c r="P1467" s="32" t="str">
        <x:f>IF(OR('Detalle'!$J713="",'Detalle'!$K713="",'Detalle'!$L713=""),"",IF(AND(P$8&lt;='Detalle'!$K713,P$9&gt;='Detalle'!$J713),1,""))</x:f>
      </x:c>
      <x:c r="Q1467" s="68"/>
      <x:c r="R1467" s="67" t="str"/>
      <x:c r="S1467" s="67" t="str"/>
    </x:row>
    <x:row r="1468" ht="16" customHeight="1">
      <x:c r="A1468" s="56" t="str">
        <x:v>TOU06.003</x:v>
      </x:c>
      <x:c r="B1468" s="57" t="str">
        <x:v>Crear cola privada de procesamiento</x:v>
      </x:c>
      <x:c r="C1468" s="62" t="str">
        <x:v>E</x:v>
      </x:c>
      <x:c r="D1468" s="64" t="n">
        <x:f>'Detalle'!I714</x:f>
        <x:v>1</x:v>
      </x:c>
      <x:c r="E1468" s="60" t="str">
        <x:f>'Detalle'!F714</x:f>
        <x:v>Completado</x:v>
      </x:c>
      <x:c r="F1468" s="32" t="str">
        <x:f>IF(AND(F$8&lt;='Detalle'!$H714,F$9&gt;='Detalle'!$G714),1,"")</x:f>
      </x:c>
      <x:c r="G1468" s="32" t="str">
        <x:f>IF(AND(G$8&lt;='Detalle'!$H714,G$9&gt;='Detalle'!$G714),1,"")</x:f>
      </x:c>
      <x:c r="H1468" s="32" t="str">
        <x:f>IF(AND(H$8&lt;='Detalle'!$H714,H$9&gt;='Detalle'!$G714),1,"")</x:f>
      </x:c>
      <x:c r="I1468" s="32" t="str">
        <x:f>IF(AND(I$8&lt;='Detalle'!$H714,I$9&gt;='Detalle'!$G714),1,"")</x:f>
      </x:c>
      <x:c r="J1468" s="32" t="n">
        <x:f>IF(AND(J$8&lt;='Detalle'!$H714,J$9&gt;='Detalle'!$G714),1,"")</x:f>
        <x:v>1</x:v>
      </x:c>
      <x:c r="K1468" s="32" t="str">
        <x:f>IF(AND(K$8&lt;='Detalle'!$H714,K$9&gt;='Detalle'!$G714),1,"")</x:f>
      </x:c>
      <x:c r="L1468" s="32" t="str">
        <x:f>IF(AND(L$8&lt;='Detalle'!$H714,L$9&gt;='Detalle'!$G714),1,"")</x:f>
      </x:c>
      <x:c r="M1468" s="32" t="str">
        <x:f>IF(AND(M$8&lt;='Detalle'!$H714,M$9&gt;='Detalle'!$G714),1,"")</x:f>
      </x:c>
      <x:c r="N1468" s="32" t="str">
        <x:f>IF(AND(N$8&lt;='Detalle'!$H714,N$9&gt;='Detalle'!$G714),1,"")</x:f>
      </x:c>
      <x:c r="O1468" s="32" t="str">
        <x:f>IF(AND(O$8&lt;='Detalle'!$H714,O$9&gt;='Detalle'!$G714),1,"")</x:f>
      </x:c>
      <x:c r="P1468" s="32" t="str">
        <x:f>IF(AND(P$8&lt;='Detalle'!$H714,P$9&gt;='Detalle'!$G714),1,"")</x:f>
      </x:c>
      <x:c r="Q1468" s="68"/>
      <x:c r="R1468" s="67" t="str">
        <x:f>IF('Detalle'!M714="","",'Detalle'!M714)</x:f>
      </x:c>
      <x:c r="S1468" s="67" t="str">
        <x:f>IF('Detalle'!N714="","",'Detalle'!N714)</x:f>
      </x:c>
    </x:row>
    <x:row r="1469" ht="16" customHeight="1">
      <x:c r="A1469" s="56" t="str">
        <x:v>TOU06.003</x:v>
      </x:c>
      <x:c r="B1469" s="57" t="str">
        <x:v>Crear cola privada de procesamiento</x:v>
      </x:c>
      <x:c r="C1469" s="63" t="str">
        <x:v>R</x:v>
      </x:c>
      <x:c r="D1469" s="65" t="str">
        <x:f>IF('Detalle'!L714="","",'Detalle'!L714)</x:f>
      </x:c>
      <x:c r="E1469" s="60" t="str"/>
      <x:c r="F1469" s="32" t="str">
        <x:f>IF(OR('Detalle'!$J714="",'Detalle'!$K714="",'Detalle'!$L714=""),"",IF(AND(F$8&lt;='Detalle'!$K714,F$9&gt;='Detalle'!$J714),1,""))</x:f>
      </x:c>
      <x:c r="G1469" s="32" t="str">
        <x:f>IF(OR('Detalle'!$J714="",'Detalle'!$K714="",'Detalle'!$L714=""),"",IF(AND(G$8&lt;='Detalle'!$K714,G$9&gt;='Detalle'!$J714),1,""))</x:f>
      </x:c>
      <x:c r="H1469" s="32" t="str">
        <x:f>IF(OR('Detalle'!$J714="",'Detalle'!$K714="",'Detalle'!$L714=""),"",IF(AND(H$8&lt;='Detalle'!$K714,H$9&gt;='Detalle'!$J714),1,""))</x:f>
      </x:c>
      <x:c r="I1469" s="32" t="str">
        <x:f>IF(OR('Detalle'!$J714="",'Detalle'!$K714="",'Detalle'!$L714=""),"",IF(AND(I$8&lt;='Detalle'!$K714,I$9&gt;='Detalle'!$J714),1,""))</x:f>
      </x:c>
      <x:c r="J1469" s="32" t="str">
        <x:f>IF(OR('Detalle'!$J714="",'Detalle'!$K714="",'Detalle'!$L714=""),"",IF(AND(J$8&lt;='Detalle'!$K714,J$9&gt;='Detalle'!$J714),1,""))</x:f>
      </x:c>
      <x:c r="K1469" s="32" t="str">
        <x:f>IF(OR('Detalle'!$J714="",'Detalle'!$K714="",'Detalle'!$L714=""),"",IF(AND(K$8&lt;='Detalle'!$K714,K$9&gt;='Detalle'!$J714),1,""))</x:f>
      </x:c>
      <x:c r="L1469" s="32" t="str">
        <x:f>IF(OR('Detalle'!$J714="",'Detalle'!$K714="",'Detalle'!$L714=""),"",IF(AND(L$8&lt;='Detalle'!$K714,L$9&gt;='Detalle'!$J714),1,""))</x:f>
      </x:c>
      <x:c r="M1469" s="32" t="str">
        <x:f>IF(OR('Detalle'!$J714="",'Detalle'!$K714="",'Detalle'!$L714=""),"",IF(AND(M$8&lt;='Detalle'!$K714,M$9&gt;='Detalle'!$J714),1,""))</x:f>
      </x:c>
      <x:c r="N1469" s="32" t="str">
        <x:f>IF(OR('Detalle'!$J714="",'Detalle'!$K714="",'Detalle'!$L714=""),"",IF(AND(N$8&lt;='Detalle'!$K714,N$9&gt;='Detalle'!$J714),1,""))</x:f>
      </x:c>
      <x:c r="O1469" s="32" t="str">
        <x:f>IF(OR('Detalle'!$J714="",'Detalle'!$K714="",'Detalle'!$L714=""),"",IF(AND(O$8&lt;='Detalle'!$K714,O$9&gt;='Detalle'!$J714),1,""))</x:f>
      </x:c>
      <x:c r="P1469" s="32" t="str">
        <x:f>IF(OR('Detalle'!$J714="",'Detalle'!$K714="",'Detalle'!$L714=""),"",IF(AND(P$8&lt;='Detalle'!$K714,P$9&gt;='Detalle'!$J714),1,""))</x:f>
      </x:c>
      <x:c r="Q1469" s="68"/>
      <x:c r="R1469" s="67" t="str"/>
      <x:c r="S1469" s="67" t="str"/>
    </x:row>
    <x:row r="1470" ht="16" customHeight="1">
      <x:c r="A1470" s="56" t="str">
        <x:v>TOU06.004</x:v>
      </x:c>
      <x:c r="B1470" s="57" t="str">
        <x:v>Crear leases transaccionales de ejecución</x:v>
      </x:c>
      <x:c r="C1470" s="62" t="str">
        <x:v>E</x:v>
      </x:c>
      <x:c r="D1470" s="64" t="n">
        <x:f>'Detalle'!I715</x:f>
        <x:v>1</x:v>
      </x:c>
      <x:c r="E1470" s="60" t="str">
        <x:f>'Detalle'!F715</x:f>
        <x:v>Completado</x:v>
      </x:c>
      <x:c r="F1470" s="32" t="str">
        <x:f>IF(AND(F$8&lt;='Detalle'!$H715,F$9&gt;='Detalle'!$G715),1,"")</x:f>
      </x:c>
      <x:c r="G1470" s="32" t="str">
        <x:f>IF(AND(G$8&lt;='Detalle'!$H715,G$9&gt;='Detalle'!$G715),1,"")</x:f>
      </x:c>
      <x:c r="H1470" s="32" t="str">
        <x:f>IF(AND(H$8&lt;='Detalle'!$H715,H$9&gt;='Detalle'!$G715),1,"")</x:f>
      </x:c>
      <x:c r="I1470" s="32" t="str">
        <x:f>IF(AND(I$8&lt;='Detalle'!$H715,I$9&gt;='Detalle'!$G715),1,"")</x:f>
      </x:c>
      <x:c r="J1470" s="32" t="n">
        <x:f>IF(AND(J$8&lt;='Detalle'!$H715,J$9&gt;='Detalle'!$G715),1,"")</x:f>
        <x:v>1</x:v>
      </x:c>
      <x:c r="K1470" s="32" t="str">
        <x:f>IF(AND(K$8&lt;='Detalle'!$H715,K$9&gt;='Detalle'!$G715),1,"")</x:f>
      </x:c>
      <x:c r="L1470" s="32" t="str">
        <x:f>IF(AND(L$8&lt;='Detalle'!$H715,L$9&gt;='Detalle'!$G715),1,"")</x:f>
      </x:c>
      <x:c r="M1470" s="32" t="str">
        <x:f>IF(AND(M$8&lt;='Detalle'!$H715,M$9&gt;='Detalle'!$G715),1,"")</x:f>
      </x:c>
      <x:c r="N1470" s="32" t="str">
        <x:f>IF(AND(N$8&lt;='Detalle'!$H715,N$9&gt;='Detalle'!$G715),1,"")</x:f>
      </x:c>
      <x:c r="O1470" s="32" t="str">
        <x:f>IF(AND(O$8&lt;='Detalle'!$H715,O$9&gt;='Detalle'!$G715),1,"")</x:f>
      </x:c>
      <x:c r="P1470" s="32" t="str">
        <x:f>IF(AND(P$8&lt;='Detalle'!$H715,P$9&gt;='Detalle'!$G715),1,"")</x:f>
      </x:c>
      <x:c r="Q1470" s="68"/>
      <x:c r="R1470" s="67" t="str">
        <x:f>IF('Detalle'!M715="","",'Detalle'!M715)</x:f>
      </x:c>
      <x:c r="S1470" s="67" t="str">
        <x:f>IF('Detalle'!N715="","",'Detalle'!N715)</x:f>
      </x:c>
    </x:row>
    <x:row r="1471" ht="16" customHeight="1">
      <x:c r="A1471" s="56" t="str">
        <x:v>TOU06.004</x:v>
      </x:c>
      <x:c r="B1471" s="57" t="str">
        <x:v>Crear leases transaccionales de ejecución</x:v>
      </x:c>
      <x:c r="C1471" s="63" t="str">
        <x:v>R</x:v>
      </x:c>
      <x:c r="D1471" s="65" t="str">
        <x:f>IF('Detalle'!L715="","",'Detalle'!L715)</x:f>
      </x:c>
      <x:c r="E1471" s="60" t="str"/>
      <x:c r="F1471" s="32" t="str">
        <x:f>IF(OR('Detalle'!$J715="",'Detalle'!$K715="",'Detalle'!$L715=""),"",IF(AND(F$8&lt;='Detalle'!$K715,F$9&gt;='Detalle'!$J715),1,""))</x:f>
      </x:c>
      <x:c r="G1471" s="32" t="str">
        <x:f>IF(OR('Detalle'!$J715="",'Detalle'!$K715="",'Detalle'!$L715=""),"",IF(AND(G$8&lt;='Detalle'!$K715,G$9&gt;='Detalle'!$J715),1,""))</x:f>
      </x:c>
      <x:c r="H1471" s="32" t="str">
        <x:f>IF(OR('Detalle'!$J715="",'Detalle'!$K715="",'Detalle'!$L715=""),"",IF(AND(H$8&lt;='Detalle'!$K715,H$9&gt;='Detalle'!$J715),1,""))</x:f>
      </x:c>
      <x:c r="I1471" s="32" t="str">
        <x:f>IF(OR('Detalle'!$J715="",'Detalle'!$K715="",'Detalle'!$L715=""),"",IF(AND(I$8&lt;='Detalle'!$K715,I$9&gt;='Detalle'!$J715),1,""))</x:f>
      </x:c>
      <x:c r="J1471" s="32" t="str">
        <x:f>IF(OR('Detalle'!$J715="",'Detalle'!$K715="",'Detalle'!$L715=""),"",IF(AND(J$8&lt;='Detalle'!$K715,J$9&gt;='Detalle'!$J715),1,""))</x:f>
      </x:c>
      <x:c r="K1471" s="32" t="str">
        <x:f>IF(OR('Detalle'!$J715="",'Detalle'!$K715="",'Detalle'!$L715=""),"",IF(AND(K$8&lt;='Detalle'!$K715,K$9&gt;='Detalle'!$J715),1,""))</x:f>
      </x:c>
      <x:c r="L1471" s="32" t="str">
        <x:f>IF(OR('Detalle'!$J715="",'Detalle'!$K715="",'Detalle'!$L715=""),"",IF(AND(L$8&lt;='Detalle'!$K715,L$9&gt;='Detalle'!$J715),1,""))</x:f>
      </x:c>
      <x:c r="M1471" s="32" t="str">
        <x:f>IF(OR('Detalle'!$J715="",'Detalle'!$K715="",'Detalle'!$L715=""),"",IF(AND(M$8&lt;='Detalle'!$K715,M$9&gt;='Detalle'!$J715),1,""))</x:f>
      </x:c>
      <x:c r="N1471" s="32" t="str">
        <x:f>IF(OR('Detalle'!$J715="",'Detalle'!$K715="",'Detalle'!$L715=""),"",IF(AND(N$8&lt;='Detalle'!$K715,N$9&gt;='Detalle'!$J715),1,""))</x:f>
      </x:c>
      <x:c r="O1471" s="32" t="str">
        <x:f>IF(OR('Detalle'!$J715="",'Detalle'!$K715="",'Detalle'!$L715=""),"",IF(AND(O$8&lt;='Detalle'!$K715,O$9&gt;='Detalle'!$J715),1,""))</x:f>
      </x:c>
      <x:c r="P1471" s="32" t="str">
        <x:f>IF(OR('Detalle'!$J715="",'Detalle'!$K715="",'Detalle'!$L715=""),"",IF(AND(P$8&lt;='Detalle'!$K715,P$9&gt;='Detalle'!$J715),1,""))</x:f>
      </x:c>
      <x:c r="Q1471" s="68"/>
      <x:c r="R1471" s="67" t="str"/>
      <x:c r="S1471" s="67" t="str"/>
    </x:row>
    <x:row r="1472" ht="16" customHeight="1">
      <x:c r="A1472" s="56" t="str">
        <x:v>TOU06.005</x:v>
      </x:c>
      <x:c r="B1472" s="57" t="str">
        <x:v>Imponer dos trabajos activos globales</x:v>
      </x:c>
      <x:c r="C1472" s="62" t="str">
        <x:v>E</x:v>
      </x:c>
      <x:c r="D1472" s="64" t="n">
        <x:f>'Detalle'!I716</x:f>
        <x:v>1</x:v>
      </x:c>
      <x:c r="E1472" s="60" t="str">
        <x:f>'Detalle'!F716</x:f>
        <x:v>Completado</x:v>
      </x:c>
      <x:c r="F1472" s="32" t="str">
        <x:f>IF(AND(F$8&lt;='Detalle'!$H716,F$9&gt;='Detalle'!$G716),1,"")</x:f>
      </x:c>
      <x:c r="G1472" s="32" t="str">
        <x:f>IF(AND(G$8&lt;='Detalle'!$H716,G$9&gt;='Detalle'!$G716),1,"")</x:f>
      </x:c>
      <x:c r="H1472" s="32" t="str">
        <x:f>IF(AND(H$8&lt;='Detalle'!$H716,H$9&gt;='Detalle'!$G716),1,"")</x:f>
      </x:c>
      <x:c r="I1472" s="32" t="str">
        <x:f>IF(AND(I$8&lt;='Detalle'!$H716,I$9&gt;='Detalle'!$G716),1,"")</x:f>
      </x:c>
      <x:c r="J1472" s="32" t="n">
        <x:f>IF(AND(J$8&lt;='Detalle'!$H716,J$9&gt;='Detalle'!$G716),1,"")</x:f>
        <x:v>1</x:v>
      </x:c>
      <x:c r="K1472" s="32" t="str">
        <x:f>IF(AND(K$8&lt;='Detalle'!$H716,K$9&gt;='Detalle'!$G716),1,"")</x:f>
      </x:c>
      <x:c r="L1472" s="32" t="str">
        <x:f>IF(AND(L$8&lt;='Detalle'!$H716,L$9&gt;='Detalle'!$G716),1,"")</x:f>
      </x:c>
      <x:c r="M1472" s="32" t="str">
        <x:f>IF(AND(M$8&lt;='Detalle'!$H716,M$9&gt;='Detalle'!$G716),1,"")</x:f>
      </x:c>
      <x:c r="N1472" s="32" t="str">
        <x:f>IF(AND(N$8&lt;='Detalle'!$H716,N$9&gt;='Detalle'!$G716),1,"")</x:f>
      </x:c>
      <x:c r="O1472" s="32" t="str">
        <x:f>IF(AND(O$8&lt;='Detalle'!$H716,O$9&gt;='Detalle'!$G716),1,"")</x:f>
      </x:c>
      <x:c r="P1472" s="32" t="str">
        <x:f>IF(AND(P$8&lt;='Detalle'!$H716,P$9&gt;='Detalle'!$G716),1,"")</x:f>
      </x:c>
      <x:c r="Q1472" s="68"/>
      <x:c r="R1472" s="67" t="str">
        <x:f>IF('Detalle'!M716="","",'Detalle'!M716)</x:f>
      </x:c>
      <x:c r="S1472" s="67" t="str">
        <x:f>IF('Detalle'!N716="","",'Detalle'!N716)</x:f>
      </x:c>
    </x:row>
    <x:row r="1473" ht="16" customHeight="1">
      <x:c r="A1473" s="56" t="str">
        <x:v>TOU06.005</x:v>
      </x:c>
      <x:c r="B1473" s="57" t="str">
        <x:v>Imponer dos trabajos activos globales</x:v>
      </x:c>
      <x:c r="C1473" s="63" t="str">
        <x:v>R</x:v>
      </x:c>
      <x:c r="D1473" s="65" t="str">
        <x:f>IF('Detalle'!L716="","",'Detalle'!L716)</x:f>
      </x:c>
      <x:c r="E1473" s="60" t="str"/>
      <x:c r="F1473" s="32" t="str">
        <x:f>IF(OR('Detalle'!$J716="",'Detalle'!$K716="",'Detalle'!$L716=""),"",IF(AND(F$8&lt;='Detalle'!$K716,F$9&gt;='Detalle'!$J716),1,""))</x:f>
      </x:c>
      <x:c r="G1473" s="32" t="str">
        <x:f>IF(OR('Detalle'!$J716="",'Detalle'!$K716="",'Detalle'!$L716=""),"",IF(AND(G$8&lt;='Detalle'!$K716,G$9&gt;='Detalle'!$J716),1,""))</x:f>
      </x:c>
      <x:c r="H1473" s="32" t="str">
        <x:f>IF(OR('Detalle'!$J716="",'Detalle'!$K716="",'Detalle'!$L716=""),"",IF(AND(H$8&lt;='Detalle'!$K716,H$9&gt;='Detalle'!$J716),1,""))</x:f>
      </x:c>
      <x:c r="I1473" s="32" t="str">
        <x:f>IF(OR('Detalle'!$J716="",'Detalle'!$K716="",'Detalle'!$L716=""),"",IF(AND(I$8&lt;='Detalle'!$K716,I$9&gt;='Detalle'!$J716),1,""))</x:f>
      </x:c>
      <x:c r="J1473" s="32" t="str">
        <x:f>IF(OR('Detalle'!$J716="",'Detalle'!$K716="",'Detalle'!$L716=""),"",IF(AND(J$8&lt;='Detalle'!$K716,J$9&gt;='Detalle'!$J716),1,""))</x:f>
      </x:c>
      <x:c r="K1473" s="32" t="str">
        <x:f>IF(OR('Detalle'!$J716="",'Detalle'!$K716="",'Detalle'!$L716=""),"",IF(AND(K$8&lt;='Detalle'!$K716,K$9&gt;='Detalle'!$J716),1,""))</x:f>
      </x:c>
      <x:c r="L1473" s="32" t="str">
        <x:f>IF(OR('Detalle'!$J716="",'Detalle'!$K716="",'Detalle'!$L716=""),"",IF(AND(L$8&lt;='Detalle'!$K716,L$9&gt;='Detalle'!$J716),1,""))</x:f>
      </x:c>
      <x:c r="M1473" s="32" t="str">
        <x:f>IF(OR('Detalle'!$J716="",'Detalle'!$K716="",'Detalle'!$L716=""),"",IF(AND(M$8&lt;='Detalle'!$K716,M$9&gt;='Detalle'!$J716),1,""))</x:f>
      </x:c>
      <x:c r="N1473" s="32" t="str">
        <x:f>IF(OR('Detalle'!$J716="",'Detalle'!$K716="",'Detalle'!$L716=""),"",IF(AND(N$8&lt;='Detalle'!$K716,N$9&gt;='Detalle'!$J716),1,""))</x:f>
      </x:c>
      <x:c r="O1473" s="32" t="str">
        <x:f>IF(OR('Detalle'!$J716="",'Detalle'!$K716="",'Detalle'!$L716=""),"",IF(AND(O$8&lt;='Detalle'!$K716,O$9&gt;='Detalle'!$J716),1,""))</x:f>
      </x:c>
      <x:c r="P1473" s="32" t="str">
        <x:f>IF(OR('Detalle'!$J716="",'Detalle'!$K716="",'Detalle'!$L716=""),"",IF(AND(P$8&lt;='Detalle'!$K716,P$9&gt;='Detalle'!$J716),1,""))</x:f>
      </x:c>
      <x:c r="Q1473" s="68"/>
      <x:c r="R1473" s="67" t="str"/>
      <x:c r="S1473" s="67" t="str"/>
    </x:row>
    <x:row r="1474" ht="16" customHeight="1">
      <x:c r="A1474" s="56" t="str">
        <x:v>TOU06.006</x:v>
      </x:c>
      <x:c r="B1474" s="57" t="str">
        <x:v>Proteger escritura de resultados</x:v>
      </x:c>
      <x:c r="C1474" s="62" t="str">
        <x:v>E</x:v>
      </x:c>
      <x:c r="D1474" s="64" t="n">
        <x:f>'Detalle'!I717</x:f>
        <x:v>1</x:v>
      </x:c>
      <x:c r="E1474" s="60" t="str">
        <x:f>'Detalle'!F717</x:f>
        <x:v>Completado</x:v>
      </x:c>
      <x:c r="F1474" s="32" t="str">
        <x:f>IF(AND(F$8&lt;='Detalle'!$H717,F$9&gt;='Detalle'!$G717),1,"")</x:f>
      </x:c>
      <x:c r="G1474" s="32" t="str">
        <x:f>IF(AND(G$8&lt;='Detalle'!$H717,G$9&gt;='Detalle'!$G717),1,"")</x:f>
      </x:c>
      <x:c r="H1474" s="32" t="str">
        <x:f>IF(AND(H$8&lt;='Detalle'!$H717,H$9&gt;='Detalle'!$G717),1,"")</x:f>
      </x:c>
      <x:c r="I1474" s="32" t="str">
        <x:f>IF(AND(I$8&lt;='Detalle'!$H717,I$9&gt;='Detalle'!$G717),1,"")</x:f>
      </x:c>
      <x:c r="J1474" s="32" t="n">
        <x:f>IF(AND(J$8&lt;='Detalle'!$H717,J$9&gt;='Detalle'!$G717),1,"")</x:f>
        <x:v>1</x:v>
      </x:c>
      <x:c r="K1474" s="32" t="str">
        <x:f>IF(AND(K$8&lt;='Detalle'!$H717,K$9&gt;='Detalle'!$G717),1,"")</x:f>
      </x:c>
      <x:c r="L1474" s="32" t="str">
        <x:f>IF(AND(L$8&lt;='Detalle'!$H717,L$9&gt;='Detalle'!$G717),1,"")</x:f>
      </x:c>
      <x:c r="M1474" s="32" t="str">
        <x:f>IF(AND(M$8&lt;='Detalle'!$H717,M$9&gt;='Detalle'!$G717),1,"")</x:f>
      </x:c>
      <x:c r="N1474" s="32" t="str">
        <x:f>IF(AND(N$8&lt;='Detalle'!$H717,N$9&gt;='Detalle'!$G717),1,"")</x:f>
      </x:c>
      <x:c r="O1474" s="32" t="str">
        <x:f>IF(AND(O$8&lt;='Detalle'!$H717,O$9&gt;='Detalle'!$G717),1,"")</x:f>
      </x:c>
      <x:c r="P1474" s="32" t="str">
        <x:f>IF(AND(P$8&lt;='Detalle'!$H717,P$9&gt;='Detalle'!$G717),1,"")</x:f>
      </x:c>
      <x:c r="Q1474" s="68"/>
      <x:c r="R1474" s="67" t="str">
        <x:f>IF('Detalle'!M717="","",'Detalle'!M717)</x:f>
      </x:c>
      <x:c r="S1474" s="67" t="str">
        <x:f>IF('Detalle'!N717="","",'Detalle'!N717)</x:f>
      </x:c>
    </x:row>
    <x:row r="1475" ht="16" customHeight="1">
      <x:c r="A1475" s="56" t="str">
        <x:v>TOU06.006</x:v>
      </x:c>
      <x:c r="B1475" s="57" t="str">
        <x:v>Proteger escritura de resultados</x:v>
      </x:c>
      <x:c r="C1475" s="63" t="str">
        <x:v>R</x:v>
      </x:c>
      <x:c r="D1475" s="65" t="str">
        <x:f>IF('Detalle'!L717="","",'Detalle'!L717)</x:f>
      </x:c>
      <x:c r="E1475" s="60" t="str"/>
      <x:c r="F1475" s="32" t="str">
        <x:f>IF(OR('Detalle'!$J717="",'Detalle'!$K717="",'Detalle'!$L717=""),"",IF(AND(F$8&lt;='Detalle'!$K717,F$9&gt;='Detalle'!$J717),1,""))</x:f>
      </x:c>
      <x:c r="G1475" s="32" t="str">
        <x:f>IF(OR('Detalle'!$J717="",'Detalle'!$K717="",'Detalle'!$L717=""),"",IF(AND(G$8&lt;='Detalle'!$K717,G$9&gt;='Detalle'!$J717),1,""))</x:f>
      </x:c>
      <x:c r="H1475" s="32" t="str">
        <x:f>IF(OR('Detalle'!$J717="",'Detalle'!$K717="",'Detalle'!$L717=""),"",IF(AND(H$8&lt;='Detalle'!$K717,H$9&gt;='Detalle'!$J717),1,""))</x:f>
      </x:c>
      <x:c r="I1475" s="32" t="str">
        <x:f>IF(OR('Detalle'!$J717="",'Detalle'!$K717="",'Detalle'!$L717=""),"",IF(AND(I$8&lt;='Detalle'!$K717,I$9&gt;='Detalle'!$J717),1,""))</x:f>
      </x:c>
      <x:c r="J1475" s="32" t="str">
        <x:f>IF(OR('Detalle'!$J717="",'Detalle'!$K717="",'Detalle'!$L717=""),"",IF(AND(J$8&lt;='Detalle'!$K717,J$9&gt;='Detalle'!$J717),1,""))</x:f>
      </x:c>
      <x:c r="K1475" s="32" t="str">
        <x:f>IF(OR('Detalle'!$J717="",'Detalle'!$K717="",'Detalle'!$L717=""),"",IF(AND(K$8&lt;='Detalle'!$K717,K$9&gt;='Detalle'!$J717),1,""))</x:f>
      </x:c>
      <x:c r="L1475" s="32" t="str">
        <x:f>IF(OR('Detalle'!$J717="",'Detalle'!$K717="",'Detalle'!$L717=""),"",IF(AND(L$8&lt;='Detalle'!$K717,L$9&gt;='Detalle'!$J717),1,""))</x:f>
      </x:c>
      <x:c r="M1475" s="32" t="str">
        <x:f>IF(OR('Detalle'!$J717="",'Detalle'!$K717="",'Detalle'!$L717=""),"",IF(AND(M$8&lt;='Detalle'!$K717,M$9&gt;='Detalle'!$J717),1,""))</x:f>
      </x:c>
      <x:c r="N1475" s="32" t="str">
        <x:f>IF(OR('Detalle'!$J717="",'Detalle'!$K717="",'Detalle'!$L717=""),"",IF(AND(N$8&lt;='Detalle'!$K717,N$9&gt;='Detalle'!$J717),1,""))</x:f>
      </x:c>
      <x:c r="O1475" s="32" t="str">
        <x:f>IF(OR('Detalle'!$J717="",'Detalle'!$K717="",'Detalle'!$L717=""),"",IF(AND(O$8&lt;='Detalle'!$K717,O$9&gt;='Detalle'!$J717),1,""))</x:f>
      </x:c>
      <x:c r="P1475" s="32" t="str">
        <x:f>IF(OR('Detalle'!$J717="",'Detalle'!$K717="",'Detalle'!$L717=""),"",IF(AND(P$8&lt;='Detalle'!$K717,P$9&gt;='Detalle'!$J717),1,""))</x:f>
      </x:c>
      <x:c r="Q1475" s="68"/>
      <x:c r="R1475" s="67" t="str"/>
      <x:c r="S1475" s="67" t="str"/>
    </x:row>
    <x:row r="1476" ht="16" customHeight="1">
      <x:c r="A1476" s="56" t="str">
        <x:v>TOU06.007</x:v>
      </x:c>
      <x:c r="B1476" s="57" t="str">
        <x:v>Crear recibo durable del lease</x:v>
      </x:c>
      <x:c r="C1476" s="62" t="str">
        <x:v>E</x:v>
      </x:c>
      <x:c r="D1476" s="64" t="n">
        <x:f>'Detalle'!I718</x:f>
        <x:v>1</x:v>
      </x:c>
      <x:c r="E1476" s="60" t="str">
        <x:f>'Detalle'!F718</x:f>
        <x:v>Completado</x:v>
      </x:c>
      <x:c r="F1476" s="32" t="str">
        <x:f>IF(AND(F$8&lt;='Detalle'!$H718,F$9&gt;='Detalle'!$G718),1,"")</x:f>
      </x:c>
      <x:c r="G1476" s="32" t="str">
        <x:f>IF(AND(G$8&lt;='Detalle'!$H718,G$9&gt;='Detalle'!$G718),1,"")</x:f>
      </x:c>
      <x:c r="H1476" s="32" t="str">
        <x:f>IF(AND(H$8&lt;='Detalle'!$H718,H$9&gt;='Detalle'!$G718),1,"")</x:f>
      </x:c>
      <x:c r="I1476" s="32" t="str">
        <x:f>IF(AND(I$8&lt;='Detalle'!$H718,I$9&gt;='Detalle'!$G718),1,"")</x:f>
      </x:c>
      <x:c r="J1476" s="32" t="n">
        <x:f>IF(AND(J$8&lt;='Detalle'!$H718,J$9&gt;='Detalle'!$G718),1,"")</x:f>
        <x:v>1</x:v>
      </x:c>
      <x:c r="K1476" s="32" t="str">
        <x:f>IF(AND(K$8&lt;='Detalle'!$H718,K$9&gt;='Detalle'!$G718),1,"")</x:f>
      </x:c>
      <x:c r="L1476" s="32" t="str">
        <x:f>IF(AND(L$8&lt;='Detalle'!$H718,L$9&gt;='Detalle'!$G718),1,"")</x:f>
      </x:c>
      <x:c r="M1476" s="32" t="str">
        <x:f>IF(AND(M$8&lt;='Detalle'!$H718,M$9&gt;='Detalle'!$G718),1,"")</x:f>
      </x:c>
      <x:c r="N1476" s="32" t="str">
        <x:f>IF(AND(N$8&lt;='Detalle'!$H718,N$9&gt;='Detalle'!$G718),1,"")</x:f>
      </x:c>
      <x:c r="O1476" s="32" t="str">
        <x:f>IF(AND(O$8&lt;='Detalle'!$H718,O$9&gt;='Detalle'!$G718),1,"")</x:f>
      </x:c>
      <x:c r="P1476" s="32" t="str">
        <x:f>IF(AND(P$8&lt;='Detalle'!$H718,P$9&gt;='Detalle'!$G718),1,"")</x:f>
      </x:c>
      <x:c r="Q1476" s="68"/>
      <x:c r="R1476" s="67" t="str">
        <x:f>IF('Detalle'!M718="","",'Detalle'!M718)</x:f>
      </x:c>
      <x:c r="S1476" s="67" t="str">
        <x:f>IF('Detalle'!N718="","",'Detalle'!N718)</x:f>
      </x:c>
    </x:row>
    <x:row r="1477" ht="16" customHeight="1">
      <x:c r="A1477" s="56" t="str">
        <x:v>TOU06.007</x:v>
      </x:c>
      <x:c r="B1477" s="57" t="str">
        <x:v>Crear recibo durable del lease</x:v>
      </x:c>
      <x:c r="C1477" s="63" t="str">
        <x:v>R</x:v>
      </x:c>
      <x:c r="D1477" s="65" t="str">
        <x:f>IF('Detalle'!L718="","",'Detalle'!L718)</x:f>
      </x:c>
      <x:c r="E1477" s="60" t="str"/>
      <x:c r="F1477" s="32" t="str">
        <x:f>IF(OR('Detalle'!$J718="",'Detalle'!$K718="",'Detalle'!$L718=""),"",IF(AND(F$8&lt;='Detalle'!$K718,F$9&gt;='Detalle'!$J718),1,""))</x:f>
      </x:c>
      <x:c r="G1477" s="32" t="str">
        <x:f>IF(OR('Detalle'!$J718="",'Detalle'!$K718="",'Detalle'!$L718=""),"",IF(AND(G$8&lt;='Detalle'!$K718,G$9&gt;='Detalle'!$J718),1,""))</x:f>
      </x:c>
      <x:c r="H1477" s="32" t="str">
        <x:f>IF(OR('Detalle'!$J718="",'Detalle'!$K718="",'Detalle'!$L718=""),"",IF(AND(H$8&lt;='Detalle'!$K718,H$9&gt;='Detalle'!$J718),1,""))</x:f>
      </x:c>
      <x:c r="I1477" s="32" t="str">
        <x:f>IF(OR('Detalle'!$J718="",'Detalle'!$K718="",'Detalle'!$L718=""),"",IF(AND(I$8&lt;='Detalle'!$K718,I$9&gt;='Detalle'!$J718),1,""))</x:f>
      </x:c>
      <x:c r="J1477" s="32" t="str">
        <x:f>IF(OR('Detalle'!$J718="",'Detalle'!$K718="",'Detalle'!$L718=""),"",IF(AND(J$8&lt;='Detalle'!$K718,J$9&gt;='Detalle'!$J718),1,""))</x:f>
      </x:c>
      <x:c r="K1477" s="32" t="str">
        <x:f>IF(OR('Detalle'!$J718="",'Detalle'!$K718="",'Detalle'!$L718=""),"",IF(AND(K$8&lt;='Detalle'!$K718,K$9&gt;='Detalle'!$J718),1,""))</x:f>
      </x:c>
      <x:c r="L1477" s="32" t="str">
        <x:f>IF(OR('Detalle'!$J718="",'Detalle'!$K718="",'Detalle'!$L718=""),"",IF(AND(L$8&lt;='Detalle'!$K718,L$9&gt;='Detalle'!$J718),1,""))</x:f>
      </x:c>
      <x:c r="M1477" s="32" t="str">
        <x:f>IF(OR('Detalle'!$J718="",'Detalle'!$K718="",'Detalle'!$L718=""),"",IF(AND(M$8&lt;='Detalle'!$K718,M$9&gt;='Detalle'!$J718),1,""))</x:f>
      </x:c>
      <x:c r="N1477" s="32" t="str">
        <x:f>IF(OR('Detalle'!$J718="",'Detalle'!$K718="",'Detalle'!$L718=""),"",IF(AND(N$8&lt;='Detalle'!$K718,N$9&gt;='Detalle'!$J718),1,""))</x:f>
      </x:c>
      <x:c r="O1477" s="32" t="str">
        <x:f>IF(OR('Detalle'!$J718="",'Detalle'!$K718="",'Detalle'!$L718=""),"",IF(AND(O$8&lt;='Detalle'!$K718,O$9&gt;='Detalle'!$J718),1,""))</x:f>
      </x:c>
      <x:c r="P1477" s="32" t="str">
        <x:f>IF(OR('Detalle'!$J718="",'Detalle'!$K718="",'Detalle'!$L718=""),"",IF(AND(P$8&lt;='Detalle'!$K718,P$9&gt;='Detalle'!$J718),1,""))</x:f>
      </x:c>
      <x:c r="Q1477" s="68"/>
      <x:c r="R1477" s="67" t="str"/>
      <x:c r="S1477" s="67" t="str"/>
    </x:row>
    <x:row r="1478" ht="16" customHeight="1">
      <x:c r="A1478" s="56" t="str">
        <x:v>TOU06.008</x:v>
      </x:c>
      <x:c r="B1478" s="57" t="str">
        <x:v>Rechazar ejecución antigua o duplicada</x:v>
      </x:c>
      <x:c r="C1478" s="62" t="str">
        <x:v>E</x:v>
      </x:c>
      <x:c r="D1478" s="64" t="n">
        <x:f>'Detalle'!I719</x:f>
        <x:v>1</x:v>
      </x:c>
      <x:c r="E1478" s="60" t="str">
        <x:f>'Detalle'!F719</x:f>
        <x:v>Completado</x:v>
      </x:c>
      <x:c r="F1478" s="32" t="str">
        <x:f>IF(AND(F$8&lt;='Detalle'!$H719,F$9&gt;='Detalle'!$G719),1,"")</x:f>
      </x:c>
      <x:c r="G1478" s="32" t="str">
        <x:f>IF(AND(G$8&lt;='Detalle'!$H719,G$9&gt;='Detalle'!$G719),1,"")</x:f>
      </x:c>
      <x:c r="H1478" s="32" t="str">
        <x:f>IF(AND(H$8&lt;='Detalle'!$H719,H$9&gt;='Detalle'!$G719),1,"")</x:f>
      </x:c>
      <x:c r="I1478" s="32" t="str">
        <x:f>IF(AND(I$8&lt;='Detalle'!$H719,I$9&gt;='Detalle'!$G719),1,"")</x:f>
      </x:c>
      <x:c r="J1478" s="32" t="n">
        <x:f>IF(AND(J$8&lt;='Detalle'!$H719,J$9&gt;='Detalle'!$G719),1,"")</x:f>
        <x:v>1</x:v>
      </x:c>
      <x:c r="K1478" s="32" t="str">
        <x:f>IF(AND(K$8&lt;='Detalle'!$H719,K$9&gt;='Detalle'!$G719),1,"")</x:f>
      </x:c>
      <x:c r="L1478" s="32" t="str">
        <x:f>IF(AND(L$8&lt;='Detalle'!$H719,L$9&gt;='Detalle'!$G719),1,"")</x:f>
      </x:c>
      <x:c r="M1478" s="32" t="str">
        <x:f>IF(AND(M$8&lt;='Detalle'!$H719,M$9&gt;='Detalle'!$G719),1,"")</x:f>
      </x:c>
      <x:c r="N1478" s="32" t="str">
        <x:f>IF(AND(N$8&lt;='Detalle'!$H719,N$9&gt;='Detalle'!$G719),1,"")</x:f>
      </x:c>
      <x:c r="O1478" s="32" t="str">
        <x:f>IF(AND(O$8&lt;='Detalle'!$H719,O$9&gt;='Detalle'!$G719),1,"")</x:f>
      </x:c>
      <x:c r="P1478" s="32" t="str">
        <x:f>IF(AND(P$8&lt;='Detalle'!$H719,P$9&gt;='Detalle'!$G719),1,"")</x:f>
      </x:c>
      <x:c r="Q1478" s="68"/>
      <x:c r="R1478" s="67" t="str">
        <x:f>IF('Detalle'!M719="","",'Detalle'!M719)</x:f>
      </x:c>
      <x:c r="S1478" s="67" t="str">
        <x:f>IF('Detalle'!N719="","",'Detalle'!N719)</x:f>
      </x:c>
    </x:row>
    <x:row r="1479" ht="16" customHeight="1">
      <x:c r="A1479" s="56" t="str">
        <x:v>TOU06.008</x:v>
      </x:c>
      <x:c r="B1479" s="57" t="str">
        <x:v>Rechazar ejecución antigua o duplicada</x:v>
      </x:c>
      <x:c r="C1479" s="63" t="str">
        <x:v>R</x:v>
      </x:c>
      <x:c r="D1479" s="65" t="str">
        <x:f>IF('Detalle'!L719="","",'Detalle'!L719)</x:f>
      </x:c>
      <x:c r="E1479" s="60" t="str"/>
      <x:c r="F1479" s="32" t="str">
        <x:f>IF(OR('Detalle'!$J719="",'Detalle'!$K719="",'Detalle'!$L719=""),"",IF(AND(F$8&lt;='Detalle'!$K719,F$9&gt;='Detalle'!$J719),1,""))</x:f>
      </x:c>
      <x:c r="G1479" s="32" t="str">
        <x:f>IF(OR('Detalle'!$J719="",'Detalle'!$K719="",'Detalle'!$L719=""),"",IF(AND(G$8&lt;='Detalle'!$K719,G$9&gt;='Detalle'!$J719),1,""))</x:f>
      </x:c>
      <x:c r="H1479" s="32" t="str">
        <x:f>IF(OR('Detalle'!$J719="",'Detalle'!$K719="",'Detalle'!$L719=""),"",IF(AND(H$8&lt;='Detalle'!$K719,H$9&gt;='Detalle'!$J719),1,""))</x:f>
      </x:c>
      <x:c r="I1479" s="32" t="str">
        <x:f>IF(OR('Detalle'!$J719="",'Detalle'!$K719="",'Detalle'!$L719=""),"",IF(AND(I$8&lt;='Detalle'!$K719,I$9&gt;='Detalle'!$J719),1,""))</x:f>
      </x:c>
      <x:c r="J1479" s="32" t="str">
        <x:f>IF(OR('Detalle'!$J719="",'Detalle'!$K719="",'Detalle'!$L719=""),"",IF(AND(J$8&lt;='Detalle'!$K719,J$9&gt;='Detalle'!$J719),1,""))</x:f>
      </x:c>
      <x:c r="K1479" s="32" t="str">
        <x:f>IF(OR('Detalle'!$J719="",'Detalle'!$K719="",'Detalle'!$L719=""),"",IF(AND(K$8&lt;='Detalle'!$K719,K$9&gt;='Detalle'!$J719),1,""))</x:f>
      </x:c>
      <x:c r="L1479" s="32" t="str">
        <x:f>IF(OR('Detalle'!$J719="",'Detalle'!$K719="",'Detalle'!$L719=""),"",IF(AND(L$8&lt;='Detalle'!$K719,L$9&gt;='Detalle'!$J719),1,""))</x:f>
      </x:c>
      <x:c r="M1479" s="32" t="str">
        <x:f>IF(OR('Detalle'!$J719="",'Detalle'!$K719="",'Detalle'!$L719=""),"",IF(AND(M$8&lt;='Detalle'!$K719,M$9&gt;='Detalle'!$J719),1,""))</x:f>
      </x:c>
      <x:c r="N1479" s="32" t="str">
        <x:f>IF(OR('Detalle'!$J719="",'Detalle'!$K719="",'Detalle'!$L719=""),"",IF(AND(N$8&lt;='Detalle'!$K719,N$9&gt;='Detalle'!$J719),1,""))</x:f>
      </x:c>
      <x:c r="O1479" s="32" t="str">
        <x:f>IF(OR('Detalle'!$J719="",'Detalle'!$K719="",'Detalle'!$L719=""),"",IF(AND(O$8&lt;='Detalle'!$K719,O$9&gt;='Detalle'!$J719),1,""))</x:f>
      </x:c>
      <x:c r="P1479" s="32" t="str">
        <x:f>IF(OR('Detalle'!$J719="",'Detalle'!$K719="",'Detalle'!$L719=""),"",IF(AND(P$8&lt;='Detalle'!$K719,P$9&gt;='Detalle'!$J719),1,""))</x:f>
      </x:c>
      <x:c r="Q1479" s="68"/>
      <x:c r="R1479" s="67" t="str"/>
      <x:c r="S1479" s="67" t="str"/>
    </x:row>
    <x:row r="1480" ht="16" customHeight="1">
      <x:c r="A1480" s="56" t="str">
        <x:v>TOU06.009</x:v>
      </x:c>
      <x:c r="B1480" s="57" t="str">
        <x:v>Cancelar trabajo sin sobrescribir resultado</x:v>
      </x:c>
      <x:c r="C1480" s="62" t="str">
        <x:v>E</x:v>
      </x:c>
      <x:c r="D1480" s="64" t="n">
        <x:f>'Detalle'!I720</x:f>
        <x:v>1</x:v>
      </x:c>
      <x:c r="E1480" s="60" t="str">
        <x:f>'Detalle'!F720</x:f>
        <x:v>Completado</x:v>
      </x:c>
      <x:c r="F1480" s="32" t="str">
        <x:f>IF(AND(F$8&lt;='Detalle'!$H720,F$9&gt;='Detalle'!$G720),1,"")</x:f>
      </x:c>
      <x:c r="G1480" s="32" t="str">
        <x:f>IF(AND(G$8&lt;='Detalle'!$H720,G$9&gt;='Detalle'!$G720),1,"")</x:f>
      </x:c>
      <x:c r="H1480" s="32" t="str">
        <x:f>IF(AND(H$8&lt;='Detalle'!$H720,H$9&gt;='Detalle'!$G720),1,"")</x:f>
      </x:c>
      <x:c r="I1480" s="32" t="str">
        <x:f>IF(AND(I$8&lt;='Detalle'!$H720,I$9&gt;='Detalle'!$G720),1,"")</x:f>
      </x:c>
      <x:c r="J1480" s="32" t="n">
        <x:f>IF(AND(J$8&lt;='Detalle'!$H720,J$9&gt;='Detalle'!$G720),1,"")</x:f>
        <x:v>1</x:v>
      </x:c>
      <x:c r="K1480" s="32" t="str">
        <x:f>IF(AND(K$8&lt;='Detalle'!$H720,K$9&gt;='Detalle'!$G720),1,"")</x:f>
      </x:c>
      <x:c r="L1480" s="32" t="str">
        <x:f>IF(AND(L$8&lt;='Detalle'!$H720,L$9&gt;='Detalle'!$G720),1,"")</x:f>
      </x:c>
      <x:c r="M1480" s="32" t="str">
        <x:f>IF(AND(M$8&lt;='Detalle'!$H720,M$9&gt;='Detalle'!$G720),1,"")</x:f>
      </x:c>
      <x:c r="N1480" s="32" t="str">
        <x:f>IF(AND(N$8&lt;='Detalle'!$H720,N$9&gt;='Detalle'!$G720),1,"")</x:f>
      </x:c>
      <x:c r="O1480" s="32" t="str">
        <x:f>IF(AND(O$8&lt;='Detalle'!$H720,O$9&gt;='Detalle'!$G720),1,"")</x:f>
      </x:c>
      <x:c r="P1480" s="32" t="str">
        <x:f>IF(AND(P$8&lt;='Detalle'!$H720,P$9&gt;='Detalle'!$G720),1,"")</x:f>
      </x:c>
      <x:c r="Q1480" s="68"/>
      <x:c r="R1480" s="67" t="str">
        <x:f>IF('Detalle'!M720="","",'Detalle'!M720)</x:f>
      </x:c>
      <x:c r="S1480" s="67" t="str">
        <x:f>IF('Detalle'!N720="","",'Detalle'!N720)</x:f>
      </x:c>
    </x:row>
    <x:row r="1481" ht="16" customHeight="1">
      <x:c r="A1481" s="56" t="str">
        <x:v>TOU06.009</x:v>
      </x:c>
      <x:c r="B1481" s="57" t="str">
        <x:v>Cancelar trabajo sin sobrescribir resultado</x:v>
      </x:c>
      <x:c r="C1481" s="63" t="str">
        <x:v>R</x:v>
      </x:c>
      <x:c r="D1481" s="65" t="str">
        <x:f>IF('Detalle'!L720="","",'Detalle'!L720)</x:f>
      </x:c>
      <x:c r="E1481" s="60" t="str"/>
      <x:c r="F1481" s="32" t="str">
        <x:f>IF(OR('Detalle'!$J720="",'Detalle'!$K720="",'Detalle'!$L720=""),"",IF(AND(F$8&lt;='Detalle'!$K720,F$9&gt;='Detalle'!$J720),1,""))</x:f>
      </x:c>
      <x:c r="G1481" s="32" t="str">
        <x:f>IF(OR('Detalle'!$J720="",'Detalle'!$K720="",'Detalle'!$L720=""),"",IF(AND(G$8&lt;='Detalle'!$K720,G$9&gt;='Detalle'!$J720),1,""))</x:f>
      </x:c>
      <x:c r="H1481" s="32" t="str">
        <x:f>IF(OR('Detalle'!$J720="",'Detalle'!$K720="",'Detalle'!$L720=""),"",IF(AND(H$8&lt;='Detalle'!$K720,H$9&gt;='Detalle'!$J720),1,""))</x:f>
      </x:c>
      <x:c r="I1481" s="32" t="str">
        <x:f>IF(OR('Detalle'!$J720="",'Detalle'!$K720="",'Detalle'!$L720=""),"",IF(AND(I$8&lt;='Detalle'!$K720,I$9&gt;='Detalle'!$J720),1,""))</x:f>
      </x:c>
      <x:c r="J1481" s="32" t="str">
        <x:f>IF(OR('Detalle'!$J720="",'Detalle'!$K720="",'Detalle'!$L720=""),"",IF(AND(J$8&lt;='Detalle'!$K720,J$9&gt;='Detalle'!$J720),1,""))</x:f>
      </x:c>
      <x:c r="K1481" s="32" t="str">
        <x:f>IF(OR('Detalle'!$J720="",'Detalle'!$K720="",'Detalle'!$L720=""),"",IF(AND(K$8&lt;='Detalle'!$K720,K$9&gt;='Detalle'!$J720),1,""))</x:f>
      </x:c>
      <x:c r="L1481" s="32" t="str">
        <x:f>IF(OR('Detalle'!$J720="",'Detalle'!$K720="",'Detalle'!$L720=""),"",IF(AND(L$8&lt;='Detalle'!$K720,L$9&gt;='Detalle'!$J720),1,""))</x:f>
      </x:c>
      <x:c r="M1481" s="32" t="str">
        <x:f>IF(OR('Detalle'!$J720="",'Detalle'!$K720="",'Detalle'!$L720=""),"",IF(AND(M$8&lt;='Detalle'!$K720,M$9&gt;='Detalle'!$J720),1,""))</x:f>
      </x:c>
      <x:c r="N1481" s="32" t="str">
        <x:f>IF(OR('Detalle'!$J720="",'Detalle'!$K720="",'Detalle'!$L720=""),"",IF(AND(N$8&lt;='Detalle'!$K720,N$9&gt;='Detalle'!$J720),1,""))</x:f>
      </x:c>
      <x:c r="O1481" s="32" t="str">
        <x:f>IF(OR('Detalle'!$J720="",'Detalle'!$K720="",'Detalle'!$L720=""),"",IF(AND(O$8&lt;='Detalle'!$K720,O$9&gt;='Detalle'!$J720),1,""))</x:f>
      </x:c>
      <x:c r="P1481" s="32" t="str">
        <x:f>IF(OR('Detalle'!$J720="",'Detalle'!$K720="",'Detalle'!$L720=""),"",IF(AND(P$8&lt;='Detalle'!$K720,P$9&gt;='Detalle'!$J720),1,""))</x:f>
      </x:c>
      <x:c r="Q1481" s="68"/>
      <x:c r="R1481" s="67" t="str"/>
      <x:c r="S1481" s="67" t="str"/>
    </x:row>
    <x:row r="1482" ht="16" customHeight="1">
      <x:c r="A1482" s="56" t="str">
        <x:v>TOU06.010</x:v>
      </x:c>
      <x:c r="B1482" s="57" t="str">
        <x:v>Crear acreditación administrativa del espacio</x:v>
      </x:c>
      <x:c r="C1482" s="62" t="str">
        <x:v>E</x:v>
      </x:c>
      <x:c r="D1482" s="64" t="n">
        <x:f>'Detalle'!I721</x:f>
        <x:v>1</x:v>
      </x:c>
      <x:c r="E1482" s="60" t="str">
        <x:f>'Detalle'!F721</x:f>
        <x:v>Completado</x:v>
      </x:c>
      <x:c r="F1482" s="32" t="str">
        <x:f>IF(AND(F$8&lt;='Detalle'!$H721,F$9&gt;='Detalle'!$G721),1,"")</x:f>
      </x:c>
      <x:c r="G1482" s="32" t="str">
        <x:f>IF(AND(G$8&lt;='Detalle'!$H721,G$9&gt;='Detalle'!$G721),1,"")</x:f>
      </x:c>
      <x:c r="H1482" s="32" t="str">
        <x:f>IF(AND(H$8&lt;='Detalle'!$H721,H$9&gt;='Detalle'!$G721),1,"")</x:f>
      </x:c>
      <x:c r="I1482" s="32" t="str">
        <x:f>IF(AND(I$8&lt;='Detalle'!$H721,I$9&gt;='Detalle'!$G721),1,"")</x:f>
      </x:c>
      <x:c r="J1482" s="32" t="n">
        <x:f>IF(AND(J$8&lt;='Detalle'!$H721,J$9&gt;='Detalle'!$G721),1,"")</x:f>
        <x:v>1</x:v>
      </x:c>
      <x:c r="K1482" s="32" t="str">
        <x:f>IF(AND(K$8&lt;='Detalle'!$H721,K$9&gt;='Detalle'!$G721),1,"")</x:f>
      </x:c>
      <x:c r="L1482" s="32" t="str">
        <x:f>IF(AND(L$8&lt;='Detalle'!$H721,L$9&gt;='Detalle'!$G721),1,"")</x:f>
      </x:c>
      <x:c r="M1482" s="32" t="str">
        <x:f>IF(AND(M$8&lt;='Detalle'!$H721,M$9&gt;='Detalle'!$G721),1,"")</x:f>
      </x:c>
      <x:c r="N1482" s="32" t="str">
        <x:f>IF(AND(N$8&lt;='Detalle'!$H721,N$9&gt;='Detalle'!$G721),1,"")</x:f>
      </x:c>
      <x:c r="O1482" s="32" t="str">
        <x:f>IF(AND(O$8&lt;='Detalle'!$H721,O$9&gt;='Detalle'!$G721),1,"")</x:f>
      </x:c>
      <x:c r="P1482" s="32" t="str">
        <x:f>IF(AND(P$8&lt;='Detalle'!$H721,P$9&gt;='Detalle'!$G721),1,"")</x:f>
      </x:c>
      <x:c r="Q1482" s="68"/>
      <x:c r="R1482" s="67" t="str">
        <x:f>IF('Detalle'!M721="","",'Detalle'!M721)</x:f>
      </x:c>
      <x:c r="S1482" s="67" t="str">
        <x:f>IF('Detalle'!N721="","",'Detalle'!N721)</x:f>
      </x:c>
    </x:row>
    <x:row r="1483" ht="16" customHeight="1">
      <x:c r="A1483" s="56" t="str">
        <x:v>TOU06.010</x:v>
      </x:c>
      <x:c r="B1483" s="57" t="str">
        <x:v>Crear acreditación administrativa del espacio</x:v>
      </x:c>
      <x:c r="C1483" s="63" t="str">
        <x:v>R</x:v>
      </x:c>
      <x:c r="D1483" s="65" t="str">
        <x:f>IF('Detalle'!L721="","",'Detalle'!L721)</x:f>
      </x:c>
      <x:c r="E1483" s="60" t="str"/>
      <x:c r="F1483" s="32" t="str">
        <x:f>IF(OR('Detalle'!$J721="",'Detalle'!$K721="",'Detalle'!$L721=""),"",IF(AND(F$8&lt;='Detalle'!$K721,F$9&gt;='Detalle'!$J721),1,""))</x:f>
      </x:c>
      <x:c r="G1483" s="32" t="str">
        <x:f>IF(OR('Detalle'!$J721="",'Detalle'!$K721="",'Detalle'!$L721=""),"",IF(AND(G$8&lt;='Detalle'!$K721,G$9&gt;='Detalle'!$J721),1,""))</x:f>
      </x:c>
      <x:c r="H1483" s="32" t="str">
        <x:f>IF(OR('Detalle'!$J721="",'Detalle'!$K721="",'Detalle'!$L721=""),"",IF(AND(H$8&lt;='Detalle'!$K721,H$9&gt;='Detalle'!$J721),1,""))</x:f>
      </x:c>
      <x:c r="I1483" s="32" t="str">
        <x:f>IF(OR('Detalle'!$J721="",'Detalle'!$K721="",'Detalle'!$L721=""),"",IF(AND(I$8&lt;='Detalle'!$K721,I$9&gt;='Detalle'!$J721),1,""))</x:f>
      </x:c>
      <x:c r="J1483" s="32" t="str">
        <x:f>IF(OR('Detalle'!$J721="",'Detalle'!$K721="",'Detalle'!$L721=""),"",IF(AND(J$8&lt;='Detalle'!$K721,J$9&gt;='Detalle'!$J721),1,""))</x:f>
      </x:c>
      <x:c r="K1483" s="32" t="str">
        <x:f>IF(OR('Detalle'!$J721="",'Detalle'!$K721="",'Detalle'!$L721=""),"",IF(AND(K$8&lt;='Detalle'!$K721,K$9&gt;='Detalle'!$J721),1,""))</x:f>
      </x:c>
      <x:c r="L1483" s="32" t="str">
        <x:f>IF(OR('Detalle'!$J721="",'Detalle'!$K721="",'Detalle'!$L721=""),"",IF(AND(L$8&lt;='Detalle'!$K721,L$9&gt;='Detalle'!$J721),1,""))</x:f>
      </x:c>
      <x:c r="M1483" s="32" t="str">
        <x:f>IF(OR('Detalle'!$J721="",'Detalle'!$K721="",'Detalle'!$L721=""),"",IF(AND(M$8&lt;='Detalle'!$K721,M$9&gt;='Detalle'!$J721),1,""))</x:f>
      </x:c>
      <x:c r="N1483" s="32" t="str">
        <x:f>IF(OR('Detalle'!$J721="",'Detalle'!$K721="",'Detalle'!$L721=""),"",IF(AND(N$8&lt;='Detalle'!$K721,N$9&gt;='Detalle'!$J721),1,""))</x:f>
      </x:c>
      <x:c r="O1483" s="32" t="str">
        <x:f>IF(OR('Detalle'!$J721="",'Detalle'!$K721="",'Detalle'!$L721=""),"",IF(AND(O$8&lt;='Detalle'!$K721,O$9&gt;='Detalle'!$J721),1,""))</x:f>
      </x:c>
      <x:c r="P1483" s="32" t="str">
        <x:f>IF(OR('Detalle'!$J721="",'Detalle'!$K721="",'Detalle'!$L721=""),"",IF(AND(P$8&lt;='Detalle'!$K721,P$9&gt;='Detalle'!$J721),1,""))</x:f>
      </x:c>
      <x:c r="Q1483" s="68"/>
      <x:c r="R1483" s="67" t="str"/>
      <x:c r="S1483" s="67" t="str"/>
    </x:row>
    <x:row r="1484" ht="16" customHeight="1">
      <x:c r="A1484" s="56" t="str">
        <x:v>TOU06.011</x:v>
      </x:c>
      <x:c r="B1484" s="57" t="str">
        <x:v>Separar revisión espacial y permiso de autor</x:v>
      </x:c>
      <x:c r="C1484" s="62" t="str">
        <x:v>E</x:v>
      </x:c>
      <x:c r="D1484" s="64" t="n">
        <x:f>'Detalle'!I722</x:f>
        <x:v>1</x:v>
      </x:c>
      <x:c r="E1484" s="60" t="str">
        <x:f>'Detalle'!F722</x:f>
        <x:v>Completado</x:v>
      </x:c>
      <x:c r="F1484" s="32" t="str">
        <x:f>IF(AND(F$8&lt;='Detalle'!$H722,F$9&gt;='Detalle'!$G722),1,"")</x:f>
      </x:c>
      <x:c r="G1484" s="32" t="str">
        <x:f>IF(AND(G$8&lt;='Detalle'!$H722,G$9&gt;='Detalle'!$G722),1,"")</x:f>
      </x:c>
      <x:c r="H1484" s="32" t="str">
        <x:f>IF(AND(H$8&lt;='Detalle'!$H722,H$9&gt;='Detalle'!$G722),1,"")</x:f>
      </x:c>
      <x:c r="I1484" s="32" t="str">
        <x:f>IF(AND(I$8&lt;='Detalle'!$H722,I$9&gt;='Detalle'!$G722),1,"")</x:f>
      </x:c>
      <x:c r="J1484" s="32" t="n">
        <x:f>IF(AND(J$8&lt;='Detalle'!$H722,J$9&gt;='Detalle'!$G722),1,"")</x:f>
        <x:v>1</x:v>
      </x:c>
      <x:c r="K1484" s="32" t="str">
        <x:f>IF(AND(K$8&lt;='Detalle'!$H722,K$9&gt;='Detalle'!$G722),1,"")</x:f>
      </x:c>
      <x:c r="L1484" s="32" t="str">
        <x:f>IF(AND(L$8&lt;='Detalle'!$H722,L$9&gt;='Detalle'!$G722),1,"")</x:f>
      </x:c>
      <x:c r="M1484" s="32" t="str">
        <x:f>IF(AND(M$8&lt;='Detalle'!$H722,M$9&gt;='Detalle'!$G722),1,"")</x:f>
      </x:c>
      <x:c r="N1484" s="32" t="str">
        <x:f>IF(AND(N$8&lt;='Detalle'!$H722,N$9&gt;='Detalle'!$G722),1,"")</x:f>
      </x:c>
      <x:c r="O1484" s="32" t="str">
        <x:f>IF(AND(O$8&lt;='Detalle'!$H722,O$9&gt;='Detalle'!$G722),1,"")</x:f>
      </x:c>
      <x:c r="P1484" s="32" t="str">
        <x:f>IF(AND(P$8&lt;='Detalle'!$H722,P$9&gt;='Detalle'!$G722),1,"")</x:f>
      </x:c>
      <x:c r="Q1484" s="68"/>
      <x:c r="R1484" s="67" t="str">
        <x:f>IF('Detalle'!M722="","",'Detalle'!M722)</x:f>
      </x:c>
      <x:c r="S1484" s="67" t="str">
        <x:f>IF('Detalle'!N722="","",'Detalle'!N722)</x:f>
      </x:c>
    </x:row>
    <x:row r="1485" ht="16" customHeight="1">
      <x:c r="A1485" s="56" t="str">
        <x:v>TOU06.011</x:v>
      </x:c>
      <x:c r="B1485" s="57" t="str">
        <x:v>Separar revisión espacial y permiso de autor</x:v>
      </x:c>
      <x:c r="C1485" s="63" t="str">
        <x:v>R</x:v>
      </x:c>
      <x:c r="D1485" s="65" t="str">
        <x:f>IF('Detalle'!L722="","",'Detalle'!L722)</x:f>
      </x:c>
      <x:c r="E1485" s="60" t="str"/>
      <x:c r="F1485" s="32" t="str">
        <x:f>IF(OR('Detalle'!$J722="",'Detalle'!$K722="",'Detalle'!$L722=""),"",IF(AND(F$8&lt;='Detalle'!$K722,F$9&gt;='Detalle'!$J722),1,""))</x:f>
      </x:c>
      <x:c r="G1485" s="32" t="str">
        <x:f>IF(OR('Detalle'!$J722="",'Detalle'!$K722="",'Detalle'!$L722=""),"",IF(AND(G$8&lt;='Detalle'!$K722,G$9&gt;='Detalle'!$J722),1,""))</x:f>
      </x:c>
      <x:c r="H1485" s="32" t="str">
        <x:f>IF(OR('Detalle'!$J722="",'Detalle'!$K722="",'Detalle'!$L722=""),"",IF(AND(H$8&lt;='Detalle'!$K722,H$9&gt;='Detalle'!$J722),1,""))</x:f>
      </x:c>
      <x:c r="I1485" s="32" t="str">
        <x:f>IF(OR('Detalle'!$J722="",'Detalle'!$K722="",'Detalle'!$L722=""),"",IF(AND(I$8&lt;='Detalle'!$K722,I$9&gt;='Detalle'!$J722),1,""))</x:f>
      </x:c>
      <x:c r="J1485" s="32" t="str">
        <x:f>IF(OR('Detalle'!$J722="",'Detalle'!$K722="",'Detalle'!$L722=""),"",IF(AND(J$8&lt;='Detalle'!$K722,J$9&gt;='Detalle'!$J722),1,""))</x:f>
      </x:c>
      <x:c r="K1485" s="32" t="str">
        <x:f>IF(OR('Detalle'!$J722="",'Detalle'!$K722="",'Detalle'!$L722=""),"",IF(AND(K$8&lt;='Detalle'!$K722,K$9&gt;='Detalle'!$J722),1,""))</x:f>
      </x:c>
      <x:c r="L1485" s="32" t="str">
        <x:f>IF(OR('Detalle'!$J722="",'Detalle'!$K722="",'Detalle'!$L722=""),"",IF(AND(L$8&lt;='Detalle'!$K722,L$9&gt;='Detalle'!$J722),1,""))</x:f>
      </x:c>
      <x:c r="M1485" s="32" t="str">
        <x:f>IF(OR('Detalle'!$J722="",'Detalle'!$K722="",'Detalle'!$L722=""),"",IF(AND(M$8&lt;='Detalle'!$K722,M$9&gt;='Detalle'!$J722),1,""))</x:f>
      </x:c>
      <x:c r="N1485" s="32" t="str">
        <x:f>IF(OR('Detalle'!$J722="",'Detalle'!$K722="",'Detalle'!$L722=""),"",IF(AND(N$8&lt;='Detalle'!$K722,N$9&gt;='Detalle'!$J722),1,""))</x:f>
      </x:c>
      <x:c r="O1485" s="32" t="str">
        <x:f>IF(OR('Detalle'!$J722="",'Detalle'!$K722="",'Detalle'!$L722=""),"",IF(AND(O$8&lt;='Detalle'!$K722,O$9&gt;='Detalle'!$J722),1,""))</x:f>
      </x:c>
      <x:c r="P1485" s="32" t="str">
        <x:f>IF(OR('Detalle'!$J722="",'Detalle'!$K722="",'Detalle'!$L722=""),"",IF(AND(P$8&lt;='Detalle'!$K722,P$9&gt;='Detalle'!$J722),1,""))</x:f>
      </x:c>
      <x:c r="Q1485" s="68"/>
      <x:c r="R1485" s="67" t="str"/>
      <x:c r="S1485" s="67" t="str"/>
    </x:row>
    <x:row r="1486" ht="16" customHeight="1">
      <x:c r="A1486" s="56" t="str">
        <x:v>TOU06.012</x:v>
      </x:c>
      <x:c r="B1486" s="57" t="str">
        <x:v>Excluir evidencia de local al revisor de vínculo</x:v>
      </x:c>
      <x:c r="C1486" s="62" t="str">
        <x:v>E</x:v>
      </x:c>
      <x:c r="D1486" s="64" t="n">
        <x:f>'Detalle'!I723</x:f>
        <x:v>1</x:v>
      </x:c>
      <x:c r="E1486" s="60" t="str">
        <x:f>'Detalle'!F723</x:f>
        <x:v>Completado</x:v>
      </x:c>
      <x:c r="F1486" s="32" t="str">
        <x:f>IF(AND(F$8&lt;='Detalle'!$H723,F$9&gt;='Detalle'!$G723),1,"")</x:f>
      </x:c>
      <x:c r="G1486" s="32" t="str">
        <x:f>IF(AND(G$8&lt;='Detalle'!$H723,G$9&gt;='Detalle'!$G723),1,"")</x:f>
      </x:c>
      <x:c r="H1486" s="32" t="str">
        <x:f>IF(AND(H$8&lt;='Detalle'!$H723,H$9&gt;='Detalle'!$G723),1,"")</x:f>
      </x:c>
      <x:c r="I1486" s="32" t="str">
        <x:f>IF(AND(I$8&lt;='Detalle'!$H723,I$9&gt;='Detalle'!$G723),1,"")</x:f>
      </x:c>
      <x:c r="J1486" s="32" t="n">
        <x:f>IF(AND(J$8&lt;='Detalle'!$H723,J$9&gt;='Detalle'!$G723),1,"")</x:f>
        <x:v>1</x:v>
      </x:c>
      <x:c r="K1486" s="32" t="str">
        <x:f>IF(AND(K$8&lt;='Detalle'!$H723,K$9&gt;='Detalle'!$G723),1,"")</x:f>
      </x:c>
      <x:c r="L1486" s="32" t="str">
        <x:f>IF(AND(L$8&lt;='Detalle'!$H723,L$9&gt;='Detalle'!$G723),1,"")</x:f>
      </x:c>
      <x:c r="M1486" s="32" t="str">
        <x:f>IF(AND(M$8&lt;='Detalle'!$H723,M$9&gt;='Detalle'!$G723),1,"")</x:f>
      </x:c>
      <x:c r="N1486" s="32" t="str">
        <x:f>IF(AND(N$8&lt;='Detalle'!$H723,N$9&gt;='Detalle'!$G723),1,"")</x:f>
      </x:c>
      <x:c r="O1486" s="32" t="str">
        <x:f>IF(AND(O$8&lt;='Detalle'!$H723,O$9&gt;='Detalle'!$G723),1,"")</x:f>
      </x:c>
      <x:c r="P1486" s="32" t="str">
        <x:f>IF(AND(P$8&lt;='Detalle'!$H723,P$9&gt;='Detalle'!$G723),1,"")</x:f>
      </x:c>
      <x:c r="Q1486" s="68"/>
      <x:c r="R1486" s="67" t="str">
        <x:f>IF('Detalle'!M723="","",'Detalle'!M723)</x:f>
      </x:c>
      <x:c r="S1486" s="67" t="str">
        <x:f>IF('Detalle'!N723="","",'Detalle'!N723)</x:f>
      </x:c>
    </x:row>
    <x:row r="1487" ht="16" customHeight="1">
      <x:c r="A1487" s="56" t="str">
        <x:v>TOU06.012</x:v>
      </x:c>
      <x:c r="B1487" s="57" t="str">
        <x:v>Excluir evidencia de local al revisor de vínculo</x:v>
      </x:c>
      <x:c r="C1487" s="63" t="str">
        <x:v>R</x:v>
      </x:c>
      <x:c r="D1487" s="65" t="str">
        <x:f>IF('Detalle'!L723="","",'Detalle'!L723)</x:f>
      </x:c>
      <x:c r="E1487" s="60" t="str"/>
      <x:c r="F1487" s="32" t="str">
        <x:f>IF(OR('Detalle'!$J723="",'Detalle'!$K723="",'Detalle'!$L723=""),"",IF(AND(F$8&lt;='Detalle'!$K723,F$9&gt;='Detalle'!$J723),1,""))</x:f>
      </x:c>
      <x:c r="G1487" s="32" t="str">
        <x:f>IF(OR('Detalle'!$J723="",'Detalle'!$K723="",'Detalle'!$L723=""),"",IF(AND(G$8&lt;='Detalle'!$K723,G$9&gt;='Detalle'!$J723),1,""))</x:f>
      </x:c>
      <x:c r="H1487" s="32" t="str">
        <x:f>IF(OR('Detalle'!$J723="",'Detalle'!$K723="",'Detalle'!$L723=""),"",IF(AND(H$8&lt;='Detalle'!$K723,H$9&gt;='Detalle'!$J723),1,""))</x:f>
      </x:c>
      <x:c r="I1487" s="32" t="str">
        <x:f>IF(OR('Detalle'!$J723="",'Detalle'!$K723="",'Detalle'!$L723=""),"",IF(AND(I$8&lt;='Detalle'!$K723,I$9&gt;='Detalle'!$J723),1,""))</x:f>
      </x:c>
      <x:c r="J1487" s="32" t="str">
        <x:f>IF(OR('Detalle'!$J723="",'Detalle'!$K723="",'Detalle'!$L723=""),"",IF(AND(J$8&lt;='Detalle'!$K723,J$9&gt;='Detalle'!$J723),1,""))</x:f>
      </x:c>
      <x:c r="K1487" s="32" t="str">
        <x:f>IF(OR('Detalle'!$J723="",'Detalle'!$K723="",'Detalle'!$L723=""),"",IF(AND(K$8&lt;='Detalle'!$K723,K$9&gt;='Detalle'!$J723),1,""))</x:f>
      </x:c>
      <x:c r="L1487" s="32" t="str">
        <x:f>IF(OR('Detalle'!$J723="",'Detalle'!$K723="",'Detalle'!$L723=""),"",IF(AND(L$8&lt;='Detalle'!$K723,L$9&gt;='Detalle'!$J723),1,""))</x:f>
      </x:c>
      <x:c r="M1487" s="32" t="str">
        <x:f>IF(OR('Detalle'!$J723="",'Detalle'!$K723="",'Detalle'!$L723=""),"",IF(AND(M$8&lt;='Detalle'!$K723,M$9&gt;='Detalle'!$J723),1,""))</x:f>
      </x:c>
      <x:c r="N1487" s="32" t="str">
        <x:f>IF(OR('Detalle'!$J723="",'Detalle'!$K723="",'Detalle'!$L723=""),"",IF(AND(N$8&lt;='Detalle'!$K723,N$9&gt;='Detalle'!$J723),1,""))</x:f>
      </x:c>
      <x:c r="O1487" s="32" t="str">
        <x:f>IF(OR('Detalle'!$J723="",'Detalle'!$K723="",'Detalle'!$L723=""),"",IF(AND(O$8&lt;='Detalle'!$K723,O$9&gt;='Detalle'!$J723),1,""))</x:f>
      </x:c>
      <x:c r="P1487" s="32" t="str">
        <x:f>IF(OR('Detalle'!$J723="",'Detalle'!$K723="",'Detalle'!$L723=""),"",IF(AND(P$8&lt;='Detalle'!$K723,P$9&gt;='Detalle'!$J723),1,""))</x:f>
      </x:c>
      <x:c r="Q1487" s="68"/>
      <x:c r="R1487" s="67" t="str"/>
      <x:c r="S1487" s="67" t="str"/>
    </x:row>
    <x:row r="1488" ht="16" customHeight="1">
      <x:c r="A1488" s="56" t="str">
        <x:v>TOU06.013</x:v>
      </x:c>
      <x:c r="B1488" s="57" t="str">
        <x:v>Publicar versión activa atómicamente</x:v>
      </x:c>
      <x:c r="C1488" s="62" t="str">
        <x:v>E</x:v>
      </x:c>
      <x:c r="D1488" s="64" t="n">
        <x:f>'Detalle'!I724</x:f>
        <x:v>1</x:v>
      </x:c>
      <x:c r="E1488" s="60" t="str">
        <x:f>'Detalle'!F724</x:f>
        <x:v>Completado</x:v>
      </x:c>
      <x:c r="F1488" s="32" t="str">
        <x:f>IF(AND(F$8&lt;='Detalle'!$H724,F$9&gt;='Detalle'!$G724),1,"")</x:f>
      </x:c>
      <x:c r="G1488" s="32" t="str">
        <x:f>IF(AND(G$8&lt;='Detalle'!$H724,G$9&gt;='Detalle'!$G724),1,"")</x:f>
      </x:c>
      <x:c r="H1488" s="32" t="str">
        <x:f>IF(AND(H$8&lt;='Detalle'!$H724,H$9&gt;='Detalle'!$G724),1,"")</x:f>
      </x:c>
      <x:c r="I1488" s="32" t="str">
        <x:f>IF(AND(I$8&lt;='Detalle'!$H724,I$9&gt;='Detalle'!$G724),1,"")</x:f>
      </x:c>
      <x:c r="J1488" s="32" t="n">
        <x:f>IF(AND(J$8&lt;='Detalle'!$H724,J$9&gt;='Detalle'!$G724),1,"")</x:f>
        <x:v>1</x:v>
      </x:c>
      <x:c r="K1488" s="32" t="str">
        <x:f>IF(AND(K$8&lt;='Detalle'!$H724,K$9&gt;='Detalle'!$G724),1,"")</x:f>
      </x:c>
      <x:c r="L1488" s="32" t="str">
        <x:f>IF(AND(L$8&lt;='Detalle'!$H724,L$9&gt;='Detalle'!$G724),1,"")</x:f>
      </x:c>
      <x:c r="M1488" s="32" t="str">
        <x:f>IF(AND(M$8&lt;='Detalle'!$H724,M$9&gt;='Detalle'!$G724),1,"")</x:f>
      </x:c>
      <x:c r="N1488" s="32" t="str">
        <x:f>IF(AND(N$8&lt;='Detalle'!$H724,N$9&gt;='Detalle'!$G724),1,"")</x:f>
      </x:c>
      <x:c r="O1488" s="32" t="str">
        <x:f>IF(AND(O$8&lt;='Detalle'!$H724,O$9&gt;='Detalle'!$G724),1,"")</x:f>
      </x:c>
      <x:c r="P1488" s="32" t="str">
        <x:f>IF(AND(P$8&lt;='Detalle'!$H724,P$9&gt;='Detalle'!$G724),1,"")</x:f>
      </x:c>
      <x:c r="Q1488" s="68"/>
      <x:c r="R1488" s="67" t="str">
        <x:f>IF('Detalle'!M724="","",'Detalle'!M724)</x:f>
      </x:c>
      <x:c r="S1488" s="67" t="str">
        <x:f>IF('Detalle'!N724="","",'Detalle'!N724)</x:f>
      </x:c>
    </x:row>
    <x:row r="1489" ht="16" customHeight="1">
      <x:c r="A1489" s="56" t="str">
        <x:v>TOU06.013</x:v>
      </x:c>
      <x:c r="B1489" s="57" t="str">
        <x:v>Publicar versión activa atómicamente</x:v>
      </x:c>
      <x:c r="C1489" s="63" t="str">
        <x:v>R</x:v>
      </x:c>
      <x:c r="D1489" s="65" t="str">
        <x:f>IF('Detalle'!L724="","",'Detalle'!L724)</x:f>
      </x:c>
      <x:c r="E1489" s="60" t="str"/>
      <x:c r="F1489" s="32" t="str">
        <x:f>IF(OR('Detalle'!$J724="",'Detalle'!$K724="",'Detalle'!$L724=""),"",IF(AND(F$8&lt;='Detalle'!$K724,F$9&gt;='Detalle'!$J724),1,""))</x:f>
      </x:c>
      <x:c r="G1489" s="32" t="str">
        <x:f>IF(OR('Detalle'!$J724="",'Detalle'!$K724="",'Detalle'!$L724=""),"",IF(AND(G$8&lt;='Detalle'!$K724,G$9&gt;='Detalle'!$J724),1,""))</x:f>
      </x:c>
      <x:c r="H1489" s="32" t="str">
        <x:f>IF(OR('Detalle'!$J724="",'Detalle'!$K724="",'Detalle'!$L724=""),"",IF(AND(H$8&lt;='Detalle'!$K724,H$9&gt;='Detalle'!$J724),1,""))</x:f>
      </x:c>
      <x:c r="I1489" s="32" t="str">
        <x:f>IF(OR('Detalle'!$J724="",'Detalle'!$K724="",'Detalle'!$L724=""),"",IF(AND(I$8&lt;='Detalle'!$K724,I$9&gt;='Detalle'!$J724),1,""))</x:f>
      </x:c>
      <x:c r="J1489" s="32" t="str">
        <x:f>IF(OR('Detalle'!$J724="",'Detalle'!$K724="",'Detalle'!$L724=""),"",IF(AND(J$8&lt;='Detalle'!$K724,J$9&gt;='Detalle'!$J724),1,""))</x:f>
      </x:c>
      <x:c r="K1489" s="32" t="str">
        <x:f>IF(OR('Detalle'!$J724="",'Detalle'!$K724="",'Detalle'!$L724=""),"",IF(AND(K$8&lt;='Detalle'!$K724,K$9&gt;='Detalle'!$J724),1,""))</x:f>
      </x:c>
      <x:c r="L1489" s="32" t="str">
        <x:f>IF(OR('Detalle'!$J724="",'Detalle'!$K724="",'Detalle'!$L724=""),"",IF(AND(L$8&lt;='Detalle'!$K724,L$9&gt;='Detalle'!$J724),1,""))</x:f>
      </x:c>
      <x:c r="M1489" s="32" t="str">
        <x:f>IF(OR('Detalle'!$J724="",'Detalle'!$K724="",'Detalle'!$L724=""),"",IF(AND(M$8&lt;='Detalle'!$K724,M$9&gt;='Detalle'!$J724),1,""))</x:f>
      </x:c>
      <x:c r="N1489" s="32" t="str">
        <x:f>IF(OR('Detalle'!$J724="",'Detalle'!$K724="",'Detalle'!$L724=""),"",IF(AND(N$8&lt;='Detalle'!$K724,N$9&gt;='Detalle'!$J724),1,""))</x:f>
      </x:c>
      <x:c r="O1489" s="32" t="str">
        <x:f>IF(OR('Detalle'!$J724="",'Detalle'!$K724="",'Detalle'!$L724=""),"",IF(AND(O$8&lt;='Detalle'!$K724,O$9&gt;='Detalle'!$J724),1,""))</x:f>
      </x:c>
      <x:c r="P1489" s="32" t="str">
        <x:f>IF(OR('Detalle'!$J724="",'Detalle'!$K724="",'Detalle'!$L724=""),"",IF(AND(P$8&lt;='Detalle'!$K724,P$9&gt;='Detalle'!$J724),1,""))</x:f>
      </x:c>
      <x:c r="Q1489" s="68"/>
      <x:c r="R1489" s="67" t="str"/>
      <x:c r="S1489" s="67" t="str"/>
    </x:row>
    <x:row r="1490" ht="16" customHeight="1">
      <x:c r="A1490" s="56" t="str">
        <x:v>TOU06.014</x:v>
      </x:c>
      <x:c r="B1490" s="57" t="str">
        <x:v>Filtrar recursos públicos por vigencia</x:v>
      </x:c>
      <x:c r="C1490" s="62" t="str">
        <x:v>E</x:v>
      </x:c>
      <x:c r="D1490" s="64" t="n">
        <x:f>'Detalle'!I725</x:f>
        <x:v>1</x:v>
      </x:c>
      <x:c r="E1490" s="60" t="str">
        <x:f>'Detalle'!F725</x:f>
        <x:v>Completado</x:v>
      </x:c>
      <x:c r="F1490" s="32" t="str">
        <x:f>IF(AND(F$8&lt;='Detalle'!$H725,F$9&gt;='Detalle'!$G725),1,"")</x:f>
      </x:c>
      <x:c r="G1490" s="32" t="str">
        <x:f>IF(AND(G$8&lt;='Detalle'!$H725,G$9&gt;='Detalle'!$G725),1,"")</x:f>
      </x:c>
      <x:c r="H1490" s="32" t="str">
        <x:f>IF(AND(H$8&lt;='Detalle'!$H725,H$9&gt;='Detalle'!$G725),1,"")</x:f>
      </x:c>
      <x:c r="I1490" s="32" t="str">
        <x:f>IF(AND(I$8&lt;='Detalle'!$H725,I$9&gt;='Detalle'!$G725),1,"")</x:f>
      </x:c>
      <x:c r="J1490" s="32" t="n">
        <x:f>IF(AND(J$8&lt;='Detalle'!$H725,J$9&gt;='Detalle'!$G725),1,"")</x:f>
        <x:v>1</x:v>
      </x:c>
      <x:c r="K1490" s="32" t="str">
        <x:f>IF(AND(K$8&lt;='Detalle'!$H725,K$9&gt;='Detalle'!$G725),1,"")</x:f>
      </x:c>
      <x:c r="L1490" s="32" t="str">
        <x:f>IF(AND(L$8&lt;='Detalle'!$H725,L$9&gt;='Detalle'!$G725),1,"")</x:f>
      </x:c>
      <x:c r="M1490" s="32" t="str">
        <x:f>IF(AND(M$8&lt;='Detalle'!$H725,M$9&gt;='Detalle'!$G725),1,"")</x:f>
      </x:c>
      <x:c r="N1490" s="32" t="str">
        <x:f>IF(AND(N$8&lt;='Detalle'!$H725,N$9&gt;='Detalle'!$G725),1,"")</x:f>
      </x:c>
      <x:c r="O1490" s="32" t="str">
        <x:f>IF(AND(O$8&lt;='Detalle'!$H725,O$9&gt;='Detalle'!$G725),1,"")</x:f>
      </x:c>
      <x:c r="P1490" s="32" t="str">
        <x:f>IF(AND(P$8&lt;='Detalle'!$H725,P$9&gt;='Detalle'!$G725),1,"")</x:f>
      </x:c>
      <x:c r="Q1490" s="68"/>
      <x:c r="R1490" s="67" t="str">
        <x:f>IF('Detalle'!M725="","",'Detalle'!M725)</x:f>
      </x:c>
      <x:c r="S1490" s="67" t="str">
        <x:f>IF('Detalle'!N725="","",'Detalle'!N725)</x:f>
      </x:c>
    </x:row>
    <x:row r="1491" ht="16" customHeight="1">
      <x:c r="A1491" s="56" t="str">
        <x:v>TOU06.014</x:v>
      </x:c>
      <x:c r="B1491" s="57" t="str">
        <x:v>Filtrar recursos públicos por vigencia</x:v>
      </x:c>
      <x:c r="C1491" s="63" t="str">
        <x:v>R</x:v>
      </x:c>
      <x:c r="D1491" s="65" t="str">
        <x:f>IF('Detalle'!L725="","",'Detalle'!L725)</x:f>
      </x:c>
      <x:c r="E1491" s="60" t="str"/>
      <x:c r="F1491" s="32" t="str">
        <x:f>IF(OR('Detalle'!$J725="",'Detalle'!$K725="",'Detalle'!$L725=""),"",IF(AND(F$8&lt;='Detalle'!$K725,F$9&gt;='Detalle'!$J725),1,""))</x:f>
      </x:c>
      <x:c r="G1491" s="32" t="str">
        <x:f>IF(OR('Detalle'!$J725="",'Detalle'!$K725="",'Detalle'!$L725=""),"",IF(AND(G$8&lt;='Detalle'!$K725,G$9&gt;='Detalle'!$J725),1,""))</x:f>
      </x:c>
      <x:c r="H1491" s="32" t="str">
        <x:f>IF(OR('Detalle'!$J725="",'Detalle'!$K725="",'Detalle'!$L725=""),"",IF(AND(H$8&lt;='Detalle'!$K725,H$9&gt;='Detalle'!$J725),1,""))</x:f>
      </x:c>
      <x:c r="I1491" s="32" t="str">
        <x:f>IF(OR('Detalle'!$J725="",'Detalle'!$K725="",'Detalle'!$L725=""),"",IF(AND(I$8&lt;='Detalle'!$K725,I$9&gt;='Detalle'!$J725),1,""))</x:f>
      </x:c>
      <x:c r="J1491" s="32" t="str">
        <x:f>IF(OR('Detalle'!$J725="",'Detalle'!$K725="",'Detalle'!$L725=""),"",IF(AND(J$8&lt;='Detalle'!$K725,J$9&gt;='Detalle'!$J725),1,""))</x:f>
      </x:c>
      <x:c r="K1491" s="32" t="str">
        <x:f>IF(OR('Detalle'!$J725="",'Detalle'!$K725="",'Detalle'!$L725=""),"",IF(AND(K$8&lt;='Detalle'!$K725,K$9&gt;='Detalle'!$J725),1,""))</x:f>
      </x:c>
      <x:c r="L1491" s="32" t="str">
        <x:f>IF(OR('Detalle'!$J725="",'Detalle'!$K725="",'Detalle'!$L725=""),"",IF(AND(L$8&lt;='Detalle'!$K725,L$9&gt;='Detalle'!$J725),1,""))</x:f>
      </x:c>
      <x:c r="M1491" s="32" t="str">
        <x:f>IF(OR('Detalle'!$J725="",'Detalle'!$K725="",'Detalle'!$L725=""),"",IF(AND(M$8&lt;='Detalle'!$K725,M$9&gt;='Detalle'!$J725),1,""))</x:f>
      </x:c>
      <x:c r="N1491" s="32" t="str">
        <x:f>IF(OR('Detalle'!$J725="",'Detalle'!$K725="",'Detalle'!$L725=""),"",IF(AND(N$8&lt;='Detalle'!$K725,N$9&gt;='Detalle'!$J725),1,""))</x:f>
      </x:c>
      <x:c r="O1491" s="32" t="str">
        <x:f>IF(OR('Detalle'!$J725="",'Detalle'!$K725="",'Detalle'!$L725=""),"",IF(AND(O$8&lt;='Detalle'!$K725,O$9&gt;='Detalle'!$J725),1,""))</x:f>
      </x:c>
      <x:c r="P1491" s="32" t="str">
        <x:f>IF(OR('Detalle'!$J725="",'Detalle'!$K725="",'Detalle'!$L725=""),"",IF(AND(P$8&lt;='Detalle'!$K725,P$9&gt;='Detalle'!$J725),1,""))</x:f>
      </x:c>
      <x:c r="Q1491" s="68"/>
      <x:c r="R1491" s="67" t="str"/>
      <x:c r="S1491" s="67" t="str"/>
    </x:row>
    <x:row r="1492" ht="16" customHeight="1">
      <x:c r="A1492" s="56" t="str">
        <x:v>TOU06.015</x:v>
      </x:c>
      <x:c r="B1492" s="57" t="str">
        <x:v>Revalidar contenido ajeno al leer</x:v>
      </x:c>
      <x:c r="C1492" s="62" t="str">
        <x:v>E</x:v>
      </x:c>
      <x:c r="D1492" s="64" t="n">
        <x:f>'Detalle'!I726</x:f>
        <x:v>1</x:v>
      </x:c>
      <x:c r="E1492" s="60" t="str">
        <x:f>'Detalle'!F726</x:f>
        <x:v>Completado</x:v>
      </x:c>
      <x:c r="F1492" s="32" t="str">
        <x:f>IF(AND(F$8&lt;='Detalle'!$H726,F$9&gt;='Detalle'!$G726),1,"")</x:f>
      </x:c>
      <x:c r="G1492" s="32" t="str">
        <x:f>IF(AND(G$8&lt;='Detalle'!$H726,G$9&gt;='Detalle'!$G726),1,"")</x:f>
      </x:c>
      <x:c r="H1492" s="32" t="str">
        <x:f>IF(AND(H$8&lt;='Detalle'!$H726,H$9&gt;='Detalle'!$G726),1,"")</x:f>
      </x:c>
      <x:c r="I1492" s="32" t="str">
        <x:f>IF(AND(I$8&lt;='Detalle'!$H726,I$9&gt;='Detalle'!$G726),1,"")</x:f>
      </x:c>
      <x:c r="J1492" s="32" t="n">
        <x:f>IF(AND(J$8&lt;='Detalle'!$H726,J$9&gt;='Detalle'!$G726),1,"")</x:f>
        <x:v>1</x:v>
      </x:c>
      <x:c r="K1492" s="32" t="str">
        <x:f>IF(AND(K$8&lt;='Detalle'!$H726,K$9&gt;='Detalle'!$G726),1,"")</x:f>
      </x:c>
      <x:c r="L1492" s="32" t="str">
        <x:f>IF(AND(L$8&lt;='Detalle'!$H726,L$9&gt;='Detalle'!$G726),1,"")</x:f>
      </x:c>
      <x:c r="M1492" s="32" t="str">
        <x:f>IF(AND(M$8&lt;='Detalle'!$H726,M$9&gt;='Detalle'!$G726),1,"")</x:f>
      </x:c>
      <x:c r="N1492" s="32" t="str">
        <x:f>IF(AND(N$8&lt;='Detalle'!$H726,N$9&gt;='Detalle'!$G726),1,"")</x:f>
      </x:c>
      <x:c r="O1492" s="32" t="str">
        <x:f>IF(AND(O$8&lt;='Detalle'!$H726,O$9&gt;='Detalle'!$G726),1,"")</x:f>
      </x:c>
      <x:c r="P1492" s="32" t="str">
        <x:f>IF(AND(P$8&lt;='Detalle'!$H726,P$9&gt;='Detalle'!$G726),1,"")</x:f>
      </x:c>
      <x:c r="Q1492" s="68"/>
      <x:c r="R1492" s="67" t="str">
        <x:f>IF('Detalle'!M726="","",'Detalle'!M726)</x:f>
      </x:c>
      <x:c r="S1492" s="67" t="str">
        <x:f>IF('Detalle'!N726="","",'Detalle'!N726)</x:f>
      </x:c>
    </x:row>
    <x:row r="1493" ht="16" customHeight="1">
      <x:c r="A1493" s="56" t="str">
        <x:v>TOU06.015</x:v>
      </x:c>
      <x:c r="B1493" s="57" t="str">
        <x:v>Revalidar contenido ajeno al leer</x:v>
      </x:c>
      <x:c r="C1493" s="63" t="str">
        <x:v>R</x:v>
      </x:c>
      <x:c r="D1493" s="65" t="str">
        <x:f>IF('Detalle'!L726="","",'Detalle'!L726)</x:f>
      </x:c>
      <x:c r="E1493" s="60" t="str"/>
      <x:c r="F1493" s="32" t="str">
        <x:f>IF(OR('Detalle'!$J726="",'Detalle'!$K726="",'Detalle'!$L726=""),"",IF(AND(F$8&lt;='Detalle'!$K726,F$9&gt;='Detalle'!$J726),1,""))</x:f>
      </x:c>
      <x:c r="G1493" s="32" t="str">
        <x:f>IF(OR('Detalle'!$J726="",'Detalle'!$K726="",'Detalle'!$L726=""),"",IF(AND(G$8&lt;='Detalle'!$K726,G$9&gt;='Detalle'!$J726),1,""))</x:f>
      </x:c>
      <x:c r="H1493" s="32" t="str">
        <x:f>IF(OR('Detalle'!$J726="",'Detalle'!$K726="",'Detalle'!$L726=""),"",IF(AND(H$8&lt;='Detalle'!$K726,H$9&gt;='Detalle'!$J726),1,""))</x:f>
      </x:c>
      <x:c r="I1493" s="32" t="str">
        <x:f>IF(OR('Detalle'!$J726="",'Detalle'!$K726="",'Detalle'!$L726=""),"",IF(AND(I$8&lt;='Detalle'!$K726,I$9&gt;='Detalle'!$J726),1,""))</x:f>
      </x:c>
      <x:c r="J1493" s="32" t="str">
        <x:f>IF(OR('Detalle'!$J726="",'Detalle'!$K726="",'Detalle'!$L726=""),"",IF(AND(J$8&lt;='Detalle'!$K726,J$9&gt;='Detalle'!$J726),1,""))</x:f>
      </x:c>
      <x:c r="K1493" s="32" t="str">
        <x:f>IF(OR('Detalle'!$J726="",'Detalle'!$K726="",'Detalle'!$L726=""),"",IF(AND(K$8&lt;='Detalle'!$K726,K$9&gt;='Detalle'!$J726),1,""))</x:f>
      </x:c>
      <x:c r="L1493" s="32" t="str">
        <x:f>IF(OR('Detalle'!$J726="",'Detalle'!$K726="",'Detalle'!$L726=""),"",IF(AND(L$8&lt;='Detalle'!$K726,L$9&gt;='Detalle'!$J726),1,""))</x:f>
      </x:c>
      <x:c r="M1493" s="32" t="str">
        <x:f>IF(OR('Detalle'!$J726="",'Detalle'!$K726="",'Detalle'!$L726=""),"",IF(AND(M$8&lt;='Detalle'!$K726,M$9&gt;='Detalle'!$J726),1,""))</x:f>
      </x:c>
      <x:c r="N1493" s="32" t="str">
        <x:f>IF(OR('Detalle'!$J726="",'Detalle'!$K726="",'Detalle'!$L726=""),"",IF(AND(N$8&lt;='Detalle'!$K726,N$9&gt;='Detalle'!$J726),1,""))</x:f>
      </x:c>
      <x:c r="O1493" s="32" t="str">
        <x:f>IF(OR('Detalle'!$J726="",'Detalle'!$K726="",'Detalle'!$L726=""),"",IF(AND(O$8&lt;='Detalle'!$K726,O$9&gt;='Detalle'!$J726),1,""))</x:f>
      </x:c>
      <x:c r="P1493" s="32" t="str">
        <x:f>IF(OR('Detalle'!$J726="",'Detalle'!$K726="",'Detalle'!$L726=""),"",IF(AND(P$8&lt;='Detalle'!$K726,P$9&gt;='Detalle'!$J726),1,""))</x:f>
      </x:c>
      <x:c r="Q1493" s="68"/>
      <x:c r="R1493" s="67" t="str"/>
      <x:c r="S1493" s="67" t="str"/>
    </x:row>
    <x:row r="1494" ht="16" customHeight="1">
      <x:c r="A1494" s="56" t="str">
        <x:v>TOU06.016</x:v>
      </x:c>
      <x:c r="B1494" s="57" t="str">
        <x:v>Revocar responsabilidad espacial</x:v>
      </x:c>
      <x:c r="C1494" s="62" t="str">
        <x:v>E</x:v>
      </x:c>
      <x:c r="D1494" s="64" t="n">
        <x:f>'Detalle'!I727</x:f>
        <x:v>1</x:v>
      </x:c>
      <x:c r="E1494" s="60" t="str">
        <x:f>'Detalle'!F727</x:f>
        <x:v>Completado</x:v>
      </x:c>
      <x:c r="F1494" s="32" t="str">
        <x:f>IF(AND(F$8&lt;='Detalle'!$H727,F$9&gt;='Detalle'!$G727),1,"")</x:f>
      </x:c>
      <x:c r="G1494" s="32" t="str">
        <x:f>IF(AND(G$8&lt;='Detalle'!$H727,G$9&gt;='Detalle'!$G727),1,"")</x:f>
      </x:c>
      <x:c r="H1494" s="32" t="str">
        <x:f>IF(AND(H$8&lt;='Detalle'!$H727,H$9&gt;='Detalle'!$G727),1,"")</x:f>
      </x:c>
      <x:c r="I1494" s="32" t="str">
        <x:f>IF(AND(I$8&lt;='Detalle'!$H727,I$9&gt;='Detalle'!$G727),1,"")</x:f>
      </x:c>
      <x:c r="J1494" s="32" t="n">
        <x:f>IF(AND(J$8&lt;='Detalle'!$H727,J$9&gt;='Detalle'!$G727),1,"")</x:f>
        <x:v>1</x:v>
      </x:c>
      <x:c r="K1494" s="32" t="str">
        <x:f>IF(AND(K$8&lt;='Detalle'!$H727,K$9&gt;='Detalle'!$G727),1,"")</x:f>
      </x:c>
      <x:c r="L1494" s="32" t="str">
        <x:f>IF(AND(L$8&lt;='Detalle'!$H727,L$9&gt;='Detalle'!$G727),1,"")</x:f>
      </x:c>
      <x:c r="M1494" s="32" t="str">
        <x:f>IF(AND(M$8&lt;='Detalle'!$H727,M$9&gt;='Detalle'!$G727),1,"")</x:f>
      </x:c>
      <x:c r="N1494" s="32" t="str">
        <x:f>IF(AND(N$8&lt;='Detalle'!$H727,N$9&gt;='Detalle'!$G727),1,"")</x:f>
      </x:c>
      <x:c r="O1494" s="32" t="str">
        <x:f>IF(AND(O$8&lt;='Detalle'!$H727,O$9&gt;='Detalle'!$G727),1,"")</x:f>
      </x:c>
      <x:c r="P1494" s="32" t="str">
        <x:f>IF(AND(P$8&lt;='Detalle'!$H727,P$9&gt;='Detalle'!$G727),1,"")</x:f>
      </x:c>
      <x:c r="Q1494" s="68"/>
      <x:c r="R1494" s="67" t="str">
        <x:f>IF('Detalle'!M727="","",'Detalle'!M727)</x:f>
      </x:c>
      <x:c r="S1494" s="67" t="str">
        <x:f>IF('Detalle'!N727="","",'Detalle'!N727)</x:f>
      </x:c>
    </x:row>
    <x:row r="1495" ht="16" customHeight="1">
      <x:c r="A1495" s="56" t="str">
        <x:v>TOU06.016</x:v>
      </x:c>
      <x:c r="B1495" s="57" t="str">
        <x:v>Revocar responsabilidad espacial</x:v>
      </x:c>
      <x:c r="C1495" s="63" t="str">
        <x:v>R</x:v>
      </x:c>
      <x:c r="D1495" s="65" t="str">
        <x:f>IF('Detalle'!L727="","",'Detalle'!L727)</x:f>
      </x:c>
      <x:c r="E1495" s="60" t="str"/>
      <x:c r="F1495" s="32" t="str">
        <x:f>IF(OR('Detalle'!$J727="",'Detalle'!$K727="",'Detalle'!$L727=""),"",IF(AND(F$8&lt;='Detalle'!$K727,F$9&gt;='Detalle'!$J727),1,""))</x:f>
      </x:c>
      <x:c r="G1495" s="32" t="str">
        <x:f>IF(OR('Detalle'!$J727="",'Detalle'!$K727="",'Detalle'!$L727=""),"",IF(AND(G$8&lt;='Detalle'!$K727,G$9&gt;='Detalle'!$J727),1,""))</x:f>
      </x:c>
      <x:c r="H1495" s="32" t="str">
        <x:f>IF(OR('Detalle'!$J727="",'Detalle'!$K727="",'Detalle'!$L727=""),"",IF(AND(H$8&lt;='Detalle'!$K727,H$9&gt;='Detalle'!$J727),1,""))</x:f>
      </x:c>
      <x:c r="I1495" s="32" t="str">
        <x:f>IF(OR('Detalle'!$J727="",'Detalle'!$K727="",'Detalle'!$L727=""),"",IF(AND(I$8&lt;='Detalle'!$K727,I$9&gt;='Detalle'!$J727),1,""))</x:f>
      </x:c>
      <x:c r="J1495" s="32" t="str">
        <x:f>IF(OR('Detalle'!$J727="",'Detalle'!$K727="",'Detalle'!$L727=""),"",IF(AND(J$8&lt;='Detalle'!$K727,J$9&gt;='Detalle'!$J727),1,""))</x:f>
      </x:c>
      <x:c r="K1495" s="32" t="str">
        <x:f>IF(OR('Detalle'!$J727="",'Detalle'!$K727="",'Detalle'!$L727=""),"",IF(AND(K$8&lt;='Detalle'!$K727,K$9&gt;='Detalle'!$J727),1,""))</x:f>
      </x:c>
      <x:c r="L1495" s="32" t="str">
        <x:f>IF(OR('Detalle'!$J727="",'Detalle'!$K727="",'Detalle'!$L727=""),"",IF(AND(L$8&lt;='Detalle'!$K727,L$9&gt;='Detalle'!$J727),1,""))</x:f>
      </x:c>
      <x:c r="M1495" s="32" t="str">
        <x:f>IF(OR('Detalle'!$J727="",'Detalle'!$K727="",'Detalle'!$L727=""),"",IF(AND(M$8&lt;='Detalle'!$K727,M$9&gt;='Detalle'!$J727),1,""))</x:f>
      </x:c>
      <x:c r="N1495" s="32" t="str">
        <x:f>IF(OR('Detalle'!$J727="",'Detalle'!$K727="",'Detalle'!$L727=""),"",IF(AND(N$8&lt;='Detalle'!$K727,N$9&gt;='Detalle'!$J727),1,""))</x:f>
      </x:c>
      <x:c r="O1495" s="32" t="str">
        <x:f>IF(OR('Detalle'!$J727="",'Detalle'!$K727="",'Detalle'!$L727=""),"",IF(AND(O$8&lt;='Detalle'!$K727,O$9&gt;='Detalle'!$J727),1,""))</x:f>
      </x:c>
      <x:c r="P1495" s="32" t="str">
        <x:f>IF(OR('Detalle'!$J727="",'Detalle'!$K727="",'Detalle'!$L727=""),"",IF(AND(P$8&lt;='Detalle'!$K727,P$9&gt;='Detalle'!$J727),1,""))</x:f>
      </x:c>
      <x:c r="Q1495" s="68"/>
      <x:c r="R1495" s="67" t="str"/>
      <x:c r="S1495" s="67" t="str"/>
    </x:row>
    <x:row r="1496" ht="16" customHeight="1">
      <x:c r="A1496" s="56" t="str">
        <x:v>TOU06.017</x:v>
      </x:c>
      <x:c r="B1496" s="57" t="str">
        <x:v>Cancelar trabajos al eliminar cuenta</x:v>
      </x:c>
      <x:c r="C1496" s="62" t="str">
        <x:v>E</x:v>
      </x:c>
      <x:c r="D1496" s="64" t="n">
        <x:f>'Detalle'!I728</x:f>
        <x:v>1</x:v>
      </x:c>
      <x:c r="E1496" s="60" t="str">
        <x:f>'Detalle'!F728</x:f>
        <x:v>Completado</x:v>
      </x:c>
      <x:c r="F1496" s="32" t="str">
        <x:f>IF(AND(F$8&lt;='Detalle'!$H728,F$9&gt;='Detalle'!$G728),1,"")</x:f>
      </x:c>
      <x:c r="G1496" s="32" t="str">
        <x:f>IF(AND(G$8&lt;='Detalle'!$H728,G$9&gt;='Detalle'!$G728),1,"")</x:f>
      </x:c>
      <x:c r="H1496" s="32" t="str">
        <x:f>IF(AND(H$8&lt;='Detalle'!$H728,H$9&gt;='Detalle'!$G728),1,"")</x:f>
      </x:c>
      <x:c r="I1496" s="32" t="str">
        <x:f>IF(AND(I$8&lt;='Detalle'!$H728,I$9&gt;='Detalle'!$G728),1,"")</x:f>
      </x:c>
      <x:c r="J1496" s="32" t="n">
        <x:f>IF(AND(J$8&lt;='Detalle'!$H728,J$9&gt;='Detalle'!$G728),1,"")</x:f>
        <x:v>1</x:v>
      </x:c>
      <x:c r="K1496" s="32" t="str">
        <x:f>IF(AND(K$8&lt;='Detalle'!$H728,K$9&gt;='Detalle'!$G728),1,"")</x:f>
      </x:c>
      <x:c r="L1496" s="32" t="str">
        <x:f>IF(AND(L$8&lt;='Detalle'!$H728,L$9&gt;='Detalle'!$G728),1,"")</x:f>
      </x:c>
      <x:c r="M1496" s="32" t="str">
        <x:f>IF(AND(M$8&lt;='Detalle'!$H728,M$9&gt;='Detalle'!$G728),1,"")</x:f>
      </x:c>
      <x:c r="N1496" s="32" t="str">
        <x:f>IF(AND(N$8&lt;='Detalle'!$H728,N$9&gt;='Detalle'!$G728),1,"")</x:f>
      </x:c>
      <x:c r="O1496" s="32" t="str">
        <x:f>IF(AND(O$8&lt;='Detalle'!$H728,O$9&gt;='Detalle'!$G728),1,"")</x:f>
      </x:c>
      <x:c r="P1496" s="32" t="str">
        <x:f>IF(AND(P$8&lt;='Detalle'!$H728,P$9&gt;='Detalle'!$G728),1,"")</x:f>
      </x:c>
      <x:c r="Q1496" s="68"/>
      <x:c r="R1496" s="67" t="str">
        <x:f>IF('Detalle'!M728="","",'Detalle'!M728)</x:f>
      </x:c>
      <x:c r="S1496" s="67" t="str">
        <x:f>IF('Detalle'!N728="","",'Detalle'!N728)</x:f>
      </x:c>
    </x:row>
    <x:row r="1497" ht="16" customHeight="1">
      <x:c r="A1497" s="56" t="str">
        <x:v>TOU06.017</x:v>
      </x:c>
      <x:c r="B1497" s="57" t="str">
        <x:v>Cancelar trabajos al eliminar cuenta</x:v>
      </x:c>
      <x:c r="C1497" s="63" t="str">
        <x:v>R</x:v>
      </x:c>
      <x:c r="D1497" s="65" t="str">
        <x:f>IF('Detalle'!L728="","",'Detalle'!L728)</x:f>
      </x:c>
      <x:c r="E1497" s="60" t="str"/>
      <x:c r="F1497" s="32" t="str">
        <x:f>IF(OR('Detalle'!$J728="",'Detalle'!$K728="",'Detalle'!$L728=""),"",IF(AND(F$8&lt;='Detalle'!$K728,F$9&gt;='Detalle'!$J728),1,""))</x:f>
      </x:c>
      <x:c r="G1497" s="32" t="str">
        <x:f>IF(OR('Detalle'!$J728="",'Detalle'!$K728="",'Detalle'!$L728=""),"",IF(AND(G$8&lt;='Detalle'!$K728,G$9&gt;='Detalle'!$J728),1,""))</x:f>
      </x:c>
      <x:c r="H1497" s="32" t="str">
        <x:f>IF(OR('Detalle'!$J728="",'Detalle'!$K728="",'Detalle'!$L728=""),"",IF(AND(H$8&lt;='Detalle'!$K728,H$9&gt;='Detalle'!$J728),1,""))</x:f>
      </x:c>
      <x:c r="I1497" s="32" t="str">
        <x:f>IF(OR('Detalle'!$J728="",'Detalle'!$K728="",'Detalle'!$L728=""),"",IF(AND(I$8&lt;='Detalle'!$K728,I$9&gt;='Detalle'!$J728),1,""))</x:f>
      </x:c>
      <x:c r="J1497" s="32" t="str">
        <x:f>IF(OR('Detalle'!$J728="",'Detalle'!$K728="",'Detalle'!$L728=""),"",IF(AND(J$8&lt;='Detalle'!$K728,J$9&gt;='Detalle'!$J728),1,""))</x:f>
      </x:c>
      <x:c r="K1497" s="32" t="str">
        <x:f>IF(OR('Detalle'!$J728="",'Detalle'!$K728="",'Detalle'!$L728=""),"",IF(AND(K$8&lt;='Detalle'!$K728,K$9&gt;='Detalle'!$J728),1,""))</x:f>
      </x:c>
      <x:c r="L1497" s="32" t="str">
        <x:f>IF(OR('Detalle'!$J728="",'Detalle'!$K728="",'Detalle'!$L728=""),"",IF(AND(L$8&lt;='Detalle'!$K728,L$9&gt;='Detalle'!$J728),1,""))</x:f>
      </x:c>
      <x:c r="M1497" s="32" t="str">
        <x:f>IF(OR('Detalle'!$J728="",'Detalle'!$K728="",'Detalle'!$L728=""),"",IF(AND(M$8&lt;='Detalle'!$K728,M$9&gt;='Detalle'!$J728),1,""))</x:f>
      </x:c>
      <x:c r="N1497" s="32" t="str">
        <x:f>IF(OR('Detalle'!$J728="",'Detalle'!$K728="",'Detalle'!$L728=""),"",IF(AND(N$8&lt;='Detalle'!$K728,N$9&gt;='Detalle'!$J728),1,""))</x:f>
      </x:c>
      <x:c r="O1497" s="32" t="str">
        <x:f>IF(OR('Detalle'!$J728="",'Detalle'!$K728="",'Detalle'!$L728=""),"",IF(AND(O$8&lt;='Detalle'!$K728,O$9&gt;='Detalle'!$J728),1,""))</x:f>
      </x:c>
      <x:c r="P1497" s="32" t="str">
        <x:f>IF(OR('Detalle'!$J728="",'Detalle'!$K728="",'Detalle'!$L728=""),"",IF(AND(P$8&lt;='Detalle'!$K728,P$9&gt;='Detalle'!$J728),1,""))</x:f>
      </x:c>
      <x:c r="Q1497" s="68"/>
      <x:c r="R1497" s="67" t="str"/>
      <x:c r="S1497" s="67" t="str"/>
    </x:row>
    <x:row r="1498" ht="16" customHeight="1">
      <x:c r="A1498" s="56" t="str">
        <x:v>TOU06.018</x:v>
      </x:c>
      <x:c r="B1498" s="57" t="str">
        <x:v>Eliminar recursos anidados de tours</x:v>
      </x:c>
      <x:c r="C1498" s="62" t="str">
        <x:v>E</x:v>
      </x:c>
      <x:c r="D1498" s="64" t="n">
        <x:f>'Detalle'!I729</x:f>
        <x:v>1</x:v>
      </x:c>
      <x:c r="E1498" s="60" t="str">
        <x:f>'Detalle'!F729</x:f>
        <x:v>Completado</x:v>
      </x:c>
      <x:c r="F1498" s="32" t="str">
        <x:f>IF(AND(F$8&lt;='Detalle'!$H729,F$9&gt;='Detalle'!$G729),1,"")</x:f>
      </x:c>
      <x:c r="G1498" s="32" t="str">
        <x:f>IF(AND(G$8&lt;='Detalle'!$H729,G$9&gt;='Detalle'!$G729),1,"")</x:f>
      </x:c>
      <x:c r="H1498" s="32" t="str">
        <x:f>IF(AND(H$8&lt;='Detalle'!$H729,H$9&gt;='Detalle'!$G729),1,"")</x:f>
      </x:c>
      <x:c r="I1498" s="32" t="str">
        <x:f>IF(AND(I$8&lt;='Detalle'!$H729,I$9&gt;='Detalle'!$G729),1,"")</x:f>
      </x:c>
      <x:c r="J1498" s="32" t="n">
        <x:f>IF(AND(J$8&lt;='Detalle'!$H729,J$9&gt;='Detalle'!$G729),1,"")</x:f>
        <x:v>1</x:v>
      </x:c>
      <x:c r="K1498" s="32" t="str">
        <x:f>IF(AND(K$8&lt;='Detalle'!$H729,K$9&gt;='Detalle'!$G729),1,"")</x:f>
      </x:c>
      <x:c r="L1498" s="32" t="str">
        <x:f>IF(AND(L$8&lt;='Detalle'!$H729,L$9&gt;='Detalle'!$G729),1,"")</x:f>
      </x:c>
      <x:c r="M1498" s="32" t="str">
        <x:f>IF(AND(M$8&lt;='Detalle'!$H729,M$9&gt;='Detalle'!$G729),1,"")</x:f>
      </x:c>
      <x:c r="N1498" s="32" t="str">
        <x:f>IF(AND(N$8&lt;='Detalle'!$H729,N$9&gt;='Detalle'!$G729),1,"")</x:f>
      </x:c>
      <x:c r="O1498" s="32" t="str">
        <x:f>IF(AND(O$8&lt;='Detalle'!$H729,O$9&gt;='Detalle'!$G729),1,"")</x:f>
      </x:c>
      <x:c r="P1498" s="32" t="str">
        <x:f>IF(AND(P$8&lt;='Detalle'!$H729,P$9&gt;='Detalle'!$G729),1,"")</x:f>
      </x:c>
      <x:c r="Q1498" s="68"/>
      <x:c r="R1498" s="67" t="str">
        <x:f>IF('Detalle'!M729="","",'Detalle'!M729)</x:f>
      </x:c>
      <x:c r="S1498" s="67" t="str">
        <x:f>IF('Detalle'!N729="","",'Detalle'!N729)</x:f>
      </x:c>
    </x:row>
    <x:row r="1499" ht="16" customHeight="1">
      <x:c r="A1499" s="56" t="str">
        <x:v>TOU06.018</x:v>
      </x:c>
      <x:c r="B1499" s="57" t="str">
        <x:v>Eliminar recursos anidados de tours</x:v>
      </x:c>
      <x:c r="C1499" s="63" t="str">
        <x:v>R</x:v>
      </x:c>
      <x:c r="D1499" s="65" t="str">
        <x:f>IF('Detalle'!L729="","",'Detalle'!L729)</x:f>
      </x:c>
      <x:c r="E1499" s="60" t="str"/>
      <x:c r="F1499" s="32" t="str">
        <x:f>IF(OR('Detalle'!$J729="",'Detalle'!$K729="",'Detalle'!$L729=""),"",IF(AND(F$8&lt;='Detalle'!$K729,F$9&gt;='Detalle'!$J729),1,""))</x:f>
      </x:c>
      <x:c r="G1499" s="32" t="str">
        <x:f>IF(OR('Detalle'!$J729="",'Detalle'!$K729="",'Detalle'!$L729=""),"",IF(AND(G$8&lt;='Detalle'!$K729,G$9&gt;='Detalle'!$J729),1,""))</x:f>
      </x:c>
      <x:c r="H1499" s="32" t="str">
        <x:f>IF(OR('Detalle'!$J729="",'Detalle'!$K729="",'Detalle'!$L729=""),"",IF(AND(H$8&lt;='Detalle'!$K729,H$9&gt;='Detalle'!$J729),1,""))</x:f>
      </x:c>
      <x:c r="I1499" s="32" t="str">
        <x:f>IF(OR('Detalle'!$J729="",'Detalle'!$K729="",'Detalle'!$L729=""),"",IF(AND(I$8&lt;='Detalle'!$K729,I$9&gt;='Detalle'!$J729),1,""))</x:f>
      </x:c>
      <x:c r="J1499" s="32" t="str">
        <x:f>IF(OR('Detalle'!$J729="",'Detalle'!$K729="",'Detalle'!$L729=""),"",IF(AND(J$8&lt;='Detalle'!$K729,J$9&gt;='Detalle'!$J729),1,""))</x:f>
      </x:c>
      <x:c r="K1499" s="32" t="str">
        <x:f>IF(OR('Detalle'!$J729="",'Detalle'!$K729="",'Detalle'!$L729=""),"",IF(AND(K$8&lt;='Detalle'!$K729,K$9&gt;='Detalle'!$J729),1,""))</x:f>
      </x:c>
      <x:c r="L1499" s="32" t="str">
        <x:f>IF(OR('Detalle'!$J729="",'Detalle'!$K729="",'Detalle'!$L729=""),"",IF(AND(L$8&lt;='Detalle'!$K729,L$9&gt;='Detalle'!$J729),1,""))</x:f>
      </x:c>
      <x:c r="M1499" s="32" t="str">
        <x:f>IF(OR('Detalle'!$J729="",'Detalle'!$K729="",'Detalle'!$L729=""),"",IF(AND(M$8&lt;='Detalle'!$K729,M$9&gt;='Detalle'!$J729),1,""))</x:f>
      </x:c>
      <x:c r="N1499" s="32" t="str">
        <x:f>IF(OR('Detalle'!$J729="",'Detalle'!$K729="",'Detalle'!$L729=""),"",IF(AND(N$8&lt;='Detalle'!$K729,N$9&gt;='Detalle'!$J729),1,""))</x:f>
      </x:c>
      <x:c r="O1499" s="32" t="str">
        <x:f>IF(OR('Detalle'!$J729="",'Detalle'!$K729="",'Detalle'!$L729=""),"",IF(AND(O$8&lt;='Detalle'!$K729,O$9&gt;='Detalle'!$J729),1,""))</x:f>
      </x:c>
      <x:c r="P1499" s="32" t="str">
        <x:f>IF(OR('Detalle'!$J729="",'Detalle'!$K729="",'Detalle'!$L729=""),"",IF(AND(P$8&lt;='Detalle'!$K729,P$9&gt;='Detalle'!$J729),1,""))</x:f>
      </x:c>
      <x:c r="Q1499" s="68"/>
      <x:c r="R1499" s="67" t="str"/>
      <x:c r="S1499" s="67" t="str"/>
    </x:row>
    <x:row r="1500" ht="16" customHeight="1">
      <x:c r="A1500" s="56" t="str">
        <x:v>TOU06.019</x:v>
      </x:c>
      <x:c r="B1500" s="57" t="str">
        <x:v>Renovar lease de limpieza</x:v>
      </x:c>
      <x:c r="C1500" s="62" t="str">
        <x:v>E</x:v>
      </x:c>
      <x:c r="D1500" s="64" t="n">
        <x:f>'Detalle'!I730</x:f>
        <x:v>1</x:v>
      </x:c>
      <x:c r="E1500" s="60" t="str">
        <x:f>'Detalle'!F730</x:f>
        <x:v>Completado</x:v>
      </x:c>
      <x:c r="F1500" s="32" t="str">
        <x:f>IF(AND(F$8&lt;='Detalle'!$H730,F$9&gt;='Detalle'!$G730),1,"")</x:f>
      </x:c>
      <x:c r="G1500" s="32" t="str">
        <x:f>IF(AND(G$8&lt;='Detalle'!$H730,G$9&gt;='Detalle'!$G730),1,"")</x:f>
      </x:c>
      <x:c r="H1500" s="32" t="str">
        <x:f>IF(AND(H$8&lt;='Detalle'!$H730,H$9&gt;='Detalle'!$G730),1,"")</x:f>
      </x:c>
      <x:c r="I1500" s="32" t="str">
        <x:f>IF(AND(I$8&lt;='Detalle'!$H730,I$9&gt;='Detalle'!$G730),1,"")</x:f>
      </x:c>
      <x:c r="J1500" s="32" t="n">
        <x:f>IF(AND(J$8&lt;='Detalle'!$H730,J$9&gt;='Detalle'!$G730),1,"")</x:f>
        <x:v>1</x:v>
      </x:c>
      <x:c r="K1500" s="32" t="str">
        <x:f>IF(AND(K$8&lt;='Detalle'!$H730,K$9&gt;='Detalle'!$G730),1,"")</x:f>
      </x:c>
      <x:c r="L1500" s="32" t="str">
        <x:f>IF(AND(L$8&lt;='Detalle'!$H730,L$9&gt;='Detalle'!$G730),1,"")</x:f>
      </x:c>
      <x:c r="M1500" s="32" t="str">
        <x:f>IF(AND(M$8&lt;='Detalle'!$H730,M$9&gt;='Detalle'!$G730),1,"")</x:f>
      </x:c>
      <x:c r="N1500" s="32" t="str">
        <x:f>IF(AND(N$8&lt;='Detalle'!$H730,N$9&gt;='Detalle'!$G730),1,"")</x:f>
      </x:c>
      <x:c r="O1500" s="32" t="str">
        <x:f>IF(AND(O$8&lt;='Detalle'!$H730,O$9&gt;='Detalle'!$G730),1,"")</x:f>
      </x:c>
      <x:c r="P1500" s="32" t="str">
        <x:f>IF(AND(P$8&lt;='Detalle'!$H730,P$9&gt;='Detalle'!$G730),1,"")</x:f>
      </x:c>
      <x:c r="Q1500" s="68"/>
      <x:c r="R1500" s="67" t="str">
        <x:f>IF('Detalle'!M730="","",'Detalle'!M730)</x:f>
      </x:c>
      <x:c r="S1500" s="67" t="str">
        <x:f>IF('Detalle'!N730="","",'Detalle'!N730)</x:f>
      </x:c>
    </x:row>
    <x:row r="1501" ht="16" customHeight="1">
      <x:c r="A1501" s="56" t="str">
        <x:v>TOU06.019</x:v>
      </x:c>
      <x:c r="B1501" s="57" t="str">
        <x:v>Renovar lease de limpieza</x:v>
      </x:c>
      <x:c r="C1501" s="63" t="str">
        <x:v>R</x:v>
      </x:c>
      <x:c r="D1501" s="65" t="str">
        <x:f>IF('Detalle'!L730="","",'Detalle'!L730)</x:f>
      </x:c>
      <x:c r="E1501" s="60" t="str"/>
      <x:c r="F1501" s="32" t="str">
        <x:f>IF(OR('Detalle'!$J730="",'Detalle'!$K730="",'Detalle'!$L730=""),"",IF(AND(F$8&lt;='Detalle'!$K730,F$9&gt;='Detalle'!$J730),1,""))</x:f>
      </x:c>
      <x:c r="G1501" s="32" t="str">
        <x:f>IF(OR('Detalle'!$J730="",'Detalle'!$K730="",'Detalle'!$L730=""),"",IF(AND(G$8&lt;='Detalle'!$K730,G$9&gt;='Detalle'!$J730),1,""))</x:f>
      </x:c>
      <x:c r="H1501" s="32" t="str">
        <x:f>IF(OR('Detalle'!$J730="",'Detalle'!$K730="",'Detalle'!$L730=""),"",IF(AND(H$8&lt;='Detalle'!$K730,H$9&gt;='Detalle'!$J730),1,""))</x:f>
      </x:c>
      <x:c r="I1501" s="32" t="str">
        <x:f>IF(OR('Detalle'!$J730="",'Detalle'!$K730="",'Detalle'!$L730=""),"",IF(AND(I$8&lt;='Detalle'!$K730,I$9&gt;='Detalle'!$J730),1,""))</x:f>
      </x:c>
      <x:c r="J1501" s="32" t="str">
        <x:f>IF(OR('Detalle'!$J730="",'Detalle'!$K730="",'Detalle'!$L730=""),"",IF(AND(J$8&lt;='Detalle'!$K730,J$9&gt;='Detalle'!$J730),1,""))</x:f>
      </x:c>
      <x:c r="K1501" s="32" t="str">
        <x:f>IF(OR('Detalle'!$J730="",'Detalle'!$K730="",'Detalle'!$L730=""),"",IF(AND(K$8&lt;='Detalle'!$K730,K$9&gt;='Detalle'!$J730),1,""))</x:f>
      </x:c>
      <x:c r="L1501" s="32" t="str">
        <x:f>IF(OR('Detalle'!$J730="",'Detalle'!$K730="",'Detalle'!$L730=""),"",IF(AND(L$8&lt;='Detalle'!$K730,L$9&gt;='Detalle'!$J730),1,""))</x:f>
      </x:c>
      <x:c r="M1501" s="32" t="str">
        <x:f>IF(OR('Detalle'!$J730="",'Detalle'!$K730="",'Detalle'!$L730=""),"",IF(AND(M$8&lt;='Detalle'!$K730,M$9&gt;='Detalle'!$J730),1,""))</x:f>
      </x:c>
      <x:c r="N1501" s="32" t="str">
        <x:f>IF(OR('Detalle'!$J730="",'Detalle'!$K730="",'Detalle'!$L730=""),"",IF(AND(N$8&lt;='Detalle'!$K730,N$9&gt;='Detalle'!$J730),1,""))</x:f>
      </x:c>
      <x:c r="O1501" s="32" t="str">
        <x:f>IF(OR('Detalle'!$J730="",'Detalle'!$K730="",'Detalle'!$L730=""),"",IF(AND(O$8&lt;='Detalle'!$K730,O$9&gt;='Detalle'!$J730),1,""))</x:f>
      </x:c>
      <x:c r="P1501" s="32" t="str">
        <x:f>IF(OR('Detalle'!$J730="",'Detalle'!$K730="",'Detalle'!$L730=""),"",IF(AND(P$8&lt;='Detalle'!$K730,P$9&gt;='Detalle'!$J730),1,""))</x:f>
      </x:c>
      <x:c r="Q1501" s="68"/>
      <x:c r="R1501" s="67" t="str"/>
      <x:c r="S1501" s="67" t="str"/>
    </x:row>
    <x:row r="1502" ht="16" customHeight="1">
      <x:c r="A1502" s="56" t="str">
        <x:v>TOU06.020</x:v>
      </x:c>
      <x:c r="B1502" s="57" t="str">
        <x:v>Desplegar correctivo de cleanup lease</x:v>
      </x:c>
      <x:c r="C1502" s="62" t="str">
        <x:v>E</x:v>
      </x:c>
      <x:c r="D1502" s="64" t="n">
        <x:f>'Detalle'!I731</x:f>
        <x:v>1</x:v>
      </x:c>
      <x:c r="E1502" s="60" t="str">
        <x:f>'Detalle'!F731</x:f>
        <x:v>Completado</x:v>
      </x:c>
      <x:c r="F1502" s="32" t="str">
        <x:f>IF(AND(F$8&lt;='Detalle'!$H731,F$9&gt;='Detalle'!$G731),1,"")</x:f>
      </x:c>
      <x:c r="G1502" s="32" t="str">
        <x:f>IF(AND(G$8&lt;='Detalle'!$H731,G$9&gt;='Detalle'!$G731),1,"")</x:f>
      </x:c>
      <x:c r="H1502" s="32" t="str">
        <x:f>IF(AND(H$8&lt;='Detalle'!$H731,H$9&gt;='Detalle'!$G731),1,"")</x:f>
      </x:c>
      <x:c r="I1502" s="32" t="str">
        <x:f>IF(AND(I$8&lt;='Detalle'!$H731,I$9&gt;='Detalle'!$G731),1,"")</x:f>
      </x:c>
      <x:c r="J1502" s="32" t="n">
        <x:f>IF(AND(J$8&lt;='Detalle'!$H731,J$9&gt;='Detalle'!$G731),1,"")</x:f>
        <x:v>1</x:v>
      </x:c>
      <x:c r="K1502" s="32" t="str">
        <x:f>IF(AND(K$8&lt;='Detalle'!$H731,K$9&gt;='Detalle'!$G731),1,"")</x:f>
      </x:c>
      <x:c r="L1502" s="32" t="str">
        <x:f>IF(AND(L$8&lt;='Detalle'!$H731,L$9&gt;='Detalle'!$G731),1,"")</x:f>
      </x:c>
      <x:c r="M1502" s="32" t="str">
        <x:f>IF(AND(M$8&lt;='Detalle'!$H731,M$9&gt;='Detalle'!$G731),1,"")</x:f>
      </x:c>
      <x:c r="N1502" s="32" t="str">
        <x:f>IF(AND(N$8&lt;='Detalle'!$H731,N$9&gt;='Detalle'!$G731),1,"")</x:f>
      </x:c>
      <x:c r="O1502" s="32" t="str">
        <x:f>IF(AND(O$8&lt;='Detalle'!$H731,O$9&gt;='Detalle'!$G731),1,"")</x:f>
      </x:c>
      <x:c r="P1502" s="32" t="str">
        <x:f>IF(AND(P$8&lt;='Detalle'!$H731,P$9&gt;='Detalle'!$G731),1,"")</x:f>
      </x:c>
      <x:c r="Q1502" s="68"/>
      <x:c r="R1502" s="67" t="str">
        <x:f>IF('Detalle'!M731="","",'Detalle'!M731)</x:f>
      </x:c>
      <x:c r="S1502" s="67" t="str">
        <x:f>IF('Detalle'!N731="","",'Detalle'!N731)</x:f>
      </x:c>
    </x:row>
    <x:row r="1503" ht="16" customHeight="1">
      <x:c r="A1503" s="56" t="str">
        <x:v>TOU06.020</x:v>
      </x:c>
      <x:c r="B1503" s="57" t="str">
        <x:v>Desplegar correctivo de cleanup lease</x:v>
      </x:c>
      <x:c r="C1503" s="63" t="str">
        <x:v>R</x:v>
      </x:c>
      <x:c r="D1503" s="65" t="str">
        <x:f>IF('Detalle'!L731="","",'Detalle'!L731)</x:f>
      </x:c>
      <x:c r="E1503" s="60" t="str"/>
      <x:c r="F1503" s="32" t="str">
        <x:f>IF(OR('Detalle'!$J731="",'Detalle'!$K731="",'Detalle'!$L731=""),"",IF(AND(F$8&lt;='Detalle'!$K731,F$9&gt;='Detalle'!$J731),1,""))</x:f>
      </x:c>
      <x:c r="G1503" s="32" t="str">
        <x:f>IF(OR('Detalle'!$J731="",'Detalle'!$K731="",'Detalle'!$L731=""),"",IF(AND(G$8&lt;='Detalle'!$K731,G$9&gt;='Detalle'!$J731),1,""))</x:f>
      </x:c>
      <x:c r="H1503" s="32" t="str">
        <x:f>IF(OR('Detalle'!$J731="",'Detalle'!$K731="",'Detalle'!$L731=""),"",IF(AND(H$8&lt;='Detalle'!$K731,H$9&gt;='Detalle'!$J731),1,""))</x:f>
      </x:c>
      <x:c r="I1503" s="32" t="str">
        <x:f>IF(OR('Detalle'!$J731="",'Detalle'!$K731="",'Detalle'!$L731=""),"",IF(AND(I$8&lt;='Detalle'!$K731,I$9&gt;='Detalle'!$J731),1,""))</x:f>
      </x:c>
      <x:c r="J1503" s="32" t="str">
        <x:f>IF(OR('Detalle'!$J731="",'Detalle'!$K731="",'Detalle'!$L731=""),"",IF(AND(J$8&lt;='Detalle'!$K731,J$9&gt;='Detalle'!$J731),1,""))</x:f>
      </x:c>
      <x:c r="K1503" s="32" t="str">
        <x:f>IF(OR('Detalle'!$J731="",'Detalle'!$K731="",'Detalle'!$L731=""),"",IF(AND(K$8&lt;='Detalle'!$K731,K$9&gt;='Detalle'!$J731),1,""))</x:f>
      </x:c>
      <x:c r="L1503" s="32" t="str">
        <x:f>IF(OR('Detalle'!$J731="",'Detalle'!$K731="",'Detalle'!$L731=""),"",IF(AND(L$8&lt;='Detalle'!$K731,L$9&gt;='Detalle'!$J731),1,""))</x:f>
      </x:c>
      <x:c r="M1503" s="32" t="str">
        <x:f>IF(OR('Detalle'!$J731="",'Detalle'!$K731="",'Detalle'!$L731=""),"",IF(AND(M$8&lt;='Detalle'!$K731,M$9&gt;='Detalle'!$J731),1,""))</x:f>
      </x:c>
      <x:c r="N1503" s="32" t="str">
        <x:f>IF(OR('Detalle'!$J731="",'Detalle'!$K731="",'Detalle'!$L731=""),"",IF(AND(N$8&lt;='Detalle'!$K731,N$9&gt;='Detalle'!$J731),1,""))</x:f>
      </x:c>
      <x:c r="O1503" s="32" t="str">
        <x:f>IF(OR('Detalle'!$J731="",'Detalle'!$K731="",'Detalle'!$L731=""),"",IF(AND(O$8&lt;='Detalle'!$K731,O$9&gt;='Detalle'!$J731),1,""))</x:f>
      </x:c>
      <x:c r="P1503" s="32" t="str">
        <x:f>IF(OR('Detalle'!$J731="",'Detalle'!$K731="",'Detalle'!$L731=""),"",IF(AND(P$8&lt;='Detalle'!$K731,P$9&gt;='Detalle'!$J731),1,""))</x:f>
      </x:c>
      <x:c r="Q1503" s="68"/>
      <x:c r="R1503" s="67" t="str"/>
      <x:c r="S1503" s="67" t="str"/>
    </x:row>
    <x:row r="1504" ht="20" customHeight="1">
      <x:c r="A1504" s="52" t="str">
        <x:v>TOU07 · Procesador Hugin y Enblend</x:v>
      </x:c>
      <x:c r="B1504" s="52" t="str">
        <x:v>TOU07 · Procesador Hugin y Enblend</x:v>
      </x:c>
      <x:c r="C1504" s="52" t="str">
        <x:v>TOU07 · Procesador Hugin y Enblend</x:v>
      </x:c>
      <x:c r="D1504" s="52" t="str">
        <x:v>TOU07 · Procesador Hugin y Enblend</x:v>
      </x:c>
      <x:c r="E1504" s="52" t="str">
        <x:v>TOU07 · Procesador Hugin y Enblend</x:v>
      </x:c>
      <x:c r="F1504" s="53" t="str">
        <x:v>TOU07 · Procesador Hugin y Enblend</x:v>
      </x:c>
      <x:c r="G1504" s="53" t="str">
        <x:v>TOU07 · Procesador Hugin y Enblend</x:v>
      </x:c>
      <x:c r="H1504" s="53" t="str">
        <x:v>TOU07 · Procesador Hugin y Enblend</x:v>
      </x:c>
      <x:c r="I1504" s="53" t="str">
        <x:v>TOU07 · Procesador Hugin y Enblend</x:v>
      </x:c>
      <x:c r="J1504" s="53" t="str">
        <x:v>TOU07 · Procesador Hugin y Enblend</x:v>
      </x:c>
      <x:c r="K1504" s="53" t="str">
        <x:v>TOU07 · Procesador Hugin y Enblend</x:v>
      </x:c>
      <x:c r="L1504" s="53" t="str">
        <x:v>TOU07 · Procesador Hugin y Enblend</x:v>
      </x:c>
      <x:c r="M1504" s="53" t="str">
        <x:v>TOU07 · Procesador Hugin y Enblend</x:v>
      </x:c>
      <x:c r="N1504" s="53" t="str">
        <x:v>TOU07 · Procesador Hugin y Enblend</x:v>
      </x:c>
      <x:c r="O1504" s="53" t="str">
        <x:v>TOU07 · Procesador Hugin y Enblend</x:v>
      </x:c>
      <x:c r="P1504" s="53" t="str">
        <x:v>TOU07 · Procesador Hugin y Enblend</x:v>
      </x:c>
      <x:c r="Q1504" s="52" t="str">
        <x:v>TOU07 · Procesador Hugin y Enblend</x:v>
      </x:c>
      <x:c r="R1504" s="52" t="str">
        <x:v>TOU07 · Procesador Hugin y Enblend</x:v>
      </x:c>
      <x:c r="S1504" s="52" t="str">
        <x:v>TOU07 · Procesador Hugin y Enblend</x:v>
      </x:c>
    </x:row>
    <x:row r="1505" ht="16" customHeight="1">
      <x:c r="A1505" s="56" t="str">
        <x:v>TOU07.001</x:v>
      </x:c>
      <x:c r="B1505" s="57" t="str">
        <x:v>Crear contenedor de procesamiento</x:v>
      </x:c>
      <x:c r="C1505" s="62" t="str">
        <x:v>E</x:v>
      </x:c>
      <x:c r="D1505" s="64" t="n">
        <x:f>'Detalle'!I732</x:f>
        <x:v>1</x:v>
      </x:c>
      <x:c r="E1505" s="60" t="str">
        <x:f>'Detalle'!F732</x:f>
        <x:v>Completado</x:v>
      </x:c>
      <x:c r="F1505" s="32" t="str">
        <x:f>IF(AND(F$8&lt;='Detalle'!$H732,F$9&gt;='Detalle'!$G732),1,"")</x:f>
      </x:c>
      <x:c r="G1505" s="32" t="str">
        <x:f>IF(AND(G$8&lt;='Detalle'!$H732,G$9&gt;='Detalle'!$G732),1,"")</x:f>
      </x:c>
      <x:c r="H1505" s="32" t="str">
        <x:f>IF(AND(H$8&lt;='Detalle'!$H732,H$9&gt;='Detalle'!$G732),1,"")</x:f>
      </x:c>
      <x:c r="I1505" s="32" t="str">
        <x:f>IF(AND(I$8&lt;='Detalle'!$H732,I$9&gt;='Detalle'!$G732),1,"")</x:f>
      </x:c>
      <x:c r="J1505" s="32" t="n">
        <x:f>IF(AND(J$8&lt;='Detalle'!$H732,J$9&gt;='Detalle'!$G732),1,"")</x:f>
        <x:v>1</x:v>
      </x:c>
      <x:c r="K1505" s="32" t="str">
        <x:f>IF(AND(K$8&lt;='Detalle'!$H732,K$9&gt;='Detalle'!$G732),1,"")</x:f>
      </x:c>
      <x:c r="L1505" s="32" t="str">
        <x:f>IF(AND(L$8&lt;='Detalle'!$H732,L$9&gt;='Detalle'!$G732),1,"")</x:f>
      </x:c>
      <x:c r="M1505" s="32" t="str">
        <x:f>IF(AND(M$8&lt;='Detalle'!$H732,M$9&gt;='Detalle'!$G732),1,"")</x:f>
      </x:c>
      <x:c r="N1505" s="32" t="str">
        <x:f>IF(AND(N$8&lt;='Detalle'!$H732,N$9&gt;='Detalle'!$G732),1,"")</x:f>
      </x:c>
      <x:c r="O1505" s="32" t="str">
        <x:f>IF(AND(O$8&lt;='Detalle'!$H732,O$9&gt;='Detalle'!$G732),1,"")</x:f>
      </x:c>
      <x:c r="P1505" s="32" t="str">
        <x:f>IF(AND(P$8&lt;='Detalle'!$H732,P$9&gt;='Detalle'!$G732),1,"")</x:f>
      </x:c>
      <x:c r="Q1505" s="68"/>
      <x:c r="R1505" s="67" t="str">
        <x:f>IF('Detalle'!M732="","",'Detalle'!M732)</x:f>
      </x:c>
      <x:c r="S1505" s="67" t="str">
        <x:f>IF('Detalle'!N732="","",'Detalle'!N732)</x:f>
      </x:c>
    </x:row>
    <x:row r="1506" ht="16" customHeight="1">
      <x:c r="A1506" s="56" t="str">
        <x:v>TOU07.001</x:v>
      </x:c>
      <x:c r="B1506" s="57" t="str">
        <x:v>Crear contenedor de procesamiento</x:v>
      </x:c>
      <x:c r="C1506" s="63" t="str">
        <x:v>R</x:v>
      </x:c>
      <x:c r="D1506" s="65" t="str">
        <x:f>IF('Detalle'!L732="","",'Detalle'!L732)</x:f>
      </x:c>
      <x:c r="E1506" s="60" t="str"/>
      <x:c r="F1506" s="32" t="str">
        <x:f>IF(OR('Detalle'!$J732="",'Detalle'!$K732="",'Detalle'!$L732=""),"",IF(AND(F$8&lt;='Detalle'!$K732,F$9&gt;='Detalle'!$J732),1,""))</x:f>
      </x:c>
      <x:c r="G1506" s="32" t="str">
        <x:f>IF(OR('Detalle'!$J732="",'Detalle'!$K732="",'Detalle'!$L732=""),"",IF(AND(G$8&lt;='Detalle'!$K732,G$9&gt;='Detalle'!$J732),1,""))</x:f>
      </x:c>
      <x:c r="H1506" s="32" t="str">
        <x:f>IF(OR('Detalle'!$J732="",'Detalle'!$K732="",'Detalle'!$L732=""),"",IF(AND(H$8&lt;='Detalle'!$K732,H$9&gt;='Detalle'!$J732),1,""))</x:f>
      </x:c>
      <x:c r="I1506" s="32" t="str">
        <x:f>IF(OR('Detalle'!$J732="",'Detalle'!$K732="",'Detalle'!$L732=""),"",IF(AND(I$8&lt;='Detalle'!$K732,I$9&gt;='Detalle'!$J732),1,""))</x:f>
      </x:c>
      <x:c r="J1506" s="32" t="str">
        <x:f>IF(OR('Detalle'!$J732="",'Detalle'!$K732="",'Detalle'!$L732=""),"",IF(AND(J$8&lt;='Detalle'!$K732,J$9&gt;='Detalle'!$J732),1,""))</x:f>
      </x:c>
      <x:c r="K1506" s="32" t="str">
        <x:f>IF(OR('Detalle'!$J732="",'Detalle'!$K732="",'Detalle'!$L732=""),"",IF(AND(K$8&lt;='Detalle'!$K732,K$9&gt;='Detalle'!$J732),1,""))</x:f>
      </x:c>
      <x:c r="L1506" s="32" t="str">
        <x:f>IF(OR('Detalle'!$J732="",'Detalle'!$K732="",'Detalle'!$L732=""),"",IF(AND(L$8&lt;='Detalle'!$K732,L$9&gt;='Detalle'!$J732),1,""))</x:f>
      </x:c>
      <x:c r="M1506" s="32" t="str">
        <x:f>IF(OR('Detalle'!$J732="",'Detalle'!$K732="",'Detalle'!$L732=""),"",IF(AND(M$8&lt;='Detalle'!$K732,M$9&gt;='Detalle'!$J732),1,""))</x:f>
      </x:c>
      <x:c r="N1506" s="32" t="str">
        <x:f>IF(OR('Detalle'!$J732="",'Detalle'!$K732="",'Detalle'!$L732=""),"",IF(AND(N$8&lt;='Detalle'!$K732,N$9&gt;='Detalle'!$J732),1,""))</x:f>
      </x:c>
      <x:c r="O1506" s="32" t="str">
        <x:f>IF(OR('Detalle'!$J732="",'Detalle'!$K732="",'Detalle'!$L732=""),"",IF(AND(O$8&lt;='Detalle'!$K732,O$9&gt;='Detalle'!$J732),1,""))</x:f>
      </x:c>
      <x:c r="P1506" s="32" t="str">
        <x:f>IF(OR('Detalle'!$J732="",'Detalle'!$K732="",'Detalle'!$L732=""),"",IF(AND(P$8&lt;='Detalle'!$K732,P$9&gt;='Detalle'!$J732),1,""))</x:f>
      </x:c>
      <x:c r="Q1506" s="68"/>
      <x:c r="R1506" s="67" t="str"/>
      <x:c r="S1506" s="67" t="str"/>
    </x:row>
    <x:row r="1507" ht="16" customHeight="1">
      <x:c r="A1507" s="56" t="str">
        <x:v>TOU07.002</x:v>
      </x:c>
      <x:c r="B1507" s="57" t="str">
        <x:v>Descargar originales de captura autorizada</x:v>
      </x:c>
      <x:c r="C1507" s="62" t="str">
        <x:v>E</x:v>
      </x:c>
      <x:c r="D1507" s="64" t="n">
        <x:f>'Detalle'!I733</x:f>
        <x:v>1</x:v>
      </x:c>
      <x:c r="E1507" s="60" t="str">
        <x:f>'Detalle'!F733</x:f>
        <x:v>Completado</x:v>
      </x:c>
      <x:c r="F1507" s="32" t="str">
        <x:f>IF(AND(F$8&lt;='Detalle'!$H733,F$9&gt;='Detalle'!$G733),1,"")</x:f>
      </x:c>
      <x:c r="G1507" s="32" t="str">
        <x:f>IF(AND(G$8&lt;='Detalle'!$H733,G$9&gt;='Detalle'!$G733),1,"")</x:f>
      </x:c>
      <x:c r="H1507" s="32" t="str">
        <x:f>IF(AND(H$8&lt;='Detalle'!$H733,H$9&gt;='Detalle'!$G733),1,"")</x:f>
      </x:c>
      <x:c r="I1507" s="32" t="str">
        <x:f>IF(AND(I$8&lt;='Detalle'!$H733,I$9&gt;='Detalle'!$G733),1,"")</x:f>
      </x:c>
      <x:c r="J1507" s="32" t="n">
        <x:f>IF(AND(J$8&lt;='Detalle'!$H733,J$9&gt;='Detalle'!$G733),1,"")</x:f>
        <x:v>1</x:v>
      </x:c>
      <x:c r="K1507" s="32" t="str">
        <x:f>IF(AND(K$8&lt;='Detalle'!$H733,K$9&gt;='Detalle'!$G733),1,"")</x:f>
      </x:c>
      <x:c r="L1507" s="32" t="str">
        <x:f>IF(AND(L$8&lt;='Detalle'!$H733,L$9&gt;='Detalle'!$G733),1,"")</x:f>
      </x:c>
      <x:c r="M1507" s="32" t="str">
        <x:f>IF(AND(M$8&lt;='Detalle'!$H733,M$9&gt;='Detalle'!$G733),1,"")</x:f>
      </x:c>
      <x:c r="N1507" s="32" t="str">
        <x:f>IF(AND(N$8&lt;='Detalle'!$H733,N$9&gt;='Detalle'!$G733),1,"")</x:f>
      </x:c>
      <x:c r="O1507" s="32" t="str">
        <x:f>IF(AND(O$8&lt;='Detalle'!$H733,O$9&gt;='Detalle'!$G733),1,"")</x:f>
      </x:c>
      <x:c r="P1507" s="32" t="str">
        <x:f>IF(AND(P$8&lt;='Detalle'!$H733,P$9&gt;='Detalle'!$G733),1,"")</x:f>
      </x:c>
      <x:c r="Q1507" s="68"/>
      <x:c r="R1507" s="67" t="str">
        <x:f>IF('Detalle'!M733="","",'Detalle'!M733)</x:f>
      </x:c>
      <x:c r="S1507" s="67" t="str">
        <x:f>IF('Detalle'!N733="","",'Detalle'!N733)</x:f>
      </x:c>
    </x:row>
    <x:row r="1508" ht="16" customHeight="1">
      <x:c r="A1508" s="56" t="str">
        <x:v>TOU07.002</x:v>
      </x:c>
      <x:c r="B1508" s="57" t="str">
        <x:v>Descargar originales de captura autorizada</x:v>
      </x:c>
      <x:c r="C1508" s="63" t="str">
        <x:v>R</x:v>
      </x:c>
      <x:c r="D1508" s="65" t="str">
        <x:f>IF('Detalle'!L733="","",'Detalle'!L733)</x:f>
      </x:c>
      <x:c r="E1508" s="60" t="str"/>
      <x:c r="F1508" s="32" t="str">
        <x:f>IF(OR('Detalle'!$J733="",'Detalle'!$K733="",'Detalle'!$L733=""),"",IF(AND(F$8&lt;='Detalle'!$K733,F$9&gt;='Detalle'!$J733),1,""))</x:f>
      </x:c>
      <x:c r="G1508" s="32" t="str">
        <x:f>IF(OR('Detalle'!$J733="",'Detalle'!$K733="",'Detalle'!$L733=""),"",IF(AND(G$8&lt;='Detalle'!$K733,G$9&gt;='Detalle'!$J733),1,""))</x:f>
      </x:c>
      <x:c r="H1508" s="32" t="str">
        <x:f>IF(OR('Detalle'!$J733="",'Detalle'!$K733="",'Detalle'!$L733=""),"",IF(AND(H$8&lt;='Detalle'!$K733,H$9&gt;='Detalle'!$J733),1,""))</x:f>
      </x:c>
      <x:c r="I1508" s="32" t="str">
        <x:f>IF(OR('Detalle'!$J733="",'Detalle'!$K733="",'Detalle'!$L733=""),"",IF(AND(I$8&lt;='Detalle'!$K733,I$9&gt;='Detalle'!$J733),1,""))</x:f>
      </x:c>
      <x:c r="J1508" s="32" t="str">
        <x:f>IF(OR('Detalle'!$J733="",'Detalle'!$K733="",'Detalle'!$L733=""),"",IF(AND(J$8&lt;='Detalle'!$K733,J$9&gt;='Detalle'!$J733),1,""))</x:f>
      </x:c>
      <x:c r="K1508" s="32" t="str">
        <x:f>IF(OR('Detalle'!$J733="",'Detalle'!$K733="",'Detalle'!$L733=""),"",IF(AND(K$8&lt;='Detalle'!$K733,K$9&gt;='Detalle'!$J733),1,""))</x:f>
      </x:c>
      <x:c r="L1508" s="32" t="str">
        <x:f>IF(OR('Detalle'!$J733="",'Detalle'!$K733="",'Detalle'!$L733=""),"",IF(AND(L$8&lt;='Detalle'!$K733,L$9&gt;='Detalle'!$J733),1,""))</x:f>
      </x:c>
      <x:c r="M1508" s="32" t="str">
        <x:f>IF(OR('Detalle'!$J733="",'Detalle'!$K733="",'Detalle'!$L733=""),"",IF(AND(M$8&lt;='Detalle'!$K733,M$9&gt;='Detalle'!$J733),1,""))</x:f>
      </x:c>
      <x:c r="N1508" s="32" t="str">
        <x:f>IF(OR('Detalle'!$J733="",'Detalle'!$K733="",'Detalle'!$L733=""),"",IF(AND(N$8&lt;='Detalle'!$K733,N$9&gt;='Detalle'!$J733),1,""))</x:f>
      </x:c>
      <x:c r="O1508" s="32" t="str">
        <x:f>IF(OR('Detalle'!$J733="",'Detalle'!$K733="",'Detalle'!$L733=""),"",IF(AND(O$8&lt;='Detalle'!$K733,O$9&gt;='Detalle'!$J733),1,""))</x:f>
      </x:c>
      <x:c r="P1508" s="32" t="str">
        <x:f>IF(OR('Detalle'!$J733="",'Detalle'!$K733="",'Detalle'!$L733=""),"",IF(AND(P$8&lt;='Detalle'!$K733,P$9&gt;='Detalle'!$J733),1,""))</x:f>
      </x:c>
      <x:c r="Q1508" s="68"/>
      <x:c r="R1508" s="67" t="str"/>
      <x:c r="S1508" s="67" t="str"/>
    </x:row>
    <x:row r="1509" ht="16" customHeight="1">
      <x:c r="A1509" s="56" t="str">
        <x:v>TOU07.003</x:v>
      </x:c>
      <x:c r="B1509" s="57" t="str">
        <x:v>Generar archivo PTO</x:v>
      </x:c>
      <x:c r="C1509" s="62" t="str">
        <x:v>E</x:v>
      </x:c>
      <x:c r="D1509" s="64" t="n">
        <x:f>'Detalle'!I734</x:f>
        <x:v>1</x:v>
      </x:c>
      <x:c r="E1509" s="60" t="str">
        <x:f>'Detalle'!F734</x:f>
        <x:v>Completado</x:v>
      </x:c>
      <x:c r="F1509" s="32" t="str">
        <x:f>IF(AND(F$8&lt;='Detalle'!$H734,F$9&gt;='Detalle'!$G734),1,"")</x:f>
      </x:c>
      <x:c r="G1509" s="32" t="str">
        <x:f>IF(AND(G$8&lt;='Detalle'!$H734,G$9&gt;='Detalle'!$G734),1,"")</x:f>
      </x:c>
      <x:c r="H1509" s="32" t="str">
        <x:f>IF(AND(H$8&lt;='Detalle'!$H734,H$9&gt;='Detalle'!$G734),1,"")</x:f>
      </x:c>
      <x:c r="I1509" s="32" t="str">
        <x:f>IF(AND(I$8&lt;='Detalle'!$H734,I$9&gt;='Detalle'!$G734),1,"")</x:f>
      </x:c>
      <x:c r="J1509" s="32" t="n">
        <x:f>IF(AND(J$8&lt;='Detalle'!$H734,J$9&gt;='Detalle'!$G734),1,"")</x:f>
        <x:v>1</x:v>
      </x:c>
      <x:c r="K1509" s="32" t="str">
        <x:f>IF(AND(K$8&lt;='Detalle'!$H734,K$9&gt;='Detalle'!$G734),1,"")</x:f>
      </x:c>
      <x:c r="L1509" s="32" t="str">
        <x:f>IF(AND(L$8&lt;='Detalle'!$H734,L$9&gt;='Detalle'!$G734),1,"")</x:f>
      </x:c>
      <x:c r="M1509" s="32" t="str">
        <x:f>IF(AND(M$8&lt;='Detalle'!$H734,M$9&gt;='Detalle'!$G734),1,"")</x:f>
      </x:c>
      <x:c r="N1509" s="32" t="str">
        <x:f>IF(AND(N$8&lt;='Detalle'!$H734,N$9&gt;='Detalle'!$G734),1,"")</x:f>
      </x:c>
      <x:c r="O1509" s="32" t="str">
        <x:f>IF(AND(O$8&lt;='Detalle'!$H734,O$9&gt;='Detalle'!$G734),1,"")</x:f>
      </x:c>
      <x:c r="P1509" s="32" t="str">
        <x:f>IF(AND(P$8&lt;='Detalle'!$H734,P$9&gt;='Detalle'!$G734),1,"")</x:f>
      </x:c>
      <x:c r="Q1509" s="68"/>
      <x:c r="R1509" s="67" t="str">
        <x:f>IF('Detalle'!M734="","",'Detalle'!M734)</x:f>
      </x:c>
      <x:c r="S1509" s="67" t="str">
        <x:f>IF('Detalle'!N734="","",'Detalle'!N734)</x:f>
      </x:c>
    </x:row>
    <x:row r="1510" ht="16" customHeight="1">
      <x:c r="A1510" s="56" t="str">
        <x:v>TOU07.003</x:v>
      </x:c>
      <x:c r="B1510" s="57" t="str">
        <x:v>Generar archivo PTO</x:v>
      </x:c>
      <x:c r="C1510" s="63" t="str">
        <x:v>R</x:v>
      </x:c>
      <x:c r="D1510" s="65" t="str">
        <x:f>IF('Detalle'!L734="","",'Detalle'!L734)</x:f>
      </x:c>
      <x:c r="E1510" s="60" t="str"/>
      <x:c r="F1510" s="32" t="str">
        <x:f>IF(OR('Detalle'!$J734="",'Detalle'!$K734="",'Detalle'!$L734=""),"",IF(AND(F$8&lt;='Detalle'!$K734,F$9&gt;='Detalle'!$J734),1,""))</x:f>
      </x:c>
      <x:c r="G1510" s="32" t="str">
        <x:f>IF(OR('Detalle'!$J734="",'Detalle'!$K734="",'Detalle'!$L734=""),"",IF(AND(G$8&lt;='Detalle'!$K734,G$9&gt;='Detalle'!$J734),1,""))</x:f>
      </x:c>
      <x:c r="H1510" s="32" t="str">
        <x:f>IF(OR('Detalle'!$J734="",'Detalle'!$K734="",'Detalle'!$L734=""),"",IF(AND(H$8&lt;='Detalle'!$K734,H$9&gt;='Detalle'!$J734),1,""))</x:f>
      </x:c>
      <x:c r="I1510" s="32" t="str">
        <x:f>IF(OR('Detalle'!$J734="",'Detalle'!$K734="",'Detalle'!$L734=""),"",IF(AND(I$8&lt;='Detalle'!$K734,I$9&gt;='Detalle'!$J734),1,""))</x:f>
      </x:c>
      <x:c r="J1510" s="32" t="str">
        <x:f>IF(OR('Detalle'!$J734="",'Detalle'!$K734="",'Detalle'!$L734=""),"",IF(AND(J$8&lt;='Detalle'!$K734,J$9&gt;='Detalle'!$J734),1,""))</x:f>
      </x:c>
      <x:c r="K1510" s="32" t="str">
        <x:f>IF(OR('Detalle'!$J734="",'Detalle'!$K734="",'Detalle'!$L734=""),"",IF(AND(K$8&lt;='Detalle'!$K734,K$9&gt;='Detalle'!$J734),1,""))</x:f>
      </x:c>
      <x:c r="L1510" s="32" t="str">
        <x:f>IF(OR('Detalle'!$J734="",'Detalle'!$K734="",'Detalle'!$L734=""),"",IF(AND(L$8&lt;='Detalle'!$K734,L$9&gt;='Detalle'!$J734),1,""))</x:f>
      </x:c>
      <x:c r="M1510" s="32" t="str">
        <x:f>IF(OR('Detalle'!$J734="",'Detalle'!$K734="",'Detalle'!$L734=""),"",IF(AND(M$8&lt;='Detalle'!$K734,M$9&gt;='Detalle'!$J734),1,""))</x:f>
      </x:c>
      <x:c r="N1510" s="32" t="str">
        <x:f>IF(OR('Detalle'!$J734="",'Detalle'!$K734="",'Detalle'!$L734=""),"",IF(AND(N$8&lt;='Detalle'!$K734,N$9&gt;='Detalle'!$J734),1,""))</x:f>
      </x:c>
      <x:c r="O1510" s="32" t="str">
        <x:f>IF(OR('Detalle'!$J734="",'Detalle'!$K734="",'Detalle'!$L734=""),"",IF(AND(O$8&lt;='Detalle'!$K734,O$9&gt;='Detalle'!$J734),1,""))</x:f>
      </x:c>
      <x:c r="P1510" s="32" t="str">
        <x:f>IF(OR('Detalle'!$J734="",'Detalle'!$K734="",'Detalle'!$L734=""),"",IF(AND(P$8&lt;='Detalle'!$K734,P$9&gt;='Detalle'!$J734),1,""))</x:f>
      </x:c>
      <x:c r="Q1510" s="68"/>
      <x:c r="R1510" s="67" t="str"/>
      <x:c r="S1510" s="67" t="str"/>
    </x:row>
    <x:row r="1511" ht="16" customHeight="1">
      <x:c r="A1511" s="56" t="str">
        <x:v>TOU07.004</x:v>
      </x:c>
      <x:c r="B1511" s="57" t="str">
        <x:v>Detectar puntos con cpfind</x:v>
      </x:c>
      <x:c r="C1511" s="62" t="str">
        <x:v>E</x:v>
      </x:c>
      <x:c r="D1511" s="64" t="n">
        <x:f>'Detalle'!I735</x:f>
        <x:v>1</x:v>
      </x:c>
      <x:c r="E1511" s="60" t="str">
        <x:f>'Detalle'!F735</x:f>
        <x:v>Completado</x:v>
      </x:c>
      <x:c r="F1511" s="32" t="str">
        <x:f>IF(AND(F$8&lt;='Detalle'!$H735,F$9&gt;='Detalle'!$G735),1,"")</x:f>
      </x:c>
      <x:c r="G1511" s="32" t="str">
        <x:f>IF(AND(G$8&lt;='Detalle'!$H735,G$9&gt;='Detalle'!$G735),1,"")</x:f>
      </x:c>
      <x:c r="H1511" s="32" t="str">
        <x:f>IF(AND(H$8&lt;='Detalle'!$H735,H$9&gt;='Detalle'!$G735),1,"")</x:f>
      </x:c>
      <x:c r="I1511" s="32" t="str">
        <x:f>IF(AND(I$8&lt;='Detalle'!$H735,I$9&gt;='Detalle'!$G735),1,"")</x:f>
      </x:c>
      <x:c r="J1511" s="32" t="n">
        <x:f>IF(AND(J$8&lt;='Detalle'!$H735,J$9&gt;='Detalle'!$G735),1,"")</x:f>
        <x:v>1</x:v>
      </x:c>
      <x:c r="K1511" s="32" t="str">
        <x:f>IF(AND(K$8&lt;='Detalle'!$H735,K$9&gt;='Detalle'!$G735),1,"")</x:f>
      </x:c>
      <x:c r="L1511" s="32" t="str">
        <x:f>IF(AND(L$8&lt;='Detalle'!$H735,L$9&gt;='Detalle'!$G735),1,"")</x:f>
      </x:c>
      <x:c r="M1511" s="32" t="str">
        <x:f>IF(AND(M$8&lt;='Detalle'!$H735,M$9&gt;='Detalle'!$G735),1,"")</x:f>
      </x:c>
      <x:c r="N1511" s="32" t="str">
        <x:f>IF(AND(N$8&lt;='Detalle'!$H735,N$9&gt;='Detalle'!$G735),1,"")</x:f>
      </x:c>
      <x:c r="O1511" s="32" t="str">
        <x:f>IF(AND(O$8&lt;='Detalle'!$H735,O$9&gt;='Detalle'!$G735),1,"")</x:f>
      </x:c>
      <x:c r="P1511" s="32" t="str">
        <x:f>IF(AND(P$8&lt;='Detalle'!$H735,P$9&gt;='Detalle'!$G735),1,"")</x:f>
      </x:c>
      <x:c r="Q1511" s="68"/>
      <x:c r="R1511" s="67" t="str">
        <x:f>IF('Detalle'!M735="","",'Detalle'!M735)</x:f>
      </x:c>
      <x:c r="S1511" s="67" t="str">
        <x:f>IF('Detalle'!N735="","",'Detalle'!N735)</x:f>
      </x:c>
    </x:row>
    <x:row r="1512" ht="16" customHeight="1">
      <x:c r="A1512" s="56" t="str">
        <x:v>TOU07.004</x:v>
      </x:c>
      <x:c r="B1512" s="57" t="str">
        <x:v>Detectar puntos con cpfind</x:v>
      </x:c>
      <x:c r="C1512" s="63" t="str">
        <x:v>R</x:v>
      </x:c>
      <x:c r="D1512" s="65" t="str">
        <x:f>IF('Detalle'!L735="","",'Detalle'!L735)</x:f>
      </x:c>
      <x:c r="E1512" s="60" t="str"/>
      <x:c r="F1512" s="32" t="str">
        <x:f>IF(OR('Detalle'!$J735="",'Detalle'!$K735="",'Detalle'!$L735=""),"",IF(AND(F$8&lt;='Detalle'!$K735,F$9&gt;='Detalle'!$J735),1,""))</x:f>
      </x:c>
      <x:c r="G1512" s="32" t="str">
        <x:f>IF(OR('Detalle'!$J735="",'Detalle'!$K735="",'Detalle'!$L735=""),"",IF(AND(G$8&lt;='Detalle'!$K735,G$9&gt;='Detalle'!$J735),1,""))</x:f>
      </x:c>
      <x:c r="H1512" s="32" t="str">
        <x:f>IF(OR('Detalle'!$J735="",'Detalle'!$K735="",'Detalle'!$L735=""),"",IF(AND(H$8&lt;='Detalle'!$K735,H$9&gt;='Detalle'!$J735),1,""))</x:f>
      </x:c>
      <x:c r="I1512" s="32" t="str">
        <x:f>IF(OR('Detalle'!$J735="",'Detalle'!$K735="",'Detalle'!$L735=""),"",IF(AND(I$8&lt;='Detalle'!$K735,I$9&gt;='Detalle'!$J735),1,""))</x:f>
      </x:c>
      <x:c r="J1512" s="32" t="str">
        <x:f>IF(OR('Detalle'!$J735="",'Detalle'!$K735="",'Detalle'!$L735=""),"",IF(AND(J$8&lt;='Detalle'!$K735,J$9&gt;='Detalle'!$J735),1,""))</x:f>
      </x:c>
      <x:c r="K1512" s="32" t="str">
        <x:f>IF(OR('Detalle'!$J735="",'Detalle'!$K735="",'Detalle'!$L735=""),"",IF(AND(K$8&lt;='Detalle'!$K735,K$9&gt;='Detalle'!$J735),1,""))</x:f>
      </x:c>
      <x:c r="L1512" s="32" t="str">
        <x:f>IF(OR('Detalle'!$J735="",'Detalle'!$K735="",'Detalle'!$L735=""),"",IF(AND(L$8&lt;='Detalle'!$K735,L$9&gt;='Detalle'!$J735),1,""))</x:f>
      </x:c>
      <x:c r="M1512" s="32" t="str">
        <x:f>IF(OR('Detalle'!$J735="",'Detalle'!$K735="",'Detalle'!$L735=""),"",IF(AND(M$8&lt;='Detalle'!$K735,M$9&gt;='Detalle'!$J735),1,""))</x:f>
      </x:c>
      <x:c r="N1512" s="32" t="str">
        <x:f>IF(OR('Detalle'!$J735="",'Detalle'!$K735="",'Detalle'!$L735=""),"",IF(AND(N$8&lt;='Detalle'!$K735,N$9&gt;='Detalle'!$J735),1,""))</x:f>
      </x:c>
      <x:c r="O1512" s="32" t="str">
        <x:f>IF(OR('Detalle'!$J735="",'Detalle'!$K735="",'Detalle'!$L735=""),"",IF(AND(O$8&lt;='Detalle'!$K735,O$9&gt;='Detalle'!$J735),1,""))</x:f>
      </x:c>
      <x:c r="P1512" s="32" t="str">
        <x:f>IF(OR('Detalle'!$J735="",'Detalle'!$K735="",'Detalle'!$L735=""),"",IF(AND(P$8&lt;='Detalle'!$K735,P$9&gt;='Detalle'!$J735),1,""))</x:f>
      </x:c>
      <x:c r="Q1512" s="68"/>
      <x:c r="R1512" s="67" t="str"/>
      <x:c r="S1512" s="67" t="str"/>
    </x:row>
    <x:row r="1513" ht="16" customHeight="1">
      <x:c r="A1513" s="56" t="str">
        <x:v>TOU07.005</x:v>
      </x:c>
      <x:c r="B1513" s="57" t="str">
        <x:v>Limpiar coincidencias con cpclean</x:v>
      </x:c>
      <x:c r="C1513" s="62" t="str">
        <x:v>E</x:v>
      </x:c>
      <x:c r="D1513" s="64" t="n">
        <x:f>'Detalle'!I736</x:f>
        <x:v>1</x:v>
      </x:c>
      <x:c r="E1513" s="60" t="str">
        <x:f>'Detalle'!F736</x:f>
        <x:v>Completado</x:v>
      </x:c>
      <x:c r="F1513" s="32" t="str">
        <x:f>IF(AND(F$8&lt;='Detalle'!$H736,F$9&gt;='Detalle'!$G736),1,"")</x:f>
      </x:c>
      <x:c r="G1513" s="32" t="str">
        <x:f>IF(AND(G$8&lt;='Detalle'!$H736,G$9&gt;='Detalle'!$G736),1,"")</x:f>
      </x:c>
      <x:c r="H1513" s="32" t="str">
        <x:f>IF(AND(H$8&lt;='Detalle'!$H736,H$9&gt;='Detalle'!$G736),1,"")</x:f>
      </x:c>
      <x:c r="I1513" s="32" t="str">
        <x:f>IF(AND(I$8&lt;='Detalle'!$H736,I$9&gt;='Detalle'!$G736),1,"")</x:f>
      </x:c>
      <x:c r="J1513" s="32" t="n">
        <x:f>IF(AND(J$8&lt;='Detalle'!$H736,J$9&gt;='Detalle'!$G736),1,"")</x:f>
        <x:v>1</x:v>
      </x:c>
      <x:c r="K1513" s="32" t="str">
        <x:f>IF(AND(K$8&lt;='Detalle'!$H736,K$9&gt;='Detalle'!$G736),1,"")</x:f>
      </x:c>
      <x:c r="L1513" s="32" t="str">
        <x:f>IF(AND(L$8&lt;='Detalle'!$H736,L$9&gt;='Detalle'!$G736),1,"")</x:f>
      </x:c>
      <x:c r="M1513" s="32" t="str">
        <x:f>IF(AND(M$8&lt;='Detalle'!$H736,M$9&gt;='Detalle'!$G736),1,"")</x:f>
      </x:c>
      <x:c r="N1513" s="32" t="str">
        <x:f>IF(AND(N$8&lt;='Detalle'!$H736,N$9&gt;='Detalle'!$G736),1,"")</x:f>
      </x:c>
      <x:c r="O1513" s="32" t="str">
        <x:f>IF(AND(O$8&lt;='Detalle'!$H736,O$9&gt;='Detalle'!$G736),1,"")</x:f>
      </x:c>
      <x:c r="P1513" s="32" t="str">
        <x:f>IF(AND(P$8&lt;='Detalle'!$H736,P$9&gt;='Detalle'!$G736),1,"")</x:f>
      </x:c>
      <x:c r="Q1513" s="68"/>
      <x:c r="R1513" s="67" t="str">
        <x:f>IF('Detalle'!M736="","",'Detalle'!M736)</x:f>
      </x:c>
      <x:c r="S1513" s="67" t="str">
        <x:f>IF('Detalle'!N736="","",'Detalle'!N736)</x:f>
      </x:c>
    </x:row>
    <x:row r="1514" ht="16" customHeight="1">
      <x:c r="A1514" s="56" t="str">
        <x:v>TOU07.005</x:v>
      </x:c>
      <x:c r="B1514" s="57" t="str">
        <x:v>Limpiar coincidencias con cpclean</x:v>
      </x:c>
      <x:c r="C1514" s="63" t="str">
        <x:v>R</x:v>
      </x:c>
      <x:c r="D1514" s="65" t="str">
        <x:f>IF('Detalle'!L736="","",'Detalle'!L736)</x:f>
      </x:c>
      <x:c r="E1514" s="60" t="str"/>
      <x:c r="F1514" s="32" t="str">
        <x:f>IF(OR('Detalle'!$J736="",'Detalle'!$K736="",'Detalle'!$L736=""),"",IF(AND(F$8&lt;='Detalle'!$K736,F$9&gt;='Detalle'!$J736),1,""))</x:f>
      </x:c>
      <x:c r="G1514" s="32" t="str">
        <x:f>IF(OR('Detalle'!$J736="",'Detalle'!$K736="",'Detalle'!$L736=""),"",IF(AND(G$8&lt;='Detalle'!$K736,G$9&gt;='Detalle'!$J736),1,""))</x:f>
      </x:c>
      <x:c r="H1514" s="32" t="str">
        <x:f>IF(OR('Detalle'!$J736="",'Detalle'!$K736="",'Detalle'!$L736=""),"",IF(AND(H$8&lt;='Detalle'!$K736,H$9&gt;='Detalle'!$J736),1,""))</x:f>
      </x:c>
      <x:c r="I1514" s="32" t="str">
        <x:f>IF(OR('Detalle'!$J736="",'Detalle'!$K736="",'Detalle'!$L736=""),"",IF(AND(I$8&lt;='Detalle'!$K736,I$9&gt;='Detalle'!$J736),1,""))</x:f>
      </x:c>
      <x:c r="J1514" s="32" t="str">
        <x:f>IF(OR('Detalle'!$J736="",'Detalle'!$K736="",'Detalle'!$L736=""),"",IF(AND(J$8&lt;='Detalle'!$K736,J$9&gt;='Detalle'!$J736),1,""))</x:f>
      </x:c>
      <x:c r="K1514" s="32" t="str">
        <x:f>IF(OR('Detalle'!$J736="",'Detalle'!$K736="",'Detalle'!$L736=""),"",IF(AND(K$8&lt;='Detalle'!$K736,K$9&gt;='Detalle'!$J736),1,""))</x:f>
      </x:c>
      <x:c r="L1514" s="32" t="str">
        <x:f>IF(OR('Detalle'!$J736="",'Detalle'!$K736="",'Detalle'!$L736=""),"",IF(AND(L$8&lt;='Detalle'!$K736,L$9&gt;='Detalle'!$J736),1,""))</x:f>
      </x:c>
      <x:c r="M1514" s="32" t="str">
        <x:f>IF(OR('Detalle'!$J736="",'Detalle'!$K736="",'Detalle'!$L736=""),"",IF(AND(M$8&lt;='Detalle'!$K736,M$9&gt;='Detalle'!$J736),1,""))</x:f>
      </x:c>
      <x:c r="N1514" s="32" t="str">
        <x:f>IF(OR('Detalle'!$J736="",'Detalle'!$K736="",'Detalle'!$L736=""),"",IF(AND(N$8&lt;='Detalle'!$K736,N$9&gt;='Detalle'!$J736),1,""))</x:f>
      </x:c>
      <x:c r="O1514" s="32" t="str">
        <x:f>IF(OR('Detalle'!$J736="",'Detalle'!$K736="",'Detalle'!$L736=""),"",IF(AND(O$8&lt;='Detalle'!$K736,O$9&gt;='Detalle'!$J736),1,""))</x:f>
      </x:c>
      <x:c r="P1514" s="32" t="str">
        <x:f>IF(OR('Detalle'!$J736="",'Detalle'!$K736="",'Detalle'!$L736=""),"",IF(AND(P$8&lt;='Detalle'!$K736,P$9&gt;='Detalle'!$J736),1,""))</x:f>
      </x:c>
      <x:c r="Q1514" s="68"/>
      <x:c r="R1514" s="67" t="str"/>
      <x:c r="S1514" s="67" t="str"/>
    </x:row>
    <x:row r="1515" ht="16" customHeight="1">
      <x:c r="A1515" s="56" t="str">
        <x:v>TOU07.006</x:v>
      </x:c>
      <x:c r="B1515" s="57" t="str">
        <x:v>Comprobar grafo conectado</x:v>
      </x:c>
      <x:c r="C1515" s="62" t="str">
        <x:v>E</x:v>
      </x:c>
      <x:c r="D1515" s="64" t="n">
        <x:f>'Detalle'!I737</x:f>
        <x:v>1</x:v>
      </x:c>
      <x:c r="E1515" s="60" t="str">
        <x:f>'Detalle'!F737</x:f>
        <x:v>Completado</x:v>
      </x:c>
      <x:c r="F1515" s="32" t="str">
        <x:f>IF(AND(F$8&lt;='Detalle'!$H737,F$9&gt;='Detalle'!$G737),1,"")</x:f>
      </x:c>
      <x:c r="G1515" s="32" t="str">
        <x:f>IF(AND(G$8&lt;='Detalle'!$H737,G$9&gt;='Detalle'!$G737),1,"")</x:f>
      </x:c>
      <x:c r="H1515" s="32" t="str">
        <x:f>IF(AND(H$8&lt;='Detalle'!$H737,H$9&gt;='Detalle'!$G737),1,"")</x:f>
      </x:c>
      <x:c r="I1515" s="32" t="str">
        <x:f>IF(AND(I$8&lt;='Detalle'!$H737,I$9&gt;='Detalle'!$G737),1,"")</x:f>
      </x:c>
      <x:c r="J1515" s="32" t="n">
        <x:f>IF(AND(J$8&lt;='Detalle'!$H737,J$9&gt;='Detalle'!$G737),1,"")</x:f>
        <x:v>1</x:v>
      </x:c>
      <x:c r="K1515" s="32" t="str">
        <x:f>IF(AND(K$8&lt;='Detalle'!$H737,K$9&gt;='Detalle'!$G737),1,"")</x:f>
      </x:c>
      <x:c r="L1515" s="32" t="str">
        <x:f>IF(AND(L$8&lt;='Detalle'!$H737,L$9&gt;='Detalle'!$G737),1,"")</x:f>
      </x:c>
      <x:c r="M1515" s="32" t="str">
        <x:f>IF(AND(M$8&lt;='Detalle'!$H737,M$9&gt;='Detalle'!$G737),1,"")</x:f>
      </x:c>
      <x:c r="N1515" s="32" t="str">
        <x:f>IF(AND(N$8&lt;='Detalle'!$H737,N$9&gt;='Detalle'!$G737),1,"")</x:f>
      </x:c>
      <x:c r="O1515" s="32" t="str">
        <x:f>IF(AND(O$8&lt;='Detalle'!$H737,O$9&gt;='Detalle'!$G737),1,"")</x:f>
      </x:c>
      <x:c r="P1515" s="32" t="str">
        <x:f>IF(AND(P$8&lt;='Detalle'!$H737,P$9&gt;='Detalle'!$G737),1,"")</x:f>
      </x:c>
      <x:c r="Q1515" s="68"/>
      <x:c r="R1515" s="67" t="str">
        <x:f>IF('Detalle'!M737="","",'Detalle'!M737)</x:f>
      </x:c>
      <x:c r="S1515" s="67" t="str">
        <x:f>IF('Detalle'!N737="","",'Detalle'!N737)</x:f>
      </x:c>
    </x:row>
    <x:row r="1516" ht="16" customHeight="1">
      <x:c r="A1516" s="56" t="str">
        <x:v>TOU07.006</x:v>
      </x:c>
      <x:c r="B1516" s="57" t="str">
        <x:v>Comprobar grafo conectado</x:v>
      </x:c>
      <x:c r="C1516" s="63" t="str">
        <x:v>R</x:v>
      </x:c>
      <x:c r="D1516" s="65" t="str">
        <x:f>IF('Detalle'!L737="","",'Detalle'!L737)</x:f>
      </x:c>
      <x:c r="E1516" s="60" t="str"/>
      <x:c r="F1516" s="32" t="str">
        <x:f>IF(OR('Detalle'!$J737="",'Detalle'!$K737="",'Detalle'!$L737=""),"",IF(AND(F$8&lt;='Detalle'!$K737,F$9&gt;='Detalle'!$J737),1,""))</x:f>
      </x:c>
      <x:c r="G1516" s="32" t="str">
        <x:f>IF(OR('Detalle'!$J737="",'Detalle'!$K737="",'Detalle'!$L737=""),"",IF(AND(G$8&lt;='Detalle'!$K737,G$9&gt;='Detalle'!$J737),1,""))</x:f>
      </x:c>
      <x:c r="H1516" s="32" t="str">
        <x:f>IF(OR('Detalle'!$J737="",'Detalle'!$K737="",'Detalle'!$L737=""),"",IF(AND(H$8&lt;='Detalle'!$K737,H$9&gt;='Detalle'!$J737),1,""))</x:f>
      </x:c>
      <x:c r="I1516" s="32" t="str">
        <x:f>IF(OR('Detalle'!$J737="",'Detalle'!$K737="",'Detalle'!$L737=""),"",IF(AND(I$8&lt;='Detalle'!$K737,I$9&gt;='Detalle'!$J737),1,""))</x:f>
      </x:c>
      <x:c r="J1516" s="32" t="str">
        <x:f>IF(OR('Detalle'!$J737="",'Detalle'!$K737="",'Detalle'!$L737=""),"",IF(AND(J$8&lt;='Detalle'!$K737,J$9&gt;='Detalle'!$J737),1,""))</x:f>
      </x:c>
      <x:c r="K1516" s="32" t="str">
        <x:f>IF(OR('Detalle'!$J737="",'Detalle'!$K737="",'Detalle'!$L737=""),"",IF(AND(K$8&lt;='Detalle'!$K737,K$9&gt;='Detalle'!$J737),1,""))</x:f>
      </x:c>
      <x:c r="L1516" s="32" t="str">
        <x:f>IF(OR('Detalle'!$J737="",'Detalle'!$K737="",'Detalle'!$L737=""),"",IF(AND(L$8&lt;='Detalle'!$K737,L$9&gt;='Detalle'!$J737),1,""))</x:f>
      </x:c>
      <x:c r="M1516" s="32" t="str">
        <x:f>IF(OR('Detalle'!$J737="",'Detalle'!$K737="",'Detalle'!$L737=""),"",IF(AND(M$8&lt;='Detalle'!$K737,M$9&gt;='Detalle'!$J737),1,""))</x:f>
      </x:c>
      <x:c r="N1516" s="32" t="str">
        <x:f>IF(OR('Detalle'!$J737="",'Detalle'!$K737="",'Detalle'!$L737=""),"",IF(AND(N$8&lt;='Detalle'!$K737,N$9&gt;='Detalle'!$J737),1,""))</x:f>
      </x:c>
      <x:c r="O1516" s="32" t="str">
        <x:f>IF(OR('Detalle'!$J737="",'Detalle'!$K737="",'Detalle'!$L737=""),"",IF(AND(O$8&lt;='Detalle'!$K737,O$9&gt;='Detalle'!$J737),1,""))</x:f>
      </x:c>
      <x:c r="P1516" s="32" t="str">
        <x:f>IF(OR('Detalle'!$J737="",'Detalle'!$K737="",'Detalle'!$L737=""),"",IF(AND(P$8&lt;='Detalle'!$K737,P$9&gt;='Detalle'!$J737),1,""))</x:f>
      </x:c>
      <x:c r="Q1516" s="68"/>
      <x:c r="R1516" s="67" t="str"/>
      <x:c r="S1516" s="67" t="str"/>
    </x:row>
    <x:row r="1517" ht="16" customHeight="1">
      <x:c r="A1517" s="56" t="str">
        <x:v>TOU07.007</x:v>
      </x:c>
      <x:c r="B1517" s="57" t="str">
        <x:v>Optimizar geometría con autooptimiser</x:v>
      </x:c>
      <x:c r="C1517" s="62" t="str">
        <x:v>E</x:v>
      </x:c>
      <x:c r="D1517" s="64" t="n">
        <x:f>'Detalle'!I738</x:f>
        <x:v>1</x:v>
      </x:c>
      <x:c r="E1517" s="60" t="str">
        <x:f>'Detalle'!F738</x:f>
        <x:v>Completado</x:v>
      </x:c>
      <x:c r="F1517" s="32" t="str">
        <x:f>IF(AND(F$8&lt;='Detalle'!$H738,F$9&gt;='Detalle'!$G738),1,"")</x:f>
      </x:c>
      <x:c r="G1517" s="32" t="str">
        <x:f>IF(AND(G$8&lt;='Detalle'!$H738,G$9&gt;='Detalle'!$G738),1,"")</x:f>
      </x:c>
      <x:c r="H1517" s="32" t="str">
        <x:f>IF(AND(H$8&lt;='Detalle'!$H738,H$9&gt;='Detalle'!$G738),1,"")</x:f>
      </x:c>
      <x:c r="I1517" s="32" t="str">
        <x:f>IF(AND(I$8&lt;='Detalle'!$H738,I$9&gt;='Detalle'!$G738),1,"")</x:f>
      </x:c>
      <x:c r="J1517" s="32" t="n">
        <x:f>IF(AND(J$8&lt;='Detalle'!$H738,J$9&gt;='Detalle'!$G738),1,"")</x:f>
        <x:v>1</x:v>
      </x:c>
      <x:c r="K1517" s="32" t="str">
        <x:f>IF(AND(K$8&lt;='Detalle'!$H738,K$9&gt;='Detalle'!$G738),1,"")</x:f>
      </x:c>
      <x:c r="L1517" s="32" t="str">
        <x:f>IF(AND(L$8&lt;='Detalle'!$H738,L$9&gt;='Detalle'!$G738),1,"")</x:f>
      </x:c>
      <x:c r="M1517" s="32" t="str">
        <x:f>IF(AND(M$8&lt;='Detalle'!$H738,M$9&gt;='Detalle'!$G738),1,"")</x:f>
      </x:c>
      <x:c r="N1517" s="32" t="str">
        <x:f>IF(AND(N$8&lt;='Detalle'!$H738,N$9&gt;='Detalle'!$G738),1,"")</x:f>
      </x:c>
      <x:c r="O1517" s="32" t="str">
        <x:f>IF(AND(O$8&lt;='Detalle'!$H738,O$9&gt;='Detalle'!$G738),1,"")</x:f>
      </x:c>
      <x:c r="P1517" s="32" t="str">
        <x:f>IF(AND(P$8&lt;='Detalle'!$H738,P$9&gt;='Detalle'!$G738),1,"")</x:f>
      </x:c>
      <x:c r="Q1517" s="68"/>
      <x:c r="R1517" s="67" t="str">
        <x:f>IF('Detalle'!M738="","",'Detalle'!M738)</x:f>
      </x:c>
      <x:c r="S1517" s="67" t="str">
        <x:f>IF('Detalle'!N738="","",'Detalle'!N738)</x:f>
      </x:c>
    </x:row>
    <x:row r="1518" ht="16" customHeight="1">
      <x:c r="A1518" s="56" t="str">
        <x:v>TOU07.007</x:v>
      </x:c>
      <x:c r="B1518" s="57" t="str">
        <x:v>Optimizar geometría con autooptimiser</x:v>
      </x:c>
      <x:c r="C1518" s="63" t="str">
        <x:v>R</x:v>
      </x:c>
      <x:c r="D1518" s="65" t="str">
        <x:f>IF('Detalle'!L738="","",'Detalle'!L738)</x:f>
      </x:c>
      <x:c r="E1518" s="60" t="str"/>
      <x:c r="F1518" s="32" t="str">
        <x:f>IF(OR('Detalle'!$J738="",'Detalle'!$K738="",'Detalle'!$L738=""),"",IF(AND(F$8&lt;='Detalle'!$K738,F$9&gt;='Detalle'!$J738),1,""))</x:f>
      </x:c>
      <x:c r="G1518" s="32" t="str">
        <x:f>IF(OR('Detalle'!$J738="",'Detalle'!$K738="",'Detalle'!$L738=""),"",IF(AND(G$8&lt;='Detalle'!$K738,G$9&gt;='Detalle'!$J738),1,""))</x:f>
      </x:c>
      <x:c r="H1518" s="32" t="str">
        <x:f>IF(OR('Detalle'!$J738="",'Detalle'!$K738="",'Detalle'!$L738=""),"",IF(AND(H$8&lt;='Detalle'!$K738,H$9&gt;='Detalle'!$J738),1,""))</x:f>
      </x:c>
      <x:c r="I1518" s="32" t="str">
        <x:f>IF(OR('Detalle'!$J738="",'Detalle'!$K738="",'Detalle'!$L738=""),"",IF(AND(I$8&lt;='Detalle'!$K738,I$9&gt;='Detalle'!$J738),1,""))</x:f>
      </x:c>
      <x:c r="J1518" s="32" t="str">
        <x:f>IF(OR('Detalle'!$J738="",'Detalle'!$K738="",'Detalle'!$L738=""),"",IF(AND(J$8&lt;='Detalle'!$K738,J$9&gt;='Detalle'!$J738),1,""))</x:f>
      </x:c>
      <x:c r="K1518" s="32" t="str">
        <x:f>IF(OR('Detalle'!$J738="",'Detalle'!$K738="",'Detalle'!$L738=""),"",IF(AND(K$8&lt;='Detalle'!$K738,K$9&gt;='Detalle'!$J738),1,""))</x:f>
      </x:c>
      <x:c r="L1518" s="32" t="str">
        <x:f>IF(OR('Detalle'!$J738="",'Detalle'!$K738="",'Detalle'!$L738=""),"",IF(AND(L$8&lt;='Detalle'!$K738,L$9&gt;='Detalle'!$J738),1,""))</x:f>
      </x:c>
      <x:c r="M1518" s="32" t="str">
        <x:f>IF(OR('Detalle'!$J738="",'Detalle'!$K738="",'Detalle'!$L738=""),"",IF(AND(M$8&lt;='Detalle'!$K738,M$9&gt;='Detalle'!$J738),1,""))</x:f>
      </x:c>
      <x:c r="N1518" s="32" t="str">
        <x:f>IF(OR('Detalle'!$J738="",'Detalle'!$K738="",'Detalle'!$L738=""),"",IF(AND(N$8&lt;='Detalle'!$K738,N$9&gt;='Detalle'!$J738),1,""))</x:f>
      </x:c>
      <x:c r="O1518" s="32" t="str">
        <x:f>IF(OR('Detalle'!$J738="",'Detalle'!$K738="",'Detalle'!$L738=""),"",IF(AND(O$8&lt;='Detalle'!$K738,O$9&gt;='Detalle'!$J738),1,""))</x:f>
      </x:c>
      <x:c r="P1518" s="32" t="str">
        <x:f>IF(OR('Detalle'!$J738="",'Detalle'!$K738="",'Detalle'!$L738=""),"",IF(AND(P$8&lt;='Detalle'!$K738,P$9&gt;='Detalle'!$J738),1,""))</x:f>
      </x:c>
      <x:c r="Q1518" s="68"/>
      <x:c r="R1518" s="67" t="str"/>
      <x:c r="S1518" s="67" t="str"/>
    </x:row>
    <x:row r="1519" ht="16" customHeight="1">
      <x:c r="A1519" s="56" t="str">
        <x:v>TOU07.008</x:v>
      </x:c>
      <x:c r="B1519" s="57" t="str">
        <x:v>Definir canvas 360°×180° con pano_modify</x:v>
      </x:c>
      <x:c r="C1519" s="62" t="str">
        <x:v>E</x:v>
      </x:c>
      <x:c r="D1519" s="64" t="n">
        <x:f>'Detalle'!I739</x:f>
        <x:v>1</x:v>
      </x:c>
      <x:c r="E1519" s="60" t="str">
        <x:f>'Detalle'!F739</x:f>
        <x:v>Completado</x:v>
      </x:c>
      <x:c r="F1519" s="32" t="str">
        <x:f>IF(AND(F$8&lt;='Detalle'!$H739,F$9&gt;='Detalle'!$G739),1,"")</x:f>
      </x:c>
      <x:c r="G1519" s="32" t="str">
        <x:f>IF(AND(G$8&lt;='Detalle'!$H739,G$9&gt;='Detalle'!$G739),1,"")</x:f>
      </x:c>
      <x:c r="H1519" s="32" t="str">
        <x:f>IF(AND(H$8&lt;='Detalle'!$H739,H$9&gt;='Detalle'!$G739),1,"")</x:f>
      </x:c>
      <x:c r="I1519" s="32" t="str">
        <x:f>IF(AND(I$8&lt;='Detalle'!$H739,I$9&gt;='Detalle'!$G739),1,"")</x:f>
      </x:c>
      <x:c r="J1519" s="32" t="n">
        <x:f>IF(AND(J$8&lt;='Detalle'!$H739,J$9&gt;='Detalle'!$G739),1,"")</x:f>
        <x:v>1</x:v>
      </x:c>
      <x:c r="K1519" s="32" t="str">
        <x:f>IF(AND(K$8&lt;='Detalle'!$H739,K$9&gt;='Detalle'!$G739),1,"")</x:f>
      </x:c>
      <x:c r="L1519" s="32" t="str">
        <x:f>IF(AND(L$8&lt;='Detalle'!$H739,L$9&gt;='Detalle'!$G739),1,"")</x:f>
      </x:c>
      <x:c r="M1519" s="32" t="str">
        <x:f>IF(AND(M$8&lt;='Detalle'!$H739,M$9&gt;='Detalle'!$G739),1,"")</x:f>
      </x:c>
      <x:c r="N1519" s="32" t="str">
        <x:f>IF(AND(N$8&lt;='Detalle'!$H739,N$9&gt;='Detalle'!$G739),1,"")</x:f>
      </x:c>
      <x:c r="O1519" s="32" t="str">
        <x:f>IF(AND(O$8&lt;='Detalle'!$H739,O$9&gt;='Detalle'!$G739),1,"")</x:f>
      </x:c>
      <x:c r="P1519" s="32" t="str">
        <x:f>IF(AND(P$8&lt;='Detalle'!$H739,P$9&gt;='Detalle'!$G739),1,"")</x:f>
      </x:c>
      <x:c r="Q1519" s="68"/>
      <x:c r="R1519" s="67" t="str">
        <x:f>IF('Detalle'!M739="","",'Detalle'!M739)</x:f>
      </x:c>
      <x:c r="S1519" s="67" t="str">
        <x:f>IF('Detalle'!N739="","",'Detalle'!N739)</x:f>
      </x:c>
    </x:row>
    <x:row r="1520" ht="16" customHeight="1">
      <x:c r="A1520" s="56" t="str">
        <x:v>TOU07.008</x:v>
      </x:c>
      <x:c r="B1520" s="57" t="str">
        <x:v>Definir canvas 360°×180° con pano_modify</x:v>
      </x:c>
      <x:c r="C1520" s="63" t="str">
        <x:v>R</x:v>
      </x:c>
      <x:c r="D1520" s="65" t="str">
        <x:f>IF('Detalle'!L739="","",'Detalle'!L739)</x:f>
      </x:c>
      <x:c r="E1520" s="60" t="str"/>
      <x:c r="F1520" s="32" t="str">
        <x:f>IF(OR('Detalle'!$J739="",'Detalle'!$K739="",'Detalle'!$L739=""),"",IF(AND(F$8&lt;='Detalle'!$K739,F$9&gt;='Detalle'!$J739),1,""))</x:f>
      </x:c>
      <x:c r="G1520" s="32" t="str">
        <x:f>IF(OR('Detalle'!$J739="",'Detalle'!$K739="",'Detalle'!$L739=""),"",IF(AND(G$8&lt;='Detalle'!$K739,G$9&gt;='Detalle'!$J739),1,""))</x:f>
      </x:c>
      <x:c r="H1520" s="32" t="str">
        <x:f>IF(OR('Detalle'!$J739="",'Detalle'!$K739="",'Detalle'!$L739=""),"",IF(AND(H$8&lt;='Detalle'!$K739,H$9&gt;='Detalle'!$J739),1,""))</x:f>
      </x:c>
      <x:c r="I1520" s="32" t="str">
        <x:f>IF(OR('Detalle'!$J739="",'Detalle'!$K739="",'Detalle'!$L739=""),"",IF(AND(I$8&lt;='Detalle'!$K739,I$9&gt;='Detalle'!$J739),1,""))</x:f>
      </x:c>
      <x:c r="J1520" s="32" t="str">
        <x:f>IF(OR('Detalle'!$J739="",'Detalle'!$K739="",'Detalle'!$L739=""),"",IF(AND(J$8&lt;='Detalle'!$K739,J$9&gt;='Detalle'!$J739),1,""))</x:f>
      </x:c>
      <x:c r="K1520" s="32" t="str">
        <x:f>IF(OR('Detalle'!$J739="",'Detalle'!$K739="",'Detalle'!$L739=""),"",IF(AND(K$8&lt;='Detalle'!$K739,K$9&gt;='Detalle'!$J739),1,""))</x:f>
      </x:c>
      <x:c r="L1520" s="32" t="str">
        <x:f>IF(OR('Detalle'!$J739="",'Detalle'!$K739="",'Detalle'!$L739=""),"",IF(AND(L$8&lt;='Detalle'!$K739,L$9&gt;='Detalle'!$J739),1,""))</x:f>
      </x:c>
      <x:c r="M1520" s="32" t="str">
        <x:f>IF(OR('Detalle'!$J739="",'Detalle'!$K739="",'Detalle'!$L739=""),"",IF(AND(M$8&lt;='Detalle'!$K739,M$9&gt;='Detalle'!$J739),1,""))</x:f>
      </x:c>
      <x:c r="N1520" s="32" t="str">
        <x:f>IF(OR('Detalle'!$J739="",'Detalle'!$K739="",'Detalle'!$L739=""),"",IF(AND(N$8&lt;='Detalle'!$K739,N$9&gt;='Detalle'!$J739),1,""))</x:f>
      </x:c>
      <x:c r="O1520" s="32" t="str">
        <x:f>IF(OR('Detalle'!$J739="",'Detalle'!$K739="",'Detalle'!$L739=""),"",IF(AND(O$8&lt;='Detalle'!$K739,O$9&gt;='Detalle'!$J739),1,""))</x:f>
      </x:c>
      <x:c r="P1520" s="32" t="str">
        <x:f>IF(OR('Detalle'!$J739="",'Detalle'!$K739="",'Detalle'!$L739=""),"",IF(AND(P$8&lt;='Detalle'!$K739,P$9&gt;='Detalle'!$J739),1,""))</x:f>
      </x:c>
      <x:c r="Q1520" s="68"/>
      <x:c r="R1520" s="67" t="str"/>
      <x:c r="S1520" s="67" t="str"/>
    </x:row>
    <x:row r="1521" ht="16" customHeight="1">
      <x:c r="A1521" s="56" t="str">
        <x:v>TOU07.009</x:v>
      </x:c>
      <x:c r="B1521" s="57" t="str">
        <x:v>Remapear fotografías con nona</x:v>
      </x:c>
      <x:c r="C1521" s="62" t="str">
        <x:v>E</x:v>
      </x:c>
      <x:c r="D1521" s="64" t="n">
        <x:f>'Detalle'!I740</x:f>
        <x:v>1</x:v>
      </x:c>
      <x:c r="E1521" s="60" t="str">
        <x:f>'Detalle'!F740</x:f>
        <x:v>Completado</x:v>
      </x:c>
      <x:c r="F1521" s="32" t="str">
        <x:f>IF(AND(F$8&lt;='Detalle'!$H740,F$9&gt;='Detalle'!$G740),1,"")</x:f>
      </x:c>
      <x:c r="G1521" s="32" t="str">
        <x:f>IF(AND(G$8&lt;='Detalle'!$H740,G$9&gt;='Detalle'!$G740),1,"")</x:f>
      </x:c>
      <x:c r="H1521" s="32" t="str">
        <x:f>IF(AND(H$8&lt;='Detalle'!$H740,H$9&gt;='Detalle'!$G740),1,"")</x:f>
      </x:c>
      <x:c r="I1521" s="32" t="str">
        <x:f>IF(AND(I$8&lt;='Detalle'!$H740,I$9&gt;='Detalle'!$G740),1,"")</x:f>
      </x:c>
      <x:c r="J1521" s="32" t="n">
        <x:f>IF(AND(J$8&lt;='Detalle'!$H740,J$9&gt;='Detalle'!$G740),1,"")</x:f>
        <x:v>1</x:v>
      </x:c>
      <x:c r="K1521" s="32" t="str">
        <x:f>IF(AND(K$8&lt;='Detalle'!$H740,K$9&gt;='Detalle'!$G740),1,"")</x:f>
      </x:c>
      <x:c r="L1521" s="32" t="str">
        <x:f>IF(AND(L$8&lt;='Detalle'!$H740,L$9&gt;='Detalle'!$G740),1,"")</x:f>
      </x:c>
      <x:c r="M1521" s="32" t="str">
        <x:f>IF(AND(M$8&lt;='Detalle'!$H740,M$9&gt;='Detalle'!$G740),1,"")</x:f>
      </x:c>
      <x:c r="N1521" s="32" t="str">
        <x:f>IF(AND(N$8&lt;='Detalle'!$H740,N$9&gt;='Detalle'!$G740),1,"")</x:f>
      </x:c>
      <x:c r="O1521" s="32" t="str">
        <x:f>IF(AND(O$8&lt;='Detalle'!$H740,O$9&gt;='Detalle'!$G740),1,"")</x:f>
      </x:c>
      <x:c r="P1521" s="32" t="str">
        <x:f>IF(AND(P$8&lt;='Detalle'!$H740,P$9&gt;='Detalle'!$G740),1,"")</x:f>
      </x:c>
      <x:c r="Q1521" s="68"/>
      <x:c r="R1521" s="67" t="str">
        <x:f>IF('Detalle'!M740="","",'Detalle'!M740)</x:f>
      </x:c>
      <x:c r="S1521" s="67" t="str">
        <x:f>IF('Detalle'!N740="","",'Detalle'!N740)</x:f>
      </x:c>
    </x:row>
    <x:row r="1522" ht="16" customHeight="1">
      <x:c r="A1522" s="56" t="str">
        <x:v>TOU07.009</x:v>
      </x:c>
      <x:c r="B1522" s="57" t="str">
        <x:v>Remapear fotografías con nona</x:v>
      </x:c>
      <x:c r="C1522" s="63" t="str">
        <x:v>R</x:v>
      </x:c>
      <x:c r="D1522" s="65" t="str">
        <x:f>IF('Detalle'!L740="","",'Detalle'!L740)</x:f>
      </x:c>
      <x:c r="E1522" s="60" t="str"/>
      <x:c r="F1522" s="32" t="str">
        <x:f>IF(OR('Detalle'!$J740="",'Detalle'!$K740="",'Detalle'!$L740=""),"",IF(AND(F$8&lt;='Detalle'!$K740,F$9&gt;='Detalle'!$J740),1,""))</x:f>
      </x:c>
      <x:c r="G1522" s="32" t="str">
        <x:f>IF(OR('Detalle'!$J740="",'Detalle'!$K740="",'Detalle'!$L740=""),"",IF(AND(G$8&lt;='Detalle'!$K740,G$9&gt;='Detalle'!$J740),1,""))</x:f>
      </x:c>
      <x:c r="H1522" s="32" t="str">
        <x:f>IF(OR('Detalle'!$J740="",'Detalle'!$K740="",'Detalle'!$L740=""),"",IF(AND(H$8&lt;='Detalle'!$K740,H$9&gt;='Detalle'!$J740),1,""))</x:f>
      </x:c>
      <x:c r="I1522" s="32" t="str">
        <x:f>IF(OR('Detalle'!$J740="",'Detalle'!$K740="",'Detalle'!$L740=""),"",IF(AND(I$8&lt;='Detalle'!$K740,I$9&gt;='Detalle'!$J740),1,""))</x:f>
      </x:c>
      <x:c r="J1522" s="32" t="str">
        <x:f>IF(OR('Detalle'!$J740="",'Detalle'!$K740="",'Detalle'!$L740=""),"",IF(AND(J$8&lt;='Detalle'!$K740,J$9&gt;='Detalle'!$J740),1,""))</x:f>
      </x:c>
      <x:c r="K1522" s="32" t="str">
        <x:f>IF(OR('Detalle'!$J740="",'Detalle'!$K740="",'Detalle'!$L740=""),"",IF(AND(K$8&lt;='Detalle'!$K740,K$9&gt;='Detalle'!$J740),1,""))</x:f>
      </x:c>
      <x:c r="L1522" s="32" t="str">
        <x:f>IF(OR('Detalle'!$J740="",'Detalle'!$K740="",'Detalle'!$L740=""),"",IF(AND(L$8&lt;='Detalle'!$K740,L$9&gt;='Detalle'!$J740),1,""))</x:f>
      </x:c>
      <x:c r="M1522" s="32" t="str">
        <x:f>IF(OR('Detalle'!$J740="",'Detalle'!$K740="",'Detalle'!$L740=""),"",IF(AND(M$8&lt;='Detalle'!$K740,M$9&gt;='Detalle'!$J740),1,""))</x:f>
      </x:c>
      <x:c r="N1522" s="32" t="str">
        <x:f>IF(OR('Detalle'!$J740="",'Detalle'!$K740="",'Detalle'!$L740=""),"",IF(AND(N$8&lt;='Detalle'!$K740,N$9&gt;='Detalle'!$J740),1,""))</x:f>
      </x:c>
      <x:c r="O1522" s="32" t="str">
        <x:f>IF(OR('Detalle'!$J740="",'Detalle'!$K740="",'Detalle'!$L740=""),"",IF(AND(O$8&lt;='Detalle'!$K740,O$9&gt;='Detalle'!$J740),1,""))</x:f>
      </x:c>
      <x:c r="P1522" s="32" t="str">
        <x:f>IF(OR('Detalle'!$J740="",'Detalle'!$K740="",'Detalle'!$L740=""),"",IF(AND(P$8&lt;='Detalle'!$K740,P$9&gt;='Detalle'!$J740),1,""))</x:f>
      </x:c>
      <x:c r="Q1522" s="68"/>
      <x:c r="R1522" s="67" t="str"/>
      <x:c r="S1522" s="67" t="str"/>
    </x:row>
    <x:row r="1523" ht="16" customHeight="1">
      <x:c r="A1523" s="56" t="str">
        <x:v>TOU07.010</x:v>
      </x:c>
      <x:c r="B1523" s="57" t="str">
        <x:v>Comprobar cobertura alpha</x:v>
      </x:c>
      <x:c r="C1523" s="62" t="str">
        <x:v>E</x:v>
      </x:c>
      <x:c r="D1523" s="64" t="n">
        <x:f>'Detalle'!I741</x:f>
        <x:v>1</x:v>
      </x:c>
      <x:c r="E1523" s="60" t="str">
        <x:f>'Detalle'!F741</x:f>
        <x:v>Completado</x:v>
      </x:c>
      <x:c r="F1523" s="32" t="str">
        <x:f>IF(AND(F$8&lt;='Detalle'!$H741,F$9&gt;='Detalle'!$G741),1,"")</x:f>
      </x:c>
      <x:c r="G1523" s="32" t="str">
        <x:f>IF(AND(G$8&lt;='Detalle'!$H741,G$9&gt;='Detalle'!$G741),1,"")</x:f>
      </x:c>
      <x:c r="H1523" s="32" t="str">
        <x:f>IF(AND(H$8&lt;='Detalle'!$H741,H$9&gt;='Detalle'!$G741),1,"")</x:f>
      </x:c>
      <x:c r="I1523" s="32" t="str">
        <x:f>IF(AND(I$8&lt;='Detalle'!$H741,I$9&gt;='Detalle'!$G741),1,"")</x:f>
      </x:c>
      <x:c r="J1523" s="32" t="n">
        <x:f>IF(AND(J$8&lt;='Detalle'!$H741,J$9&gt;='Detalle'!$G741),1,"")</x:f>
        <x:v>1</x:v>
      </x:c>
      <x:c r="K1523" s="32" t="str">
        <x:f>IF(AND(K$8&lt;='Detalle'!$H741,K$9&gt;='Detalle'!$G741),1,"")</x:f>
      </x:c>
      <x:c r="L1523" s="32" t="str">
        <x:f>IF(AND(L$8&lt;='Detalle'!$H741,L$9&gt;='Detalle'!$G741),1,"")</x:f>
      </x:c>
      <x:c r="M1523" s="32" t="str">
        <x:f>IF(AND(M$8&lt;='Detalle'!$H741,M$9&gt;='Detalle'!$G741),1,"")</x:f>
      </x:c>
      <x:c r="N1523" s="32" t="str">
        <x:f>IF(AND(N$8&lt;='Detalle'!$H741,N$9&gt;='Detalle'!$G741),1,"")</x:f>
      </x:c>
      <x:c r="O1523" s="32" t="str">
        <x:f>IF(AND(O$8&lt;='Detalle'!$H741,O$9&gt;='Detalle'!$G741),1,"")</x:f>
      </x:c>
      <x:c r="P1523" s="32" t="str">
        <x:f>IF(AND(P$8&lt;='Detalle'!$H741,P$9&gt;='Detalle'!$G741),1,"")</x:f>
      </x:c>
      <x:c r="Q1523" s="68"/>
      <x:c r="R1523" s="67" t="str">
        <x:f>IF('Detalle'!M741="","",'Detalle'!M741)</x:f>
      </x:c>
      <x:c r="S1523" s="67" t="str">
        <x:f>IF('Detalle'!N741="","",'Detalle'!N741)</x:f>
      </x:c>
    </x:row>
    <x:row r="1524" ht="16" customHeight="1">
      <x:c r="A1524" s="56" t="str">
        <x:v>TOU07.010</x:v>
      </x:c>
      <x:c r="B1524" s="57" t="str">
        <x:v>Comprobar cobertura alpha</x:v>
      </x:c>
      <x:c r="C1524" s="63" t="str">
        <x:v>R</x:v>
      </x:c>
      <x:c r="D1524" s="65" t="str">
        <x:f>IF('Detalle'!L741="","",'Detalle'!L741)</x:f>
      </x:c>
      <x:c r="E1524" s="60" t="str"/>
      <x:c r="F1524" s="32" t="str">
        <x:f>IF(OR('Detalle'!$J741="",'Detalle'!$K741="",'Detalle'!$L741=""),"",IF(AND(F$8&lt;='Detalle'!$K741,F$9&gt;='Detalle'!$J741),1,""))</x:f>
      </x:c>
      <x:c r="G1524" s="32" t="str">
        <x:f>IF(OR('Detalle'!$J741="",'Detalle'!$K741="",'Detalle'!$L741=""),"",IF(AND(G$8&lt;='Detalle'!$K741,G$9&gt;='Detalle'!$J741),1,""))</x:f>
      </x:c>
      <x:c r="H1524" s="32" t="str">
        <x:f>IF(OR('Detalle'!$J741="",'Detalle'!$K741="",'Detalle'!$L741=""),"",IF(AND(H$8&lt;='Detalle'!$K741,H$9&gt;='Detalle'!$J741),1,""))</x:f>
      </x:c>
      <x:c r="I1524" s="32" t="str">
        <x:f>IF(OR('Detalle'!$J741="",'Detalle'!$K741="",'Detalle'!$L741=""),"",IF(AND(I$8&lt;='Detalle'!$K741,I$9&gt;='Detalle'!$J741),1,""))</x:f>
      </x:c>
      <x:c r="J1524" s="32" t="str">
        <x:f>IF(OR('Detalle'!$J741="",'Detalle'!$K741="",'Detalle'!$L741=""),"",IF(AND(J$8&lt;='Detalle'!$K741,J$9&gt;='Detalle'!$J741),1,""))</x:f>
      </x:c>
      <x:c r="K1524" s="32" t="str">
        <x:f>IF(OR('Detalle'!$J741="",'Detalle'!$K741="",'Detalle'!$L741=""),"",IF(AND(K$8&lt;='Detalle'!$K741,K$9&gt;='Detalle'!$J741),1,""))</x:f>
      </x:c>
      <x:c r="L1524" s="32" t="str">
        <x:f>IF(OR('Detalle'!$J741="",'Detalle'!$K741="",'Detalle'!$L741=""),"",IF(AND(L$8&lt;='Detalle'!$K741,L$9&gt;='Detalle'!$J741),1,""))</x:f>
      </x:c>
      <x:c r="M1524" s="32" t="str">
        <x:f>IF(OR('Detalle'!$J741="",'Detalle'!$K741="",'Detalle'!$L741=""),"",IF(AND(M$8&lt;='Detalle'!$K741,M$9&gt;='Detalle'!$J741),1,""))</x:f>
      </x:c>
      <x:c r="N1524" s="32" t="str">
        <x:f>IF(OR('Detalle'!$J741="",'Detalle'!$K741="",'Detalle'!$L741=""),"",IF(AND(N$8&lt;='Detalle'!$K741,N$9&gt;='Detalle'!$J741),1,""))</x:f>
      </x:c>
      <x:c r="O1524" s="32" t="str">
        <x:f>IF(OR('Detalle'!$J741="",'Detalle'!$K741="",'Detalle'!$L741=""),"",IF(AND(O$8&lt;='Detalle'!$K741,O$9&gt;='Detalle'!$J741),1,""))</x:f>
      </x:c>
      <x:c r="P1524" s="32" t="str">
        <x:f>IF(OR('Detalle'!$J741="",'Detalle'!$K741="",'Detalle'!$L741=""),"",IF(AND(P$8&lt;='Detalle'!$K741,P$9&gt;='Detalle'!$J741),1,""))</x:f>
      </x:c>
      <x:c r="Q1524" s="68"/>
      <x:c r="R1524" s="67" t="str"/>
      <x:c r="S1524" s="67" t="str"/>
    </x:row>
    <x:row r="1525" ht="16" customHeight="1">
      <x:c r="A1525" s="56" t="str">
        <x:v>TOU07.011</x:v>
      </x:c>
      <x:c r="B1525" s="57" t="str">
        <x:v>Mezclar remapeos con Enblend</x:v>
      </x:c>
      <x:c r="C1525" s="62" t="str">
        <x:v>E</x:v>
      </x:c>
      <x:c r="D1525" s="64" t="n">
        <x:f>'Detalle'!I742</x:f>
        <x:v>1</x:v>
      </x:c>
      <x:c r="E1525" s="60" t="str">
        <x:f>'Detalle'!F742</x:f>
        <x:v>Completado</x:v>
      </x:c>
      <x:c r="F1525" s="32" t="str">
        <x:f>IF(AND(F$8&lt;='Detalle'!$H742,F$9&gt;='Detalle'!$G742),1,"")</x:f>
      </x:c>
      <x:c r="G1525" s="32" t="str">
        <x:f>IF(AND(G$8&lt;='Detalle'!$H742,G$9&gt;='Detalle'!$G742),1,"")</x:f>
      </x:c>
      <x:c r="H1525" s="32" t="str">
        <x:f>IF(AND(H$8&lt;='Detalle'!$H742,H$9&gt;='Detalle'!$G742),1,"")</x:f>
      </x:c>
      <x:c r="I1525" s="32" t="str">
        <x:f>IF(AND(I$8&lt;='Detalle'!$H742,I$9&gt;='Detalle'!$G742),1,"")</x:f>
      </x:c>
      <x:c r="J1525" s="32" t="n">
        <x:f>IF(AND(J$8&lt;='Detalle'!$H742,J$9&gt;='Detalle'!$G742),1,"")</x:f>
        <x:v>1</x:v>
      </x:c>
      <x:c r="K1525" s="32" t="str">
        <x:f>IF(AND(K$8&lt;='Detalle'!$H742,K$9&gt;='Detalle'!$G742),1,"")</x:f>
      </x:c>
      <x:c r="L1525" s="32" t="str">
        <x:f>IF(AND(L$8&lt;='Detalle'!$H742,L$9&gt;='Detalle'!$G742),1,"")</x:f>
      </x:c>
      <x:c r="M1525" s="32" t="str">
        <x:f>IF(AND(M$8&lt;='Detalle'!$H742,M$9&gt;='Detalle'!$G742),1,"")</x:f>
      </x:c>
      <x:c r="N1525" s="32" t="str">
        <x:f>IF(AND(N$8&lt;='Detalle'!$H742,N$9&gt;='Detalle'!$G742),1,"")</x:f>
      </x:c>
      <x:c r="O1525" s="32" t="str">
        <x:f>IF(AND(O$8&lt;='Detalle'!$H742,O$9&gt;='Detalle'!$G742),1,"")</x:f>
      </x:c>
      <x:c r="P1525" s="32" t="str">
        <x:f>IF(AND(P$8&lt;='Detalle'!$H742,P$9&gt;='Detalle'!$G742),1,"")</x:f>
      </x:c>
      <x:c r="Q1525" s="68"/>
      <x:c r="R1525" s="67" t="str">
        <x:f>IF('Detalle'!M742="","",'Detalle'!M742)</x:f>
      </x:c>
      <x:c r="S1525" s="67" t="str">
        <x:f>IF('Detalle'!N742="","",'Detalle'!N742)</x:f>
      </x:c>
    </x:row>
    <x:row r="1526" ht="16" customHeight="1">
      <x:c r="A1526" s="56" t="str">
        <x:v>TOU07.011</x:v>
      </x:c>
      <x:c r="B1526" s="57" t="str">
        <x:v>Mezclar remapeos con Enblend</x:v>
      </x:c>
      <x:c r="C1526" s="63" t="str">
        <x:v>R</x:v>
      </x:c>
      <x:c r="D1526" s="65" t="str">
        <x:f>IF('Detalle'!L742="","",'Detalle'!L742)</x:f>
      </x:c>
      <x:c r="E1526" s="60" t="str"/>
      <x:c r="F1526" s="32" t="str">
        <x:f>IF(OR('Detalle'!$J742="",'Detalle'!$K742="",'Detalle'!$L742=""),"",IF(AND(F$8&lt;='Detalle'!$K742,F$9&gt;='Detalle'!$J742),1,""))</x:f>
      </x:c>
      <x:c r="G1526" s="32" t="str">
        <x:f>IF(OR('Detalle'!$J742="",'Detalle'!$K742="",'Detalle'!$L742=""),"",IF(AND(G$8&lt;='Detalle'!$K742,G$9&gt;='Detalle'!$J742),1,""))</x:f>
      </x:c>
      <x:c r="H1526" s="32" t="str">
        <x:f>IF(OR('Detalle'!$J742="",'Detalle'!$K742="",'Detalle'!$L742=""),"",IF(AND(H$8&lt;='Detalle'!$K742,H$9&gt;='Detalle'!$J742),1,""))</x:f>
      </x:c>
      <x:c r="I1526" s="32" t="str">
        <x:f>IF(OR('Detalle'!$J742="",'Detalle'!$K742="",'Detalle'!$L742=""),"",IF(AND(I$8&lt;='Detalle'!$K742,I$9&gt;='Detalle'!$J742),1,""))</x:f>
      </x:c>
      <x:c r="J1526" s="32" t="str">
        <x:f>IF(OR('Detalle'!$J742="",'Detalle'!$K742="",'Detalle'!$L742=""),"",IF(AND(J$8&lt;='Detalle'!$K742,J$9&gt;='Detalle'!$J742),1,""))</x:f>
      </x:c>
      <x:c r="K1526" s="32" t="str">
        <x:f>IF(OR('Detalle'!$J742="",'Detalle'!$K742="",'Detalle'!$L742=""),"",IF(AND(K$8&lt;='Detalle'!$K742,K$9&gt;='Detalle'!$J742),1,""))</x:f>
      </x:c>
      <x:c r="L1526" s="32" t="str">
        <x:f>IF(OR('Detalle'!$J742="",'Detalle'!$K742="",'Detalle'!$L742=""),"",IF(AND(L$8&lt;='Detalle'!$K742,L$9&gt;='Detalle'!$J742),1,""))</x:f>
      </x:c>
      <x:c r="M1526" s="32" t="str">
        <x:f>IF(OR('Detalle'!$J742="",'Detalle'!$K742="",'Detalle'!$L742=""),"",IF(AND(M$8&lt;='Detalle'!$K742,M$9&gt;='Detalle'!$J742),1,""))</x:f>
      </x:c>
      <x:c r="N1526" s="32" t="str">
        <x:f>IF(OR('Detalle'!$J742="",'Detalle'!$K742="",'Detalle'!$L742=""),"",IF(AND(N$8&lt;='Detalle'!$K742,N$9&gt;='Detalle'!$J742),1,""))</x:f>
      </x:c>
      <x:c r="O1526" s="32" t="str">
        <x:f>IF(OR('Detalle'!$J742="",'Detalle'!$K742="",'Detalle'!$L742=""),"",IF(AND(O$8&lt;='Detalle'!$K742,O$9&gt;='Detalle'!$J742),1,""))</x:f>
      </x:c>
      <x:c r="P1526" s="32" t="str">
        <x:f>IF(OR('Detalle'!$J742="",'Detalle'!$K742="",'Detalle'!$L742=""),"",IF(AND(P$8&lt;='Detalle'!$K742,P$9&gt;='Detalle'!$J742),1,""))</x:f>
      </x:c>
      <x:c r="Q1526" s="68"/>
      <x:c r="R1526" s="67" t="str"/>
      <x:c r="S1526" s="67" t="str"/>
    </x:row>
    <x:row r="1527" ht="16" customHeight="1">
      <x:c r="A1527" s="56" t="str">
        <x:v>TOU07.012</x:v>
      </x:c>
      <x:c r="B1527" s="57" t="str">
        <x:v>Generar panorama 4096×2048</x:v>
      </x:c>
      <x:c r="C1527" s="62" t="str">
        <x:v>E</x:v>
      </x:c>
      <x:c r="D1527" s="64" t="n">
        <x:f>'Detalle'!I743</x:f>
        <x:v>1</x:v>
      </x:c>
      <x:c r="E1527" s="60" t="str">
        <x:f>'Detalle'!F743</x:f>
        <x:v>Completado</x:v>
      </x:c>
      <x:c r="F1527" s="32" t="str">
        <x:f>IF(AND(F$8&lt;='Detalle'!$H743,F$9&gt;='Detalle'!$G743),1,"")</x:f>
      </x:c>
      <x:c r="G1527" s="32" t="str">
        <x:f>IF(AND(G$8&lt;='Detalle'!$H743,G$9&gt;='Detalle'!$G743),1,"")</x:f>
      </x:c>
      <x:c r="H1527" s="32" t="str">
        <x:f>IF(AND(H$8&lt;='Detalle'!$H743,H$9&gt;='Detalle'!$G743),1,"")</x:f>
      </x:c>
      <x:c r="I1527" s="32" t="str">
        <x:f>IF(AND(I$8&lt;='Detalle'!$H743,I$9&gt;='Detalle'!$G743),1,"")</x:f>
      </x:c>
      <x:c r="J1527" s="32" t="n">
        <x:f>IF(AND(J$8&lt;='Detalle'!$H743,J$9&gt;='Detalle'!$G743),1,"")</x:f>
        <x:v>1</x:v>
      </x:c>
      <x:c r="K1527" s="32" t="str">
        <x:f>IF(AND(K$8&lt;='Detalle'!$H743,K$9&gt;='Detalle'!$G743),1,"")</x:f>
      </x:c>
      <x:c r="L1527" s="32" t="str">
        <x:f>IF(AND(L$8&lt;='Detalle'!$H743,L$9&gt;='Detalle'!$G743),1,"")</x:f>
      </x:c>
      <x:c r="M1527" s="32" t="str">
        <x:f>IF(AND(M$8&lt;='Detalle'!$H743,M$9&gt;='Detalle'!$G743),1,"")</x:f>
      </x:c>
      <x:c r="N1527" s="32" t="str">
        <x:f>IF(AND(N$8&lt;='Detalle'!$H743,N$9&gt;='Detalle'!$G743),1,"")</x:f>
      </x:c>
      <x:c r="O1527" s="32" t="str">
        <x:f>IF(AND(O$8&lt;='Detalle'!$H743,O$9&gt;='Detalle'!$G743),1,"")</x:f>
      </x:c>
      <x:c r="P1527" s="32" t="str">
        <x:f>IF(AND(P$8&lt;='Detalle'!$H743,P$9&gt;='Detalle'!$G743),1,"")</x:f>
      </x:c>
      <x:c r="Q1527" s="68"/>
      <x:c r="R1527" s="67" t="str">
        <x:f>IF('Detalle'!M743="","",'Detalle'!M743)</x:f>
      </x:c>
      <x:c r="S1527" s="67" t="str">
        <x:f>IF('Detalle'!N743="","",'Detalle'!N743)</x:f>
      </x:c>
    </x:row>
    <x:row r="1528" ht="16" customHeight="1">
      <x:c r="A1528" s="56" t="str">
        <x:v>TOU07.012</x:v>
      </x:c>
      <x:c r="B1528" s="57" t="str">
        <x:v>Generar panorama 4096×2048</x:v>
      </x:c>
      <x:c r="C1528" s="63" t="str">
        <x:v>R</x:v>
      </x:c>
      <x:c r="D1528" s="65" t="str">
        <x:f>IF('Detalle'!L743="","",'Detalle'!L743)</x:f>
      </x:c>
      <x:c r="E1528" s="60" t="str"/>
      <x:c r="F1528" s="32" t="str">
        <x:f>IF(OR('Detalle'!$J743="",'Detalle'!$K743="",'Detalle'!$L743=""),"",IF(AND(F$8&lt;='Detalle'!$K743,F$9&gt;='Detalle'!$J743),1,""))</x:f>
      </x:c>
      <x:c r="G1528" s="32" t="str">
        <x:f>IF(OR('Detalle'!$J743="",'Detalle'!$K743="",'Detalle'!$L743=""),"",IF(AND(G$8&lt;='Detalle'!$K743,G$9&gt;='Detalle'!$J743),1,""))</x:f>
      </x:c>
      <x:c r="H1528" s="32" t="str">
        <x:f>IF(OR('Detalle'!$J743="",'Detalle'!$K743="",'Detalle'!$L743=""),"",IF(AND(H$8&lt;='Detalle'!$K743,H$9&gt;='Detalle'!$J743),1,""))</x:f>
      </x:c>
      <x:c r="I1528" s="32" t="str">
        <x:f>IF(OR('Detalle'!$J743="",'Detalle'!$K743="",'Detalle'!$L743=""),"",IF(AND(I$8&lt;='Detalle'!$K743,I$9&gt;='Detalle'!$J743),1,""))</x:f>
      </x:c>
      <x:c r="J1528" s="32" t="str">
        <x:f>IF(OR('Detalle'!$J743="",'Detalle'!$K743="",'Detalle'!$L743=""),"",IF(AND(J$8&lt;='Detalle'!$K743,J$9&gt;='Detalle'!$J743),1,""))</x:f>
      </x:c>
      <x:c r="K1528" s="32" t="str">
        <x:f>IF(OR('Detalle'!$J743="",'Detalle'!$K743="",'Detalle'!$L743=""),"",IF(AND(K$8&lt;='Detalle'!$K743,K$9&gt;='Detalle'!$J743),1,""))</x:f>
      </x:c>
      <x:c r="L1528" s="32" t="str">
        <x:f>IF(OR('Detalle'!$J743="",'Detalle'!$K743="",'Detalle'!$L743=""),"",IF(AND(L$8&lt;='Detalle'!$K743,L$9&gt;='Detalle'!$J743),1,""))</x:f>
      </x:c>
      <x:c r="M1528" s="32" t="str">
        <x:f>IF(OR('Detalle'!$J743="",'Detalle'!$K743="",'Detalle'!$L743=""),"",IF(AND(M$8&lt;='Detalle'!$K743,M$9&gt;='Detalle'!$J743),1,""))</x:f>
      </x:c>
      <x:c r="N1528" s="32" t="str">
        <x:f>IF(OR('Detalle'!$J743="",'Detalle'!$K743="",'Detalle'!$L743=""),"",IF(AND(N$8&lt;='Detalle'!$K743,N$9&gt;='Detalle'!$J743),1,""))</x:f>
      </x:c>
      <x:c r="O1528" s="32" t="str">
        <x:f>IF(OR('Detalle'!$J743="",'Detalle'!$K743="",'Detalle'!$L743=""),"",IF(AND(O$8&lt;='Detalle'!$K743,O$9&gt;='Detalle'!$J743),1,""))</x:f>
      </x:c>
      <x:c r="P1528" s="32" t="str">
        <x:f>IF(OR('Detalle'!$J743="",'Detalle'!$K743="",'Detalle'!$L743=""),"",IF(AND(P$8&lt;='Detalle'!$K743,P$9&gt;='Detalle'!$J743),1,""))</x:f>
      </x:c>
      <x:c r="Q1528" s="68"/>
      <x:c r="R1528" s="67" t="str"/>
      <x:c r="S1528" s="67" t="str"/>
    </x:row>
    <x:row r="1529" ht="16" customHeight="1">
      <x:c r="A1529" s="56" t="str">
        <x:v>TOU07.013</x:v>
      </x:c>
      <x:c r="B1529" s="57" t="str">
        <x:v>Generar preview 2048×1024</x:v>
      </x:c>
      <x:c r="C1529" s="62" t="str">
        <x:v>E</x:v>
      </x:c>
      <x:c r="D1529" s="64" t="n">
        <x:f>'Detalle'!I744</x:f>
        <x:v>1</x:v>
      </x:c>
      <x:c r="E1529" s="60" t="str">
        <x:f>'Detalle'!F744</x:f>
        <x:v>Completado</x:v>
      </x:c>
      <x:c r="F1529" s="32" t="str">
        <x:f>IF(AND(F$8&lt;='Detalle'!$H744,F$9&gt;='Detalle'!$G744),1,"")</x:f>
      </x:c>
      <x:c r="G1529" s="32" t="str">
        <x:f>IF(AND(G$8&lt;='Detalle'!$H744,G$9&gt;='Detalle'!$G744),1,"")</x:f>
      </x:c>
      <x:c r="H1529" s="32" t="str">
        <x:f>IF(AND(H$8&lt;='Detalle'!$H744,H$9&gt;='Detalle'!$G744),1,"")</x:f>
      </x:c>
      <x:c r="I1529" s="32" t="str">
        <x:f>IF(AND(I$8&lt;='Detalle'!$H744,I$9&gt;='Detalle'!$G744),1,"")</x:f>
      </x:c>
      <x:c r="J1529" s="32" t="n">
        <x:f>IF(AND(J$8&lt;='Detalle'!$H744,J$9&gt;='Detalle'!$G744),1,"")</x:f>
        <x:v>1</x:v>
      </x:c>
      <x:c r="K1529" s="32" t="str">
        <x:f>IF(AND(K$8&lt;='Detalle'!$H744,K$9&gt;='Detalle'!$G744),1,"")</x:f>
      </x:c>
      <x:c r="L1529" s="32" t="str">
        <x:f>IF(AND(L$8&lt;='Detalle'!$H744,L$9&gt;='Detalle'!$G744),1,"")</x:f>
      </x:c>
      <x:c r="M1529" s="32" t="str">
        <x:f>IF(AND(M$8&lt;='Detalle'!$H744,M$9&gt;='Detalle'!$G744),1,"")</x:f>
      </x:c>
      <x:c r="N1529" s="32" t="str">
        <x:f>IF(AND(N$8&lt;='Detalle'!$H744,N$9&gt;='Detalle'!$G744),1,"")</x:f>
      </x:c>
      <x:c r="O1529" s="32" t="str">
        <x:f>IF(AND(O$8&lt;='Detalle'!$H744,O$9&gt;='Detalle'!$G744),1,"")</x:f>
      </x:c>
      <x:c r="P1529" s="32" t="str">
        <x:f>IF(AND(P$8&lt;='Detalle'!$H744,P$9&gt;='Detalle'!$G744),1,"")</x:f>
      </x:c>
      <x:c r="Q1529" s="68"/>
      <x:c r="R1529" s="67" t="str">
        <x:f>IF('Detalle'!M744="","",'Detalle'!M744)</x:f>
      </x:c>
      <x:c r="S1529" s="67" t="str">
        <x:f>IF('Detalle'!N744="","",'Detalle'!N744)</x:f>
      </x:c>
    </x:row>
    <x:row r="1530" ht="16" customHeight="1">
      <x:c r="A1530" s="56" t="str">
        <x:v>TOU07.013</x:v>
      </x:c>
      <x:c r="B1530" s="57" t="str">
        <x:v>Generar preview 2048×1024</x:v>
      </x:c>
      <x:c r="C1530" s="63" t="str">
        <x:v>R</x:v>
      </x:c>
      <x:c r="D1530" s="65" t="str">
        <x:f>IF('Detalle'!L744="","",'Detalle'!L744)</x:f>
      </x:c>
      <x:c r="E1530" s="60" t="str"/>
      <x:c r="F1530" s="32" t="str">
        <x:f>IF(OR('Detalle'!$J744="",'Detalle'!$K744="",'Detalle'!$L744=""),"",IF(AND(F$8&lt;='Detalle'!$K744,F$9&gt;='Detalle'!$J744),1,""))</x:f>
      </x:c>
      <x:c r="G1530" s="32" t="str">
        <x:f>IF(OR('Detalle'!$J744="",'Detalle'!$K744="",'Detalle'!$L744=""),"",IF(AND(G$8&lt;='Detalle'!$K744,G$9&gt;='Detalle'!$J744),1,""))</x:f>
      </x:c>
      <x:c r="H1530" s="32" t="str">
        <x:f>IF(OR('Detalle'!$J744="",'Detalle'!$K744="",'Detalle'!$L744=""),"",IF(AND(H$8&lt;='Detalle'!$K744,H$9&gt;='Detalle'!$J744),1,""))</x:f>
      </x:c>
      <x:c r="I1530" s="32" t="str">
        <x:f>IF(OR('Detalle'!$J744="",'Detalle'!$K744="",'Detalle'!$L744=""),"",IF(AND(I$8&lt;='Detalle'!$K744,I$9&gt;='Detalle'!$J744),1,""))</x:f>
      </x:c>
      <x:c r="J1530" s="32" t="str">
        <x:f>IF(OR('Detalle'!$J744="",'Detalle'!$K744="",'Detalle'!$L744=""),"",IF(AND(J$8&lt;='Detalle'!$K744,J$9&gt;='Detalle'!$J744),1,""))</x:f>
      </x:c>
      <x:c r="K1530" s="32" t="str">
        <x:f>IF(OR('Detalle'!$J744="",'Detalle'!$K744="",'Detalle'!$L744=""),"",IF(AND(K$8&lt;='Detalle'!$K744,K$9&gt;='Detalle'!$J744),1,""))</x:f>
      </x:c>
      <x:c r="L1530" s="32" t="str">
        <x:f>IF(OR('Detalle'!$J744="",'Detalle'!$K744="",'Detalle'!$L744=""),"",IF(AND(L$8&lt;='Detalle'!$K744,L$9&gt;='Detalle'!$J744),1,""))</x:f>
      </x:c>
      <x:c r="M1530" s="32" t="str">
        <x:f>IF(OR('Detalle'!$J744="",'Detalle'!$K744="",'Detalle'!$L744=""),"",IF(AND(M$8&lt;='Detalle'!$K744,M$9&gt;='Detalle'!$J744),1,""))</x:f>
      </x:c>
      <x:c r="N1530" s="32" t="str">
        <x:f>IF(OR('Detalle'!$J744="",'Detalle'!$K744="",'Detalle'!$L744=""),"",IF(AND(N$8&lt;='Detalle'!$K744,N$9&gt;='Detalle'!$J744),1,""))</x:f>
      </x:c>
      <x:c r="O1530" s="32" t="str">
        <x:f>IF(OR('Detalle'!$J744="",'Detalle'!$K744="",'Detalle'!$L744=""),"",IF(AND(O$8&lt;='Detalle'!$K744,O$9&gt;='Detalle'!$J744),1,""))</x:f>
      </x:c>
      <x:c r="P1530" s="32" t="str">
        <x:f>IF(OR('Detalle'!$J744="",'Detalle'!$K744="",'Detalle'!$L744=""),"",IF(AND(P$8&lt;='Detalle'!$K744,P$9&gt;='Detalle'!$J744),1,""))</x:f>
      </x:c>
      <x:c r="Q1530" s="68"/>
      <x:c r="R1530" s="67" t="str"/>
      <x:c r="S1530" s="67" t="str"/>
    </x:row>
    <x:row r="1531" ht="16" customHeight="1">
      <x:c r="A1531" s="56" t="str">
        <x:v>TOU07.014</x:v>
      </x:c>
      <x:c r="B1531" s="57" t="str">
        <x:v>Generar miniatura 512×256</x:v>
      </x:c>
      <x:c r="C1531" s="62" t="str">
        <x:v>E</x:v>
      </x:c>
      <x:c r="D1531" s="64" t="n">
        <x:f>'Detalle'!I745</x:f>
        <x:v>1</x:v>
      </x:c>
      <x:c r="E1531" s="60" t="str">
        <x:f>'Detalle'!F745</x:f>
        <x:v>Completado</x:v>
      </x:c>
      <x:c r="F1531" s="32" t="str">
        <x:f>IF(AND(F$8&lt;='Detalle'!$H745,F$9&gt;='Detalle'!$G745),1,"")</x:f>
      </x:c>
      <x:c r="G1531" s="32" t="str">
        <x:f>IF(AND(G$8&lt;='Detalle'!$H745,G$9&gt;='Detalle'!$G745),1,"")</x:f>
      </x:c>
      <x:c r="H1531" s="32" t="str">
        <x:f>IF(AND(H$8&lt;='Detalle'!$H745,H$9&gt;='Detalle'!$G745),1,"")</x:f>
      </x:c>
      <x:c r="I1531" s="32" t="str">
        <x:f>IF(AND(I$8&lt;='Detalle'!$H745,I$9&gt;='Detalle'!$G745),1,"")</x:f>
      </x:c>
      <x:c r="J1531" s="32" t="n">
        <x:f>IF(AND(J$8&lt;='Detalle'!$H745,J$9&gt;='Detalle'!$G745),1,"")</x:f>
        <x:v>1</x:v>
      </x:c>
      <x:c r="K1531" s="32" t="str">
        <x:f>IF(AND(K$8&lt;='Detalle'!$H745,K$9&gt;='Detalle'!$G745),1,"")</x:f>
      </x:c>
      <x:c r="L1531" s="32" t="str">
        <x:f>IF(AND(L$8&lt;='Detalle'!$H745,L$9&gt;='Detalle'!$G745),1,"")</x:f>
      </x:c>
      <x:c r="M1531" s="32" t="str">
        <x:f>IF(AND(M$8&lt;='Detalle'!$H745,M$9&gt;='Detalle'!$G745),1,"")</x:f>
      </x:c>
      <x:c r="N1531" s="32" t="str">
        <x:f>IF(AND(N$8&lt;='Detalle'!$H745,N$9&gt;='Detalle'!$G745),1,"")</x:f>
      </x:c>
      <x:c r="O1531" s="32" t="str">
        <x:f>IF(AND(O$8&lt;='Detalle'!$H745,O$9&gt;='Detalle'!$G745),1,"")</x:f>
      </x:c>
      <x:c r="P1531" s="32" t="str">
        <x:f>IF(AND(P$8&lt;='Detalle'!$H745,P$9&gt;='Detalle'!$G745),1,"")</x:f>
      </x:c>
      <x:c r="Q1531" s="68"/>
      <x:c r="R1531" s="67" t="str">
        <x:f>IF('Detalle'!M745="","",'Detalle'!M745)</x:f>
      </x:c>
      <x:c r="S1531" s="67" t="str">
        <x:f>IF('Detalle'!N745="","",'Detalle'!N745)</x:f>
      </x:c>
    </x:row>
    <x:row r="1532" ht="16" customHeight="1">
      <x:c r="A1532" s="56" t="str">
        <x:v>TOU07.014</x:v>
      </x:c>
      <x:c r="B1532" s="57" t="str">
        <x:v>Generar miniatura 512×256</x:v>
      </x:c>
      <x:c r="C1532" s="63" t="str">
        <x:v>R</x:v>
      </x:c>
      <x:c r="D1532" s="65" t="str">
        <x:f>IF('Detalle'!L745="","",'Detalle'!L745)</x:f>
      </x:c>
      <x:c r="E1532" s="60" t="str"/>
      <x:c r="F1532" s="32" t="str">
        <x:f>IF(OR('Detalle'!$J745="",'Detalle'!$K745="",'Detalle'!$L745=""),"",IF(AND(F$8&lt;='Detalle'!$K745,F$9&gt;='Detalle'!$J745),1,""))</x:f>
      </x:c>
      <x:c r="G1532" s="32" t="str">
        <x:f>IF(OR('Detalle'!$J745="",'Detalle'!$K745="",'Detalle'!$L745=""),"",IF(AND(G$8&lt;='Detalle'!$K745,G$9&gt;='Detalle'!$J745),1,""))</x:f>
      </x:c>
      <x:c r="H1532" s="32" t="str">
        <x:f>IF(OR('Detalle'!$J745="",'Detalle'!$K745="",'Detalle'!$L745=""),"",IF(AND(H$8&lt;='Detalle'!$K745,H$9&gt;='Detalle'!$J745),1,""))</x:f>
      </x:c>
      <x:c r="I1532" s="32" t="str">
        <x:f>IF(OR('Detalle'!$J745="",'Detalle'!$K745="",'Detalle'!$L745=""),"",IF(AND(I$8&lt;='Detalle'!$K745,I$9&gt;='Detalle'!$J745),1,""))</x:f>
      </x:c>
      <x:c r="J1532" s="32" t="str">
        <x:f>IF(OR('Detalle'!$J745="",'Detalle'!$K745="",'Detalle'!$L745=""),"",IF(AND(J$8&lt;='Detalle'!$K745,J$9&gt;='Detalle'!$J745),1,""))</x:f>
      </x:c>
      <x:c r="K1532" s="32" t="str">
        <x:f>IF(OR('Detalle'!$J745="",'Detalle'!$K745="",'Detalle'!$L745=""),"",IF(AND(K$8&lt;='Detalle'!$K745,K$9&gt;='Detalle'!$J745),1,""))</x:f>
      </x:c>
      <x:c r="L1532" s="32" t="str">
        <x:f>IF(OR('Detalle'!$J745="",'Detalle'!$K745="",'Detalle'!$L745=""),"",IF(AND(L$8&lt;='Detalle'!$K745,L$9&gt;='Detalle'!$J745),1,""))</x:f>
      </x:c>
      <x:c r="M1532" s="32" t="str">
        <x:f>IF(OR('Detalle'!$J745="",'Detalle'!$K745="",'Detalle'!$L745=""),"",IF(AND(M$8&lt;='Detalle'!$K745,M$9&gt;='Detalle'!$J745),1,""))</x:f>
      </x:c>
      <x:c r="N1532" s="32" t="str">
        <x:f>IF(OR('Detalle'!$J745="",'Detalle'!$K745="",'Detalle'!$L745=""),"",IF(AND(N$8&lt;='Detalle'!$K745,N$9&gt;='Detalle'!$J745),1,""))</x:f>
      </x:c>
      <x:c r="O1532" s="32" t="str">
        <x:f>IF(OR('Detalle'!$J745="",'Detalle'!$K745="",'Detalle'!$L745=""),"",IF(AND(O$8&lt;='Detalle'!$K745,O$9&gt;='Detalle'!$J745),1,""))</x:f>
      </x:c>
      <x:c r="P1532" s="32" t="str">
        <x:f>IF(OR('Detalle'!$J745="",'Detalle'!$K745="",'Detalle'!$L745=""),"",IF(AND(P$8&lt;='Detalle'!$K745,P$9&gt;='Detalle'!$J745),1,""))</x:f>
      </x:c>
      <x:c r="Q1532" s="68"/>
      <x:c r="R1532" s="67" t="str"/>
      <x:c r="S1532" s="67" t="str"/>
    </x:row>
    <x:row r="1533" ht="16" customHeight="1">
      <x:c r="A1533" s="56" t="str">
        <x:v>TOU07.015</x:v>
      </x:c>
      <x:c r="B1533" s="57" t="str">
        <x:v>Clasificar errores transitorios</x:v>
      </x:c>
      <x:c r="C1533" s="62" t="str">
        <x:v>E</x:v>
      </x:c>
      <x:c r="D1533" s="64" t="n">
        <x:f>'Detalle'!I746</x:f>
        <x:v>1</x:v>
      </x:c>
      <x:c r="E1533" s="60" t="str">
        <x:f>'Detalle'!F746</x:f>
        <x:v>Completado</x:v>
      </x:c>
      <x:c r="F1533" s="32" t="str">
        <x:f>IF(AND(F$8&lt;='Detalle'!$H746,F$9&gt;='Detalle'!$G746),1,"")</x:f>
      </x:c>
      <x:c r="G1533" s="32" t="str">
        <x:f>IF(AND(G$8&lt;='Detalle'!$H746,G$9&gt;='Detalle'!$G746),1,"")</x:f>
      </x:c>
      <x:c r="H1533" s="32" t="str">
        <x:f>IF(AND(H$8&lt;='Detalle'!$H746,H$9&gt;='Detalle'!$G746),1,"")</x:f>
      </x:c>
      <x:c r="I1533" s="32" t="str">
        <x:f>IF(AND(I$8&lt;='Detalle'!$H746,I$9&gt;='Detalle'!$G746),1,"")</x:f>
      </x:c>
      <x:c r="J1533" s="32" t="n">
        <x:f>IF(AND(J$8&lt;='Detalle'!$H746,J$9&gt;='Detalle'!$G746),1,"")</x:f>
        <x:v>1</x:v>
      </x:c>
      <x:c r="K1533" s="32" t="str">
        <x:f>IF(AND(K$8&lt;='Detalle'!$H746,K$9&gt;='Detalle'!$G746),1,"")</x:f>
      </x:c>
      <x:c r="L1533" s="32" t="str">
        <x:f>IF(AND(L$8&lt;='Detalle'!$H746,L$9&gt;='Detalle'!$G746),1,"")</x:f>
      </x:c>
      <x:c r="M1533" s="32" t="str">
        <x:f>IF(AND(M$8&lt;='Detalle'!$H746,M$9&gt;='Detalle'!$G746),1,"")</x:f>
      </x:c>
      <x:c r="N1533" s="32" t="str">
        <x:f>IF(AND(N$8&lt;='Detalle'!$H746,N$9&gt;='Detalle'!$G746),1,"")</x:f>
      </x:c>
      <x:c r="O1533" s="32" t="str">
        <x:f>IF(AND(O$8&lt;='Detalle'!$H746,O$9&gt;='Detalle'!$G746),1,"")</x:f>
      </x:c>
      <x:c r="P1533" s="32" t="str">
        <x:f>IF(AND(P$8&lt;='Detalle'!$H746,P$9&gt;='Detalle'!$G746),1,"")</x:f>
      </x:c>
      <x:c r="Q1533" s="68"/>
      <x:c r="R1533" s="67" t="str">
        <x:f>IF('Detalle'!M746="","",'Detalle'!M746)</x:f>
      </x:c>
      <x:c r="S1533" s="67" t="str">
        <x:f>IF('Detalle'!N746="","",'Detalle'!N746)</x:f>
      </x:c>
    </x:row>
    <x:row r="1534" ht="16" customHeight="1">
      <x:c r="A1534" s="56" t="str">
        <x:v>TOU07.015</x:v>
      </x:c>
      <x:c r="B1534" s="57" t="str">
        <x:v>Clasificar errores transitorios</x:v>
      </x:c>
      <x:c r="C1534" s="63" t="str">
        <x:v>R</x:v>
      </x:c>
      <x:c r="D1534" s="65" t="str">
        <x:f>IF('Detalle'!L746="","",'Detalle'!L746)</x:f>
      </x:c>
      <x:c r="E1534" s="60" t="str"/>
      <x:c r="F1534" s="32" t="str">
        <x:f>IF(OR('Detalle'!$J746="",'Detalle'!$K746="",'Detalle'!$L746=""),"",IF(AND(F$8&lt;='Detalle'!$K746,F$9&gt;='Detalle'!$J746),1,""))</x:f>
      </x:c>
      <x:c r="G1534" s="32" t="str">
        <x:f>IF(OR('Detalle'!$J746="",'Detalle'!$K746="",'Detalle'!$L746=""),"",IF(AND(G$8&lt;='Detalle'!$K746,G$9&gt;='Detalle'!$J746),1,""))</x:f>
      </x:c>
      <x:c r="H1534" s="32" t="str">
        <x:f>IF(OR('Detalle'!$J746="",'Detalle'!$K746="",'Detalle'!$L746=""),"",IF(AND(H$8&lt;='Detalle'!$K746,H$9&gt;='Detalle'!$J746),1,""))</x:f>
      </x:c>
      <x:c r="I1534" s="32" t="str">
        <x:f>IF(OR('Detalle'!$J746="",'Detalle'!$K746="",'Detalle'!$L746=""),"",IF(AND(I$8&lt;='Detalle'!$K746,I$9&gt;='Detalle'!$J746),1,""))</x:f>
      </x:c>
      <x:c r="J1534" s="32" t="str">
        <x:f>IF(OR('Detalle'!$J746="",'Detalle'!$K746="",'Detalle'!$L746=""),"",IF(AND(J$8&lt;='Detalle'!$K746,J$9&gt;='Detalle'!$J746),1,""))</x:f>
      </x:c>
      <x:c r="K1534" s="32" t="str">
        <x:f>IF(OR('Detalle'!$J746="",'Detalle'!$K746="",'Detalle'!$L746=""),"",IF(AND(K$8&lt;='Detalle'!$K746,K$9&gt;='Detalle'!$J746),1,""))</x:f>
      </x:c>
      <x:c r="L1534" s="32" t="str">
        <x:f>IF(OR('Detalle'!$J746="",'Detalle'!$K746="",'Detalle'!$L746=""),"",IF(AND(L$8&lt;='Detalle'!$K746,L$9&gt;='Detalle'!$J746),1,""))</x:f>
      </x:c>
      <x:c r="M1534" s="32" t="str">
        <x:f>IF(OR('Detalle'!$J746="",'Detalle'!$K746="",'Detalle'!$L746=""),"",IF(AND(M$8&lt;='Detalle'!$K746,M$9&gt;='Detalle'!$J746),1,""))</x:f>
      </x:c>
      <x:c r="N1534" s="32" t="str">
        <x:f>IF(OR('Detalle'!$J746="",'Detalle'!$K746="",'Detalle'!$L746=""),"",IF(AND(N$8&lt;='Detalle'!$K746,N$9&gt;='Detalle'!$J746),1,""))</x:f>
      </x:c>
      <x:c r="O1534" s="32" t="str">
        <x:f>IF(OR('Detalle'!$J746="",'Detalle'!$K746="",'Detalle'!$L746=""),"",IF(AND(O$8&lt;='Detalle'!$K746,O$9&gt;='Detalle'!$J746),1,""))</x:f>
      </x:c>
      <x:c r="P1534" s="32" t="str">
        <x:f>IF(OR('Detalle'!$J746="",'Detalle'!$K746="",'Detalle'!$L746=""),"",IF(AND(P$8&lt;='Detalle'!$K746,P$9&gt;='Detalle'!$J746),1,""))</x:f>
      </x:c>
      <x:c r="Q1534" s="68"/>
      <x:c r="R1534" s="67" t="str"/>
      <x:c r="S1534" s="67" t="str"/>
    </x:row>
    <x:row r="1535" ht="16" customHeight="1">
      <x:c r="A1535" s="56" t="str">
        <x:v>TOU07.016</x:v>
      </x:c>
      <x:c r="B1535" s="57" t="str">
        <x:v>Confirmar resultado con recibo persistido</x:v>
      </x:c>
      <x:c r="C1535" s="62" t="str">
        <x:v>E</x:v>
      </x:c>
      <x:c r="D1535" s="64" t="n">
        <x:f>'Detalle'!I747</x:f>
        <x:v>1</x:v>
      </x:c>
      <x:c r="E1535" s="60" t="str">
        <x:f>'Detalle'!F747</x:f>
        <x:v>Completado</x:v>
      </x:c>
      <x:c r="F1535" s="32" t="str">
        <x:f>IF(AND(F$8&lt;='Detalle'!$H747,F$9&gt;='Detalle'!$G747),1,"")</x:f>
      </x:c>
      <x:c r="G1535" s="32" t="str">
        <x:f>IF(AND(G$8&lt;='Detalle'!$H747,G$9&gt;='Detalle'!$G747),1,"")</x:f>
      </x:c>
      <x:c r="H1535" s="32" t="str">
        <x:f>IF(AND(H$8&lt;='Detalle'!$H747,H$9&gt;='Detalle'!$G747),1,"")</x:f>
      </x:c>
      <x:c r="I1535" s="32" t="str">
        <x:f>IF(AND(I$8&lt;='Detalle'!$H747,I$9&gt;='Detalle'!$G747),1,"")</x:f>
      </x:c>
      <x:c r="J1535" s="32" t="n">
        <x:f>IF(AND(J$8&lt;='Detalle'!$H747,J$9&gt;='Detalle'!$G747),1,"")</x:f>
        <x:v>1</x:v>
      </x:c>
      <x:c r="K1535" s="32" t="str">
        <x:f>IF(AND(K$8&lt;='Detalle'!$H747,K$9&gt;='Detalle'!$G747),1,"")</x:f>
      </x:c>
      <x:c r="L1535" s="32" t="str">
        <x:f>IF(AND(L$8&lt;='Detalle'!$H747,L$9&gt;='Detalle'!$G747),1,"")</x:f>
      </x:c>
      <x:c r="M1535" s="32" t="str">
        <x:f>IF(AND(M$8&lt;='Detalle'!$H747,M$9&gt;='Detalle'!$G747),1,"")</x:f>
      </x:c>
      <x:c r="N1535" s="32" t="str">
        <x:f>IF(AND(N$8&lt;='Detalle'!$H747,N$9&gt;='Detalle'!$G747),1,"")</x:f>
      </x:c>
      <x:c r="O1535" s="32" t="str">
        <x:f>IF(AND(O$8&lt;='Detalle'!$H747,O$9&gt;='Detalle'!$G747),1,"")</x:f>
      </x:c>
      <x:c r="P1535" s="32" t="str">
        <x:f>IF(AND(P$8&lt;='Detalle'!$H747,P$9&gt;='Detalle'!$G747),1,"")</x:f>
      </x:c>
      <x:c r="Q1535" s="68"/>
      <x:c r="R1535" s="67" t="str">
        <x:f>IF('Detalle'!M747="","",'Detalle'!M747)</x:f>
      </x:c>
      <x:c r="S1535" s="67" t="str">
        <x:f>IF('Detalle'!N747="","",'Detalle'!N747)</x:f>
      </x:c>
    </x:row>
    <x:row r="1536" ht="16" customHeight="1">
      <x:c r="A1536" s="56" t="str">
        <x:v>TOU07.016</x:v>
      </x:c>
      <x:c r="B1536" s="57" t="str">
        <x:v>Confirmar resultado con recibo persistido</x:v>
      </x:c>
      <x:c r="C1536" s="63" t="str">
        <x:v>R</x:v>
      </x:c>
      <x:c r="D1536" s="65" t="str">
        <x:f>IF('Detalle'!L747="","",'Detalle'!L747)</x:f>
      </x:c>
      <x:c r="E1536" s="60" t="str"/>
      <x:c r="F1536" s="32" t="str">
        <x:f>IF(OR('Detalle'!$J747="",'Detalle'!$K747="",'Detalle'!$L747=""),"",IF(AND(F$8&lt;='Detalle'!$K747,F$9&gt;='Detalle'!$J747),1,""))</x:f>
      </x:c>
      <x:c r="G1536" s="32" t="str">
        <x:f>IF(OR('Detalle'!$J747="",'Detalle'!$K747="",'Detalle'!$L747=""),"",IF(AND(G$8&lt;='Detalle'!$K747,G$9&gt;='Detalle'!$J747),1,""))</x:f>
      </x:c>
      <x:c r="H1536" s="32" t="str">
        <x:f>IF(OR('Detalle'!$J747="",'Detalle'!$K747="",'Detalle'!$L747=""),"",IF(AND(H$8&lt;='Detalle'!$K747,H$9&gt;='Detalle'!$J747),1,""))</x:f>
      </x:c>
      <x:c r="I1536" s="32" t="str">
        <x:f>IF(OR('Detalle'!$J747="",'Detalle'!$K747="",'Detalle'!$L747=""),"",IF(AND(I$8&lt;='Detalle'!$K747,I$9&gt;='Detalle'!$J747),1,""))</x:f>
      </x:c>
      <x:c r="J1536" s="32" t="str">
        <x:f>IF(OR('Detalle'!$J747="",'Detalle'!$K747="",'Detalle'!$L747=""),"",IF(AND(J$8&lt;='Detalle'!$K747,J$9&gt;='Detalle'!$J747),1,""))</x:f>
      </x:c>
      <x:c r="K1536" s="32" t="str">
        <x:f>IF(OR('Detalle'!$J747="",'Detalle'!$K747="",'Detalle'!$L747=""),"",IF(AND(K$8&lt;='Detalle'!$K747,K$9&gt;='Detalle'!$J747),1,""))</x:f>
      </x:c>
      <x:c r="L1536" s="32" t="str">
        <x:f>IF(OR('Detalle'!$J747="",'Detalle'!$K747="",'Detalle'!$L747=""),"",IF(AND(L$8&lt;='Detalle'!$K747,L$9&gt;='Detalle'!$J747),1,""))</x:f>
      </x:c>
      <x:c r="M1536" s="32" t="str">
        <x:f>IF(OR('Detalle'!$J747="",'Detalle'!$K747="",'Detalle'!$L747=""),"",IF(AND(M$8&lt;='Detalle'!$K747,M$9&gt;='Detalle'!$J747),1,""))</x:f>
      </x:c>
      <x:c r="N1536" s="32" t="str">
        <x:f>IF(OR('Detalle'!$J747="",'Detalle'!$K747="",'Detalle'!$L747=""),"",IF(AND(N$8&lt;='Detalle'!$K747,N$9&gt;='Detalle'!$J747),1,""))</x:f>
      </x:c>
      <x:c r="O1536" s="32" t="str">
        <x:f>IF(OR('Detalle'!$J747="",'Detalle'!$K747="",'Detalle'!$L747=""),"",IF(AND(O$8&lt;='Detalle'!$K747,O$9&gt;='Detalle'!$J747),1,""))</x:f>
      </x:c>
      <x:c r="P1536" s="32" t="str">
        <x:f>IF(OR('Detalle'!$J747="",'Detalle'!$K747="",'Detalle'!$L747=""),"",IF(AND(P$8&lt;='Detalle'!$K747,P$9&gt;='Detalle'!$J747),1,""))</x:f>
      </x:c>
      <x:c r="Q1536" s="68"/>
      <x:c r="R1536" s="67" t="str"/>
      <x:c r="S1536" s="67" t="str"/>
    </x:row>
    <x:row r="1537" ht="16" customHeight="1">
      <x:c r="A1537" s="56" t="str">
        <x:v>TOU07.017</x:v>
      </x:c>
      <x:c r="B1537" s="57" t="str">
        <x:v>Corregir SIGSEGV de Enblend 4.2</x:v>
      </x:c>
      <x:c r="C1537" s="62" t="str">
        <x:v>E</x:v>
      </x:c>
      <x:c r="D1537" s="64" t="n">
        <x:f>'Detalle'!I748</x:f>
        <x:v>1</x:v>
      </x:c>
      <x:c r="E1537" s="60" t="str">
        <x:f>'Detalle'!F748</x:f>
        <x:v>Completado</x:v>
      </x:c>
      <x:c r="F1537" s="32" t="str">
        <x:f>IF(AND(F$8&lt;='Detalle'!$H748,F$9&gt;='Detalle'!$G748),1,"")</x:f>
      </x:c>
      <x:c r="G1537" s="32" t="str">
        <x:f>IF(AND(G$8&lt;='Detalle'!$H748,G$9&gt;='Detalle'!$G748),1,"")</x:f>
      </x:c>
      <x:c r="H1537" s="32" t="str">
        <x:f>IF(AND(H$8&lt;='Detalle'!$H748,H$9&gt;='Detalle'!$G748),1,"")</x:f>
      </x:c>
      <x:c r="I1537" s="32" t="str">
        <x:f>IF(AND(I$8&lt;='Detalle'!$H748,I$9&gt;='Detalle'!$G748),1,"")</x:f>
      </x:c>
      <x:c r="J1537" s="32" t="n">
        <x:f>IF(AND(J$8&lt;='Detalle'!$H748,J$9&gt;='Detalle'!$G748),1,"")</x:f>
        <x:v>1</x:v>
      </x:c>
      <x:c r="K1537" s="32" t="str">
        <x:f>IF(AND(K$8&lt;='Detalle'!$H748,K$9&gt;='Detalle'!$G748),1,"")</x:f>
      </x:c>
      <x:c r="L1537" s="32" t="str">
        <x:f>IF(AND(L$8&lt;='Detalle'!$H748,L$9&gt;='Detalle'!$G748),1,"")</x:f>
      </x:c>
      <x:c r="M1537" s="32" t="str">
        <x:f>IF(AND(M$8&lt;='Detalle'!$H748,M$9&gt;='Detalle'!$G748),1,"")</x:f>
      </x:c>
      <x:c r="N1537" s="32" t="str">
        <x:f>IF(AND(N$8&lt;='Detalle'!$H748,N$9&gt;='Detalle'!$G748),1,"")</x:f>
      </x:c>
      <x:c r="O1537" s="32" t="str">
        <x:f>IF(AND(O$8&lt;='Detalle'!$H748,O$9&gt;='Detalle'!$G748),1,"")</x:f>
      </x:c>
      <x:c r="P1537" s="32" t="str">
        <x:f>IF(AND(P$8&lt;='Detalle'!$H748,P$9&gt;='Detalle'!$G748),1,"")</x:f>
      </x:c>
      <x:c r="Q1537" s="68"/>
      <x:c r="R1537" s="67" t="str">
        <x:f>IF('Detalle'!M748="","",'Detalle'!M748)</x:f>
      </x:c>
      <x:c r="S1537" s="67" t="str">
        <x:f>IF('Detalle'!N748="","",'Detalle'!N748)</x:f>
      </x:c>
    </x:row>
    <x:row r="1538" ht="16" customHeight="1">
      <x:c r="A1538" s="56" t="str">
        <x:v>TOU07.017</x:v>
      </x:c>
      <x:c r="B1538" s="57" t="str">
        <x:v>Corregir SIGSEGV de Enblend 4.2</x:v>
      </x:c>
      <x:c r="C1538" s="63" t="str">
        <x:v>R</x:v>
      </x:c>
      <x:c r="D1538" s="65" t="str">
        <x:f>IF('Detalle'!L748="","",'Detalle'!L748)</x:f>
      </x:c>
      <x:c r="E1538" s="60" t="str"/>
      <x:c r="F1538" s="32" t="str">
        <x:f>IF(OR('Detalle'!$J748="",'Detalle'!$K748="",'Detalle'!$L748=""),"",IF(AND(F$8&lt;='Detalle'!$K748,F$9&gt;='Detalle'!$J748),1,""))</x:f>
      </x:c>
      <x:c r="G1538" s="32" t="str">
        <x:f>IF(OR('Detalle'!$J748="",'Detalle'!$K748="",'Detalle'!$L748=""),"",IF(AND(G$8&lt;='Detalle'!$K748,G$9&gt;='Detalle'!$J748),1,""))</x:f>
      </x:c>
      <x:c r="H1538" s="32" t="str">
        <x:f>IF(OR('Detalle'!$J748="",'Detalle'!$K748="",'Detalle'!$L748=""),"",IF(AND(H$8&lt;='Detalle'!$K748,H$9&gt;='Detalle'!$J748),1,""))</x:f>
      </x:c>
      <x:c r="I1538" s="32" t="str">
        <x:f>IF(OR('Detalle'!$J748="",'Detalle'!$K748="",'Detalle'!$L748=""),"",IF(AND(I$8&lt;='Detalle'!$K748,I$9&gt;='Detalle'!$J748),1,""))</x:f>
      </x:c>
      <x:c r="J1538" s="32" t="str">
        <x:f>IF(OR('Detalle'!$J748="",'Detalle'!$K748="",'Detalle'!$L748=""),"",IF(AND(J$8&lt;='Detalle'!$K748,J$9&gt;='Detalle'!$J748),1,""))</x:f>
      </x:c>
      <x:c r="K1538" s="32" t="str">
        <x:f>IF(OR('Detalle'!$J748="",'Detalle'!$K748="",'Detalle'!$L748=""),"",IF(AND(K$8&lt;='Detalle'!$K748,K$9&gt;='Detalle'!$J748),1,""))</x:f>
      </x:c>
      <x:c r="L1538" s="32" t="str">
        <x:f>IF(OR('Detalle'!$J748="",'Detalle'!$K748="",'Detalle'!$L748=""),"",IF(AND(L$8&lt;='Detalle'!$K748,L$9&gt;='Detalle'!$J748),1,""))</x:f>
      </x:c>
      <x:c r="M1538" s="32" t="str">
        <x:f>IF(OR('Detalle'!$J748="",'Detalle'!$K748="",'Detalle'!$L748=""),"",IF(AND(M$8&lt;='Detalle'!$K748,M$9&gt;='Detalle'!$J748),1,""))</x:f>
      </x:c>
      <x:c r="N1538" s="32" t="str">
        <x:f>IF(OR('Detalle'!$J748="",'Detalle'!$K748="",'Detalle'!$L748=""),"",IF(AND(N$8&lt;='Detalle'!$K748,N$9&gt;='Detalle'!$J748),1,""))</x:f>
      </x:c>
      <x:c r="O1538" s="32" t="str">
        <x:f>IF(OR('Detalle'!$J748="",'Detalle'!$K748="",'Detalle'!$L748=""),"",IF(AND(O$8&lt;='Detalle'!$K748,O$9&gt;='Detalle'!$J748),1,""))</x:f>
      </x:c>
      <x:c r="P1538" s="32" t="str">
        <x:f>IF(OR('Detalle'!$J748="",'Detalle'!$K748="",'Detalle'!$L748=""),"",IF(AND(P$8&lt;='Detalle'!$K748,P$9&gt;='Detalle'!$J748),1,""))</x:f>
      </x:c>
      <x:c r="Q1538" s="68"/>
      <x:c r="R1538" s="67" t="str"/>
      <x:c r="S1538" s="67" t="str"/>
    </x:row>
    <x:row r="1539" ht="16" customHeight="1">
      <x:c r="A1539" s="56" t="str">
        <x:v>TOU07.018</x:v>
      </x:c>
      <x:c r="B1539" s="57" t="str">
        <x:v>Corregir respuesta PostgREST 204</x:v>
      </x:c>
      <x:c r="C1539" s="62" t="str">
        <x:v>E</x:v>
      </x:c>
      <x:c r="D1539" s="64" t="n">
        <x:f>'Detalle'!I749</x:f>
        <x:v>1</x:v>
      </x:c>
      <x:c r="E1539" s="60" t="str">
        <x:f>'Detalle'!F749</x:f>
        <x:v>Completado</x:v>
      </x:c>
      <x:c r="F1539" s="32" t="str">
        <x:f>IF(AND(F$8&lt;='Detalle'!$H749,F$9&gt;='Detalle'!$G749),1,"")</x:f>
      </x:c>
      <x:c r="G1539" s="32" t="str">
        <x:f>IF(AND(G$8&lt;='Detalle'!$H749,G$9&gt;='Detalle'!$G749),1,"")</x:f>
      </x:c>
      <x:c r="H1539" s="32" t="str">
        <x:f>IF(AND(H$8&lt;='Detalle'!$H749,H$9&gt;='Detalle'!$G749),1,"")</x:f>
      </x:c>
      <x:c r="I1539" s="32" t="str">
        <x:f>IF(AND(I$8&lt;='Detalle'!$H749,I$9&gt;='Detalle'!$G749),1,"")</x:f>
      </x:c>
      <x:c r="J1539" s="32" t="n">
        <x:f>IF(AND(J$8&lt;='Detalle'!$H749,J$9&gt;='Detalle'!$G749),1,"")</x:f>
        <x:v>1</x:v>
      </x:c>
      <x:c r="K1539" s="32" t="str">
        <x:f>IF(AND(K$8&lt;='Detalle'!$H749,K$9&gt;='Detalle'!$G749),1,"")</x:f>
      </x:c>
      <x:c r="L1539" s="32" t="str">
        <x:f>IF(AND(L$8&lt;='Detalle'!$H749,L$9&gt;='Detalle'!$G749),1,"")</x:f>
      </x:c>
      <x:c r="M1539" s="32" t="str">
        <x:f>IF(AND(M$8&lt;='Detalle'!$H749,M$9&gt;='Detalle'!$G749),1,"")</x:f>
      </x:c>
      <x:c r="N1539" s="32" t="str">
        <x:f>IF(AND(N$8&lt;='Detalle'!$H749,N$9&gt;='Detalle'!$G749),1,"")</x:f>
      </x:c>
      <x:c r="O1539" s="32" t="str">
        <x:f>IF(AND(O$8&lt;='Detalle'!$H749,O$9&gt;='Detalle'!$G749),1,"")</x:f>
      </x:c>
      <x:c r="P1539" s="32" t="str">
        <x:f>IF(AND(P$8&lt;='Detalle'!$H749,P$9&gt;='Detalle'!$G749),1,"")</x:f>
      </x:c>
      <x:c r="Q1539" s="68"/>
      <x:c r="R1539" s="67" t="str">
        <x:f>IF('Detalle'!M749="","",'Detalle'!M749)</x:f>
      </x:c>
      <x:c r="S1539" s="67" t="str">
        <x:f>IF('Detalle'!N749="","",'Detalle'!N749)</x:f>
      </x:c>
    </x:row>
    <x:row r="1540" ht="16" customHeight="1">
      <x:c r="A1540" s="56" t="str">
        <x:v>TOU07.018</x:v>
      </x:c>
      <x:c r="B1540" s="57" t="str">
        <x:v>Corregir respuesta PostgREST 204</x:v>
      </x:c>
      <x:c r="C1540" s="63" t="str">
        <x:v>R</x:v>
      </x:c>
      <x:c r="D1540" s="65" t="str">
        <x:f>IF('Detalle'!L749="","",'Detalle'!L749)</x:f>
      </x:c>
      <x:c r="E1540" s="60" t="str"/>
      <x:c r="F1540" s="32" t="str">
        <x:f>IF(OR('Detalle'!$J749="",'Detalle'!$K749="",'Detalle'!$L749=""),"",IF(AND(F$8&lt;='Detalle'!$K749,F$9&gt;='Detalle'!$J749),1,""))</x:f>
      </x:c>
      <x:c r="G1540" s="32" t="str">
        <x:f>IF(OR('Detalle'!$J749="",'Detalle'!$K749="",'Detalle'!$L749=""),"",IF(AND(G$8&lt;='Detalle'!$K749,G$9&gt;='Detalle'!$J749),1,""))</x:f>
      </x:c>
      <x:c r="H1540" s="32" t="str">
        <x:f>IF(OR('Detalle'!$J749="",'Detalle'!$K749="",'Detalle'!$L749=""),"",IF(AND(H$8&lt;='Detalle'!$K749,H$9&gt;='Detalle'!$J749),1,""))</x:f>
      </x:c>
      <x:c r="I1540" s="32" t="str">
        <x:f>IF(OR('Detalle'!$J749="",'Detalle'!$K749="",'Detalle'!$L749=""),"",IF(AND(I$8&lt;='Detalle'!$K749,I$9&gt;='Detalle'!$J749),1,""))</x:f>
      </x:c>
      <x:c r="J1540" s="32" t="str">
        <x:f>IF(OR('Detalle'!$J749="",'Detalle'!$K749="",'Detalle'!$L749=""),"",IF(AND(J$8&lt;='Detalle'!$K749,J$9&gt;='Detalle'!$J749),1,""))</x:f>
      </x:c>
      <x:c r="K1540" s="32" t="str">
        <x:f>IF(OR('Detalle'!$J749="",'Detalle'!$K749="",'Detalle'!$L749=""),"",IF(AND(K$8&lt;='Detalle'!$K749,K$9&gt;='Detalle'!$J749),1,""))</x:f>
      </x:c>
      <x:c r="L1540" s="32" t="str">
        <x:f>IF(OR('Detalle'!$J749="",'Detalle'!$K749="",'Detalle'!$L749=""),"",IF(AND(L$8&lt;='Detalle'!$K749,L$9&gt;='Detalle'!$J749),1,""))</x:f>
      </x:c>
      <x:c r="M1540" s="32" t="str">
        <x:f>IF(OR('Detalle'!$J749="",'Detalle'!$K749="",'Detalle'!$L749=""),"",IF(AND(M$8&lt;='Detalle'!$K749,M$9&gt;='Detalle'!$J749),1,""))</x:f>
      </x:c>
      <x:c r="N1540" s="32" t="str">
        <x:f>IF(OR('Detalle'!$J749="",'Detalle'!$K749="",'Detalle'!$L749=""),"",IF(AND(N$8&lt;='Detalle'!$K749,N$9&gt;='Detalle'!$J749),1,""))</x:f>
      </x:c>
      <x:c r="O1540" s="32" t="str">
        <x:f>IF(OR('Detalle'!$J749="",'Detalle'!$K749="",'Detalle'!$L749=""),"",IF(AND(O$8&lt;='Detalle'!$K749,O$9&gt;='Detalle'!$J749),1,""))</x:f>
      </x:c>
      <x:c r="P1540" s="32" t="str">
        <x:f>IF(OR('Detalle'!$J749="",'Detalle'!$K749="",'Detalle'!$L749=""),"",IF(AND(P$8&lt;='Detalle'!$K749,P$9&gt;='Detalle'!$J749),1,""))</x:f>
      </x:c>
      <x:c r="Q1540" s="68"/>
      <x:c r="R1540" s="67" t="str"/>
      <x:c r="S1540" s="67" t="str"/>
    </x:row>
    <x:row r="1541" ht="16" customHeight="1">
      <x:c r="A1541" s="56" t="str">
        <x:v>TOU07.019</x:v>
      </x:c>
      <x:c r="B1541" s="57" t="str">
        <x:v>Corregir descargas parciales interrumpidas</x:v>
      </x:c>
      <x:c r="C1541" s="62" t="str">
        <x:v>E</x:v>
      </x:c>
      <x:c r="D1541" s="64" t="n">
        <x:f>'Detalle'!I750</x:f>
        <x:v>1</x:v>
      </x:c>
      <x:c r="E1541" s="60" t="str">
        <x:f>'Detalle'!F750</x:f>
        <x:v>Completado</x:v>
      </x:c>
      <x:c r="F1541" s="32" t="str">
        <x:f>IF(AND(F$8&lt;='Detalle'!$H750,F$9&gt;='Detalle'!$G750),1,"")</x:f>
      </x:c>
      <x:c r="G1541" s="32" t="str">
        <x:f>IF(AND(G$8&lt;='Detalle'!$H750,G$9&gt;='Detalle'!$G750),1,"")</x:f>
      </x:c>
      <x:c r="H1541" s="32" t="str">
        <x:f>IF(AND(H$8&lt;='Detalle'!$H750,H$9&gt;='Detalle'!$G750),1,"")</x:f>
      </x:c>
      <x:c r="I1541" s="32" t="str">
        <x:f>IF(AND(I$8&lt;='Detalle'!$H750,I$9&gt;='Detalle'!$G750),1,"")</x:f>
      </x:c>
      <x:c r="J1541" s="32" t="n">
        <x:f>IF(AND(J$8&lt;='Detalle'!$H750,J$9&gt;='Detalle'!$G750),1,"")</x:f>
        <x:v>1</x:v>
      </x:c>
      <x:c r="K1541" s="32" t="str">
        <x:f>IF(AND(K$8&lt;='Detalle'!$H750,K$9&gt;='Detalle'!$G750),1,"")</x:f>
      </x:c>
      <x:c r="L1541" s="32" t="str">
        <x:f>IF(AND(L$8&lt;='Detalle'!$H750,L$9&gt;='Detalle'!$G750),1,"")</x:f>
      </x:c>
      <x:c r="M1541" s="32" t="str">
        <x:f>IF(AND(M$8&lt;='Detalle'!$H750,M$9&gt;='Detalle'!$G750),1,"")</x:f>
      </x:c>
      <x:c r="N1541" s="32" t="str">
        <x:f>IF(AND(N$8&lt;='Detalle'!$H750,N$9&gt;='Detalle'!$G750),1,"")</x:f>
      </x:c>
      <x:c r="O1541" s="32" t="str">
        <x:f>IF(AND(O$8&lt;='Detalle'!$H750,O$9&gt;='Detalle'!$G750),1,"")</x:f>
      </x:c>
      <x:c r="P1541" s="32" t="str">
        <x:f>IF(AND(P$8&lt;='Detalle'!$H750,P$9&gt;='Detalle'!$G750),1,"")</x:f>
      </x:c>
      <x:c r="Q1541" s="68"/>
      <x:c r="R1541" s="67" t="str">
        <x:f>IF('Detalle'!M750="","",'Detalle'!M750)</x:f>
      </x:c>
      <x:c r="S1541" s="67" t="str">
        <x:f>IF('Detalle'!N750="","",'Detalle'!N750)</x:f>
      </x:c>
    </x:row>
    <x:row r="1542" ht="16" customHeight="1">
      <x:c r="A1542" s="56" t="str">
        <x:v>TOU07.019</x:v>
      </x:c>
      <x:c r="B1542" s="57" t="str">
        <x:v>Corregir descargas parciales interrumpidas</x:v>
      </x:c>
      <x:c r="C1542" s="63" t="str">
        <x:v>R</x:v>
      </x:c>
      <x:c r="D1542" s="65" t="str">
        <x:f>IF('Detalle'!L750="","",'Detalle'!L750)</x:f>
      </x:c>
      <x:c r="E1542" s="60" t="str"/>
      <x:c r="F1542" s="32" t="str">
        <x:f>IF(OR('Detalle'!$J750="",'Detalle'!$K750="",'Detalle'!$L750=""),"",IF(AND(F$8&lt;='Detalle'!$K750,F$9&gt;='Detalle'!$J750),1,""))</x:f>
      </x:c>
      <x:c r="G1542" s="32" t="str">
        <x:f>IF(OR('Detalle'!$J750="",'Detalle'!$K750="",'Detalle'!$L750=""),"",IF(AND(G$8&lt;='Detalle'!$K750,G$9&gt;='Detalle'!$J750),1,""))</x:f>
      </x:c>
      <x:c r="H1542" s="32" t="str">
        <x:f>IF(OR('Detalle'!$J750="",'Detalle'!$K750="",'Detalle'!$L750=""),"",IF(AND(H$8&lt;='Detalle'!$K750,H$9&gt;='Detalle'!$J750),1,""))</x:f>
      </x:c>
      <x:c r="I1542" s="32" t="str">
        <x:f>IF(OR('Detalle'!$J750="",'Detalle'!$K750="",'Detalle'!$L750=""),"",IF(AND(I$8&lt;='Detalle'!$K750,I$9&gt;='Detalle'!$J750),1,""))</x:f>
      </x:c>
      <x:c r="J1542" s="32" t="str">
        <x:f>IF(OR('Detalle'!$J750="",'Detalle'!$K750="",'Detalle'!$L750=""),"",IF(AND(J$8&lt;='Detalle'!$K750,J$9&gt;='Detalle'!$J750),1,""))</x:f>
      </x:c>
      <x:c r="K1542" s="32" t="str">
        <x:f>IF(OR('Detalle'!$J750="",'Detalle'!$K750="",'Detalle'!$L750=""),"",IF(AND(K$8&lt;='Detalle'!$K750,K$9&gt;='Detalle'!$J750),1,""))</x:f>
      </x:c>
      <x:c r="L1542" s="32" t="str">
        <x:f>IF(OR('Detalle'!$J750="",'Detalle'!$K750="",'Detalle'!$L750=""),"",IF(AND(L$8&lt;='Detalle'!$K750,L$9&gt;='Detalle'!$J750),1,""))</x:f>
      </x:c>
      <x:c r="M1542" s="32" t="str">
        <x:f>IF(OR('Detalle'!$J750="",'Detalle'!$K750="",'Detalle'!$L750=""),"",IF(AND(M$8&lt;='Detalle'!$K750,M$9&gt;='Detalle'!$J750),1,""))</x:f>
      </x:c>
      <x:c r="N1542" s="32" t="str">
        <x:f>IF(OR('Detalle'!$J750="",'Detalle'!$K750="",'Detalle'!$L750=""),"",IF(AND(N$8&lt;='Detalle'!$K750,N$9&gt;='Detalle'!$J750),1,""))</x:f>
      </x:c>
      <x:c r="O1542" s="32" t="str">
        <x:f>IF(OR('Detalle'!$J750="",'Detalle'!$K750="",'Detalle'!$L750=""),"",IF(AND(O$8&lt;='Detalle'!$K750,O$9&gt;='Detalle'!$J750),1,""))</x:f>
      </x:c>
      <x:c r="P1542" s="32" t="str">
        <x:f>IF(OR('Detalle'!$J750="",'Detalle'!$K750="",'Detalle'!$L750=""),"",IF(AND(P$8&lt;='Detalle'!$K750,P$9&gt;='Detalle'!$J750),1,""))</x:f>
      </x:c>
      <x:c r="Q1542" s="68"/>
      <x:c r="R1542" s="67" t="str"/>
      <x:c r="S1542" s="67" t="str"/>
    </x:row>
    <x:row r="1543" ht="20" customHeight="1">
      <x:c r="A1543" s="52" t="str">
        <x:v>TOU08 · Visor 360° y navegación del recorrido</x:v>
      </x:c>
      <x:c r="B1543" s="52" t="str">
        <x:v>TOU08 · Visor 360° y navegación del recorrido</x:v>
      </x:c>
      <x:c r="C1543" s="52" t="str">
        <x:v>TOU08 · Visor 360° y navegación del recorrido</x:v>
      </x:c>
      <x:c r="D1543" s="52" t="str">
        <x:v>TOU08 · Visor 360° y navegación del recorrido</x:v>
      </x:c>
      <x:c r="E1543" s="52" t="str">
        <x:v>TOU08 · Visor 360° y navegación del recorrido</x:v>
      </x:c>
      <x:c r="F1543" s="53" t="str">
        <x:v>TOU08 · Visor 360° y navegación del recorrido</x:v>
      </x:c>
      <x:c r="G1543" s="53" t="str">
        <x:v>TOU08 · Visor 360° y navegación del recorrido</x:v>
      </x:c>
      <x:c r="H1543" s="53" t="str">
        <x:v>TOU08 · Visor 360° y navegación del recorrido</x:v>
      </x:c>
      <x:c r="I1543" s="53" t="str">
        <x:v>TOU08 · Visor 360° y navegación del recorrido</x:v>
      </x:c>
      <x:c r="J1543" s="53" t="str">
        <x:v>TOU08 · Visor 360° y navegación del recorrido</x:v>
      </x:c>
      <x:c r="K1543" s="53" t="str">
        <x:v>TOU08 · Visor 360° y navegación del recorrido</x:v>
      </x:c>
      <x:c r="L1543" s="53" t="str">
        <x:v>TOU08 · Visor 360° y navegación del recorrido</x:v>
      </x:c>
      <x:c r="M1543" s="53" t="str">
        <x:v>TOU08 · Visor 360° y navegación del recorrido</x:v>
      </x:c>
      <x:c r="N1543" s="53" t="str">
        <x:v>TOU08 · Visor 360° y navegación del recorrido</x:v>
      </x:c>
      <x:c r="O1543" s="53" t="str">
        <x:v>TOU08 · Visor 360° y navegación del recorrido</x:v>
      </x:c>
      <x:c r="P1543" s="53" t="str">
        <x:v>TOU08 · Visor 360° y navegación del recorrido</x:v>
      </x:c>
      <x:c r="Q1543" s="52" t="str">
        <x:v>TOU08 · Visor 360° y navegación del recorrido</x:v>
      </x:c>
      <x:c r="R1543" s="52" t="str">
        <x:v>TOU08 · Visor 360° y navegación del recorrido</x:v>
      </x:c>
      <x:c r="S1543" s="52" t="str">
        <x:v>TOU08 · Visor 360° y navegación del recorrido</x:v>
      </x:c>
    </x:row>
    <x:row r="1544" ht="16" customHeight="1">
      <x:c r="A1544" s="56" t="str">
        <x:v>TOU08.001</x:v>
      </x:c>
      <x:c r="B1544" s="57" t="str">
        <x:v>Mostrar presentación pública del recorrido</x:v>
      </x:c>
      <x:c r="C1544" s="62" t="str">
        <x:v>E</x:v>
      </x:c>
      <x:c r="D1544" s="64" t="n">
        <x:f>'Detalle'!I751</x:f>
        <x:v>1</x:v>
      </x:c>
      <x:c r="E1544" s="60" t="str">
        <x:f>'Detalle'!F751</x:f>
        <x:v>Completado</x:v>
      </x:c>
      <x:c r="F1544" s="32" t="str">
        <x:f>IF(AND(F$8&lt;='Detalle'!$H751,F$9&gt;='Detalle'!$G751),1,"")</x:f>
      </x:c>
      <x:c r="G1544" s="32" t="str">
        <x:f>IF(AND(G$8&lt;='Detalle'!$H751,G$9&gt;='Detalle'!$G751),1,"")</x:f>
      </x:c>
      <x:c r="H1544" s="32" t="str">
        <x:f>IF(AND(H$8&lt;='Detalle'!$H751,H$9&gt;='Detalle'!$G751),1,"")</x:f>
      </x:c>
      <x:c r="I1544" s="32" t="str">
        <x:f>IF(AND(I$8&lt;='Detalle'!$H751,I$9&gt;='Detalle'!$G751),1,"")</x:f>
      </x:c>
      <x:c r="J1544" s="32" t="n">
        <x:f>IF(AND(J$8&lt;='Detalle'!$H751,J$9&gt;='Detalle'!$G751),1,"")</x:f>
        <x:v>1</x:v>
      </x:c>
      <x:c r="K1544" s="32" t="str">
        <x:f>IF(AND(K$8&lt;='Detalle'!$H751,K$9&gt;='Detalle'!$G751),1,"")</x:f>
      </x:c>
      <x:c r="L1544" s="32" t="str">
        <x:f>IF(AND(L$8&lt;='Detalle'!$H751,L$9&gt;='Detalle'!$G751),1,"")</x:f>
      </x:c>
      <x:c r="M1544" s="32" t="str">
        <x:f>IF(AND(M$8&lt;='Detalle'!$H751,M$9&gt;='Detalle'!$G751),1,"")</x:f>
      </x:c>
      <x:c r="N1544" s="32" t="str">
        <x:f>IF(AND(N$8&lt;='Detalle'!$H751,N$9&gt;='Detalle'!$G751),1,"")</x:f>
      </x:c>
      <x:c r="O1544" s="32" t="str">
        <x:f>IF(AND(O$8&lt;='Detalle'!$H751,O$9&gt;='Detalle'!$G751),1,"")</x:f>
      </x:c>
      <x:c r="P1544" s="32" t="str">
        <x:f>IF(AND(P$8&lt;='Detalle'!$H751,P$9&gt;='Detalle'!$G751),1,"")</x:f>
      </x:c>
      <x:c r="Q1544" s="68"/>
      <x:c r="R1544" s="67" t="str">
        <x:f>IF('Detalle'!M751="","",'Detalle'!M751)</x:f>
      </x:c>
      <x:c r="S1544" s="67" t="str">
        <x:f>IF('Detalle'!N751="","",'Detalle'!N751)</x:f>
      </x:c>
    </x:row>
    <x:row r="1545" ht="16" customHeight="1">
      <x:c r="A1545" s="56" t="str">
        <x:v>TOU08.001</x:v>
      </x:c>
      <x:c r="B1545" s="57" t="str">
        <x:v>Mostrar presentación pública del recorrido</x:v>
      </x:c>
      <x:c r="C1545" s="63" t="str">
        <x:v>R</x:v>
      </x:c>
      <x:c r="D1545" s="65" t="str">
        <x:f>IF('Detalle'!L751="","",'Detalle'!L751)</x:f>
      </x:c>
      <x:c r="E1545" s="60" t="str"/>
      <x:c r="F1545" s="32" t="str">
        <x:f>IF(OR('Detalle'!$J751="",'Detalle'!$K751="",'Detalle'!$L751=""),"",IF(AND(F$8&lt;='Detalle'!$K751,F$9&gt;='Detalle'!$J751),1,""))</x:f>
      </x:c>
      <x:c r="G1545" s="32" t="str">
        <x:f>IF(OR('Detalle'!$J751="",'Detalle'!$K751="",'Detalle'!$L751=""),"",IF(AND(G$8&lt;='Detalle'!$K751,G$9&gt;='Detalle'!$J751),1,""))</x:f>
      </x:c>
      <x:c r="H1545" s="32" t="str">
        <x:f>IF(OR('Detalle'!$J751="",'Detalle'!$K751="",'Detalle'!$L751=""),"",IF(AND(H$8&lt;='Detalle'!$K751,H$9&gt;='Detalle'!$J751),1,""))</x:f>
      </x:c>
      <x:c r="I1545" s="32" t="str">
        <x:f>IF(OR('Detalle'!$J751="",'Detalle'!$K751="",'Detalle'!$L751=""),"",IF(AND(I$8&lt;='Detalle'!$K751,I$9&gt;='Detalle'!$J751),1,""))</x:f>
      </x:c>
      <x:c r="J1545" s="32" t="str">
        <x:f>IF(OR('Detalle'!$J751="",'Detalle'!$K751="",'Detalle'!$L751=""),"",IF(AND(J$8&lt;='Detalle'!$K751,J$9&gt;='Detalle'!$J751),1,""))</x:f>
      </x:c>
      <x:c r="K1545" s="32" t="str">
        <x:f>IF(OR('Detalle'!$J751="",'Detalle'!$K751="",'Detalle'!$L751=""),"",IF(AND(K$8&lt;='Detalle'!$K751,K$9&gt;='Detalle'!$J751),1,""))</x:f>
      </x:c>
      <x:c r="L1545" s="32" t="str">
        <x:f>IF(OR('Detalle'!$J751="",'Detalle'!$K751="",'Detalle'!$L751=""),"",IF(AND(L$8&lt;='Detalle'!$K751,L$9&gt;='Detalle'!$J751),1,""))</x:f>
      </x:c>
      <x:c r="M1545" s="32" t="str">
        <x:f>IF(OR('Detalle'!$J751="",'Detalle'!$K751="",'Detalle'!$L751=""),"",IF(AND(M$8&lt;='Detalle'!$K751,M$9&gt;='Detalle'!$J751),1,""))</x:f>
      </x:c>
      <x:c r="N1545" s="32" t="str">
        <x:f>IF(OR('Detalle'!$J751="",'Detalle'!$K751="",'Detalle'!$L751=""),"",IF(AND(N$8&lt;='Detalle'!$K751,N$9&gt;='Detalle'!$J751),1,""))</x:f>
      </x:c>
      <x:c r="O1545" s="32" t="str">
        <x:f>IF(OR('Detalle'!$J751="",'Detalle'!$K751="",'Detalle'!$L751=""),"",IF(AND(O$8&lt;='Detalle'!$K751,O$9&gt;='Detalle'!$J751),1,""))</x:f>
      </x:c>
      <x:c r="P1545" s="32" t="str">
        <x:f>IF(OR('Detalle'!$J751="",'Detalle'!$K751="",'Detalle'!$L751=""),"",IF(AND(P$8&lt;='Detalle'!$K751,P$9&gt;='Detalle'!$J751),1,""))</x:f>
      </x:c>
      <x:c r="Q1545" s="68"/>
      <x:c r="R1545" s="67" t="str"/>
      <x:c r="S1545" s="67" t="str"/>
    </x:row>
    <x:row r="1546" ht="16" customHeight="1">
      <x:c r="A1546" s="56" t="str">
        <x:v>TOU08.002</x:v>
      </x:c>
      <x:c r="B1546" s="57" t="str">
        <x:v>Renderizar panorama por arrastre</x:v>
      </x:c>
      <x:c r="C1546" s="62" t="str">
        <x:v>E</x:v>
      </x:c>
      <x:c r="D1546" s="64" t="n">
        <x:f>'Detalle'!I752</x:f>
        <x:v>1</x:v>
      </x:c>
      <x:c r="E1546" s="60" t="str">
        <x:f>'Detalle'!F752</x:f>
        <x:v>Completado</x:v>
      </x:c>
      <x:c r="F1546" s="32" t="str">
        <x:f>IF(AND(F$8&lt;='Detalle'!$H752,F$9&gt;='Detalle'!$G752),1,"")</x:f>
      </x:c>
      <x:c r="G1546" s="32" t="str">
        <x:f>IF(AND(G$8&lt;='Detalle'!$H752,G$9&gt;='Detalle'!$G752),1,"")</x:f>
      </x:c>
      <x:c r="H1546" s="32" t="str">
        <x:f>IF(AND(H$8&lt;='Detalle'!$H752,H$9&gt;='Detalle'!$G752),1,"")</x:f>
      </x:c>
      <x:c r="I1546" s="32" t="str">
        <x:f>IF(AND(I$8&lt;='Detalle'!$H752,I$9&gt;='Detalle'!$G752),1,"")</x:f>
      </x:c>
      <x:c r="J1546" s="32" t="n">
        <x:f>IF(AND(J$8&lt;='Detalle'!$H752,J$9&gt;='Detalle'!$G752),1,"")</x:f>
        <x:v>1</x:v>
      </x:c>
      <x:c r="K1546" s="32" t="str">
        <x:f>IF(AND(K$8&lt;='Detalle'!$H752,K$9&gt;='Detalle'!$G752),1,"")</x:f>
      </x:c>
      <x:c r="L1546" s="32" t="str">
        <x:f>IF(AND(L$8&lt;='Detalle'!$H752,L$9&gt;='Detalle'!$G752),1,"")</x:f>
      </x:c>
      <x:c r="M1546" s="32" t="str">
        <x:f>IF(AND(M$8&lt;='Detalle'!$H752,M$9&gt;='Detalle'!$G752),1,"")</x:f>
      </x:c>
      <x:c r="N1546" s="32" t="str">
        <x:f>IF(AND(N$8&lt;='Detalle'!$H752,N$9&gt;='Detalle'!$G752),1,"")</x:f>
      </x:c>
      <x:c r="O1546" s="32" t="str">
        <x:f>IF(AND(O$8&lt;='Detalle'!$H752,O$9&gt;='Detalle'!$G752),1,"")</x:f>
      </x:c>
      <x:c r="P1546" s="32" t="str">
        <x:f>IF(AND(P$8&lt;='Detalle'!$H752,P$9&gt;='Detalle'!$G752),1,"")</x:f>
      </x:c>
      <x:c r="Q1546" s="68"/>
      <x:c r="R1546" s="67" t="str">
        <x:f>IF('Detalle'!M752="","",'Detalle'!M752)</x:f>
      </x:c>
      <x:c r="S1546" s="67" t="str">
        <x:f>IF('Detalle'!N752="","",'Detalle'!N752)</x:f>
      </x:c>
    </x:row>
    <x:row r="1547" ht="16" customHeight="1">
      <x:c r="A1547" s="56" t="str">
        <x:v>TOU08.002</x:v>
      </x:c>
      <x:c r="B1547" s="57" t="str">
        <x:v>Renderizar panorama por arrastre</x:v>
      </x:c>
      <x:c r="C1547" s="63" t="str">
        <x:v>R</x:v>
      </x:c>
      <x:c r="D1547" s="65" t="str">
        <x:f>IF('Detalle'!L752="","",'Detalle'!L752)</x:f>
      </x:c>
      <x:c r="E1547" s="60" t="str"/>
      <x:c r="F1547" s="32" t="str">
        <x:f>IF(OR('Detalle'!$J752="",'Detalle'!$K752="",'Detalle'!$L752=""),"",IF(AND(F$8&lt;='Detalle'!$K752,F$9&gt;='Detalle'!$J752),1,""))</x:f>
      </x:c>
      <x:c r="G1547" s="32" t="str">
        <x:f>IF(OR('Detalle'!$J752="",'Detalle'!$K752="",'Detalle'!$L752=""),"",IF(AND(G$8&lt;='Detalle'!$K752,G$9&gt;='Detalle'!$J752),1,""))</x:f>
      </x:c>
      <x:c r="H1547" s="32" t="str">
        <x:f>IF(OR('Detalle'!$J752="",'Detalle'!$K752="",'Detalle'!$L752=""),"",IF(AND(H$8&lt;='Detalle'!$K752,H$9&gt;='Detalle'!$J752),1,""))</x:f>
      </x:c>
      <x:c r="I1547" s="32" t="str">
        <x:f>IF(OR('Detalle'!$J752="",'Detalle'!$K752="",'Detalle'!$L752=""),"",IF(AND(I$8&lt;='Detalle'!$K752,I$9&gt;='Detalle'!$J752),1,""))</x:f>
      </x:c>
      <x:c r="J1547" s="32" t="str">
        <x:f>IF(OR('Detalle'!$J752="",'Detalle'!$K752="",'Detalle'!$L752=""),"",IF(AND(J$8&lt;='Detalle'!$K752,J$9&gt;='Detalle'!$J752),1,""))</x:f>
      </x:c>
      <x:c r="K1547" s="32" t="str">
        <x:f>IF(OR('Detalle'!$J752="",'Detalle'!$K752="",'Detalle'!$L752=""),"",IF(AND(K$8&lt;='Detalle'!$K752,K$9&gt;='Detalle'!$J752),1,""))</x:f>
      </x:c>
      <x:c r="L1547" s="32" t="str">
        <x:f>IF(OR('Detalle'!$J752="",'Detalle'!$K752="",'Detalle'!$L752=""),"",IF(AND(L$8&lt;='Detalle'!$K752,L$9&gt;='Detalle'!$J752),1,""))</x:f>
      </x:c>
      <x:c r="M1547" s="32" t="str">
        <x:f>IF(OR('Detalle'!$J752="",'Detalle'!$K752="",'Detalle'!$L752=""),"",IF(AND(M$8&lt;='Detalle'!$K752,M$9&gt;='Detalle'!$J752),1,""))</x:f>
      </x:c>
      <x:c r="N1547" s="32" t="str">
        <x:f>IF(OR('Detalle'!$J752="",'Detalle'!$K752="",'Detalle'!$L752=""),"",IF(AND(N$8&lt;='Detalle'!$K752,N$9&gt;='Detalle'!$J752),1,""))</x:f>
      </x:c>
      <x:c r="O1547" s="32" t="str">
        <x:f>IF(OR('Detalle'!$J752="",'Detalle'!$K752="",'Detalle'!$L752=""),"",IF(AND(O$8&lt;='Detalle'!$K752,O$9&gt;='Detalle'!$J752),1,""))</x:f>
      </x:c>
      <x:c r="P1547" s="32" t="str">
        <x:f>IF(OR('Detalle'!$J752="",'Detalle'!$K752="",'Detalle'!$L752=""),"",IF(AND(P$8&lt;='Detalle'!$K752,P$9&gt;='Detalle'!$J752),1,""))</x:f>
      </x:c>
      <x:c r="Q1547" s="68"/>
      <x:c r="R1547" s="67" t="str"/>
      <x:c r="S1547" s="67" t="str"/>
    </x:row>
    <x:row r="1548" ht="16" customHeight="1">
      <x:c r="A1548" s="56" t="str">
        <x:v>TOU08.003</x:v>
      </x:c>
      <x:c r="B1548" s="57" t="str">
        <x:v>Normalizar costura angular y polos</x:v>
      </x:c>
      <x:c r="C1548" s="62" t="str">
        <x:v>E</x:v>
      </x:c>
      <x:c r="D1548" s="64" t="n">
        <x:f>'Detalle'!I753</x:f>
        <x:v>1</x:v>
      </x:c>
      <x:c r="E1548" s="60" t="str">
        <x:f>'Detalle'!F753</x:f>
        <x:v>Completado</x:v>
      </x:c>
      <x:c r="F1548" s="32" t="str">
        <x:f>IF(AND(F$8&lt;='Detalle'!$H753,F$9&gt;='Detalle'!$G753),1,"")</x:f>
      </x:c>
      <x:c r="G1548" s="32" t="str">
        <x:f>IF(AND(G$8&lt;='Detalle'!$H753,G$9&gt;='Detalle'!$G753),1,"")</x:f>
      </x:c>
      <x:c r="H1548" s="32" t="str">
        <x:f>IF(AND(H$8&lt;='Detalle'!$H753,H$9&gt;='Detalle'!$G753),1,"")</x:f>
      </x:c>
      <x:c r="I1548" s="32" t="str">
        <x:f>IF(AND(I$8&lt;='Detalle'!$H753,I$9&gt;='Detalle'!$G753),1,"")</x:f>
      </x:c>
      <x:c r="J1548" s="32" t="n">
        <x:f>IF(AND(J$8&lt;='Detalle'!$H753,J$9&gt;='Detalle'!$G753),1,"")</x:f>
        <x:v>1</x:v>
      </x:c>
      <x:c r="K1548" s="32" t="str">
        <x:f>IF(AND(K$8&lt;='Detalle'!$H753,K$9&gt;='Detalle'!$G753),1,"")</x:f>
      </x:c>
      <x:c r="L1548" s="32" t="str">
        <x:f>IF(AND(L$8&lt;='Detalle'!$H753,L$9&gt;='Detalle'!$G753),1,"")</x:f>
      </x:c>
      <x:c r="M1548" s="32" t="str">
        <x:f>IF(AND(M$8&lt;='Detalle'!$H753,M$9&gt;='Detalle'!$G753),1,"")</x:f>
      </x:c>
      <x:c r="N1548" s="32" t="str">
        <x:f>IF(AND(N$8&lt;='Detalle'!$H753,N$9&gt;='Detalle'!$G753),1,"")</x:f>
      </x:c>
      <x:c r="O1548" s="32" t="str">
        <x:f>IF(AND(O$8&lt;='Detalle'!$H753,O$9&gt;='Detalle'!$G753),1,"")</x:f>
      </x:c>
      <x:c r="P1548" s="32" t="str">
        <x:f>IF(AND(P$8&lt;='Detalle'!$H753,P$9&gt;='Detalle'!$G753),1,"")</x:f>
      </x:c>
      <x:c r="Q1548" s="68"/>
      <x:c r="R1548" s="67" t="str">
        <x:f>IF('Detalle'!M753="","",'Detalle'!M753)</x:f>
      </x:c>
      <x:c r="S1548" s="67" t="str">
        <x:f>IF('Detalle'!N753="","",'Detalle'!N753)</x:f>
      </x:c>
    </x:row>
    <x:row r="1549" ht="16" customHeight="1">
      <x:c r="A1549" s="56" t="str">
        <x:v>TOU08.003</x:v>
      </x:c>
      <x:c r="B1549" s="57" t="str">
        <x:v>Normalizar costura angular y polos</x:v>
      </x:c>
      <x:c r="C1549" s="63" t="str">
        <x:v>R</x:v>
      </x:c>
      <x:c r="D1549" s="65" t="str">
        <x:f>IF('Detalle'!L753="","",'Detalle'!L753)</x:f>
      </x:c>
      <x:c r="E1549" s="60" t="str"/>
      <x:c r="F1549" s="32" t="str">
        <x:f>IF(OR('Detalle'!$J753="",'Detalle'!$K753="",'Detalle'!$L753=""),"",IF(AND(F$8&lt;='Detalle'!$K753,F$9&gt;='Detalle'!$J753),1,""))</x:f>
      </x:c>
      <x:c r="G1549" s="32" t="str">
        <x:f>IF(OR('Detalle'!$J753="",'Detalle'!$K753="",'Detalle'!$L753=""),"",IF(AND(G$8&lt;='Detalle'!$K753,G$9&gt;='Detalle'!$J753),1,""))</x:f>
      </x:c>
      <x:c r="H1549" s="32" t="str">
        <x:f>IF(OR('Detalle'!$J753="",'Detalle'!$K753="",'Detalle'!$L753=""),"",IF(AND(H$8&lt;='Detalle'!$K753,H$9&gt;='Detalle'!$J753),1,""))</x:f>
      </x:c>
      <x:c r="I1549" s="32" t="str">
        <x:f>IF(OR('Detalle'!$J753="",'Detalle'!$K753="",'Detalle'!$L753=""),"",IF(AND(I$8&lt;='Detalle'!$K753,I$9&gt;='Detalle'!$J753),1,""))</x:f>
      </x:c>
      <x:c r="J1549" s="32" t="str">
        <x:f>IF(OR('Detalle'!$J753="",'Detalle'!$K753="",'Detalle'!$L753=""),"",IF(AND(J$8&lt;='Detalle'!$K753,J$9&gt;='Detalle'!$J753),1,""))</x:f>
      </x:c>
      <x:c r="K1549" s="32" t="str">
        <x:f>IF(OR('Detalle'!$J753="",'Detalle'!$K753="",'Detalle'!$L753=""),"",IF(AND(K$8&lt;='Detalle'!$K753,K$9&gt;='Detalle'!$J753),1,""))</x:f>
      </x:c>
      <x:c r="L1549" s="32" t="str">
        <x:f>IF(OR('Detalle'!$J753="",'Detalle'!$K753="",'Detalle'!$L753=""),"",IF(AND(L$8&lt;='Detalle'!$K753,L$9&gt;='Detalle'!$J753),1,""))</x:f>
      </x:c>
      <x:c r="M1549" s="32" t="str">
        <x:f>IF(OR('Detalle'!$J753="",'Detalle'!$K753="",'Detalle'!$L753=""),"",IF(AND(M$8&lt;='Detalle'!$K753,M$9&gt;='Detalle'!$J753),1,""))</x:f>
      </x:c>
      <x:c r="N1549" s="32" t="str">
        <x:f>IF(OR('Detalle'!$J753="",'Detalle'!$K753="",'Detalle'!$L753=""),"",IF(AND(N$8&lt;='Detalle'!$K753,N$9&gt;='Detalle'!$J753),1,""))</x:f>
      </x:c>
      <x:c r="O1549" s="32" t="str">
        <x:f>IF(OR('Detalle'!$J753="",'Detalle'!$K753="",'Detalle'!$L753=""),"",IF(AND(O$8&lt;='Detalle'!$K753,O$9&gt;='Detalle'!$J753),1,""))</x:f>
      </x:c>
      <x:c r="P1549" s="32" t="str">
        <x:f>IF(OR('Detalle'!$J753="",'Detalle'!$K753="",'Detalle'!$L753=""),"",IF(AND(P$8&lt;='Detalle'!$K753,P$9&gt;='Detalle'!$J753),1,""))</x:f>
      </x:c>
      <x:c r="Q1549" s="68"/>
      <x:c r="R1549" s="67" t="str"/>
      <x:c r="S1549" s="67" t="str"/>
    </x:row>
    <x:row r="1550" ht="16" customHeight="1">
      <x:c r="A1550" s="56" t="str">
        <x:v>TOU08.004</x:v>
      </x:c>
      <x:c r="B1550" s="57" t="str">
        <x:v>Mostrar conexiones sobre panorama</x:v>
      </x:c>
      <x:c r="C1550" s="62" t="str">
        <x:v>E</x:v>
      </x:c>
      <x:c r="D1550" s="64" t="n">
        <x:f>'Detalle'!I754</x:f>
        <x:v>1</x:v>
      </x:c>
      <x:c r="E1550" s="60" t="str">
        <x:f>'Detalle'!F754</x:f>
        <x:v>Completado</x:v>
      </x:c>
      <x:c r="F1550" s="32" t="str">
        <x:f>IF(AND(F$8&lt;='Detalle'!$H754,F$9&gt;='Detalle'!$G754),1,"")</x:f>
      </x:c>
      <x:c r="G1550" s="32" t="str">
        <x:f>IF(AND(G$8&lt;='Detalle'!$H754,G$9&gt;='Detalle'!$G754),1,"")</x:f>
      </x:c>
      <x:c r="H1550" s="32" t="str">
        <x:f>IF(AND(H$8&lt;='Detalle'!$H754,H$9&gt;='Detalle'!$G754),1,"")</x:f>
      </x:c>
      <x:c r="I1550" s="32" t="str">
        <x:f>IF(AND(I$8&lt;='Detalle'!$H754,I$9&gt;='Detalle'!$G754),1,"")</x:f>
      </x:c>
      <x:c r="J1550" s="32" t="n">
        <x:f>IF(AND(J$8&lt;='Detalle'!$H754,J$9&gt;='Detalle'!$G754),1,"")</x:f>
        <x:v>1</x:v>
      </x:c>
      <x:c r="K1550" s="32" t="str">
        <x:f>IF(AND(K$8&lt;='Detalle'!$H754,K$9&gt;='Detalle'!$G754),1,"")</x:f>
      </x:c>
      <x:c r="L1550" s="32" t="str">
        <x:f>IF(AND(L$8&lt;='Detalle'!$H754,L$9&gt;='Detalle'!$G754),1,"")</x:f>
      </x:c>
      <x:c r="M1550" s="32" t="str">
        <x:f>IF(AND(M$8&lt;='Detalle'!$H754,M$9&gt;='Detalle'!$G754),1,"")</x:f>
      </x:c>
      <x:c r="N1550" s="32" t="str">
        <x:f>IF(AND(N$8&lt;='Detalle'!$H754,N$9&gt;='Detalle'!$G754),1,"")</x:f>
      </x:c>
      <x:c r="O1550" s="32" t="str">
        <x:f>IF(AND(O$8&lt;='Detalle'!$H754,O$9&gt;='Detalle'!$G754),1,"")</x:f>
      </x:c>
      <x:c r="P1550" s="32" t="str">
        <x:f>IF(AND(P$8&lt;='Detalle'!$H754,P$9&gt;='Detalle'!$G754),1,"")</x:f>
      </x:c>
      <x:c r="Q1550" s="68"/>
      <x:c r="R1550" s="67" t="str">
        <x:f>IF('Detalle'!M754="","",'Detalle'!M754)</x:f>
      </x:c>
      <x:c r="S1550" s="67" t="str">
        <x:f>IF('Detalle'!N754="","",'Detalle'!N754)</x:f>
      </x:c>
    </x:row>
    <x:row r="1551" ht="16" customHeight="1">
      <x:c r="A1551" s="56" t="str">
        <x:v>TOU08.004</x:v>
      </x:c>
      <x:c r="B1551" s="57" t="str">
        <x:v>Mostrar conexiones sobre panorama</x:v>
      </x:c>
      <x:c r="C1551" s="63" t="str">
        <x:v>R</x:v>
      </x:c>
      <x:c r="D1551" s="65" t="str">
        <x:f>IF('Detalle'!L754="","",'Detalle'!L754)</x:f>
      </x:c>
      <x:c r="E1551" s="60" t="str"/>
      <x:c r="F1551" s="32" t="str">
        <x:f>IF(OR('Detalle'!$J754="",'Detalle'!$K754="",'Detalle'!$L754=""),"",IF(AND(F$8&lt;='Detalle'!$K754,F$9&gt;='Detalle'!$J754),1,""))</x:f>
      </x:c>
      <x:c r="G1551" s="32" t="str">
        <x:f>IF(OR('Detalle'!$J754="",'Detalle'!$K754="",'Detalle'!$L754=""),"",IF(AND(G$8&lt;='Detalle'!$K754,G$9&gt;='Detalle'!$J754),1,""))</x:f>
      </x:c>
      <x:c r="H1551" s="32" t="str">
        <x:f>IF(OR('Detalle'!$J754="",'Detalle'!$K754="",'Detalle'!$L754=""),"",IF(AND(H$8&lt;='Detalle'!$K754,H$9&gt;='Detalle'!$J754),1,""))</x:f>
      </x:c>
      <x:c r="I1551" s="32" t="str">
        <x:f>IF(OR('Detalle'!$J754="",'Detalle'!$K754="",'Detalle'!$L754=""),"",IF(AND(I$8&lt;='Detalle'!$K754,I$9&gt;='Detalle'!$J754),1,""))</x:f>
      </x:c>
      <x:c r="J1551" s="32" t="str">
        <x:f>IF(OR('Detalle'!$J754="",'Detalle'!$K754="",'Detalle'!$L754=""),"",IF(AND(J$8&lt;='Detalle'!$K754,J$9&gt;='Detalle'!$J754),1,""))</x:f>
      </x:c>
      <x:c r="K1551" s="32" t="str">
        <x:f>IF(OR('Detalle'!$J754="",'Detalle'!$K754="",'Detalle'!$L754=""),"",IF(AND(K$8&lt;='Detalle'!$K754,K$9&gt;='Detalle'!$J754),1,""))</x:f>
      </x:c>
      <x:c r="L1551" s="32" t="str">
        <x:f>IF(OR('Detalle'!$J754="",'Detalle'!$K754="",'Detalle'!$L754=""),"",IF(AND(L$8&lt;='Detalle'!$K754,L$9&gt;='Detalle'!$J754),1,""))</x:f>
      </x:c>
      <x:c r="M1551" s="32" t="str">
        <x:f>IF(OR('Detalle'!$J754="",'Detalle'!$K754="",'Detalle'!$L754=""),"",IF(AND(M$8&lt;='Detalle'!$K754,M$9&gt;='Detalle'!$J754),1,""))</x:f>
      </x:c>
      <x:c r="N1551" s="32" t="str">
        <x:f>IF(OR('Detalle'!$J754="",'Detalle'!$K754="",'Detalle'!$L754=""),"",IF(AND(N$8&lt;='Detalle'!$K754,N$9&gt;='Detalle'!$J754),1,""))</x:f>
      </x:c>
      <x:c r="O1551" s="32" t="str">
        <x:f>IF(OR('Detalle'!$J754="",'Detalle'!$K754="",'Detalle'!$L754=""),"",IF(AND(O$8&lt;='Detalle'!$K754,O$9&gt;='Detalle'!$J754),1,""))</x:f>
      </x:c>
      <x:c r="P1551" s="32" t="str">
        <x:f>IF(OR('Detalle'!$J754="",'Detalle'!$K754="",'Detalle'!$L754=""),"",IF(AND(P$8&lt;='Detalle'!$K754,P$9&gt;='Detalle'!$J754),1,""))</x:f>
      </x:c>
      <x:c r="Q1551" s="68"/>
      <x:c r="R1551" s="67" t="str"/>
      <x:c r="S1551" s="67" t="str"/>
    </x:row>
    <x:row r="1552" ht="16" customHeight="1">
      <x:c r="A1552" s="56" t="str">
        <x:v>TOU08.005</x:v>
      </x:c>
      <x:c r="B1552" s="57" t="str">
        <x:v>Mostrar lista alternativa de posiciones</x:v>
      </x:c>
      <x:c r="C1552" s="62" t="str">
        <x:v>E</x:v>
      </x:c>
      <x:c r="D1552" s="64" t="n">
        <x:f>'Detalle'!I755</x:f>
        <x:v>1</x:v>
      </x:c>
      <x:c r="E1552" s="60" t="str">
        <x:f>'Detalle'!F755</x:f>
        <x:v>Completado</x:v>
      </x:c>
      <x:c r="F1552" s="32" t="str">
        <x:f>IF(AND(F$8&lt;='Detalle'!$H755,F$9&gt;='Detalle'!$G755),1,"")</x:f>
      </x:c>
      <x:c r="G1552" s="32" t="str">
        <x:f>IF(AND(G$8&lt;='Detalle'!$H755,G$9&gt;='Detalle'!$G755),1,"")</x:f>
      </x:c>
      <x:c r="H1552" s="32" t="str">
        <x:f>IF(AND(H$8&lt;='Detalle'!$H755,H$9&gt;='Detalle'!$G755),1,"")</x:f>
      </x:c>
      <x:c r="I1552" s="32" t="str">
        <x:f>IF(AND(I$8&lt;='Detalle'!$H755,I$9&gt;='Detalle'!$G755),1,"")</x:f>
      </x:c>
      <x:c r="J1552" s="32" t="n">
        <x:f>IF(AND(J$8&lt;='Detalle'!$H755,J$9&gt;='Detalle'!$G755),1,"")</x:f>
        <x:v>1</x:v>
      </x:c>
      <x:c r="K1552" s="32" t="str">
        <x:f>IF(AND(K$8&lt;='Detalle'!$H755,K$9&gt;='Detalle'!$G755),1,"")</x:f>
      </x:c>
      <x:c r="L1552" s="32" t="str">
        <x:f>IF(AND(L$8&lt;='Detalle'!$H755,L$9&gt;='Detalle'!$G755),1,"")</x:f>
      </x:c>
      <x:c r="M1552" s="32" t="str">
        <x:f>IF(AND(M$8&lt;='Detalle'!$H755,M$9&gt;='Detalle'!$G755),1,"")</x:f>
      </x:c>
      <x:c r="N1552" s="32" t="str">
        <x:f>IF(AND(N$8&lt;='Detalle'!$H755,N$9&gt;='Detalle'!$G755),1,"")</x:f>
      </x:c>
      <x:c r="O1552" s="32" t="str">
        <x:f>IF(AND(O$8&lt;='Detalle'!$H755,O$9&gt;='Detalle'!$G755),1,"")</x:f>
      </x:c>
      <x:c r="P1552" s="32" t="str">
        <x:f>IF(AND(P$8&lt;='Detalle'!$H755,P$9&gt;='Detalle'!$G755),1,"")</x:f>
      </x:c>
      <x:c r="Q1552" s="68"/>
      <x:c r="R1552" s="67" t="str">
        <x:f>IF('Detalle'!M755="","",'Detalle'!M755)</x:f>
      </x:c>
      <x:c r="S1552" s="67" t="str">
        <x:f>IF('Detalle'!N755="","",'Detalle'!N755)</x:f>
      </x:c>
    </x:row>
    <x:row r="1553" ht="16" customHeight="1">
      <x:c r="A1553" s="56" t="str">
        <x:v>TOU08.005</x:v>
      </x:c>
      <x:c r="B1553" s="57" t="str">
        <x:v>Mostrar lista alternativa de posiciones</x:v>
      </x:c>
      <x:c r="C1553" s="63" t="str">
        <x:v>R</x:v>
      </x:c>
      <x:c r="D1553" s="65" t="str">
        <x:f>IF('Detalle'!L755="","",'Detalle'!L755)</x:f>
      </x:c>
      <x:c r="E1553" s="60" t="str"/>
      <x:c r="F1553" s="32" t="str">
        <x:f>IF(OR('Detalle'!$J755="",'Detalle'!$K755="",'Detalle'!$L755=""),"",IF(AND(F$8&lt;='Detalle'!$K755,F$9&gt;='Detalle'!$J755),1,""))</x:f>
      </x:c>
      <x:c r="G1553" s="32" t="str">
        <x:f>IF(OR('Detalle'!$J755="",'Detalle'!$K755="",'Detalle'!$L755=""),"",IF(AND(G$8&lt;='Detalle'!$K755,G$9&gt;='Detalle'!$J755),1,""))</x:f>
      </x:c>
      <x:c r="H1553" s="32" t="str">
        <x:f>IF(OR('Detalle'!$J755="",'Detalle'!$K755="",'Detalle'!$L755=""),"",IF(AND(H$8&lt;='Detalle'!$K755,H$9&gt;='Detalle'!$J755),1,""))</x:f>
      </x:c>
      <x:c r="I1553" s="32" t="str">
        <x:f>IF(OR('Detalle'!$J755="",'Detalle'!$K755="",'Detalle'!$L755=""),"",IF(AND(I$8&lt;='Detalle'!$K755,I$9&gt;='Detalle'!$J755),1,""))</x:f>
      </x:c>
      <x:c r="J1553" s="32" t="str">
        <x:f>IF(OR('Detalle'!$J755="",'Detalle'!$K755="",'Detalle'!$L755=""),"",IF(AND(J$8&lt;='Detalle'!$K755,J$9&gt;='Detalle'!$J755),1,""))</x:f>
      </x:c>
      <x:c r="K1553" s="32" t="str">
        <x:f>IF(OR('Detalle'!$J755="",'Detalle'!$K755="",'Detalle'!$L755=""),"",IF(AND(K$8&lt;='Detalle'!$K755,K$9&gt;='Detalle'!$J755),1,""))</x:f>
      </x:c>
      <x:c r="L1553" s="32" t="str">
        <x:f>IF(OR('Detalle'!$J755="",'Detalle'!$K755="",'Detalle'!$L755=""),"",IF(AND(L$8&lt;='Detalle'!$K755,L$9&gt;='Detalle'!$J755),1,""))</x:f>
      </x:c>
      <x:c r="M1553" s="32" t="str">
        <x:f>IF(OR('Detalle'!$J755="",'Detalle'!$K755="",'Detalle'!$L755=""),"",IF(AND(M$8&lt;='Detalle'!$K755,M$9&gt;='Detalle'!$J755),1,""))</x:f>
      </x:c>
      <x:c r="N1553" s="32" t="str">
        <x:f>IF(OR('Detalle'!$J755="",'Detalle'!$K755="",'Detalle'!$L755=""),"",IF(AND(N$8&lt;='Detalle'!$K755,N$9&gt;='Detalle'!$J755),1,""))</x:f>
      </x:c>
      <x:c r="O1553" s="32" t="str">
        <x:f>IF(OR('Detalle'!$J755="",'Detalle'!$K755="",'Detalle'!$L755=""),"",IF(AND(O$8&lt;='Detalle'!$K755,O$9&gt;='Detalle'!$J755),1,""))</x:f>
      </x:c>
      <x:c r="P1553" s="32" t="str">
        <x:f>IF(OR('Detalle'!$J755="",'Detalle'!$K755="",'Detalle'!$L755=""),"",IF(AND(P$8&lt;='Detalle'!$K755,P$9&gt;='Detalle'!$J755),1,""))</x:f>
      </x:c>
      <x:c r="Q1553" s="68"/>
      <x:c r="R1553" s="67" t="str"/>
      <x:c r="S1553" s="67" t="str"/>
    </x:row>
    <x:row r="1554" ht="16" customHeight="1">
      <x:c r="A1554" s="56" t="str">
        <x:v>TOU08.006</x:v>
      </x:c>
      <x:c r="B1554" s="57" t="str">
        <x:v>Mostrar puntos angulares en panorama</x:v>
      </x:c>
      <x:c r="C1554" s="62" t="str">
        <x:v>E</x:v>
      </x:c>
      <x:c r="D1554" s="64" t="n">
        <x:f>'Detalle'!I756</x:f>
        <x:v>1</x:v>
      </x:c>
      <x:c r="E1554" s="60" t="str">
        <x:f>'Detalle'!F756</x:f>
        <x:v>Completado</x:v>
      </x:c>
      <x:c r="F1554" s="32" t="str">
        <x:f>IF(AND(F$8&lt;='Detalle'!$H756,F$9&gt;='Detalle'!$G756),1,"")</x:f>
      </x:c>
      <x:c r="G1554" s="32" t="str">
        <x:f>IF(AND(G$8&lt;='Detalle'!$H756,G$9&gt;='Detalle'!$G756),1,"")</x:f>
      </x:c>
      <x:c r="H1554" s="32" t="str">
        <x:f>IF(AND(H$8&lt;='Detalle'!$H756,H$9&gt;='Detalle'!$G756),1,"")</x:f>
      </x:c>
      <x:c r="I1554" s="32" t="str">
        <x:f>IF(AND(I$8&lt;='Detalle'!$H756,I$9&gt;='Detalle'!$G756),1,"")</x:f>
      </x:c>
      <x:c r="J1554" s="32" t="n">
        <x:f>IF(AND(J$8&lt;='Detalle'!$H756,J$9&gt;='Detalle'!$G756),1,"")</x:f>
        <x:v>1</x:v>
      </x:c>
      <x:c r="K1554" s="32" t="str">
        <x:f>IF(AND(K$8&lt;='Detalle'!$H756,K$9&gt;='Detalle'!$G756),1,"")</x:f>
      </x:c>
      <x:c r="L1554" s="32" t="str">
        <x:f>IF(AND(L$8&lt;='Detalle'!$H756,L$9&gt;='Detalle'!$G756),1,"")</x:f>
      </x:c>
      <x:c r="M1554" s="32" t="str">
        <x:f>IF(AND(M$8&lt;='Detalle'!$H756,M$9&gt;='Detalle'!$G756),1,"")</x:f>
      </x:c>
      <x:c r="N1554" s="32" t="str">
        <x:f>IF(AND(N$8&lt;='Detalle'!$H756,N$9&gt;='Detalle'!$G756),1,"")</x:f>
      </x:c>
      <x:c r="O1554" s="32" t="str">
        <x:f>IF(AND(O$8&lt;='Detalle'!$H756,O$9&gt;='Detalle'!$G756),1,"")</x:f>
      </x:c>
      <x:c r="P1554" s="32" t="str">
        <x:f>IF(AND(P$8&lt;='Detalle'!$H756,P$9&gt;='Detalle'!$G756),1,"")</x:f>
      </x:c>
      <x:c r="Q1554" s="68"/>
      <x:c r="R1554" s="67" t="str">
        <x:f>IF('Detalle'!M756="","",'Detalle'!M756)</x:f>
      </x:c>
      <x:c r="S1554" s="67" t="str">
        <x:f>IF('Detalle'!N756="","",'Detalle'!N756)</x:f>
      </x:c>
    </x:row>
    <x:row r="1555" ht="16" customHeight="1">
      <x:c r="A1555" s="56" t="str">
        <x:v>TOU08.006</x:v>
      </x:c>
      <x:c r="B1555" s="57" t="str">
        <x:v>Mostrar puntos angulares en panorama</x:v>
      </x:c>
      <x:c r="C1555" s="63" t="str">
        <x:v>R</x:v>
      </x:c>
      <x:c r="D1555" s="65" t="str">
        <x:f>IF('Detalle'!L756="","",'Detalle'!L756)</x:f>
      </x:c>
      <x:c r="E1555" s="60" t="str"/>
      <x:c r="F1555" s="32" t="str">
        <x:f>IF(OR('Detalle'!$J756="",'Detalle'!$K756="",'Detalle'!$L756=""),"",IF(AND(F$8&lt;='Detalle'!$K756,F$9&gt;='Detalle'!$J756),1,""))</x:f>
      </x:c>
      <x:c r="G1555" s="32" t="str">
        <x:f>IF(OR('Detalle'!$J756="",'Detalle'!$K756="",'Detalle'!$L756=""),"",IF(AND(G$8&lt;='Detalle'!$K756,G$9&gt;='Detalle'!$J756),1,""))</x:f>
      </x:c>
      <x:c r="H1555" s="32" t="str">
        <x:f>IF(OR('Detalle'!$J756="",'Detalle'!$K756="",'Detalle'!$L756=""),"",IF(AND(H$8&lt;='Detalle'!$K756,H$9&gt;='Detalle'!$J756),1,""))</x:f>
      </x:c>
      <x:c r="I1555" s="32" t="str">
        <x:f>IF(OR('Detalle'!$J756="",'Detalle'!$K756="",'Detalle'!$L756=""),"",IF(AND(I$8&lt;='Detalle'!$K756,I$9&gt;='Detalle'!$J756),1,""))</x:f>
      </x:c>
      <x:c r="J1555" s="32" t="str">
        <x:f>IF(OR('Detalle'!$J756="",'Detalle'!$K756="",'Detalle'!$L756=""),"",IF(AND(J$8&lt;='Detalle'!$K756,J$9&gt;='Detalle'!$J756),1,""))</x:f>
      </x:c>
      <x:c r="K1555" s="32" t="str">
        <x:f>IF(OR('Detalle'!$J756="",'Detalle'!$K756="",'Detalle'!$L756=""),"",IF(AND(K$8&lt;='Detalle'!$K756,K$9&gt;='Detalle'!$J756),1,""))</x:f>
      </x:c>
      <x:c r="L1555" s="32" t="str">
        <x:f>IF(OR('Detalle'!$J756="",'Detalle'!$K756="",'Detalle'!$L756=""),"",IF(AND(L$8&lt;='Detalle'!$K756,L$9&gt;='Detalle'!$J756),1,""))</x:f>
      </x:c>
      <x:c r="M1555" s="32" t="str">
        <x:f>IF(OR('Detalle'!$J756="",'Detalle'!$K756="",'Detalle'!$L756=""),"",IF(AND(M$8&lt;='Detalle'!$K756,M$9&gt;='Detalle'!$J756),1,""))</x:f>
      </x:c>
      <x:c r="N1555" s="32" t="str">
        <x:f>IF(OR('Detalle'!$J756="",'Detalle'!$K756="",'Detalle'!$L756=""),"",IF(AND(N$8&lt;='Detalle'!$K756,N$9&gt;='Detalle'!$J756),1,""))</x:f>
      </x:c>
      <x:c r="O1555" s="32" t="str">
        <x:f>IF(OR('Detalle'!$J756="",'Detalle'!$K756="",'Detalle'!$L756=""),"",IF(AND(O$8&lt;='Detalle'!$K756,O$9&gt;='Detalle'!$J756),1,""))</x:f>
      </x:c>
      <x:c r="P1555" s="32" t="str">
        <x:f>IF(OR('Detalle'!$J756="",'Detalle'!$K756="",'Detalle'!$L756=""),"",IF(AND(P$8&lt;='Detalle'!$K756,P$9&gt;='Detalle'!$J756),1,""))</x:f>
      </x:c>
      <x:c r="Q1555" s="68"/>
      <x:c r="R1555" s="67" t="str"/>
      <x:c r="S1555" s="67" t="str"/>
    </x:row>
    <x:row r="1556" ht="16" customHeight="1">
      <x:c r="A1556" s="56" t="str">
        <x:v>TOU08.007</x:v>
      </x:c>
      <x:c r="B1556" s="57" t="str">
        <x:v>Mostrar puntos solo en lista</x:v>
      </x:c>
      <x:c r="C1556" s="62" t="str">
        <x:v>E</x:v>
      </x:c>
      <x:c r="D1556" s="64" t="n">
        <x:f>'Detalle'!I757</x:f>
        <x:v>1</x:v>
      </x:c>
      <x:c r="E1556" s="60" t="str">
        <x:f>'Detalle'!F757</x:f>
        <x:v>Completado</x:v>
      </x:c>
      <x:c r="F1556" s="32" t="str">
        <x:f>IF(AND(F$8&lt;='Detalle'!$H757,F$9&gt;='Detalle'!$G757),1,"")</x:f>
      </x:c>
      <x:c r="G1556" s="32" t="str">
        <x:f>IF(AND(G$8&lt;='Detalle'!$H757,G$9&gt;='Detalle'!$G757),1,"")</x:f>
      </x:c>
      <x:c r="H1556" s="32" t="str">
        <x:f>IF(AND(H$8&lt;='Detalle'!$H757,H$9&gt;='Detalle'!$G757),1,"")</x:f>
      </x:c>
      <x:c r="I1556" s="32" t="str">
        <x:f>IF(AND(I$8&lt;='Detalle'!$H757,I$9&gt;='Detalle'!$G757),1,"")</x:f>
      </x:c>
      <x:c r="J1556" s="32" t="n">
        <x:f>IF(AND(J$8&lt;='Detalle'!$H757,J$9&gt;='Detalle'!$G757),1,"")</x:f>
        <x:v>1</x:v>
      </x:c>
      <x:c r="K1556" s="32" t="str">
        <x:f>IF(AND(K$8&lt;='Detalle'!$H757,K$9&gt;='Detalle'!$G757),1,"")</x:f>
      </x:c>
      <x:c r="L1556" s="32" t="str">
        <x:f>IF(AND(L$8&lt;='Detalle'!$H757,L$9&gt;='Detalle'!$G757),1,"")</x:f>
      </x:c>
      <x:c r="M1556" s="32" t="str">
        <x:f>IF(AND(M$8&lt;='Detalle'!$H757,M$9&gt;='Detalle'!$G757),1,"")</x:f>
      </x:c>
      <x:c r="N1556" s="32" t="str">
        <x:f>IF(AND(N$8&lt;='Detalle'!$H757,N$9&gt;='Detalle'!$G757),1,"")</x:f>
      </x:c>
      <x:c r="O1556" s="32" t="str">
        <x:f>IF(AND(O$8&lt;='Detalle'!$H757,O$9&gt;='Detalle'!$G757),1,"")</x:f>
      </x:c>
      <x:c r="P1556" s="32" t="str">
        <x:f>IF(AND(P$8&lt;='Detalle'!$H757,P$9&gt;='Detalle'!$G757),1,"")</x:f>
      </x:c>
      <x:c r="Q1556" s="68"/>
      <x:c r="R1556" s="67" t="str">
        <x:f>IF('Detalle'!M757="","",'Detalle'!M757)</x:f>
      </x:c>
      <x:c r="S1556" s="67" t="str">
        <x:f>IF('Detalle'!N757="","",'Detalle'!N757)</x:f>
      </x:c>
    </x:row>
    <x:row r="1557" ht="16" customHeight="1">
      <x:c r="A1557" s="56" t="str">
        <x:v>TOU08.007</x:v>
      </x:c>
      <x:c r="B1557" s="57" t="str">
        <x:v>Mostrar puntos solo en lista</x:v>
      </x:c>
      <x:c r="C1557" s="63" t="str">
        <x:v>R</x:v>
      </x:c>
      <x:c r="D1557" s="65" t="str">
        <x:f>IF('Detalle'!L757="","",'Detalle'!L757)</x:f>
      </x:c>
      <x:c r="E1557" s="60" t="str"/>
      <x:c r="F1557" s="32" t="str">
        <x:f>IF(OR('Detalle'!$J757="",'Detalle'!$K757="",'Detalle'!$L757=""),"",IF(AND(F$8&lt;='Detalle'!$K757,F$9&gt;='Detalle'!$J757),1,""))</x:f>
      </x:c>
      <x:c r="G1557" s="32" t="str">
        <x:f>IF(OR('Detalle'!$J757="",'Detalle'!$K757="",'Detalle'!$L757=""),"",IF(AND(G$8&lt;='Detalle'!$K757,G$9&gt;='Detalle'!$J757),1,""))</x:f>
      </x:c>
      <x:c r="H1557" s="32" t="str">
        <x:f>IF(OR('Detalle'!$J757="",'Detalle'!$K757="",'Detalle'!$L757=""),"",IF(AND(H$8&lt;='Detalle'!$K757,H$9&gt;='Detalle'!$J757),1,""))</x:f>
      </x:c>
      <x:c r="I1557" s="32" t="str">
        <x:f>IF(OR('Detalle'!$J757="",'Detalle'!$K757="",'Detalle'!$L757=""),"",IF(AND(I$8&lt;='Detalle'!$K757,I$9&gt;='Detalle'!$J757),1,""))</x:f>
      </x:c>
      <x:c r="J1557" s="32" t="str">
        <x:f>IF(OR('Detalle'!$J757="",'Detalle'!$K757="",'Detalle'!$L757=""),"",IF(AND(J$8&lt;='Detalle'!$K757,J$9&gt;='Detalle'!$J757),1,""))</x:f>
      </x:c>
      <x:c r="K1557" s="32" t="str">
        <x:f>IF(OR('Detalle'!$J757="",'Detalle'!$K757="",'Detalle'!$L757=""),"",IF(AND(K$8&lt;='Detalle'!$K757,K$9&gt;='Detalle'!$J757),1,""))</x:f>
      </x:c>
      <x:c r="L1557" s="32" t="str">
        <x:f>IF(OR('Detalle'!$J757="",'Detalle'!$K757="",'Detalle'!$L757=""),"",IF(AND(L$8&lt;='Detalle'!$K757,L$9&gt;='Detalle'!$J757),1,""))</x:f>
      </x:c>
      <x:c r="M1557" s="32" t="str">
        <x:f>IF(OR('Detalle'!$J757="",'Detalle'!$K757="",'Detalle'!$L757=""),"",IF(AND(M$8&lt;='Detalle'!$K757,M$9&gt;='Detalle'!$J757),1,""))</x:f>
      </x:c>
      <x:c r="N1557" s="32" t="str">
        <x:f>IF(OR('Detalle'!$J757="",'Detalle'!$K757="",'Detalle'!$L757=""),"",IF(AND(N$8&lt;='Detalle'!$K757,N$9&gt;='Detalle'!$J757),1,""))</x:f>
      </x:c>
      <x:c r="O1557" s="32" t="str">
        <x:f>IF(OR('Detalle'!$J757="",'Detalle'!$K757="",'Detalle'!$L757=""),"",IF(AND(O$8&lt;='Detalle'!$K757,O$9&gt;='Detalle'!$J757),1,""))</x:f>
      </x:c>
      <x:c r="P1557" s="32" t="str">
        <x:f>IF(OR('Detalle'!$J757="",'Detalle'!$K757="",'Detalle'!$L757=""),"",IF(AND(P$8&lt;='Detalle'!$K757,P$9&gt;='Detalle'!$J757),1,""))</x:f>
      </x:c>
      <x:c r="Q1557" s="68"/>
      <x:c r="R1557" s="67" t="str"/>
      <x:c r="S1557" s="67" t="str"/>
    </x:row>
    <x:row r="1558" ht="16" customHeight="1">
      <x:c r="A1558" s="56" t="str">
        <x:v>TOU08.008</x:v>
      </x:c>
      <x:c r="B1558" s="57" t="str">
        <x:v>Abrir detalle del punto</x:v>
      </x:c>
      <x:c r="C1558" s="62" t="str">
        <x:v>E</x:v>
      </x:c>
      <x:c r="D1558" s="64" t="n">
        <x:f>'Detalle'!I758</x:f>
        <x:v>1</x:v>
      </x:c>
      <x:c r="E1558" s="60" t="str">
        <x:f>'Detalle'!F758</x:f>
        <x:v>Completado</x:v>
      </x:c>
      <x:c r="F1558" s="32" t="str">
        <x:f>IF(AND(F$8&lt;='Detalle'!$H758,F$9&gt;='Detalle'!$G758),1,"")</x:f>
      </x:c>
      <x:c r="G1558" s="32" t="str">
        <x:f>IF(AND(G$8&lt;='Detalle'!$H758,G$9&gt;='Detalle'!$G758),1,"")</x:f>
      </x:c>
      <x:c r="H1558" s="32" t="str">
        <x:f>IF(AND(H$8&lt;='Detalle'!$H758,H$9&gt;='Detalle'!$G758),1,"")</x:f>
      </x:c>
      <x:c r="I1558" s="32" t="str">
        <x:f>IF(AND(I$8&lt;='Detalle'!$H758,I$9&gt;='Detalle'!$G758),1,"")</x:f>
      </x:c>
      <x:c r="J1558" s="32" t="n">
        <x:f>IF(AND(J$8&lt;='Detalle'!$H758,J$9&gt;='Detalle'!$G758),1,"")</x:f>
        <x:v>1</x:v>
      </x:c>
      <x:c r="K1558" s="32" t="str">
        <x:f>IF(AND(K$8&lt;='Detalle'!$H758,K$9&gt;='Detalle'!$G758),1,"")</x:f>
      </x:c>
      <x:c r="L1558" s="32" t="str">
        <x:f>IF(AND(L$8&lt;='Detalle'!$H758,L$9&gt;='Detalle'!$G758),1,"")</x:f>
      </x:c>
      <x:c r="M1558" s="32" t="str">
        <x:f>IF(AND(M$8&lt;='Detalle'!$H758,M$9&gt;='Detalle'!$G758),1,"")</x:f>
      </x:c>
      <x:c r="N1558" s="32" t="str">
        <x:f>IF(AND(N$8&lt;='Detalle'!$H758,N$9&gt;='Detalle'!$G758),1,"")</x:f>
      </x:c>
      <x:c r="O1558" s="32" t="str">
        <x:f>IF(AND(O$8&lt;='Detalle'!$H758,O$9&gt;='Detalle'!$G758),1,"")</x:f>
      </x:c>
      <x:c r="P1558" s="32" t="str">
        <x:f>IF(AND(P$8&lt;='Detalle'!$H758,P$9&gt;='Detalle'!$G758),1,"")</x:f>
      </x:c>
      <x:c r="Q1558" s="68"/>
      <x:c r="R1558" s="67" t="str">
        <x:f>IF('Detalle'!M758="","",'Detalle'!M758)</x:f>
      </x:c>
      <x:c r="S1558" s="67" t="str">
        <x:f>IF('Detalle'!N758="","",'Detalle'!N758)</x:f>
      </x:c>
    </x:row>
    <x:row r="1559" ht="16" customHeight="1">
      <x:c r="A1559" s="56" t="str">
        <x:v>TOU08.008</x:v>
      </x:c>
      <x:c r="B1559" s="57" t="str">
        <x:v>Abrir detalle del punto</x:v>
      </x:c>
      <x:c r="C1559" s="63" t="str">
        <x:v>R</x:v>
      </x:c>
      <x:c r="D1559" s="65" t="str">
        <x:f>IF('Detalle'!L758="","",'Detalle'!L758)</x:f>
      </x:c>
      <x:c r="E1559" s="60" t="str"/>
      <x:c r="F1559" s="32" t="str">
        <x:f>IF(OR('Detalle'!$J758="",'Detalle'!$K758="",'Detalle'!$L758=""),"",IF(AND(F$8&lt;='Detalle'!$K758,F$9&gt;='Detalle'!$J758),1,""))</x:f>
      </x:c>
      <x:c r="G1559" s="32" t="str">
        <x:f>IF(OR('Detalle'!$J758="",'Detalle'!$K758="",'Detalle'!$L758=""),"",IF(AND(G$8&lt;='Detalle'!$K758,G$9&gt;='Detalle'!$J758),1,""))</x:f>
      </x:c>
      <x:c r="H1559" s="32" t="str">
        <x:f>IF(OR('Detalle'!$J758="",'Detalle'!$K758="",'Detalle'!$L758=""),"",IF(AND(H$8&lt;='Detalle'!$K758,H$9&gt;='Detalle'!$J758),1,""))</x:f>
      </x:c>
      <x:c r="I1559" s="32" t="str">
        <x:f>IF(OR('Detalle'!$J758="",'Detalle'!$K758="",'Detalle'!$L758=""),"",IF(AND(I$8&lt;='Detalle'!$K758,I$9&gt;='Detalle'!$J758),1,""))</x:f>
      </x:c>
      <x:c r="J1559" s="32" t="str">
        <x:f>IF(OR('Detalle'!$J758="",'Detalle'!$K758="",'Detalle'!$L758=""),"",IF(AND(J$8&lt;='Detalle'!$K758,J$9&gt;='Detalle'!$J758),1,""))</x:f>
      </x:c>
      <x:c r="K1559" s="32" t="str">
        <x:f>IF(OR('Detalle'!$J758="",'Detalle'!$K758="",'Detalle'!$L758=""),"",IF(AND(K$8&lt;='Detalle'!$K758,K$9&gt;='Detalle'!$J758),1,""))</x:f>
      </x:c>
      <x:c r="L1559" s="32" t="str">
        <x:f>IF(OR('Detalle'!$J758="",'Detalle'!$K758="",'Detalle'!$L758=""),"",IF(AND(L$8&lt;='Detalle'!$K758,L$9&gt;='Detalle'!$J758),1,""))</x:f>
      </x:c>
      <x:c r="M1559" s="32" t="str">
        <x:f>IF(OR('Detalle'!$J758="",'Detalle'!$K758="",'Detalle'!$L758=""),"",IF(AND(M$8&lt;='Detalle'!$K758,M$9&gt;='Detalle'!$J758),1,""))</x:f>
      </x:c>
      <x:c r="N1559" s="32" t="str">
        <x:f>IF(OR('Detalle'!$J758="",'Detalle'!$K758="",'Detalle'!$L758=""),"",IF(AND(N$8&lt;='Detalle'!$K758,N$9&gt;='Detalle'!$J758),1,""))</x:f>
      </x:c>
      <x:c r="O1559" s="32" t="str">
        <x:f>IF(OR('Detalle'!$J758="",'Detalle'!$K758="",'Detalle'!$L758=""),"",IF(AND(O$8&lt;='Detalle'!$K758,O$9&gt;='Detalle'!$J758),1,""))</x:f>
      </x:c>
      <x:c r="P1559" s="32" t="str">
        <x:f>IF(OR('Detalle'!$J758="",'Detalle'!$K758="",'Detalle'!$L758=""),"",IF(AND(P$8&lt;='Detalle'!$K758,P$9&gt;='Detalle'!$J758),1,""))</x:f>
      </x:c>
      <x:c r="Q1559" s="68"/>
      <x:c r="R1559" s="67" t="str"/>
      <x:c r="S1559" s="67" t="str"/>
    </x:row>
    <x:row r="1560" ht="16" customHeight="1">
      <x:c r="A1560" s="56" t="str">
        <x:v>TOU08.009</x:v>
      </x:c>
      <x:c r="B1560" s="57" t="str">
        <x:v>Abrir detalle existente del contenido</x:v>
      </x:c>
      <x:c r="C1560" s="62" t="str">
        <x:v>E</x:v>
      </x:c>
      <x:c r="D1560" s="64" t="n">
        <x:f>'Detalle'!I759</x:f>
        <x:v>1</x:v>
      </x:c>
      <x:c r="E1560" s="60" t="str">
        <x:f>'Detalle'!F759</x:f>
        <x:v>Completado</x:v>
      </x:c>
      <x:c r="F1560" s="32" t="str">
        <x:f>IF(AND(F$8&lt;='Detalle'!$H759,F$9&gt;='Detalle'!$G759),1,"")</x:f>
      </x:c>
      <x:c r="G1560" s="32" t="str">
        <x:f>IF(AND(G$8&lt;='Detalle'!$H759,G$9&gt;='Detalle'!$G759),1,"")</x:f>
      </x:c>
      <x:c r="H1560" s="32" t="str">
        <x:f>IF(AND(H$8&lt;='Detalle'!$H759,H$9&gt;='Detalle'!$G759),1,"")</x:f>
      </x:c>
      <x:c r="I1560" s="32" t="str">
        <x:f>IF(AND(I$8&lt;='Detalle'!$H759,I$9&gt;='Detalle'!$G759),1,"")</x:f>
      </x:c>
      <x:c r="J1560" s="32" t="n">
        <x:f>IF(AND(J$8&lt;='Detalle'!$H759,J$9&gt;='Detalle'!$G759),1,"")</x:f>
        <x:v>1</x:v>
      </x:c>
      <x:c r="K1560" s="32" t="str">
        <x:f>IF(AND(K$8&lt;='Detalle'!$H759,K$9&gt;='Detalle'!$G759),1,"")</x:f>
      </x:c>
      <x:c r="L1560" s="32" t="str">
        <x:f>IF(AND(L$8&lt;='Detalle'!$H759,L$9&gt;='Detalle'!$G759),1,"")</x:f>
      </x:c>
      <x:c r="M1560" s="32" t="str">
        <x:f>IF(AND(M$8&lt;='Detalle'!$H759,M$9&gt;='Detalle'!$G759),1,"")</x:f>
      </x:c>
      <x:c r="N1560" s="32" t="str">
        <x:f>IF(AND(N$8&lt;='Detalle'!$H759,N$9&gt;='Detalle'!$G759),1,"")</x:f>
      </x:c>
      <x:c r="O1560" s="32" t="str">
        <x:f>IF(AND(O$8&lt;='Detalle'!$H759,O$9&gt;='Detalle'!$G759),1,"")</x:f>
      </x:c>
      <x:c r="P1560" s="32" t="str">
        <x:f>IF(AND(P$8&lt;='Detalle'!$H759,P$9&gt;='Detalle'!$G759),1,"")</x:f>
      </x:c>
      <x:c r="Q1560" s="68"/>
      <x:c r="R1560" s="67" t="str">
        <x:f>IF('Detalle'!M759="","",'Detalle'!M759)</x:f>
      </x:c>
      <x:c r="S1560" s="67" t="str">
        <x:f>IF('Detalle'!N759="","",'Detalle'!N759)</x:f>
      </x:c>
    </x:row>
    <x:row r="1561" ht="16" customHeight="1">
      <x:c r="A1561" s="56" t="str">
        <x:v>TOU08.009</x:v>
      </x:c>
      <x:c r="B1561" s="57" t="str">
        <x:v>Abrir detalle existente del contenido</x:v>
      </x:c>
      <x:c r="C1561" s="63" t="str">
        <x:v>R</x:v>
      </x:c>
      <x:c r="D1561" s="65" t="str">
        <x:f>IF('Detalle'!L759="","",'Detalle'!L759)</x:f>
      </x:c>
      <x:c r="E1561" s="60" t="str"/>
      <x:c r="F1561" s="32" t="str">
        <x:f>IF(OR('Detalle'!$J759="",'Detalle'!$K759="",'Detalle'!$L759=""),"",IF(AND(F$8&lt;='Detalle'!$K759,F$9&gt;='Detalle'!$J759),1,""))</x:f>
      </x:c>
      <x:c r="G1561" s="32" t="str">
        <x:f>IF(OR('Detalle'!$J759="",'Detalle'!$K759="",'Detalle'!$L759=""),"",IF(AND(G$8&lt;='Detalle'!$K759,G$9&gt;='Detalle'!$J759),1,""))</x:f>
      </x:c>
      <x:c r="H1561" s="32" t="str">
        <x:f>IF(OR('Detalle'!$J759="",'Detalle'!$K759="",'Detalle'!$L759=""),"",IF(AND(H$8&lt;='Detalle'!$K759,H$9&gt;='Detalle'!$J759),1,""))</x:f>
      </x:c>
      <x:c r="I1561" s="32" t="str">
        <x:f>IF(OR('Detalle'!$J759="",'Detalle'!$K759="",'Detalle'!$L759=""),"",IF(AND(I$8&lt;='Detalle'!$K759,I$9&gt;='Detalle'!$J759),1,""))</x:f>
      </x:c>
      <x:c r="J1561" s="32" t="str">
        <x:f>IF(OR('Detalle'!$J759="",'Detalle'!$K759="",'Detalle'!$L759=""),"",IF(AND(J$8&lt;='Detalle'!$K759,J$9&gt;='Detalle'!$J759),1,""))</x:f>
      </x:c>
      <x:c r="K1561" s="32" t="str">
        <x:f>IF(OR('Detalle'!$J759="",'Detalle'!$K759="",'Detalle'!$L759=""),"",IF(AND(K$8&lt;='Detalle'!$K759,K$9&gt;='Detalle'!$J759),1,""))</x:f>
      </x:c>
      <x:c r="L1561" s="32" t="str">
        <x:f>IF(OR('Detalle'!$J759="",'Detalle'!$K759="",'Detalle'!$L759=""),"",IF(AND(L$8&lt;='Detalle'!$K759,L$9&gt;='Detalle'!$J759),1,""))</x:f>
      </x:c>
      <x:c r="M1561" s="32" t="str">
        <x:f>IF(OR('Detalle'!$J759="",'Detalle'!$K759="",'Detalle'!$L759=""),"",IF(AND(M$8&lt;='Detalle'!$K759,M$9&gt;='Detalle'!$J759),1,""))</x:f>
      </x:c>
      <x:c r="N1561" s="32" t="str">
        <x:f>IF(OR('Detalle'!$J759="",'Detalle'!$K759="",'Detalle'!$L759=""),"",IF(AND(N$8&lt;='Detalle'!$K759,N$9&gt;='Detalle'!$J759),1,""))</x:f>
      </x:c>
      <x:c r="O1561" s="32" t="str">
        <x:f>IF(OR('Detalle'!$J759="",'Detalle'!$K759="",'Detalle'!$L759=""),"",IF(AND(O$8&lt;='Detalle'!$K759,O$9&gt;='Detalle'!$J759),1,""))</x:f>
      </x:c>
      <x:c r="P1561" s="32" t="str">
        <x:f>IF(OR('Detalle'!$J759="",'Detalle'!$K759="",'Detalle'!$L759=""),"",IF(AND(P$8&lt;='Detalle'!$K759,P$9&gt;='Detalle'!$J759),1,""))</x:f>
      </x:c>
      <x:c r="Q1561" s="68"/>
      <x:c r="R1561" s="67" t="str"/>
      <x:c r="S1561" s="67" t="str"/>
    </x:row>
    <x:row r="1562" ht="16" customHeight="1">
      <x:c r="A1562" s="56" t="str">
        <x:v>TOU08.010</x:v>
      </x:c>
      <x:c r="B1562" s="57" t="str">
        <x:v>Volver al panorama de origen</x:v>
      </x:c>
      <x:c r="C1562" s="62" t="str">
        <x:v>E</x:v>
      </x:c>
      <x:c r="D1562" s="64" t="n">
        <x:f>'Detalle'!I760</x:f>
        <x:v>1</x:v>
      </x:c>
      <x:c r="E1562" s="60" t="str">
        <x:f>'Detalle'!F760</x:f>
        <x:v>Completado</x:v>
      </x:c>
      <x:c r="F1562" s="32" t="str">
        <x:f>IF(AND(F$8&lt;='Detalle'!$H760,F$9&gt;='Detalle'!$G760),1,"")</x:f>
      </x:c>
      <x:c r="G1562" s="32" t="str">
        <x:f>IF(AND(G$8&lt;='Detalle'!$H760,G$9&gt;='Detalle'!$G760),1,"")</x:f>
      </x:c>
      <x:c r="H1562" s="32" t="str">
        <x:f>IF(AND(H$8&lt;='Detalle'!$H760,H$9&gt;='Detalle'!$G760),1,"")</x:f>
      </x:c>
      <x:c r="I1562" s="32" t="str">
        <x:f>IF(AND(I$8&lt;='Detalle'!$H760,I$9&gt;='Detalle'!$G760),1,"")</x:f>
      </x:c>
      <x:c r="J1562" s="32" t="n">
        <x:f>IF(AND(J$8&lt;='Detalle'!$H760,J$9&gt;='Detalle'!$G760),1,"")</x:f>
        <x:v>1</x:v>
      </x:c>
      <x:c r="K1562" s="32" t="str">
        <x:f>IF(AND(K$8&lt;='Detalle'!$H760,K$9&gt;='Detalle'!$G760),1,"")</x:f>
      </x:c>
      <x:c r="L1562" s="32" t="str">
        <x:f>IF(AND(L$8&lt;='Detalle'!$H760,L$9&gt;='Detalle'!$G760),1,"")</x:f>
      </x:c>
      <x:c r="M1562" s="32" t="str">
        <x:f>IF(AND(M$8&lt;='Detalle'!$H760,M$9&gt;='Detalle'!$G760),1,"")</x:f>
      </x:c>
      <x:c r="N1562" s="32" t="str">
        <x:f>IF(AND(N$8&lt;='Detalle'!$H760,N$9&gt;='Detalle'!$G760),1,"")</x:f>
      </x:c>
      <x:c r="O1562" s="32" t="str">
        <x:f>IF(AND(O$8&lt;='Detalle'!$H760,O$9&gt;='Detalle'!$G760),1,"")</x:f>
      </x:c>
      <x:c r="P1562" s="32" t="str">
        <x:f>IF(AND(P$8&lt;='Detalle'!$H760,P$9&gt;='Detalle'!$G760),1,"")</x:f>
      </x:c>
      <x:c r="Q1562" s="68"/>
      <x:c r="R1562" s="67" t="str">
        <x:f>IF('Detalle'!M760="","",'Detalle'!M760)</x:f>
      </x:c>
      <x:c r="S1562" s="67" t="str">
        <x:f>IF('Detalle'!N760="","",'Detalle'!N760)</x:f>
      </x:c>
    </x:row>
    <x:row r="1563" ht="16" customHeight="1">
      <x:c r="A1563" s="56" t="str">
        <x:v>TOU08.010</x:v>
      </x:c>
      <x:c r="B1563" s="57" t="str">
        <x:v>Volver al panorama de origen</x:v>
      </x:c>
      <x:c r="C1563" s="63" t="str">
        <x:v>R</x:v>
      </x:c>
      <x:c r="D1563" s="65" t="str">
        <x:f>IF('Detalle'!L760="","",'Detalle'!L760)</x:f>
      </x:c>
      <x:c r="E1563" s="60" t="str"/>
      <x:c r="F1563" s="32" t="str">
        <x:f>IF(OR('Detalle'!$J760="",'Detalle'!$K760="",'Detalle'!$L760=""),"",IF(AND(F$8&lt;='Detalle'!$K760,F$9&gt;='Detalle'!$J760),1,""))</x:f>
      </x:c>
      <x:c r="G1563" s="32" t="str">
        <x:f>IF(OR('Detalle'!$J760="",'Detalle'!$K760="",'Detalle'!$L760=""),"",IF(AND(G$8&lt;='Detalle'!$K760,G$9&gt;='Detalle'!$J760),1,""))</x:f>
      </x:c>
      <x:c r="H1563" s="32" t="str">
        <x:f>IF(OR('Detalle'!$J760="",'Detalle'!$K760="",'Detalle'!$L760=""),"",IF(AND(H$8&lt;='Detalle'!$K760,H$9&gt;='Detalle'!$J760),1,""))</x:f>
      </x:c>
      <x:c r="I1563" s="32" t="str">
        <x:f>IF(OR('Detalle'!$J760="",'Detalle'!$K760="",'Detalle'!$L760=""),"",IF(AND(I$8&lt;='Detalle'!$K760,I$9&gt;='Detalle'!$J760),1,""))</x:f>
      </x:c>
      <x:c r="J1563" s="32" t="str">
        <x:f>IF(OR('Detalle'!$J760="",'Detalle'!$K760="",'Detalle'!$L760=""),"",IF(AND(J$8&lt;='Detalle'!$K760,J$9&gt;='Detalle'!$J760),1,""))</x:f>
      </x:c>
      <x:c r="K1563" s="32" t="str">
        <x:f>IF(OR('Detalle'!$J760="",'Detalle'!$K760="",'Detalle'!$L760=""),"",IF(AND(K$8&lt;='Detalle'!$K760,K$9&gt;='Detalle'!$J760),1,""))</x:f>
      </x:c>
      <x:c r="L1563" s="32" t="str">
        <x:f>IF(OR('Detalle'!$J760="",'Detalle'!$K760="",'Detalle'!$L760=""),"",IF(AND(L$8&lt;='Detalle'!$K760,L$9&gt;='Detalle'!$J760),1,""))</x:f>
      </x:c>
      <x:c r="M1563" s="32" t="str">
        <x:f>IF(OR('Detalle'!$J760="",'Detalle'!$K760="",'Detalle'!$L760=""),"",IF(AND(M$8&lt;='Detalle'!$K760,M$9&gt;='Detalle'!$J760),1,""))</x:f>
      </x:c>
      <x:c r="N1563" s="32" t="str">
        <x:f>IF(OR('Detalle'!$J760="",'Detalle'!$K760="",'Detalle'!$L760=""),"",IF(AND(N$8&lt;='Detalle'!$K760,N$9&gt;='Detalle'!$J760),1,""))</x:f>
      </x:c>
      <x:c r="O1563" s="32" t="str">
        <x:f>IF(OR('Detalle'!$J760="",'Detalle'!$K760="",'Detalle'!$L760=""),"",IF(AND(O$8&lt;='Detalle'!$K760,O$9&gt;='Detalle'!$J760),1,""))</x:f>
      </x:c>
      <x:c r="P1563" s="32" t="str">
        <x:f>IF(OR('Detalle'!$J760="",'Detalle'!$K760="",'Detalle'!$L760=""),"",IF(AND(P$8&lt;='Detalle'!$K760,P$9&gt;='Detalle'!$J760),1,""))</x:f>
      </x:c>
      <x:c r="Q1563" s="68"/>
      <x:c r="R1563" s="67" t="str"/>
      <x:c r="S1563" s="67" t="str"/>
    </x:row>
    <x:row r="1564" ht="16" customHeight="1">
      <x:c r="A1564" s="56" t="str">
        <x:v>TOU08.011</x:v>
      </x:c>
      <x:c r="B1564" s="57" t="str">
        <x:v>Informar contenido retirado o vencido</x:v>
      </x:c>
      <x:c r="C1564" s="62" t="str">
        <x:v>E</x:v>
      </x:c>
      <x:c r="D1564" s="64" t="n">
        <x:f>'Detalle'!I761</x:f>
        <x:v>1</x:v>
      </x:c>
      <x:c r="E1564" s="60" t="str">
        <x:f>'Detalle'!F761</x:f>
        <x:v>Completado</x:v>
      </x:c>
      <x:c r="F1564" s="32" t="str">
        <x:f>IF(AND(F$8&lt;='Detalle'!$H761,F$9&gt;='Detalle'!$G761),1,"")</x:f>
      </x:c>
      <x:c r="G1564" s="32" t="str">
        <x:f>IF(AND(G$8&lt;='Detalle'!$H761,G$9&gt;='Detalle'!$G761),1,"")</x:f>
      </x:c>
      <x:c r="H1564" s="32" t="str">
        <x:f>IF(AND(H$8&lt;='Detalle'!$H761,H$9&gt;='Detalle'!$G761),1,"")</x:f>
      </x:c>
      <x:c r="I1564" s="32" t="str">
        <x:f>IF(AND(I$8&lt;='Detalle'!$H761,I$9&gt;='Detalle'!$G761),1,"")</x:f>
      </x:c>
      <x:c r="J1564" s="32" t="n">
        <x:f>IF(AND(J$8&lt;='Detalle'!$H761,J$9&gt;='Detalle'!$G761),1,"")</x:f>
        <x:v>1</x:v>
      </x:c>
      <x:c r="K1564" s="32" t="str">
        <x:f>IF(AND(K$8&lt;='Detalle'!$H761,K$9&gt;='Detalle'!$G761),1,"")</x:f>
      </x:c>
      <x:c r="L1564" s="32" t="str">
        <x:f>IF(AND(L$8&lt;='Detalle'!$H761,L$9&gt;='Detalle'!$G761),1,"")</x:f>
      </x:c>
      <x:c r="M1564" s="32" t="str">
        <x:f>IF(AND(M$8&lt;='Detalle'!$H761,M$9&gt;='Detalle'!$G761),1,"")</x:f>
      </x:c>
      <x:c r="N1564" s="32" t="str">
        <x:f>IF(AND(N$8&lt;='Detalle'!$H761,N$9&gt;='Detalle'!$G761),1,"")</x:f>
      </x:c>
      <x:c r="O1564" s="32" t="str">
        <x:f>IF(AND(O$8&lt;='Detalle'!$H761,O$9&gt;='Detalle'!$G761),1,"")</x:f>
      </x:c>
      <x:c r="P1564" s="32" t="str">
        <x:f>IF(AND(P$8&lt;='Detalle'!$H761,P$9&gt;='Detalle'!$G761),1,"")</x:f>
      </x:c>
      <x:c r="Q1564" s="68"/>
      <x:c r="R1564" s="67" t="str">
        <x:f>IF('Detalle'!M761="","",'Detalle'!M761)</x:f>
      </x:c>
      <x:c r="S1564" s="67" t="str">
        <x:f>IF('Detalle'!N761="","",'Detalle'!N761)</x:f>
      </x:c>
    </x:row>
    <x:row r="1565" ht="16" customHeight="1">
      <x:c r="A1565" s="56" t="str">
        <x:v>TOU08.011</x:v>
      </x:c>
      <x:c r="B1565" s="57" t="str">
        <x:v>Informar contenido retirado o vencido</x:v>
      </x:c>
      <x:c r="C1565" s="63" t="str">
        <x:v>R</x:v>
      </x:c>
      <x:c r="D1565" s="65" t="str">
        <x:f>IF('Detalle'!L761="","",'Detalle'!L761)</x:f>
      </x:c>
      <x:c r="E1565" s="60" t="str"/>
      <x:c r="F1565" s="32" t="str">
        <x:f>IF(OR('Detalle'!$J761="",'Detalle'!$K761="",'Detalle'!$L761=""),"",IF(AND(F$8&lt;='Detalle'!$K761,F$9&gt;='Detalle'!$J761),1,""))</x:f>
      </x:c>
      <x:c r="G1565" s="32" t="str">
        <x:f>IF(OR('Detalle'!$J761="",'Detalle'!$K761="",'Detalle'!$L761=""),"",IF(AND(G$8&lt;='Detalle'!$K761,G$9&gt;='Detalle'!$J761),1,""))</x:f>
      </x:c>
      <x:c r="H1565" s="32" t="str">
        <x:f>IF(OR('Detalle'!$J761="",'Detalle'!$K761="",'Detalle'!$L761=""),"",IF(AND(H$8&lt;='Detalle'!$K761,H$9&gt;='Detalle'!$J761),1,""))</x:f>
      </x:c>
      <x:c r="I1565" s="32" t="str">
        <x:f>IF(OR('Detalle'!$J761="",'Detalle'!$K761="",'Detalle'!$L761=""),"",IF(AND(I$8&lt;='Detalle'!$K761,I$9&gt;='Detalle'!$J761),1,""))</x:f>
      </x:c>
      <x:c r="J1565" s="32" t="str">
        <x:f>IF(OR('Detalle'!$J761="",'Detalle'!$K761="",'Detalle'!$L761=""),"",IF(AND(J$8&lt;='Detalle'!$K761,J$9&gt;='Detalle'!$J761),1,""))</x:f>
      </x:c>
      <x:c r="K1565" s="32" t="str">
        <x:f>IF(OR('Detalle'!$J761="",'Detalle'!$K761="",'Detalle'!$L761=""),"",IF(AND(K$8&lt;='Detalle'!$K761,K$9&gt;='Detalle'!$J761),1,""))</x:f>
      </x:c>
      <x:c r="L1565" s="32" t="str">
        <x:f>IF(OR('Detalle'!$J761="",'Detalle'!$K761="",'Detalle'!$L761=""),"",IF(AND(L$8&lt;='Detalle'!$K761,L$9&gt;='Detalle'!$J761),1,""))</x:f>
      </x:c>
      <x:c r="M1565" s="32" t="str">
        <x:f>IF(OR('Detalle'!$J761="",'Detalle'!$K761="",'Detalle'!$L761=""),"",IF(AND(M$8&lt;='Detalle'!$K761,M$9&gt;='Detalle'!$J761),1,""))</x:f>
      </x:c>
      <x:c r="N1565" s="32" t="str">
        <x:f>IF(OR('Detalle'!$J761="",'Detalle'!$K761="",'Detalle'!$L761=""),"",IF(AND(N$8&lt;='Detalle'!$K761,N$9&gt;='Detalle'!$J761),1,""))</x:f>
      </x:c>
      <x:c r="O1565" s="32" t="str">
        <x:f>IF(OR('Detalle'!$J761="",'Detalle'!$K761="",'Detalle'!$L761=""),"",IF(AND(O$8&lt;='Detalle'!$K761,O$9&gt;='Detalle'!$J761),1,""))</x:f>
      </x:c>
      <x:c r="P1565" s="32" t="str">
        <x:f>IF(OR('Detalle'!$J761="",'Detalle'!$K761="",'Detalle'!$L761=""),"",IF(AND(P$8&lt;='Detalle'!$K761,P$9&gt;='Detalle'!$J761),1,""))</x:f>
      </x:c>
      <x:c r="Q1565" s="68"/>
      <x:c r="R1565" s="67" t="str"/>
      <x:c r="S1565" s="67" t="str"/>
    </x:row>
    <x:row r="1566" ht="16" customHeight="1">
      <x:c r="A1566" s="56" t="str">
        <x:v>TOU08.012</x:v>
      </x:c>
      <x:c r="B1566" s="57" t="str">
        <x:v>Dar regreso explícito en enlaces directos</x:v>
      </x:c>
      <x:c r="C1566" s="62" t="str">
        <x:v>E</x:v>
      </x:c>
      <x:c r="D1566" s="64" t="n">
        <x:f>'Detalle'!I762</x:f>
        <x:v>1</x:v>
      </x:c>
      <x:c r="E1566" s="60" t="str">
        <x:f>'Detalle'!F762</x:f>
        <x:v>Completado</x:v>
      </x:c>
      <x:c r="F1566" s="32" t="str">
        <x:f>IF(AND(F$8&lt;='Detalle'!$H762,F$9&gt;='Detalle'!$G762),1,"")</x:f>
      </x:c>
      <x:c r="G1566" s="32" t="str">
        <x:f>IF(AND(G$8&lt;='Detalle'!$H762,G$9&gt;='Detalle'!$G762),1,"")</x:f>
      </x:c>
      <x:c r="H1566" s="32" t="str">
        <x:f>IF(AND(H$8&lt;='Detalle'!$H762,H$9&gt;='Detalle'!$G762),1,"")</x:f>
      </x:c>
      <x:c r="I1566" s="32" t="str">
        <x:f>IF(AND(I$8&lt;='Detalle'!$H762,I$9&gt;='Detalle'!$G762),1,"")</x:f>
      </x:c>
      <x:c r="J1566" s="32" t="n">
        <x:f>IF(AND(J$8&lt;='Detalle'!$H762,J$9&gt;='Detalle'!$G762),1,"")</x:f>
        <x:v>1</x:v>
      </x:c>
      <x:c r="K1566" s="32" t="str">
        <x:f>IF(AND(K$8&lt;='Detalle'!$H762,K$9&gt;='Detalle'!$G762),1,"")</x:f>
      </x:c>
      <x:c r="L1566" s="32" t="str">
        <x:f>IF(AND(L$8&lt;='Detalle'!$H762,L$9&gt;='Detalle'!$G762),1,"")</x:f>
      </x:c>
      <x:c r="M1566" s="32" t="str">
        <x:f>IF(AND(M$8&lt;='Detalle'!$H762,M$9&gt;='Detalle'!$G762),1,"")</x:f>
      </x:c>
      <x:c r="N1566" s="32" t="str">
        <x:f>IF(AND(N$8&lt;='Detalle'!$H762,N$9&gt;='Detalle'!$G762),1,"")</x:f>
      </x:c>
      <x:c r="O1566" s="32" t="str">
        <x:f>IF(AND(O$8&lt;='Detalle'!$H762,O$9&gt;='Detalle'!$G762),1,"")</x:f>
      </x:c>
      <x:c r="P1566" s="32" t="str">
        <x:f>IF(AND(P$8&lt;='Detalle'!$H762,P$9&gt;='Detalle'!$G762),1,"")</x:f>
      </x:c>
      <x:c r="Q1566" s="68"/>
      <x:c r="R1566" s="67" t="str">
        <x:f>IF('Detalle'!M762="","",'Detalle'!M762)</x:f>
      </x:c>
      <x:c r="S1566" s="67" t="str">
        <x:f>IF('Detalle'!N762="","",'Detalle'!N762)</x:f>
      </x:c>
    </x:row>
    <x:row r="1567" ht="16" customHeight="1">
      <x:c r="A1567" s="56" t="str">
        <x:v>TOU08.012</x:v>
      </x:c>
      <x:c r="B1567" s="57" t="str">
        <x:v>Dar regreso explícito en enlaces directos</x:v>
      </x:c>
      <x:c r="C1567" s="63" t="str">
        <x:v>R</x:v>
      </x:c>
      <x:c r="D1567" s="65" t="str">
        <x:f>IF('Detalle'!L762="","",'Detalle'!L762)</x:f>
      </x:c>
      <x:c r="E1567" s="60" t="str"/>
      <x:c r="F1567" s="32" t="str">
        <x:f>IF(OR('Detalle'!$J762="",'Detalle'!$K762="",'Detalle'!$L762=""),"",IF(AND(F$8&lt;='Detalle'!$K762,F$9&gt;='Detalle'!$J762),1,""))</x:f>
      </x:c>
      <x:c r="G1567" s="32" t="str">
        <x:f>IF(OR('Detalle'!$J762="",'Detalle'!$K762="",'Detalle'!$L762=""),"",IF(AND(G$8&lt;='Detalle'!$K762,G$9&gt;='Detalle'!$J762),1,""))</x:f>
      </x:c>
      <x:c r="H1567" s="32" t="str">
        <x:f>IF(OR('Detalle'!$J762="",'Detalle'!$K762="",'Detalle'!$L762=""),"",IF(AND(H$8&lt;='Detalle'!$K762,H$9&gt;='Detalle'!$J762),1,""))</x:f>
      </x:c>
      <x:c r="I1567" s="32" t="str">
        <x:f>IF(OR('Detalle'!$J762="",'Detalle'!$K762="",'Detalle'!$L762=""),"",IF(AND(I$8&lt;='Detalle'!$K762,I$9&gt;='Detalle'!$J762),1,""))</x:f>
      </x:c>
      <x:c r="J1567" s="32" t="str">
        <x:f>IF(OR('Detalle'!$J762="",'Detalle'!$K762="",'Detalle'!$L762=""),"",IF(AND(J$8&lt;='Detalle'!$K762,J$9&gt;='Detalle'!$J762),1,""))</x:f>
      </x:c>
      <x:c r="K1567" s="32" t="str">
        <x:f>IF(OR('Detalle'!$J762="",'Detalle'!$K762="",'Detalle'!$L762=""),"",IF(AND(K$8&lt;='Detalle'!$K762,K$9&gt;='Detalle'!$J762),1,""))</x:f>
      </x:c>
      <x:c r="L1567" s="32" t="str">
        <x:f>IF(OR('Detalle'!$J762="",'Detalle'!$K762="",'Detalle'!$L762=""),"",IF(AND(L$8&lt;='Detalle'!$K762,L$9&gt;='Detalle'!$J762),1,""))</x:f>
      </x:c>
      <x:c r="M1567" s="32" t="str">
        <x:f>IF(OR('Detalle'!$J762="",'Detalle'!$K762="",'Detalle'!$L762=""),"",IF(AND(M$8&lt;='Detalle'!$K762,M$9&gt;='Detalle'!$J762),1,""))</x:f>
      </x:c>
      <x:c r="N1567" s="32" t="str">
        <x:f>IF(OR('Detalle'!$J762="",'Detalle'!$K762="",'Detalle'!$L762=""),"",IF(AND(N$8&lt;='Detalle'!$K762,N$9&gt;='Detalle'!$J762),1,""))</x:f>
      </x:c>
      <x:c r="O1567" s="32" t="str">
        <x:f>IF(OR('Detalle'!$J762="",'Detalle'!$K762="",'Detalle'!$L762=""),"",IF(AND(O$8&lt;='Detalle'!$K762,O$9&gt;='Detalle'!$J762),1,""))</x:f>
      </x:c>
      <x:c r="P1567" s="32" t="str">
        <x:f>IF(OR('Detalle'!$J762="",'Detalle'!$K762="",'Detalle'!$L762=""),"",IF(AND(P$8&lt;='Detalle'!$K762,P$9&gt;='Detalle'!$J762),1,""))</x:f>
      </x:c>
      <x:c r="Q1567" s="68"/>
      <x:c r="R1567" s="67" t="str"/>
      <x:c r="S1567" s="67" t="str"/>
    </x:row>
    <x:row r="1568" ht="16" customHeight="1">
      <x:c r="A1568" s="56" t="str">
        <x:v>TOU08.013</x:v>
      </x:c>
      <x:c r="B1568" s="57" t="str">
        <x:v>Revisar visor a 320 px</x:v>
      </x:c>
      <x:c r="C1568" s="62" t="str">
        <x:v>E</x:v>
      </x:c>
      <x:c r="D1568" s="64" t="n">
        <x:f>'Detalle'!I763</x:f>
        <x:v>1</x:v>
      </x:c>
      <x:c r="E1568" s="60" t="str">
        <x:f>'Detalle'!F763</x:f>
        <x:v>Completado</x:v>
      </x:c>
      <x:c r="F1568" s="32" t="str">
        <x:f>IF(AND(F$8&lt;='Detalle'!$H763,F$9&gt;='Detalle'!$G763),1,"")</x:f>
      </x:c>
      <x:c r="G1568" s="32" t="str">
        <x:f>IF(AND(G$8&lt;='Detalle'!$H763,G$9&gt;='Detalle'!$G763),1,"")</x:f>
      </x:c>
      <x:c r="H1568" s="32" t="str">
        <x:f>IF(AND(H$8&lt;='Detalle'!$H763,H$9&gt;='Detalle'!$G763),1,"")</x:f>
      </x:c>
      <x:c r="I1568" s="32" t="str">
        <x:f>IF(AND(I$8&lt;='Detalle'!$H763,I$9&gt;='Detalle'!$G763),1,"")</x:f>
      </x:c>
      <x:c r="J1568" s="32" t="n">
        <x:f>IF(AND(J$8&lt;='Detalle'!$H763,J$9&gt;='Detalle'!$G763),1,"")</x:f>
        <x:v>1</x:v>
      </x:c>
      <x:c r="K1568" s="32" t="str">
        <x:f>IF(AND(K$8&lt;='Detalle'!$H763,K$9&gt;='Detalle'!$G763),1,"")</x:f>
      </x:c>
      <x:c r="L1568" s="32" t="str">
        <x:f>IF(AND(L$8&lt;='Detalle'!$H763,L$9&gt;='Detalle'!$G763),1,"")</x:f>
      </x:c>
      <x:c r="M1568" s="32" t="str">
        <x:f>IF(AND(M$8&lt;='Detalle'!$H763,M$9&gt;='Detalle'!$G763),1,"")</x:f>
      </x:c>
      <x:c r="N1568" s="32" t="str">
        <x:f>IF(AND(N$8&lt;='Detalle'!$H763,N$9&gt;='Detalle'!$G763),1,"")</x:f>
      </x:c>
      <x:c r="O1568" s="32" t="str">
        <x:f>IF(AND(O$8&lt;='Detalle'!$H763,O$9&gt;='Detalle'!$G763),1,"")</x:f>
      </x:c>
      <x:c r="P1568" s="32" t="str">
        <x:f>IF(AND(P$8&lt;='Detalle'!$H763,P$9&gt;='Detalle'!$G763),1,"")</x:f>
      </x:c>
      <x:c r="Q1568" s="68"/>
      <x:c r="R1568" s="67" t="str">
        <x:f>IF('Detalle'!M763="","",'Detalle'!M763)</x:f>
      </x:c>
      <x:c r="S1568" s="67" t="str">
        <x:f>IF('Detalle'!N763="","",'Detalle'!N763)</x:f>
      </x:c>
    </x:row>
    <x:row r="1569" ht="16" customHeight="1">
      <x:c r="A1569" s="56" t="str">
        <x:v>TOU08.013</x:v>
      </x:c>
      <x:c r="B1569" s="57" t="str">
        <x:v>Revisar visor a 320 px</x:v>
      </x:c>
      <x:c r="C1569" s="63" t="str">
        <x:v>R</x:v>
      </x:c>
      <x:c r="D1569" s="65" t="str">
        <x:f>IF('Detalle'!L763="","",'Detalle'!L763)</x:f>
      </x:c>
      <x:c r="E1569" s="60" t="str"/>
      <x:c r="F1569" s="32" t="str">
        <x:f>IF(OR('Detalle'!$J763="",'Detalle'!$K763="",'Detalle'!$L763=""),"",IF(AND(F$8&lt;='Detalle'!$K763,F$9&gt;='Detalle'!$J763),1,""))</x:f>
      </x:c>
      <x:c r="G1569" s="32" t="str">
        <x:f>IF(OR('Detalle'!$J763="",'Detalle'!$K763="",'Detalle'!$L763=""),"",IF(AND(G$8&lt;='Detalle'!$K763,G$9&gt;='Detalle'!$J763),1,""))</x:f>
      </x:c>
      <x:c r="H1569" s="32" t="str">
        <x:f>IF(OR('Detalle'!$J763="",'Detalle'!$K763="",'Detalle'!$L763=""),"",IF(AND(H$8&lt;='Detalle'!$K763,H$9&gt;='Detalle'!$J763),1,""))</x:f>
      </x:c>
      <x:c r="I1569" s="32" t="str">
        <x:f>IF(OR('Detalle'!$J763="",'Detalle'!$K763="",'Detalle'!$L763=""),"",IF(AND(I$8&lt;='Detalle'!$K763,I$9&gt;='Detalle'!$J763),1,""))</x:f>
      </x:c>
      <x:c r="J1569" s="32" t="str">
        <x:f>IF(OR('Detalle'!$J763="",'Detalle'!$K763="",'Detalle'!$L763=""),"",IF(AND(J$8&lt;='Detalle'!$K763,J$9&gt;='Detalle'!$J763),1,""))</x:f>
      </x:c>
      <x:c r="K1569" s="32" t="str">
        <x:f>IF(OR('Detalle'!$J763="",'Detalle'!$K763="",'Detalle'!$L763=""),"",IF(AND(K$8&lt;='Detalle'!$K763,K$9&gt;='Detalle'!$J763),1,""))</x:f>
      </x:c>
      <x:c r="L1569" s="32" t="str">
        <x:f>IF(OR('Detalle'!$J763="",'Detalle'!$K763="",'Detalle'!$L763=""),"",IF(AND(L$8&lt;='Detalle'!$K763,L$9&gt;='Detalle'!$J763),1,""))</x:f>
      </x:c>
      <x:c r="M1569" s="32" t="str">
        <x:f>IF(OR('Detalle'!$J763="",'Detalle'!$K763="",'Detalle'!$L763=""),"",IF(AND(M$8&lt;='Detalle'!$K763,M$9&gt;='Detalle'!$J763),1,""))</x:f>
      </x:c>
      <x:c r="N1569" s="32" t="str">
        <x:f>IF(OR('Detalle'!$J763="",'Detalle'!$K763="",'Detalle'!$L763=""),"",IF(AND(N$8&lt;='Detalle'!$K763,N$9&gt;='Detalle'!$J763),1,""))</x:f>
      </x:c>
      <x:c r="O1569" s="32" t="str">
        <x:f>IF(OR('Detalle'!$J763="",'Detalle'!$K763="",'Detalle'!$L763=""),"",IF(AND(O$8&lt;='Detalle'!$K763,O$9&gt;='Detalle'!$J763),1,""))</x:f>
      </x:c>
      <x:c r="P1569" s="32" t="str">
        <x:f>IF(OR('Detalle'!$J763="",'Detalle'!$K763="",'Detalle'!$L763=""),"",IF(AND(P$8&lt;='Detalle'!$K763,P$9&gt;='Detalle'!$J763),1,""))</x:f>
      </x:c>
      <x:c r="Q1569" s="68"/>
      <x:c r="R1569" s="67" t="str"/>
      <x:c r="S1569" s="67" t="str"/>
    </x:row>
    <x:row r="1570" ht="20" customHeight="1">
      <x:c r="A1570" s="52" t="str">
        <x:v>AR01 · Implementación AR nativa y recuperación — WIP</x:v>
      </x:c>
      <x:c r="B1570" s="52" t="str">
        <x:v>AR01 · Implementación AR nativa y recuperación — WIP</x:v>
      </x:c>
      <x:c r="C1570" s="52" t="str">
        <x:v>AR01 · Implementación AR nativa y recuperación — WIP</x:v>
      </x:c>
      <x:c r="D1570" s="52" t="str">
        <x:v>AR01 · Implementación AR nativa y recuperación — WIP</x:v>
      </x:c>
      <x:c r="E1570" s="52" t="str">
        <x:v>AR01 · Implementación AR nativa y recuperación — WIP</x:v>
      </x:c>
      <x:c r="F1570" s="53" t="str">
        <x:v>AR01 · Implementación AR nativa y recuperación — WIP</x:v>
      </x:c>
      <x:c r="G1570" s="53" t="str">
        <x:v>AR01 · Implementación AR nativa y recuperación — WIP</x:v>
      </x:c>
      <x:c r="H1570" s="53" t="str">
        <x:v>AR01 · Implementación AR nativa y recuperación — WIP</x:v>
      </x:c>
      <x:c r="I1570" s="53" t="str">
        <x:v>AR01 · Implementación AR nativa y recuperación — WIP</x:v>
      </x:c>
      <x:c r="J1570" s="53" t="str">
        <x:v>AR01 · Implementación AR nativa y recuperación — WIP</x:v>
      </x:c>
      <x:c r="K1570" s="53" t="str">
        <x:v>AR01 · Implementación AR nativa y recuperación — WIP</x:v>
      </x:c>
      <x:c r="L1570" s="53" t="str">
        <x:v>AR01 · Implementación AR nativa y recuperación — WIP</x:v>
      </x:c>
      <x:c r="M1570" s="53" t="str">
        <x:v>AR01 · Implementación AR nativa y recuperación — WIP</x:v>
      </x:c>
      <x:c r="N1570" s="53" t="str">
        <x:v>AR01 · Implementación AR nativa y recuperación — WIP</x:v>
      </x:c>
      <x:c r="O1570" s="53" t="str">
        <x:v>AR01 · Implementación AR nativa y recuperación — WIP</x:v>
      </x:c>
      <x:c r="P1570" s="53" t="str">
        <x:v>AR01 · Implementación AR nativa y recuperación — WIP</x:v>
      </x:c>
      <x:c r="Q1570" s="52" t="str">
        <x:v>AR01 · Implementación AR nativa y recuperación — WIP</x:v>
      </x:c>
      <x:c r="R1570" s="52" t="str">
        <x:v>AR01 · Implementación AR nativa y recuperación — WIP</x:v>
      </x:c>
      <x:c r="S1570" s="52" t="str">
        <x:v>AR01 · Implementación AR nativa y recuperación — WIP</x:v>
      </x:c>
    </x:row>
    <x:row r="1571" ht="16" customHeight="1">
      <x:c r="A1571" s="56" t="str">
        <x:v>AR01.001</x:v>
      </x:c>
      <x:c r="B1571" s="57" t="str">
        <x:v>Consultar soporte AR del dispositivo</x:v>
      </x:c>
      <x:c r="C1571" s="62" t="str">
        <x:v>E</x:v>
      </x:c>
      <x:c r="D1571" s="64" t="n">
        <x:f>'Detalle'!I764</x:f>
        <x:v>3</x:v>
      </x:c>
      <x:c r="E1571" s="60" t="str">
        <x:f>'Detalle'!F764</x:f>
        <x:v>WIP</x:v>
      </x:c>
      <x:c r="F1571" s="32" t="str">
        <x:f>IF(AND(F$8&lt;='Detalle'!$H764,F$9&gt;='Detalle'!$G764),1,"")</x:f>
      </x:c>
      <x:c r="G1571" s="32" t="str">
        <x:f>IF(AND(G$8&lt;='Detalle'!$H764,G$9&gt;='Detalle'!$G764),1,"")</x:f>
      </x:c>
      <x:c r="H1571" s="32" t="str">
        <x:f>IF(AND(H$8&lt;='Detalle'!$H764,H$9&gt;='Detalle'!$G764),1,"")</x:f>
      </x:c>
      <x:c r="I1571" s="32" t="str">
        <x:f>IF(AND(I$8&lt;='Detalle'!$H764,I$9&gt;='Detalle'!$G764),1,"")</x:f>
      </x:c>
      <x:c r="J1571" s="32" t="n">
        <x:f>IF(AND(J$8&lt;='Detalle'!$H764,J$9&gt;='Detalle'!$G764),1,"")</x:f>
        <x:v>1</x:v>
      </x:c>
      <x:c r="K1571" s="32" t="n">
        <x:f>IF(AND(K$8&lt;='Detalle'!$H764,K$9&gt;='Detalle'!$G764),1,"")</x:f>
        <x:v>1</x:v>
      </x:c>
      <x:c r="L1571" s="32" t="n">
        <x:f>IF(AND(L$8&lt;='Detalle'!$H764,L$9&gt;='Detalle'!$G764),1,"")</x:f>
        <x:v>1</x:v>
      </x:c>
      <x:c r="M1571" s="32" t="str">
        <x:f>IF(AND(M$8&lt;='Detalle'!$H764,M$9&gt;='Detalle'!$G764),1,"")</x:f>
      </x:c>
      <x:c r="N1571" s="32" t="str">
        <x:f>IF(AND(N$8&lt;='Detalle'!$H764,N$9&gt;='Detalle'!$G764),1,"")</x:f>
      </x:c>
      <x:c r="O1571" s="32" t="str">
        <x:f>IF(AND(O$8&lt;='Detalle'!$H764,O$9&gt;='Detalle'!$G764),1,"")</x:f>
      </x:c>
      <x:c r="P1571" s="32" t="str">
        <x:f>IF(AND(P$8&lt;='Detalle'!$H764,P$9&gt;='Detalle'!$G764),1,"")</x:f>
      </x:c>
      <x:c r="Q1571" s="68"/>
      <x:c r="R1571" s="67" t="str">
        <x:f>IF('Detalle'!M764="","",'Detalle'!M764)</x:f>
      </x:c>
      <x:c r="S1571" s="67" t="str">
        <x:f>IF('Detalle'!N764="","",'Detalle'!N764)</x:f>
      </x:c>
    </x:row>
    <x:row r="1572" ht="16" customHeight="1">
      <x:c r="A1572" s="56" t="str">
        <x:v>AR01.001</x:v>
      </x:c>
      <x:c r="B1572" s="57" t="str">
        <x:v>Consultar soporte AR del dispositivo</x:v>
      </x:c>
      <x:c r="C1572" s="63" t="str">
        <x:v>R</x:v>
      </x:c>
      <x:c r="D1572" s="65" t="str">
        <x:f>IF('Detalle'!L764="","",'Detalle'!L764)</x:f>
      </x:c>
      <x:c r="E1572" s="60" t="str"/>
      <x:c r="F1572" s="32" t="str">
        <x:f>IF(OR('Detalle'!$J764="",'Detalle'!$K764="",'Detalle'!$L764=""),"",IF(AND(F$8&lt;='Detalle'!$K764,F$9&gt;='Detalle'!$J764),1,""))</x:f>
      </x:c>
      <x:c r="G1572" s="32" t="str">
        <x:f>IF(OR('Detalle'!$J764="",'Detalle'!$K764="",'Detalle'!$L764=""),"",IF(AND(G$8&lt;='Detalle'!$K764,G$9&gt;='Detalle'!$J764),1,""))</x:f>
      </x:c>
      <x:c r="H1572" s="32" t="str">
        <x:f>IF(OR('Detalle'!$J764="",'Detalle'!$K764="",'Detalle'!$L764=""),"",IF(AND(H$8&lt;='Detalle'!$K764,H$9&gt;='Detalle'!$J764),1,""))</x:f>
      </x:c>
      <x:c r="I1572" s="32" t="str">
        <x:f>IF(OR('Detalle'!$J764="",'Detalle'!$K764="",'Detalle'!$L764=""),"",IF(AND(I$8&lt;='Detalle'!$K764,I$9&gt;='Detalle'!$J764),1,""))</x:f>
      </x:c>
      <x:c r="J1572" s="32" t="str">
        <x:f>IF(OR('Detalle'!$J764="",'Detalle'!$K764="",'Detalle'!$L764=""),"",IF(AND(J$8&lt;='Detalle'!$K764,J$9&gt;='Detalle'!$J764),1,""))</x:f>
      </x:c>
      <x:c r="K1572" s="32" t="str">
        <x:f>IF(OR('Detalle'!$J764="",'Detalle'!$K764="",'Detalle'!$L764=""),"",IF(AND(K$8&lt;='Detalle'!$K764,K$9&gt;='Detalle'!$J764),1,""))</x:f>
      </x:c>
      <x:c r="L1572" s="32" t="str">
        <x:f>IF(OR('Detalle'!$J764="",'Detalle'!$K764="",'Detalle'!$L764=""),"",IF(AND(L$8&lt;='Detalle'!$K764,L$9&gt;='Detalle'!$J764),1,""))</x:f>
      </x:c>
      <x:c r="M1572" s="32" t="str">
        <x:f>IF(OR('Detalle'!$J764="",'Detalle'!$K764="",'Detalle'!$L764=""),"",IF(AND(M$8&lt;='Detalle'!$K764,M$9&gt;='Detalle'!$J764),1,""))</x:f>
      </x:c>
      <x:c r="N1572" s="32" t="str">
        <x:f>IF(OR('Detalle'!$J764="",'Detalle'!$K764="",'Detalle'!$L764=""),"",IF(AND(N$8&lt;='Detalle'!$K764,N$9&gt;='Detalle'!$J764),1,""))</x:f>
      </x:c>
      <x:c r="O1572" s="32" t="str">
        <x:f>IF(OR('Detalle'!$J764="",'Detalle'!$K764="",'Detalle'!$L764=""),"",IF(AND(O$8&lt;='Detalle'!$K764,O$9&gt;='Detalle'!$J764),1,""))</x:f>
      </x:c>
      <x:c r="P1572" s="32" t="str">
        <x:f>IF(OR('Detalle'!$J764="",'Detalle'!$K764="",'Detalle'!$L764=""),"",IF(AND(P$8&lt;='Detalle'!$K764,P$9&gt;='Detalle'!$J764),1,""))</x:f>
      </x:c>
      <x:c r="Q1572" s="68"/>
      <x:c r="R1572" s="67" t="str"/>
      <x:c r="S1572" s="67" t="str"/>
    </x:row>
    <x:row r="1573" ht="16" customHeight="1">
      <x:c r="A1573" s="56" t="str">
        <x:v>AR01.002</x:v>
      </x:c>
      <x:c r="B1573" s="57" t="str">
        <x:v>Preparar referencia JPEG de activador</x:v>
      </x:c>
      <x:c r="C1573" s="62" t="str">
        <x:v>E</x:v>
      </x:c>
      <x:c r="D1573" s="64" t="n">
        <x:f>'Detalle'!I765</x:f>
        <x:v>3</x:v>
      </x:c>
      <x:c r="E1573" s="60" t="str">
        <x:f>'Detalle'!F765</x:f>
        <x:v>WIP</x:v>
      </x:c>
      <x:c r="F1573" s="32" t="str">
        <x:f>IF(AND(F$8&lt;='Detalle'!$H765,F$9&gt;='Detalle'!$G765),1,"")</x:f>
      </x:c>
      <x:c r="G1573" s="32" t="str">
        <x:f>IF(AND(G$8&lt;='Detalle'!$H765,G$9&gt;='Detalle'!$G765),1,"")</x:f>
      </x:c>
      <x:c r="H1573" s="32" t="str">
        <x:f>IF(AND(H$8&lt;='Detalle'!$H765,H$9&gt;='Detalle'!$G765),1,"")</x:f>
      </x:c>
      <x:c r="I1573" s="32" t="str">
        <x:f>IF(AND(I$8&lt;='Detalle'!$H765,I$9&gt;='Detalle'!$G765),1,"")</x:f>
      </x:c>
      <x:c r="J1573" s="32" t="n">
        <x:f>IF(AND(J$8&lt;='Detalle'!$H765,J$9&gt;='Detalle'!$G765),1,"")</x:f>
        <x:v>1</x:v>
      </x:c>
      <x:c r="K1573" s="32" t="n">
        <x:f>IF(AND(K$8&lt;='Detalle'!$H765,K$9&gt;='Detalle'!$G765),1,"")</x:f>
        <x:v>1</x:v>
      </x:c>
      <x:c r="L1573" s="32" t="n">
        <x:f>IF(AND(L$8&lt;='Detalle'!$H765,L$9&gt;='Detalle'!$G765),1,"")</x:f>
        <x:v>1</x:v>
      </x:c>
      <x:c r="M1573" s="32" t="str">
        <x:f>IF(AND(M$8&lt;='Detalle'!$H765,M$9&gt;='Detalle'!$G765),1,"")</x:f>
      </x:c>
      <x:c r="N1573" s="32" t="str">
        <x:f>IF(AND(N$8&lt;='Detalle'!$H765,N$9&gt;='Detalle'!$G765),1,"")</x:f>
      </x:c>
      <x:c r="O1573" s="32" t="str">
        <x:f>IF(AND(O$8&lt;='Detalle'!$H765,O$9&gt;='Detalle'!$G765),1,"")</x:f>
      </x:c>
      <x:c r="P1573" s="32" t="str">
        <x:f>IF(AND(P$8&lt;='Detalle'!$H765,P$9&gt;='Detalle'!$G765),1,"")</x:f>
      </x:c>
      <x:c r="Q1573" s="68"/>
      <x:c r="R1573" s="67" t="str">
        <x:f>IF('Detalle'!M765="","",'Detalle'!M765)</x:f>
      </x:c>
      <x:c r="S1573" s="67" t="str">
        <x:f>IF('Detalle'!N765="","",'Detalle'!N765)</x:f>
      </x:c>
    </x:row>
    <x:row r="1574" ht="16" customHeight="1">
      <x:c r="A1574" s="56" t="str">
        <x:v>AR01.002</x:v>
      </x:c>
      <x:c r="B1574" s="57" t="str">
        <x:v>Preparar referencia JPEG de activador</x:v>
      </x:c>
      <x:c r="C1574" s="63" t="str">
        <x:v>R</x:v>
      </x:c>
      <x:c r="D1574" s="65" t="str">
        <x:f>IF('Detalle'!L765="","",'Detalle'!L765)</x:f>
      </x:c>
      <x:c r="E1574" s="60" t="str"/>
      <x:c r="F1574" s="32" t="str">
        <x:f>IF(OR('Detalle'!$J765="",'Detalle'!$K765="",'Detalle'!$L765=""),"",IF(AND(F$8&lt;='Detalle'!$K765,F$9&gt;='Detalle'!$J765),1,""))</x:f>
      </x:c>
      <x:c r="G1574" s="32" t="str">
        <x:f>IF(OR('Detalle'!$J765="",'Detalle'!$K765="",'Detalle'!$L765=""),"",IF(AND(G$8&lt;='Detalle'!$K765,G$9&gt;='Detalle'!$J765),1,""))</x:f>
      </x:c>
      <x:c r="H1574" s="32" t="str">
        <x:f>IF(OR('Detalle'!$J765="",'Detalle'!$K765="",'Detalle'!$L765=""),"",IF(AND(H$8&lt;='Detalle'!$K765,H$9&gt;='Detalle'!$J765),1,""))</x:f>
      </x:c>
      <x:c r="I1574" s="32" t="str">
        <x:f>IF(OR('Detalle'!$J765="",'Detalle'!$K765="",'Detalle'!$L765=""),"",IF(AND(I$8&lt;='Detalle'!$K765,I$9&gt;='Detalle'!$J765),1,""))</x:f>
      </x:c>
      <x:c r="J1574" s="32" t="str">
        <x:f>IF(OR('Detalle'!$J765="",'Detalle'!$K765="",'Detalle'!$L765=""),"",IF(AND(J$8&lt;='Detalle'!$K765,J$9&gt;='Detalle'!$J765),1,""))</x:f>
      </x:c>
      <x:c r="K1574" s="32" t="str">
        <x:f>IF(OR('Detalle'!$J765="",'Detalle'!$K765="",'Detalle'!$L765=""),"",IF(AND(K$8&lt;='Detalle'!$K765,K$9&gt;='Detalle'!$J765),1,""))</x:f>
      </x:c>
      <x:c r="L1574" s="32" t="str">
        <x:f>IF(OR('Detalle'!$J765="",'Detalle'!$K765="",'Detalle'!$L765=""),"",IF(AND(L$8&lt;='Detalle'!$K765,L$9&gt;='Detalle'!$J765),1,""))</x:f>
      </x:c>
      <x:c r="M1574" s="32" t="str">
        <x:f>IF(OR('Detalle'!$J765="",'Detalle'!$K765="",'Detalle'!$L765=""),"",IF(AND(M$8&lt;='Detalle'!$K765,M$9&gt;='Detalle'!$J765),1,""))</x:f>
      </x:c>
      <x:c r="N1574" s="32" t="str">
        <x:f>IF(OR('Detalle'!$J765="",'Detalle'!$K765="",'Detalle'!$L765=""),"",IF(AND(N$8&lt;='Detalle'!$K765,N$9&gt;='Detalle'!$J765),1,""))</x:f>
      </x:c>
      <x:c r="O1574" s="32" t="str">
        <x:f>IF(OR('Detalle'!$J765="",'Detalle'!$K765="",'Detalle'!$L765=""),"",IF(AND(O$8&lt;='Detalle'!$K765,O$9&gt;='Detalle'!$J765),1,""))</x:f>
      </x:c>
      <x:c r="P1574" s="32" t="str">
        <x:f>IF(OR('Detalle'!$J765="",'Detalle'!$K765="",'Detalle'!$L765=""),"",IF(AND(P$8&lt;='Detalle'!$K765,P$9&gt;='Detalle'!$J765),1,""))</x:f>
      </x:c>
      <x:c r="Q1574" s="68"/>
      <x:c r="R1574" s="67" t="str"/>
      <x:c r="S1574" s="67" t="str"/>
    </x:row>
    <x:row r="1575" ht="16" customHeight="1">
      <x:c r="A1575" s="56" t="str">
        <x:v>AR01.003</x:v>
      </x:c>
      <x:c r="B1575" s="57" t="str">
        <x:v>Validar ancho físico positivo</x:v>
      </x:c>
      <x:c r="C1575" s="62" t="str">
        <x:v>E</x:v>
      </x:c>
      <x:c r="D1575" s="64" t="n">
        <x:f>'Detalle'!I766</x:f>
        <x:v>3</x:v>
      </x:c>
      <x:c r="E1575" s="60" t="str">
        <x:f>'Detalle'!F766</x:f>
        <x:v>WIP</x:v>
      </x:c>
      <x:c r="F1575" s="32" t="str">
        <x:f>IF(AND(F$8&lt;='Detalle'!$H766,F$9&gt;='Detalle'!$G766),1,"")</x:f>
      </x:c>
      <x:c r="G1575" s="32" t="str">
        <x:f>IF(AND(G$8&lt;='Detalle'!$H766,G$9&gt;='Detalle'!$G766),1,"")</x:f>
      </x:c>
      <x:c r="H1575" s="32" t="str">
        <x:f>IF(AND(H$8&lt;='Detalle'!$H766,H$9&gt;='Detalle'!$G766),1,"")</x:f>
      </x:c>
      <x:c r="I1575" s="32" t="str">
        <x:f>IF(AND(I$8&lt;='Detalle'!$H766,I$9&gt;='Detalle'!$G766),1,"")</x:f>
      </x:c>
      <x:c r="J1575" s="32" t="n">
        <x:f>IF(AND(J$8&lt;='Detalle'!$H766,J$9&gt;='Detalle'!$G766),1,"")</x:f>
        <x:v>1</x:v>
      </x:c>
      <x:c r="K1575" s="32" t="n">
        <x:f>IF(AND(K$8&lt;='Detalle'!$H766,K$9&gt;='Detalle'!$G766),1,"")</x:f>
        <x:v>1</x:v>
      </x:c>
      <x:c r="L1575" s="32" t="n">
        <x:f>IF(AND(L$8&lt;='Detalle'!$H766,L$9&gt;='Detalle'!$G766),1,"")</x:f>
        <x:v>1</x:v>
      </x:c>
      <x:c r="M1575" s="32" t="str">
        <x:f>IF(AND(M$8&lt;='Detalle'!$H766,M$9&gt;='Detalle'!$G766),1,"")</x:f>
      </x:c>
      <x:c r="N1575" s="32" t="str">
        <x:f>IF(AND(N$8&lt;='Detalle'!$H766,N$9&gt;='Detalle'!$G766),1,"")</x:f>
      </x:c>
      <x:c r="O1575" s="32" t="str">
        <x:f>IF(AND(O$8&lt;='Detalle'!$H766,O$9&gt;='Detalle'!$G766),1,"")</x:f>
      </x:c>
      <x:c r="P1575" s="32" t="str">
        <x:f>IF(AND(P$8&lt;='Detalle'!$H766,P$9&gt;='Detalle'!$G766),1,"")</x:f>
      </x:c>
      <x:c r="Q1575" s="68"/>
      <x:c r="R1575" s="67" t="str">
        <x:f>IF('Detalle'!M766="","",'Detalle'!M766)</x:f>
      </x:c>
      <x:c r="S1575" s="67" t="str">
        <x:f>IF('Detalle'!N766="","",'Detalle'!N766)</x:f>
      </x:c>
    </x:row>
    <x:row r="1576" ht="16" customHeight="1">
      <x:c r="A1576" s="56" t="str">
        <x:v>AR01.003</x:v>
      </x:c>
      <x:c r="B1576" s="57" t="str">
        <x:v>Validar ancho físico positivo</x:v>
      </x:c>
      <x:c r="C1576" s="63" t="str">
        <x:v>R</x:v>
      </x:c>
      <x:c r="D1576" s="65" t="str">
        <x:f>IF('Detalle'!L766="","",'Detalle'!L766)</x:f>
      </x:c>
      <x:c r="E1576" s="60" t="str"/>
      <x:c r="F1576" s="32" t="str">
        <x:f>IF(OR('Detalle'!$J766="",'Detalle'!$K766="",'Detalle'!$L766=""),"",IF(AND(F$8&lt;='Detalle'!$K766,F$9&gt;='Detalle'!$J766),1,""))</x:f>
      </x:c>
      <x:c r="G1576" s="32" t="str">
        <x:f>IF(OR('Detalle'!$J766="",'Detalle'!$K766="",'Detalle'!$L766=""),"",IF(AND(G$8&lt;='Detalle'!$K766,G$9&gt;='Detalle'!$J766),1,""))</x:f>
      </x:c>
      <x:c r="H1576" s="32" t="str">
        <x:f>IF(OR('Detalle'!$J766="",'Detalle'!$K766="",'Detalle'!$L766=""),"",IF(AND(H$8&lt;='Detalle'!$K766,H$9&gt;='Detalle'!$J766),1,""))</x:f>
      </x:c>
      <x:c r="I1576" s="32" t="str">
        <x:f>IF(OR('Detalle'!$J766="",'Detalle'!$K766="",'Detalle'!$L766=""),"",IF(AND(I$8&lt;='Detalle'!$K766,I$9&gt;='Detalle'!$J766),1,""))</x:f>
      </x:c>
      <x:c r="J1576" s="32" t="str">
        <x:f>IF(OR('Detalle'!$J766="",'Detalle'!$K766="",'Detalle'!$L766=""),"",IF(AND(J$8&lt;='Detalle'!$K766,J$9&gt;='Detalle'!$J766),1,""))</x:f>
      </x:c>
      <x:c r="K1576" s="32" t="str">
        <x:f>IF(OR('Detalle'!$J766="",'Detalle'!$K766="",'Detalle'!$L766=""),"",IF(AND(K$8&lt;='Detalle'!$K766,K$9&gt;='Detalle'!$J766),1,""))</x:f>
      </x:c>
      <x:c r="L1576" s="32" t="str">
        <x:f>IF(OR('Detalle'!$J766="",'Detalle'!$K766="",'Detalle'!$L766=""),"",IF(AND(L$8&lt;='Detalle'!$K766,L$9&gt;='Detalle'!$J766),1,""))</x:f>
      </x:c>
      <x:c r="M1576" s="32" t="str">
        <x:f>IF(OR('Detalle'!$J766="",'Detalle'!$K766="",'Detalle'!$L766=""),"",IF(AND(M$8&lt;='Detalle'!$K766,M$9&gt;='Detalle'!$J766),1,""))</x:f>
      </x:c>
      <x:c r="N1576" s="32" t="str">
        <x:f>IF(OR('Detalle'!$J766="",'Detalle'!$K766="",'Detalle'!$L766=""),"",IF(AND(N$8&lt;='Detalle'!$K766,N$9&gt;='Detalle'!$J766),1,""))</x:f>
      </x:c>
      <x:c r="O1576" s="32" t="str">
        <x:f>IF(OR('Detalle'!$J766="",'Detalle'!$K766="",'Detalle'!$L766=""),"",IF(AND(O$8&lt;='Detalle'!$K766,O$9&gt;='Detalle'!$J766),1,""))</x:f>
      </x:c>
      <x:c r="P1576" s="32" t="str">
        <x:f>IF(OR('Detalle'!$J766="",'Detalle'!$K766="",'Detalle'!$L766=""),"",IF(AND(P$8&lt;='Detalle'!$K766,P$9&gt;='Detalle'!$J766),1,""))</x:f>
      </x:c>
      <x:c r="Q1576" s="68"/>
      <x:c r="R1576" s="67" t="str"/>
      <x:c r="S1576" s="67" t="str"/>
    </x:row>
    <x:row r="1577" ht="16" customHeight="1">
      <x:c r="A1577" s="56" t="str">
        <x:v>AR01.004</x:v>
      </x:c>
      <x:c r="B1577" s="57" t="str">
        <x:v>Invalidar prueba al cambiar referencia</x:v>
      </x:c>
      <x:c r="C1577" s="62" t="str">
        <x:v>E</x:v>
      </x:c>
      <x:c r="D1577" s="64" t="n">
        <x:f>'Detalle'!I767</x:f>
        <x:v>3</x:v>
      </x:c>
      <x:c r="E1577" s="60" t="str">
        <x:f>'Detalle'!F767</x:f>
        <x:v>WIP</x:v>
      </x:c>
      <x:c r="F1577" s="32" t="str">
        <x:f>IF(AND(F$8&lt;='Detalle'!$H767,F$9&gt;='Detalle'!$G767),1,"")</x:f>
      </x:c>
      <x:c r="G1577" s="32" t="str">
        <x:f>IF(AND(G$8&lt;='Detalle'!$H767,G$9&gt;='Detalle'!$G767),1,"")</x:f>
      </x:c>
      <x:c r="H1577" s="32" t="str">
        <x:f>IF(AND(H$8&lt;='Detalle'!$H767,H$9&gt;='Detalle'!$G767),1,"")</x:f>
      </x:c>
      <x:c r="I1577" s="32" t="str">
        <x:f>IF(AND(I$8&lt;='Detalle'!$H767,I$9&gt;='Detalle'!$G767),1,"")</x:f>
      </x:c>
      <x:c r="J1577" s="32" t="n">
        <x:f>IF(AND(J$8&lt;='Detalle'!$H767,J$9&gt;='Detalle'!$G767),1,"")</x:f>
        <x:v>1</x:v>
      </x:c>
      <x:c r="K1577" s="32" t="n">
        <x:f>IF(AND(K$8&lt;='Detalle'!$H767,K$9&gt;='Detalle'!$G767),1,"")</x:f>
        <x:v>1</x:v>
      </x:c>
      <x:c r="L1577" s="32" t="n">
        <x:f>IF(AND(L$8&lt;='Detalle'!$H767,L$9&gt;='Detalle'!$G767),1,"")</x:f>
        <x:v>1</x:v>
      </x:c>
      <x:c r="M1577" s="32" t="str">
        <x:f>IF(AND(M$8&lt;='Detalle'!$H767,M$9&gt;='Detalle'!$G767),1,"")</x:f>
      </x:c>
      <x:c r="N1577" s="32" t="str">
        <x:f>IF(AND(N$8&lt;='Detalle'!$H767,N$9&gt;='Detalle'!$G767),1,"")</x:f>
      </x:c>
      <x:c r="O1577" s="32" t="str">
        <x:f>IF(AND(O$8&lt;='Detalle'!$H767,O$9&gt;='Detalle'!$G767),1,"")</x:f>
      </x:c>
      <x:c r="P1577" s="32" t="str">
        <x:f>IF(AND(P$8&lt;='Detalle'!$H767,P$9&gt;='Detalle'!$G767),1,"")</x:f>
      </x:c>
      <x:c r="Q1577" s="68"/>
      <x:c r="R1577" s="67" t="str">
        <x:f>IF('Detalle'!M767="","",'Detalle'!M767)</x:f>
      </x:c>
      <x:c r="S1577" s="67" t="str">
        <x:f>IF('Detalle'!N767="","",'Detalle'!N767)</x:f>
      </x:c>
    </x:row>
    <x:row r="1578" ht="16" customHeight="1">
      <x:c r="A1578" s="56" t="str">
        <x:v>AR01.004</x:v>
      </x:c>
      <x:c r="B1578" s="57" t="str">
        <x:v>Invalidar prueba al cambiar referencia</x:v>
      </x:c>
      <x:c r="C1578" s="63" t="str">
        <x:v>R</x:v>
      </x:c>
      <x:c r="D1578" s="65" t="str">
        <x:f>IF('Detalle'!L767="","",'Detalle'!L767)</x:f>
      </x:c>
      <x:c r="E1578" s="60" t="str"/>
      <x:c r="F1578" s="32" t="str">
        <x:f>IF(OR('Detalle'!$J767="",'Detalle'!$K767="",'Detalle'!$L767=""),"",IF(AND(F$8&lt;='Detalle'!$K767,F$9&gt;='Detalle'!$J767),1,""))</x:f>
      </x:c>
      <x:c r="G1578" s="32" t="str">
        <x:f>IF(OR('Detalle'!$J767="",'Detalle'!$K767="",'Detalle'!$L767=""),"",IF(AND(G$8&lt;='Detalle'!$K767,G$9&gt;='Detalle'!$J767),1,""))</x:f>
      </x:c>
      <x:c r="H1578" s="32" t="str">
        <x:f>IF(OR('Detalle'!$J767="",'Detalle'!$K767="",'Detalle'!$L767=""),"",IF(AND(H$8&lt;='Detalle'!$K767,H$9&gt;='Detalle'!$J767),1,""))</x:f>
      </x:c>
      <x:c r="I1578" s="32" t="str">
        <x:f>IF(OR('Detalle'!$J767="",'Detalle'!$K767="",'Detalle'!$L767=""),"",IF(AND(I$8&lt;='Detalle'!$K767,I$9&gt;='Detalle'!$J767),1,""))</x:f>
      </x:c>
      <x:c r="J1578" s="32" t="str">
        <x:f>IF(OR('Detalle'!$J767="",'Detalle'!$K767="",'Detalle'!$L767=""),"",IF(AND(J$8&lt;='Detalle'!$K767,J$9&gt;='Detalle'!$J767),1,""))</x:f>
      </x:c>
      <x:c r="K1578" s="32" t="str">
        <x:f>IF(OR('Detalle'!$J767="",'Detalle'!$K767="",'Detalle'!$L767=""),"",IF(AND(K$8&lt;='Detalle'!$K767,K$9&gt;='Detalle'!$J767),1,""))</x:f>
      </x:c>
      <x:c r="L1578" s="32" t="str">
        <x:f>IF(OR('Detalle'!$J767="",'Detalle'!$K767="",'Detalle'!$L767=""),"",IF(AND(L$8&lt;='Detalle'!$K767,L$9&gt;='Detalle'!$J767),1,""))</x:f>
      </x:c>
      <x:c r="M1578" s="32" t="str">
        <x:f>IF(OR('Detalle'!$J767="",'Detalle'!$K767="",'Detalle'!$L767=""),"",IF(AND(M$8&lt;='Detalle'!$K767,M$9&gt;='Detalle'!$J767),1,""))</x:f>
      </x:c>
      <x:c r="N1578" s="32" t="str">
        <x:f>IF(OR('Detalle'!$J767="",'Detalle'!$K767="",'Detalle'!$L767=""),"",IF(AND(N$8&lt;='Detalle'!$K767,N$9&gt;='Detalle'!$J767),1,""))</x:f>
      </x:c>
      <x:c r="O1578" s="32" t="str">
        <x:f>IF(OR('Detalle'!$J767="",'Detalle'!$K767="",'Detalle'!$L767=""),"",IF(AND(O$8&lt;='Detalle'!$K767,O$9&gt;='Detalle'!$J767),1,""))</x:f>
      </x:c>
      <x:c r="P1578" s="32" t="str">
        <x:f>IF(OR('Detalle'!$J767="",'Detalle'!$K767="",'Detalle'!$L767=""),"",IF(AND(P$8&lt;='Detalle'!$K767,P$9&gt;='Detalle'!$J767),1,""))</x:f>
      </x:c>
      <x:c r="Q1578" s="68"/>
      <x:c r="R1578" s="67" t="str"/>
      <x:c r="S1578" s="67" t="str"/>
    </x:row>
    <x:row r="1579" ht="16" customHeight="1">
      <x:c r="A1579" s="56" t="str">
        <x:v>AR01.005</x:v>
      </x:c>
      <x:c r="B1579" s="57" t="str">
        <x:v>Crear PlatformView Android ARCore</x:v>
      </x:c>
      <x:c r="C1579" s="62" t="str">
        <x:v>E</x:v>
      </x:c>
      <x:c r="D1579" s="64" t="n">
        <x:f>'Detalle'!I768</x:f>
        <x:v>3</x:v>
      </x:c>
      <x:c r="E1579" s="60" t="str">
        <x:f>'Detalle'!F768</x:f>
        <x:v>WIP</x:v>
      </x:c>
      <x:c r="F1579" s="32" t="str">
        <x:f>IF(AND(F$8&lt;='Detalle'!$H768,F$9&gt;='Detalle'!$G768),1,"")</x:f>
      </x:c>
      <x:c r="G1579" s="32" t="str">
        <x:f>IF(AND(G$8&lt;='Detalle'!$H768,G$9&gt;='Detalle'!$G768),1,"")</x:f>
      </x:c>
      <x:c r="H1579" s="32" t="str">
        <x:f>IF(AND(H$8&lt;='Detalle'!$H768,H$9&gt;='Detalle'!$G768),1,"")</x:f>
      </x:c>
      <x:c r="I1579" s="32" t="str">
        <x:f>IF(AND(I$8&lt;='Detalle'!$H768,I$9&gt;='Detalle'!$G768),1,"")</x:f>
      </x:c>
      <x:c r="J1579" s="32" t="n">
        <x:f>IF(AND(J$8&lt;='Detalle'!$H768,J$9&gt;='Detalle'!$G768),1,"")</x:f>
        <x:v>1</x:v>
      </x:c>
      <x:c r="K1579" s="32" t="n">
        <x:f>IF(AND(K$8&lt;='Detalle'!$H768,K$9&gt;='Detalle'!$G768),1,"")</x:f>
        <x:v>1</x:v>
      </x:c>
      <x:c r="L1579" s="32" t="n">
        <x:f>IF(AND(L$8&lt;='Detalle'!$H768,L$9&gt;='Detalle'!$G768),1,"")</x:f>
        <x:v>1</x:v>
      </x:c>
      <x:c r="M1579" s="32" t="str">
        <x:f>IF(AND(M$8&lt;='Detalle'!$H768,M$9&gt;='Detalle'!$G768),1,"")</x:f>
      </x:c>
      <x:c r="N1579" s="32" t="str">
        <x:f>IF(AND(N$8&lt;='Detalle'!$H768,N$9&gt;='Detalle'!$G768),1,"")</x:f>
      </x:c>
      <x:c r="O1579" s="32" t="str">
        <x:f>IF(AND(O$8&lt;='Detalle'!$H768,O$9&gt;='Detalle'!$G768),1,"")</x:f>
      </x:c>
      <x:c r="P1579" s="32" t="str">
        <x:f>IF(AND(P$8&lt;='Detalle'!$H768,P$9&gt;='Detalle'!$G768),1,"")</x:f>
      </x:c>
      <x:c r="Q1579" s="68"/>
      <x:c r="R1579" s="67" t="str">
        <x:f>IF('Detalle'!M768="","",'Detalle'!M768)</x:f>
      </x:c>
      <x:c r="S1579" s="67" t="str">
        <x:f>IF('Detalle'!N768="","",'Detalle'!N768)</x:f>
      </x:c>
    </x:row>
    <x:row r="1580" ht="16" customHeight="1">
      <x:c r="A1580" s="56" t="str">
        <x:v>AR01.005</x:v>
      </x:c>
      <x:c r="B1580" s="57" t="str">
        <x:v>Crear PlatformView Android ARCore</x:v>
      </x:c>
      <x:c r="C1580" s="63" t="str">
        <x:v>R</x:v>
      </x:c>
      <x:c r="D1580" s="65" t="str">
        <x:f>IF('Detalle'!L768="","",'Detalle'!L768)</x:f>
      </x:c>
      <x:c r="E1580" s="60" t="str"/>
      <x:c r="F1580" s="32" t="str">
        <x:f>IF(OR('Detalle'!$J768="",'Detalle'!$K768="",'Detalle'!$L768=""),"",IF(AND(F$8&lt;='Detalle'!$K768,F$9&gt;='Detalle'!$J768),1,""))</x:f>
      </x:c>
      <x:c r="G1580" s="32" t="str">
        <x:f>IF(OR('Detalle'!$J768="",'Detalle'!$K768="",'Detalle'!$L768=""),"",IF(AND(G$8&lt;='Detalle'!$K768,G$9&gt;='Detalle'!$J768),1,""))</x:f>
      </x:c>
      <x:c r="H1580" s="32" t="str">
        <x:f>IF(OR('Detalle'!$J768="",'Detalle'!$K768="",'Detalle'!$L768=""),"",IF(AND(H$8&lt;='Detalle'!$K768,H$9&gt;='Detalle'!$J768),1,""))</x:f>
      </x:c>
      <x:c r="I1580" s="32" t="str">
        <x:f>IF(OR('Detalle'!$J768="",'Detalle'!$K768="",'Detalle'!$L768=""),"",IF(AND(I$8&lt;='Detalle'!$K768,I$9&gt;='Detalle'!$J768),1,""))</x:f>
      </x:c>
      <x:c r="J1580" s="32" t="str">
        <x:f>IF(OR('Detalle'!$J768="",'Detalle'!$K768="",'Detalle'!$L768=""),"",IF(AND(J$8&lt;='Detalle'!$K768,J$9&gt;='Detalle'!$J768),1,""))</x:f>
      </x:c>
      <x:c r="K1580" s="32" t="str">
        <x:f>IF(OR('Detalle'!$J768="",'Detalle'!$K768="",'Detalle'!$L768=""),"",IF(AND(K$8&lt;='Detalle'!$K768,K$9&gt;='Detalle'!$J768),1,""))</x:f>
      </x:c>
      <x:c r="L1580" s="32" t="str">
        <x:f>IF(OR('Detalle'!$J768="",'Detalle'!$K768="",'Detalle'!$L768=""),"",IF(AND(L$8&lt;='Detalle'!$K768,L$9&gt;='Detalle'!$J768),1,""))</x:f>
      </x:c>
      <x:c r="M1580" s="32" t="str">
        <x:f>IF(OR('Detalle'!$J768="",'Detalle'!$K768="",'Detalle'!$L768=""),"",IF(AND(M$8&lt;='Detalle'!$K768,M$9&gt;='Detalle'!$J768),1,""))</x:f>
      </x:c>
      <x:c r="N1580" s="32" t="str">
        <x:f>IF(OR('Detalle'!$J768="",'Detalle'!$K768="",'Detalle'!$L768=""),"",IF(AND(N$8&lt;='Detalle'!$K768,N$9&gt;='Detalle'!$J768),1,""))</x:f>
      </x:c>
      <x:c r="O1580" s="32" t="str">
        <x:f>IF(OR('Detalle'!$J768="",'Detalle'!$K768="",'Detalle'!$L768=""),"",IF(AND(O$8&lt;='Detalle'!$K768,O$9&gt;='Detalle'!$J768),1,""))</x:f>
      </x:c>
      <x:c r="P1580" s="32" t="str">
        <x:f>IF(OR('Detalle'!$J768="",'Detalle'!$K768="",'Detalle'!$L768=""),"",IF(AND(P$8&lt;='Detalle'!$K768,P$9&gt;='Detalle'!$J768),1,""))</x:f>
      </x:c>
      <x:c r="Q1580" s="68"/>
      <x:c r="R1580" s="67" t="str"/>
      <x:c r="S1580" s="67" t="str"/>
    </x:row>
    <x:row r="1581" ht="16" customHeight="1">
      <x:c r="A1581" s="56" t="str">
        <x:v>AR01.006</x:v>
      </x:c>
      <x:c r="B1581" s="57" t="str">
        <x:v>Crear AugmentedImageDatabase</x:v>
      </x:c>
      <x:c r="C1581" s="62" t="str">
        <x:v>E</x:v>
      </x:c>
      <x:c r="D1581" s="64" t="n">
        <x:f>'Detalle'!I769</x:f>
        <x:v>3</x:v>
      </x:c>
      <x:c r="E1581" s="60" t="str">
        <x:f>'Detalle'!F769</x:f>
        <x:v>WIP</x:v>
      </x:c>
      <x:c r="F1581" s="32" t="str">
        <x:f>IF(AND(F$8&lt;='Detalle'!$H769,F$9&gt;='Detalle'!$G769),1,"")</x:f>
      </x:c>
      <x:c r="G1581" s="32" t="str">
        <x:f>IF(AND(G$8&lt;='Detalle'!$H769,G$9&gt;='Detalle'!$G769),1,"")</x:f>
      </x:c>
      <x:c r="H1581" s="32" t="str">
        <x:f>IF(AND(H$8&lt;='Detalle'!$H769,H$9&gt;='Detalle'!$G769),1,"")</x:f>
      </x:c>
      <x:c r="I1581" s="32" t="str">
        <x:f>IF(AND(I$8&lt;='Detalle'!$H769,I$9&gt;='Detalle'!$G769),1,"")</x:f>
      </x:c>
      <x:c r="J1581" s="32" t="n">
        <x:f>IF(AND(J$8&lt;='Detalle'!$H769,J$9&gt;='Detalle'!$G769),1,"")</x:f>
        <x:v>1</x:v>
      </x:c>
      <x:c r="K1581" s="32" t="n">
        <x:f>IF(AND(K$8&lt;='Detalle'!$H769,K$9&gt;='Detalle'!$G769),1,"")</x:f>
        <x:v>1</x:v>
      </x:c>
      <x:c r="L1581" s="32" t="n">
        <x:f>IF(AND(L$8&lt;='Detalle'!$H769,L$9&gt;='Detalle'!$G769),1,"")</x:f>
        <x:v>1</x:v>
      </x:c>
      <x:c r="M1581" s="32" t="str">
        <x:f>IF(AND(M$8&lt;='Detalle'!$H769,M$9&gt;='Detalle'!$G769),1,"")</x:f>
      </x:c>
      <x:c r="N1581" s="32" t="str">
        <x:f>IF(AND(N$8&lt;='Detalle'!$H769,N$9&gt;='Detalle'!$G769),1,"")</x:f>
      </x:c>
      <x:c r="O1581" s="32" t="str">
        <x:f>IF(AND(O$8&lt;='Detalle'!$H769,O$9&gt;='Detalle'!$G769),1,"")</x:f>
      </x:c>
      <x:c r="P1581" s="32" t="str">
        <x:f>IF(AND(P$8&lt;='Detalle'!$H769,P$9&gt;='Detalle'!$G769),1,"")</x:f>
      </x:c>
      <x:c r="Q1581" s="68"/>
      <x:c r="R1581" s="67" t="str">
        <x:f>IF('Detalle'!M769="","",'Detalle'!M769)</x:f>
      </x:c>
      <x:c r="S1581" s="67" t="str">
        <x:f>IF('Detalle'!N769="","",'Detalle'!N769)</x:f>
      </x:c>
    </x:row>
    <x:row r="1582" ht="16" customHeight="1">
      <x:c r="A1582" s="56" t="str">
        <x:v>AR01.006</x:v>
      </x:c>
      <x:c r="B1582" s="57" t="str">
        <x:v>Crear AugmentedImageDatabase</x:v>
      </x:c>
      <x:c r="C1582" s="63" t="str">
        <x:v>R</x:v>
      </x:c>
      <x:c r="D1582" s="65" t="str">
        <x:f>IF('Detalle'!L769="","",'Detalle'!L769)</x:f>
      </x:c>
      <x:c r="E1582" s="60" t="str"/>
      <x:c r="F1582" s="32" t="str">
        <x:f>IF(OR('Detalle'!$J769="",'Detalle'!$K769="",'Detalle'!$L769=""),"",IF(AND(F$8&lt;='Detalle'!$K769,F$9&gt;='Detalle'!$J769),1,""))</x:f>
      </x:c>
      <x:c r="G1582" s="32" t="str">
        <x:f>IF(OR('Detalle'!$J769="",'Detalle'!$K769="",'Detalle'!$L769=""),"",IF(AND(G$8&lt;='Detalle'!$K769,G$9&gt;='Detalle'!$J769),1,""))</x:f>
      </x:c>
      <x:c r="H1582" s="32" t="str">
        <x:f>IF(OR('Detalle'!$J769="",'Detalle'!$K769="",'Detalle'!$L769=""),"",IF(AND(H$8&lt;='Detalle'!$K769,H$9&gt;='Detalle'!$J769),1,""))</x:f>
      </x:c>
      <x:c r="I1582" s="32" t="str">
        <x:f>IF(OR('Detalle'!$J769="",'Detalle'!$K769="",'Detalle'!$L769=""),"",IF(AND(I$8&lt;='Detalle'!$K769,I$9&gt;='Detalle'!$J769),1,""))</x:f>
      </x:c>
      <x:c r="J1582" s="32" t="str">
        <x:f>IF(OR('Detalle'!$J769="",'Detalle'!$K769="",'Detalle'!$L769=""),"",IF(AND(J$8&lt;='Detalle'!$K769,J$9&gt;='Detalle'!$J769),1,""))</x:f>
      </x:c>
      <x:c r="K1582" s="32" t="str">
        <x:f>IF(OR('Detalle'!$J769="",'Detalle'!$K769="",'Detalle'!$L769=""),"",IF(AND(K$8&lt;='Detalle'!$K769,K$9&gt;='Detalle'!$J769),1,""))</x:f>
      </x:c>
      <x:c r="L1582" s="32" t="str">
        <x:f>IF(OR('Detalle'!$J769="",'Detalle'!$K769="",'Detalle'!$L769=""),"",IF(AND(L$8&lt;='Detalle'!$K769,L$9&gt;='Detalle'!$J769),1,""))</x:f>
      </x:c>
      <x:c r="M1582" s="32" t="str">
        <x:f>IF(OR('Detalle'!$J769="",'Detalle'!$K769="",'Detalle'!$L769=""),"",IF(AND(M$8&lt;='Detalle'!$K769,M$9&gt;='Detalle'!$J769),1,""))</x:f>
      </x:c>
      <x:c r="N1582" s="32" t="str">
        <x:f>IF(OR('Detalle'!$J769="",'Detalle'!$K769="",'Detalle'!$L769=""),"",IF(AND(N$8&lt;='Detalle'!$K769,N$9&gt;='Detalle'!$J769),1,""))</x:f>
      </x:c>
      <x:c r="O1582" s="32" t="str">
        <x:f>IF(OR('Detalle'!$J769="",'Detalle'!$K769="",'Detalle'!$L769=""),"",IF(AND(O$8&lt;='Detalle'!$K769,O$9&gt;='Detalle'!$J769),1,""))</x:f>
      </x:c>
      <x:c r="P1582" s="32" t="str">
        <x:f>IF(OR('Detalle'!$J769="",'Detalle'!$K769="",'Detalle'!$L769=""),"",IF(AND(P$8&lt;='Detalle'!$K769,P$9&gt;='Detalle'!$J769),1,""))</x:f>
      </x:c>
      <x:c r="Q1582" s="68"/>
      <x:c r="R1582" s="67" t="str"/>
      <x:c r="S1582" s="67" t="str"/>
    </x:row>
    <x:row r="1583" ht="16" customHeight="1">
      <x:c r="A1583" s="56" t="str">
        <x:v>AR01.007</x:v>
      </x:c>
      <x:c r="B1583" s="57" t="str">
        <x:v>Renderizar cámara Android con textura OES</x:v>
      </x:c>
      <x:c r="C1583" s="62" t="str">
        <x:v>E</x:v>
      </x:c>
      <x:c r="D1583" s="64" t="n">
        <x:f>'Detalle'!I770</x:f>
        <x:v>3</x:v>
      </x:c>
      <x:c r="E1583" s="60" t="str">
        <x:f>'Detalle'!F770</x:f>
        <x:v>WIP</x:v>
      </x:c>
      <x:c r="F1583" s="32" t="str">
        <x:f>IF(AND(F$8&lt;='Detalle'!$H770,F$9&gt;='Detalle'!$G770),1,"")</x:f>
      </x:c>
      <x:c r="G1583" s="32" t="str">
        <x:f>IF(AND(G$8&lt;='Detalle'!$H770,G$9&gt;='Detalle'!$G770),1,"")</x:f>
      </x:c>
      <x:c r="H1583" s="32" t="str">
        <x:f>IF(AND(H$8&lt;='Detalle'!$H770,H$9&gt;='Detalle'!$G770),1,"")</x:f>
      </x:c>
      <x:c r="I1583" s="32" t="str">
        <x:f>IF(AND(I$8&lt;='Detalle'!$H770,I$9&gt;='Detalle'!$G770),1,"")</x:f>
      </x:c>
      <x:c r="J1583" s="32" t="n">
        <x:f>IF(AND(J$8&lt;='Detalle'!$H770,J$9&gt;='Detalle'!$G770),1,"")</x:f>
        <x:v>1</x:v>
      </x:c>
      <x:c r="K1583" s="32" t="n">
        <x:f>IF(AND(K$8&lt;='Detalle'!$H770,K$9&gt;='Detalle'!$G770),1,"")</x:f>
        <x:v>1</x:v>
      </x:c>
      <x:c r="L1583" s="32" t="n">
        <x:f>IF(AND(L$8&lt;='Detalle'!$H770,L$9&gt;='Detalle'!$G770),1,"")</x:f>
        <x:v>1</x:v>
      </x:c>
      <x:c r="M1583" s="32" t="str">
        <x:f>IF(AND(M$8&lt;='Detalle'!$H770,M$9&gt;='Detalle'!$G770),1,"")</x:f>
      </x:c>
      <x:c r="N1583" s="32" t="str">
        <x:f>IF(AND(N$8&lt;='Detalle'!$H770,N$9&gt;='Detalle'!$G770),1,"")</x:f>
      </x:c>
      <x:c r="O1583" s="32" t="str">
        <x:f>IF(AND(O$8&lt;='Detalle'!$H770,O$9&gt;='Detalle'!$G770),1,"")</x:f>
      </x:c>
      <x:c r="P1583" s="32" t="str">
        <x:f>IF(AND(P$8&lt;='Detalle'!$H770,P$9&gt;='Detalle'!$G770),1,"")</x:f>
      </x:c>
      <x:c r="Q1583" s="68"/>
      <x:c r="R1583" s="67" t="str">
        <x:f>IF('Detalle'!M770="","",'Detalle'!M770)</x:f>
      </x:c>
      <x:c r="S1583" s="67" t="str">
        <x:f>IF('Detalle'!N770="","",'Detalle'!N770)</x:f>
      </x:c>
    </x:row>
    <x:row r="1584" ht="16" customHeight="1">
      <x:c r="A1584" s="56" t="str">
        <x:v>AR01.007</x:v>
      </x:c>
      <x:c r="B1584" s="57" t="str">
        <x:v>Renderizar cámara Android con textura OES</x:v>
      </x:c>
      <x:c r="C1584" s="63" t="str">
        <x:v>R</x:v>
      </x:c>
      <x:c r="D1584" s="65" t="str">
        <x:f>IF('Detalle'!L770="","",'Detalle'!L770)</x:f>
      </x:c>
      <x:c r="E1584" s="60" t="str"/>
      <x:c r="F1584" s="32" t="str">
        <x:f>IF(OR('Detalle'!$J770="",'Detalle'!$K770="",'Detalle'!$L770=""),"",IF(AND(F$8&lt;='Detalle'!$K770,F$9&gt;='Detalle'!$J770),1,""))</x:f>
      </x:c>
      <x:c r="G1584" s="32" t="str">
        <x:f>IF(OR('Detalle'!$J770="",'Detalle'!$K770="",'Detalle'!$L770=""),"",IF(AND(G$8&lt;='Detalle'!$K770,G$9&gt;='Detalle'!$J770),1,""))</x:f>
      </x:c>
      <x:c r="H1584" s="32" t="str">
        <x:f>IF(OR('Detalle'!$J770="",'Detalle'!$K770="",'Detalle'!$L770=""),"",IF(AND(H$8&lt;='Detalle'!$K770,H$9&gt;='Detalle'!$J770),1,""))</x:f>
      </x:c>
      <x:c r="I1584" s="32" t="str">
        <x:f>IF(OR('Detalle'!$J770="",'Detalle'!$K770="",'Detalle'!$L770=""),"",IF(AND(I$8&lt;='Detalle'!$K770,I$9&gt;='Detalle'!$J770),1,""))</x:f>
      </x:c>
      <x:c r="J1584" s="32" t="str">
        <x:f>IF(OR('Detalle'!$J770="",'Detalle'!$K770="",'Detalle'!$L770=""),"",IF(AND(J$8&lt;='Detalle'!$K770,J$9&gt;='Detalle'!$J770),1,""))</x:f>
      </x:c>
      <x:c r="K1584" s="32" t="str">
        <x:f>IF(OR('Detalle'!$J770="",'Detalle'!$K770="",'Detalle'!$L770=""),"",IF(AND(K$8&lt;='Detalle'!$K770,K$9&gt;='Detalle'!$J770),1,""))</x:f>
      </x:c>
      <x:c r="L1584" s="32" t="str">
        <x:f>IF(OR('Detalle'!$J770="",'Detalle'!$K770="",'Detalle'!$L770=""),"",IF(AND(L$8&lt;='Detalle'!$K770,L$9&gt;='Detalle'!$J770),1,""))</x:f>
      </x:c>
      <x:c r="M1584" s="32" t="str">
        <x:f>IF(OR('Detalle'!$J770="",'Detalle'!$K770="",'Detalle'!$L770=""),"",IF(AND(M$8&lt;='Detalle'!$K770,M$9&gt;='Detalle'!$J770),1,""))</x:f>
      </x:c>
      <x:c r="N1584" s="32" t="str">
        <x:f>IF(OR('Detalle'!$J770="",'Detalle'!$K770="",'Detalle'!$L770=""),"",IF(AND(N$8&lt;='Detalle'!$K770,N$9&gt;='Detalle'!$J770),1,""))</x:f>
      </x:c>
      <x:c r="O1584" s="32" t="str">
        <x:f>IF(OR('Detalle'!$J770="",'Detalle'!$K770="",'Detalle'!$L770=""),"",IF(AND(O$8&lt;='Detalle'!$K770,O$9&gt;='Detalle'!$J770),1,""))</x:f>
      </x:c>
      <x:c r="P1584" s="32" t="str">
        <x:f>IF(OR('Detalle'!$J770="",'Detalle'!$K770="",'Detalle'!$L770=""),"",IF(AND(P$8&lt;='Detalle'!$K770,P$9&gt;='Detalle'!$J770),1,""))</x:f>
      </x:c>
      <x:c r="Q1584" s="68"/>
      <x:c r="R1584" s="67" t="str"/>
      <x:c r="S1584" s="67" t="str"/>
    </x:row>
    <x:row r="1585" ht="16" customHeight="1">
      <x:c r="A1585" s="56" t="str">
        <x:v>AR01.008</x:v>
      </x:c>
      <x:c r="B1585" s="57" t="str">
        <x:v>Crear anchor de imagen reconocida</x:v>
      </x:c>
      <x:c r="C1585" s="62" t="str">
        <x:v>E</x:v>
      </x:c>
      <x:c r="D1585" s="64" t="n">
        <x:f>'Detalle'!I771</x:f>
        <x:v>3</x:v>
      </x:c>
      <x:c r="E1585" s="60" t="str">
        <x:f>'Detalle'!F771</x:f>
        <x:v>WIP</x:v>
      </x:c>
      <x:c r="F1585" s="32" t="str">
        <x:f>IF(AND(F$8&lt;='Detalle'!$H771,F$9&gt;='Detalle'!$G771),1,"")</x:f>
      </x:c>
      <x:c r="G1585" s="32" t="str">
        <x:f>IF(AND(G$8&lt;='Detalle'!$H771,G$9&gt;='Detalle'!$G771),1,"")</x:f>
      </x:c>
      <x:c r="H1585" s="32" t="str">
        <x:f>IF(AND(H$8&lt;='Detalle'!$H771,H$9&gt;='Detalle'!$G771),1,"")</x:f>
      </x:c>
      <x:c r="I1585" s="32" t="str">
        <x:f>IF(AND(I$8&lt;='Detalle'!$H771,I$9&gt;='Detalle'!$G771),1,"")</x:f>
      </x:c>
      <x:c r="J1585" s="32" t="n">
        <x:f>IF(AND(J$8&lt;='Detalle'!$H771,J$9&gt;='Detalle'!$G771),1,"")</x:f>
        <x:v>1</x:v>
      </x:c>
      <x:c r="K1585" s="32" t="n">
        <x:f>IF(AND(K$8&lt;='Detalle'!$H771,K$9&gt;='Detalle'!$G771),1,"")</x:f>
        <x:v>1</x:v>
      </x:c>
      <x:c r="L1585" s="32" t="n">
        <x:f>IF(AND(L$8&lt;='Detalle'!$H771,L$9&gt;='Detalle'!$G771),1,"")</x:f>
        <x:v>1</x:v>
      </x:c>
      <x:c r="M1585" s="32" t="str">
        <x:f>IF(AND(M$8&lt;='Detalle'!$H771,M$9&gt;='Detalle'!$G771),1,"")</x:f>
      </x:c>
      <x:c r="N1585" s="32" t="str">
        <x:f>IF(AND(N$8&lt;='Detalle'!$H771,N$9&gt;='Detalle'!$G771),1,"")</x:f>
      </x:c>
      <x:c r="O1585" s="32" t="str">
        <x:f>IF(AND(O$8&lt;='Detalle'!$H771,O$9&gt;='Detalle'!$G771),1,"")</x:f>
      </x:c>
      <x:c r="P1585" s="32" t="str">
        <x:f>IF(AND(P$8&lt;='Detalle'!$H771,P$9&gt;='Detalle'!$G771),1,"")</x:f>
      </x:c>
      <x:c r="Q1585" s="68"/>
      <x:c r="R1585" s="67" t="str">
        <x:f>IF('Detalle'!M771="","",'Detalle'!M771)</x:f>
      </x:c>
      <x:c r="S1585" s="67" t="str">
        <x:f>IF('Detalle'!N771="","",'Detalle'!N771)</x:f>
      </x:c>
    </x:row>
    <x:row r="1586" ht="16" customHeight="1">
      <x:c r="A1586" s="56" t="str">
        <x:v>AR01.008</x:v>
      </x:c>
      <x:c r="B1586" s="57" t="str">
        <x:v>Crear anchor de imagen reconocida</x:v>
      </x:c>
      <x:c r="C1586" s="63" t="str">
        <x:v>R</x:v>
      </x:c>
      <x:c r="D1586" s="65" t="str">
        <x:f>IF('Detalle'!L771="","",'Detalle'!L771)</x:f>
      </x:c>
      <x:c r="E1586" s="60" t="str"/>
      <x:c r="F1586" s="32" t="str">
        <x:f>IF(OR('Detalle'!$J771="",'Detalle'!$K771="",'Detalle'!$L771=""),"",IF(AND(F$8&lt;='Detalle'!$K771,F$9&gt;='Detalle'!$J771),1,""))</x:f>
      </x:c>
      <x:c r="G1586" s="32" t="str">
        <x:f>IF(OR('Detalle'!$J771="",'Detalle'!$K771="",'Detalle'!$L771=""),"",IF(AND(G$8&lt;='Detalle'!$K771,G$9&gt;='Detalle'!$J771),1,""))</x:f>
      </x:c>
      <x:c r="H1586" s="32" t="str">
        <x:f>IF(OR('Detalle'!$J771="",'Detalle'!$K771="",'Detalle'!$L771=""),"",IF(AND(H$8&lt;='Detalle'!$K771,H$9&gt;='Detalle'!$J771),1,""))</x:f>
      </x:c>
      <x:c r="I1586" s="32" t="str">
        <x:f>IF(OR('Detalle'!$J771="",'Detalle'!$K771="",'Detalle'!$L771=""),"",IF(AND(I$8&lt;='Detalle'!$K771,I$9&gt;='Detalle'!$J771),1,""))</x:f>
      </x:c>
      <x:c r="J1586" s="32" t="str">
        <x:f>IF(OR('Detalle'!$J771="",'Detalle'!$K771="",'Detalle'!$L771=""),"",IF(AND(J$8&lt;='Detalle'!$K771,J$9&gt;='Detalle'!$J771),1,""))</x:f>
      </x:c>
      <x:c r="K1586" s="32" t="str">
        <x:f>IF(OR('Detalle'!$J771="",'Detalle'!$K771="",'Detalle'!$L771=""),"",IF(AND(K$8&lt;='Detalle'!$K771,K$9&gt;='Detalle'!$J771),1,""))</x:f>
      </x:c>
      <x:c r="L1586" s="32" t="str">
        <x:f>IF(OR('Detalle'!$J771="",'Detalle'!$K771="",'Detalle'!$L771=""),"",IF(AND(L$8&lt;='Detalle'!$K771,L$9&gt;='Detalle'!$J771),1,""))</x:f>
      </x:c>
      <x:c r="M1586" s="32" t="str">
        <x:f>IF(OR('Detalle'!$J771="",'Detalle'!$K771="",'Detalle'!$L771=""),"",IF(AND(M$8&lt;='Detalle'!$K771,M$9&gt;='Detalle'!$J771),1,""))</x:f>
      </x:c>
      <x:c r="N1586" s="32" t="str">
        <x:f>IF(OR('Detalle'!$J771="",'Detalle'!$K771="",'Detalle'!$L771=""),"",IF(AND(N$8&lt;='Detalle'!$K771,N$9&gt;='Detalle'!$J771),1,""))</x:f>
      </x:c>
      <x:c r="O1586" s="32" t="str">
        <x:f>IF(OR('Detalle'!$J771="",'Detalle'!$K771="",'Detalle'!$L771=""),"",IF(AND(O$8&lt;='Detalle'!$K771,O$9&gt;='Detalle'!$J771),1,""))</x:f>
      </x:c>
      <x:c r="P1586" s="32" t="str">
        <x:f>IF(OR('Detalle'!$J771="",'Detalle'!$K771="",'Detalle'!$L771=""),"",IF(AND(P$8&lt;='Detalle'!$K771,P$9&gt;='Detalle'!$J771),1,""))</x:f>
      </x:c>
      <x:c r="Q1586" s="68"/>
      <x:c r="R1586" s="67" t="str"/>
      <x:c r="S1586" s="67" t="str"/>
    </x:row>
    <x:row r="1587" ht="16" customHeight="1">
      <x:c r="A1587" s="56" t="str">
        <x:v>AR01.009</x:v>
      </x:c>
      <x:c r="B1587" s="57" t="str">
        <x:v>Confirmar FULL_TRACKING y cámara TRACKING</x:v>
      </x:c>
      <x:c r="C1587" s="62" t="str">
        <x:v>E</x:v>
      </x:c>
      <x:c r="D1587" s="64" t="n">
        <x:f>'Detalle'!I772</x:f>
        <x:v>3</x:v>
      </x:c>
      <x:c r="E1587" s="60" t="str">
        <x:f>'Detalle'!F772</x:f>
        <x:v>WIP</x:v>
      </x:c>
      <x:c r="F1587" s="32" t="str">
        <x:f>IF(AND(F$8&lt;='Detalle'!$H772,F$9&gt;='Detalle'!$G772),1,"")</x:f>
      </x:c>
      <x:c r="G1587" s="32" t="str">
        <x:f>IF(AND(G$8&lt;='Detalle'!$H772,G$9&gt;='Detalle'!$G772),1,"")</x:f>
      </x:c>
      <x:c r="H1587" s="32" t="str">
        <x:f>IF(AND(H$8&lt;='Detalle'!$H772,H$9&gt;='Detalle'!$G772),1,"")</x:f>
      </x:c>
      <x:c r="I1587" s="32" t="str">
        <x:f>IF(AND(I$8&lt;='Detalle'!$H772,I$9&gt;='Detalle'!$G772),1,"")</x:f>
      </x:c>
      <x:c r="J1587" s="32" t="n">
        <x:f>IF(AND(J$8&lt;='Detalle'!$H772,J$9&gt;='Detalle'!$G772),1,"")</x:f>
        <x:v>1</x:v>
      </x:c>
      <x:c r="K1587" s="32" t="n">
        <x:f>IF(AND(K$8&lt;='Detalle'!$H772,K$9&gt;='Detalle'!$G772),1,"")</x:f>
        <x:v>1</x:v>
      </x:c>
      <x:c r="L1587" s="32" t="n">
        <x:f>IF(AND(L$8&lt;='Detalle'!$H772,L$9&gt;='Detalle'!$G772),1,"")</x:f>
        <x:v>1</x:v>
      </x:c>
      <x:c r="M1587" s="32" t="str">
        <x:f>IF(AND(M$8&lt;='Detalle'!$H772,M$9&gt;='Detalle'!$G772),1,"")</x:f>
      </x:c>
      <x:c r="N1587" s="32" t="str">
        <x:f>IF(AND(N$8&lt;='Detalle'!$H772,N$9&gt;='Detalle'!$G772),1,"")</x:f>
      </x:c>
      <x:c r="O1587" s="32" t="str">
        <x:f>IF(AND(O$8&lt;='Detalle'!$H772,O$9&gt;='Detalle'!$G772),1,"")</x:f>
      </x:c>
      <x:c r="P1587" s="32" t="str">
        <x:f>IF(AND(P$8&lt;='Detalle'!$H772,P$9&gt;='Detalle'!$G772),1,"")</x:f>
      </x:c>
      <x:c r="Q1587" s="68"/>
      <x:c r="R1587" s="67" t="str">
        <x:f>IF('Detalle'!M772="","",'Detalle'!M772)</x:f>
      </x:c>
      <x:c r="S1587" s="67" t="str">
        <x:f>IF('Detalle'!N772="","",'Detalle'!N772)</x:f>
      </x:c>
    </x:row>
    <x:row r="1588" ht="16" customHeight="1">
      <x:c r="A1588" s="56" t="str">
        <x:v>AR01.009</x:v>
      </x:c>
      <x:c r="B1588" s="57" t="str">
        <x:v>Confirmar FULL_TRACKING y cámara TRACKING</x:v>
      </x:c>
      <x:c r="C1588" s="63" t="str">
        <x:v>R</x:v>
      </x:c>
      <x:c r="D1588" s="65" t="str">
        <x:f>IF('Detalle'!L772="","",'Detalle'!L772)</x:f>
      </x:c>
      <x:c r="E1588" s="60" t="str"/>
      <x:c r="F1588" s="32" t="str">
        <x:f>IF(OR('Detalle'!$J772="",'Detalle'!$K772="",'Detalle'!$L772=""),"",IF(AND(F$8&lt;='Detalle'!$K772,F$9&gt;='Detalle'!$J772),1,""))</x:f>
      </x:c>
      <x:c r="G1588" s="32" t="str">
        <x:f>IF(OR('Detalle'!$J772="",'Detalle'!$K772="",'Detalle'!$L772=""),"",IF(AND(G$8&lt;='Detalle'!$K772,G$9&gt;='Detalle'!$J772),1,""))</x:f>
      </x:c>
      <x:c r="H1588" s="32" t="str">
        <x:f>IF(OR('Detalle'!$J772="",'Detalle'!$K772="",'Detalle'!$L772=""),"",IF(AND(H$8&lt;='Detalle'!$K772,H$9&gt;='Detalle'!$J772),1,""))</x:f>
      </x:c>
      <x:c r="I1588" s="32" t="str">
        <x:f>IF(OR('Detalle'!$J772="",'Detalle'!$K772="",'Detalle'!$L772=""),"",IF(AND(I$8&lt;='Detalle'!$K772,I$9&gt;='Detalle'!$J772),1,""))</x:f>
      </x:c>
      <x:c r="J1588" s="32" t="str">
        <x:f>IF(OR('Detalle'!$J772="",'Detalle'!$K772="",'Detalle'!$L772=""),"",IF(AND(J$8&lt;='Detalle'!$K772,J$9&gt;='Detalle'!$J772),1,""))</x:f>
      </x:c>
      <x:c r="K1588" s="32" t="str">
        <x:f>IF(OR('Detalle'!$J772="",'Detalle'!$K772="",'Detalle'!$L772=""),"",IF(AND(K$8&lt;='Detalle'!$K772,K$9&gt;='Detalle'!$J772),1,""))</x:f>
      </x:c>
      <x:c r="L1588" s="32" t="str">
        <x:f>IF(OR('Detalle'!$J772="",'Detalle'!$K772="",'Detalle'!$L772=""),"",IF(AND(L$8&lt;='Detalle'!$K772,L$9&gt;='Detalle'!$J772),1,""))</x:f>
      </x:c>
      <x:c r="M1588" s="32" t="str">
        <x:f>IF(OR('Detalle'!$J772="",'Detalle'!$K772="",'Detalle'!$L772=""),"",IF(AND(M$8&lt;='Detalle'!$K772,M$9&gt;='Detalle'!$J772),1,""))</x:f>
      </x:c>
      <x:c r="N1588" s="32" t="str">
        <x:f>IF(OR('Detalle'!$J772="",'Detalle'!$K772="",'Detalle'!$L772=""),"",IF(AND(N$8&lt;='Detalle'!$K772,N$9&gt;='Detalle'!$J772),1,""))</x:f>
      </x:c>
      <x:c r="O1588" s="32" t="str">
        <x:f>IF(OR('Detalle'!$J772="",'Detalle'!$K772="",'Detalle'!$L772=""),"",IF(AND(O$8&lt;='Detalle'!$K772,O$9&gt;='Detalle'!$J772),1,""))</x:f>
      </x:c>
      <x:c r="P1588" s="32" t="str">
        <x:f>IF(OR('Detalle'!$J772="",'Detalle'!$K772="",'Detalle'!$L772=""),"",IF(AND(P$8&lt;='Detalle'!$K772,P$9&gt;='Detalle'!$J772),1,""))</x:f>
      </x:c>
      <x:c r="Q1588" s="68"/>
      <x:c r="R1588" s="67" t="str"/>
      <x:c r="S1588" s="67" t="str"/>
    </x:row>
    <x:row r="1589" ht="16" customHeight="1">
      <x:c r="A1589" s="56" t="str">
        <x:v>AR01.010</x:v>
      </x:c>
      <x:c r="B1589" s="57" t="str">
        <x:v>Crear configuración ARKit de imágenes</x:v>
      </x:c>
      <x:c r="C1589" s="62" t="str">
        <x:v>E</x:v>
      </x:c>
      <x:c r="D1589" s="64" t="n">
        <x:f>'Detalle'!I773</x:f>
        <x:v>3</x:v>
      </x:c>
      <x:c r="E1589" s="60" t="str">
        <x:f>'Detalle'!F773</x:f>
        <x:v>WIP</x:v>
      </x:c>
      <x:c r="F1589" s="32" t="str">
        <x:f>IF(AND(F$8&lt;='Detalle'!$H773,F$9&gt;='Detalle'!$G773),1,"")</x:f>
      </x:c>
      <x:c r="G1589" s="32" t="str">
        <x:f>IF(AND(G$8&lt;='Detalle'!$H773,G$9&gt;='Detalle'!$G773),1,"")</x:f>
      </x:c>
      <x:c r="H1589" s="32" t="str">
        <x:f>IF(AND(H$8&lt;='Detalle'!$H773,H$9&gt;='Detalle'!$G773),1,"")</x:f>
      </x:c>
      <x:c r="I1589" s="32" t="str">
        <x:f>IF(AND(I$8&lt;='Detalle'!$H773,I$9&gt;='Detalle'!$G773),1,"")</x:f>
      </x:c>
      <x:c r="J1589" s="32" t="n">
        <x:f>IF(AND(J$8&lt;='Detalle'!$H773,J$9&gt;='Detalle'!$G773),1,"")</x:f>
        <x:v>1</x:v>
      </x:c>
      <x:c r="K1589" s="32" t="n">
        <x:f>IF(AND(K$8&lt;='Detalle'!$H773,K$9&gt;='Detalle'!$G773),1,"")</x:f>
        <x:v>1</x:v>
      </x:c>
      <x:c r="L1589" s="32" t="n">
        <x:f>IF(AND(L$8&lt;='Detalle'!$H773,L$9&gt;='Detalle'!$G773),1,"")</x:f>
        <x:v>1</x:v>
      </x:c>
      <x:c r="M1589" s="32" t="str">
        <x:f>IF(AND(M$8&lt;='Detalle'!$H773,M$9&gt;='Detalle'!$G773),1,"")</x:f>
      </x:c>
      <x:c r="N1589" s="32" t="str">
        <x:f>IF(AND(N$8&lt;='Detalle'!$H773,N$9&gt;='Detalle'!$G773),1,"")</x:f>
      </x:c>
      <x:c r="O1589" s="32" t="str">
        <x:f>IF(AND(O$8&lt;='Detalle'!$H773,O$9&gt;='Detalle'!$G773),1,"")</x:f>
      </x:c>
      <x:c r="P1589" s="32" t="str">
        <x:f>IF(AND(P$8&lt;='Detalle'!$H773,P$9&gt;='Detalle'!$G773),1,"")</x:f>
      </x:c>
      <x:c r="Q1589" s="68"/>
      <x:c r="R1589" s="67" t="str">
        <x:f>IF('Detalle'!M773="","",'Detalle'!M773)</x:f>
      </x:c>
      <x:c r="S1589" s="67" t="str">
        <x:f>IF('Detalle'!N773="","",'Detalle'!N773)</x:f>
      </x:c>
    </x:row>
    <x:row r="1590" ht="16" customHeight="1">
      <x:c r="A1590" s="56" t="str">
        <x:v>AR01.010</x:v>
      </x:c>
      <x:c r="B1590" s="57" t="str">
        <x:v>Crear configuración ARKit de imágenes</x:v>
      </x:c>
      <x:c r="C1590" s="63" t="str">
        <x:v>R</x:v>
      </x:c>
      <x:c r="D1590" s="65" t="str">
        <x:f>IF('Detalle'!L773="","",'Detalle'!L773)</x:f>
      </x:c>
      <x:c r="E1590" s="60" t="str"/>
      <x:c r="F1590" s="32" t="str">
        <x:f>IF(OR('Detalle'!$J773="",'Detalle'!$K773="",'Detalle'!$L773=""),"",IF(AND(F$8&lt;='Detalle'!$K773,F$9&gt;='Detalle'!$J773),1,""))</x:f>
      </x:c>
      <x:c r="G1590" s="32" t="str">
        <x:f>IF(OR('Detalle'!$J773="",'Detalle'!$K773="",'Detalle'!$L773=""),"",IF(AND(G$8&lt;='Detalle'!$K773,G$9&gt;='Detalle'!$J773),1,""))</x:f>
      </x:c>
      <x:c r="H1590" s="32" t="str">
        <x:f>IF(OR('Detalle'!$J773="",'Detalle'!$K773="",'Detalle'!$L773=""),"",IF(AND(H$8&lt;='Detalle'!$K773,H$9&gt;='Detalle'!$J773),1,""))</x:f>
      </x:c>
      <x:c r="I1590" s="32" t="str">
        <x:f>IF(OR('Detalle'!$J773="",'Detalle'!$K773="",'Detalle'!$L773=""),"",IF(AND(I$8&lt;='Detalle'!$K773,I$9&gt;='Detalle'!$J773),1,""))</x:f>
      </x:c>
      <x:c r="J1590" s="32" t="str">
        <x:f>IF(OR('Detalle'!$J773="",'Detalle'!$K773="",'Detalle'!$L773=""),"",IF(AND(J$8&lt;='Detalle'!$K773,J$9&gt;='Detalle'!$J773),1,""))</x:f>
      </x:c>
      <x:c r="K1590" s="32" t="str">
        <x:f>IF(OR('Detalle'!$J773="",'Detalle'!$K773="",'Detalle'!$L773=""),"",IF(AND(K$8&lt;='Detalle'!$K773,K$9&gt;='Detalle'!$J773),1,""))</x:f>
      </x:c>
      <x:c r="L1590" s="32" t="str">
        <x:f>IF(OR('Detalle'!$J773="",'Detalle'!$K773="",'Detalle'!$L773=""),"",IF(AND(L$8&lt;='Detalle'!$K773,L$9&gt;='Detalle'!$J773),1,""))</x:f>
      </x:c>
      <x:c r="M1590" s="32" t="str">
        <x:f>IF(OR('Detalle'!$J773="",'Detalle'!$K773="",'Detalle'!$L773=""),"",IF(AND(M$8&lt;='Detalle'!$K773,M$9&gt;='Detalle'!$J773),1,""))</x:f>
      </x:c>
      <x:c r="N1590" s="32" t="str">
        <x:f>IF(OR('Detalle'!$J773="",'Detalle'!$K773="",'Detalle'!$L773=""),"",IF(AND(N$8&lt;='Detalle'!$K773,N$9&gt;='Detalle'!$J773),1,""))</x:f>
      </x:c>
      <x:c r="O1590" s="32" t="str">
        <x:f>IF(OR('Detalle'!$J773="",'Detalle'!$K773="",'Detalle'!$L773=""),"",IF(AND(O$8&lt;='Detalle'!$K773,O$9&gt;='Detalle'!$J773),1,""))</x:f>
      </x:c>
      <x:c r="P1590" s="32" t="str">
        <x:f>IF(OR('Detalle'!$J773="",'Detalle'!$K773="",'Detalle'!$L773=""),"",IF(AND(P$8&lt;='Detalle'!$K773,P$9&gt;='Detalle'!$J773),1,""))</x:f>
      </x:c>
      <x:c r="Q1590" s="68"/>
      <x:c r="R1590" s="67" t="str"/>
      <x:c r="S1590" s="67" t="str"/>
    </x:row>
    <x:row r="1591" ht="16" customHeight="1">
      <x:c r="A1591" s="56" t="str">
        <x:v>AR01.011</x:v>
      </x:c>
      <x:c r="B1591" s="57" t="str">
        <x:v>Crear vista ARSCNView iOS</x:v>
      </x:c>
      <x:c r="C1591" s="62" t="str">
        <x:v>E</x:v>
      </x:c>
      <x:c r="D1591" s="64" t="n">
        <x:f>'Detalle'!I774</x:f>
        <x:v>3</x:v>
      </x:c>
      <x:c r="E1591" s="60" t="str">
        <x:f>'Detalle'!F774</x:f>
        <x:v>WIP</x:v>
      </x:c>
      <x:c r="F1591" s="32" t="str">
        <x:f>IF(AND(F$8&lt;='Detalle'!$H774,F$9&gt;='Detalle'!$G774),1,"")</x:f>
      </x:c>
      <x:c r="G1591" s="32" t="str">
        <x:f>IF(AND(G$8&lt;='Detalle'!$H774,G$9&gt;='Detalle'!$G774),1,"")</x:f>
      </x:c>
      <x:c r="H1591" s="32" t="str">
        <x:f>IF(AND(H$8&lt;='Detalle'!$H774,H$9&gt;='Detalle'!$G774),1,"")</x:f>
      </x:c>
      <x:c r="I1591" s="32" t="str">
        <x:f>IF(AND(I$8&lt;='Detalle'!$H774,I$9&gt;='Detalle'!$G774),1,"")</x:f>
      </x:c>
      <x:c r="J1591" s="32" t="n">
        <x:f>IF(AND(J$8&lt;='Detalle'!$H774,J$9&gt;='Detalle'!$G774),1,"")</x:f>
        <x:v>1</x:v>
      </x:c>
      <x:c r="K1591" s="32" t="n">
        <x:f>IF(AND(K$8&lt;='Detalle'!$H774,K$9&gt;='Detalle'!$G774),1,"")</x:f>
        <x:v>1</x:v>
      </x:c>
      <x:c r="L1591" s="32" t="n">
        <x:f>IF(AND(L$8&lt;='Detalle'!$H774,L$9&gt;='Detalle'!$G774),1,"")</x:f>
        <x:v>1</x:v>
      </x:c>
      <x:c r="M1591" s="32" t="str">
        <x:f>IF(AND(M$8&lt;='Detalle'!$H774,M$9&gt;='Detalle'!$G774),1,"")</x:f>
      </x:c>
      <x:c r="N1591" s="32" t="str">
        <x:f>IF(AND(N$8&lt;='Detalle'!$H774,N$9&gt;='Detalle'!$G774),1,"")</x:f>
      </x:c>
      <x:c r="O1591" s="32" t="str">
        <x:f>IF(AND(O$8&lt;='Detalle'!$H774,O$9&gt;='Detalle'!$G774),1,"")</x:f>
      </x:c>
      <x:c r="P1591" s="32" t="str">
        <x:f>IF(AND(P$8&lt;='Detalle'!$H774,P$9&gt;='Detalle'!$G774),1,"")</x:f>
      </x:c>
      <x:c r="Q1591" s="68"/>
      <x:c r="R1591" s="67" t="str">
        <x:f>IF('Detalle'!M774="","",'Detalle'!M774)</x:f>
      </x:c>
      <x:c r="S1591" s="67" t="str">
        <x:f>IF('Detalle'!N774="","",'Detalle'!N774)</x:f>
      </x:c>
    </x:row>
    <x:row r="1592" ht="16" customHeight="1">
      <x:c r="A1592" s="56" t="str">
        <x:v>AR01.011</x:v>
      </x:c>
      <x:c r="B1592" s="57" t="str">
        <x:v>Crear vista ARSCNView iOS</x:v>
      </x:c>
      <x:c r="C1592" s="63" t="str">
        <x:v>R</x:v>
      </x:c>
      <x:c r="D1592" s="65" t="str">
        <x:f>IF('Detalle'!L774="","",'Detalle'!L774)</x:f>
      </x:c>
      <x:c r="E1592" s="60" t="str"/>
      <x:c r="F1592" s="32" t="str">
        <x:f>IF(OR('Detalle'!$J774="",'Detalle'!$K774="",'Detalle'!$L774=""),"",IF(AND(F$8&lt;='Detalle'!$K774,F$9&gt;='Detalle'!$J774),1,""))</x:f>
      </x:c>
      <x:c r="G1592" s="32" t="str">
        <x:f>IF(OR('Detalle'!$J774="",'Detalle'!$K774="",'Detalle'!$L774=""),"",IF(AND(G$8&lt;='Detalle'!$K774,G$9&gt;='Detalle'!$J774),1,""))</x:f>
      </x:c>
      <x:c r="H1592" s="32" t="str">
        <x:f>IF(OR('Detalle'!$J774="",'Detalle'!$K774="",'Detalle'!$L774=""),"",IF(AND(H$8&lt;='Detalle'!$K774,H$9&gt;='Detalle'!$J774),1,""))</x:f>
      </x:c>
      <x:c r="I1592" s="32" t="str">
        <x:f>IF(OR('Detalle'!$J774="",'Detalle'!$K774="",'Detalle'!$L774=""),"",IF(AND(I$8&lt;='Detalle'!$K774,I$9&gt;='Detalle'!$J774),1,""))</x:f>
      </x:c>
      <x:c r="J1592" s="32" t="str">
        <x:f>IF(OR('Detalle'!$J774="",'Detalle'!$K774="",'Detalle'!$L774=""),"",IF(AND(J$8&lt;='Detalle'!$K774,J$9&gt;='Detalle'!$J774),1,""))</x:f>
      </x:c>
      <x:c r="K1592" s="32" t="str">
        <x:f>IF(OR('Detalle'!$J774="",'Detalle'!$K774="",'Detalle'!$L774=""),"",IF(AND(K$8&lt;='Detalle'!$K774,K$9&gt;='Detalle'!$J774),1,""))</x:f>
      </x:c>
      <x:c r="L1592" s="32" t="str">
        <x:f>IF(OR('Detalle'!$J774="",'Detalle'!$K774="",'Detalle'!$L774=""),"",IF(AND(L$8&lt;='Detalle'!$K774,L$9&gt;='Detalle'!$J774),1,""))</x:f>
      </x:c>
      <x:c r="M1592" s="32" t="str">
        <x:f>IF(OR('Detalle'!$J774="",'Detalle'!$K774="",'Detalle'!$L774=""),"",IF(AND(M$8&lt;='Detalle'!$K774,M$9&gt;='Detalle'!$J774),1,""))</x:f>
      </x:c>
      <x:c r="N1592" s="32" t="str">
        <x:f>IF(OR('Detalle'!$J774="",'Detalle'!$K774="",'Detalle'!$L774=""),"",IF(AND(N$8&lt;='Detalle'!$K774,N$9&gt;='Detalle'!$J774),1,""))</x:f>
      </x:c>
      <x:c r="O1592" s="32" t="str">
        <x:f>IF(OR('Detalle'!$J774="",'Detalle'!$K774="",'Detalle'!$L774=""),"",IF(AND(O$8&lt;='Detalle'!$K774,O$9&gt;='Detalle'!$J774),1,""))</x:f>
      </x:c>
      <x:c r="P1592" s="32" t="str">
        <x:f>IF(OR('Detalle'!$J774="",'Detalle'!$K774="",'Detalle'!$L774=""),"",IF(AND(P$8&lt;='Detalle'!$K774,P$9&gt;='Detalle'!$J774),1,""))</x:f>
      </x:c>
      <x:c r="Q1592" s="68"/>
      <x:c r="R1592" s="67" t="str"/>
      <x:c r="S1592" s="67" t="str"/>
    </x:row>
    <x:row r="1593" ht="16" customHeight="1">
      <x:c r="A1593" s="56" t="str">
        <x:v>AR01.012</x:v>
      </x:c>
      <x:c r="B1593" s="57" t="str">
        <x:v>Vincular señal con ARImageAnchor</x:v>
      </x:c>
      <x:c r="C1593" s="62" t="str">
        <x:v>E</x:v>
      </x:c>
      <x:c r="D1593" s="64" t="n">
        <x:f>'Detalle'!I775</x:f>
        <x:v>3</x:v>
      </x:c>
      <x:c r="E1593" s="60" t="str">
        <x:f>'Detalle'!F775</x:f>
        <x:v>WIP</x:v>
      </x:c>
      <x:c r="F1593" s="32" t="str">
        <x:f>IF(AND(F$8&lt;='Detalle'!$H775,F$9&gt;='Detalle'!$G775),1,"")</x:f>
      </x:c>
      <x:c r="G1593" s="32" t="str">
        <x:f>IF(AND(G$8&lt;='Detalle'!$H775,G$9&gt;='Detalle'!$G775),1,"")</x:f>
      </x:c>
      <x:c r="H1593" s="32" t="str">
        <x:f>IF(AND(H$8&lt;='Detalle'!$H775,H$9&gt;='Detalle'!$G775),1,"")</x:f>
      </x:c>
      <x:c r="I1593" s="32" t="str">
        <x:f>IF(AND(I$8&lt;='Detalle'!$H775,I$9&gt;='Detalle'!$G775),1,"")</x:f>
      </x:c>
      <x:c r="J1593" s="32" t="n">
        <x:f>IF(AND(J$8&lt;='Detalle'!$H775,J$9&gt;='Detalle'!$G775),1,"")</x:f>
        <x:v>1</x:v>
      </x:c>
      <x:c r="K1593" s="32" t="n">
        <x:f>IF(AND(K$8&lt;='Detalle'!$H775,K$9&gt;='Detalle'!$G775),1,"")</x:f>
        <x:v>1</x:v>
      </x:c>
      <x:c r="L1593" s="32" t="n">
        <x:f>IF(AND(L$8&lt;='Detalle'!$H775,L$9&gt;='Detalle'!$G775),1,"")</x:f>
        <x:v>1</x:v>
      </x:c>
      <x:c r="M1593" s="32" t="str">
        <x:f>IF(AND(M$8&lt;='Detalle'!$H775,M$9&gt;='Detalle'!$G775),1,"")</x:f>
      </x:c>
      <x:c r="N1593" s="32" t="str">
        <x:f>IF(AND(N$8&lt;='Detalle'!$H775,N$9&gt;='Detalle'!$G775),1,"")</x:f>
      </x:c>
      <x:c r="O1593" s="32" t="str">
        <x:f>IF(AND(O$8&lt;='Detalle'!$H775,O$9&gt;='Detalle'!$G775),1,"")</x:f>
      </x:c>
      <x:c r="P1593" s="32" t="str">
        <x:f>IF(AND(P$8&lt;='Detalle'!$H775,P$9&gt;='Detalle'!$G775),1,"")</x:f>
      </x:c>
      <x:c r="Q1593" s="68"/>
      <x:c r="R1593" s="67" t="str">
        <x:f>IF('Detalle'!M775="","",'Detalle'!M775)</x:f>
      </x:c>
      <x:c r="S1593" s="67" t="str">
        <x:f>IF('Detalle'!N775="","",'Detalle'!N775)</x:f>
      </x:c>
    </x:row>
    <x:row r="1594" ht="16" customHeight="1">
      <x:c r="A1594" s="56" t="str">
        <x:v>AR01.012</x:v>
      </x:c>
      <x:c r="B1594" s="57" t="str">
        <x:v>Vincular señal con ARImageAnchor</x:v>
      </x:c>
      <x:c r="C1594" s="63" t="str">
        <x:v>R</x:v>
      </x:c>
      <x:c r="D1594" s="65" t="str">
        <x:f>IF('Detalle'!L775="","",'Detalle'!L775)</x:f>
      </x:c>
      <x:c r="E1594" s="60" t="str"/>
      <x:c r="F1594" s="32" t="str">
        <x:f>IF(OR('Detalle'!$J775="",'Detalle'!$K775="",'Detalle'!$L775=""),"",IF(AND(F$8&lt;='Detalle'!$K775,F$9&gt;='Detalle'!$J775),1,""))</x:f>
      </x:c>
      <x:c r="G1594" s="32" t="str">
        <x:f>IF(OR('Detalle'!$J775="",'Detalle'!$K775="",'Detalle'!$L775=""),"",IF(AND(G$8&lt;='Detalle'!$K775,G$9&gt;='Detalle'!$J775),1,""))</x:f>
      </x:c>
      <x:c r="H1594" s="32" t="str">
        <x:f>IF(OR('Detalle'!$J775="",'Detalle'!$K775="",'Detalle'!$L775=""),"",IF(AND(H$8&lt;='Detalle'!$K775,H$9&gt;='Detalle'!$J775),1,""))</x:f>
      </x:c>
      <x:c r="I1594" s="32" t="str">
        <x:f>IF(OR('Detalle'!$J775="",'Detalle'!$K775="",'Detalle'!$L775=""),"",IF(AND(I$8&lt;='Detalle'!$K775,I$9&gt;='Detalle'!$J775),1,""))</x:f>
      </x:c>
      <x:c r="J1594" s="32" t="str">
        <x:f>IF(OR('Detalle'!$J775="",'Detalle'!$K775="",'Detalle'!$L775=""),"",IF(AND(J$8&lt;='Detalle'!$K775,J$9&gt;='Detalle'!$J775),1,""))</x:f>
      </x:c>
      <x:c r="K1594" s="32" t="str">
        <x:f>IF(OR('Detalle'!$J775="",'Detalle'!$K775="",'Detalle'!$L775=""),"",IF(AND(K$8&lt;='Detalle'!$K775,K$9&gt;='Detalle'!$J775),1,""))</x:f>
      </x:c>
      <x:c r="L1594" s="32" t="str">
        <x:f>IF(OR('Detalle'!$J775="",'Detalle'!$K775="",'Detalle'!$L775=""),"",IF(AND(L$8&lt;='Detalle'!$K775,L$9&gt;='Detalle'!$J775),1,""))</x:f>
      </x:c>
      <x:c r="M1594" s="32" t="str">
        <x:f>IF(OR('Detalle'!$J775="",'Detalle'!$K775="",'Detalle'!$L775=""),"",IF(AND(M$8&lt;='Detalle'!$K775,M$9&gt;='Detalle'!$J775),1,""))</x:f>
      </x:c>
      <x:c r="N1594" s="32" t="str">
        <x:f>IF(OR('Detalle'!$J775="",'Detalle'!$K775="",'Detalle'!$L775=""),"",IF(AND(N$8&lt;='Detalle'!$K775,N$9&gt;='Detalle'!$J775),1,""))</x:f>
      </x:c>
      <x:c r="O1594" s="32" t="str">
        <x:f>IF(OR('Detalle'!$J775="",'Detalle'!$K775="",'Detalle'!$L775=""),"",IF(AND(O$8&lt;='Detalle'!$K775,O$9&gt;='Detalle'!$J775),1,""))</x:f>
      </x:c>
      <x:c r="P1594" s="32" t="str">
        <x:f>IF(OR('Detalle'!$J775="",'Detalle'!$K775="",'Detalle'!$L775=""),"",IF(AND(P$8&lt;='Detalle'!$K775,P$9&gt;='Detalle'!$J775),1,""))</x:f>
      </x:c>
      <x:c r="Q1594" s="68"/>
      <x:c r="R1594" s="67" t="str"/>
      <x:c r="S1594" s="67" t="str"/>
    </x:row>
    <x:row r="1595" ht="16" customHeight="1">
      <x:c r="A1595" s="56" t="str">
        <x:v>AR01.013</x:v>
      </x:c>
      <x:c r="B1595" s="57" t="str">
        <x:v>Emitir eventos tracking, lost y error</x:v>
      </x:c>
      <x:c r="C1595" s="62" t="str">
        <x:v>E</x:v>
      </x:c>
      <x:c r="D1595" s="64" t="n">
        <x:f>'Detalle'!I776</x:f>
        <x:v>3</x:v>
      </x:c>
      <x:c r="E1595" s="60" t="str">
        <x:f>'Detalle'!F776</x:f>
        <x:v>WIP</x:v>
      </x:c>
      <x:c r="F1595" s="32" t="str">
        <x:f>IF(AND(F$8&lt;='Detalle'!$H776,F$9&gt;='Detalle'!$G776),1,"")</x:f>
      </x:c>
      <x:c r="G1595" s="32" t="str">
        <x:f>IF(AND(G$8&lt;='Detalle'!$H776,G$9&gt;='Detalle'!$G776),1,"")</x:f>
      </x:c>
      <x:c r="H1595" s="32" t="str">
        <x:f>IF(AND(H$8&lt;='Detalle'!$H776,H$9&gt;='Detalle'!$G776),1,"")</x:f>
      </x:c>
      <x:c r="I1595" s="32" t="str">
        <x:f>IF(AND(I$8&lt;='Detalle'!$H776,I$9&gt;='Detalle'!$G776),1,"")</x:f>
      </x:c>
      <x:c r="J1595" s="32" t="n">
        <x:f>IF(AND(J$8&lt;='Detalle'!$H776,J$9&gt;='Detalle'!$G776),1,"")</x:f>
        <x:v>1</x:v>
      </x:c>
      <x:c r="K1595" s="32" t="n">
        <x:f>IF(AND(K$8&lt;='Detalle'!$H776,K$9&gt;='Detalle'!$G776),1,"")</x:f>
        <x:v>1</x:v>
      </x:c>
      <x:c r="L1595" s="32" t="n">
        <x:f>IF(AND(L$8&lt;='Detalle'!$H776,L$9&gt;='Detalle'!$G776),1,"")</x:f>
        <x:v>1</x:v>
      </x:c>
      <x:c r="M1595" s="32" t="str">
        <x:f>IF(AND(M$8&lt;='Detalle'!$H776,M$9&gt;='Detalle'!$G776),1,"")</x:f>
      </x:c>
      <x:c r="N1595" s="32" t="str">
        <x:f>IF(AND(N$8&lt;='Detalle'!$H776,N$9&gt;='Detalle'!$G776),1,"")</x:f>
      </x:c>
      <x:c r="O1595" s="32" t="str">
        <x:f>IF(AND(O$8&lt;='Detalle'!$H776,O$9&gt;='Detalle'!$G776),1,"")</x:f>
      </x:c>
      <x:c r="P1595" s="32" t="str">
        <x:f>IF(AND(P$8&lt;='Detalle'!$H776,P$9&gt;='Detalle'!$G776),1,"")</x:f>
      </x:c>
      <x:c r="Q1595" s="68"/>
      <x:c r="R1595" s="67" t="str">
        <x:f>IF('Detalle'!M776="","",'Detalle'!M776)</x:f>
      </x:c>
      <x:c r="S1595" s="67" t="str">
        <x:f>IF('Detalle'!N776="","",'Detalle'!N776)</x:f>
      </x:c>
    </x:row>
    <x:row r="1596" ht="16" customHeight="1">
      <x:c r="A1596" s="56" t="str">
        <x:v>AR01.013</x:v>
      </x:c>
      <x:c r="B1596" s="57" t="str">
        <x:v>Emitir eventos tracking, lost y error</x:v>
      </x:c>
      <x:c r="C1596" s="63" t="str">
        <x:v>R</x:v>
      </x:c>
      <x:c r="D1596" s="65" t="str">
        <x:f>IF('Detalle'!L776="","",'Detalle'!L776)</x:f>
      </x:c>
      <x:c r="E1596" s="60" t="str"/>
      <x:c r="F1596" s="32" t="str">
        <x:f>IF(OR('Detalle'!$J776="",'Detalle'!$K776="",'Detalle'!$L776=""),"",IF(AND(F$8&lt;='Detalle'!$K776,F$9&gt;='Detalle'!$J776),1,""))</x:f>
      </x:c>
      <x:c r="G1596" s="32" t="str">
        <x:f>IF(OR('Detalle'!$J776="",'Detalle'!$K776="",'Detalle'!$L776=""),"",IF(AND(G$8&lt;='Detalle'!$K776,G$9&gt;='Detalle'!$J776),1,""))</x:f>
      </x:c>
      <x:c r="H1596" s="32" t="str">
        <x:f>IF(OR('Detalle'!$J776="",'Detalle'!$K776="",'Detalle'!$L776=""),"",IF(AND(H$8&lt;='Detalle'!$K776,H$9&gt;='Detalle'!$J776),1,""))</x:f>
      </x:c>
      <x:c r="I1596" s="32" t="str">
        <x:f>IF(OR('Detalle'!$J776="",'Detalle'!$K776="",'Detalle'!$L776=""),"",IF(AND(I$8&lt;='Detalle'!$K776,I$9&gt;='Detalle'!$J776),1,""))</x:f>
      </x:c>
      <x:c r="J1596" s="32" t="str">
        <x:f>IF(OR('Detalle'!$J776="",'Detalle'!$K776="",'Detalle'!$L776=""),"",IF(AND(J$8&lt;='Detalle'!$K776,J$9&gt;='Detalle'!$J776),1,""))</x:f>
      </x:c>
      <x:c r="K1596" s="32" t="str">
        <x:f>IF(OR('Detalle'!$J776="",'Detalle'!$K776="",'Detalle'!$L776=""),"",IF(AND(K$8&lt;='Detalle'!$K776,K$9&gt;='Detalle'!$J776),1,""))</x:f>
      </x:c>
      <x:c r="L1596" s="32" t="str">
        <x:f>IF(OR('Detalle'!$J776="",'Detalle'!$K776="",'Detalle'!$L776=""),"",IF(AND(L$8&lt;='Detalle'!$K776,L$9&gt;='Detalle'!$J776),1,""))</x:f>
      </x:c>
      <x:c r="M1596" s="32" t="str">
        <x:f>IF(OR('Detalle'!$J776="",'Detalle'!$K776="",'Detalle'!$L776=""),"",IF(AND(M$8&lt;='Detalle'!$K776,M$9&gt;='Detalle'!$J776),1,""))</x:f>
      </x:c>
      <x:c r="N1596" s="32" t="str">
        <x:f>IF(OR('Detalle'!$J776="",'Detalle'!$K776="",'Detalle'!$L776=""),"",IF(AND(N$8&lt;='Detalle'!$K776,N$9&gt;='Detalle'!$J776),1,""))</x:f>
      </x:c>
      <x:c r="O1596" s="32" t="str">
        <x:f>IF(OR('Detalle'!$J776="",'Detalle'!$K776="",'Detalle'!$L776=""),"",IF(AND(O$8&lt;='Detalle'!$K776,O$9&gt;='Detalle'!$J776),1,""))</x:f>
      </x:c>
      <x:c r="P1596" s="32" t="str">
        <x:f>IF(OR('Detalle'!$J776="",'Detalle'!$K776="",'Detalle'!$L776=""),"",IF(AND(P$8&lt;='Detalle'!$K776,P$9&gt;='Detalle'!$J776),1,""))</x:f>
      </x:c>
      <x:c r="Q1596" s="68"/>
      <x:c r="R1596" s="67" t="str"/>
      <x:c r="S1596" s="67" t="str"/>
    </x:row>
    <x:row r="1597" ht="16" customHeight="1">
      <x:c r="A1597" s="56" t="str">
        <x:v>AR01.014</x:v>
      </x:c>
      <x:c r="B1597" s="57" t="str">
        <x:v>Retirar señal al perder tracking</x:v>
      </x:c>
      <x:c r="C1597" s="62" t="str">
        <x:v>E</x:v>
      </x:c>
      <x:c r="D1597" s="64" t="n">
        <x:f>'Detalle'!I777</x:f>
        <x:v>3</x:v>
      </x:c>
      <x:c r="E1597" s="60" t="str">
        <x:f>'Detalle'!F777</x:f>
        <x:v>WIP</x:v>
      </x:c>
      <x:c r="F1597" s="32" t="str">
        <x:f>IF(AND(F$8&lt;='Detalle'!$H777,F$9&gt;='Detalle'!$G777),1,"")</x:f>
      </x:c>
      <x:c r="G1597" s="32" t="str">
        <x:f>IF(AND(G$8&lt;='Detalle'!$H777,G$9&gt;='Detalle'!$G777),1,"")</x:f>
      </x:c>
      <x:c r="H1597" s="32" t="str">
        <x:f>IF(AND(H$8&lt;='Detalle'!$H777,H$9&gt;='Detalle'!$G777),1,"")</x:f>
      </x:c>
      <x:c r="I1597" s="32" t="str">
        <x:f>IF(AND(I$8&lt;='Detalle'!$H777,I$9&gt;='Detalle'!$G777),1,"")</x:f>
      </x:c>
      <x:c r="J1597" s="32" t="n">
        <x:f>IF(AND(J$8&lt;='Detalle'!$H777,J$9&gt;='Detalle'!$G777),1,"")</x:f>
        <x:v>1</x:v>
      </x:c>
      <x:c r="K1597" s="32" t="n">
        <x:f>IF(AND(K$8&lt;='Detalle'!$H777,K$9&gt;='Detalle'!$G777),1,"")</x:f>
        <x:v>1</x:v>
      </x:c>
      <x:c r="L1597" s="32" t="n">
        <x:f>IF(AND(L$8&lt;='Detalle'!$H777,L$9&gt;='Detalle'!$G777),1,"")</x:f>
        <x:v>1</x:v>
      </x:c>
      <x:c r="M1597" s="32" t="str">
        <x:f>IF(AND(M$8&lt;='Detalle'!$H777,M$9&gt;='Detalle'!$G777),1,"")</x:f>
      </x:c>
      <x:c r="N1597" s="32" t="str">
        <x:f>IF(AND(N$8&lt;='Detalle'!$H777,N$9&gt;='Detalle'!$G777),1,"")</x:f>
      </x:c>
      <x:c r="O1597" s="32" t="str">
        <x:f>IF(AND(O$8&lt;='Detalle'!$H777,O$9&gt;='Detalle'!$G777),1,"")</x:f>
      </x:c>
      <x:c r="P1597" s="32" t="str">
        <x:f>IF(AND(P$8&lt;='Detalle'!$H777,P$9&gt;='Detalle'!$G777),1,"")</x:f>
      </x:c>
      <x:c r="Q1597" s="68"/>
      <x:c r="R1597" s="67" t="str">
        <x:f>IF('Detalle'!M777="","",'Detalle'!M777)</x:f>
      </x:c>
      <x:c r="S1597" s="67" t="str">
        <x:f>IF('Detalle'!N777="","",'Detalle'!N777)</x:f>
      </x:c>
    </x:row>
    <x:row r="1598" ht="16" customHeight="1">
      <x:c r="A1598" s="56" t="str">
        <x:v>AR01.014</x:v>
      </x:c>
      <x:c r="B1598" s="57" t="str">
        <x:v>Retirar señal al perder tracking</x:v>
      </x:c>
      <x:c r="C1598" s="63" t="str">
        <x:v>R</x:v>
      </x:c>
      <x:c r="D1598" s="65" t="str">
        <x:f>IF('Detalle'!L777="","",'Detalle'!L777)</x:f>
      </x:c>
      <x:c r="E1598" s="60" t="str"/>
      <x:c r="F1598" s="32" t="str">
        <x:f>IF(OR('Detalle'!$J777="",'Detalle'!$K777="",'Detalle'!$L777=""),"",IF(AND(F$8&lt;='Detalle'!$K777,F$9&gt;='Detalle'!$J777),1,""))</x:f>
      </x:c>
      <x:c r="G1598" s="32" t="str">
        <x:f>IF(OR('Detalle'!$J777="",'Detalle'!$K777="",'Detalle'!$L777=""),"",IF(AND(G$8&lt;='Detalle'!$K777,G$9&gt;='Detalle'!$J777),1,""))</x:f>
      </x:c>
      <x:c r="H1598" s="32" t="str">
        <x:f>IF(OR('Detalle'!$J777="",'Detalle'!$K777="",'Detalle'!$L777=""),"",IF(AND(H$8&lt;='Detalle'!$K777,H$9&gt;='Detalle'!$J777),1,""))</x:f>
      </x:c>
      <x:c r="I1598" s="32" t="str">
        <x:f>IF(OR('Detalle'!$J777="",'Detalle'!$K777="",'Detalle'!$L777=""),"",IF(AND(I$8&lt;='Detalle'!$K777,I$9&gt;='Detalle'!$J777),1,""))</x:f>
      </x:c>
      <x:c r="J1598" s="32" t="str">
        <x:f>IF(OR('Detalle'!$J777="",'Detalle'!$K777="",'Detalle'!$L777=""),"",IF(AND(J$8&lt;='Detalle'!$K777,J$9&gt;='Detalle'!$J777),1,""))</x:f>
      </x:c>
      <x:c r="K1598" s="32" t="str">
        <x:f>IF(OR('Detalle'!$J777="",'Detalle'!$K777="",'Detalle'!$L777=""),"",IF(AND(K$8&lt;='Detalle'!$K777,K$9&gt;='Detalle'!$J777),1,""))</x:f>
      </x:c>
      <x:c r="L1598" s="32" t="str">
        <x:f>IF(OR('Detalle'!$J777="",'Detalle'!$K777="",'Detalle'!$L777=""),"",IF(AND(L$8&lt;='Detalle'!$K777,L$9&gt;='Detalle'!$J777),1,""))</x:f>
      </x:c>
      <x:c r="M1598" s="32" t="str">
        <x:f>IF(OR('Detalle'!$J777="",'Detalle'!$K777="",'Detalle'!$L777=""),"",IF(AND(M$8&lt;='Detalle'!$K777,M$9&gt;='Detalle'!$J777),1,""))</x:f>
      </x:c>
      <x:c r="N1598" s="32" t="str">
        <x:f>IF(OR('Detalle'!$J777="",'Detalle'!$K777="",'Detalle'!$L777=""),"",IF(AND(N$8&lt;='Detalle'!$K777,N$9&gt;='Detalle'!$J777),1,""))</x:f>
      </x:c>
      <x:c r="O1598" s="32" t="str">
        <x:f>IF(OR('Detalle'!$J777="",'Detalle'!$K777="",'Detalle'!$L777=""),"",IF(AND(O$8&lt;='Detalle'!$K777,O$9&gt;='Detalle'!$J777),1,""))</x:f>
      </x:c>
      <x:c r="P1598" s="32" t="str">
        <x:f>IF(OR('Detalle'!$J777="",'Detalle'!$K777="",'Detalle'!$L777=""),"",IF(AND(P$8&lt;='Detalle'!$K777,P$9&gt;='Detalle'!$J777),1,""))</x:f>
      </x:c>
      <x:c r="Q1598" s="68"/>
      <x:c r="R1598" s="67" t="str"/>
      <x:c r="S1598" s="67" t="str"/>
    </x:row>
    <x:row r="1599" ht="16" customHeight="1">
      <x:c r="A1599" s="56" t="str">
        <x:v>AR01.015</x:v>
      </x:c>
      <x:c r="B1599" s="57" t="str">
        <x:v>Mantener una sola vista AR activa</x:v>
      </x:c>
      <x:c r="C1599" s="62" t="str">
        <x:v>E</x:v>
      </x:c>
      <x:c r="D1599" s="64" t="n">
        <x:f>'Detalle'!I778</x:f>
        <x:v>3</x:v>
      </x:c>
      <x:c r="E1599" s="60" t="str">
        <x:f>'Detalle'!F778</x:f>
        <x:v>WIP</x:v>
      </x:c>
      <x:c r="F1599" s="32" t="str">
        <x:f>IF(AND(F$8&lt;='Detalle'!$H778,F$9&gt;='Detalle'!$G778),1,"")</x:f>
      </x:c>
      <x:c r="G1599" s="32" t="str">
        <x:f>IF(AND(G$8&lt;='Detalle'!$H778,G$9&gt;='Detalle'!$G778),1,"")</x:f>
      </x:c>
      <x:c r="H1599" s="32" t="str">
        <x:f>IF(AND(H$8&lt;='Detalle'!$H778,H$9&gt;='Detalle'!$G778),1,"")</x:f>
      </x:c>
      <x:c r="I1599" s="32" t="str">
        <x:f>IF(AND(I$8&lt;='Detalle'!$H778,I$9&gt;='Detalle'!$G778),1,"")</x:f>
      </x:c>
      <x:c r="J1599" s="32" t="n">
        <x:f>IF(AND(J$8&lt;='Detalle'!$H778,J$9&gt;='Detalle'!$G778),1,"")</x:f>
        <x:v>1</x:v>
      </x:c>
      <x:c r="K1599" s="32" t="n">
        <x:f>IF(AND(K$8&lt;='Detalle'!$H778,K$9&gt;='Detalle'!$G778),1,"")</x:f>
        <x:v>1</x:v>
      </x:c>
      <x:c r="L1599" s="32" t="n">
        <x:f>IF(AND(L$8&lt;='Detalle'!$H778,L$9&gt;='Detalle'!$G778),1,"")</x:f>
        <x:v>1</x:v>
      </x:c>
      <x:c r="M1599" s="32" t="str">
        <x:f>IF(AND(M$8&lt;='Detalle'!$H778,M$9&gt;='Detalle'!$G778),1,"")</x:f>
      </x:c>
      <x:c r="N1599" s="32" t="str">
        <x:f>IF(AND(N$8&lt;='Detalle'!$H778,N$9&gt;='Detalle'!$G778),1,"")</x:f>
      </x:c>
      <x:c r="O1599" s="32" t="str">
        <x:f>IF(AND(O$8&lt;='Detalle'!$H778,O$9&gt;='Detalle'!$G778),1,"")</x:f>
      </x:c>
      <x:c r="P1599" s="32" t="str">
        <x:f>IF(AND(P$8&lt;='Detalle'!$H778,P$9&gt;='Detalle'!$G778),1,"")</x:f>
      </x:c>
      <x:c r="Q1599" s="68"/>
      <x:c r="R1599" s="67" t="str">
        <x:f>IF('Detalle'!M778="","",'Detalle'!M778)</x:f>
      </x:c>
      <x:c r="S1599" s="67" t="str">
        <x:f>IF('Detalle'!N778="","",'Detalle'!N778)</x:f>
      </x:c>
    </x:row>
    <x:row r="1600" ht="16" customHeight="1">
      <x:c r="A1600" s="56" t="str">
        <x:v>AR01.015</x:v>
      </x:c>
      <x:c r="B1600" s="57" t="str">
        <x:v>Mantener una sola vista AR activa</x:v>
      </x:c>
      <x:c r="C1600" s="63" t="str">
        <x:v>R</x:v>
      </x:c>
      <x:c r="D1600" s="65" t="str">
        <x:f>IF('Detalle'!L778="","",'Detalle'!L778)</x:f>
      </x:c>
      <x:c r="E1600" s="60" t="str"/>
      <x:c r="F1600" s="32" t="str">
        <x:f>IF(OR('Detalle'!$J778="",'Detalle'!$K778="",'Detalle'!$L778=""),"",IF(AND(F$8&lt;='Detalle'!$K778,F$9&gt;='Detalle'!$J778),1,""))</x:f>
      </x:c>
      <x:c r="G1600" s="32" t="str">
        <x:f>IF(OR('Detalle'!$J778="",'Detalle'!$K778="",'Detalle'!$L778=""),"",IF(AND(G$8&lt;='Detalle'!$K778,G$9&gt;='Detalle'!$J778),1,""))</x:f>
      </x:c>
      <x:c r="H1600" s="32" t="str">
        <x:f>IF(OR('Detalle'!$J778="",'Detalle'!$K778="",'Detalle'!$L778=""),"",IF(AND(H$8&lt;='Detalle'!$K778,H$9&gt;='Detalle'!$J778),1,""))</x:f>
      </x:c>
      <x:c r="I1600" s="32" t="str">
        <x:f>IF(OR('Detalle'!$J778="",'Detalle'!$K778="",'Detalle'!$L778=""),"",IF(AND(I$8&lt;='Detalle'!$K778,I$9&gt;='Detalle'!$J778),1,""))</x:f>
      </x:c>
      <x:c r="J1600" s="32" t="str">
        <x:f>IF(OR('Detalle'!$J778="",'Detalle'!$K778="",'Detalle'!$L778=""),"",IF(AND(J$8&lt;='Detalle'!$K778,J$9&gt;='Detalle'!$J778),1,""))</x:f>
      </x:c>
      <x:c r="K1600" s="32" t="str">
        <x:f>IF(OR('Detalle'!$J778="",'Detalle'!$K778="",'Detalle'!$L778=""),"",IF(AND(K$8&lt;='Detalle'!$K778,K$9&gt;='Detalle'!$J778),1,""))</x:f>
      </x:c>
      <x:c r="L1600" s="32" t="str">
        <x:f>IF(OR('Detalle'!$J778="",'Detalle'!$K778="",'Detalle'!$L778=""),"",IF(AND(L$8&lt;='Detalle'!$K778,L$9&gt;='Detalle'!$J778),1,""))</x:f>
      </x:c>
      <x:c r="M1600" s="32" t="str">
        <x:f>IF(OR('Detalle'!$J778="",'Detalle'!$K778="",'Detalle'!$L778=""),"",IF(AND(M$8&lt;='Detalle'!$K778,M$9&gt;='Detalle'!$J778),1,""))</x:f>
      </x:c>
      <x:c r="N1600" s="32" t="str">
        <x:f>IF(OR('Detalle'!$J778="",'Detalle'!$K778="",'Detalle'!$L778=""),"",IF(AND(N$8&lt;='Detalle'!$K778,N$9&gt;='Detalle'!$J778),1,""))</x:f>
      </x:c>
      <x:c r="O1600" s="32" t="str">
        <x:f>IF(OR('Detalle'!$J778="",'Detalle'!$K778="",'Detalle'!$L778=""),"",IF(AND(O$8&lt;='Detalle'!$K778,O$9&gt;='Detalle'!$J778),1,""))</x:f>
      </x:c>
      <x:c r="P1600" s="32" t="str">
        <x:f>IF(OR('Detalle'!$J778="",'Detalle'!$K778="",'Detalle'!$L778=""),"",IF(AND(P$8&lt;='Detalle'!$K778,P$9&gt;='Detalle'!$J778),1,""))</x:f>
      </x:c>
      <x:c r="Q1600" s="68"/>
      <x:c r="R1600" s="67" t="str"/>
      <x:c r="S1600" s="67" t="str"/>
    </x:row>
    <x:row r="1601" ht="16" customHeight="1">
      <x:c r="A1601" s="56" t="str">
        <x:v>AR01.016</x:v>
      </x:c>
      <x:c r="B1601" s="57" t="str">
        <x:v>Cancelar descargas tardías de referencias</x:v>
      </x:c>
      <x:c r="C1601" s="62" t="str">
        <x:v>E</x:v>
      </x:c>
      <x:c r="D1601" s="64" t="n">
        <x:f>'Detalle'!I779</x:f>
        <x:v>3</x:v>
      </x:c>
      <x:c r="E1601" s="60" t="str">
        <x:f>'Detalle'!F779</x:f>
        <x:v>WIP</x:v>
      </x:c>
      <x:c r="F1601" s="32" t="str">
        <x:f>IF(AND(F$8&lt;='Detalle'!$H779,F$9&gt;='Detalle'!$G779),1,"")</x:f>
      </x:c>
      <x:c r="G1601" s="32" t="str">
        <x:f>IF(AND(G$8&lt;='Detalle'!$H779,G$9&gt;='Detalle'!$G779),1,"")</x:f>
      </x:c>
      <x:c r="H1601" s="32" t="str">
        <x:f>IF(AND(H$8&lt;='Detalle'!$H779,H$9&gt;='Detalle'!$G779),1,"")</x:f>
      </x:c>
      <x:c r="I1601" s="32" t="str">
        <x:f>IF(AND(I$8&lt;='Detalle'!$H779,I$9&gt;='Detalle'!$G779),1,"")</x:f>
      </x:c>
      <x:c r="J1601" s="32" t="n">
        <x:f>IF(AND(J$8&lt;='Detalle'!$H779,J$9&gt;='Detalle'!$G779),1,"")</x:f>
        <x:v>1</x:v>
      </x:c>
      <x:c r="K1601" s="32" t="n">
        <x:f>IF(AND(K$8&lt;='Detalle'!$H779,K$9&gt;='Detalle'!$G779),1,"")</x:f>
        <x:v>1</x:v>
      </x:c>
      <x:c r="L1601" s="32" t="n">
        <x:f>IF(AND(L$8&lt;='Detalle'!$H779,L$9&gt;='Detalle'!$G779),1,"")</x:f>
        <x:v>1</x:v>
      </x:c>
      <x:c r="M1601" s="32" t="str">
        <x:f>IF(AND(M$8&lt;='Detalle'!$H779,M$9&gt;='Detalle'!$G779),1,"")</x:f>
      </x:c>
      <x:c r="N1601" s="32" t="str">
        <x:f>IF(AND(N$8&lt;='Detalle'!$H779,N$9&gt;='Detalle'!$G779),1,"")</x:f>
      </x:c>
      <x:c r="O1601" s="32" t="str">
        <x:f>IF(AND(O$8&lt;='Detalle'!$H779,O$9&gt;='Detalle'!$G779),1,"")</x:f>
      </x:c>
      <x:c r="P1601" s="32" t="str">
        <x:f>IF(AND(P$8&lt;='Detalle'!$H779,P$9&gt;='Detalle'!$G779),1,"")</x:f>
      </x:c>
      <x:c r="Q1601" s="68"/>
      <x:c r="R1601" s="67" t="str">
        <x:f>IF('Detalle'!M779="","",'Detalle'!M779)</x:f>
      </x:c>
      <x:c r="S1601" s="67" t="str">
        <x:f>IF('Detalle'!N779="","",'Detalle'!N779)</x:f>
      </x:c>
    </x:row>
    <x:row r="1602" ht="16" customHeight="1">
      <x:c r="A1602" s="56" t="str">
        <x:v>AR01.016</x:v>
      </x:c>
      <x:c r="B1602" s="57" t="str">
        <x:v>Cancelar descargas tardías de referencias</x:v>
      </x:c>
      <x:c r="C1602" s="63" t="str">
        <x:v>R</x:v>
      </x:c>
      <x:c r="D1602" s="65" t="str">
        <x:f>IF('Detalle'!L779="","",'Detalle'!L779)</x:f>
      </x:c>
      <x:c r="E1602" s="60" t="str"/>
      <x:c r="F1602" s="32" t="str">
        <x:f>IF(OR('Detalle'!$J779="",'Detalle'!$K779="",'Detalle'!$L779=""),"",IF(AND(F$8&lt;='Detalle'!$K779,F$9&gt;='Detalle'!$J779),1,""))</x:f>
      </x:c>
      <x:c r="G1602" s="32" t="str">
        <x:f>IF(OR('Detalle'!$J779="",'Detalle'!$K779="",'Detalle'!$L779=""),"",IF(AND(G$8&lt;='Detalle'!$K779,G$9&gt;='Detalle'!$J779),1,""))</x:f>
      </x:c>
      <x:c r="H1602" s="32" t="str">
        <x:f>IF(OR('Detalle'!$J779="",'Detalle'!$K779="",'Detalle'!$L779=""),"",IF(AND(H$8&lt;='Detalle'!$K779,H$9&gt;='Detalle'!$J779),1,""))</x:f>
      </x:c>
      <x:c r="I1602" s="32" t="str">
        <x:f>IF(OR('Detalle'!$J779="",'Detalle'!$K779="",'Detalle'!$L779=""),"",IF(AND(I$8&lt;='Detalle'!$K779,I$9&gt;='Detalle'!$J779),1,""))</x:f>
      </x:c>
      <x:c r="J1602" s="32" t="str">
        <x:f>IF(OR('Detalle'!$J779="",'Detalle'!$K779="",'Detalle'!$L779=""),"",IF(AND(J$8&lt;='Detalle'!$K779,J$9&gt;='Detalle'!$J779),1,""))</x:f>
      </x:c>
      <x:c r="K1602" s="32" t="str">
        <x:f>IF(OR('Detalle'!$J779="",'Detalle'!$K779="",'Detalle'!$L779=""),"",IF(AND(K$8&lt;='Detalle'!$K779,K$9&gt;='Detalle'!$J779),1,""))</x:f>
      </x:c>
      <x:c r="L1602" s="32" t="str">
        <x:f>IF(OR('Detalle'!$J779="",'Detalle'!$K779="",'Detalle'!$L779=""),"",IF(AND(L$8&lt;='Detalle'!$K779,L$9&gt;='Detalle'!$J779),1,""))</x:f>
      </x:c>
      <x:c r="M1602" s="32" t="str">
        <x:f>IF(OR('Detalle'!$J779="",'Detalle'!$K779="",'Detalle'!$L779=""),"",IF(AND(M$8&lt;='Detalle'!$K779,M$9&gt;='Detalle'!$J779),1,""))</x:f>
      </x:c>
      <x:c r="N1602" s="32" t="str">
        <x:f>IF(OR('Detalle'!$J779="",'Detalle'!$K779="",'Detalle'!$L779=""),"",IF(AND(N$8&lt;='Detalle'!$K779,N$9&gt;='Detalle'!$J779),1,""))</x:f>
      </x:c>
      <x:c r="O1602" s="32" t="str">
        <x:f>IF(OR('Detalle'!$J779="",'Detalle'!$K779="",'Detalle'!$L779=""),"",IF(AND(O$8&lt;='Detalle'!$K779,O$9&gt;='Detalle'!$J779),1,""))</x:f>
      </x:c>
      <x:c r="P1602" s="32" t="str">
        <x:f>IF(OR('Detalle'!$J779="",'Detalle'!$K779="",'Detalle'!$L779=""),"",IF(AND(P$8&lt;='Detalle'!$K779,P$9&gt;='Detalle'!$J779),1,""))</x:f>
      </x:c>
      <x:c r="Q1602" s="68"/>
      <x:c r="R1602" s="67" t="str"/>
      <x:c r="S1602" s="67" t="str"/>
    </x:row>
    <x:row r="1603" ht="16" customHeight="1">
      <x:c r="A1603" s="56" t="str">
        <x:v>AR01.017</x:v>
      </x:c>
      <x:c r="B1603" s="57" t="str">
        <x:v>Detener AR al abrir detalle o cambiar parada</x:v>
      </x:c>
      <x:c r="C1603" s="62" t="str">
        <x:v>E</x:v>
      </x:c>
      <x:c r="D1603" s="64" t="n">
        <x:f>'Detalle'!I780</x:f>
        <x:v>3</x:v>
      </x:c>
      <x:c r="E1603" s="60" t="str">
        <x:f>'Detalle'!F780</x:f>
        <x:v>WIP</x:v>
      </x:c>
      <x:c r="F1603" s="32" t="str">
        <x:f>IF(AND(F$8&lt;='Detalle'!$H780,F$9&gt;='Detalle'!$G780),1,"")</x:f>
      </x:c>
      <x:c r="G1603" s="32" t="str">
        <x:f>IF(AND(G$8&lt;='Detalle'!$H780,G$9&gt;='Detalle'!$G780),1,"")</x:f>
      </x:c>
      <x:c r="H1603" s="32" t="str">
        <x:f>IF(AND(H$8&lt;='Detalle'!$H780,H$9&gt;='Detalle'!$G780),1,"")</x:f>
      </x:c>
      <x:c r="I1603" s="32" t="str">
        <x:f>IF(AND(I$8&lt;='Detalle'!$H780,I$9&gt;='Detalle'!$G780),1,"")</x:f>
      </x:c>
      <x:c r="J1603" s="32" t="n">
        <x:f>IF(AND(J$8&lt;='Detalle'!$H780,J$9&gt;='Detalle'!$G780),1,"")</x:f>
        <x:v>1</x:v>
      </x:c>
      <x:c r="K1603" s="32" t="n">
        <x:f>IF(AND(K$8&lt;='Detalle'!$H780,K$9&gt;='Detalle'!$G780),1,"")</x:f>
        <x:v>1</x:v>
      </x:c>
      <x:c r="L1603" s="32" t="n">
        <x:f>IF(AND(L$8&lt;='Detalle'!$H780,L$9&gt;='Detalle'!$G780),1,"")</x:f>
        <x:v>1</x:v>
      </x:c>
      <x:c r="M1603" s="32" t="str">
        <x:f>IF(AND(M$8&lt;='Detalle'!$H780,M$9&gt;='Detalle'!$G780),1,"")</x:f>
      </x:c>
      <x:c r="N1603" s="32" t="str">
        <x:f>IF(AND(N$8&lt;='Detalle'!$H780,N$9&gt;='Detalle'!$G780),1,"")</x:f>
      </x:c>
      <x:c r="O1603" s="32" t="str">
        <x:f>IF(AND(O$8&lt;='Detalle'!$H780,O$9&gt;='Detalle'!$G780),1,"")</x:f>
      </x:c>
      <x:c r="P1603" s="32" t="str">
        <x:f>IF(AND(P$8&lt;='Detalle'!$H780,P$9&gt;='Detalle'!$G780),1,"")</x:f>
      </x:c>
      <x:c r="Q1603" s="68"/>
      <x:c r="R1603" s="67" t="str">
        <x:f>IF('Detalle'!M780="","",'Detalle'!M780)</x:f>
      </x:c>
      <x:c r="S1603" s="67" t="str">
        <x:f>IF('Detalle'!N780="","",'Detalle'!N780)</x:f>
      </x:c>
    </x:row>
    <x:row r="1604" ht="16" customHeight="1">
      <x:c r="A1604" s="56" t="str">
        <x:v>AR01.017</x:v>
      </x:c>
      <x:c r="B1604" s="57" t="str">
        <x:v>Detener AR al abrir detalle o cambiar parada</x:v>
      </x:c>
      <x:c r="C1604" s="63" t="str">
        <x:v>R</x:v>
      </x:c>
      <x:c r="D1604" s="65" t="str">
        <x:f>IF('Detalle'!L780="","",'Detalle'!L780)</x:f>
      </x:c>
      <x:c r="E1604" s="60" t="str"/>
      <x:c r="F1604" s="32" t="str">
        <x:f>IF(OR('Detalle'!$J780="",'Detalle'!$K780="",'Detalle'!$L780=""),"",IF(AND(F$8&lt;='Detalle'!$K780,F$9&gt;='Detalle'!$J780),1,""))</x:f>
      </x:c>
      <x:c r="G1604" s="32" t="str">
        <x:f>IF(OR('Detalle'!$J780="",'Detalle'!$K780="",'Detalle'!$L780=""),"",IF(AND(G$8&lt;='Detalle'!$K780,G$9&gt;='Detalle'!$J780),1,""))</x:f>
      </x:c>
      <x:c r="H1604" s="32" t="str">
        <x:f>IF(OR('Detalle'!$J780="",'Detalle'!$K780="",'Detalle'!$L780=""),"",IF(AND(H$8&lt;='Detalle'!$K780,H$9&gt;='Detalle'!$J780),1,""))</x:f>
      </x:c>
      <x:c r="I1604" s="32" t="str">
        <x:f>IF(OR('Detalle'!$J780="",'Detalle'!$K780="",'Detalle'!$L780=""),"",IF(AND(I$8&lt;='Detalle'!$K780,I$9&gt;='Detalle'!$J780),1,""))</x:f>
      </x:c>
      <x:c r="J1604" s="32" t="str">
        <x:f>IF(OR('Detalle'!$J780="",'Detalle'!$K780="",'Detalle'!$L780=""),"",IF(AND(J$8&lt;='Detalle'!$K780,J$9&gt;='Detalle'!$J780),1,""))</x:f>
      </x:c>
      <x:c r="K1604" s="32" t="str">
        <x:f>IF(OR('Detalle'!$J780="",'Detalle'!$K780="",'Detalle'!$L780=""),"",IF(AND(K$8&lt;='Detalle'!$K780,K$9&gt;='Detalle'!$J780),1,""))</x:f>
      </x:c>
      <x:c r="L1604" s="32" t="str">
        <x:f>IF(OR('Detalle'!$J780="",'Detalle'!$K780="",'Detalle'!$L780=""),"",IF(AND(L$8&lt;='Detalle'!$K780,L$9&gt;='Detalle'!$J780),1,""))</x:f>
      </x:c>
      <x:c r="M1604" s="32" t="str">
        <x:f>IF(OR('Detalle'!$J780="",'Detalle'!$K780="",'Detalle'!$L780=""),"",IF(AND(M$8&lt;='Detalle'!$K780,M$9&gt;='Detalle'!$J780),1,""))</x:f>
      </x:c>
      <x:c r="N1604" s="32" t="str">
        <x:f>IF(OR('Detalle'!$J780="",'Detalle'!$K780="",'Detalle'!$L780=""),"",IF(AND(N$8&lt;='Detalle'!$K780,N$9&gt;='Detalle'!$J780),1,""))</x:f>
      </x:c>
      <x:c r="O1604" s="32" t="str">
        <x:f>IF(OR('Detalle'!$J780="",'Detalle'!$K780="",'Detalle'!$L780=""),"",IF(AND(O$8&lt;='Detalle'!$K780,O$9&gt;='Detalle'!$J780),1,""))</x:f>
      </x:c>
      <x:c r="P1604" s="32" t="str">
        <x:f>IF(OR('Detalle'!$J780="",'Detalle'!$K780="",'Detalle'!$L780=""),"",IF(AND(P$8&lt;='Detalle'!$K780,P$9&gt;='Detalle'!$J780),1,""))</x:f>
      </x:c>
      <x:c r="Q1604" s="68"/>
      <x:c r="R1604" s="67" t="str"/>
      <x:c r="S1604" s="67" t="str"/>
    </x:row>
    <x:row r="1605" ht="16" customHeight="1">
      <x:c r="A1605" s="56" t="str">
        <x:v>AR01.018</x:v>
      </x:c>
      <x:c r="B1605" s="57" t="str">
        <x:v>Detener AR al ir a segundo plano</x:v>
      </x:c>
      <x:c r="C1605" s="62" t="str">
        <x:v>E</x:v>
      </x:c>
      <x:c r="D1605" s="64" t="n">
        <x:f>'Detalle'!I781</x:f>
        <x:v>3</x:v>
      </x:c>
      <x:c r="E1605" s="60" t="str">
        <x:f>'Detalle'!F781</x:f>
        <x:v>WIP</x:v>
      </x:c>
      <x:c r="F1605" s="32" t="str">
        <x:f>IF(AND(F$8&lt;='Detalle'!$H781,F$9&gt;='Detalle'!$G781),1,"")</x:f>
      </x:c>
      <x:c r="G1605" s="32" t="str">
        <x:f>IF(AND(G$8&lt;='Detalle'!$H781,G$9&gt;='Detalle'!$G781),1,"")</x:f>
      </x:c>
      <x:c r="H1605" s="32" t="str">
        <x:f>IF(AND(H$8&lt;='Detalle'!$H781,H$9&gt;='Detalle'!$G781),1,"")</x:f>
      </x:c>
      <x:c r="I1605" s="32" t="str">
        <x:f>IF(AND(I$8&lt;='Detalle'!$H781,I$9&gt;='Detalle'!$G781),1,"")</x:f>
      </x:c>
      <x:c r="J1605" s="32" t="n">
        <x:f>IF(AND(J$8&lt;='Detalle'!$H781,J$9&gt;='Detalle'!$G781),1,"")</x:f>
        <x:v>1</x:v>
      </x:c>
      <x:c r="K1605" s="32" t="n">
        <x:f>IF(AND(K$8&lt;='Detalle'!$H781,K$9&gt;='Detalle'!$G781),1,"")</x:f>
        <x:v>1</x:v>
      </x:c>
      <x:c r="L1605" s="32" t="n">
        <x:f>IF(AND(L$8&lt;='Detalle'!$H781,L$9&gt;='Detalle'!$G781),1,"")</x:f>
        <x:v>1</x:v>
      </x:c>
      <x:c r="M1605" s="32" t="str">
        <x:f>IF(AND(M$8&lt;='Detalle'!$H781,M$9&gt;='Detalle'!$G781),1,"")</x:f>
      </x:c>
      <x:c r="N1605" s="32" t="str">
        <x:f>IF(AND(N$8&lt;='Detalle'!$H781,N$9&gt;='Detalle'!$G781),1,"")</x:f>
      </x:c>
      <x:c r="O1605" s="32" t="str">
        <x:f>IF(AND(O$8&lt;='Detalle'!$H781,O$9&gt;='Detalle'!$G781),1,"")</x:f>
      </x:c>
      <x:c r="P1605" s="32" t="str">
        <x:f>IF(AND(P$8&lt;='Detalle'!$H781,P$9&gt;='Detalle'!$G781),1,"")</x:f>
      </x:c>
      <x:c r="Q1605" s="68"/>
      <x:c r="R1605" s="67" t="str">
        <x:f>IF('Detalle'!M781="","",'Detalle'!M781)</x:f>
      </x:c>
      <x:c r="S1605" s="67" t="str">
        <x:f>IF('Detalle'!N781="","",'Detalle'!N781)</x:f>
      </x:c>
    </x:row>
    <x:row r="1606" ht="16" customHeight="1">
      <x:c r="A1606" s="56" t="str">
        <x:v>AR01.018</x:v>
      </x:c>
      <x:c r="B1606" s="57" t="str">
        <x:v>Detener AR al ir a segundo plano</x:v>
      </x:c>
      <x:c r="C1606" s="63" t="str">
        <x:v>R</x:v>
      </x:c>
      <x:c r="D1606" s="65" t="str">
        <x:f>IF('Detalle'!L781="","",'Detalle'!L781)</x:f>
      </x:c>
      <x:c r="E1606" s="60" t="str"/>
      <x:c r="F1606" s="32" t="str">
        <x:f>IF(OR('Detalle'!$J781="",'Detalle'!$K781="",'Detalle'!$L781=""),"",IF(AND(F$8&lt;='Detalle'!$K781,F$9&gt;='Detalle'!$J781),1,""))</x:f>
      </x:c>
      <x:c r="G1606" s="32" t="str">
        <x:f>IF(OR('Detalle'!$J781="",'Detalle'!$K781="",'Detalle'!$L781=""),"",IF(AND(G$8&lt;='Detalle'!$K781,G$9&gt;='Detalle'!$J781),1,""))</x:f>
      </x:c>
      <x:c r="H1606" s="32" t="str">
        <x:f>IF(OR('Detalle'!$J781="",'Detalle'!$K781="",'Detalle'!$L781=""),"",IF(AND(H$8&lt;='Detalle'!$K781,H$9&gt;='Detalle'!$J781),1,""))</x:f>
      </x:c>
      <x:c r="I1606" s="32" t="str">
        <x:f>IF(OR('Detalle'!$J781="",'Detalle'!$K781="",'Detalle'!$L781=""),"",IF(AND(I$8&lt;='Detalle'!$K781,I$9&gt;='Detalle'!$J781),1,""))</x:f>
      </x:c>
      <x:c r="J1606" s="32" t="str">
        <x:f>IF(OR('Detalle'!$J781="",'Detalle'!$K781="",'Detalle'!$L781=""),"",IF(AND(J$8&lt;='Detalle'!$K781,J$9&gt;='Detalle'!$J781),1,""))</x:f>
      </x:c>
      <x:c r="K1606" s="32" t="str">
        <x:f>IF(OR('Detalle'!$J781="",'Detalle'!$K781="",'Detalle'!$L781=""),"",IF(AND(K$8&lt;='Detalle'!$K781,K$9&gt;='Detalle'!$J781),1,""))</x:f>
      </x:c>
      <x:c r="L1606" s="32" t="str">
        <x:f>IF(OR('Detalle'!$J781="",'Detalle'!$K781="",'Detalle'!$L781=""),"",IF(AND(L$8&lt;='Detalle'!$K781,L$9&gt;='Detalle'!$J781),1,""))</x:f>
      </x:c>
      <x:c r="M1606" s="32" t="str">
        <x:f>IF(OR('Detalle'!$J781="",'Detalle'!$K781="",'Detalle'!$L781=""),"",IF(AND(M$8&lt;='Detalle'!$K781,M$9&gt;='Detalle'!$J781),1,""))</x:f>
      </x:c>
      <x:c r="N1606" s="32" t="str">
        <x:f>IF(OR('Detalle'!$J781="",'Detalle'!$K781="",'Detalle'!$L781=""),"",IF(AND(N$8&lt;='Detalle'!$K781,N$9&gt;='Detalle'!$J781),1,""))</x:f>
      </x:c>
      <x:c r="O1606" s="32" t="str">
        <x:f>IF(OR('Detalle'!$J781="",'Detalle'!$K781="",'Detalle'!$L781=""),"",IF(AND(O$8&lt;='Detalle'!$K781,O$9&gt;='Detalle'!$J781),1,""))</x:f>
      </x:c>
      <x:c r="P1606" s="32" t="str">
        <x:f>IF(OR('Detalle'!$J781="",'Detalle'!$K781="",'Detalle'!$L781=""),"",IF(AND(P$8&lt;='Detalle'!$K781,P$9&gt;='Detalle'!$J781),1,""))</x:f>
      </x:c>
      <x:c r="Q1606" s="68"/>
      <x:c r="R1606" s="67" t="str"/>
      <x:c r="S1606" s="67" t="str"/>
    </x:row>
    <x:row r="1607" ht="16" customHeight="1">
      <x:c r="A1607" s="56" t="str">
        <x:v>AR01.019</x:v>
      </x:c>
      <x:c r="B1607" s="57" t="str">
        <x:v>Liberar EGL, anchors y Session Android</x:v>
      </x:c>
      <x:c r="C1607" s="62" t="str">
        <x:v>E</x:v>
      </x:c>
      <x:c r="D1607" s="64" t="n">
        <x:f>'Detalle'!I782</x:f>
        <x:v>3</x:v>
      </x:c>
      <x:c r="E1607" s="60" t="str">
        <x:f>'Detalle'!F782</x:f>
        <x:v>WIP</x:v>
      </x:c>
      <x:c r="F1607" s="32" t="str">
        <x:f>IF(AND(F$8&lt;='Detalle'!$H782,F$9&gt;='Detalle'!$G782),1,"")</x:f>
      </x:c>
      <x:c r="G1607" s="32" t="str">
        <x:f>IF(AND(G$8&lt;='Detalle'!$H782,G$9&gt;='Detalle'!$G782),1,"")</x:f>
      </x:c>
      <x:c r="H1607" s="32" t="str">
        <x:f>IF(AND(H$8&lt;='Detalle'!$H782,H$9&gt;='Detalle'!$G782),1,"")</x:f>
      </x:c>
      <x:c r="I1607" s="32" t="str">
        <x:f>IF(AND(I$8&lt;='Detalle'!$H782,I$9&gt;='Detalle'!$G782),1,"")</x:f>
      </x:c>
      <x:c r="J1607" s="32" t="n">
        <x:f>IF(AND(J$8&lt;='Detalle'!$H782,J$9&gt;='Detalle'!$G782),1,"")</x:f>
        <x:v>1</x:v>
      </x:c>
      <x:c r="K1607" s="32" t="n">
        <x:f>IF(AND(K$8&lt;='Detalle'!$H782,K$9&gt;='Detalle'!$G782),1,"")</x:f>
        <x:v>1</x:v>
      </x:c>
      <x:c r="L1607" s="32" t="n">
        <x:f>IF(AND(L$8&lt;='Detalle'!$H782,L$9&gt;='Detalle'!$G782),1,"")</x:f>
        <x:v>1</x:v>
      </x:c>
      <x:c r="M1607" s="32" t="str">
        <x:f>IF(AND(M$8&lt;='Detalle'!$H782,M$9&gt;='Detalle'!$G782),1,"")</x:f>
      </x:c>
      <x:c r="N1607" s="32" t="str">
        <x:f>IF(AND(N$8&lt;='Detalle'!$H782,N$9&gt;='Detalle'!$G782),1,"")</x:f>
      </x:c>
      <x:c r="O1607" s="32" t="str">
        <x:f>IF(AND(O$8&lt;='Detalle'!$H782,O$9&gt;='Detalle'!$G782),1,"")</x:f>
      </x:c>
      <x:c r="P1607" s="32" t="str">
        <x:f>IF(AND(P$8&lt;='Detalle'!$H782,P$9&gt;='Detalle'!$G782),1,"")</x:f>
      </x:c>
      <x:c r="Q1607" s="68"/>
      <x:c r="R1607" s="67" t="str">
        <x:f>IF('Detalle'!M782="","",'Detalle'!M782)</x:f>
      </x:c>
      <x:c r="S1607" s="67" t="str">
        <x:f>IF('Detalle'!N782="","",'Detalle'!N782)</x:f>
      </x:c>
    </x:row>
    <x:row r="1608" ht="16" customHeight="1">
      <x:c r="A1608" s="56" t="str">
        <x:v>AR01.019</x:v>
      </x:c>
      <x:c r="B1608" s="57" t="str">
        <x:v>Liberar EGL, anchors y Session Android</x:v>
      </x:c>
      <x:c r="C1608" s="63" t="str">
        <x:v>R</x:v>
      </x:c>
      <x:c r="D1608" s="65" t="str">
        <x:f>IF('Detalle'!L782="","",'Detalle'!L782)</x:f>
      </x:c>
      <x:c r="E1608" s="60" t="str"/>
      <x:c r="F1608" s="32" t="str">
        <x:f>IF(OR('Detalle'!$J782="",'Detalle'!$K782="",'Detalle'!$L782=""),"",IF(AND(F$8&lt;='Detalle'!$K782,F$9&gt;='Detalle'!$J782),1,""))</x:f>
      </x:c>
      <x:c r="G1608" s="32" t="str">
        <x:f>IF(OR('Detalle'!$J782="",'Detalle'!$K782="",'Detalle'!$L782=""),"",IF(AND(G$8&lt;='Detalle'!$K782,G$9&gt;='Detalle'!$J782),1,""))</x:f>
      </x:c>
      <x:c r="H1608" s="32" t="str">
        <x:f>IF(OR('Detalle'!$J782="",'Detalle'!$K782="",'Detalle'!$L782=""),"",IF(AND(H$8&lt;='Detalle'!$K782,H$9&gt;='Detalle'!$J782),1,""))</x:f>
      </x:c>
      <x:c r="I1608" s="32" t="str">
        <x:f>IF(OR('Detalle'!$J782="",'Detalle'!$K782="",'Detalle'!$L782=""),"",IF(AND(I$8&lt;='Detalle'!$K782,I$9&gt;='Detalle'!$J782),1,""))</x:f>
      </x:c>
      <x:c r="J1608" s="32" t="str">
        <x:f>IF(OR('Detalle'!$J782="",'Detalle'!$K782="",'Detalle'!$L782=""),"",IF(AND(J$8&lt;='Detalle'!$K782,J$9&gt;='Detalle'!$J782),1,""))</x:f>
      </x:c>
      <x:c r="K1608" s="32" t="str">
        <x:f>IF(OR('Detalle'!$J782="",'Detalle'!$K782="",'Detalle'!$L782=""),"",IF(AND(K$8&lt;='Detalle'!$K782,K$9&gt;='Detalle'!$J782),1,""))</x:f>
      </x:c>
      <x:c r="L1608" s="32" t="str">
        <x:f>IF(OR('Detalle'!$J782="",'Detalle'!$K782="",'Detalle'!$L782=""),"",IF(AND(L$8&lt;='Detalle'!$K782,L$9&gt;='Detalle'!$J782),1,""))</x:f>
      </x:c>
      <x:c r="M1608" s="32" t="str">
        <x:f>IF(OR('Detalle'!$J782="",'Detalle'!$K782="",'Detalle'!$L782=""),"",IF(AND(M$8&lt;='Detalle'!$K782,M$9&gt;='Detalle'!$J782),1,""))</x:f>
      </x:c>
      <x:c r="N1608" s="32" t="str">
        <x:f>IF(OR('Detalle'!$J782="",'Detalle'!$K782="",'Detalle'!$L782=""),"",IF(AND(N$8&lt;='Detalle'!$K782,N$9&gt;='Detalle'!$J782),1,""))</x:f>
      </x:c>
      <x:c r="O1608" s="32" t="str">
        <x:f>IF(OR('Detalle'!$J782="",'Detalle'!$K782="",'Detalle'!$L782=""),"",IF(AND(O$8&lt;='Detalle'!$K782,O$9&gt;='Detalle'!$J782),1,""))</x:f>
      </x:c>
      <x:c r="P1608" s="32" t="str">
        <x:f>IF(OR('Detalle'!$J782="",'Detalle'!$K782="",'Detalle'!$L782=""),"",IF(AND(P$8&lt;='Detalle'!$K782,P$9&gt;='Detalle'!$J782),1,""))</x:f>
      </x:c>
      <x:c r="Q1608" s="68"/>
      <x:c r="R1608" s="67" t="str"/>
      <x:c r="S1608" s="67" t="str"/>
    </x:row>
    <x:row r="1609" ht="16" customHeight="1">
      <x:c r="A1609" s="56" t="str">
        <x:v>AR01.020</x:v>
      </x:c>
      <x:c r="B1609" s="57" t="str">
        <x:v>Pausar escena y delegado ARKit</x:v>
      </x:c>
      <x:c r="C1609" s="62" t="str">
        <x:v>E</x:v>
      </x:c>
      <x:c r="D1609" s="64" t="n">
        <x:f>'Detalle'!I783</x:f>
        <x:v>3</x:v>
      </x:c>
      <x:c r="E1609" s="60" t="str">
        <x:f>'Detalle'!F783</x:f>
        <x:v>WIP</x:v>
      </x:c>
      <x:c r="F1609" s="32" t="str">
        <x:f>IF(AND(F$8&lt;='Detalle'!$H783,F$9&gt;='Detalle'!$G783),1,"")</x:f>
      </x:c>
      <x:c r="G1609" s="32" t="str">
        <x:f>IF(AND(G$8&lt;='Detalle'!$H783,G$9&gt;='Detalle'!$G783),1,"")</x:f>
      </x:c>
      <x:c r="H1609" s="32" t="str">
        <x:f>IF(AND(H$8&lt;='Detalle'!$H783,H$9&gt;='Detalle'!$G783),1,"")</x:f>
      </x:c>
      <x:c r="I1609" s="32" t="str">
        <x:f>IF(AND(I$8&lt;='Detalle'!$H783,I$9&gt;='Detalle'!$G783),1,"")</x:f>
      </x:c>
      <x:c r="J1609" s="32" t="n">
        <x:f>IF(AND(J$8&lt;='Detalle'!$H783,J$9&gt;='Detalle'!$G783),1,"")</x:f>
        <x:v>1</x:v>
      </x:c>
      <x:c r="K1609" s="32" t="n">
        <x:f>IF(AND(K$8&lt;='Detalle'!$H783,K$9&gt;='Detalle'!$G783),1,"")</x:f>
        <x:v>1</x:v>
      </x:c>
      <x:c r="L1609" s="32" t="n">
        <x:f>IF(AND(L$8&lt;='Detalle'!$H783,L$9&gt;='Detalle'!$G783),1,"")</x:f>
        <x:v>1</x:v>
      </x:c>
      <x:c r="M1609" s="32" t="str">
        <x:f>IF(AND(M$8&lt;='Detalle'!$H783,M$9&gt;='Detalle'!$G783),1,"")</x:f>
      </x:c>
      <x:c r="N1609" s="32" t="str">
        <x:f>IF(AND(N$8&lt;='Detalle'!$H783,N$9&gt;='Detalle'!$G783),1,"")</x:f>
      </x:c>
      <x:c r="O1609" s="32" t="str">
        <x:f>IF(AND(O$8&lt;='Detalle'!$H783,O$9&gt;='Detalle'!$G783),1,"")</x:f>
      </x:c>
      <x:c r="P1609" s="32" t="str">
        <x:f>IF(AND(P$8&lt;='Detalle'!$H783,P$9&gt;='Detalle'!$G783),1,"")</x:f>
      </x:c>
      <x:c r="Q1609" s="68"/>
      <x:c r="R1609" s="67" t="str">
        <x:f>IF('Detalle'!M783="","",'Detalle'!M783)</x:f>
      </x:c>
      <x:c r="S1609" s="67" t="str">
        <x:f>IF('Detalle'!N783="","",'Detalle'!N783)</x:f>
      </x:c>
    </x:row>
    <x:row r="1610" ht="16" customHeight="1">
      <x:c r="A1610" s="56" t="str">
        <x:v>AR01.020</x:v>
      </x:c>
      <x:c r="B1610" s="57" t="str">
        <x:v>Pausar escena y delegado ARKit</x:v>
      </x:c>
      <x:c r="C1610" s="63" t="str">
        <x:v>R</x:v>
      </x:c>
      <x:c r="D1610" s="65" t="str">
        <x:f>IF('Detalle'!L783="","",'Detalle'!L783)</x:f>
      </x:c>
      <x:c r="E1610" s="60" t="str"/>
      <x:c r="F1610" s="32" t="str">
        <x:f>IF(OR('Detalle'!$J783="",'Detalle'!$K783="",'Detalle'!$L783=""),"",IF(AND(F$8&lt;='Detalle'!$K783,F$9&gt;='Detalle'!$J783),1,""))</x:f>
      </x:c>
      <x:c r="G1610" s="32" t="str">
        <x:f>IF(OR('Detalle'!$J783="",'Detalle'!$K783="",'Detalle'!$L783=""),"",IF(AND(G$8&lt;='Detalle'!$K783,G$9&gt;='Detalle'!$J783),1,""))</x:f>
      </x:c>
      <x:c r="H1610" s="32" t="str">
        <x:f>IF(OR('Detalle'!$J783="",'Detalle'!$K783="",'Detalle'!$L783=""),"",IF(AND(H$8&lt;='Detalle'!$K783,H$9&gt;='Detalle'!$J783),1,""))</x:f>
      </x:c>
      <x:c r="I1610" s="32" t="str">
        <x:f>IF(OR('Detalle'!$J783="",'Detalle'!$K783="",'Detalle'!$L783=""),"",IF(AND(I$8&lt;='Detalle'!$K783,I$9&gt;='Detalle'!$J783),1,""))</x:f>
      </x:c>
      <x:c r="J1610" s="32" t="str">
        <x:f>IF(OR('Detalle'!$J783="",'Detalle'!$K783="",'Detalle'!$L783=""),"",IF(AND(J$8&lt;='Detalle'!$K783,J$9&gt;='Detalle'!$J783),1,""))</x:f>
      </x:c>
      <x:c r="K1610" s="32" t="str">
        <x:f>IF(OR('Detalle'!$J783="",'Detalle'!$K783="",'Detalle'!$L783=""),"",IF(AND(K$8&lt;='Detalle'!$K783,K$9&gt;='Detalle'!$J783),1,""))</x:f>
      </x:c>
      <x:c r="L1610" s="32" t="str">
        <x:f>IF(OR('Detalle'!$J783="",'Detalle'!$K783="",'Detalle'!$L783=""),"",IF(AND(L$8&lt;='Detalle'!$K783,L$9&gt;='Detalle'!$J783),1,""))</x:f>
      </x:c>
      <x:c r="M1610" s="32" t="str">
        <x:f>IF(OR('Detalle'!$J783="",'Detalle'!$K783="",'Detalle'!$L783=""),"",IF(AND(M$8&lt;='Detalle'!$K783,M$9&gt;='Detalle'!$J783),1,""))</x:f>
      </x:c>
      <x:c r="N1610" s="32" t="str">
        <x:f>IF(OR('Detalle'!$J783="",'Detalle'!$K783="",'Detalle'!$L783=""),"",IF(AND(N$8&lt;='Detalle'!$K783,N$9&gt;='Detalle'!$J783),1,""))</x:f>
      </x:c>
      <x:c r="O1610" s="32" t="str">
        <x:f>IF(OR('Detalle'!$J783="",'Detalle'!$K783="",'Detalle'!$L783=""),"",IF(AND(O$8&lt;='Detalle'!$K783,O$9&gt;='Detalle'!$J783),1,""))</x:f>
      </x:c>
      <x:c r="P1610" s="32" t="str">
        <x:f>IF(OR('Detalle'!$J783="",'Detalle'!$K783="",'Detalle'!$L783=""),"",IF(AND(P$8&lt;='Detalle'!$K783,P$9&gt;='Detalle'!$J783),1,""))</x:f>
      </x:c>
      <x:c r="Q1610" s="68"/>
      <x:c r="R1610" s="67" t="str"/>
      <x:c r="S1610" s="67" t="str"/>
    </x:row>
    <x:row r="1611" ht="16" customHeight="1">
      <x:c r="A1611" s="56" t="str">
        <x:v>AR01.021</x:v>
      </x:c>
      <x:c r="B1611" s="57" t="str">
        <x:v>Ofrecer lista sin cámara ante fallo</x:v>
      </x:c>
      <x:c r="C1611" s="62" t="str">
        <x:v>E</x:v>
      </x:c>
      <x:c r="D1611" s="64" t="n">
        <x:f>'Detalle'!I784</x:f>
        <x:v>3</x:v>
      </x:c>
      <x:c r="E1611" s="60" t="str">
        <x:f>'Detalle'!F784</x:f>
        <x:v>WIP</x:v>
      </x:c>
      <x:c r="F1611" s="32" t="str">
        <x:f>IF(AND(F$8&lt;='Detalle'!$H784,F$9&gt;='Detalle'!$G784),1,"")</x:f>
      </x:c>
      <x:c r="G1611" s="32" t="str">
        <x:f>IF(AND(G$8&lt;='Detalle'!$H784,G$9&gt;='Detalle'!$G784),1,"")</x:f>
      </x:c>
      <x:c r="H1611" s="32" t="str">
        <x:f>IF(AND(H$8&lt;='Detalle'!$H784,H$9&gt;='Detalle'!$G784),1,"")</x:f>
      </x:c>
      <x:c r="I1611" s="32" t="str">
        <x:f>IF(AND(I$8&lt;='Detalle'!$H784,I$9&gt;='Detalle'!$G784),1,"")</x:f>
      </x:c>
      <x:c r="J1611" s="32" t="n">
        <x:f>IF(AND(J$8&lt;='Detalle'!$H784,J$9&gt;='Detalle'!$G784),1,"")</x:f>
        <x:v>1</x:v>
      </x:c>
      <x:c r="K1611" s="32" t="n">
        <x:f>IF(AND(K$8&lt;='Detalle'!$H784,K$9&gt;='Detalle'!$G784),1,"")</x:f>
        <x:v>1</x:v>
      </x:c>
      <x:c r="L1611" s="32" t="n">
        <x:f>IF(AND(L$8&lt;='Detalle'!$H784,L$9&gt;='Detalle'!$G784),1,"")</x:f>
        <x:v>1</x:v>
      </x:c>
      <x:c r="M1611" s="32" t="str">
        <x:f>IF(AND(M$8&lt;='Detalle'!$H784,M$9&gt;='Detalle'!$G784),1,"")</x:f>
      </x:c>
      <x:c r="N1611" s="32" t="str">
        <x:f>IF(AND(N$8&lt;='Detalle'!$H784,N$9&gt;='Detalle'!$G784),1,"")</x:f>
      </x:c>
      <x:c r="O1611" s="32" t="str">
        <x:f>IF(AND(O$8&lt;='Detalle'!$H784,O$9&gt;='Detalle'!$G784),1,"")</x:f>
      </x:c>
      <x:c r="P1611" s="32" t="str">
        <x:f>IF(AND(P$8&lt;='Detalle'!$H784,P$9&gt;='Detalle'!$G784),1,"")</x:f>
      </x:c>
      <x:c r="Q1611" s="68"/>
      <x:c r="R1611" s="67" t="str">
        <x:f>IF('Detalle'!M784="","",'Detalle'!M784)</x:f>
      </x:c>
      <x:c r="S1611" s="67" t="str">
        <x:f>IF('Detalle'!N784="","",'Detalle'!N784)</x:f>
      </x:c>
    </x:row>
    <x:row r="1612" ht="16" customHeight="1">
      <x:c r="A1612" s="56" t="str">
        <x:v>AR01.021</x:v>
      </x:c>
      <x:c r="B1612" s="57" t="str">
        <x:v>Ofrecer lista sin cámara ante fallo</x:v>
      </x:c>
      <x:c r="C1612" s="63" t="str">
        <x:v>R</x:v>
      </x:c>
      <x:c r="D1612" s="65" t="str">
        <x:f>IF('Detalle'!L784="","",'Detalle'!L784)</x:f>
      </x:c>
      <x:c r="E1612" s="60" t="str"/>
      <x:c r="F1612" s="32" t="str">
        <x:f>IF(OR('Detalle'!$J784="",'Detalle'!$K784="",'Detalle'!$L784=""),"",IF(AND(F$8&lt;='Detalle'!$K784,F$9&gt;='Detalle'!$J784),1,""))</x:f>
      </x:c>
      <x:c r="G1612" s="32" t="str">
        <x:f>IF(OR('Detalle'!$J784="",'Detalle'!$K784="",'Detalle'!$L784=""),"",IF(AND(G$8&lt;='Detalle'!$K784,G$9&gt;='Detalle'!$J784),1,""))</x:f>
      </x:c>
      <x:c r="H1612" s="32" t="str">
        <x:f>IF(OR('Detalle'!$J784="",'Detalle'!$K784="",'Detalle'!$L784=""),"",IF(AND(H$8&lt;='Detalle'!$K784,H$9&gt;='Detalle'!$J784),1,""))</x:f>
      </x:c>
      <x:c r="I1612" s="32" t="str">
        <x:f>IF(OR('Detalle'!$J784="",'Detalle'!$K784="",'Detalle'!$L784=""),"",IF(AND(I$8&lt;='Detalle'!$K784,I$9&gt;='Detalle'!$J784),1,""))</x:f>
      </x:c>
      <x:c r="J1612" s="32" t="str">
        <x:f>IF(OR('Detalle'!$J784="",'Detalle'!$K784="",'Detalle'!$L784=""),"",IF(AND(J$8&lt;='Detalle'!$K784,J$9&gt;='Detalle'!$J784),1,""))</x:f>
      </x:c>
      <x:c r="K1612" s="32" t="str">
        <x:f>IF(OR('Detalle'!$J784="",'Detalle'!$K784="",'Detalle'!$L784=""),"",IF(AND(K$8&lt;='Detalle'!$K784,K$9&gt;='Detalle'!$J784),1,""))</x:f>
      </x:c>
      <x:c r="L1612" s="32" t="str">
        <x:f>IF(OR('Detalle'!$J784="",'Detalle'!$K784="",'Detalle'!$L784=""),"",IF(AND(L$8&lt;='Detalle'!$K784,L$9&gt;='Detalle'!$J784),1,""))</x:f>
      </x:c>
      <x:c r="M1612" s="32" t="str">
        <x:f>IF(OR('Detalle'!$J784="",'Detalle'!$K784="",'Detalle'!$L784=""),"",IF(AND(M$8&lt;='Detalle'!$K784,M$9&gt;='Detalle'!$J784),1,""))</x:f>
      </x:c>
      <x:c r="N1612" s="32" t="str">
        <x:f>IF(OR('Detalle'!$J784="",'Detalle'!$K784="",'Detalle'!$L784=""),"",IF(AND(N$8&lt;='Detalle'!$K784,N$9&gt;='Detalle'!$J784),1,""))</x:f>
      </x:c>
      <x:c r="O1612" s="32" t="str">
        <x:f>IF(OR('Detalle'!$J784="",'Detalle'!$K784="",'Detalle'!$L784=""),"",IF(AND(O$8&lt;='Detalle'!$K784,O$9&gt;='Detalle'!$J784),1,""))</x:f>
      </x:c>
      <x:c r="P1612" s="32" t="str">
        <x:f>IF(OR('Detalle'!$J784="",'Detalle'!$K784="",'Detalle'!$L784=""),"",IF(AND(P$8&lt;='Detalle'!$K784,P$9&gt;='Detalle'!$J784),1,""))</x:f>
      </x:c>
      <x:c r="Q1612" s="68"/>
      <x:c r="R1612" s="67" t="str"/>
      <x:c r="S1612" s="67" t="str"/>
    </x:row>
    <x:row r="1613" ht="16" customHeight="1">
      <x:c r="A1613" s="56" t="str">
        <x:v>AR01.022</x:v>
      </x:c>
      <x:c r="B1613" s="57" t="str">
        <x:v>Probar recuperación automática de AR</x:v>
      </x:c>
      <x:c r="C1613" s="62" t="str">
        <x:v>E</x:v>
      </x:c>
      <x:c r="D1613" s="64" t="n">
        <x:f>'Detalle'!I785</x:f>
        <x:v>3</x:v>
      </x:c>
      <x:c r="E1613" s="60" t="str">
        <x:f>'Detalle'!F785</x:f>
        <x:v>WIP</x:v>
      </x:c>
      <x:c r="F1613" s="32" t="str">
        <x:f>IF(AND(F$8&lt;='Detalle'!$H785,F$9&gt;='Detalle'!$G785),1,"")</x:f>
      </x:c>
      <x:c r="G1613" s="32" t="str">
        <x:f>IF(AND(G$8&lt;='Detalle'!$H785,G$9&gt;='Detalle'!$G785),1,"")</x:f>
      </x:c>
      <x:c r="H1613" s="32" t="str">
        <x:f>IF(AND(H$8&lt;='Detalle'!$H785,H$9&gt;='Detalle'!$G785),1,"")</x:f>
      </x:c>
      <x:c r="I1613" s="32" t="str">
        <x:f>IF(AND(I$8&lt;='Detalle'!$H785,I$9&gt;='Detalle'!$G785),1,"")</x:f>
      </x:c>
      <x:c r="J1613" s="32" t="n">
        <x:f>IF(AND(J$8&lt;='Detalle'!$H785,J$9&gt;='Detalle'!$G785),1,"")</x:f>
        <x:v>1</x:v>
      </x:c>
      <x:c r="K1613" s="32" t="n">
        <x:f>IF(AND(K$8&lt;='Detalle'!$H785,K$9&gt;='Detalle'!$G785),1,"")</x:f>
        <x:v>1</x:v>
      </x:c>
      <x:c r="L1613" s="32" t="n">
        <x:f>IF(AND(L$8&lt;='Detalle'!$H785,L$9&gt;='Detalle'!$G785),1,"")</x:f>
        <x:v>1</x:v>
      </x:c>
      <x:c r="M1613" s="32" t="str">
        <x:f>IF(AND(M$8&lt;='Detalle'!$H785,M$9&gt;='Detalle'!$G785),1,"")</x:f>
      </x:c>
      <x:c r="N1613" s="32" t="str">
        <x:f>IF(AND(N$8&lt;='Detalle'!$H785,N$9&gt;='Detalle'!$G785),1,"")</x:f>
      </x:c>
      <x:c r="O1613" s="32" t="str">
        <x:f>IF(AND(O$8&lt;='Detalle'!$H785,O$9&gt;='Detalle'!$G785),1,"")</x:f>
      </x:c>
      <x:c r="P1613" s="32" t="str">
        <x:f>IF(AND(P$8&lt;='Detalle'!$H785,P$9&gt;='Detalle'!$G785),1,"")</x:f>
      </x:c>
      <x:c r="Q1613" s="68"/>
      <x:c r="R1613" s="67" t="str">
        <x:f>IF('Detalle'!M785="","",'Detalle'!M785)</x:f>
      </x:c>
      <x:c r="S1613" s="67" t="str">
        <x:f>IF('Detalle'!N785="","",'Detalle'!N785)</x:f>
      </x:c>
    </x:row>
    <x:row r="1614" ht="16" customHeight="1">
      <x:c r="A1614" s="56" t="str">
        <x:v>AR01.022</x:v>
      </x:c>
      <x:c r="B1614" s="57" t="str">
        <x:v>Probar recuperación automática de AR</x:v>
      </x:c>
      <x:c r="C1614" s="63" t="str">
        <x:v>R</x:v>
      </x:c>
      <x:c r="D1614" s="65" t="str">
        <x:f>IF('Detalle'!L785="","",'Detalle'!L785)</x:f>
      </x:c>
      <x:c r="E1614" s="60" t="str"/>
      <x:c r="F1614" s="32" t="str">
        <x:f>IF(OR('Detalle'!$J785="",'Detalle'!$K785="",'Detalle'!$L785=""),"",IF(AND(F$8&lt;='Detalle'!$K785,F$9&gt;='Detalle'!$J785),1,""))</x:f>
      </x:c>
      <x:c r="G1614" s="32" t="str">
        <x:f>IF(OR('Detalle'!$J785="",'Detalle'!$K785="",'Detalle'!$L785=""),"",IF(AND(G$8&lt;='Detalle'!$K785,G$9&gt;='Detalle'!$J785),1,""))</x:f>
      </x:c>
      <x:c r="H1614" s="32" t="str">
        <x:f>IF(OR('Detalle'!$J785="",'Detalle'!$K785="",'Detalle'!$L785=""),"",IF(AND(H$8&lt;='Detalle'!$K785,H$9&gt;='Detalle'!$J785),1,""))</x:f>
      </x:c>
      <x:c r="I1614" s="32" t="str">
        <x:f>IF(OR('Detalle'!$J785="",'Detalle'!$K785="",'Detalle'!$L785=""),"",IF(AND(I$8&lt;='Detalle'!$K785,I$9&gt;='Detalle'!$J785),1,""))</x:f>
      </x:c>
      <x:c r="J1614" s="32" t="str">
        <x:f>IF(OR('Detalle'!$J785="",'Detalle'!$K785="",'Detalle'!$L785=""),"",IF(AND(J$8&lt;='Detalle'!$K785,J$9&gt;='Detalle'!$J785),1,""))</x:f>
      </x:c>
      <x:c r="K1614" s="32" t="str">
        <x:f>IF(OR('Detalle'!$J785="",'Detalle'!$K785="",'Detalle'!$L785=""),"",IF(AND(K$8&lt;='Detalle'!$K785,K$9&gt;='Detalle'!$J785),1,""))</x:f>
      </x:c>
      <x:c r="L1614" s="32" t="str">
        <x:f>IF(OR('Detalle'!$J785="",'Detalle'!$K785="",'Detalle'!$L785=""),"",IF(AND(L$8&lt;='Detalle'!$K785,L$9&gt;='Detalle'!$J785),1,""))</x:f>
      </x:c>
      <x:c r="M1614" s="32" t="str">
        <x:f>IF(OR('Detalle'!$J785="",'Detalle'!$K785="",'Detalle'!$L785=""),"",IF(AND(M$8&lt;='Detalle'!$K785,M$9&gt;='Detalle'!$J785),1,""))</x:f>
      </x:c>
      <x:c r="N1614" s="32" t="str">
        <x:f>IF(OR('Detalle'!$J785="",'Detalle'!$K785="",'Detalle'!$L785=""),"",IF(AND(N$8&lt;='Detalle'!$K785,N$9&gt;='Detalle'!$J785),1,""))</x:f>
      </x:c>
      <x:c r="O1614" s="32" t="str">
        <x:f>IF(OR('Detalle'!$J785="",'Detalle'!$K785="",'Detalle'!$L785=""),"",IF(AND(O$8&lt;='Detalle'!$K785,O$9&gt;='Detalle'!$J785),1,""))</x:f>
      </x:c>
      <x:c r="P1614" s="32" t="str">
        <x:f>IF(OR('Detalle'!$J785="",'Detalle'!$K785="",'Detalle'!$L785=""),"",IF(AND(P$8&lt;='Detalle'!$K785,P$9&gt;='Detalle'!$J785),1,""))</x:f>
      </x:c>
      <x:c r="Q1614" s="68"/>
      <x:c r="R1614" s="67" t="str"/>
      <x:c r="S1614" s="67" t="str"/>
    </x:row>
    <x:row r="1615" ht="20" customHeight="1">
      <x:c r="A1615" s="52" t="str">
        <x:v>TOU09 · Progreso e integración de recorridos</x:v>
      </x:c>
      <x:c r="B1615" s="52" t="str">
        <x:v>TOU09 · Progreso e integración de recorridos</x:v>
      </x:c>
      <x:c r="C1615" s="52" t="str">
        <x:v>TOU09 · Progreso e integración de recorridos</x:v>
      </x:c>
      <x:c r="D1615" s="52" t="str">
        <x:v>TOU09 · Progreso e integración de recorridos</x:v>
      </x:c>
      <x:c r="E1615" s="52" t="str">
        <x:v>TOU09 · Progreso e integración de recorridos</x:v>
      </x:c>
      <x:c r="F1615" s="53" t="str">
        <x:v>TOU09 · Progreso e integración de recorridos</x:v>
      </x:c>
      <x:c r="G1615" s="53" t="str">
        <x:v>TOU09 · Progreso e integración de recorridos</x:v>
      </x:c>
      <x:c r="H1615" s="53" t="str">
        <x:v>TOU09 · Progreso e integración de recorridos</x:v>
      </x:c>
      <x:c r="I1615" s="53" t="str">
        <x:v>TOU09 · Progreso e integración de recorridos</x:v>
      </x:c>
      <x:c r="J1615" s="53" t="str">
        <x:v>TOU09 · Progreso e integración de recorridos</x:v>
      </x:c>
      <x:c r="K1615" s="53" t="str">
        <x:v>TOU09 · Progreso e integración de recorridos</x:v>
      </x:c>
      <x:c r="L1615" s="53" t="str">
        <x:v>TOU09 · Progreso e integración de recorridos</x:v>
      </x:c>
      <x:c r="M1615" s="53" t="str">
        <x:v>TOU09 · Progreso e integración de recorridos</x:v>
      </x:c>
      <x:c r="N1615" s="53" t="str">
        <x:v>TOU09 · Progreso e integración de recorridos</x:v>
      </x:c>
      <x:c r="O1615" s="53" t="str">
        <x:v>TOU09 · Progreso e integración de recorridos</x:v>
      </x:c>
      <x:c r="P1615" s="53" t="str">
        <x:v>TOU09 · Progreso e integración de recorridos</x:v>
      </x:c>
      <x:c r="Q1615" s="52" t="str">
        <x:v>TOU09 · Progreso e integración de recorridos</x:v>
      </x:c>
      <x:c r="R1615" s="52" t="str">
        <x:v>TOU09 · Progreso e integración de recorridos</x:v>
      </x:c>
      <x:c r="S1615" s="52" t="str">
        <x:v>TOU09 · Progreso e integración de recorridos</x:v>
      </x:c>
    </x:row>
    <x:row r="1616" ht="16" customHeight="1">
      <x:c r="A1616" s="56" t="str">
        <x:v>TOU09.001</x:v>
      </x:c>
      <x:c r="B1616" s="57" t="str">
        <x:v>Guardar progreso privado por cuenta y versión</x:v>
      </x:c>
      <x:c r="C1616" s="62" t="str">
        <x:v>E</x:v>
      </x:c>
      <x:c r="D1616" s="64" t="n">
        <x:f>'Detalle'!I786</x:f>
        <x:v>1</x:v>
      </x:c>
      <x:c r="E1616" s="60" t="str">
        <x:f>'Detalle'!F786</x:f>
        <x:v>Completado</x:v>
      </x:c>
      <x:c r="F1616" s="32" t="str">
        <x:f>IF(AND(F$8&lt;='Detalle'!$H786,F$9&gt;='Detalle'!$G786),1,"")</x:f>
      </x:c>
      <x:c r="G1616" s="32" t="str">
        <x:f>IF(AND(G$8&lt;='Detalle'!$H786,G$9&gt;='Detalle'!$G786),1,"")</x:f>
      </x:c>
      <x:c r="H1616" s="32" t="str">
        <x:f>IF(AND(H$8&lt;='Detalle'!$H786,H$9&gt;='Detalle'!$G786),1,"")</x:f>
      </x:c>
      <x:c r="I1616" s="32" t="str">
        <x:f>IF(AND(I$8&lt;='Detalle'!$H786,I$9&gt;='Detalle'!$G786),1,"")</x:f>
      </x:c>
      <x:c r="J1616" s="32" t="n">
        <x:f>IF(AND(J$8&lt;='Detalle'!$H786,J$9&gt;='Detalle'!$G786),1,"")</x:f>
        <x:v>1</x:v>
      </x:c>
      <x:c r="K1616" s="32" t="str">
        <x:f>IF(AND(K$8&lt;='Detalle'!$H786,K$9&gt;='Detalle'!$G786),1,"")</x:f>
      </x:c>
      <x:c r="L1616" s="32" t="str">
        <x:f>IF(AND(L$8&lt;='Detalle'!$H786,L$9&gt;='Detalle'!$G786),1,"")</x:f>
      </x:c>
      <x:c r="M1616" s="32" t="str">
        <x:f>IF(AND(M$8&lt;='Detalle'!$H786,M$9&gt;='Detalle'!$G786),1,"")</x:f>
      </x:c>
      <x:c r="N1616" s="32" t="str">
        <x:f>IF(AND(N$8&lt;='Detalle'!$H786,N$9&gt;='Detalle'!$G786),1,"")</x:f>
      </x:c>
      <x:c r="O1616" s="32" t="str">
        <x:f>IF(AND(O$8&lt;='Detalle'!$H786,O$9&gt;='Detalle'!$G786),1,"")</x:f>
      </x:c>
      <x:c r="P1616" s="32" t="str">
        <x:f>IF(AND(P$8&lt;='Detalle'!$H786,P$9&gt;='Detalle'!$G786),1,"")</x:f>
      </x:c>
      <x:c r="Q1616" s="68"/>
      <x:c r="R1616" s="67" t="str">
        <x:f>IF('Detalle'!M786="","",'Detalle'!M786)</x:f>
      </x:c>
      <x:c r="S1616" s="67" t="str">
        <x:f>IF('Detalle'!N786="","",'Detalle'!N786)</x:f>
      </x:c>
    </x:row>
    <x:row r="1617" ht="16" customHeight="1">
      <x:c r="A1617" s="56" t="str">
        <x:v>TOU09.001</x:v>
      </x:c>
      <x:c r="B1617" s="57" t="str">
        <x:v>Guardar progreso privado por cuenta y versión</x:v>
      </x:c>
      <x:c r="C1617" s="63" t="str">
        <x:v>R</x:v>
      </x:c>
      <x:c r="D1617" s="65" t="str">
        <x:f>IF('Detalle'!L786="","",'Detalle'!L786)</x:f>
      </x:c>
      <x:c r="E1617" s="60" t="str"/>
      <x:c r="F1617" s="32" t="str">
        <x:f>IF(OR('Detalle'!$J786="",'Detalle'!$K786="",'Detalle'!$L786=""),"",IF(AND(F$8&lt;='Detalle'!$K786,F$9&gt;='Detalle'!$J786),1,""))</x:f>
      </x:c>
      <x:c r="G1617" s="32" t="str">
        <x:f>IF(OR('Detalle'!$J786="",'Detalle'!$K786="",'Detalle'!$L786=""),"",IF(AND(G$8&lt;='Detalle'!$K786,G$9&gt;='Detalle'!$J786),1,""))</x:f>
      </x:c>
      <x:c r="H1617" s="32" t="str">
        <x:f>IF(OR('Detalle'!$J786="",'Detalle'!$K786="",'Detalle'!$L786=""),"",IF(AND(H$8&lt;='Detalle'!$K786,H$9&gt;='Detalle'!$J786),1,""))</x:f>
      </x:c>
      <x:c r="I1617" s="32" t="str">
        <x:f>IF(OR('Detalle'!$J786="",'Detalle'!$K786="",'Detalle'!$L786=""),"",IF(AND(I$8&lt;='Detalle'!$K786,I$9&gt;='Detalle'!$J786),1,""))</x:f>
      </x:c>
      <x:c r="J1617" s="32" t="str">
        <x:f>IF(OR('Detalle'!$J786="",'Detalle'!$K786="",'Detalle'!$L786=""),"",IF(AND(J$8&lt;='Detalle'!$K786,J$9&gt;='Detalle'!$J786),1,""))</x:f>
      </x:c>
      <x:c r="K1617" s="32" t="str">
        <x:f>IF(OR('Detalle'!$J786="",'Detalle'!$K786="",'Detalle'!$L786=""),"",IF(AND(K$8&lt;='Detalle'!$K786,K$9&gt;='Detalle'!$J786),1,""))</x:f>
      </x:c>
      <x:c r="L1617" s="32" t="str">
        <x:f>IF(OR('Detalle'!$J786="",'Detalle'!$K786="",'Detalle'!$L786=""),"",IF(AND(L$8&lt;='Detalle'!$K786,L$9&gt;='Detalle'!$J786),1,""))</x:f>
      </x:c>
      <x:c r="M1617" s="32" t="str">
        <x:f>IF(OR('Detalle'!$J786="",'Detalle'!$K786="",'Detalle'!$L786=""),"",IF(AND(M$8&lt;='Detalle'!$K786,M$9&gt;='Detalle'!$J786),1,""))</x:f>
      </x:c>
      <x:c r="N1617" s="32" t="str">
        <x:f>IF(OR('Detalle'!$J786="",'Detalle'!$K786="",'Detalle'!$L786=""),"",IF(AND(N$8&lt;='Detalle'!$K786,N$9&gt;='Detalle'!$J786),1,""))</x:f>
      </x:c>
      <x:c r="O1617" s="32" t="str">
        <x:f>IF(OR('Detalle'!$J786="",'Detalle'!$K786="",'Detalle'!$L786=""),"",IF(AND(O$8&lt;='Detalle'!$K786,O$9&gt;='Detalle'!$J786),1,""))</x:f>
      </x:c>
      <x:c r="P1617" s="32" t="str">
        <x:f>IF(OR('Detalle'!$J786="",'Detalle'!$K786="",'Detalle'!$L786=""),"",IF(AND(P$8&lt;='Detalle'!$K786,P$9&gt;='Detalle'!$J786),1,""))</x:f>
      </x:c>
      <x:c r="Q1617" s="68"/>
      <x:c r="R1617" s="67" t="str"/>
      <x:c r="S1617" s="67" t="str"/>
    </x:row>
    <x:row r="1618" ht="16" customHeight="1">
      <x:c r="A1618" s="56" t="str">
        <x:v>TOU09.002</x:v>
      </x:c>
      <x:c r="B1618" s="57" t="str">
        <x:v>Distinguir visitadas y saltadas</x:v>
      </x:c>
      <x:c r="C1618" s="62" t="str">
        <x:v>E</x:v>
      </x:c>
      <x:c r="D1618" s="64" t="n">
        <x:f>'Detalle'!I787</x:f>
        <x:v>1</x:v>
      </x:c>
      <x:c r="E1618" s="60" t="str">
        <x:f>'Detalle'!F787</x:f>
        <x:v>Completado</x:v>
      </x:c>
      <x:c r="F1618" s="32" t="str">
        <x:f>IF(AND(F$8&lt;='Detalle'!$H787,F$9&gt;='Detalle'!$G787),1,"")</x:f>
      </x:c>
      <x:c r="G1618" s="32" t="str">
        <x:f>IF(AND(G$8&lt;='Detalle'!$H787,G$9&gt;='Detalle'!$G787),1,"")</x:f>
      </x:c>
      <x:c r="H1618" s="32" t="str">
        <x:f>IF(AND(H$8&lt;='Detalle'!$H787,H$9&gt;='Detalle'!$G787),1,"")</x:f>
      </x:c>
      <x:c r="I1618" s="32" t="str">
        <x:f>IF(AND(I$8&lt;='Detalle'!$H787,I$9&gt;='Detalle'!$G787),1,"")</x:f>
      </x:c>
      <x:c r="J1618" s="32" t="n">
        <x:f>IF(AND(J$8&lt;='Detalle'!$H787,J$9&gt;='Detalle'!$G787),1,"")</x:f>
        <x:v>1</x:v>
      </x:c>
      <x:c r="K1618" s="32" t="str">
        <x:f>IF(AND(K$8&lt;='Detalle'!$H787,K$9&gt;='Detalle'!$G787),1,"")</x:f>
      </x:c>
      <x:c r="L1618" s="32" t="str">
        <x:f>IF(AND(L$8&lt;='Detalle'!$H787,L$9&gt;='Detalle'!$G787),1,"")</x:f>
      </x:c>
      <x:c r="M1618" s="32" t="str">
        <x:f>IF(AND(M$8&lt;='Detalle'!$H787,M$9&gt;='Detalle'!$G787),1,"")</x:f>
      </x:c>
      <x:c r="N1618" s="32" t="str">
        <x:f>IF(AND(N$8&lt;='Detalle'!$H787,N$9&gt;='Detalle'!$G787),1,"")</x:f>
      </x:c>
      <x:c r="O1618" s="32" t="str">
        <x:f>IF(AND(O$8&lt;='Detalle'!$H787,O$9&gt;='Detalle'!$G787),1,"")</x:f>
      </x:c>
      <x:c r="P1618" s="32" t="str">
        <x:f>IF(AND(P$8&lt;='Detalle'!$H787,P$9&gt;='Detalle'!$G787),1,"")</x:f>
      </x:c>
      <x:c r="Q1618" s="68"/>
      <x:c r="R1618" s="67" t="str">
        <x:f>IF('Detalle'!M787="","",'Detalle'!M787)</x:f>
      </x:c>
      <x:c r="S1618" s="67" t="str">
        <x:f>IF('Detalle'!N787="","",'Detalle'!N787)</x:f>
      </x:c>
    </x:row>
    <x:row r="1619" ht="16" customHeight="1">
      <x:c r="A1619" s="56" t="str">
        <x:v>TOU09.002</x:v>
      </x:c>
      <x:c r="B1619" s="57" t="str">
        <x:v>Distinguir visitadas y saltadas</x:v>
      </x:c>
      <x:c r="C1619" s="63" t="str">
        <x:v>R</x:v>
      </x:c>
      <x:c r="D1619" s="65" t="str">
        <x:f>IF('Detalle'!L787="","",'Detalle'!L787)</x:f>
      </x:c>
      <x:c r="E1619" s="60" t="str"/>
      <x:c r="F1619" s="32" t="str">
        <x:f>IF(OR('Detalle'!$J787="",'Detalle'!$K787="",'Detalle'!$L787=""),"",IF(AND(F$8&lt;='Detalle'!$K787,F$9&gt;='Detalle'!$J787),1,""))</x:f>
      </x:c>
      <x:c r="G1619" s="32" t="str">
        <x:f>IF(OR('Detalle'!$J787="",'Detalle'!$K787="",'Detalle'!$L787=""),"",IF(AND(G$8&lt;='Detalle'!$K787,G$9&gt;='Detalle'!$J787),1,""))</x:f>
      </x:c>
      <x:c r="H1619" s="32" t="str">
        <x:f>IF(OR('Detalle'!$J787="",'Detalle'!$K787="",'Detalle'!$L787=""),"",IF(AND(H$8&lt;='Detalle'!$K787,H$9&gt;='Detalle'!$J787),1,""))</x:f>
      </x:c>
      <x:c r="I1619" s="32" t="str">
        <x:f>IF(OR('Detalle'!$J787="",'Detalle'!$K787="",'Detalle'!$L787=""),"",IF(AND(I$8&lt;='Detalle'!$K787,I$9&gt;='Detalle'!$J787),1,""))</x:f>
      </x:c>
      <x:c r="J1619" s="32" t="str">
        <x:f>IF(OR('Detalle'!$J787="",'Detalle'!$K787="",'Detalle'!$L787=""),"",IF(AND(J$8&lt;='Detalle'!$K787,J$9&gt;='Detalle'!$J787),1,""))</x:f>
      </x:c>
      <x:c r="K1619" s="32" t="str">
        <x:f>IF(OR('Detalle'!$J787="",'Detalle'!$K787="",'Detalle'!$L787=""),"",IF(AND(K$8&lt;='Detalle'!$K787,K$9&gt;='Detalle'!$J787),1,""))</x:f>
      </x:c>
      <x:c r="L1619" s="32" t="str">
        <x:f>IF(OR('Detalle'!$J787="",'Detalle'!$K787="",'Detalle'!$L787=""),"",IF(AND(L$8&lt;='Detalle'!$K787,L$9&gt;='Detalle'!$J787),1,""))</x:f>
      </x:c>
      <x:c r="M1619" s="32" t="str">
        <x:f>IF(OR('Detalle'!$J787="",'Detalle'!$K787="",'Detalle'!$L787=""),"",IF(AND(M$8&lt;='Detalle'!$K787,M$9&gt;='Detalle'!$J787),1,""))</x:f>
      </x:c>
      <x:c r="N1619" s="32" t="str">
        <x:f>IF(OR('Detalle'!$J787="",'Detalle'!$K787="",'Detalle'!$L787=""),"",IF(AND(N$8&lt;='Detalle'!$K787,N$9&gt;='Detalle'!$J787),1,""))</x:f>
      </x:c>
      <x:c r="O1619" s="32" t="str">
        <x:f>IF(OR('Detalle'!$J787="",'Detalle'!$K787="",'Detalle'!$L787=""),"",IF(AND(O$8&lt;='Detalle'!$K787,O$9&gt;='Detalle'!$J787),1,""))</x:f>
      </x:c>
      <x:c r="P1619" s="32" t="str">
        <x:f>IF(OR('Detalle'!$J787="",'Detalle'!$K787="",'Detalle'!$L787=""),"",IF(AND(P$8&lt;='Detalle'!$K787,P$9&gt;='Detalle'!$J787),1,""))</x:f>
      </x:c>
      <x:c r="Q1619" s="68"/>
      <x:c r="R1619" s="67" t="str"/>
      <x:c r="S1619" s="67" t="str"/>
    </x:row>
    <x:row r="1620" ht="16" customHeight="1">
      <x:c r="A1620" s="56" t="str">
        <x:v>TOU09.003</x:v>
      </x:c>
      <x:c r="B1620" s="57" t="str">
        <x:v>Crear outbox local de progreso</x:v>
      </x:c>
      <x:c r="C1620" s="62" t="str">
        <x:v>E</x:v>
      </x:c>
      <x:c r="D1620" s="64" t="n">
        <x:f>'Detalle'!I788</x:f>
        <x:v>1</x:v>
      </x:c>
      <x:c r="E1620" s="60" t="str">
        <x:f>'Detalle'!F788</x:f>
        <x:v>Completado</x:v>
      </x:c>
      <x:c r="F1620" s="32" t="str">
        <x:f>IF(AND(F$8&lt;='Detalle'!$H788,F$9&gt;='Detalle'!$G788),1,"")</x:f>
      </x:c>
      <x:c r="G1620" s="32" t="str">
        <x:f>IF(AND(G$8&lt;='Detalle'!$H788,G$9&gt;='Detalle'!$G788),1,"")</x:f>
      </x:c>
      <x:c r="H1620" s="32" t="str">
        <x:f>IF(AND(H$8&lt;='Detalle'!$H788,H$9&gt;='Detalle'!$G788),1,"")</x:f>
      </x:c>
      <x:c r="I1620" s="32" t="str">
        <x:f>IF(AND(I$8&lt;='Detalle'!$H788,I$9&gt;='Detalle'!$G788),1,"")</x:f>
      </x:c>
      <x:c r="J1620" s="32" t="n">
        <x:f>IF(AND(J$8&lt;='Detalle'!$H788,J$9&gt;='Detalle'!$G788),1,"")</x:f>
        <x:v>1</x:v>
      </x:c>
      <x:c r="K1620" s="32" t="str">
        <x:f>IF(AND(K$8&lt;='Detalle'!$H788,K$9&gt;='Detalle'!$G788),1,"")</x:f>
      </x:c>
      <x:c r="L1620" s="32" t="str">
        <x:f>IF(AND(L$8&lt;='Detalle'!$H788,L$9&gt;='Detalle'!$G788),1,"")</x:f>
      </x:c>
      <x:c r="M1620" s="32" t="str">
        <x:f>IF(AND(M$8&lt;='Detalle'!$H788,M$9&gt;='Detalle'!$G788),1,"")</x:f>
      </x:c>
      <x:c r="N1620" s="32" t="str">
        <x:f>IF(AND(N$8&lt;='Detalle'!$H788,N$9&gt;='Detalle'!$G788),1,"")</x:f>
      </x:c>
      <x:c r="O1620" s="32" t="str">
        <x:f>IF(AND(O$8&lt;='Detalle'!$H788,O$9&gt;='Detalle'!$G788),1,"")</x:f>
      </x:c>
      <x:c r="P1620" s="32" t="str">
        <x:f>IF(AND(P$8&lt;='Detalle'!$H788,P$9&gt;='Detalle'!$G788),1,"")</x:f>
      </x:c>
      <x:c r="Q1620" s="68"/>
      <x:c r="R1620" s="67" t="str">
        <x:f>IF('Detalle'!M788="","",'Detalle'!M788)</x:f>
      </x:c>
      <x:c r="S1620" s="67" t="str">
        <x:f>IF('Detalle'!N788="","",'Detalle'!N788)</x:f>
      </x:c>
    </x:row>
    <x:row r="1621" ht="16" customHeight="1">
      <x:c r="A1621" s="56" t="str">
        <x:v>TOU09.003</x:v>
      </x:c>
      <x:c r="B1621" s="57" t="str">
        <x:v>Crear outbox local de progreso</x:v>
      </x:c>
      <x:c r="C1621" s="63" t="str">
        <x:v>R</x:v>
      </x:c>
      <x:c r="D1621" s="65" t="str">
        <x:f>IF('Detalle'!L788="","",'Detalle'!L788)</x:f>
      </x:c>
      <x:c r="E1621" s="60" t="str"/>
      <x:c r="F1621" s="32" t="str">
        <x:f>IF(OR('Detalle'!$J788="",'Detalle'!$K788="",'Detalle'!$L788=""),"",IF(AND(F$8&lt;='Detalle'!$K788,F$9&gt;='Detalle'!$J788),1,""))</x:f>
      </x:c>
      <x:c r="G1621" s="32" t="str">
        <x:f>IF(OR('Detalle'!$J788="",'Detalle'!$K788="",'Detalle'!$L788=""),"",IF(AND(G$8&lt;='Detalle'!$K788,G$9&gt;='Detalle'!$J788),1,""))</x:f>
      </x:c>
      <x:c r="H1621" s="32" t="str">
        <x:f>IF(OR('Detalle'!$J788="",'Detalle'!$K788="",'Detalle'!$L788=""),"",IF(AND(H$8&lt;='Detalle'!$K788,H$9&gt;='Detalle'!$J788),1,""))</x:f>
      </x:c>
      <x:c r="I1621" s="32" t="str">
        <x:f>IF(OR('Detalle'!$J788="",'Detalle'!$K788="",'Detalle'!$L788=""),"",IF(AND(I$8&lt;='Detalle'!$K788,I$9&gt;='Detalle'!$J788),1,""))</x:f>
      </x:c>
      <x:c r="J1621" s="32" t="str">
        <x:f>IF(OR('Detalle'!$J788="",'Detalle'!$K788="",'Detalle'!$L788=""),"",IF(AND(J$8&lt;='Detalle'!$K788,J$9&gt;='Detalle'!$J788),1,""))</x:f>
      </x:c>
      <x:c r="K1621" s="32" t="str">
        <x:f>IF(OR('Detalle'!$J788="",'Detalle'!$K788="",'Detalle'!$L788=""),"",IF(AND(K$8&lt;='Detalle'!$K788,K$9&gt;='Detalle'!$J788),1,""))</x:f>
      </x:c>
      <x:c r="L1621" s="32" t="str">
        <x:f>IF(OR('Detalle'!$J788="",'Detalle'!$K788="",'Detalle'!$L788=""),"",IF(AND(L$8&lt;='Detalle'!$K788,L$9&gt;='Detalle'!$J788),1,""))</x:f>
      </x:c>
      <x:c r="M1621" s="32" t="str">
        <x:f>IF(OR('Detalle'!$J788="",'Detalle'!$K788="",'Detalle'!$L788=""),"",IF(AND(M$8&lt;='Detalle'!$K788,M$9&gt;='Detalle'!$J788),1,""))</x:f>
      </x:c>
      <x:c r="N1621" s="32" t="str">
        <x:f>IF(OR('Detalle'!$J788="",'Detalle'!$K788="",'Detalle'!$L788=""),"",IF(AND(N$8&lt;='Detalle'!$K788,N$9&gt;='Detalle'!$J788),1,""))</x:f>
      </x:c>
      <x:c r="O1621" s="32" t="str">
        <x:f>IF(OR('Detalle'!$J788="",'Detalle'!$K788="",'Detalle'!$L788=""),"",IF(AND(O$8&lt;='Detalle'!$K788,O$9&gt;='Detalle'!$J788),1,""))</x:f>
      </x:c>
      <x:c r="P1621" s="32" t="str">
        <x:f>IF(OR('Detalle'!$J788="",'Detalle'!$K788="",'Detalle'!$L788=""),"",IF(AND(P$8&lt;='Detalle'!$K788,P$9&gt;='Detalle'!$J788),1,""))</x:f>
      </x:c>
      <x:c r="Q1621" s="68"/>
      <x:c r="R1621" s="67" t="str"/>
      <x:c r="S1621" s="67" t="str"/>
    </x:row>
    <x:row r="1622" ht="16" customHeight="1">
      <x:c r="A1622" s="56" t="str">
        <x:v>TOU09.004</x:v>
      </x:c>
      <x:c r="B1622" s="57" t="str">
        <x:v>Sincronizar progreso pendiente al volver</x:v>
      </x:c>
      <x:c r="C1622" s="62" t="str">
        <x:v>E</x:v>
      </x:c>
      <x:c r="D1622" s="64" t="n">
        <x:f>'Detalle'!I789</x:f>
        <x:v>1</x:v>
      </x:c>
      <x:c r="E1622" s="60" t="str">
        <x:f>'Detalle'!F789</x:f>
        <x:v>Completado</x:v>
      </x:c>
      <x:c r="F1622" s="32" t="str">
        <x:f>IF(AND(F$8&lt;='Detalle'!$H789,F$9&gt;='Detalle'!$G789),1,"")</x:f>
      </x:c>
      <x:c r="G1622" s="32" t="str">
        <x:f>IF(AND(G$8&lt;='Detalle'!$H789,G$9&gt;='Detalle'!$G789),1,"")</x:f>
      </x:c>
      <x:c r="H1622" s="32" t="str">
        <x:f>IF(AND(H$8&lt;='Detalle'!$H789,H$9&gt;='Detalle'!$G789),1,"")</x:f>
      </x:c>
      <x:c r="I1622" s="32" t="str">
        <x:f>IF(AND(I$8&lt;='Detalle'!$H789,I$9&gt;='Detalle'!$G789),1,"")</x:f>
      </x:c>
      <x:c r="J1622" s="32" t="n">
        <x:f>IF(AND(J$8&lt;='Detalle'!$H789,J$9&gt;='Detalle'!$G789),1,"")</x:f>
        <x:v>1</x:v>
      </x:c>
      <x:c r="K1622" s="32" t="str">
        <x:f>IF(AND(K$8&lt;='Detalle'!$H789,K$9&gt;='Detalle'!$G789),1,"")</x:f>
      </x:c>
      <x:c r="L1622" s="32" t="str">
        <x:f>IF(AND(L$8&lt;='Detalle'!$H789,L$9&gt;='Detalle'!$G789),1,"")</x:f>
      </x:c>
      <x:c r="M1622" s="32" t="str">
        <x:f>IF(AND(M$8&lt;='Detalle'!$H789,M$9&gt;='Detalle'!$G789),1,"")</x:f>
      </x:c>
      <x:c r="N1622" s="32" t="str">
        <x:f>IF(AND(N$8&lt;='Detalle'!$H789,N$9&gt;='Detalle'!$G789),1,"")</x:f>
      </x:c>
      <x:c r="O1622" s="32" t="str">
        <x:f>IF(AND(O$8&lt;='Detalle'!$H789,O$9&gt;='Detalle'!$G789),1,"")</x:f>
      </x:c>
      <x:c r="P1622" s="32" t="str">
        <x:f>IF(AND(P$8&lt;='Detalle'!$H789,P$9&gt;='Detalle'!$G789),1,"")</x:f>
      </x:c>
      <x:c r="Q1622" s="68"/>
      <x:c r="R1622" s="67" t="str">
        <x:f>IF('Detalle'!M789="","",'Detalle'!M789)</x:f>
      </x:c>
      <x:c r="S1622" s="67" t="str">
        <x:f>IF('Detalle'!N789="","",'Detalle'!N789)</x:f>
      </x:c>
    </x:row>
    <x:row r="1623" ht="16" customHeight="1">
      <x:c r="A1623" s="56" t="str">
        <x:v>TOU09.004</x:v>
      </x:c>
      <x:c r="B1623" s="57" t="str">
        <x:v>Sincronizar progreso pendiente al volver</x:v>
      </x:c>
      <x:c r="C1623" s="63" t="str">
        <x:v>R</x:v>
      </x:c>
      <x:c r="D1623" s="65" t="str">
        <x:f>IF('Detalle'!L789="","",'Detalle'!L789)</x:f>
      </x:c>
      <x:c r="E1623" s="60" t="str"/>
      <x:c r="F1623" s="32" t="str">
        <x:f>IF(OR('Detalle'!$J789="",'Detalle'!$K789="",'Detalle'!$L789=""),"",IF(AND(F$8&lt;='Detalle'!$K789,F$9&gt;='Detalle'!$J789),1,""))</x:f>
      </x:c>
      <x:c r="G1623" s="32" t="str">
        <x:f>IF(OR('Detalle'!$J789="",'Detalle'!$K789="",'Detalle'!$L789=""),"",IF(AND(G$8&lt;='Detalle'!$K789,G$9&gt;='Detalle'!$J789),1,""))</x:f>
      </x:c>
      <x:c r="H1623" s="32" t="str">
        <x:f>IF(OR('Detalle'!$J789="",'Detalle'!$K789="",'Detalle'!$L789=""),"",IF(AND(H$8&lt;='Detalle'!$K789,H$9&gt;='Detalle'!$J789),1,""))</x:f>
      </x:c>
      <x:c r="I1623" s="32" t="str">
        <x:f>IF(OR('Detalle'!$J789="",'Detalle'!$K789="",'Detalle'!$L789=""),"",IF(AND(I$8&lt;='Detalle'!$K789,I$9&gt;='Detalle'!$J789),1,""))</x:f>
      </x:c>
      <x:c r="J1623" s="32" t="str">
        <x:f>IF(OR('Detalle'!$J789="",'Detalle'!$K789="",'Detalle'!$L789=""),"",IF(AND(J$8&lt;='Detalle'!$K789,J$9&gt;='Detalle'!$J789),1,""))</x:f>
      </x:c>
      <x:c r="K1623" s="32" t="str">
        <x:f>IF(OR('Detalle'!$J789="",'Detalle'!$K789="",'Detalle'!$L789=""),"",IF(AND(K$8&lt;='Detalle'!$K789,K$9&gt;='Detalle'!$J789),1,""))</x:f>
      </x:c>
      <x:c r="L1623" s="32" t="str">
        <x:f>IF(OR('Detalle'!$J789="",'Detalle'!$K789="",'Detalle'!$L789=""),"",IF(AND(L$8&lt;='Detalle'!$K789,L$9&gt;='Detalle'!$J789),1,""))</x:f>
      </x:c>
      <x:c r="M1623" s="32" t="str">
        <x:f>IF(OR('Detalle'!$J789="",'Detalle'!$K789="",'Detalle'!$L789=""),"",IF(AND(M$8&lt;='Detalle'!$K789,M$9&gt;='Detalle'!$J789),1,""))</x:f>
      </x:c>
      <x:c r="N1623" s="32" t="str">
        <x:f>IF(OR('Detalle'!$J789="",'Detalle'!$K789="",'Detalle'!$L789=""),"",IF(AND(N$8&lt;='Detalle'!$K789,N$9&gt;='Detalle'!$J789),1,""))</x:f>
      </x:c>
      <x:c r="O1623" s="32" t="str">
        <x:f>IF(OR('Detalle'!$J789="",'Detalle'!$K789="",'Detalle'!$L789=""),"",IF(AND(O$8&lt;='Detalle'!$K789,O$9&gt;='Detalle'!$J789),1,""))</x:f>
      </x:c>
      <x:c r="P1623" s="32" t="str">
        <x:f>IF(OR('Detalle'!$J789="",'Detalle'!$K789="",'Detalle'!$L789=""),"",IF(AND(P$8&lt;='Detalle'!$K789,P$9&gt;='Detalle'!$J789),1,""))</x:f>
      </x:c>
      <x:c r="Q1623" s="68"/>
      <x:c r="R1623" s="67" t="str"/>
      <x:c r="S1623" s="67" t="str"/>
    </x:row>
    <x:row r="1624" ht="16" customHeight="1">
      <x:c r="A1624" s="56" t="str">
        <x:v>TOU09.005</x:v>
      </x:c>
      <x:c r="B1624" s="57" t="str">
        <x:v>Informar nueva versión del recorrido</x:v>
      </x:c>
      <x:c r="C1624" s="62" t="str">
        <x:v>E</x:v>
      </x:c>
      <x:c r="D1624" s="64" t="n">
        <x:f>'Detalle'!I790</x:f>
        <x:v>1</x:v>
      </x:c>
      <x:c r="E1624" s="60" t="str">
        <x:f>'Detalle'!F790</x:f>
        <x:v>Completado</x:v>
      </x:c>
      <x:c r="F1624" s="32" t="str">
        <x:f>IF(AND(F$8&lt;='Detalle'!$H790,F$9&gt;='Detalle'!$G790),1,"")</x:f>
      </x:c>
      <x:c r="G1624" s="32" t="str">
        <x:f>IF(AND(G$8&lt;='Detalle'!$H790,G$9&gt;='Detalle'!$G790),1,"")</x:f>
      </x:c>
      <x:c r="H1624" s="32" t="str">
        <x:f>IF(AND(H$8&lt;='Detalle'!$H790,H$9&gt;='Detalle'!$G790),1,"")</x:f>
      </x:c>
      <x:c r="I1624" s="32" t="str">
        <x:f>IF(AND(I$8&lt;='Detalle'!$H790,I$9&gt;='Detalle'!$G790),1,"")</x:f>
      </x:c>
      <x:c r="J1624" s="32" t="n">
        <x:f>IF(AND(J$8&lt;='Detalle'!$H790,J$9&gt;='Detalle'!$G790),1,"")</x:f>
        <x:v>1</x:v>
      </x:c>
      <x:c r="K1624" s="32" t="str">
        <x:f>IF(AND(K$8&lt;='Detalle'!$H790,K$9&gt;='Detalle'!$G790),1,"")</x:f>
      </x:c>
      <x:c r="L1624" s="32" t="str">
        <x:f>IF(AND(L$8&lt;='Detalle'!$H790,L$9&gt;='Detalle'!$G790),1,"")</x:f>
      </x:c>
      <x:c r="M1624" s="32" t="str">
        <x:f>IF(AND(M$8&lt;='Detalle'!$H790,M$9&gt;='Detalle'!$G790),1,"")</x:f>
      </x:c>
      <x:c r="N1624" s="32" t="str">
        <x:f>IF(AND(N$8&lt;='Detalle'!$H790,N$9&gt;='Detalle'!$G790),1,"")</x:f>
      </x:c>
      <x:c r="O1624" s="32" t="str">
        <x:f>IF(AND(O$8&lt;='Detalle'!$H790,O$9&gt;='Detalle'!$G790),1,"")</x:f>
      </x:c>
      <x:c r="P1624" s="32" t="str">
        <x:f>IF(AND(P$8&lt;='Detalle'!$H790,P$9&gt;='Detalle'!$G790),1,"")</x:f>
      </x:c>
      <x:c r="Q1624" s="68"/>
      <x:c r="R1624" s="67" t="str">
        <x:f>IF('Detalle'!M790="","",'Detalle'!M790)</x:f>
      </x:c>
      <x:c r="S1624" s="67" t="str">
        <x:f>IF('Detalle'!N790="","",'Detalle'!N790)</x:f>
      </x:c>
    </x:row>
    <x:row r="1625" ht="16" customHeight="1">
      <x:c r="A1625" s="56" t="str">
        <x:v>TOU09.005</x:v>
      </x:c>
      <x:c r="B1625" s="57" t="str">
        <x:v>Informar nueva versión del recorrido</x:v>
      </x:c>
      <x:c r="C1625" s="63" t="str">
        <x:v>R</x:v>
      </x:c>
      <x:c r="D1625" s="65" t="str">
        <x:f>IF('Detalle'!L790="","",'Detalle'!L790)</x:f>
      </x:c>
      <x:c r="E1625" s="60" t="str"/>
      <x:c r="F1625" s="32" t="str">
        <x:f>IF(OR('Detalle'!$J790="",'Detalle'!$K790="",'Detalle'!$L790=""),"",IF(AND(F$8&lt;='Detalle'!$K790,F$9&gt;='Detalle'!$J790),1,""))</x:f>
      </x:c>
      <x:c r="G1625" s="32" t="str">
        <x:f>IF(OR('Detalle'!$J790="",'Detalle'!$K790="",'Detalle'!$L790=""),"",IF(AND(G$8&lt;='Detalle'!$K790,G$9&gt;='Detalle'!$J790),1,""))</x:f>
      </x:c>
      <x:c r="H1625" s="32" t="str">
        <x:f>IF(OR('Detalle'!$J790="",'Detalle'!$K790="",'Detalle'!$L790=""),"",IF(AND(H$8&lt;='Detalle'!$K790,H$9&gt;='Detalle'!$J790),1,""))</x:f>
      </x:c>
      <x:c r="I1625" s="32" t="str">
        <x:f>IF(OR('Detalle'!$J790="",'Detalle'!$K790="",'Detalle'!$L790=""),"",IF(AND(I$8&lt;='Detalle'!$K790,I$9&gt;='Detalle'!$J790),1,""))</x:f>
      </x:c>
      <x:c r="J1625" s="32" t="str">
        <x:f>IF(OR('Detalle'!$J790="",'Detalle'!$K790="",'Detalle'!$L790=""),"",IF(AND(J$8&lt;='Detalle'!$K790,J$9&gt;='Detalle'!$J790),1,""))</x:f>
      </x:c>
      <x:c r="K1625" s="32" t="str">
        <x:f>IF(OR('Detalle'!$J790="",'Detalle'!$K790="",'Detalle'!$L790=""),"",IF(AND(K$8&lt;='Detalle'!$K790,K$9&gt;='Detalle'!$J790),1,""))</x:f>
      </x:c>
      <x:c r="L1625" s="32" t="str">
        <x:f>IF(OR('Detalle'!$J790="",'Detalle'!$K790="",'Detalle'!$L790=""),"",IF(AND(L$8&lt;='Detalle'!$K790,L$9&gt;='Detalle'!$J790),1,""))</x:f>
      </x:c>
      <x:c r="M1625" s="32" t="str">
        <x:f>IF(OR('Detalle'!$J790="",'Detalle'!$K790="",'Detalle'!$L790=""),"",IF(AND(M$8&lt;='Detalle'!$K790,M$9&gt;='Detalle'!$J790),1,""))</x:f>
      </x:c>
      <x:c r="N1625" s="32" t="str">
        <x:f>IF(OR('Detalle'!$J790="",'Detalle'!$K790="",'Detalle'!$L790=""),"",IF(AND(N$8&lt;='Detalle'!$K790,N$9&gt;='Detalle'!$J790),1,""))</x:f>
      </x:c>
      <x:c r="O1625" s="32" t="str">
        <x:f>IF(OR('Detalle'!$J790="",'Detalle'!$K790="",'Detalle'!$L790=""),"",IF(AND(O$8&lt;='Detalle'!$K790,O$9&gt;='Detalle'!$J790),1,""))</x:f>
      </x:c>
      <x:c r="P1625" s="32" t="str">
        <x:f>IF(OR('Detalle'!$J790="",'Detalle'!$K790="",'Detalle'!$L790=""),"",IF(AND(P$8&lt;='Detalle'!$K790,P$9&gt;='Detalle'!$J790),1,""))</x:f>
      </x:c>
      <x:c r="Q1625" s="68"/>
      <x:c r="R1625" s="67" t="str"/>
      <x:c r="S1625" s="67" t="str"/>
    </x:row>
    <x:row r="1626" ht="16" customHeight="1">
      <x:c r="A1626" s="56" t="str">
        <x:v>TOU09.006</x:v>
      </x:c>
      <x:c r="B1626" s="57" t="str">
        <x:v>Integrar entrada desde Crear</x:v>
      </x:c>
      <x:c r="C1626" s="62" t="str">
        <x:v>E</x:v>
      </x:c>
      <x:c r="D1626" s="64" t="n">
        <x:f>'Detalle'!I791</x:f>
        <x:v>1</x:v>
      </x:c>
      <x:c r="E1626" s="60" t="str">
        <x:f>'Detalle'!F791</x:f>
        <x:v>Completado</x:v>
      </x:c>
      <x:c r="F1626" s="32" t="str">
        <x:f>IF(AND(F$8&lt;='Detalle'!$H791,F$9&gt;='Detalle'!$G791),1,"")</x:f>
      </x:c>
      <x:c r="G1626" s="32" t="str">
        <x:f>IF(AND(G$8&lt;='Detalle'!$H791,G$9&gt;='Detalle'!$G791),1,"")</x:f>
      </x:c>
      <x:c r="H1626" s="32" t="str">
        <x:f>IF(AND(H$8&lt;='Detalle'!$H791,H$9&gt;='Detalle'!$G791),1,"")</x:f>
      </x:c>
      <x:c r="I1626" s="32" t="str">
        <x:f>IF(AND(I$8&lt;='Detalle'!$H791,I$9&gt;='Detalle'!$G791),1,"")</x:f>
      </x:c>
      <x:c r="J1626" s="32" t="n">
        <x:f>IF(AND(J$8&lt;='Detalle'!$H791,J$9&gt;='Detalle'!$G791),1,"")</x:f>
        <x:v>1</x:v>
      </x:c>
      <x:c r="K1626" s="32" t="str">
        <x:f>IF(AND(K$8&lt;='Detalle'!$H791,K$9&gt;='Detalle'!$G791),1,"")</x:f>
      </x:c>
      <x:c r="L1626" s="32" t="str">
        <x:f>IF(AND(L$8&lt;='Detalle'!$H791,L$9&gt;='Detalle'!$G791),1,"")</x:f>
      </x:c>
      <x:c r="M1626" s="32" t="str">
        <x:f>IF(AND(M$8&lt;='Detalle'!$H791,M$9&gt;='Detalle'!$G791),1,"")</x:f>
      </x:c>
      <x:c r="N1626" s="32" t="str">
        <x:f>IF(AND(N$8&lt;='Detalle'!$H791,N$9&gt;='Detalle'!$G791),1,"")</x:f>
      </x:c>
      <x:c r="O1626" s="32" t="str">
        <x:f>IF(AND(O$8&lt;='Detalle'!$H791,O$9&gt;='Detalle'!$G791),1,"")</x:f>
      </x:c>
      <x:c r="P1626" s="32" t="str">
        <x:f>IF(AND(P$8&lt;='Detalle'!$H791,P$9&gt;='Detalle'!$G791),1,"")</x:f>
      </x:c>
      <x:c r="Q1626" s="68"/>
      <x:c r="R1626" s="67" t="str">
        <x:f>IF('Detalle'!M791="","",'Detalle'!M791)</x:f>
      </x:c>
      <x:c r="S1626" s="67" t="str">
        <x:f>IF('Detalle'!N791="","",'Detalle'!N791)</x:f>
      </x:c>
    </x:row>
    <x:row r="1627" ht="16" customHeight="1">
      <x:c r="A1627" s="56" t="str">
        <x:v>TOU09.006</x:v>
      </x:c>
      <x:c r="B1627" s="57" t="str">
        <x:v>Integrar entrada desde Crear</x:v>
      </x:c>
      <x:c r="C1627" s="63" t="str">
        <x:v>R</x:v>
      </x:c>
      <x:c r="D1627" s="65" t="str">
        <x:f>IF('Detalle'!L791="","",'Detalle'!L791)</x:f>
      </x:c>
      <x:c r="E1627" s="60" t="str"/>
      <x:c r="F1627" s="32" t="str">
        <x:f>IF(OR('Detalle'!$J791="",'Detalle'!$K791="",'Detalle'!$L791=""),"",IF(AND(F$8&lt;='Detalle'!$K791,F$9&gt;='Detalle'!$J791),1,""))</x:f>
      </x:c>
      <x:c r="G1627" s="32" t="str">
        <x:f>IF(OR('Detalle'!$J791="",'Detalle'!$K791="",'Detalle'!$L791=""),"",IF(AND(G$8&lt;='Detalle'!$K791,G$9&gt;='Detalle'!$J791),1,""))</x:f>
      </x:c>
      <x:c r="H1627" s="32" t="str">
        <x:f>IF(OR('Detalle'!$J791="",'Detalle'!$K791="",'Detalle'!$L791=""),"",IF(AND(H$8&lt;='Detalle'!$K791,H$9&gt;='Detalle'!$J791),1,""))</x:f>
      </x:c>
      <x:c r="I1627" s="32" t="str">
        <x:f>IF(OR('Detalle'!$J791="",'Detalle'!$K791="",'Detalle'!$L791=""),"",IF(AND(I$8&lt;='Detalle'!$K791,I$9&gt;='Detalle'!$J791),1,""))</x:f>
      </x:c>
      <x:c r="J1627" s="32" t="str">
        <x:f>IF(OR('Detalle'!$J791="",'Detalle'!$K791="",'Detalle'!$L791=""),"",IF(AND(J$8&lt;='Detalle'!$K791,J$9&gt;='Detalle'!$J791),1,""))</x:f>
      </x:c>
      <x:c r="K1627" s="32" t="str">
        <x:f>IF(OR('Detalle'!$J791="",'Detalle'!$K791="",'Detalle'!$L791=""),"",IF(AND(K$8&lt;='Detalle'!$K791,K$9&gt;='Detalle'!$J791),1,""))</x:f>
      </x:c>
      <x:c r="L1627" s="32" t="str">
        <x:f>IF(OR('Detalle'!$J791="",'Detalle'!$K791="",'Detalle'!$L791=""),"",IF(AND(L$8&lt;='Detalle'!$K791,L$9&gt;='Detalle'!$J791),1,""))</x:f>
      </x:c>
      <x:c r="M1627" s="32" t="str">
        <x:f>IF(OR('Detalle'!$J791="",'Detalle'!$K791="",'Detalle'!$L791=""),"",IF(AND(M$8&lt;='Detalle'!$K791,M$9&gt;='Detalle'!$J791),1,""))</x:f>
      </x:c>
      <x:c r="N1627" s="32" t="str">
        <x:f>IF(OR('Detalle'!$J791="",'Detalle'!$K791="",'Detalle'!$L791=""),"",IF(AND(N$8&lt;='Detalle'!$K791,N$9&gt;='Detalle'!$J791),1,""))</x:f>
      </x:c>
      <x:c r="O1627" s="32" t="str">
        <x:f>IF(OR('Detalle'!$J791="",'Detalle'!$K791="",'Detalle'!$L791=""),"",IF(AND(O$8&lt;='Detalle'!$K791,O$9&gt;='Detalle'!$J791),1,""))</x:f>
      </x:c>
      <x:c r="P1627" s="32" t="str">
        <x:f>IF(OR('Detalle'!$J791="",'Detalle'!$K791="",'Detalle'!$L791=""),"",IF(AND(P$8&lt;='Detalle'!$K791,P$9&gt;='Detalle'!$J791),1,""))</x:f>
      </x:c>
      <x:c r="Q1627" s="68"/>
      <x:c r="R1627" s="67" t="str"/>
      <x:c r="S1627" s="67" t="str"/>
    </x:row>
    <x:row r="1628" ht="16" customHeight="1">
      <x:c r="A1628" s="56" t="str">
        <x:v>TOU09.007</x:v>
      </x:c>
      <x:c r="B1628" s="57" t="str">
        <x:v>Integrar recorridos en herramientas propias</x:v>
      </x:c>
      <x:c r="C1628" s="62" t="str">
        <x:v>E</x:v>
      </x:c>
      <x:c r="D1628" s="64" t="n">
        <x:f>'Detalle'!I792</x:f>
        <x:v>1</x:v>
      </x:c>
      <x:c r="E1628" s="60" t="str">
        <x:f>'Detalle'!F792</x:f>
        <x:v>Completado</x:v>
      </x:c>
      <x:c r="F1628" s="32" t="str">
        <x:f>IF(AND(F$8&lt;='Detalle'!$H792,F$9&gt;='Detalle'!$G792),1,"")</x:f>
      </x:c>
      <x:c r="G1628" s="32" t="str">
        <x:f>IF(AND(G$8&lt;='Detalle'!$H792,G$9&gt;='Detalle'!$G792),1,"")</x:f>
      </x:c>
      <x:c r="H1628" s="32" t="str">
        <x:f>IF(AND(H$8&lt;='Detalle'!$H792,H$9&gt;='Detalle'!$G792),1,"")</x:f>
      </x:c>
      <x:c r="I1628" s="32" t="str">
        <x:f>IF(AND(I$8&lt;='Detalle'!$H792,I$9&gt;='Detalle'!$G792),1,"")</x:f>
      </x:c>
      <x:c r="J1628" s="32" t="n">
        <x:f>IF(AND(J$8&lt;='Detalle'!$H792,J$9&gt;='Detalle'!$G792),1,"")</x:f>
        <x:v>1</x:v>
      </x:c>
      <x:c r="K1628" s="32" t="str">
        <x:f>IF(AND(K$8&lt;='Detalle'!$H792,K$9&gt;='Detalle'!$G792),1,"")</x:f>
      </x:c>
      <x:c r="L1628" s="32" t="str">
        <x:f>IF(AND(L$8&lt;='Detalle'!$H792,L$9&gt;='Detalle'!$G792),1,"")</x:f>
      </x:c>
      <x:c r="M1628" s="32" t="str">
        <x:f>IF(AND(M$8&lt;='Detalle'!$H792,M$9&gt;='Detalle'!$G792),1,"")</x:f>
      </x:c>
      <x:c r="N1628" s="32" t="str">
        <x:f>IF(AND(N$8&lt;='Detalle'!$H792,N$9&gt;='Detalle'!$G792),1,"")</x:f>
      </x:c>
      <x:c r="O1628" s="32" t="str">
        <x:f>IF(AND(O$8&lt;='Detalle'!$H792,O$9&gt;='Detalle'!$G792),1,"")</x:f>
      </x:c>
      <x:c r="P1628" s="32" t="str">
        <x:f>IF(AND(P$8&lt;='Detalle'!$H792,P$9&gt;='Detalle'!$G792),1,"")</x:f>
      </x:c>
      <x:c r="Q1628" s="68"/>
      <x:c r="R1628" s="67" t="str">
        <x:f>IF('Detalle'!M792="","",'Detalle'!M792)</x:f>
      </x:c>
      <x:c r="S1628" s="67" t="str">
        <x:f>IF('Detalle'!N792="","",'Detalle'!N792)</x:f>
      </x:c>
    </x:row>
    <x:row r="1629" ht="16" customHeight="1">
      <x:c r="A1629" s="56" t="str">
        <x:v>TOU09.007</x:v>
      </x:c>
      <x:c r="B1629" s="57" t="str">
        <x:v>Integrar recorridos en herramientas propias</x:v>
      </x:c>
      <x:c r="C1629" s="63" t="str">
        <x:v>R</x:v>
      </x:c>
      <x:c r="D1629" s="65" t="str">
        <x:f>IF('Detalle'!L792="","",'Detalle'!L792)</x:f>
      </x:c>
      <x:c r="E1629" s="60" t="str"/>
      <x:c r="F1629" s="32" t="str">
        <x:f>IF(OR('Detalle'!$J792="",'Detalle'!$K792="",'Detalle'!$L792=""),"",IF(AND(F$8&lt;='Detalle'!$K792,F$9&gt;='Detalle'!$J792),1,""))</x:f>
      </x:c>
      <x:c r="G1629" s="32" t="str">
        <x:f>IF(OR('Detalle'!$J792="",'Detalle'!$K792="",'Detalle'!$L792=""),"",IF(AND(G$8&lt;='Detalle'!$K792,G$9&gt;='Detalle'!$J792),1,""))</x:f>
      </x:c>
      <x:c r="H1629" s="32" t="str">
        <x:f>IF(OR('Detalle'!$J792="",'Detalle'!$K792="",'Detalle'!$L792=""),"",IF(AND(H$8&lt;='Detalle'!$K792,H$9&gt;='Detalle'!$J792),1,""))</x:f>
      </x:c>
      <x:c r="I1629" s="32" t="str">
        <x:f>IF(OR('Detalle'!$J792="",'Detalle'!$K792="",'Detalle'!$L792=""),"",IF(AND(I$8&lt;='Detalle'!$K792,I$9&gt;='Detalle'!$J792),1,""))</x:f>
      </x:c>
      <x:c r="J1629" s="32" t="str">
        <x:f>IF(OR('Detalle'!$J792="",'Detalle'!$K792="",'Detalle'!$L792=""),"",IF(AND(J$8&lt;='Detalle'!$K792,J$9&gt;='Detalle'!$J792),1,""))</x:f>
      </x:c>
      <x:c r="K1629" s="32" t="str">
        <x:f>IF(OR('Detalle'!$J792="",'Detalle'!$K792="",'Detalle'!$L792=""),"",IF(AND(K$8&lt;='Detalle'!$K792,K$9&gt;='Detalle'!$J792),1,""))</x:f>
      </x:c>
      <x:c r="L1629" s="32" t="str">
        <x:f>IF(OR('Detalle'!$J792="",'Detalle'!$K792="",'Detalle'!$L792=""),"",IF(AND(L$8&lt;='Detalle'!$K792,L$9&gt;='Detalle'!$J792),1,""))</x:f>
      </x:c>
      <x:c r="M1629" s="32" t="str">
        <x:f>IF(OR('Detalle'!$J792="",'Detalle'!$K792="",'Detalle'!$L792=""),"",IF(AND(M$8&lt;='Detalle'!$K792,M$9&gt;='Detalle'!$J792),1,""))</x:f>
      </x:c>
      <x:c r="N1629" s="32" t="str">
        <x:f>IF(OR('Detalle'!$J792="",'Detalle'!$K792="",'Detalle'!$L792=""),"",IF(AND(N$8&lt;='Detalle'!$K792,N$9&gt;='Detalle'!$J792),1,""))</x:f>
      </x:c>
      <x:c r="O1629" s="32" t="str">
        <x:f>IF(OR('Detalle'!$J792="",'Detalle'!$K792="",'Detalle'!$L792=""),"",IF(AND(O$8&lt;='Detalle'!$K792,O$9&gt;='Detalle'!$J792),1,""))</x:f>
      </x:c>
      <x:c r="P1629" s="32" t="str">
        <x:f>IF(OR('Detalle'!$J792="",'Detalle'!$K792="",'Detalle'!$L792=""),"",IF(AND(P$8&lt;='Detalle'!$K792,P$9&gt;='Detalle'!$J792),1,""))</x:f>
      </x:c>
      <x:c r="Q1629" s="68"/>
      <x:c r="R1629" s="67" t="str"/>
      <x:c r="S1629" s="67" t="str"/>
    </x:row>
    <x:row r="1630" ht="16" customHeight="1">
      <x:c r="A1630" s="56" t="str">
        <x:v>TOU09.008</x:v>
      </x:c>
      <x:c r="B1630" s="57" t="str">
        <x:v>Integrar tarjeta en perfil público</x:v>
      </x:c>
      <x:c r="C1630" s="62" t="str">
        <x:v>E</x:v>
      </x:c>
      <x:c r="D1630" s="64" t="n">
        <x:f>'Detalle'!I793</x:f>
        <x:v>1</x:v>
      </x:c>
      <x:c r="E1630" s="60" t="str">
        <x:f>'Detalle'!F793</x:f>
        <x:v>Completado</x:v>
      </x:c>
      <x:c r="F1630" s="32" t="str">
        <x:f>IF(AND(F$8&lt;='Detalle'!$H793,F$9&gt;='Detalle'!$G793),1,"")</x:f>
      </x:c>
      <x:c r="G1630" s="32" t="str">
        <x:f>IF(AND(G$8&lt;='Detalle'!$H793,G$9&gt;='Detalle'!$G793),1,"")</x:f>
      </x:c>
      <x:c r="H1630" s="32" t="str">
        <x:f>IF(AND(H$8&lt;='Detalle'!$H793,H$9&gt;='Detalle'!$G793),1,"")</x:f>
      </x:c>
      <x:c r="I1630" s="32" t="str">
        <x:f>IF(AND(I$8&lt;='Detalle'!$H793,I$9&gt;='Detalle'!$G793),1,"")</x:f>
      </x:c>
      <x:c r="J1630" s="32" t="n">
        <x:f>IF(AND(J$8&lt;='Detalle'!$H793,J$9&gt;='Detalle'!$G793),1,"")</x:f>
        <x:v>1</x:v>
      </x:c>
      <x:c r="K1630" s="32" t="str">
        <x:f>IF(AND(K$8&lt;='Detalle'!$H793,K$9&gt;='Detalle'!$G793),1,"")</x:f>
      </x:c>
      <x:c r="L1630" s="32" t="str">
        <x:f>IF(AND(L$8&lt;='Detalle'!$H793,L$9&gt;='Detalle'!$G793),1,"")</x:f>
      </x:c>
      <x:c r="M1630" s="32" t="str">
        <x:f>IF(AND(M$8&lt;='Detalle'!$H793,M$9&gt;='Detalle'!$G793),1,"")</x:f>
      </x:c>
      <x:c r="N1630" s="32" t="str">
        <x:f>IF(AND(N$8&lt;='Detalle'!$H793,N$9&gt;='Detalle'!$G793),1,"")</x:f>
      </x:c>
      <x:c r="O1630" s="32" t="str">
        <x:f>IF(AND(O$8&lt;='Detalle'!$H793,O$9&gt;='Detalle'!$G793),1,"")</x:f>
      </x:c>
      <x:c r="P1630" s="32" t="str">
        <x:f>IF(AND(P$8&lt;='Detalle'!$H793,P$9&gt;='Detalle'!$G793),1,"")</x:f>
      </x:c>
      <x:c r="Q1630" s="68"/>
      <x:c r="R1630" s="67" t="str">
        <x:f>IF('Detalle'!M793="","",'Detalle'!M793)</x:f>
      </x:c>
      <x:c r="S1630" s="67" t="str">
        <x:f>IF('Detalle'!N793="","",'Detalle'!N793)</x:f>
      </x:c>
    </x:row>
    <x:row r="1631" ht="16" customHeight="1">
      <x:c r="A1631" s="56" t="str">
        <x:v>TOU09.008</x:v>
      </x:c>
      <x:c r="B1631" s="57" t="str">
        <x:v>Integrar tarjeta en perfil público</x:v>
      </x:c>
      <x:c r="C1631" s="63" t="str">
        <x:v>R</x:v>
      </x:c>
      <x:c r="D1631" s="65" t="str">
        <x:f>IF('Detalle'!L793="","",'Detalle'!L793)</x:f>
      </x:c>
      <x:c r="E1631" s="60" t="str"/>
      <x:c r="F1631" s="32" t="str">
        <x:f>IF(OR('Detalle'!$J793="",'Detalle'!$K793="",'Detalle'!$L793=""),"",IF(AND(F$8&lt;='Detalle'!$K793,F$9&gt;='Detalle'!$J793),1,""))</x:f>
      </x:c>
      <x:c r="G1631" s="32" t="str">
        <x:f>IF(OR('Detalle'!$J793="",'Detalle'!$K793="",'Detalle'!$L793=""),"",IF(AND(G$8&lt;='Detalle'!$K793,G$9&gt;='Detalle'!$J793),1,""))</x:f>
      </x:c>
      <x:c r="H1631" s="32" t="str">
        <x:f>IF(OR('Detalle'!$J793="",'Detalle'!$K793="",'Detalle'!$L793=""),"",IF(AND(H$8&lt;='Detalle'!$K793,H$9&gt;='Detalle'!$J793),1,""))</x:f>
      </x:c>
      <x:c r="I1631" s="32" t="str">
        <x:f>IF(OR('Detalle'!$J793="",'Detalle'!$K793="",'Detalle'!$L793=""),"",IF(AND(I$8&lt;='Detalle'!$K793,I$9&gt;='Detalle'!$J793),1,""))</x:f>
      </x:c>
      <x:c r="J1631" s="32" t="str">
        <x:f>IF(OR('Detalle'!$J793="",'Detalle'!$K793="",'Detalle'!$L793=""),"",IF(AND(J$8&lt;='Detalle'!$K793,J$9&gt;='Detalle'!$J793),1,""))</x:f>
      </x:c>
      <x:c r="K1631" s="32" t="str">
        <x:f>IF(OR('Detalle'!$J793="",'Detalle'!$K793="",'Detalle'!$L793=""),"",IF(AND(K$8&lt;='Detalle'!$K793,K$9&gt;='Detalle'!$J793),1,""))</x:f>
      </x:c>
      <x:c r="L1631" s="32" t="str">
        <x:f>IF(OR('Detalle'!$J793="",'Detalle'!$K793="",'Detalle'!$L793=""),"",IF(AND(L$8&lt;='Detalle'!$K793,L$9&gt;='Detalle'!$J793),1,""))</x:f>
      </x:c>
      <x:c r="M1631" s="32" t="str">
        <x:f>IF(OR('Detalle'!$J793="",'Detalle'!$K793="",'Detalle'!$L793=""),"",IF(AND(M$8&lt;='Detalle'!$K793,M$9&gt;='Detalle'!$J793),1,""))</x:f>
      </x:c>
      <x:c r="N1631" s="32" t="str">
        <x:f>IF(OR('Detalle'!$J793="",'Detalle'!$K793="",'Detalle'!$L793=""),"",IF(AND(N$8&lt;='Detalle'!$K793,N$9&gt;='Detalle'!$J793),1,""))</x:f>
      </x:c>
      <x:c r="O1631" s="32" t="str">
        <x:f>IF(OR('Detalle'!$J793="",'Detalle'!$K793="",'Detalle'!$L793=""),"",IF(AND(O$8&lt;='Detalle'!$K793,O$9&gt;='Detalle'!$J793),1,""))</x:f>
      </x:c>
      <x:c r="P1631" s="32" t="str">
        <x:f>IF(OR('Detalle'!$J793="",'Detalle'!$K793="",'Detalle'!$L793=""),"",IF(AND(P$8&lt;='Detalle'!$K793,P$9&gt;='Detalle'!$J793),1,""))</x:f>
      </x:c>
      <x:c r="Q1631" s="68"/>
      <x:c r="R1631" s="67" t="str"/>
      <x:c r="S1631" s="67" t="str"/>
    </x:row>
    <x:row r="1632" ht="16" customHeight="1">
      <x:c r="A1632" s="56" t="str">
        <x:v>TOU09.009</x:v>
      </x:c>
      <x:c r="B1632" s="57" t="str">
        <x:v>Integrar revisión en moderación</x:v>
      </x:c>
      <x:c r="C1632" s="62" t="str">
        <x:v>E</x:v>
      </x:c>
      <x:c r="D1632" s="64" t="n">
        <x:f>'Detalle'!I794</x:f>
        <x:v>1</x:v>
      </x:c>
      <x:c r="E1632" s="60" t="str">
        <x:f>'Detalle'!F794</x:f>
        <x:v>Completado</x:v>
      </x:c>
      <x:c r="F1632" s="32" t="str">
        <x:f>IF(AND(F$8&lt;='Detalle'!$H794,F$9&gt;='Detalle'!$G794),1,"")</x:f>
      </x:c>
      <x:c r="G1632" s="32" t="str">
        <x:f>IF(AND(G$8&lt;='Detalle'!$H794,G$9&gt;='Detalle'!$G794),1,"")</x:f>
      </x:c>
      <x:c r="H1632" s="32" t="str">
        <x:f>IF(AND(H$8&lt;='Detalle'!$H794,H$9&gt;='Detalle'!$G794),1,"")</x:f>
      </x:c>
      <x:c r="I1632" s="32" t="str">
        <x:f>IF(AND(I$8&lt;='Detalle'!$H794,I$9&gt;='Detalle'!$G794),1,"")</x:f>
      </x:c>
      <x:c r="J1632" s="32" t="n">
        <x:f>IF(AND(J$8&lt;='Detalle'!$H794,J$9&gt;='Detalle'!$G794),1,"")</x:f>
        <x:v>1</x:v>
      </x:c>
      <x:c r="K1632" s="32" t="str">
        <x:f>IF(AND(K$8&lt;='Detalle'!$H794,K$9&gt;='Detalle'!$G794),1,"")</x:f>
      </x:c>
      <x:c r="L1632" s="32" t="str">
        <x:f>IF(AND(L$8&lt;='Detalle'!$H794,L$9&gt;='Detalle'!$G794),1,"")</x:f>
      </x:c>
      <x:c r="M1632" s="32" t="str">
        <x:f>IF(AND(M$8&lt;='Detalle'!$H794,M$9&gt;='Detalle'!$G794),1,"")</x:f>
      </x:c>
      <x:c r="N1632" s="32" t="str">
        <x:f>IF(AND(N$8&lt;='Detalle'!$H794,N$9&gt;='Detalle'!$G794),1,"")</x:f>
      </x:c>
      <x:c r="O1632" s="32" t="str">
        <x:f>IF(AND(O$8&lt;='Detalle'!$H794,O$9&gt;='Detalle'!$G794),1,"")</x:f>
      </x:c>
      <x:c r="P1632" s="32" t="str">
        <x:f>IF(AND(P$8&lt;='Detalle'!$H794,P$9&gt;='Detalle'!$G794),1,"")</x:f>
      </x:c>
      <x:c r="Q1632" s="68"/>
      <x:c r="R1632" s="67" t="str">
        <x:f>IF('Detalle'!M794="","",'Detalle'!M794)</x:f>
      </x:c>
      <x:c r="S1632" s="67" t="str">
        <x:f>IF('Detalle'!N794="","",'Detalle'!N794)</x:f>
      </x:c>
    </x:row>
    <x:row r="1633" ht="16" customHeight="1">
      <x:c r="A1633" s="56" t="str">
        <x:v>TOU09.009</x:v>
      </x:c>
      <x:c r="B1633" s="57" t="str">
        <x:v>Integrar revisión en moderación</x:v>
      </x:c>
      <x:c r="C1633" s="63" t="str">
        <x:v>R</x:v>
      </x:c>
      <x:c r="D1633" s="65" t="str">
        <x:f>IF('Detalle'!L794="","",'Detalle'!L794)</x:f>
      </x:c>
      <x:c r="E1633" s="60" t="str"/>
      <x:c r="F1633" s="32" t="str">
        <x:f>IF(OR('Detalle'!$J794="",'Detalle'!$K794="",'Detalle'!$L794=""),"",IF(AND(F$8&lt;='Detalle'!$K794,F$9&gt;='Detalle'!$J794),1,""))</x:f>
      </x:c>
      <x:c r="G1633" s="32" t="str">
        <x:f>IF(OR('Detalle'!$J794="",'Detalle'!$K794="",'Detalle'!$L794=""),"",IF(AND(G$8&lt;='Detalle'!$K794,G$9&gt;='Detalle'!$J794),1,""))</x:f>
      </x:c>
      <x:c r="H1633" s="32" t="str">
        <x:f>IF(OR('Detalle'!$J794="",'Detalle'!$K794="",'Detalle'!$L794=""),"",IF(AND(H$8&lt;='Detalle'!$K794,H$9&gt;='Detalle'!$J794),1,""))</x:f>
      </x:c>
      <x:c r="I1633" s="32" t="str">
        <x:f>IF(OR('Detalle'!$J794="",'Detalle'!$K794="",'Detalle'!$L794=""),"",IF(AND(I$8&lt;='Detalle'!$K794,I$9&gt;='Detalle'!$J794),1,""))</x:f>
      </x:c>
      <x:c r="J1633" s="32" t="str">
        <x:f>IF(OR('Detalle'!$J794="",'Detalle'!$K794="",'Detalle'!$L794=""),"",IF(AND(J$8&lt;='Detalle'!$K794,J$9&gt;='Detalle'!$J794),1,""))</x:f>
      </x:c>
      <x:c r="K1633" s="32" t="str">
        <x:f>IF(OR('Detalle'!$J794="",'Detalle'!$K794="",'Detalle'!$L794=""),"",IF(AND(K$8&lt;='Detalle'!$K794,K$9&gt;='Detalle'!$J794),1,""))</x:f>
      </x:c>
      <x:c r="L1633" s="32" t="str">
        <x:f>IF(OR('Detalle'!$J794="",'Detalle'!$K794="",'Detalle'!$L794=""),"",IF(AND(L$8&lt;='Detalle'!$K794,L$9&gt;='Detalle'!$J794),1,""))</x:f>
      </x:c>
      <x:c r="M1633" s="32" t="str">
        <x:f>IF(OR('Detalle'!$J794="",'Detalle'!$K794="",'Detalle'!$L794=""),"",IF(AND(M$8&lt;='Detalle'!$K794,M$9&gt;='Detalle'!$J794),1,""))</x:f>
      </x:c>
      <x:c r="N1633" s="32" t="str">
        <x:f>IF(OR('Detalle'!$J794="",'Detalle'!$K794="",'Detalle'!$L794=""),"",IF(AND(N$8&lt;='Detalle'!$K794,N$9&gt;='Detalle'!$J794),1,""))</x:f>
      </x:c>
      <x:c r="O1633" s="32" t="str">
        <x:f>IF(OR('Detalle'!$J794="",'Detalle'!$K794="",'Detalle'!$L794=""),"",IF(AND(O$8&lt;='Detalle'!$K794,O$9&gt;='Detalle'!$J794),1,""))</x:f>
      </x:c>
      <x:c r="P1633" s="32" t="str">
        <x:f>IF(OR('Detalle'!$J794="",'Detalle'!$K794="",'Detalle'!$L794=""),"",IF(AND(P$8&lt;='Detalle'!$K794,P$9&gt;='Detalle'!$J794),1,""))</x:f>
      </x:c>
      <x:c r="Q1633" s="68"/>
      <x:c r="R1633" s="67" t="str"/>
      <x:c r="S1633" s="67" t="str"/>
    </x:row>
    <x:row r="1634" ht="16" customHeight="1">
      <x:c r="A1634" s="56" t="str">
        <x:v>TOU09.010</x:v>
      </x:c>
      <x:c r="B1634" s="57" t="str">
        <x:v>Agregar capa de recorridos al mapa</x:v>
      </x:c>
      <x:c r="C1634" s="62" t="str">
        <x:v>E</x:v>
      </x:c>
      <x:c r="D1634" s="64" t="n">
        <x:f>'Detalle'!I795</x:f>
        <x:v>1</x:v>
      </x:c>
      <x:c r="E1634" s="60" t="str">
        <x:f>'Detalle'!F795</x:f>
        <x:v>Completado</x:v>
      </x:c>
      <x:c r="F1634" s="32" t="str">
        <x:f>IF(AND(F$8&lt;='Detalle'!$H795,F$9&gt;='Detalle'!$G795),1,"")</x:f>
      </x:c>
      <x:c r="G1634" s="32" t="str">
        <x:f>IF(AND(G$8&lt;='Detalle'!$H795,G$9&gt;='Detalle'!$G795),1,"")</x:f>
      </x:c>
      <x:c r="H1634" s="32" t="str">
        <x:f>IF(AND(H$8&lt;='Detalle'!$H795,H$9&gt;='Detalle'!$G795),1,"")</x:f>
      </x:c>
      <x:c r="I1634" s="32" t="str">
        <x:f>IF(AND(I$8&lt;='Detalle'!$H795,I$9&gt;='Detalle'!$G795),1,"")</x:f>
      </x:c>
      <x:c r="J1634" s="32" t="n">
        <x:f>IF(AND(J$8&lt;='Detalle'!$H795,J$9&gt;='Detalle'!$G795),1,"")</x:f>
        <x:v>1</x:v>
      </x:c>
      <x:c r="K1634" s="32" t="str">
        <x:f>IF(AND(K$8&lt;='Detalle'!$H795,K$9&gt;='Detalle'!$G795),1,"")</x:f>
      </x:c>
      <x:c r="L1634" s="32" t="str">
        <x:f>IF(AND(L$8&lt;='Detalle'!$H795,L$9&gt;='Detalle'!$G795),1,"")</x:f>
      </x:c>
      <x:c r="M1634" s="32" t="str">
        <x:f>IF(AND(M$8&lt;='Detalle'!$H795,M$9&gt;='Detalle'!$G795),1,"")</x:f>
      </x:c>
      <x:c r="N1634" s="32" t="str">
        <x:f>IF(AND(N$8&lt;='Detalle'!$H795,N$9&gt;='Detalle'!$G795),1,"")</x:f>
      </x:c>
      <x:c r="O1634" s="32" t="str">
        <x:f>IF(AND(O$8&lt;='Detalle'!$H795,O$9&gt;='Detalle'!$G795),1,"")</x:f>
      </x:c>
      <x:c r="P1634" s="32" t="str">
        <x:f>IF(AND(P$8&lt;='Detalle'!$H795,P$9&gt;='Detalle'!$G795),1,"")</x:f>
      </x:c>
      <x:c r="Q1634" s="68"/>
      <x:c r="R1634" s="67" t="str">
        <x:f>IF('Detalle'!M795="","",'Detalle'!M795)</x:f>
      </x:c>
      <x:c r="S1634" s="67" t="str">
        <x:f>IF('Detalle'!N795="","",'Detalle'!N795)</x:f>
      </x:c>
    </x:row>
    <x:row r="1635" ht="16" customHeight="1">
      <x:c r="A1635" s="56" t="str">
        <x:v>TOU09.010</x:v>
      </x:c>
      <x:c r="B1635" s="57" t="str">
        <x:v>Agregar capa de recorridos al mapa</x:v>
      </x:c>
      <x:c r="C1635" s="63" t="str">
        <x:v>R</x:v>
      </x:c>
      <x:c r="D1635" s="65" t="str">
        <x:f>IF('Detalle'!L795="","",'Detalle'!L795)</x:f>
      </x:c>
      <x:c r="E1635" s="60" t="str"/>
      <x:c r="F1635" s="32" t="str">
        <x:f>IF(OR('Detalle'!$J795="",'Detalle'!$K795="",'Detalle'!$L795=""),"",IF(AND(F$8&lt;='Detalle'!$K795,F$9&gt;='Detalle'!$J795),1,""))</x:f>
      </x:c>
      <x:c r="G1635" s="32" t="str">
        <x:f>IF(OR('Detalle'!$J795="",'Detalle'!$K795="",'Detalle'!$L795=""),"",IF(AND(G$8&lt;='Detalle'!$K795,G$9&gt;='Detalle'!$J795),1,""))</x:f>
      </x:c>
      <x:c r="H1635" s="32" t="str">
        <x:f>IF(OR('Detalle'!$J795="",'Detalle'!$K795="",'Detalle'!$L795=""),"",IF(AND(H$8&lt;='Detalle'!$K795,H$9&gt;='Detalle'!$J795),1,""))</x:f>
      </x:c>
      <x:c r="I1635" s="32" t="str">
        <x:f>IF(OR('Detalle'!$J795="",'Detalle'!$K795="",'Detalle'!$L795=""),"",IF(AND(I$8&lt;='Detalle'!$K795,I$9&gt;='Detalle'!$J795),1,""))</x:f>
      </x:c>
      <x:c r="J1635" s="32" t="str">
        <x:f>IF(OR('Detalle'!$J795="",'Detalle'!$K795="",'Detalle'!$L795=""),"",IF(AND(J$8&lt;='Detalle'!$K795,J$9&gt;='Detalle'!$J795),1,""))</x:f>
      </x:c>
      <x:c r="K1635" s="32" t="str">
        <x:f>IF(OR('Detalle'!$J795="",'Detalle'!$K795="",'Detalle'!$L795=""),"",IF(AND(K$8&lt;='Detalle'!$K795,K$9&gt;='Detalle'!$J795),1,""))</x:f>
      </x:c>
      <x:c r="L1635" s="32" t="str">
        <x:f>IF(OR('Detalle'!$J795="",'Detalle'!$K795="",'Detalle'!$L795=""),"",IF(AND(L$8&lt;='Detalle'!$K795,L$9&gt;='Detalle'!$J795),1,""))</x:f>
      </x:c>
      <x:c r="M1635" s="32" t="str">
        <x:f>IF(OR('Detalle'!$J795="",'Detalle'!$K795="",'Detalle'!$L795=""),"",IF(AND(M$8&lt;='Detalle'!$K795,M$9&gt;='Detalle'!$J795),1,""))</x:f>
      </x:c>
      <x:c r="N1635" s="32" t="str">
        <x:f>IF(OR('Detalle'!$J795="",'Detalle'!$K795="",'Detalle'!$L795=""),"",IF(AND(N$8&lt;='Detalle'!$K795,N$9&gt;='Detalle'!$J795),1,""))</x:f>
      </x:c>
      <x:c r="O1635" s="32" t="str">
        <x:f>IF(OR('Detalle'!$J795="",'Detalle'!$K795="",'Detalle'!$L795=""),"",IF(AND(O$8&lt;='Detalle'!$K795,O$9&gt;='Detalle'!$J795),1,""))</x:f>
      </x:c>
      <x:c r="P1635" s="32" t="str">
        <x:f>IF(OR('Detalle'!$J795="",'Detalle'!$K795="",'Detalle'!$L795=""),"",IF(AND(P$8&lt;='Detalle'!$K795,P$9&gt;='Detalle'!$J795),1,""))</x:f>
      </x:c>
      <x:c r="Q1635" s="68"/>
      <x:c r="R1635" s="67" t="str"/>
      <x:c r="S1635" s="67" t="str"/>
    </x:row>
    <x:row r="1636" ht="16" customHeight="1">
      <x:c r="A1636" s="56" t="str">
        <x:v>TOU09.011</x:v>
      </x:c>
      <x:c r="B1636" s="57" t="str">
        <x:v>Crear descubrimiento de recorridos vigentes</x:v>
      </x:c>
      <x:c r="C1636" s="62" t="str">
        <x:v>E</x:v>
      </x:c>
      <x:c r="D1636" s="64" t="n">
        <x:f>'Detalle'!I796</x:f>
        <x:v>1</x:v>
      </x:c>
      <x:c r="E1636" s="60" t="str">
        <x:f>'Detalle'!F796</x:f>
        <x:v>Completado</x:v>
      </x:c>
      <x:c r="F1636" s="32" t="str">
        <x:f>IF(AND(F$8&lt;='Detalle'!$H796,F$9&gt;='Detalle'!$G796),1,"")</x:f>
      </x:c>
      <x:c r="G1636" s="32" t="str">
        <x:f>IF(AND(G$8&lt;='Detalle'!$H796,G$9&gt;='Detalle'!$G796),1,"")</x:f>
      </x:c>
      <x:c r="H1636" s="32" t="str">
        <x:f>IF(AND(H$8&lt;='Detalle'!$H796,H$9&gt;='Detalle'!$G796),1,"")</x:f>
      </x:c>
      <x:c r="I1636" s="32" t="str">
        <x:f>IF(AND(I$8&lt;='Detalle'!$H796,I$9&gt;='Detalle'!$G796),1,"")</x:f>
      </x:c>
      <x:c r="J1636" s="32" t="n">
        <x:f>IF(AND(J$8&lt;='Detalle'!$H796,J$9&gt;='Detalle'!$G796),1,"")</x:f>
        <x:v>1</x:v>
      </x:c>
      <x:c r="K1636" s="32" t="str">
        <x:f>IF(AND(K$8&lt;='Detalle'!$H796,K$9&gt;='Detalle'!$G796),1,"")</x:f>
      </x:c>
      <x:c r="L1636" s="32" t="str">
        <x:f>IF(AND(L$8&lt;='Detalle'!$H796,L$9&gt;='Detalle'!$G796),1,"")</x:f>
      </x:c>
      <x:c r="M1636" s="32" t="str">
        <x:f>IF(AND(M$8&lt;='Detalle'!$H796,M$9&gt;='Detalle'!$G796),1,"")</x:f>
      </x:c>
      <x:c r="N1636" s="32" t="str">
        <x:f>IF(AND(N$8&lt;='Detalle'!$H796,N$9&gt;='Detalle'!$G796),1,"")</x:f>
      </x:c>
      <x:c r="O1636" s="32" t="str">
        <x:f>IF(AND(O$8&lt;='Detalle'!$H796,O$9&gt;='Detalle'!$G796),1,"")</x:f>
      </x:c>
      <x:c r="P1636" s="32" t="str">
        <x:f>IF(AND(P$8&lt;='Detalle'!$H796,P$9&gt;='Detalle'!$G796),1,"")</x:f>
      </x:c>
      <x:c r="Q1636" s="68"/>
      <x:c r="R1636" s="67" t="str">
        <x:f>IF('Detalle'!M796="","",'Detalle'!M796)</x:f>
      </x:c>
      <x:c r="S1636" s="67" t="str">
        <x:f>IF('Detalle'!N796="","",'Detalle'!N796)</x:f>
      </x:c>
    </x:row>
    <x:row r="1637" ht="16" customHeight="1">
      <x:c r="A1637" s="56" t="str">
        <x:v>TOU09.011</x:v>
      </x:c>
      <x:c r="B1637" s="57" t="str">
        <x:v>Crear descubrimiento de recorridos vigentes</x:v>
      </x:c>
      <x:c r="C1637" s="63" t="str">
        <x:v>R</x:v>
      </x:c>
      <x:c r="D1637" s="65" t="str">
        <x:f>IF('Detalle'!L796="","",'Detalle'!L796)</x:f>
      </x:c>
      <x:c r="E1637" s="60" t="str"/>
      <x:c r="F1637" s="32" t="str">
        <x:f>IF(OR('Detalle'!$J796="",'Detalle'!$K796="",'Detalle'!$L796=""),"",IF(AND(F$8&lt;='Detalle'!$K796,F$9&gt;='Detalle'!$J796),1,""))</x:f>
      </x:c>
      <x:c r="G1637" s="32" t="str">
        <x:f>IF(OR('Detalle'!$J796="",'Detalle'!$K796="",'Detalle'!$L796=""),"",IF(AND(G$8&lt;='Detalle'!$K796,G$9&gt;='Detalle'!$J796),1,""))</x:f>
      </x:c>
      <x:c r="H1637" s="32" t="str">
        <x:f>IF(OR('Detalle'!$J796="",'Detalle'!$K796="",'Detalle'!$L796=""),"",IF(AND(H$8&lt;='Detalle'!$K796,H$9&gt;='Detalle'!$J796),1,""))</x:f>
      </x:c>
      <x:c r="I1637" s="32" t="str">
        <x:f>IF(OR('Detalle'!$J796="",'Detalle'!$K796="",'Detalle'!$L796=""),"",IF(AND(I$8&lt;='Detalle'!$K796,I$9&gt;='Detalle'!$J796),1,""))</x:f>
      </x:c>
      <x:c r="J1637" s="32" t="str">
        <x:f>IF(OR('Detalle'!$J796="",'Detalle'!$K796="",'Detalle'!$L796=""),"",IF(AND(J$8&lt;='Detalle'!$K796,J$9&gt;='Detalle'!$J796),1,""))</x:f>
      </x:c>
      <x:c r="K1637" s="32" t="str">
        <x:f>IF(OR('Detalle'!$J796="",'Detalle'!$K796="",'Detalle'!$L796=""),"",IF(AND(K$8&lt;='Detalle'!$K796,K$9&gt;='Detalle'!$J796),1,""))</x:f>
      </x:c>
      <x:c r="L1637" s="32" t="str">
        <x:f>IF(OR('Detalle'!$J796="",'Detalle'!$K796="",'Detalle'!$L796=""),"",IF(AND(L$8&lt;='Detalle'!$K796,L$9&gt;='Detalle'!$J796),1,""))</x:f>
      </x:c>
      <x:c r="M1637" s="32" t="str">
        <x:f>IF(OR('Detalle'!$J796="",'Detalle'!$K796="",'Detalle'!$L796=""),"",IF(AND(M$8&lt;='Detalle'!$K796,M$9&gt;='Detalle'!$J796),1,""))</x:f>
      </x:c>
      <x:c r="N1637" s="32" t="str">
        <x:f>IF(OR('Detalle'!$J796="",'Detalle'!$K796="",'Detalle'!$L796=""),"",IF(AND(N$8&lt;='Detalle'!$K796,N$9&gt;='Detalle'!$J796),1,""))</x:f>
      </x:c>
      <x:c r="O1637" s="32" t="str">
        <x:f>IF(OR('Detalle'!$J796="",'Detalle'!$K796="",'Detalle'!$L796=""),"",IF(AND(O$8&lt;='Detalle'!$K796,O$9&gt;='Detalle'!$J796),1,""))</x:f>
      </x:c>
      <x:c r="P1637" s="32" t="str">
        <x:f>IF(OR('Detalle'!$J796="",'Detalle'!$K796="",'Detalle'!$L796=""),"",IF(AND(P$8&lt;='Detalle'!$K796,P$9&gt;='Detalle'!$J796),1,""))</x:f>
      </x:c>
      <x:c r="Q1637" s="68"/>
      <x:c r="R1637" s="67" t="str"/>
      <x:c r="S1637" s="67" t="str"/>
    </x:row>
    <x:row r="1638" ht="16" customHeight="1">
      <x:c r="A1638" s="56" t="str">
        <x:v>TOU09.012</x:v>
      </x:c>
      <x:c r="B1638" s="57" t="str">
        <x:v>Crear enlaces /tours/:id y punto</x:v>
      </x:c>
      <x:c r="C1638" s="62" t="str">
        <x:v>E</x:v>
      </x:c>
      <x:c r="D1638" s="64" t="n">
        <x:f>'Detalle'!I797</x:f>
        <x:v>1</x:v>
      </x:c>
      <x:c r="E1638" s="60" t="str">
        <x:f>'Detalle'!F797</x:f>
        <x:v>Completado</x:v>
      </x:c>
      <x:c r="F1638" s="32" t="str">
        <x:f>IF(AND(F$8&lt;='Detalle'!$H797,F$9&gt;='Detalle'!$G797),1,"")</x:f>
      </x:c>
      <x:c r="G1638" s="32" t="str">
        <x:f>IF(AND(G$8&lt;='Detalle'!$H797,G$9&gt;='Detalle'!$G797),1,"")</x:f>
      </x:c>
      <x:c r="H1638" s="32" t="str">
        <x:f>IF(AND(H$8&lt;='Detalle'!$H797,H$9&gt;='Detalle'!$G797),1,"")</x:f>
      </x:c>
      <x:c r="I1638" s="32" t="str">
        <x:f>IF(AND(I$8&lt;='Detalle'!$H797,I$9&gt;='Detalle'!$G797),1,"")</x:f>
      </x:c>
      <x:c r="J1638" s="32" t="n">
        <x:f>IF(AND(J$8&lt;='Detalle'!$H797,J$9&gt;='Detalle'!$G797),1,"")</x:f>
        <x:v>1</x:v>
      </x:c>
      <x:c r="K1638" s="32" t="str">
        <x:f>IF(AND(K$8&lt;='Detalle'!$H797,K$9&gt;='Detalle'!$G797),1,"")</x:f>
      </x:c>
      <x:c r="L1638" s="32" t="str">
        <x:f>IF(AND(L$8&lt;='Detalle'!$H797,L$9&gt;='Detalle'!$G797),1,"")</x:f>
      </x:c>
      <x:c r="M1638" s="32" t="str">
        <x:f>IF(AND(M$8&lt;='Detalle'!$H797,M$9&gt;='Detalle'!$G797),1,"")</x:f>
      </x:c>
      <x:c r="N1638" s="32" t="str">
        <x:f>IF(AND(N$8&lt;='Detalle'!$H797,N$9&gt;='Detalle'!$G797),1,"")</x:f>
      </x:c>
      <x:c r="O1638" s="32" t="str">
        <x:f>IF(AND(O$8&lt;='Detalle'!$H797,O$9&gt;='Detalle'!$G797),1,"")</x:f>
      </x:c>
      <x:c r="P1638" s="32" t="str">
        <x:f>IF(AND(P$8&lt;='Detalle'!$H797,P$9&gt;='Detalle'!$G797),1,"")</x:f>
      </x:c>
      <x:c r="Q1638" s="68"/>
      <x:c r="R1638" s="67" t="str">
        <x:f>IF('Detalle'!M797="","",'Detalle'!M797)</x:f>
      </x:c>
      <x:c r="S1638" s="67" t="str">
        <x:f>IF('Detalle'!N797="","",'Detalle'!N797)</x:f>
      </x:c>
    </x:row>
    <x:row r="1639" ht="16" customHeight="1">
      <x:c r="A1639" s="56" t="str">
        <x:v>TOU09.012</x:v>
      </x:c>
      <x:c r="B1639" s="57" t="str">
        <x:v>Crear enlaces /tours/:id y punto</x:v>
      </x:c>
      <x:c r="C1639" s="63" t="str">
        <x:v>R</x:v>
      </x:c>
      <x:c r="D1639" s="65" t="str">
        <x:f>IF('Detalle'!L797="","",'Detalle'!L797)</x:f>
      </x:c>
      <x:c r="E1639" s="60" t="str"/>
      <x:c r="F1639" s="32" t="str">
        <x:f>IF(OR('Detalle'!$J797="",'Detalle'!$K797="",'Detalle'!$L797=""),"",IF(AND(F$8&lt;='Detalle'!$K797,F$9&gt;='Detalle'!$J797),1,""))</x:f>
      </x:c>
      <x:c r="G1639" s="32" t="str">
        <x:f>IF(OR('Detalle'!$J797="",'Detalle'!$K797="",'Detalle'!$L797=""),"",IF(AND(G$8&lt;='Detalle'!$K797,G$9&gt;='Detalle'!$J797),1,""))</x:f>
      </x:c>
      <x:c r="H1639" s="32" t="str">
        <x:f>IF(OR('Detalle'!$J797="",'Detalle'!$K797="",'Detalle'!$L797=""),"",IF(AND(H$8&lt;='Detalle'!$K797,H$9&gt;='Detalle'!$J797),1,""))</x:f>
      </x:c>
      <x:c r="I1639" s="32" t="str">
        <x:f>IF(OR('Detalle'!$J797="",'Detalle'!$K797="",'Detalle'!$L797=""),"",IF(AND(I$8&lt;='Detalle'!$K797,I$9&gt;='Detalle'!$J797),1,""))</x:f>
      </x:c>
      <x:c r="J1639" s="32" t="str">
        <x:f>IF(OR('Detalle'!$J797="",'Detalle'!$K797="",'Detalle'!$L797=""),"",IF(AND(J$8&lt;='Detalle'!$K797,J$9&gt;='Detalle'!$J797),1,""))</x:f>
      </x:c>
      <x:c r="K1639" s="32" t="str">
        <x:f>IF(OR('Detalle'!$J797="",'Detalle'!$K797="",'Detalle'!$L797=""),"",IF(AND(K$8&lt;='Detalle'!$K797,K$9&gt;='Detalle'!$J797),1,""))</x:f>
      </x:c>
      <x:c r="L1639" s="32" t="str">
        <x:f>IF(OR('Detalle'!$J797="",'Detalle'!$K797="",'Detalle'!$L797=""),"",IF(AND(L$8&lt;='Detalle'!$K797,L$9&gt;='Detalle'!$J797),1,""))</x:f>
      </x:c>
      <x:c r="M1639" s="32" t="str">
        <x:f>IF(OR('Detalle'!$J797="",'Detalle'!$K797="",'Detalle'!$L797=""),"",IF(AND(M$8&lt;='Detalle'!$K797,M$9&gt;='Detalle'!$J797),1,""))</x:f>
      </x:c>
      <x:c r="N1639" s="32" t="str">
        <x:f>IF(OR('Detalle'!$J797="",'Detalle'!$K797="",'Detalle'!$L797=""),"",IF(AND(N$8&lt;='Detalle'!$K797,N$9&gt;='Detalle'!$J797),1,""))</x:f>
      </x:c>
      <x:c r="O1639" s="32" t="str">
        <x:f>IF(OR('Detalle'!$J797="",'Detalle'!$K797="",'Detalle'!$L797=""),"",IF(AND(O$8&lt;='Detalle'!$K797,O$9&gt;='Detalle'!$J797),1,""))</x:f>
      </x:c>
      <x:c r="P1639" s="32" t="str">
        <x:f>IF(OR('Detalle'!$J797="",'Detalle'!$K797="",'Detalle'!$L797=""),"",IF(AND(P$8&lt;='Detalle'!$K797,P$9&gt;='Detalle'!$J797),1,""))</x:f>
      </x:c>
      <x:c r="Q1639" s="68"/>
      <x:c r="R1639" s="67" t="str"/>
      <x:c r="S1639" s="67" t="str"/>
    </x:row>
    <x:row r="1640" ht="16" customHeight="1">
      <x:c r="A1640" s="56" t="str">
        <x:v>TOU09.013</x:v>
      </x:c>
      <x:c r="B1640" s="57" t="str">
        <x:v>Crear enlace de entrada AR</x:v>
      </x:c>
      <x:c r="C1640" s="62" t="str">
        <x:v>E</x:v>
      </x:c>
      <x:c r="D1640" s="64" t="n">
        <x:f>'Detalle'!I798</x:f>
        <x:v>1</x:v>
      </x:c>
      <x:c r="E1640" s="60" t="str">
        <x:f>'Detalle'!F798</x:f>
        <x:v>Completado</x:v>
      </x:c>
      <x:c r="F1640" s="32" t="str">
        <x:f>IF(AND(F$8&lt;='Detalle'!$H798,F$9&gt;='Detalle'!$G798),1,"")</x:f>
      </x:c>
      <x:c r="G1640" s="32" t="str">
        <x:f>IF(AND(G$8&lt;='Detalle'!$H798,G$9&gt;='Detalle'!$G798),1,"")</x:f>
      </x:c>
      <x:c r="H1640" s="32" t="str">
        <x:f>IF(AND(H$8&lt;='Detalle'!$H798,H$9&gt;='Detalle'!$G798),1,"")</x:f>
      </x:c>
      <x:c r="I1640" s="32" t="str">
        <x:f>IF(AND(I$8&lt;='Detalle'!$H798,I$9&gt;='Detalle'!$G798),1,"")</x:f>
      </x:c>
      <x:c r="J1640" s="32" t="n">
        <x:f>IF(AND(J$8&lt;='Detalle'!$H798,J$9&gt;='Detalle'!$G798),1,"")</x:f>
        <x:v>1</x:v>
      </x:c>
      <x:c r="K1640" s="32" t="str">
        <x:f>IF(AND(K$8&lt;='Detalle'!$H798,K$9&gt;='Detalle'!$G798),1,"")</x:f>
      </x:c>
      <x:c r="L1640" s="32" t="str">
        <x:f>IF(AND(L$8&lt;='Detalle'!$H798,L$9&gt;='Detalle'!$G798),1,"")</x:f>
      </x:c>
      <x:c r="M1640" s="32" t="str">
        <x:f>IF(AND(M$8&lt;='Detalle'!$H798,M$9&gt;='Detalle'!$G798),1,"")</x:f>
      </x:c>
      <x:c r="N1640" s="32" t="str">
        <x:f>IF(AND(N$8&lt;='Detalle'!$H798,N$9&gt;='Detalle'!$G798),1,"")</x:f>
      </x:c>
      <x:c r="O1640" s="32" t="str">
        <x:f>IF(AND(O$8&lt;='Detalle'!$H798,O$9&gt;='Detalle'!$G798),1,"")</x:f>
      </x:c>
      <x:c r="P1640" s="32" t="str">
        <x:f>IF(AND(P$8&lt;='Detalle'!$H798,P$9&gt;='Detalle'!$G798),1,"")</x:f>
      </x:c>
      <x:c r="Q1640" s="68"/>
      <x:c r="R1640" s="67" t="str">
        <x:f>IF('Detalle'!M798="","",'Detalle'!M798)</x:f>
      </x:c>
      <x:c r="S1640" s="67" t="str">
        <x:f>IF('Detalle'!N798="","",'Detalle'!N798)</x:f>
      </x:c>
    </x:row>
    <x:row r="1641" ht="16" customHeight="1">
      <x:c r="A1641" s="56" t="str">
        <x:v>TOU09.013</x:v>
      </x:c>
      <x:c r="B1641" s="57" t="str">
        <x:v>Crear enlace de entrada AR</x:v>
      </x:c>
      <x:c r="C1641" s="63" t="str">
        <x:v>R</x:v>
      </x:c>
      <x:c r="D1641" s="65" t="str">
        <x:f>IF('Detalle'!L798="","",'Detalle'!L798)</x:f>
      </x:c>
      <x:c r="E1641" s="60" t="str"/>
      <x:c r="F1641" s="32" t="str">
        <x:f>IF(OR('Detalle'!$J798="",'Detalle'!$K798="",'Detalle'!$L798=""),"",IF(AND(F$8&lt;='Detalle'!$K798,F$9&gt;='Detalle'!$J798),1,""))</x:f>
      </x:c>
      <x:c r="G1641" s="32" t="str">
        <x:f>IF(OR('Detalle'!$J798="",'Detalle'!$K798="",'Detalle'!$L798=""),"",IF(AND(G$8&lt;='Detalle'!$K798,G$9&gt;='Detalle'!$J798),1,""))</x:f>
      </x:c>
      <x:c r="H1641" s="32" t="str">
        <x:f>IF(OR('Detalle'!$J798="",'Detalle'!$K798="",'Detalle'!$L798=""),"",IF(AND(H$8&lt;='Detalle'!$K798,H$9&gt;='Detalle'!$J798),1,""))</x:f>
      </x:c>
      <x:c r="I1641" s="32" t="str">
        <x:f>IF(OR('Detalle'!$J798="",'Detalle'!$K798="",'Detalle'!$L798=""),"",IF(AND(I$8&lt;='Detalle'!$K798,I$9&gt;='Detalle'!$J798),1,""))</x:f>
      </x:c>
      <x:c r="J1641" s="32" t="str">
        <x:f>IF(OR('Detalle'!$J798="",'Detalle'!$K798="",'Detalle'!$L798=""),"",IF(AND(J$8&lt;='Detalle'!$K798,J$9&gt;='Detalle'!$J798),1,""))</x:f>
      </x:c>
      <x:c r="K1641" s="32" t="str">
        <x:f>IF(OR('Detalle'!$J798="",'Detalle'!$K798="",'Detalle'!$L798=""),"",IF(AND(K$8&lt;='Detalle'!$K798,K$9&gt;='Detalle'!$J798),1,""))</x:f>
      </x:c>
      <x:c r="L1641" s="32" t="str">
        <x:f>IF(OR('Detalle'!$J798="",'Detalle'!$K798="",'Detalle'!$L798=""),"",IF(AND(L$8&lt;='Detalle'!$K798,L$9&gt;='Detalle'!$J798),1,""))</x:f>
      </x:c>
      <x:c r="M1641" s="32" t="str">
        <x:f>IF(OR('Detalle'!$J798="",'Detalle'!$K798="",'Detalle'!$L798=""),"",IF(AND(M$8&lt;='Detalle'!$K798,M$9&gt;='Detalle'!$J798),1,""))</x:f>
      </x:c>
      <x:c r="N1641" s="32" t="str">
        <x:f>IF(OR('Detalle'!$J798="",'Detalle'!$K798="",'Detalle'!$L798=""),"",IF(AND(N$8&lt;='Detalle'!$K798,N$9&gt;='Detalle'!$J798),1,""))</x:f>
      </x:c>
      <x:c r="O1641" s="32" t="str">
        <x:f>IF(OR('Detalle'!$J798="",'Detalle'!$K798="",'Detalle'!$L798=""),"",IF(AND(O$8&lt;='Detalle'!$K798,O$9&gt;='Detalle'!$J798),1,""))</x:f>
      </x:c>
      <x:c r="P1641" s="32" t="str">
        <x:f>IF(OR('Detalle'!$J798="",'Detalle'!$K798="",'Detalle'!$L798=""),"",IF(AND(P$8&lt;='Detalle'!$K798,P$9&gt;='Detalle'!$J798),1,""))</x:f>
      </x:c>
      <x:c r="Q1641" s="68"/>
      <x:c r="R1641" s="67" t="str"/>
      <x:c r="S1641" s="67" t="str"/>
    </x:row>
    <x:row r="1642" ht="20" customHeight="1">
      <x:c r="A1642" s="52" t="str">
        <x:v>PIL01 · Piloto Docker local con Supabase real</x:v>
      </x:c>
      <x:c r="B1642" s="52" t="str">
        <x:v>PIL01 · Piloto Docker local con Supabase real</x:v>
      </x:c>
      <x:c r="C1642" s="52" t="str">
        <x:v>PIL01 · Piloto Docker local con Supabase real</x:v>
      </x:c>
      <x:c r="D1642" s="52" t="str">
        <x:v>PIL01 · Piloto Docker local con Supabase real</x:v>
      </x:c>
      <x:c r="E1642" s="52" t="str">
        <x:v>PIL01 · Piloto Docker local con Supabase real</x:v>
      </x:c>
      <x:c r="F1642" s="53" t="str">
        <x:v>PIL01 · Piloto Docker local con Supabase real</x:v>
      </x:c>
      <x:c r="G1642" s="53" t="str">
        <x:v>PIL01 · Piloto Docker local con Supabase real</x:v>
      </x:c>
      <x:c r="H1642" s="53" t="str">
        <x:v>PIL01 · Piloto Docker local con Supabase real</x:v>
      </x:c>
      <x:c r="I1642" s="53" t="str">
        <x:v>PIL01 · Piloto Docker local con Supabase real</x:v>
      </x:c>
      <x:c r="J1642" s="53" t="str">
        <x:v>PIL01 · Piloto Docker local con Supabase real</x:v>
      </x:c>
      <x:c r="K1642" s="53" t="str">
        <x:v>PIL01 · Piloto Docker local con Supabase real</x:v>
      </x:c>
      <x:c r="L1642" s="53" t="str">
        <x:v>PIL01 · Piloto Docker local con Supabase real</x:v>
      </x:c>
      <x:c r="M1642" s="53" t="str">
        <x:v>PIL01 · Piloto Docker local con Supabase real</x:v>
      </x:c>
      <x:c r="N1642" s="53" t="str">
        <x:v>PIL01 · Piloto Docker local con Supabase real</x:v>
      </x:c>
      <x:c r="O1642" s="53" t="str">
        <x:v>PIL01 · Piloto Docker local con Supabase real</x:v>
      </x:c>
      <x:c r="P1642" s="53" t="str">
        <x:v>PIL01 · Piloto Docker local con Supabase real</x:v>
      </x:c>
      <x:c r="Q1642" s="52" t="str">
        <x:v>PIL01 · Piloto Docker local con Supabase real</x:v>
      </x:c>
      <x:c r="R1642" s="52" t="str">
        <x:v>PIL01 · Piloto Docker local con Supabase real</x:v>
      </x:c>
      <x:c r="S1642" s="52" t="str">
        <x:v>PIL01 · Piloto Docker local con Supabase real</x:v>
      </x:c>
    </x:row>
    <x:row r="1643" ht="16" customHeight="1">
      <x:c r="A1643" s="56" t="str">
        <x:v>PIL01.001</x:v>
      </x:c>
      <x:c r="B1643" s="57" t="str">
        <x:v>Preparar Python y configuración local del procesador</x:v>
      </x:c>
      <x:c r="C1643" s="62" t="str">
        <x:v>E</x:v>
      </x:c>
      <x:c r="D1643" s="64" t="n">
        <x:f>'Detalle'!I799</x:f>
        <x:v>1</x:v>
      </x:c>
      <x:c r="E1643" s="60" t="str">
        <x:f>'Detalle'!F799</x:f>
        <x:v>Completado</x:v>
      </x:c>
      <x:c r="F1643" s="32" t="str">
        <x:f>IF(AND(F$8&lt;='Detalle'!$H799,F$9&gt;='Detalle'!$G799),1,"")</x:f>
      </x:c>
      <x:c r="G1643" s="32" t="str">
        <x:f>IF(AND(G$8&lt;='Detalle'!$H799,G$9&gt;='Detalle'!$G799),1,"")</x:f>
      </x:c>
      <x:c r="H1643" s="32" t="str">
        <x:f>IF(AND(H$8&lt;='Detalle'!$H799,H$9&gt;='Detalle'!$G799),1,"")</x:f>
      </x:c>
      <x:c r="I1643" s="32" t="str">
        <x:f>IF(AND(I$8&lt;='Detalle'!$H799,I$9&gt;='Detalle'!$G799),1,"")</x:f>
      </x:c>
      <x:c r="J1643" s="32" t="n">
        <x:f>IF(AND(J$8&lt;='Detalle'!$H799,J$9&gt;='Detalle'!$G799),1,"")</x:f>
        <x:v>1</x:v>
      </x:c>
      <x:c r="K1643" s="32" t="str">
        <x:f>IF(AND(K$8&lt;='Detalle'!$H799,K$9&gt;='Detalle'!$G799),1,"")</x:f>
      </x:c>
      <x:c r="L1643" s="32" t="str">
        <x:f>IF(AND(L$8&lt;='Detalle'!$H799,L$9&gt;='Detalle'!$G799),1,"")</x:f>
      </x:c>
      <x:c r="M1643" s="32" t="str">
        <x:f>IF(AND(M$8&lt;='Detalle'!$H799,M$9&gt;='Detalle'!$G799),1,"")</x:f>
      </x:c>
      <x:c r="N1643" s="32" t="str">
        <x:f>IF(AND(N$8&lt;='Detalle'!$H799,N$9&gt;='Detalle'!$G799),1,"")</x:f>
      </x:c>
      <x:c r="O1643" s="32" t="str">
        <x:f>IF(AND(O$8&lt;='Detalle'!$H799,O$9&gt;='Detalle'!$G799),1,"")</x:f>
      </x:c>
      <x:c r="P1643" s="32" t="str">
        <x:f>IF(AND(P$8&lt;='Detalle'!$H799,P$9&gt;='Detalle'!$G799),1,"")</x:f>
      </x:c>
      <x:c r="Q1643" s="68"/>
      <x:c r="R1643" s="67" t="str">
        <x:f>IF('Detalle'!M799="","",'Detalle'!M799)</x:f>
      </x:c>
      <x:c r="S1643" s="67" t="str">
        <x:f>IF('Detalle'!N799="","",'Detalle'!N799)</x:f>
      </x:c>
    </x:row>
    <x:row r="1644" ht="16" customHeight="1">
      <x:c r="A1644" s="56" t="str">
        <x:v>PIL01.001</x:v>
      </x:c>
      <x:c r="B1644" s="57" t="str">
        <x:v>Preparar Python y configuración local del procesador</x:v>
      </x:c>
      <x:c r="C1644" s="63" t="str">
        <x:v>R</x:v>
      </x:c>
      <x:c r="D1644" s="65" t="str">
        <x:f>IF('Detalle'!L799="","",'Detalle'!L799)</x:f>
      </x:c>
      <x:c r="E1644" s="60" t="str"/>
      <x:c r="F1644" s="32" t="str">
        <x:f>IF(OR('Detalle'!$J799="",'Detalle'!$K799="",'Detalle'!$L799=""),"",IF(AND(F$8&lt;='Detalle'!$K799,F$9&gt;='Detalle'!$J799),1,""))</x:f>
      </x:c>
      <x:c r="G1644" s="32" t="str">
        <x:f>IF(OR('Detalle'!$J799="",'Detalle'!$K799="",'Detalle'!$L799=""),"",IF(AND(G$8&lt;='Detalle'!$K799,G$9&gt;='Detalle'!$J799),1,""))</x:f>
      </x:c>
      <x:c r="H1644" s="32" t="str">
        <x:f>IF(OR('Detalle'!$J799="",'Detalle'!$K799="",'Detalle'!$L799=""),"",IF(AND(H$8&lt;='Detalle'!$K799,H$9&gt;='Detalle'!$J799),1,""))</x:f>
      </x:c>
      <x:c r="I1644" s="32" t="str">
        <x:f>IF(OR('Detalle'!$J799="",'Detalle'!$K799="",'Detalle'!$L799=""),"",IF(AND(I$8&lt;='Detalle'!$K799,I$9&gt;='Detalle'!$J799),1,""))</x:f>
      </x:c>
      <x:c r="J1644" s="32" t="str">
        <x:f>IF(OR('Detalle'!$J799="",'Detalle'!$K799="",'Detalle'!$L799=""),"",IF(AND(J$8&lt;='Detalle'!$K799,J$9&gt;='Detalle'!$J799),1,""))</x:f>
      </x:c>
      <x:c r="K1644" s="32" t="str">
        <x:f>IF(OR('Detalle'!$J799="",'Detalle'!$K799="",'Detalle'!$L799=""),"",IF(AND(K$8&lt;='Detalle'!$K799,K$9&gt;='Detalle'!$J799),1,""))</x:f>
      </x:c>
      <x:c r="L1644" s="32" t="str">
        <x:f>IF(OR('Detalle'!$J799="",'Detalle'!$K799="",'Detalle'!$L799=""),"",IF(AND(L$8&lt;='Detalle'!$K799,L$9&gt;='Detalle'!$J799),1,""))</x:f>
      </x:c>
      <x:c r="M1644" s="32" t="str">
        <x:f>IF(OR('Detalle'!$J799="",'Detalle'!$K799="",'Detalle'!$L799=""),"",IF(AND(M$8&lt;='Detalle'!$K799,M$9&gt;='Detalle'!$J799),1,""))</x:f>
      </x:c>
      <x:c r="N1644" s="32" t="str">
        <x:f>IF(OR('Detalle'!$J799="",'Detalle'!$K799="",'Detalle'!$L799=""),"",IF(AND(N$8&lt;='Detalle'!$K799,N$9&gt;='Detalle'!$J799),1,""))</x:f>
      </x:c>
      <x:c r="O1644" s="32" t="str">
        <x:f>IF(OR('Detalle'!$J799="",'Detalle'!$K799="",'Detalle'!$L799=""),"",IF(AND(O$8&lt;='Detalle'!$K799,O$9&gt;='Detalle'!$J799),1,""))</x:f>
      </x:c>
      <x:c r="P1644" s="32" t="str">
        <x:f>IF(OR('Detalle'!$J799="",'Detalle'!$K799="",'Detalle'!$L799=""),"",IF(AND(P$8&lt;='Detalle'!$K799,P$9&gt;='Detalle'!$J799),1,""))</x:f>
      </x:c>
      <x:c r="Q1644" s="68"/>
      <x:c r="R1644" s="67" t="str"/>
      <x:c r="S1644" s="67" t="str"/>
    </x:row>
    <x:row r="1645" ht="16" customHeight="1">
      <x:c r="A1645" s="56" t="str">
        <x:v>PIL01.002</x:v>
      </x:c>
      <x:c r="B1645" s="57" t="str">
        <x:v>Construir imagen linux/amd64 validada</x:v>
      </x:c>
      <x:c r="C1645" s="62" t="str">
        <x:v>E</x:v>
      </x:c>
      <x:c r="D1645" s="64" t="n">
        <x:f>'Detalle'!I800</x:f>
        <x:v>1</x:v>
      </x:c>
      <x:c r="E1645" s="60" t="str">
        <x:f>'Detalle'!F800</x:f>
        <x:v>Completado</x:v>
      </x:c>
      <x:c r="F1645" s="32" t="str">
        <x:f>IF(AND(F$8&lt;='Detalle'!$H800,F$9&gt;='Detalle'!$G800),1,"")</x:f>
      </x:c>
      <x:c r="G1645" s="32" t="str">
        <x:f>IF(AND(G$8&lt;='Detalle'!$H800,G$9&gt;='Detalle'!$G800),1,"")</x:f>
      </x:c>
      <x:c r="H1645" s="32" t="str">
        <x:f>IF(AND(H$8&lt;='Detalle'!$H800,H$9&gt;='Detalle'!$G800),1,"")</x:f>
      </x:c>
      <x:c r="I1645" s="32" t="str">
        <x:f>IF(AND(I$8&lt;='Detalle'!$H800,I$9&gt;='Detalle'!$G800),1,"")</x:f>
      </x:c>
      <x:c r="J1645" s="32" t="n">
        <x:f>IF(AND(J$8&lt;='Detalle'!$H800,J$9&gt;='Detalle'!$G800),1,"")</x:f>
        <x:v>1</x:v>
      </x:c>
      <x:c r="K1645" s="32" t="str">
        <x:f>IF(AND(K$8&lt;='Detalle'!$H800,K$9&gt;='Detalle'!$G800),1,"")</x:f>
      </x:c>
      <x:c r="L1645" s="32" t="str">
        <x:f>IF(AND(L$8&lt;='Detalle'!$H800,L$9&gt;='Detalle'!$G800),1,"")</x:f>
      </x:c>
      <x:c r="M1645" s="32" t="str">
        <x:f>IF(AND(M$8&lt;='Detalle'!$H800,M$9&gt;='Detalle'!$G800),1,"")</x:f>
      </x:c>
      <x:c r="N1645" s="32" t="str">
        <x:f>IF(AND(N$8&lt;='Detalle'!$H800,N$9&gt;='Detalle'!$G800),1,"")</x:f>
      </x:c>
      <x:c r="O1645" s="32" t="str">
        <x:f>IF(AND(O$8&lt;='Detalle'!$H800,O$9&gt;='Detalle'!$G800),1,"")</x:f>
      </x:c>
      <x:c r="P1645" s="32" t="str">
        <x:f>IF(AND(P$8&lt;='Detalle'!$H800,P$9&gt;='Detalle'!$G800),1,"")</x:f>
      </x:c>
      <x:c r="Q1645" s="68"/>
      <x:c r="R1645" s="67" t="str">
        <x:f>IF('Detalle'!M800="","",'Detalle'!M800)</x:f>
      </x:c>
      <x:c r="S1645" s="67" t="str">
        <x:f>IF('Detalle'!N800="","",'Detalle'!N800)</x:f>
      </x:c>
    </x:row>
    <x:row r="1646" ht="16" customHeight="1">
      <x:c r="A1646" s="56" t="str">
        <x:v>PIL01.002</x:v>
      </x:c>
      <x:c r="B1646" s="57" t="str">
        <x:v>Construir imagen linux/amd64 validada</x:v>
      </x:c>
      <x:c r="C1646" s="63" t="str">
        <x:v>R</x:v>
      </x:c>
      <x:c r="D1646" s="65" t="str">
        <x:f>IF('Detalle'!L800="","",'Detalle'!L800)</x:f>
      </x:c>
      <x:c r="E1646" s="60" t="str"/>
      <x:c r="F1646" s="32" t="str">
        <x:f>IF(OR('Detalle'!$J800="",'Detalle'!$K800="",'Detalle'!$L800=""),"",IF(AND(F$8&lt;='Detalle'!$K800,F$9&gt;='Detalle'!$J800),1,""))</x:f>
      </x:c>
      <x:c r="G1646" s="32" t="str">
        <x:f>IF(OR('Detalle'!$J800="",'Detalle'!$K800="",'Detalle'!$L800=""),"",IF(AND(G$8&lt;='Detalle'!$K800,G$9&gt;='Detalle'!$J800),1,""))</x:f>
      </x:c>
      <x:c r="H1646" s="32" t="str">
        <x:f>IF(OR('Detalle'!$J800="",'Detalle'!$K800="",'Detalle'!$L800=""),"",IF(AND(H$8&lt;='Detalle'!$K800,H$9&gt;='Detalle'!$J800),1,""))</x:f>
      </x:c>
      <x:c r="I1646" s="32" t="str">
        <x:f>IF(OR('Detalle'!$J800="",'Detalle'!$K800="",'Detalle'!$L800=""),"",IF(AND(I$8&lt;='Detalle'!$K800,I$9&gt;='Detalle'!$J800),1,""))</x:f>
      </x:c>
      <x:c r="J1646" s="32" t="str">
        <x:f>IF(OR('Detalle'!$J800="",'Detalle'!$K800="",'Detalle'!$L800=""),"",IF(AND(J$8&lt;='Detalle'!$K800,J$9&gt;='Detalle'!$J800),1,""))</x:f>
      </x:c>
      <x:c r="K1646" s="32" t="str">
        <x:f>IF(OR('Detalle'!$J800="",'Detalle'!$K800="",'Detalle'!$L800=""),"",IF(AND(K$8&lt;='Detalle'!$K800,K$9&gt;='Detalle'!$J800),1,""))</x:f>
      </x:c>
      <x:c r="L1646" s="32" t="str">
        <x:f>IF(OR('Detalle'!$J800="",'Detalle'!$K800="",'Detalle'!$L800=""),"",IF(AND(L$8&lt;='Detalle'!$K800,L$9&gt;='Detalle'!$J800),1,""))</x:f>
      </x:c>
      <x:c r="M1646" s="32" t="str">
        <x:f>IF(OR('Detalle'!$J800="",'Detalle'!$K800="",'Detalle'!$L800=""),"",IF(AND(M$8&lt;='Detalle'!$K800,M$9&gt;='Detalle'!$J800),1,""))</x:f>
      </x:c>
      <x:c r="N1646" s="32" t="str">
        <x:f>IF(OR('Detalle'!$J800="",'Detalle'!$K800="",'Detalle'!$L800=""),"",IF(AND(N$8&lt;='Detalle'!$K800,N$9&gt;='Detalle'!$J800),1,""))</x:f>
      </x:c>
      <x:c r="O1646" s="32" t="str">
        <x:f>IF(OR('Detalle'!$J800="",'Detalle'!$K800="",'Detalle'!$L800=""),"",IF(AND(O$8&lt;='Detalle'!$K800,O$9&gt;='Detalle'!$J800),1,""))</x:f>
      </x:c>
      <x:c r="P1646" s="32" t="str">
        <x:f>IF(OR('Detalle'!$J800="",'Detalle'!$K800="",'Detalle'!$L800=""),"",IF(AND(P$8&lt;='Detalle'!$K800,P$9&gt;='Detalle'!$J800),1,""))</x:f>
      </x:c>
      <x:c r="Q1646" s="68"/>
      <x:c r="R1646" s="67" t="str"/>
      <x:c r="S1646" s="67" t="str"/>
    </x:row>
    <x:row r="1647" ht="16" customHeight="1">
      <x:c r="A1647" s="56" t="str">
        <x:v>PIL01.003</x:v>
      </x:c>
      <x:c r="B1647" s="57" t="str">
        <x:v>Crear fixtures geométricos de 26 fotografías</x:v>
      </x:c>
      <x:c r="C1647" s="62" t="str">
        <x:v>E</x:v>
      </x:c>
      <x:c r="D1647" s="64" t="n">
        <x:f>'Detalle'!I801</x:f>
        <x:v>1</x:v>
      </x:c>
      <x:c r="E1647" s="60" t="str">
        <x:f>'Detalle'!F801</x:f>
        <x:v>Completado</x:v>
      </x:c>
      <x:c r="F1647" s="32" t="str">
        <x:f>IF(AND(F$8&lt;='Detalle'!$H801,F$9&gt;='Detalle'!$G801),1,"")</x:f>
      </x:c>
      <x:c r="G1647" s="32" t="str">
        <x:f>IF(AND(G$8&lt;='Detalle'!$H801,G$9&gt;='Detalle'!$G801),1,"")</x:f>
      </x:c>
      <x:c r="H1647" s="32" t="str">
        <x:f>IF(AND(H$8&lt;='Detalle'!$H801,H$9&gt;='Detalle'!$G801),1,"")</x:f>
      </x:c>
      <x:c r="I1647" s="32" t="str">
        <x:f>IF(AND(I$8&lt;='Detalle'!$H801,I$9&gt;='Detalle'!$G801),1,"")</x:f>
      </x:c>
      <x:c r="J1647" s="32" t="n">
        <x:f>IF(AND(J$8&lt;='Detalle'!$H801,J$9&gt;='Detalle'!$G801),1,"")</x:f>
        <x:v>1</x:v>
      </x:c>
      <x:c r="K1647" s="32" t="str">
        <x:f>IF(AND(K$8&lt;='Detalle'!$H801,K$9&gt;='Detalle'!$G801),1,"")</x:f>
      </x:c>
      <x:c r="L1647" s="32" t="str">
        <x:f>IF(AND(L$8&lt;='Detalle'!$H801,L$9&gt;='Detalle'!$G801),1,"")</x:f>
      </x:c>
      <x:c r="M1647" s="32" t="str">
        <x:f>IF(AND(M$8&lt;='Detalle'!$H801,M$9&gt;='Detalle'!$G801),1,"")</x:f>
      </x:c>
      <x:c r="N1647" s="32" t="str">
        <x:f>IF(AND(N$8&lt;='Detalle'!$H801,N$9&gt;='Detalle'!$G801),1,"")</x:f>
      </x:c>
      <x:c r="O1647" s="32" t="str">
        <x:f>IF(AND(O$8&lt;='Detalle'!$H801,O$9&gt;='Detalle'!$G801),1,"")</x:f>
      </x:c>
      <x:c r="P1647" s="32" t="str">
        <x:f>IF(AND(P$8&lt;='Detalle'!$H801,P$9&gt;='Detalle'!$G801),1,"")</x:f>
      </x:c>
      <x:c r="Q1647" s="68"/>
      <x:c r="R1647" s="67" t="str">
        <x:f>IF('Detalle'!M801="","",'Detalle'!M801)</x:f>
      </x:c>
      <x:c r="S1647" s="67" t="str">
        <x:f>IF('Detalle'!N801="","",'Detalle'!N801)</x:f>
      </x:c>
    </x:row>
    <x:row r="1648" ht="16" customHeight="1">
      <x:c r="A1648" s="56" t="str">
        <x:v>PIL01.003</x:v>
      </x:c>
      <x:c r="B1648" s="57" t="str">
        <x:v>Crear fixtures geométricos de 26 fotografías</x:v>
      </x:c>
      <x:c r="C1648" s="63" t="str">
        <x:v>R</x:v>
      </x:c>
      <x:c r="D1648" s="65" t="str">
        <x:f>IF('Detalle'!L801="","",'Detalle'!L801)</x:f>
      </x:c>
      <x:c r="E1648" s="60" t="str"/>
      <x:c r="F1648" s="32" t="str">
        <x:f>IF(OR('Detalle'!$J801="",'Detalle'!$K801="",'Detalle'!$L801=""),"",IF(AND(F$8&lt;='Detalle'!$K801,F$9&gt;='Detalle'!$J801),1,""))</x:f>
      </x:c>
      <x:c r="G1648" s="32" t="str">
        <x:f>IF(OR('Detalle'!$J801="",'Detalle'!$K801="",'Detalle'!$L801=""),"",IF(AND(G$8&lt;='Detalle'!$K801,G$9&gt;='Detalle'!$J801),1,""))</x:f>
      </x:c>
      <x:c r="H1648" s="32" t="str">
        <x:f>IF(OR('Detalle'!$J801="",'Detalle'!$K801="",'Detalle'!$L801=""),"",IF(AND(H$8&lt;='Detalle'!$K801,H$9&gt;='Detalle'!$J801),1,""))</x:f>
      </x:c>
      <x:c r="I1648" s="32" t="str">
        <x:f>IF(OR('Detalle'!$J801="",'Detalle'!$K801="",'Detalle'!$L801=""),"",IF(AND(I$8&lt;='Detalle'!$K801,I$9&gt;='Detalle'!$J801),1,""))</x:f>
      </x:c>
      <x:c r="J1648" s="32" t="str">
        <x:f>IF(OR('Detalle'!$J801="",'Detalle'!$K801="",'Detalle'!$L801=""),"",IF(AND(J$8&lt;='Detalle'!$K801,J$9&gt;='Detalle'!$J801),1,""))</x:f>
      </x:c>
      <x:c r="K1648" s="32" t="str">
        <x:f>IF(OR('Detalle'!$J801="",'Detalle'!$K801="",'Detalle'!$L801=""),"",IF(AND(K$8&lt;='Detalle'!$K801,K$9&gt;='Detalle'!$J801),1,""))</x:f>
      </x:c>
      <x:c r="L1648" s="32" t="str">
        <x:f>IF(OR('Detalle'!$J801="",'Detalle'!$K801="",'Detalle'!$L801=""),"",IF(AND(L$8&lt;='Detalle'!$K801,L$9&gt;='Detalle'!$J801),1,""))</x:f>
      </x:c>
      <x:c r="M1648" s="32" t="str">
        <x:f>IF(OR('Detalle'!$J801="",'Detalle'!$K801="",'Detalle'!$L801=""),"",IF(AND(M$8&lt;='Detalle'!$K801,M$9&gt;='Detalle'!$J801),1,""))</x:f>
      </x:c>
      <x:c r="N1648" s="32" t="str">
        <x:f>IF(OR('Detalle'!$J801="",'Detalle'!$K801="",'Detalle'!$L801=""),"",IF(AND(N$8&lt;='Detalle'!$K801,N$9&gt;='Detalle'!$J801),1,""))</x:f>
      </x:c>
      <x:c r="O1648" s="32" t="str">
        <x:f>IF(OR('Detalle'!$J801="",'Detalle'!$K801="",'Detalle'!$L801=""),"",IF(AND(O$8&lt;='Detalle'!$K801,O$9&gt;='Detalle'!$J801),1,""))</x:f>
      </x:c>
      <x:c r="P1648" s="32" t="str">
        <x:f>IF(OR('Detalle'!$J801="",'Detalle'!$K801="",'Detalle'!$L801=""),"",IF(AND(P$8&lt;='Detalle'!$K801,P$9&gt;='Detalle'!$J801),1,""))</x:f>
      </x:c>
      <x:c r="Q1648" s="68"/>
      <x:c r="R1648" s="67" t="str"/>
      <x:c r="S1648" s="67" t="str"/>
    </x:row>
    <x:row r="1649" ht="16" customHeight="1">
      <x:c r="A1649" s="56" t="str">
        <x:v>PIL01.004</x:v>
      </x:c>
      <x:c r="B1649" s="57" t="str">
        <x:v>Ejecutar herramientas Hugin realmente</x:v>
      </x:c>
      <x:c r="C1649" s="62" t="str">
        <x:v>E</x:v>
      </x:c>
      <x:c r="D1649" s="64" t="n">
        <x:f>'Detalle'!I802</x:f>
        <x:v>1</x:v>
      </x:c>
      <x:c r="E1649" s="60" t="str">
        <x:f>'Detalle'!F802</x:f>
        <x:v>Completado</x:v>
      </x:c>
      <x:c r="F1649" s="32" t="str">
        <x:f>IF(AND(F$8&lt;='Detalle'!$H802,F$9&gt;='Detalle'!$G802),1,"")</x:f>
      </x:c>
      <x:c r="G1649" s="32" t="str">
        <x:f>IF(AND(G$8&lt;='Detalle'!$H802,G$9&gt;='Detalle'!$G802),1,"")</x:f>
      </x:c>
      <x:c r="H1649" s="32" t="str">
        <x:f>IF(AND(H$8&lt;='Detalle'!$H802,H$9&gt;='Detalle'!$G802),1,"")</x:f>
      </x:c>
      <x:c r="I1649" s="32" t="str">
        <x:f>IF(AND(I$8&lt;='Detalle'!$H802,I$9&gt;='Detalle'!$G802),1,"")</x:f>
      </x:c>
      <x:c r="J1649" s="32" t="n">
        <x:f>IF(AND(J$8&lt;='Detalle'!$H802,J$9&gt;='Detalle'!$G802),1,"")</x:f>
        <x:v>1</x:v>
      </x:c>
      <x:c r="K1649" s="32" t="str">
        <x:f>IF(AND(K$8&lt;='Detalle'!$H802,K$9&gt;='Detalle'!$G802),1,"")</x:f>
      </x:c>
      <x:c r="L1649" s="32" t="str">
        <x:f>IF(AND(L$8&lt;='Detalle'!$H802,L$9&gt;='Detalle'!$G802),1,"")</x:f>
      </x:c>
      <x:c r="M1649" s="32" t="str">
        <x:f>IF(AND(M$8&lt;='Detalle'!$H802,M$9&gt;='Detalle'!$G802),1,"")</x:f>
      </x:c>
      <x:c r="N1649" s="32" t="str">
        <x:f>IF(AND(N$8&lt;='Detalle'!$H802,N$9&gt;='Detalle'!$G802),1,"")</x:f>
      </x:c>
      <x:c r="O1649" s="32" t="str">
        <x:f>IF(AND(O$8&lt;='Detalle'!$H802,O$9&gt;='Detalle'!$G802),1,"")</x:f>
      </x:c>
      <x:c r="P1649" s="32" t="str">
        <x:f>IF(AND(P$8&lt;='Detalle'!$H802,P$9&gt;='Detalle'!$G802),1,"")</x:f>
      </x:c>
      <x:c r="Q1649" s="68"/>
      <x:c r="R1649" s="67" t="str">
        <x:f>IF('Detalle'!M802="","",'Detalle'!M802)</x:f>
      </x:c>
      <x:c r="S1649" s="67" t="str">
        <x:f>IF('Detalle'!N802="","",'Detalle'!N802)</x:f>
      </x:c>
    </x:row>
    <x:row r="1650" ht="16" customHeight="1">
      <x:c r="A1650" s="56" t="str">
        <x:v>PIL01.004</x:v>
      </x:c>
      <x:c r="B1650" s="57" t="str">
        <x:v>Ejecutar herramientas Hugin realmente</x:v>
      </x:c>
      <x:c r="C1650" s="63" t="str">
        <x:v>R</x:v>
      </x:c>
      <x:c r="D1650" s="65" t="str">
        <x:f>IF('Detalle'!L802="","",'Detalle'!L802)</x:f>
      </x:c>
      <x:c r="E1650" s="60" t="str"/>
      <x:c r="F1650" s="32" t="str">
        <x:f>IF(OR('Detalle'!$J802="",'Detalle'!$K802="",'Detalle'!$L802=""),"",IF(AND(F$8&lt;='Detalle'!$K802,F$9&gt;='Detalle'!$J802),1,""))</x:f>
      </x:c>
      <x:c r="G1650" s="32" t="str">
        <x:f>IF(OR('Detalle'!$J802="",'Detalle'!$K802="",'Detalle'!$L802=""),"",IF(AND(G$8&lt;='Detalle'!$K802,G$9&gt;='Detalle'!$J802),1,""))</x:f>
      </x:c>
      <x:c r="H1650" s="32" t="str">
        <x:f>IF(OR('Detalle'!$J802="",'Detalle'!$K802="",'Detalle'!$L802=""),"",IF(AND(H$8&lt;='Detalle'!$K802,H$9&gt;='Detalle'!$J802),1,""))</x:f>
      </x:c>
      <x:c r="I1650" s="32" t="str">
        <x:f>IF(OR('Detalle'!$J802="",'Detalle'!$K802="",'Detalle'!$L802=""),"",IF(AND(I$8&lt;='Detalle'!$K802,I$9&gt;='Detalle'!$J802),1,""))</x:f>
      </x:c>
      <x:c r="J1650" s="32" t="str">
        <x:f>IF(OR('Detalle'!$J802="",'Detalle'!$K802="",'Detalle'!$L802=""),"",IF(AND(J$8&lt;='Detalle'!$K802,J$9&gt;='Detalle'!$J802),1,""))</x:f>
      </x:c>
      <x:c r="K1650" s="32" t="str">
        <x:f>IF(OR('Detalle'!$J802="",'Detalle'!$K802="",'Detalle'!$L802=""),"",IF(AND(K$8&lt;='Detalle'!$K802,K$9&gt;='Detalle'!$J802),1,""))</x:f>
      </x:c>
      <x:c r="L1650" s="32" t="str">
        <x:f>IF(OR('Detalle'!$J802="",'Detalle'!$K802="",'Detalle'!$L802=""),"",IF(AND(L$8&lt;='Detalle'!$K802,L$9&gt;='Detalle'!$J802),1,""))</x:f>
      </x:c>
      <x:c r="M1650" s="32" t="str">
        <x:f>IF(OR('Detalle'!$J802="",'Detalle'!$K802="",'Detalle'!$L802=""),"",IF(AND(M$8&lt;='Detalle'!$K802,M$9&gt;='Detalle'!$J802),1,""))</x:f>
      </x:c>
      <x:c r="N1650" s="32" t="str">
        <x:f>IF(OR('Detalle'!$J802="",'Detalle'!$K802="",'Detalle'!$L802=""),"",IF(AND(N$8&lt;='Detalle'!$K802,N$9&gt;='Detalle'!$J802),1,""))</x:f>
      </x:c>
      <x:c r="O1650" s="32" t="str">
        <x:f>IF(OR('Detalle'!$J802="",'Detalle'!$K802="",'Detalle'!$L802=""),"",IF(AND(O$8&lt;='Detalle'!$K802,O$9&gt;='Detalle'!$J802),1,""))</x:f>
      </x:c>
      <x:c r="P1650" s="32" t="str">
        <x:f>IF(OR('Detalle'!$J802="",'Detalle'!$K802="",'Detalle'!$L802=""),"",IF(AND(P$8&lt;='Detalle'!$K802,P$9&gt;='Detalle'!$J802),1,""))</x:f>
      </x:c>
      <x:c r="Q1650" s="68"/>
      <x:c r="R1650" s="67" t="str"/>
      <x:c r="S1650" s="67" t="str"/>
    </x:row>
    <x:row r="1651" ht="16" customHeight="1">
      <x:c r="A1651" s="56" t="str">
        <x:v>PIL01.005</x:v>
      </x:c>
      <x:c r="B1651" s="57" t="str">
        <x:v>Ejecutar Enblend sobre fixture completo</x:v>
      </x:c>
      <x:c r="C1651" s="62" t="str">
        <x:v>E</x:v>
      </x:c>
      <x:c r="D1651" s="64" t="n">
        <x:f>'Detalle'!I803</x:f>
        <x:v>1</x:v>
      </x:c>
      <x:c r="E1651" s="60" t="str">
        <x:f>'Detalle'!F803</x:f>
        <x:v>Completado</x:v>
      </x:c>
      <x:c r="F1651" s="32" t="str">
        <x:f>IF(AND(F$8&lt;='Detalle'!$H803,F$9&gt;='Detalle'!$G803),1,"")</x:f>
      </x:c>
      <x:c r="G1651" s="32" t="str">
        <x:f>IF(AND(G$8&lt;='Detalle'!$H803,G$9&gt;='Detalle'!$G803),1,"")</x:f>
      </x:c>
      <x:c r="H1651" s="32" t="str">
        <x:f>IF(AND(H$8&lt;='Detalle'!$H803,H$9&gt;='Detalle'!$G803),1,"")</x:f>
      </x:c>
      <x:c r="I1651" s="32" t="str">
        <x:f>IF(AND(I$8&lt;='Detalle'!$H803,I$9&gt;='Detalle'!$G803),1,"")</x:f>
      </x:c>
      <x:c r="J1651" s="32" t="n">
        <x:f>IF(AND(J$8&lt;='Detalle'!$H803,J$9&gt;='Detalle'!$G803),1,"")</x:f>
        <x:v>1</x:v>
      </x:c>
      <x:c r="K1651" s="32" t="str">
        <x:f>IF(AND(K$8&lt;='Detalle'!$H803,K$9&gt;='Detalle'!$G803),1,"")</x:f>
      </x:c>
      <x:c r="L1651" s="32" t="str">
        <x:f>IF(AND(L$8&lt;='Detalle'!$H803,L$9&gt;='Detalle'!$G803),1,"")</x:f>
      </x:c>
      <x:c r="M1651" s="32" t="str">
        <x:f>IF(AND(M$8&lt;='Detalle'!$H803,M$9&gt;='Detalle'!$G803),1,"")</x:f>
      </x:c>
      <x:c r="N1651" s="32" t="str">
        <x:f>IF(AND(N$8&lt;='Detalle'!$H803,N$9&gt;='Detalle'!$G803),1,"")</x:f>
      </x:c>
      <x:c r="O1651" s="32" t="str">
        <x:f>IF(AND(O$8&lt;='Detalle'!$H803,O$9&gt;='Detalle'!$G803),1,"")</x:f>
      </x:c>
      <x:c r="P1651" s="32" t="str">
        <x:f>IF(AND(P$8&lt;='Detalle'!$H803,P$9&gt;='Detalle'!$G803),1,"")</x:f>
      </x:c>
      <x:c r="Q1651" s="68"/>
      <x:c r="R1651" s="67" t="str">
        <x:f>IF('Detalle'!M803="","",'Detalle'!M803)</x:f>
      </x:c>
      <x:c r="S1651" s="67" t="str">
        <x:f>IF('Detalle'!N803="","",'Detalle'!N803)</x:f>
      </x:c>
    </x:row>
    <x:row r="1652" ht="16" customHeight="1">
      <x:c r="A1652" s="56" t="str">
        <x:v>PIL01.005</x:v>
      </x:c>
      <x:c r="B1652" s="57" t="str">
        <x:v>Ejecutar Enblend sobre fixture completo</x:v>
      </x:c>
      <x:c r="C1652" s="63" t="str">
        <x:v>R</x:v>
      </x:c>
      <x:c r="D1652" s="65" t="str">
        <x:f>IF('Detalle'!L803="","",'Detalle'!L803)</x:f>
      </x:c>
      <x:c r="E1652" s="60" t="str"/>
      <x:c r="F1652" s="32" t="str">
        <x:f>IF(OR('Detalle'!$J803="",'Detalle'!$K803="",'Detalle'!$L803=""),"",IF(AND(F$8&lt;='Detalle'!$K803,F$9&gt;='Detalle'!$J803),1,""))</x:f>
      </x:c>
      <x:c r="G1652" s="32" t="str">
        <x:f>IF(OR('Detalle'!$J803="",'Detalle'!$K803="",'Detalle'!$L803=""),"",IF(AND(G$8&lt;='Detalle'!$K803,G$9&gt;='Detalle'!$J803),1,""))</x:f>
      </x:c>
      <x:c r="H1652" s="32" t="str">
        <x:f>IF(OR('Detalle'!$J803="",'Detalle'!$K803="",'Detalle'!$L803=""),"",IF(AND(H$8&lt;='Detalle'!$K803,H$9&gt;='Detalle'!$J803),1,""))</x:f>
      </x:c>
      <x:c r="I1652" s="32" t="str">
        <x:f>IF(OR('Detalle'!$J803="",'Detalle'!$K803="",'Detalle'!$L803=""),"",IF(AND(I$8&lt;='Detalle'!$K803,I$9&gt;='Detalle'!$J803),1,""))</x:f>
      </x:c>
      <x:c r="J1652" s="32" t="str">
        <x:f>IF(OR('Detalle'!$J803="",'Detalle'!$K803="",'Detalle'!$L803=""),"",IF(AND(J$8&lt;='Detalle'!$K803,J$9&gt;='Detalle'!$J803),1,""))</x:f>
      </x:c>
      <x:c r="K1652" s="32" t="str">
        <x:f>IF(OR('Detalle'!$J803="",'Detalle'!$K803="",'Detalle'!$L803=""),"",IF(AND(K$8&lt;='Detalle'!$K803,K$9&gt;='Detalle'!$J803),1,""))</x:f>
      </x:c>
      <x:c r="L1652" s="32" t="str">
        <x:f>IF(OR('Detalle'!$J803="",'Detalle'!$K803="",'Detalle'!$L803=""),"",IF(AND(L$8&lt;='Detalle'!$K803,L$9&gt;='Detalle'!$J803),1,""))</x:f>
      </x:c>
      <x:c r="M1652" s="32" t="str">
        <x:f>IF(OR('Detalle'!$J803="",'Detalle'!$K803="",'Detalle'!$L803=""),"",IF(AND(M$8&lt;='Detalle'!$K803,M$9&gt;='Detalle'!$J803),1,""))</x:f>
      </x:c>
      <x:c r="N1652" s="32" t="str">
        <x:f>IF(OR('Detalle'!$J803="",'Detalle'!$K803="",'Detalle'!$L803=""),"",IF(AND(N$8&lt;='Detalle'!$K803,N$9&gt;='Detalle'!$J803),1,""))</x:f>
      </x:c>
      <x:c r="O1652" s="32" t="str">
        <x:f>IF(OR('Detalle'!$J803="",'Detalle'!$K803="",'Detalle'!$L803=""),"",IF(AND(O$8&lt;='Detalle'!$K803,O$9&gt;='Detalle'!$J803),1,""))</x:f>
      </x:c>
      <x:c r="P1652" s="32" t="str">
        <x:f>IF(OR('Detalle'!$J803="",'Detalle'!$K803="",'Detalle'!$L803=""),"",IF(AND(P$8&lt;='Detalle'!$K803,P$9&gt;='Detalle'!$J803),1,""))</x:f>
      </x:c>
      <x:c r="Q1652" s="68"/>
      <x:c r="R1652" s="67" t="str"/>
      <x:c r="S1652" s="67" t="str"/>
    </x:row>
    <x:row r="1653" ht="16" customHeight="1">
      <x:c r="A1653" s="56" t="str">
        <x:v>PIL01.006</x:v>
      </x:c>
      <x:c r="B1653" s="57" t="str">
        <x:v>Confirmar ready en Supabase</x:v>
      </x:c>
      <x:c r="C1653" s="62" t="str">
        <x:v>E</x:v>
      </x:c>
      <x:c r="D1653" s="64" t="n">
        <x:f>'Detalle'!I804</x:f>
        <x:v>1</x:v>
      </x:c>
      <x:c r="E1653" s="60" t="str">
        <x:f>'Detalle'!F804</x:f>
        <x:v>Completado</x:v>
      </x:c>
      <x:c r="F1653" s="32" t="str">
        <x:f>IF(AND(F$8&lt;='Detalle'!$H804,F$9&gt;='Detalle'!$G804),1,"")</x:f>
      </x:c>
      <x:c r="G1653" s="32" t="str">
        <x:f>IF(AND(G$8&lt;='Detalle'!$H804,G$9&gt;='Detalle'!$G804),1,"")</x:f>
      </x:c>
      <x:c r="H1653" s="32" t="str">
        <x:f>IF(AND(H$8&lt;='Detalle'!$H804,H$9&gt;='Detalle'!$G804),1,"")</x:f>
      </x:c>
      <x:c r="I1653" s="32" t="str">
        <x:f>IF(AND(I$8&lt;='Detalle'!$H804,I$9&gt;='Detalle'!$G804),1,"")</x:f>
      </x:c>
      <x:c r="J1653" s="32" t="n">
        <x:f>IF(AND(J$8&lt;='Detalle'!$H804,J$9&gt;='Detalle'!$G804),1,"")</x:f>
        <x:v>1</x:v>
      </x:c>
      <x:c r="K1653" s="32" t="str">
        <x:f>IF(AND(K$8&lt;='Detalle'!$H804,K$9&gt;='Detalle'!$G804),1,"")</x:f>
      </x:c>
      <x:c r="L1653" s="32" t="str">
        <x:f>IF(AND(L$8&lt;='Detalle'!$H804,L$9&gt;='Detalle'!$G804),1,"")</x:f>
      </x:c>
      <x:c r="M1653" s="32" t="str">
        <x:f>IF(AND(M$8&lt;='Detalle'!$H804,M$9&gt;='Detalle'!$G804),1,"")</x:f>
      </x:c>
      <x:c r="N1653" s="32" t="str">
        <x:f>IF(AND(N$8&lt;='Detalle'!$H804,N$9&gt;='Detalle'!$G804),1,"")</x:f>
      </x:c>
      <x:c r="O1653" s="32" t="str">
        <x:f>IF(AND(O$8&lt;='Detalle'!$H804,O$9&gt;='Detalle'!$G804),1,"")</x:f>
      </x:c>
      <x:c r="P1653" s="32" t="str">
        <x:f>IF(AND(P$8&lt;='Detalle'!$H804,P$9&gt;='Detalle'!$G804),1,"")</x:f>
      </x:c>
      <x:c r="Q1653" s="68"/>
      <x:c r="R1653" s="67" t="str">
        <x:f>IF('Detalle'!M804="","",'Detalle'!M804)</x:f>
      </x:c>
      <x:c r="S1653" s="67" t="str">
        <x:f>IF('Detalle'!N804="","",'Detalle'!N804)</x:f>
      </x:c>
    </x:row>
    <x:row r="1654" ht="16" customHeight="1">
      <x:c r="A1654" s="56" t="str">
        <x:v>PIL01.006</x:v>
      </x:c>
      <x:c r="B1654" s="57" t="str">
        <x:v>Confirmar ready en Supabase</x:v>
      </x:c>
      <x:c r="C1654" s="63" t="str">
        <x:v>R</x:v>
      </x:c>
      <x:c r="D1654" s="65" t="str">
        <x:f>IF('Detalle'!L804="","",'Detalle'!L804)</x:f>
      </x:c>
      <x:c r="E1654" s="60" t="str"/>
      <x:c r="F1654" s="32" t="str">
        <x:f>IF(OR('Detalle'!$J804="",'Detalle'!$K804="",'Detalle'!$L804=""),"",IF(AND(F$8&lt;='Detalle'!$K804,F$9&gt;='Detalle'!$J804),1,""))</x:f>
      </x:c>
      <x:c r="G1654" s="32" t="str">
        <x:f>IF(OR('Detalle'!$J804="",'Detalle'!$K804="",'Detalle'!$L804=""),"",IF(AND(G$8&lt;='Detalle'!$K804,G$9&gt;='Detalle'!$J804),1,""))</x:f>
      </x:c>
      <x:c r="H1654" s="32" t="str">
        <x:f>IF(OR('Detalle'!$J804="",'Detalle'!$K804="",'Detalle'!$L804=""),"",IF(AND(H$8&lt;='Detalle'!$K804,H$9&gt;='Detalle'!$J804),1,""))</x:f>
      </x:c>
      <x:c r="I1654" s="32" t="str">
        <x:f>IF(OR('Detalle'!$J804="",'Detalle'!$K804="",'Detalle'!$L804=""),"",IF(AND(I$8&lt;='Detalle'!$K804,I$9&gt;='Detalle'!$J804),1,""))</x:f>
      </x:c>
      <x:c r="J1654" s="32" t="str">
        <x:f>IF(OR('Detalle'!$J804="",'Detalle'!$K804="",'Detalle'!$L804=""),"",IF(AND(J$8&lt;='Detalle'!$K804,J$9&gt;='Detalle'!$J804),1,""))</x:f>
      </x:c>
      <x:c r="K1654" s="32" t="str">
        <x:f>IF(OR('Detalle'!$J804="",'Detalle'!$K804="",'Detalle'!$L804=""),"",IF(AND(K$8&lt;='Detalle'!$K804,K$9&gt;='Detalle'!$J804),1,""))</x:f>
      </x:c>
      <x:c r="L1654" s="32" t="str">
        <x:f>IF(OR('Detalle'!$J804="",'Detalle'!$K804="",'Detalle'!$L804=""),"",IF(AND(L$8&lt;='Detalle'!$K804,L$9&gt;='Detalle'!$J804),1,""))</x:f>
      </x:c>
      <x:c r="M1654" s="32" t="str">
        <x:f>IF(OR('Detalle'!$J804="",'Detalle'!$K804="",'Detalle'!$L804=""),"",IF(AND(M$8&lt;='Detalle'!$K804,M$9&gt;='Detalle'!$J804),1,""))</x:f>
      </x:c>
      <x:c r="N1654" s="32" t="str">
        <x:f>IF(OR('Detalle'!$J804="",'Detalle'!$K804="",'Detalle'!$L804=""),"",IF(AND(N$8&lt;='Detalle'!$K804,N$9&gt;='Detalle'!$J804),1,""))</x:f>
      </x:c>
      <x:c r="O1654" s="32" t="str">
        <x:f>IF(OR('Detalle'!$J804="",'Detalle'!$K804="",'Detalle'!$L804=""),"",IF(AND(O$8&lt;='Detalle'!$K804,O$9&gt;='Detalle'!$J804),1,""))</x:f>
      </x:c>
      <x:c r="P1654" s="32" t="str">
        <x:f>IF(OR('Detalle'!$J804="",'Detalle'!$K804="",'Detalle'!$L804=""),"",IF(AND(P$8&lt;='Detalle'!$K804,P$9&gt;='Detalle'!$J804),1,""))</x:f>
      </x:c>
      <x:c r="Q1654" s="68"/>
      <x:c r="R1654" s="67" t="str"/>
      <x:c r="S1654" s="67" t="str"/>
    </x:row>
    <x:row r="1655" ht="16" customHeight="1">
      <x:c r="A1655" s="56" t="str">
        <x:v>PIL01.007</x:v>
      </x:c>
      <x:c r="B1655" s="57" t="str">
        <x:v>Medir runtime de worker y ejecución local</x:v>
      </x:c>
      <x:c r="C1655" s="62" t="str">
        <x:v>E</x:v>
      </x:c>
      <x:c r="D1655" s="64" t="n">
        <x:f>'Detalle'!I805</x:f>
        <x:v>1</x:v>
      </x:c>
      <x:c r="E1655" s="60" t="str">
        <x:f>'Detalle'!F805</x:f>
        <x:v>Completado</x:v>
      </x:c>
      <x:c r="F1655" s="32" t="str">
        <x:f>IF(AND(F$8&lt;='Detalle'!$H805,F$9&gt;='Detalle'!$G805),1,"")</x:f>
      </x:c>
      <x:c r="G1655" s="32" t="str">
        <x:f>IF(AND(G$8&lt;='Detalle'!$H805,G$9&gt;='Detalle'!$G805),1,"")</x:f>
      </x:c>
      <x:c r="H1655" s="32" t="str">
        <x:f>IF(AND(H$8&lt;='Detalle'!$H805,H$9&gt;='Detalle'!$G805),1,"")</x:f>
      </x:c>
      <x:c r="I1655" s="32" t="str">
        <x:f>IF(AND(I$8&lt;='Detalle'!$H805,I$9&gt;='Detalle'!$G805),1,"")</x:f>
      </x:c>
      <x:c r="J1655" s="32" t="n">
        <x:f>IF(AND(J$8&lt;='Detalle'!$H805,J$9&gt;='Detalle'!$G805),1,"")</x:f>
        <x:v>1</x:v>
      </x:c>
      <x:c r="K1655" s="32" t="str">
        <x:f>IF(AND(K$8&lt;='Detalle'!$H805,K$9&gt;='Detalle'!$G805),1,"")</x:f>
      </x:c>
      <x:c r="L1655" s="32" t="str">
        <x:f>IF(AND(L$8&lt;='Detalle'!$H805,L$9&gt;='Detalle'!$G805),1,"")</x:f>
      </x:c>
      <x:c r="M1655" s="32" t="str">
        <x:f>IF(AND(M$8&lt;='Detalle'!$H805,M$9&gt;='Detalle'!$G805),1,"")</x:f>
      </x:c>
      <x:c r="N1655" s="32" t="str">
        <x:f>IF(AND(N$8&lt;='Detalle'!$H805,N$9&gt;='Detalle'!$G805),1,"")</x:f>
      </x:c>
      <x:c r="O1655" s="32" t="str">
        <x:f>IF(AND(O$8&lt;='Detalle'!$H805,O$9&gt;='Detalle'!$G805),1,"")</x:f>
      </x:c>
      <x:c r="P1655" s="32" t="str">
        <x:f>IF(AND(P$8&lt;='Detalle'!$H805,P$9&gt;='Detalle'!$G805),1,"")</x:f>
      </x:c>
      <x:c r="Q1655" s="68"/>
      <x:c r="R1655" s="67" t="str">
        <x:f>IF('Detalle'!M805="","",'Detalle'!M805)</x:f>
      </x:c>
      <x:c r="S1655" s="67" t="str">
        <x:f>IF('Detalle'!N805="","",'Detalle'!N805)</x:f>
      </x:c>
    </x:row>
    <x:row r="1656" ht="16" customHeight="1">
      <x:c r="A1656" s="56" t="str">
        <x:v>PIL01.007</x:v>
      </x:c>
      <x:c r="B1656" s="57" t="str">
        <x:v>Medir runtime de worker y ejecución local</x:v>
      </x:c>
      <x:c r="C1656" s="63" t="str">
        <x:v>R</x:v>
      </x:c>
      <x:c r="D1656" s="65" t="str">
        <x:f>IF('Detalle'!L805="","",'Detalle'!L805)</x:f>
      </x:c>
      <x:c r="E1656" s="60" t="str"/>
      <x:c r="F1656" s="32" t="str">
        <x:f>IF(OR('Detalle'!$J805="",'Detalle'!$K805="",'Detalle'!$L805=""),"",IF(AND(F$8&lt;='Detalle'!$K805,F$9&gt;='Detalle'!$J805),1,""))</x:f>
      </x:c>
      <x:c r="G1656" s="32" t="str">
        <x:f>IF(OR('Detalle'!$J805="",'Detalle'!$K805="",'Detalle'!$L805=""),"",IF(AND(G$8&lt;='Detalle'!$K805,G$9&gt;='Detalle'!$J805),1,""))</x:f>
      </x:c>
      <x:c r="H1656" s="32" t="str">
        <x:f>IF(OR('Detalle'!$J805="",'Detalle'!$K805="",'Detalle'!$L805=""),"",IF(AND(H$8&lt;='Detalle'!$K805,H$9&gt;='Detalle'!$J805),1,""))</x:f>
      </x:c>
      <x:c r="I1656" s="32" t="str">
        <x:f>IF(OR('Detalle'!$J805="",'Detalle'!$K805="",'Detalle'!$L805=""),"",IF(AND(I$8&lt;='Detalle'!$K805,I$9&gt;='Detalle'!$J805),1,""))</x:f>
      </x:c>
      <x:c r="J1656" s="32" t="str">
        <x:f>IF(OR('Detalle'!$J805="",'Detalle'!$K805="",'Detalle'!$L805=""),"",IF(AND(J$8&lt;='Detalle'!$K805,J$9&gt;='Detalle'!$J805),1,""))</x:f>
      </x:c>
      <x:c r="K1656" s="32" t="str">
        <x:f>IF(OR('Detalle'!$J805="",'Detalle'!$K805="",'Detalle'!$L805=""),"",IF(AND(K$8&lt;='Detalle'!$K805,K$9&gt;='Detalle'!$J805),1,""))</x:f>
      </x:c>
      <x:c r="L1656" s="32" t="str">
        <x:f>IF(OR('Detalle'!$J805="",'Detalle'!$K805="",'Detalle'!$L805=""),"",IF(AND(L$8&lt;='Detalle'!$K805,L$9&gt;='Detalle'!$J805),1,""))</x:f>
      </x:c>
      <x:c r="M1656" s="32" t="str">
        <x:f>IF(OR('Detalle'!$J805="",'Detalle'!$K805="",'Detalle'!$L805=""),"",IF(AND(M$8&lt;='Detalle'!$K805,M$9&gt;='Detalle'!$J805),1,""))</x:f>
      </x:c>
      <x:c r="N1656" s="32" t="str">
        <x:f>IF(OR('Detalle'!$J805="",'Detalle'!$K805="",'Detalle'!$L805=""),"",IF(AND(N$8&lt;='Detalle'!$K805,N$9&gt;='Detalle'!$J805),1,""))</x:f>
      </x:c>
      <x:c r="O1656" s="32" t="str">
        <x:f>IF(OR('Detalle'!$J805="",'Detalle'!$K805="",'Detalle'!$L805=""),"",IF(AND(O$8&lt;='Detalle'!$K805,O$9&gt;='Detalle'!$J805),1,""))</x:f>
      </x:c>
      <x:c r="P1656" s="32" t="str">
        <x:f>IF(OR('Detalle'!$J805="",'Detalle'!$K805="",'Detalle'!$L805=""),"",IF(AND(P$8&lt;='Detalle'!$K805,P$9&gt;='Detalle'!$J805),1,""))</x:f>
      </x:c>
      <x:c r="Q1656" s="68"/>
      <x:c r="R1656" s="67" t="str"/>
      <x:c r="S1656" s="67" t="str"/>
    </x:row>
    <x:row r="1657" ht="16" customHeight="1">
      <x:c r="A1657" s="56" t="str">
        <x:v>PIL01.008</x:v>
      </x:c>
      <x:c r="B1657" s="57" t="str">
        <x:v>Rechazar fixture sin techo</x:v>
      </x:c>
      <x:c r="C1657" s="62" t="str">
        <x:v>E</x:v>
      </x:c>
      <x:c r="D1657" s="64" t="n">
        <x:f>'Detalle'!I806</x:f>
        <x:v>1</x:v>
      </x:c>
      <x:c r="E1657" s="60" t="str">
        <x:f>'Detalle'!F806</x:f>
        <x:v>Completado</x:v>
      </x:c>
      <x:c r="F1657" s="32" t="str">
        <x:f>IF(AND(F$8&lt;='Detalle'!$H806,F$9&gt;='Detalle'!$G806),1,"")</x:f>
      </x:c>
      <x:c r="G1657" s="32" t="str">
        <x:f>IF(AND(G$8&lt;='Detalle'!$H806,G$9&gt;='Detalle'!$G806),1,"")</x:f>
      </x:c>
      <x:c r="H1657" s="32" t="str">
        <x:f>IF(AND(H$8&lt;='Detalle'!$H806,H$9&gt;='Detalle'!$G806),1,"")</x:f>
      </x:c>
      <x:c r="I1657" s="32" t="str">
        <x:f>IF(AND(I$8&lt;='Detalle'!$H806,I$9&gt;='Detalle'!$G806),1,"")</x:f>
      </x:c>
      <x:c r="J1657" s="32" t="n">
        <x:f>IF(AND(J$8&lt;='Detalle'!$H806,J$9&gt;='Detalle'!$G806),1,"")</x:f>
        <x:v>1</x:v>
      </x:c>
      <x:c r="K1657" s="32" t="str">
        <x:f>IF(AND(K$8&lt;='Detalle'!$H806,K$9&gt;='Detalle'!$G806),1,"")</x:f>
      </x:c>
      <x:c r="L1657" s="32" t="str">
        <x:f>IF(AND(L$8&lt;='Detalle'!$H806,L$9&gt;='Detalle'!$G806),1,"")</x:f>
      </x:c>
      <x:c r="M1657" s="32" t="str">
        <x:f>IF(AND(M$8&lt;='Detalle'!$H806,M$9&gt;='Detalle'!$G806),1,"")</x:f>
      </x:c>
      <x:c r="N1657" s="32" t="str">
        <x:f>IF(AND(N$8&lt;='Detalle'!$H806,N$9&gt;='Detalle'!$G806),1,"")</x:f>
      </x:c>
      <x:c r="O1657" s="32" t="str">
        <x:f>IF(AND(O$8&lt;='Detalle'!$H806,O$9&gt;='Detalle'!$G806),1,"")</x:f>
      </x:c>
      <x:c r="P1657" s="32" t="str">
        <x:f>IF(AND(P$8&lt;='Detalle'!$H806,P$9&gt;='Detalle'!$G806),1,"")</x:f>
      </x:c>
      <x:c r="Q1657" s="68"/>
      <x:c r="R1657" s="67" t="str">
        <x:f>IF('Detalle'!M806="","",'Detalle'!M806)</x:f>
      </x:c>
      <x:c r="S1657" s="67" t="str">
        <x:f>IF('Detalle'!N806="","",'Detalle'!N806)</x:f>
      </x:c>
    </x:row>
    <x:row r="1658" ht="16" customHeight="1">
      <x:c r="A1658" s="56" t="str">
        <x:v>PIL01.008</x:v>
      </x:c>
      <x:c r="B1658" s="57" t="str">
        <x:v>Rechazar fixture sin techo</x:v>
      </x:c>
      <x:c r="C1658" s="63" t="str">
        <x:v>R</x:v>
      </x:c>
      <x:c r="D1658" s="65" t="str">
        <x:f>IF('Detalle'!L806="","",'Detalle'!L806)</x:f>
      </x:c>
      <x:c r="E1658" s="60" t="str"/>
      <x:c r="F1658" s="32" t="str">
        <x:f>IF(OR('Detalle'!$J806="",'Detalle'!$K806="",'Detalle'!$L806=""),"",IF(AND(F$8&lt;='Detalle'!$K806,F$9&gt;='Detalle'!$J806),1,""))</x:f>
      </x:c>
      <x:c r="G1658" s="32" t="str">
        <x:f>IF(OR('Detalle'!$J806="",'Detalle'!$K806="",'Detalle'!$L806=""),"",IF(AND(G$8&lt;='Detalle'!$K806,G$9&gt;='Detalle'!$J806),1,""))</x:f>
      </x:c>
      <x:c r="H1658" s="32" t="str">
        <x:f>IF(OR('Detalle'!$J806="",'Detalle'!$K806="",'Detalle'!$L806=""),"",IF(AND(H$8&lt;='Detalle'!$K806,H$9&gt;='Detalle'!$J806),1,""))</x:f>
      </x:c>
      <x:c r="I1658" s="32" t="str">
        <x:f>IF(OR('Detalle'!$J806="",'Detalle'!$K806="",'Detalle'!$L806=""),"",IF(AND(I$8&lt;='Detalle'!$K806,I$9&gt;='Detalle'!$J806),1,""))</x:f>
      </x:c>
      <x:c r="J1658" s="32" t="str">
        <x:f>IF(OR('Detalle'!$J806="",'Detalle'!$K806="",'Detalle'!$L806=""),"",IF(AND(J$8&lt;='Detalle'!$K806,J$9&gt;='Detalle'!$J806),1,""))</x:f>
      </x:c>
      <x:c r="K1658" s="32" t="str">
        <x:f>IF(OR('Detalle'!$J806="",'Detalle'!$K806="",'Detalle'!$L806=""),"",IF(AND(K$8&lt;='Detalle'!$K806,K$9&gt;='Detalle'!$J806),1,""))</x:f>
      </x:c>
      <x:c r="L1658" s="32" t="str">
        <x:f>IF(OR('Detalle'!$J806="",'Detalle'!$K806="",'Detalle'!$L806=""),"",IF(AND(L$8&lt;='Detalle'!$K806,L$9&gt;='Detalle'!$J806),1,""))</x:f>
      </x:c>
      <x:c r="M1658" s="32" t="str">
        <x:f>IF(OR('Detalle'!$J806="",'Detalle'!$K806="",'Detalle'!$L806=""),"",IF(AND(M$8&lt;='Detalle'!$K806,M$9&gt;='Detalle'!$J806),1,""))</x:f>
      </x:c>
      <x:c r="N1658" s="32" t="str">
        <x:f>IF(OR('Detalle'!$J806="",'Detalle'!$K806="",'Detalle'!$L806=""),"",IF(AND(N$8&lt;='Detalle'!$K806,N$9&gt;='Detalle'!$J806),1,""))</x:f>
      </x:c>
      <x:c r="O1658" s="32" t="str">
        <x:f>IF(OR('Detalle'!$J806="",'Detalle'!$K806="",'Detalle'!$L806=""),"",IF(AND(O$8&lt;='Detalle'!$K806,O$9&gt;='Detalle'!$J806),1,""))</x:f>
      </x:c>
      <x:c r="P1658" s="32" t="str">
        <x:f>IF(OR('Detalle'!$J806="",'Detalle'!$K806="",'Detalle'!$L806=""),"",IF(AND(P$8&lt;='Detalle'!$K806,P$9&gt;='Detalle'!$J806),1,""))</x:f>
      </x:c>
      <x:c r="Q1658" s="68"/>
      <x:c r="R1658" s="67" t="str"/>
      <x:c r="S1658" s="67" t="str"/>
    </x:row>
    <x:row r="1659" ht="16" customHeight="1">
      <x:c r="A1659" s="56" t="str">
        <x:v>PIL01.009</x:v>
      </x:c>
      <x:c r="B1659" s="57" t="str">
        <x:v>Rechazar fixture sin coincidencias</x:v>
      </x:c>
      <x:c r="C1659" s="62" t="str">
        <x:v>E</x:v>
      </x:c>
      <x:c r="D1659" s="64" t="n">
        <x:f>'Detalle'!I807</x:f>
        <x:v>1</x:v>
      </x:c>
      <x:c r="E1659" s="60" t="str">
        <x:f>'Detalle'!F807</x:f>
        <x:v>Completado</x:v>
      </x:c>
      <x:c r="F1659" s="32" t="str">
        <x:f>IF(AND(F$8&lt;='Detalle'!$H807,F$9&gt;='Detalle'!$G807),1,"")</x:f>
      </x:c>
      <x:c r="G1659" s="32" t="str">
        <x:f>IF(AND(G$8&lt;='Detalle'!$H807,G$9&gt;='Detalle'!$G807),1,"")</x:f>
      </x:c>
      <x:c r="H1659" s="32" t="str">
        <x:f>IF(AND(H$8&lt;='Detalle'!$H807,H$9&gt;='Detalle'!$G807),1,"")</x:f>
      </x:c>
      <x:c r="I1659" s="32" t="str">
        <x:f>IF(AND(I$8&lt;='Detalle'!$H807,I$9&gt;='Detalle'!$G807),1,"")</x:f>
      </x:c>
      <x:c r="J1659" s="32" t="n">
        <x:f>IF(AND(J$8&lt;='Detalle'!$H807,J$9&gt;='Detalle'!$G807),1,"")</x:f>
        <x:v>1</x:v>
      </x:c>
      <x:c r="K1659" s="32" t="str">
        <x:f>IF(AND(K$8&lt;='Detalle'!$H807,K$9&gt;='Detalle'!$G807),1,"")</x:f>
      </x:c>
      <x:c r="L1659" s="32" t="str">
        <x:f>IF(AND(L$8&lt;='Detalle'!$H807,L$9&gt;='Detalle'!$G807),1,"")</x:f>
      </x:c>
      <x:c r="M1659" s="32" t="str">
        <x:f>IF(AND(M$8&lt;='Detalle'!$H807,M$9&gt;='Detalle'!$G807),1,"")</x:f>
      </x:c>
      <x:c r="N1659" s="32" t="str">
        <x:f>IF(AND(N$8&lt;='Detalle'!$H807,N$9&gt;='Detalle'!$G807),1,"")</x:f>
      </x:c>
      <x:c r="O1659" s="32" t="str">
        <x:f>IF(AND(O$8&lt;='Detalle'!$H807,O$9&gt;='Detalle'!$G807),1,"")</x:f>
      </x:c>
      <x:c r="P1659" s="32" t="str">
        <x:f>IF(AND(P$8&lt;='Detalle'!$H807,P$9&gt;='Detalle'!$G807),1,"")</x:f>
      </x:c>
      <x:c r="Q1659" s="68"/>
      <x:c r="R1659" s="67" t="str">
        <x:f>IF('Detalle'!M807="","",'Detalle'!M807)</x:f>
      </x:c>
      <x:c r="S1659" s="67" t="str">
        <x:f>IF('Detalle'!N807="","",'Detalle'!N807)</x:f>
      </x:c>
    </x:row>
    <x:row r="1660" ht="16" customHeight="1">
      <x:c r="A1660" s="56" t="str">
        <x:v>PIL01.009</x:v>
      </x:c>
      <x:c r="B1660" s="57" t="str">
        <x:v>Rechazar fixture sin coincidencias</x:v>
      </x:c>
      <x:c r="C1660" s="63" t="str">
        <x:v>R</x:v>
      </x:c>
      <x:c r="D1660" s="65" t="str">
        <x:f>IF('Detalle'!L807="","",'Detalle'!L807)</x:f>
      </x:c>
      <x:c r="E1660" s="60" t="str"/>
      <x:c r="F1660" s="32" t="str">
        <x:f>IF(OR('Detalle'!$J807="",'Detalle'!$K807="",'Detalle'!$L807=""),"",IF(AND(F$8&lt;='Detalle'!$K807,F$9&gt;='Detalle'!$J807),1,""))</x:f>
      </x:c>
      <x:c r="G1660" s="32" t="str">
        <x:f>IF(OR('Detalle'!$J807="",'Detalle'!$K807="",'Detalle'!$L807=""),"",IF(AND(G$8&lt;='Detalle'!$K807,G$9&gt;='Detalle'!$J807),1,""))</x:f>
      </x:c>
      <x:c r="H1660" s="32" t="str">
        <x:f>IF(OR('Detalle'!$J807="",'Detalle'!$K807="",'Detalle'!$L807=""),"",IF(AND(H$8&lt;='Detalle'!$K807,H$9&gt;='Detalle'!$J807),1,""))</x:f>
      </x:c>
      <x:c r="I1660" s="32" t="str">
        <x:f>IF(OR('Detalle'!$J807="",'Detalle'!$K807="",'Detalle'!$L807=""),"",IF(AND(I$8&lt;='Detalle'!$K807,I$9&gt;='Detalle'!$J807),1,""))</x:f>
      </x:c>
      <x:c r="J1660" s="32" t="str">
        <x:f>IF(OR('Detalle'!$J807="",'Detalle'!$K807="",'Detalle'!$L807=""),"",IF(AND(J$8&lt;='Detalle'!$K807,J$9&gt;='Detalle'!$J807),1,""))</x:f>
      </x:c>
      <x:c r="K1660" s="32" t="str">
        <x:f>IF(OR('Detalle'!$J807="",'Detalle'!$K807="",'Detalle'!$L807=""),"",IF(AND(K$8&lt;='Detalle'!$K807,K$9&gt;='Detalle'!$J807),1,""))</x:f>
      </x:c>
      <x:c r="L1660" s="32" t="str">
        <x:f>IF(OR('Detalle'!$J807="",'Detalle'!$K807="",'Detalle'!$L807=""),"",IF(AND(L$8&lt;='Detalle'!$K807,L$9&gt;='Detalle'!$J807),1,""))</x:f>
      </x:c>
      <x:c r="M1660" s="32" t="str">
        <x:f>IF(OR('Detalle'!$J807="",'Detalle'!$K807="",'Detalle'!$L807=""),"",IF(AND(M$8&lt;='Detalle'!$K807,M$9&gt;='Detalle'!$J807),1,""))</x:f>
      </x:c>
      <x:c r="N1660" s="32" t="str">
        <x:f>IF(OR('Detalle'!$J807="",'Detalle'!$K807="",'Detalle'!$L807=""),"",IF(AND(N$8&lt;='Detalle'!$K807,N$9&gt;='Detalle'!$J807),1,""))</x:f>
      </x:c>
      <x:c r="O1660" s="32" t="str">
        <x:f>IF(OR('Detalle'!$J807="",'Detalle'!$K807="",'Detalle'!$L807=""),"",IF(AND(O$8&lt;='Detalle'!$K807,O$9&gt;='Detalle'!$J807),1,""))</x:f>
      </x:c>
      <x:c r="P1660" s="32" t="str">
        <x:f>IF(OR('Detalle'!$J807="",'Detalle'!$K807="",'Detalle'!$L807=""),"",IF(AND(P$8&lt;='Detalle'!$K807,P$9&gt;='Detalle'!$J807),1,""))</x:f>
      </x:c>
      <x:c r="Q1660" s="68"/>
      <x:c r="R1660" s="67" t="str"/>
      <x:c r="S1660" s="67" t="str"/>
    </x:row>
    <x:row r="1661" ht="16" customHeight="1">
      <x:c r="A1661" s="56" t="str">
        <x:v>PIL01.010</x:v>
      </x:c>
      <x:c r="B1661" s="57" t="str">
        <x:v>Rechazar JPEG 2:1 sin GPano</x:v>
      </x:c>
      <x:c r="C1661" s="62" t="str">
        <x:v>E</x:v>
      </x:c>
      <x:c r="D1661" s="64" t="n">
        <x:f>'Detalle'!I808</x:f>
        <x:v>1</x:v>
      </x:c>
      <x:c r="E1661" s="60" t="str">
        <x:f>'Detalle'!F808</x:f>
        <x:v>Completado</x:v>
      </x:c>
      <x:c r="F1661" s="32" t="str">
        <x:f>IF(AND(F$8&lt;='Detalle'!$H808,F$9&gt;='Detalle'!$G808),1,"")</x:f>
      </x:c>
      <x:c r="G1661" s="32" t="str">
        <x:f>IF(AND(G$8&lt;='Detalle'!$H808,G$9&gt;='Detalle'!$G808),1,"")</x:f>
      </x:c>
      <x:c r="H1661" s="32" t="str">
        <x:f>IF(AND(H$8&lt;='Detalle'!$H808,H$9&gt;='Detalle'!$G808),1,"")</x:f>
      </x:c>
      <x:c r="I1661" s="32" t="str">
        <x:f>IF(AND(I$8&lt;='Detalle'!$H808,I$9&gt;='Detalle'!$G808),1,"")</x:f>
      </x:c>
      <x:c r="J1661" s="32" t="n">
        <x:f>IF(AND(J$8&lt;='Detalle'!$H808,J$9&gt;='Detalle'!$G808),1,"")</x:f>
        <x:v>1</x:v>
      </x:c>
      <x:c r="K1661" s="32" t="str">
        <x:f>IF(AND(K$8&lt;='Detalle'!$H808,K$9&gt;='Detalle'!$G808),1,"")</x:f>
      </x:c>
      <x:c r="L1661" s="32" t="str">
        <x:f>IF(AND(L$8&lt;='Detalle'!$H808,L$9&gt;='Detalle'!$G808),1,"")</x:f>
      </x:c>
      <x:c r="M1661" s="32" t="str">
        <x:f>IF(AND(M$8&lt;='Detalle'!$H808,M$9&gt;='Detalle'!$G808),1,"")</x:f>
      </x:c>
      <x:c r="N1661" s="32" t="str">
        <x:f>IF(AND(N$8&lt;='Detalle'!$H808,N$9&gt;='Detalle'!$G808),1,"")</x:f>
      </x:c>
      <x:c r="O1661" s="32" t="str">
        <x:f>IF(AND(O$8&lt;='Detalle'!$H808,O$9&gt;='Detalle'!$G808),1,"")</x:f>
      </x:c>
      <x:c r="P1661" s="32" t="str">
        <x:f>IF(AND(P$8&lt;='Detalle'!$H808,P$9&gt;='Detalle'!$G808),1,"")</x:f>
      </x:c>
      <x:c r="Q1661" s="68"/>
      <x:c r="R1661" s="67" t="str">
        <x:f>IF('Detalle'!M808="","",'Detalle'!M808)</x:f>
      </x:c>
      <x:c r="S1661" s="67" t="str">
        <x:f>IF('Detalle'!N808="","",'Detalle'!N808)</x:f>
      </x:c>
    </x:row>
    <x:row r="1662" ht="16" customHeight="1">
      <x:c r="A1662" s="56" t="str">
        <x:v>PIL01.010</x:v>
      </x:c>
      <x:c r="B1662" s="57" t="str">
        <x:v>Rechazar JPEG 2:1 sin GPano</x:v>
      </x:c>
      <x:c r="C1662" s="63" t="str">
        <x:v>R</x:v>
      </x:c>
      <x:c r="D1662" s="65" t="str">
        <x:f>IF('Detalle'!L808="","",'Detalle'!L808)</x:f>
      </x:c>
      <x:c r="E1662" s="60" t="str"/>
      <x:c r="F1662" s="32" t="str">
        <x:f>IF(OR('Detalle'!$J808="",'Detalle'!$K808="",'Detalle'!$L808=""),"",IF(AND(F$8&lt;='Detalle'!$K808,F$9&gt;='Detalle'!$J808),1,""))</x:f>
      </x:c>
      <x:c r="G1662" s="32" t="str">
        <x:f>IF(OR('Detalle'!$J808="",'Detalle'!$K808="",'Detalle'!$L808=""),"",IF(AND(G$8&lt;='Detalle'!$K808,G$9&gt;='Detalle'!$J808),1,""))</x:f>
      </x:c>
      <x:c r="H1662" s="32" t="str">
        <x:f>IF(OR('Detalle'!$J808="",'Detalle'!$K808="",'Detalle'!$L808=""),"",IF(AND(H$8&lt;='Detalle'!$K808,H$9&gt;='Detalle'!$J808),1,""))</x:f>
      </x:c>
      <x:c r="I1662" s="32" t="str">
        <x:f>IF(OR('Detalle'!$J808="",'Detalle'!$K808="",'Detalle'!$L808=""),"",IF(AND(I$8&lt;='Detalle'!$K808,I$9&gt;='Detalle'!$J808),1,""))</x:f>
      </x:c>
      <x:c r="J1662" s="32" t="str">
        <x:f>IF(OR('Detalle'!$J808="",'Detalle'!$K808="",'Detalle'!$L808=""),"",IF(AND(J$8&lt;='Detalle'!$K808,J$9&gt;='Detalle'!$J808),1,""))</x:f>
      </x:c>
      <x:c r="K1662" s="32" t="str">
        <x:f>IF(OR('Detalle'!$J808="",'Detalle'!$K808="",'Detalle'!$L808=""),"",IF(AND(K$8&lt;='Detalle'!$K808,K$9&gt;='Detalle'!$J808),1,""))</x:f>
      </x:c>
      <x:c r="L1662" s="32" t="str">
        <x:f>IF(OR('Detalle'!$J808="",'Detalle'!$K808="",'Detalle'!$L808=""),"",IF(AND(L$8&lt;='Detalle'!$K808,L$9&gt;='Detalle'!$J808),1,""))</x:f>
      </x:c>
      <x:c r="M1662" s="32" t="str">
        <x:f>IF(OR('Detalle'!$J808="",'Detalle'!$K808="",'Detalle'!$L808=""),"",IF(AND(M$8&lt;='Detalle'!$K808,M$9&gt;='Detalle'!$J808),1,""))</x:f>
      </x:c>
      <x:c r="N1662" s="32" t="str">
        <x:f>IF(OR('Detalle'!$J808="",'Detalle'!$K808="",'Detalle'!$L808=""),"",IF(AND(N$8&lt;='Detalle'!$K808,N$9&gt;='Detalle'!$J808),1,""))</x:f>
      </x:c>
      <x:c r="O1662" s="32" t="str">
        <x:f>IF(OR('Detalle'!$J808="",'Detalle'!$K808="",'Detalle'!$L808=""),"",IF(AND(O$8&lt;='Detalle'!$K808,O$9&gt;='Detalle'!$J808),1,""))</x:f>
      </x:c>
      <x:c r="P1662" s="32" t="str">
        <x:f>IF(OR('Detalle'!$J808="",'Detalle'!$K808="",'Detalle'!$L808=""),"",IF(AND(P$8&lt;='Detalle'!$K808,P$9&gt;='Detalle'!$J808),1,""))</x:f>
      </x:c>
      <x:c r="Q1662" s="68"/>
      <x:c r="R1662" s="67" t="str"/>
      <x:c r="S1662" s="67" t="str"/>
    </x:row>
    <x:row r="1663" ht="16" customHeight="1">
      <x:c r="A1663" s="56" t="str">
        <x:v>PIL01.011</x:v>
      </x:c>
      <x:c r="B1663" s="57" t="str">
        <x:v>Aplicar migración 015 exclusivamente</x:v>
      </x:c>
      <x:c r="C1663" s="62" t="str">
        <x:v>E</x:v>
      </x:c>
      <x:c r="D1663" s="64" t="n">
        <x:f>'Detalle'!I809</x:f>
        <x:v>1</x:v>
      </x:c>
      <x:c r="E1663" s="60" t="str">
        <x:f>'Detalle'!F809</x:f>
        <x:v>Completado</x:v>
      </x:c>
      <x:c r="F1663" s="32" t="str">
        <x:f>IF(AND(F$8&lt;='Detalle'!$H809,F$9&gt;='Detalle'!$G809),1,"")</x:f>
      </x:c>
      <x:c r="G1663" s="32" t="str">
        <x:f>IF(AND(G$8&lt;='Detalle'!$H809,G$9&gt;='Detalle'!$G809),1,"")</x:f>
      </x:c>
      <x:c r="H1663" s="32" t="str">
        <x:f>IF(AND(H$8&lt;='Detalle'!$H809,H$9&gt;='Detalle'!$G809),1,"")</x:f>
      </x:c>
      <x:c r="I1663" s="32" t="str">
        <x:f>IF(AND(I$8&lt;='Detalle'!$H809,I$9&gt;='Detalle'!$G809),1,"")</x:f>
      </x:c>
      <x:c r="J1663" s="32" t="n">
        <x:f>IF(AND(J$8&lt;='Detalle'!$H809,J$9&gt;='Detalle'!$G809),1,"")</x:f>
        <x:v>1</x:v>
      </x:c>
      <x:c r="K1663" s="32" t="str">
        <x:f>IF(AND(K$8&lt;='Detalle'!$H809,K$9&gt;='Detalle'!$G809),1,"")</x:f>
      </x:c>
      <x:c r="L1663" s="32" t="str">
        <x:f>IF(AND(L$8&lt;='Detalle'!$H809,L$9&gt;='Detalle'!$G809),1,"")</x:f>
      </x:c>
      <x:c r="M1663" s="32" t="str">
        <x:f>IF(AND(M$8&lt;='Detalle'!$H809,M$9&gt;='Detalle'!$G809),1,"")</x:f>
      </x:c>
      <x:c r="N1663" s="32" t="str">
        <x:f>IF(AND(N$8&lt;='Detalle'!$H809,N$9&gt;='Detalle'!$G809),1,"")</x:f>
      </x:c>
      <x:c r="O1663" s="32" t="str">
        <x:f>IF(AND(O$8&lt;='Detalle'!$H809,O$9&gt;='Detalle'!$G809),1,"")</x:f>
      </x:c>
      <x:c r="P1663" s="32" t="str">
        <x:f>IF(AND(P$8&lt;='Detalle'!$H809,P$9&gt;='Detalle'!$G809),1,"")</x:f>
      </x:c>
      <x:c r="Q1663" s="68"/>
      <x:c r="R1663" s="67" t="str">
        <x:f>IF('Detalle'!M809="","",'Detalle'!M809)</x:f>
      </x:c>
      <x:c r="S1663" s="67" t="str">
        <x:f>IF('Detalle'!N809="","",'Detalle'!N809)</x:f>
      </x:c>
    </x:row>
    <x:row r="1664" ht="16" customHeight="1">
      <x:c r="A1664" s="56" t="str">
        <x:v>PIL01.011</x:v>
      </x:c>
      <x:c r="B1664" s="57" t="str">
        <x:v>Aplicar migración 015 exclusivamente</x:v>
      </x:c>
      <x:c r="C1664" s="63" t="str">
        <x:v>R</x:v>
      </x:c>
      <x:c r="D1664" s="65" t="str">
        <x:f>IF('Detalle'!L809="","",'Detalle'!L809)</x:f>
      </x:c>
      <x:c r="E1664" s="60" t="str"/>
      <x:c r="F1664" s="32" t="str">
        <x:f>IF(OR('Detalle'!$J809="",'Detalle'!$K809="",'Detalle'!$L809=""),"",IF(AND(F$8&lt;='Detalle'!$K809,F$9&gt;='Detalle'!$J809),1,""))</x:f>
      </x:c>
      <x:c r="G1664" s="32" t="str">
        <x:f>IF(OR('Detalle'!$J809="",'Detalle'!$K809="",'Detalle'!$L809=""),"",IF(AND(G$8&lt;='Detalle'!$K809,G$9&gt;='Detalle'!$J809),1,""))</x:f>
      </x:c>
      <x:c r="H1664" s="32" t="str">
        <x:f>IF(OR('Detalle'!$J809="",'Detalle'!$K809="",'Detalle'!$L809=""),"",IF(AND(H$8&lt;='Detalle'!$K809,H$9&gt;='Detalle'!$J809),1,""))</x:f>
      </x:c>
      <x:c r="I1664" s="32" t="str">
        <x:f>IF(OR('Detalle'!$J809="",'Detalle'!$K809="",'Detalle'!$L809=""),"",IF(AND(I$8&lt;='Detalle'!$K809,I$9&gt;='Detalle'!$J809),1,""))</x:f>
      </x:c>
      <x:c r="J1664" s="32" t="str">
        <x:f>IF(OR('Detalle'!$J809="",'Detalle'!$K809="",'Detalle'!$L809=""),"",IF(AND(J$8&lt;='Detalle'!$K809,J$9&gt;='Detalle'!$J809),1,""))</x:f>
      </x:c>
      <x:c r="K1664" s="32" t="str">
        <x:f>IF(OR('Detalle'!$J809="",'Detalle'!$K809="",'Detalle'!$L809=""),"",IF(AND(K$8&lt;='Detalle'!$K809,K$9&gt;='Detalle'!$J809),1,""))</x:f>
      </x:c>
      <x:c r="L1664" s="32" t="str">
        <x:f>IF(OR('Detalle'!$J809="",'Detalle'!$K809="",'Detalle'!$L809=""),"",IF(AND(L$8&lt;='Detalle'!$K809,L$9&gt;='Detalle'!$J809),1,""))</x:f>
      </x:c>
      <x:c r="M1664" s="32" t="str">
        <x:f>IF(OR('Detalle'!$J809="",'Detalle'!$K809="",'Detalle'!$L809=""),"",IF(AND(M$8&lt;='Detalle'!$K809,M$9&gt;='Detalle'!$J809),1,""))</x:f>
      </x:c>
      <x:c r="N1664" s="32" t="str">
        <x:f>IF(OR('Detalle'!$J809="",'Detalle'!$K809="",'Detalle'!$L809=""),"",IF(AND(N$8&lt;='Detalle'!$K809,N$9&gt;='Detalle'!$J809),1,""))</x:f>
      </x:c>
      <x:c r="O1664" s="32" t="str">
        <x:f>IF(OR('Detalle'!$J809="",'Detalle'!$K809="",'Detalle'!$L809=""),"",IF(AND(O$8&lt;='Detalle'!$K809,O$9&gt;='Detalle'!$J809),1,""))</x:f>
      </x:c>
      <x:c r="P1664" s="32" t="str">
        <x:f>IF(OR('Detalle'!$J809="",'Detalle'!$K809="",'Detalle'!$L809=""),"",IF(AND(P$8&lt;='Detalle'!$K809,P$9&gt;='Detalle'!$J809),1,""))</x:f>
      </x:c>
      <x:c r="Q1664" s="68"/>
      <x:c r="R1664" s="67" t="str"/>
      <x:c r="S1664" s="67" t="str"/>
    </x:row>
    <x:row r="1665" ht="16" customHeight="1">
      <x:c r="A1665" s="56" t="str">
        <x:v>PIL01.012</x:v>
      </x:c>
      <x:c r="B1665" s="57" t="str">
        <x:v>Desplegar tour-dispatch autenticado</x:v>
      </x:c>
      <x:c r="C1665" s="62" t="str">
        <x:v>E</x:v>
      </x:c>
      <x:c r="D1665" s="64" t="n">
        <x:f>'Detalle'!I810</x:f>
        <x:v>1</x:v>
      </x:c>
      <x:c r="E1665" s="60" t="str">
        <x:f>'Detalle'!F810</x:f>
        <x:v>Completado</x:v>
      </x:c>
      <x:c r="F1665" s="32" t="str">
        <x:f>IF(AND(F$8&lt;='Detalle'!$H810,F$9&gt;='Detalle'!$G810),1,"")</x:f>
      </x:c>
      <x:c r="G1665" s="32" t="str">
        <x:f>IF(AND(G$8&lt;='Detalle'!$H810,G$9&gt;='Detalle'!$G810),1,"")</x:f>
      </x:c>
      <x:c r="H1665" s="32" t="str">
        <x:f>IF(AND(H$8&lt;='Detalle'!$H810,H$9&gt;='Detalle'!$G810),1,"")</x:f>
      </x:c>
      <x:c r="I1665" s="32" t="str">
        <x:f>IF(AND(I$8&lt;='Detalle'!$H810,I$9&gt;='Detalle'!$G810),1,"")</x:f>
      </x:c>
      <x:c r="J1665" s="32" t="n">
        <x:f>IF(AND(J$8&lt;='Detalle'!$H810,J$9&gt;='Detalle'!$G810),1,"")</x:f>
        <x:v>1</x:v>
      </x:c>
      <x:c r="K1665" s="32" t="str">
        <x:f>IF(AND(K$8&lt;='Detalle'!$H810,K$9&gt;='Detalle'!$G810),1,"")</x:f>
      </x:c>
      <x:c r="L1665" s="32" t="str">
        <x:f>IF(AND(L$8&lt;='Detalle'!$H810,L$9&gt;='Detalle'!$G810),1,"")</x:f>
      </x:c>
      <x:c r="M1665" s="32" t="str">
        <x:f>IF(AND(M$8&lt;='Detalle'!$H810,M$9&gt;='Detalle'!$G810),1,"")</x:f>
      </x:c>
      <x:c r="N1665" s="32" t="str">
        <x:f>IF(AND(N$8&lt;='Detalle'!$H810,N$9&gt;='Detalle'!$G810),1,"")</x:f>
      </x:c>
      <x:c r="O1665" s="32" t="str">
        <x:f>IF(AND(O$8&lt;='Detalle'!$H810,O$9&gt;='Detalle'!$G810),1,"")</x:f>
      </x:c>
      <x:c r="P1665" s="32" t="str">
        <x:f>IF(AND(P$8&lt;='Detalle'!$H810,P$9&gt;='Detalle'!$G810),1,"")</x:f>
      </x:c>
      <x:c r="Q1665" s="68"/>
      <x:c r="R1665" s="67" t="str">
        <x:f>IF('Detalle'!M810="","",'Detalle'!M810)</x:f>
      </x:c>
      <x:c r="S1665" s="67" t="str">
        <x:f>IF('Detalle'!N810="","",'Detalle'!N810)</x:f>
      </x:c>
    </x:row>
    <x:row r="1666" ht="16" customHeight="1">
      <x:c r="A1666" s="56" t="str">
        <x:v>PIL01.012</x:v>
      </x:c>
      <x:c r="B1666" s="57" t="str">
        <x:v>Desplegar tour-dispatch autenticado</x:v>
      </x:c>
      <x:c r="C1666" s="63" t="str">
        <x:v>R</x:v>
      </x:c>
      <x:c r="D1666" s="65" t="str">
        <x:f>IF('Detalle'!L810="","",'Detalle'!L810)</x:f>
      </x:c>
      <x:c r="E1666" s="60" t="str"/>
      <x:c r="F1666" s="32" t="str">
        <x:f>IF(OR('Detalle'!$J810="",'Detalle'!$K810="",'Detalle'!$L810=""),"",IF(AND(F$8&lt;='Detalle'!$K810,F$9&gt;='Detalle'!$J810),1,""))</x:f>
      </x:c>
      <x:c r="G1666" s="32" t="str">
        <x:f>IF(OR('Detalle'!$J810="",'Detalle'!$K810="",'Detalle'!$L810=""),"",IF(AND(G$8&lt;='Detalle'!$K810,G$9&gt;='Detalle'!$J810),1,""))</x:f>
      </x:c>
      <x:c r="H1666" s="32" t="str">
        <x:f>IF(OR('Detalle'!$J810="",'Detalle'!$K810="",'Detalle'!$L810=""),"",IF(AND(H$8&lt;='Detalle'!$K810,H$9&gt;='Detalle'!$J810),1,""))</x:f>
      </x:c>
      <x:c r="I1666" s="32" t="str">
        <x:f>IF(OR('Detalle'!$J810="",'Detalle'!$K810="",'Detalle'!$L810=""),"",IF(AND(I$8&lt;='Detalle'!$K810,I$9&gt;='Detalle'!$J810),1,""))</x:f>
      </x:c>
      <x:c r="J1666" s="32" t="str">
        <x:f>IF(OR('Detalle'!$J810="",'Detalle'!$K810="",'Detalle'!$L810=""),"",IF(AND(J$8&lt;='Detalle'!$K810,J$9&gt;='Detalle'!$J810),1,""))</x:f>
      </x:c>
      <x:c r="K1666" s="32" t="str">
        <x:f>IF(OR('Detalle'!$J810="",'Detalle'!$K810="",'Detalle'!$L810=""),"",IF(AND(K$8&lt;='Detalle'!$K810,K$9&gt;='Detalle'!$J810),1,""))</x:f>
      </x:c>
      <x:c r="L1666" s="32" t="str">
        <x:f>IF(OR('Detalle'!$J810="",'Detalle'!$K810="",'Detalle'!$L810=""),"",IF(AND(L$8&lt;='Detalle'!$K810,L$9&gt;='Detalle'!$J810),1,""))</x:f>
      </x:c>
      <x:c r="M1666" s="32" t="str">
        <x:f>IF(OR('Detalle'!$J810="",'Detalle'!$K810="",'Detalle'!$L810=""),"",IF(AND(M$8&lt;='Detalle'!$K810,M$9&gt;='Detalle'!$J810),1,""))</x:f>
      </x:c>
      <x:c r="N1666" s="32" t="str">
        <x:f>IF(OR('Detalle'!$J810="",'Detalle'!$K810="",'Detalle'!$L810=""),"",IF(AND(N$8&lt;='Detalle'!$K810,N$9&gt;='Detalle'!$J810),1,""))</x:f>
      </x:c>
      <x:c r="O1666" s="32" t="str">
        <x:f>IF(OR('Detalle'!$J810="",'Detalle'!$K810="",'Detalle'!$L810=""),"",IF(AND(O$8&lt;='Detalle'!$K810,O$9&gt;='Detalle'!$J810),1,""))</x:f>
      </x:c>
      <x:c r="P1666" s="32" t="str">
        <x:f>IF(OR('Detalle'!$J810="",'Detalle'!$K810="",'Detalle'!$L810=""),"",IF(AND(P$8&lt;='Detalle'!$K810,P$9&gt;='Detalle'!$J810),1,""))</x:f>
      </x:c>
      <x:c r="Q1666" s="68"/>
      <x:c r="R1666" s="67" t="str"/>
      <x:c r="S1666" s="67" t="str"/>
    </x:row>
    <x:row r="1667" ht="16" customHeight="1">
      <x:c r="A1667" s="56" t="str">
        <x:v>PIL01.013</x:v>
      </x:c>
      <x:c r="B1667" s="57" t="str">
        <x:v>Volver a desplegar limpieza anidada de cuenta</x:v>
      </x:c>
      <x:c r="C1667" s="62" t="str">
        <x:v>E</x:v>
      </x:c>
      <x:c r="D1667" s="64" t="n">
        <x:f>'Detalle'!I811</x:f>
        <x:v>1</x:v>
      </x:c>
      <x:c r="E1667" s="60" t="str">
        <x:f>'Detalle'!F811</x:f>
        <x:v>Completado</x:v>
      </x:c>
      <x:c r="F1667" s="32" t="str">
        <x:f>IF(AND(F$8&lt;='Detalle'!$H811,F$9&gt;='Detalle'!$G811),1,"")</x:f>
      </x:c>
      <x:c r="G1667" s="32" t="str">
        <x:f>IF(AND(G$8&lt;='Detalle'!$H811,G$9&gt;='Detalle'!$G811),1,"")</x:f>
      </x:c>
      <x:c r="H1667" s="32" t="str">
        <x:f>IF(AND(H$8&lt;='Detalle'!$H811,H$9&gt;='Detalle'!$G811),1,"")</x:f>
      </x:c>
      <x:c r="I1667" s="32" t="str">
        <x:f>IF(AND(I$8&lt;='Detalle'!$H811,I$9&gt;='Detalle'!$G811),1,"")</x:f>
      </x:c>
      <x:c r="J1667" s="32" t="n">
        <x:f>IF(AND(J$8&lt;='Detalle'!$H811,J$9&gt;='Detalle'!$G811),1,"")</x:f>
        <x:v>1</x:v>
      </x:c>
      <x:c r="K1667" s="32" t="str">
        <x:f>IF(AND(K$8&lt;='Detalle'!$H811,K$9&gt;='Detalle'!$G811),1,"")</x:f>
      </x:c>
      <x:c r="L1667" s="32" t="str">
        <x:f>IF(AND(L$8&lt;='Detalle'!$H811,L$9&gt;='Detalle'!$G811),1,"")</x:f>
      </x:c>
      <x:c r="M1667" s="32" t="str">
        <x:f>IF(AND(M$8&lt;='Detalle'!$H811,M$9&gt;='Detalle'!$G811),1,"")</x:f>
      </x:c>
      <x:c r="N1667" s="32" t="str">
        <x:f>IF(AND(N$8&lt;='Detalle'!$H811,N$9&gt;='Detalle'!$G811),1,"")</x:f>
      </x:c>
      <x:c r="O1667" s="32" t="str">
        <x:f>IF(AND(O$8&lt;='Detalle'!$H811,O$9&gt;='Detalle'!$G811),1,"")</x:f>
      </x:c>
      <x:c r="P1667" s="32" t="str">
        <x:f>IF(AND(P$8&lt;='Detalle'!$H811,P$9&gt;='Detalle'!$G811),1,"")</x:f>
      </x:c>
      <x:c r="Q1667" s="68"/>
      <x:c r="R1667" s="67" t="str">
        <x:f>IF('Detalle'!M811="","",'Detalle'!M811)</x:f>
      </x:c>
      <x:c r="S1667" s="67" t="str">
        <x:f>IF('Detalle'!N811="","",'Detalle'!N811)</x:f>
      </x:c>
    </x:row>
    <x:row r="1668" ht="16" customHeight="1">
      <x:c r="A1668" s="56" t="str">
        <x:v>PIL01.013</x:v>
      </x:c>
      <x:c r="B1668" s="57" t="str">
        <x:v>Volver a desplegar limpieza anidada de cuenta</x:v>
      </x:c>
      <x:c r="C1668" s="63" t="str">
        <x:v>R</x:v>
      </x:c>
      <x:c r="D1668" s="65" t="str">
        <x:f>IF('Detalle'!L811="","",'Detalle'!L811)</x:f>
      </x:c>
      <x:c r="E1668" s="60" t="str"/>
      <x:c r="F1668" s="32" t="str">
        <x:f>IF(OR('Detalle'!$J811="",'Detalle'!$K811="",'Detalle'!$L811=""),"",IF(AND(F$8&lt;='Detalle'!$K811,F$9&gt;='Detalle'!$J811),1,""))</x:f>
      </x:c>
      <x:c r="G1668" s="32" t="str">
        <x:f>IF(OR('Detalle'!$J811="",'Detalle'!$K811="",'Detalle'!$L811=""),"",IF(AND(G$8&lt;='Detalle'!$K811,G$9&gt;='Detalle'!$J811),1,""))</x:f>
      </x:c>
      <x:c r="H1668" s="32" t="str">
        <x:f>IF(OR('Detalle'!$J811="",'Detalle'!$K811="",'Detalle'!$L811=""),"",IF(AND(H$8&lt;='Detalle'!$K811,H$9&gt;='Detalle'!$J811),1,""))</x:f>
      </x:c>
      <x:c r="I1668" s="32" t="str">
        <x:f>IF(OR('Detalle'!$J811="",'Detalle'!$K811="",'Detalle'!$L811=""),"",IF(AND(I$8&lt;='Detalle'!$K811,I$9&gt;='Detalle'!$J811),1,""))</x:f>
      </x:c>
      <x:c r="J1668" s="32" t="str">
        <x:f>IF(OR('Detalle'!$J811="",'Detalle'!$K811="",'Detalle'!$L811=""),"",IF(AND(J$8&lt;='Detalle'!$K811,J$9&gt;='Detalle'!$J811),1,""))</x:f>
      </x:c>
      <x:c r="K1668" s="32" t="str">
        <x:f>IF(OR('Detalle'!$J811="",'Detalle'!$K811="",'Detalle'!$L811=""),"",IF(AND(K$8&lt;='Detalle'!$K811,K$9&gt;='Detalle'!$J811),1,""))</x:f>
      </x:c>
      <x:c r="L1668" s="32" t="str">
        <x:f>IF(OR('Detalle'!$J811="",'Detalle'!$K811="",'Detalle'!$L811=""),"",IF(AND(L$8&lt;='Detalle'!$K811,L$9&gt;='Detalle'!$J811),1,""))</x:f>
      </x:c>
      <x:c r="M1668" s="32" t="str">
        <x:f>IF(OR('Detalle'!$J811="",'Detalle'!$K811="",'Detalle'!$L811=""),"",IF(AND(M$8&lt;='Detalle'!$K811,M$9&gt;='Detalle'!$J811),1,""))</x:f>
      </x:c>
      <x:c r="N1668" s="32" t="str">
        <x:f>IF(OR('Detalle'!$J811="",'Detalle'!$K811="",'Detalle'!$L811=""),"",IF(AND(N$8&lt;='Detalle'!$K811,N$9&gt;='Detalle'!$J811),1,""))</x:f>
      </x:c>
      <x:c r="O1668" s="32" t="str">
        <x:f>IF(OR('Detalle'!$J811="",'Detalle'!$K811="",'Detalle'!$L811=""),"",IF(AND(O$8&lt;='Detalle'!$K811,O$9&gt;='Detalle'!$J811),1,""))</x:f>
      </x:c>
      <x:c r="P1668" s="32" t="str">
        <x:f>IF(OR('Detalle'!$J811="",'Detalle'!$K811="",'Detalle'!$L811=""),"",IF(AND(P$8&lt;='Detalle'!$K811,P$9&gt;='Detalle'!$J811),1,""))</x:f>
      </x:c>
      <x:c r="Q1668" s="68"/>
      <x:c r="R1668" s="67" t="str"/>
      <x:c r="S1668" s="67" t="str"/>
    </x:row>
    <x:row r="1669" ht="16" customHeight="1">
      <x:c r="A1669" s="56" t="str">
        <x:v>PIL01.014</x:v>
      </x:c>
      <x:c r="B1669" s="57" t="str">
        <x:v>Probar dos leases y contenedores concurrentes</x:v>
      </x:c>
      <x:c r="C1669" s="62" t="str">
        <x:v>E</x:v>
      </x:c>
      <x:c r="D1669" s="64" t="n">
        <x:f>'Detalle'!I812</x:f>
        <x:v>1</x:v>
      </x:c>
      <x:c r="E1669" s="60" t="str">
        <x:f>'Detalle'!F812</x:f>
        <x:v>Completado</x:v>
      </x:c>
      <x:c r="F1669" s="32" t="str">
        <x:f>IF(AND(F$8&lt;='Detalle'!$H812,F$9&gt;='Detalle'!$G812),1,"")</x:f>
      </x:c>
      <x:c r="G1669" s="32" t="str">
        <x:f>IF(AND(G$8&lt;='Detalle'!$H812,G$9&gt;='Detalle'!$G812),1,"")</x:f>
      </x:c>
      <x:c r="H1669" s="32" t="str">
        <x:f>IF(AND(H$8&lt;='Detalle'!$H812,H$9&gt;='Detalle'!$G812),1,"")</x:f>
      </x:c>
      <x:c r="I1669" s="32" t="str">
        <x:f>IF(AND(I$8&lt;='Detalle'!$H812,I$9&gt;='Detalle'!$G812),1,"")</x:f>
      </x:c>
      <x:c r="J1669" s="32" t="n">
        <x:f>IF(AND(J$8&lt;='Detalle'!$H812,J$9&gt;='Detalle'!$G812),1,"")</x:f>
        <x:v>1</x:v>
      </x:c>
      <x:c r="K1669" s="32" t="str">
        <x:f>IF(AND(K$8&lt;='Detalle'!$H812,K$9&gt;='Detalle'!$G812),1,"")</x:f>
      </x:c>
      <x:c r="L1669" s="32" t="str">
        <x:f>IF(AND(L$8&lt;='Detalle'!$H812,L$9&gt;='Detalle'!$G812),1,"")</x:f>
      </x:c>
      <x:c r="M1669" s="32" t="str">
        <x:f>IF(AND(M$8&lt;='Detalle'!$H812,M$9&gt;='Detalle'!$G812),1,"")</x:f>
      </x:c>
      <x:c r="N1669" s="32" t="str">
        <x:f>IF(AND(N$8&lt;='Detalle'!$H812,N$9&gt;='Detalle'!$G812),1,"")</x:f>
      </x:c>
      <x:c r="O1669" s="32" t="str">
        <x:f>IF(AND(O$8&lt;='Detalle'!$H812,O$9&gt;='Detalle'!$G812),1,"")</x:f>
      </x:c>
      <x:c r="P1669" s="32" t="str">
        <x:f>IF(AND(P$8&lt;='Detalle'!$H812,P$9&gt;='Detalle'!$G812),1,"")</x:f>
      </x:c>
      <x:c r="Q1669" s="68"/>
      <x:c r="R1669" s="67" t="str">
        <x:f>IF('Detalle'!M812="","",'Detalle'!M812)</x:f>
      </x:c>
      <x:c r="S1669" s="67" t="str">
        <x:f>IF('Detalle'!N812="","",'Detalle'!N812)</x:f>
      </x:c>
    </x:row>
    <x:row r="1670" ht="16" customHeight="1">
      <x:c r="A1670" s="56" t="str">
        <x:v>PIL01.014</x:v>
      </x:c>
      <x:c r="B1670" s="57" t="str">
        <x:v>Probar dos leases y contenedores concurrentes</x:v>
      </x:c>
      <x:c r="C1670" s="63" t="str">
        <x:v>R</x:v>
      </x:c>
      <x:c r="D1670" s="65" t="str">
        <x:f>IF('Detalle'!L812="","",'Detalle'!L812)</x:f>
      </x:c>
      <x:c r="E1670" s="60" t="str"/>
      <x:c r="F1670" s="32" t="str">
        <x:f>IF(OR('Detalle'!$J812="",'Detalle'!$K812="",'Detalle'!$L812=""),"",IF(AND(F$8&lt;='Detalle'!$K812,F$9&gt;='Detalle'!$J812),1,""))</x:f>
      </x:c>
      <x:c r="G1670" s="32" t="str">
        <x:f>IF(OR('Detalle'!$J812="",'Detalle'!$K812="",'Detalle'!$L812=""),"",IF(AND(G$8&lt;='Detalle'!$K812,G$9&gt;='Detalle'!$J812),1,""))</x:f>
      </x:c>
      <x:c r="H1670" s="32" t="str">
        <x:f>IF(OR('Detalle'!$J812="",'Detalle'!$K812="",'Detalle'!$L812=""),"",IF(AND(H$8&lt;='Detalle'!$K812,H$9&gt;='Detalle'!$J812),1,""))</x:f>
      </x:c>
      <x:c r="I1670" s="32" t="str">
        <x:f>IF(OR('Detalle'!$J812="",'Detalle'!$K812="",'Detalle'!$L812=""),"",IF(AND(I$8&lt;='Detalle'!$K812,I$9&gt;='Detalle'!$J812),1,""))</x:f>
      </x:c>
      <x:c r="J1670" s="32" t="str">
        <x:f>IF(OR('Detalle'!$J812="",'Detalle'!$K812="",'Detalle'!$L812=""),"",IF(AND(J$8&lt;='Detalle'!$K812,J$9&gt;='Detalle'!$J812),1,""))</x:f>
      </x:c>
      <x:c r="K1670" s="32" t="str">
        <x:f>IF(OR('Detalle'!$J812="",'Detalle'!$K812="",'Detalle'!$L812=""),"",IF(AND(K$8&lt;='Detalle'!$K812,K$9&gt;='Detalle'!$J812),1,""))</x:f>
      </x:c>
      <x:c r="L1670" s="32" t="str">
        <x:f>IF(OR('Detalle'!$J812="",'Detalle'!$K812="",'Detalle'!$L812=""),"",IF(AND(L$8&lt;='Detalle'!$K812,L$9&gt;='Detalle'!$J812),1,""))</x:f>
      </x:c>
      <x:c r="M1670" s="32" t="str">
        <x:f>IF(OR('Detalle'!$J812="",'Detalle'!$K812="",'Detalle'!$L812=""),"",IF(AND(M$8&lt;='Detalle'!$K812,M$9&gt;='Detalle'!$J812),1,""))</x:f>
      </x:c>
      <x:c r="N1670" s="32" t="str">
        <x:f>IF(OR('Detalle'!$J812="",'Detalle'!$K812="",'Detalle'!$L812=""),"",IF(AND(N$8&lt;='Detalle'!$K812,N$9&gt;='Detalle'!$J812),1,""))</x:f>
      </x:c>
      <x:c r="O1670" s="32" t="str">
        <x:f>IF(OR('Detalle'!$J812="",'Detalle'!$K812="",'Detalle'!$L812=""),"",IF(AND(O$8&lt;='Detalle'!$K812,O$9&gt;='Detalle'!$J812),1,""))</x:f>
      </x:c>
      <x:c r="P1670" s="32" t="str">
        <x:f>IF(OR('Detalle'!$J812="",'Detalle'!$K812="",'Detalle'!$L812=""),"",IF(AND(P$8&lt;='Detalle'!$K812,P$9&gt;='Detalle'!$J812),1,""))</x:f>
      </x:c>
      <x:c r="Q1670" s="68"/>
      <x:c r="R1670" s="67" t="str"/>
      <x:c r="S1670" s="67" t="str"/>
    </x:row>
    <x:row r="1671" ht="16" customHeight="1">
      <x:c r="A1671" s="56" t="str">
        <x:v>PIL01.015</x:v>
      </x:c>
      <x:c r="B1671" s="57" t="str">
        <x:v>Probar cancelación y recaptura durante trabajo</x:v>
      </x:c>
      <x:c r="C1671" s="62" t="str">
        <x:v>E</x:v>
      </x:c>
      <x:c r="D1671" s="64" t="n">
        <x:f>'Detalle'!I813</x:f>
        <x:v>1</x:v>
      </x:c>
      <x:c r="E1671" s="60" t="str">
        <x:f>'Detalle'!F813</x:f>
        <x:v>Completado</x:v>
      </x:c>
      <x:c r="F1671" s="32" t="str">
        <x:f>IF(AND(F$8&lt;='Detalle'!$H813,F$9&gt;='Detalle'!$G813),1,"")</x:f>
      </x:c>
      <x:c r="G1671" s="32" t="str">
        <x:f>IF(AND(G$8&lt;='Detalle'!$H813,G$9&gt;='Detalle'!$G813),1,"")</x:f>
      </x:c>
      <x:c r="H1671" s="32" t="str">
        <x:f>IF(AND(H$8&lt;='Detalle'!$H813,H$9&gt;='Detalle'!$G813),1,"")</x:f>
      </x:c>
      <x:c r="I1671" s="32" t="str">
        <x:f>IF(AND(I$8&lt;='Detalle'!$H813,I$9&gt;='Detalle'!$G813),1,"")</x:f>
      </x:c>
      <x:c r="J1671" s="32" t="n">
        <x:f>IF(AND(J$8&lt;='Detalle'!$H813,J$9&gt;='Detalle'!$G813),1,"")</x:f>
        <x:v>1</x:v>
      </x:c>
      <x:c r="K1671" s="32" t="str">
        <x:f>IF(AND(K$8&lt;='Detalle'!$H813,K$9&gt;='Detalle'!$G813),1,"")</x:f>
      </x:c>
      <x:c r="L1671" s="32" t="str">
        <x:f>IF(AND(L$8&lt;='Detalle'!$H813,L$9&gt;='Detalle'!$G813),1,"")</x:f>
      </x:c>
      <x:c r="M1671" s="32" t="str">
        <x:f>IF(AND(M$8&lt;='Detalle'!$H813,M$9&gt;='Detalle'!$G813),1,"")</x:f>
      </x:c>
      <x:c r="N1671" s="32" t="str">
        <x:f>IF(AND(N$8&lt;='Detalle'!$H813,N$9&gt;='Detalle'!$G813),1,"")</x:f>
      </x:c>
      <x:c r="O1671" s="32" t="str">
        <x:f>IF(AND(O$8&lt;='Detalle'!$H813,O$9&gt;='Detalle'!$G813),1,"")</x:f>
      </x:c>
      <x:c r="P1671" s="32" t="str">
        <x:f>IF(AND(P$8&lt;='Detalle'!$H813,P$9&gt;='Detalle'!$G813),1,"")</x:f>
      </x:c>
      <x:c r="Q1671" s="68"/>
      <x:c r="R1671" s="67" t="str">
        <x:f>IF('Detalle'!M813="","",'Detalle'!M813)</x:f>
      </x:c>
      <x:c r="S1671" s="67" t="str">
        <x:f>IF('Detalle'!N813="","",'Detalle'!N813)</x:f>
      </x:c>
    </x:row>
    <x:row r="1672" ht="16" customHeight="1">
      <x:c r="A1672" s="56" t="str">
        <x:v>PIL01.015</x:v>
      </x:c>
      <x:c r="B1672" s="57" t="str">
        <x:v>Probar cancelación y recaptura durante trabajo</x:v>
      </x:c>
      <x:c r="C1672" s="63" t="str">
        <x:v>R</x:v>
      </x:c>
      <x:c r="D1672" s="65" t="str">
        <x:f>IF('Detalle'!L813="","",'Detalle'!L813)</x:f>
      </x:c>
      <x:c r="E1672" s="60" t="str"/>
      <x:c r="F1672" s="32" t="str">
        <x:f>IF(OR('Detalle'!$J813="",'Detalle'!$K813="",'Detalle'!$L813=""),"",IF(AND(F$8&lt;='Detalle'!$K813,F$9&gt;='Detalle'!$J813),1,""))</x:f>
      </x:c>
      <x:c r="G1672" s="32" t="str">
        <x:f>IF(OR('Detalle'!$J813="",'Detalle'!$K813="",'Detalle'!$L813=""),"",IF(AND(G$8&lt;='Detalle'!$K813,G$9&gt;='Detalle'!$J813),1,""))</x:f>
      </x:c>
      <x:c r="H1672" s="32" t="str">
        <x:f>IF(OR('Detalle'!$J813="",'Detalle'!$K813="",'Detalle'!$L813=""),"",IF(AND(H$8&lt;='Detalle'!$K813,H$9&gt;='Detalle'!$J813),1,""))</x:f>
      </x:c>
      <x:c r="I1672" s="32" t="str">
        <x:f>IF(OR('Detalle'!$J813="",'Detalle'!$K813="",'Detalle'!$L813=""),"",IF(AND(I$8&lt;='Detalle'!$K813,I$9&gt;='Detalle'!$J813),1,""))</x:f>
      </x:c>
      <x:c r="J1672" s="32" t="str">
        <x:f>IF(OR('Detalle'!$J813="",'Detalle'!$K813="",'Detalle'!$L813=""),"",IF(AND(J$8&lt;='Detalle'!$K813,J$9&gt;='Detalle'!$J813),1,""))</x:f>
      </x:c>
      <x:c r="K1672" s="32" t="str">
        <x:f>IF(OR('Detalle'!$J813="",'Detalle'!$K813="",'Detalle'!$L813=""),"",IF(AND(K$8&lt;='Detalle'!$K813,K$9&gt;='Detalle'!$J813),1,""))</x:f>
      </x:c>
      <x:c r="L1672" s="32" t="str">
        <x:f>IF(OR('Detalle'!$J813="",'Detalle'!$K813="",'Detalle'!$L813=""),"",IF(AND(L$8&lt;='Detalle'!$K813,L$9&gt;='Detalle'!$J813),1,""))</x:f>
      </x:c>
      <x:c r="M1672" s="32" t="str">
        <x:f>IF(OR('Detalle'!$J813="",'Detalle'!$K813="",'Detalle'!$L813=""),"",IF(AND(M$8&lt;='Detalle'!$K813,M$9&gt;='Detalle'!$J813),1,""))</x:f>
      </x:c>
      <x:c r="N1672" s="32" t="str">
        <x:f>IF(OR('Detalle'!$J813="",'Detalle'!$K813="",'Detalle'!$L813=""),"",IF(AND(N$8&lt;='Detalle'!$K813,N$9&gt;='Detalle'!$J813),1,""))</x:f>
      </x:c>
      <x:c r="O1672" s="32" t="str">
        <x:f>IF(OR('Detalle'!$J813="",'Detalle'!$K813="",'Detalle'!$L813=""),"",IF(AND(O$8&lt;='Detalle'!$K813,O$9&gt;='Detalle'!$J813),1,""))</x:f>
      </x:c>
      <x:c r="P1672" s="32" t="str">
        <x:f>IF(OR('Detalle'!$J813="",'Detalle'!$K813="",'Detalle'!$L813=""),"",IF(AND(P$8&lt;='Detalle'!$K813,P$9&gt;='Detalle'!$J813),1,""))</x:f>
      </x:c>
      <x:c r="Q1672" s="68"/>
      <x:c r="R1672" s="67" t="str"/>
      <x:c r="S1672" s="67" t="str"/>
    </x:row>
    <x:row r="1673" ht="16" customHeight="1">
      <x:c r="A1673" s="56" t="str">
        <x:v>PIL01.016</x:v>
      </x:c>
      <x:c r="B1673" s="57" t="str">
        <x:v>Probar respuesta duplicada o perdida</x:v>
      </x:c>
      <x:c r="C1673" s="62" t="str">
        <x:v>E</x:v>
      </x:c>
      <x:c r="D1673" s="64" t="n">
        <x:f>'Detalle'!I814</x:f>
        <x:v>1</x:v>
      </x:c>
      <x:c r="E1673" s="60" t="str">
        <x:f>'Detalle'!F814</x:f>
        <x:v>Completado</x:v>
      </x:c>
      <x:c r="F1673" s="32" t="str">
        <x:f>IF(AND(F$8&lt;='Detalle'!$H814,F$9&gt;='Detalle'!$G814),1,"")</x:f>
      </x:c>
      <x:c r="G1673" s="32" t="str">
        <x:f>IF(AND(G$8&lt;='Detalle'!$H814,G$9&gt;='Detalle'!$G814),1,"")</x:f>
      </x:c>
      <x:c r="H1673" s="32" t="str">
        <x:f>IF(AND(H$8&lt;='Detalle'!$H814,H$9&gt;='Detalle'!$G814),1,"")</x:f>
      </x:c>
      <x:c r="I1673" s="32" t="str">
        <x:f>IF(AND(I$8&lt;='Detalle'!$H814,I$9&gt;='Detalle'!$G814),1,"")</x:f>
      </x:c>
      <x:c r="J1673" s="32" t="n">
        <x:f>IF(AND(J$8&lt;='Detalle'!$H814,J$9&gt;='Detalle'!$G814),1,"")</x:f>
        <x:v>1</x:v>
      </x:c>
      <x:c r="K1673" s="32" t="str">
        <x:f>IF(AND(K$8&lt;='Detalle'!$H814,K$9&gt;='Detalle'!$G814),1,"")</x:f>
      </x:c>
      <x:c r="L1673" s="32" t="str">
        <x:f>IF(AND(L$8&lt;='Detalle'!$H814,L$9&gt;='Detalle'!$G814),1,"")</x:f>
      </x:c>
      <x:c r="M1673" s="32" t="str">
        <x:f>IF(AND(M$8&lt;='Detalle'!$H814,M$9&gt;='Detalle'!$G814),1,"")</x:f>
      </x:c>
      <x:c r="N1673" s="32" t="str">
        <x:f>IF(AND(N$8&lt;='Detalle'!$H814,N$9&gt;='Detalle'!$G814),1,"")</x:f>
      </x:c>
      <x:c r="O1673" s="32" t="str">
        <x:f>IF(AND(O$8&lt;='Detalle'!$H814,O$9&gt;='Detalle'!$G814),1,"")</x:f>
      </x:c>
      <x:c r="P1673" s="32" t="str">
        <x:f>IF(AND(P$8&lt;='Detalle'!$H814,P$9&gt;='Detalle'!$G814),1,"")</x:f>
      </x:c>
      <x:c r="Q1673" s="68"/>
      <x:c r="R1673" s="67" t="str">
        <x:f>IF('Detalle'!M814="","",'Detalle'!M814)</x:f>
      </x:c>
      <x:c r="S1673" s="67" t="str">
        <x:f>IF('Detalle'!N814="","",'Detalle'!N814)</x:f>
      </x:c>
    </x:row>
    <x:row r="1674" ht="16" customHeight="1">
      <x:c r="A1674" s="56" t="str">
        <x:v>PIL01.016</x:v>
      </x:c>
      <x:c r="B1674" s="57" t="str">
        <x:v>Probar respuesta duplicada o perdida</x:v>
      </x:c>
      <x:c r="C1674" s="63" t="str">
        <x:v>R</x:v>
      </x:c>
      <x:c r="D1674" s="65" t="str">
        <x:f>IF('Detalle'!L814="","",'Detalle'!L814)</x:f>
      </x:c>
      <x:c r="E1674" s="60" t="str"/>
      <x:c r="F1674" s="32" t="str">
        <x:f>IF(OR('Detalle'!$J814="",'Detalle'!$K814="",'Detalle'!$L814=""),"",IF(AND(F$8&lt;='Detalle'!$K814,F$9&gt;='Detalle'!$J814),1,""))</x:f>
      </x:c>
      <x:c r="G1674" s="32" t="str">
        <x:f>IF(OR('Detalle'!$J814="",'Detalle'!$K814="",'Detalle'!$L814=""),"",IF(AND(G$8&lt;='Detalle'!$K814,G$9&gt;='Detalle'!$J814),1,""))</x:f>
      </x:c>
      <x:c r="H1674" s="32" t="str">
        <x:f>IF(OR('Detalle'!$J814="",'Detalle'!$K814="",'Detalle'!$L814=""),"",IF(AND(H$8&lt;='Detalle'!$K814,H$9&gt;='Detalle'!$J814),1,""))</x:f>
      </x:c>
      <x:c r="I1674" s="32" t="str">
        <x:f>IF(OR('Detalle'!$J814="",'Detalle'!$K814="",'Detalle'!$L814=""),"",IF(AND(I$8&lt;='Detalle'!$K814,I$9&gt;='Detalle'!$J814),1,""))</x:f>
      </x:c>
      <x:c r="J1674" s="32" t="str">
        <x:f>IF(OR('Detalle'!$J814="",'Detalle'!$K814="",'Detalle'!$L814=""),"",IF(AND(J$8&lt;='Detalle'!$K814,J$9&gt;='Detalle'!$J814),1,""))</x:f>
      </x:c>
      <x:c r="K1674" s="32" t="str">
        <x:f>IF(OR('Detalle'!$J814="",'Detalle'!$K814="",'Detalle'!$L814=""),"",IF(AND(K$8&lt;='Detalle'!$K814,K$9&gt;='Detalle'!$J814),1,""))</x:f>
      </x:c>
      <x:c r="L1674" s="32" t="str">
        <x:f>IF(OR('Detalle'!$J814="",'Detalle'!$K814="",'Detalle'!$L814=""),"",IF(AND(L$8&lt;='Detalle'!$K814,L$9&gt;='Detalle'!$J814),1,""))</x:f>
      </x:c>
      <x:c r="M1674" s="32" t="str">
        <x:f>IF(OR('Detalle'!$J814="",'Detalle'!$K814="",'Detalle'!$L814=""),"",IF(AND(M$8&lt;='Detalle'!$K814,M$9&gt;='Detalle'!$J814),1,""))</x:f>
      </x:c>
      <x:c r="N1674" s="32" t="str">
        <x:f>IF(OR('Detalle'!$J814="",'Detalle'!$K814="",'Detalle'!$L814=""),"",IF(AND(N$8&lt;='Detalle'!$K814,N$9&gt;='Detalle'!$J814),1,""))</x:f>
      </x:c>
      <x:c r="O1674" s="32" t="str">
        <x:f>IF(OR('Detalle'!$J814="",'Detalle'!$K814="",'Detalle'!$L814=""),"",IF(AND(O$8&lt;='Detalle'!$K814,O$9&gt;='Detalle'!$J814),1,""))</x:f>
      </x:c>
      <x:c r="P1674" s="32" t="str">
        <x:f>IF(OR('Detalle'!$J814="",'Detalle'!$K814="",'Detalle'!$L814=""),"",IF(AND(P$8&lt;='Detalle'!$K814,P$9&gt;='Detalle'!$J814),1,""))</x:f>
      </x:c>
      <x:c r="Q1674" s="68"/>
      <x:c r="R1674" s="67" t="str"/>
      <x:c r="S1674" s="67" t="str"/>
    </x:row>
    <x:row r="1675" ht="16" customHeight="1">
      <x:c r="A1675" s="56" t="str">
        <x:v>PIL01.017</x:v>
      </x:c>
      <x:c r="B1675" s="57" t="str">
        <x:v>Probar borrado durante escritura</x:v>
      </x:c>
      <x:c r="C1675" s="62" t="str">
        <x:v>E</x:v>
      </x:c>
      <x:c r="D1675" s="64" t="n">
        <x:f>'Detalle'!I815</x:f>
        <x:v>1</x:v>
      </x:c>
      <x:c r="E1675" s="60" t="str">
        <x:f>'Detalle'!F815</x:f>
        <x:v>Completado</x:v>
      </x:c>
      <x:c r="F1675" s="32" t="str">
        <x:f>IF(AND(F$8&lt;='Detalle'!$H815,F$9&gt;='Detalle'!$G815),1,"")</x:f>
      </x:c>
      <x:c r="G1675" s="32" t="str">
        <x:f>IF(AND(G$8&lt;='Detalle'!$H815,G$9&gt;='Detalle'!$G815),1,"")</x:f>
      </x:c>
      <x:c r="H1675" s="32" t="str">
        <x:f>IF(AND(H$8&lt;='Detalle'!$H815,H$9&gt;='Detalle'!$G815),1,"")</x:f>
      </x:c>
      <x:c r="I1675" s="32" t="str">
        <x:f>IF(AND(I$8&lt;='Detalle'!$H815,I$9&gt;='Detalle'!$G815),1,"")</x:f>
      </x:c>
      <x:c r="J1675" s="32" t="n">
        <x:f>IF(AND(J$8&lt;='Detalle'!$H815,J$9&gt;='Detalle'!$G815),1,"")</x:f>
        <x:v>1</x:v>
      </x:c>
      <x:c r="K1675" s="32" t="str">
        <x:f>IF(AND(K$8&lt;='Detalle'!$H815,K$9&gt;='Detalle'!$G815),1,"")</x:f>
      </x:c>
      <x:c r="L1675" s="32" t="str">
        <x:f>IF(AND(L$8&lt;='Detalle'!$H815,L$9&gt;='Detalle'!$G815),1,"")</x:f>
      </x:c>
      <x:c r="M1675" s="32" t="str">
        <x:f>IF(AND(M$8&lt;='Detalle'!$H815,M$9&gt;='Detalle'!$G815),1,"")</x:f>
      </x:c>
      <x:c r="N1675" s="32" t="str">
        <x:f>IF(AND(N$8&lt;='Detalle'!$H815,N$9&gt;='Detalle'!$G815),1,"")</x:f>
      </x:c>
      <x:c r="O1675" s="32" t="str">
        <x:f>IF(AND(O$8&lt;='Detalle'!$H815,O$9&gt;='Detalle'!$G815),1,"")</x:f>
      </x:c>
      <x:c r="P1675" s="32" t="str">
        <x:f>IF(AND(P$8&lt;='Detalle'!$H815,P$9&gt;='Detalle'!$G815),1,"")</x:f>
      </x:c>
      <x:c r="Q1675" s="68"/>
      <x:c r="R1675" s="67" t="str">
        <x:f>IF('Detalle'!M815="","",'Detalle'!M815)</x:f>
      </x:c>
      <x:c r="S1675" s="67" t="str">
        <x:f>IF('Detalle'!N815="","",'Detalle'!N815)</x:f>
      </x:c>
    </x:row>
    <x:row r="1676" ht="16" customHeight="1">
      <x:c r="A1676" s="56" t="str">
        <x:v>PIL01.017</x:v>
      </x:c>
      <x:c r="B1676" s="57" t="str">
        <x:v>Probar borrado durante escritura</x:v>
      </x:c>
      <x:c r="C1676" s="63" t="str">
        <x:v>R</x:v>
      </x:c>
      <x:c r="D1676" s="65" t="str">
        <x:f>IF('Detalle'!L815="","",'Detalle'!L815)</x:f>
      </x:c>
      <x:c r="E1676" s="60" t="str"/>
      <x:c r="F1676" s="32" t="str">
        <x:f>IF(OR('Detalle'!$J815="",'Detalle'!$K815="",'Detalle'!$L815=""),"",IF(AND(F$8&lt;='Detalle'!$K815,F$9&gt;='Detalle'!$J815),1,""))</x:f>
      </x:c>
      <x:c r="G1676" s="32" t="str">
        <x:f>IF(OR('Detalle'!$J815="",'Detalle'!$K815="",'Detalle'!$L815=""),"",IF(AND(G$8&lt;='Detalle'!$K815,G$9&gt;='Detalle'!$J815),1,""))</x:f>
      </x:c>
      <x:c r="H1676" s="32" t="str">
        <x:f>IF(OR('Detalle'!$J815="",'Detalle'!$K815="",'Detalle'!$L815=""),"",IF(AND(H$8&lt;='Detalle'!$K815,H$9&gt;='Detalle'!$J815),1,""))</x:f>
      </x:c>
      <x:c r="I1676" s="32" t="str">
        <x:f>IF(OR('Detalle'!$J815="",'Detalle'!$K815="",'Detalle'!$L815=""),"",IF(AND(I$8&lt;='Detalle'!$K815,I$9&gt;='Detalle'!$J815),1,""))</x:f>
      </x:c>
      <x:c r="J1676" s="32" t="str">
        <x:f>IF(OR('Detalle'!$J815="",'Detalle'!$K815="",'Detalle'!$L815=""),"",IF(AND(J$8&lt;='Detalle'!$K815,J$9&gt;='Detalle'!$J815),1,""))</x:f>
      </x:c>
      <x:c r="K1676" s="32" t="str">
        <x:f>IF(OR('Detalle'!$J815="",'Detalle'!$K815="",'Detalle'!$L815=""),"",IF(AND(K$8&lt;='Detalle'!$K815,K$9&gt;='Detalle'!$J815),1,""))</x:f>
      </x:c>
      <x:c r="L1676" s="32" t="str">
        <x:f>IF(OR('Detalle'!$J815="",'Detalle'!$K815="",'Detalle'!$L815=""),"",IF(AND(L$8&lt;='Detalle'!$K815,L$9&gt;='Detalle'!$J815),1,""))</x:f>
      </x:c>
      <x:c r="M1676" s="32" t="str">
        <x:f>IF(OR('Detalle'!$J815="",'Detalle'!$K815="",'Detalle'!$L815=""),"",IF(AND(M$8&lt;='Detalle'!$K815,M$9&gt;='Detalle'!$J815),1,""))</x:f>
      </x:c>
      <x:c r="N1676" s="32" t="str">
        <x:f>IF(OR('Detalle'!$J815="",'Detalle'!$K815="",'Detalle'!$L815=""),"",IF(AND(N$8&lt;='Detalle'!$K815,N$9&gt;='Detalle'!$J815),1,""))</x:f>
      </x:c>
      <x:c r="O1676" s="32" t="str">
        <x:f>IF(OR('Detalle'!$J815="",'Detalle'!$K815="",'Detalle'!$L815=""),"",IF(AND(O$8&lt;='Detalle'!$K815,O$9&gt;='Detalle'!$J815),1,""))</x:f>
      </x:c>
      <x:c r="P1676" s="32" t="str">
        <x:f>IF(OR('Detalle'!$J815="",'Detalle'!$K815="",'Detalle'!$L815=""),"",IF(AND(P$8&lt;='Detalle'!$K815,P$9&gt;='Detalle'!$J815),1,""))</x:f>
      </x:c>
      <x:c r="Q1676" s="68"/>
      <x:c r="R1676" s="67" t="str"/>
      <x:c r="S1676" s="67" t="str"/>
    </x:row>
    <x:row r="1677" ht="16" customHeight="1">
      <x:c r="A1677" s="56" t="str">
        <x:v>PIL01.018</x:v>
      </x:c>
      <x:c r="B1677" s="57" t="str">
        <x:v>Probar publicación y recursos de visitante</x:v>
      </x:c>
      <x:c r="C1677" s="62" t="str">
        <x:v>E</x:v>
      </x:c>
      <x:c r="D1677" s="64" t="n">
        <x:f>'Detalle'!I816</x:f>
        <x:v>1</x:v>
      </x:c>
      <x:c r="E1677" s="60" t="str">
        <x:f>'Detalle'!F816</x:f>
        <x:v>Completado</x:v>
      </x:c>
      <x:c r="F1677" s="32" t="str">
        <x:f>IF(AND(F$8&lt;='Detalle'!$H816,F$9&gt;='Detalle'!$G816),1,"")</x:f>
      </x:c>
      <x:c r="G1677" s="32" t="str">
        <x:f>IF(AND(G$8&lt;='Detalle'!$H816,G$9&gt;='Detalle'!$G816),1,"")</x:f>
      </x:c>
      <x:c r="H1677" s="32" t="str">
        <x:f>IF(AND(H$8&lt;='Detalle'!$H816,H$9&gt;='Detalle'!$G816),1,"")</x:f>
      </x:c>
      <x:c r="I1677" s="32" t="str">
        <x:f>IF(AND(I$8&lt;='Detalle'!$H816,I$9&gt;='Detalle'!$G816),1,"")</x:f>
      </x:c>
      <x:c r="J1677" s="32" t="n">
        <x:f>IF(AND(J$8&lt;='Detalle'!$H816,J$9&gt;='Detalle'!$G816),1,"")</x:f>
        <x:v>1</x:v>
      </x:c>
      <x:c r="K1677" s="32" t="str">
        <x:f>IF(AND(K$8&lt;='Detalle'!$H816,K$9&gt;='Detalle'!$G816),1,"")</x:f>
      </x:c>
      <x:c r="L1677" s="32" t="str">
        <x:f>IF(AND(L$8&lt;='Detalle'!$H816,L$9&gt;='Detalle'!$G816),1,"")</x:f>
      </x:c>
      <x:c r="M1677" s="32" t="str">
        <x:f>IF(AND(M$8&lt;='Detalle'!$H816,M$9&gt;='Detalle'!$G816),1,"")</x:f>
      </x:c>
      <x:c r="N1677" s="32" t="str">
        <x:f>IF(AND(N$8&lt;='Detalle'!$H816,N$9&gt;='Detalle'!$G816),1,"")</x:f>
      </x:c>
      <x:c r="O1677" s="32" t="str">
        <x:f>IF(AND(O$8&lt;='Detalle'!$H816,O$9&gt;='Detalle'!$G816),1,"")</x:f>
      </x:c>
      <x:c r="P1677" s="32" t="str">
        <x:f>IF(AND(P$8&lt;='Detalle'!$H816,P$9&gt;='Detalle'!$G816),1,"")</x:f>
      </x:c>
      <x:c r="Q1677" s="68"/>
      <x:c r="R1677" s="67" t="str">
        <x:f>IF('Detalle'!M816="","",'Detalle'!M816)</x:f>
      </x:c>
      <x:c r="S1677" s="67" t="str">
        <x:f>IF('Detalle'!N816="","",'Detalle'!N816)</x:f>
      </x:c>
    </x:row>
    <x:row r="1678" ht="16" customHeight="1">
      <x:c r="A1678" s="56" t="str">
        <x:v>PIL01.018</x:v>
      </x:c>
      <x:c r="B1678" s="57" t="str">
        <x:v>Probar publicación y recursos de visitante</x:v>
      </x:c>
      <x:c r="C1678" s="63" t="str">
        <x:v>R</x:v>
      </x:c>
      <x:c r="D1678" s="65" t="str">
        <x:f>IF('Detalle'!L816="","",'Detalle'!L816)</x:f>
      </x:c>
      <x:c r="E1678" s="60" t="str"/>
      <x:c r="F1678" s="32" t="str">
        <x:f>IF(OR('Detalle'!$J816="",'Detalle'!$K816="",'Detalle'!$L816=""),"",IF(AND(F$8&lt;='Detalle'!$K816,F$9&gt;='Detalle'!$J816),1,""))</x:f>
      </x:c>
      <x:c r="G1678" s="32" t="str">
        <x:f>IF(OR('Detalle'!$J816="",'Detalle'!$K816="",'Detalle'!$L816=""),"",IF(AND(G$8&lt;='Detalle'!$K816,G$9&gt;='Detalle'!$J816),1,""))</x:f>
      </x:c>
      <x:c r="H1678" s="32" t="str">
        <x:f>IF(OR('Detalle'!$J816="",'Detalle'!$K816="",'Detalle'!$L816=""),"",IF(AND(H$8&lt;='Detalle'!$K816,H$9&gt;='Detalle'!$J816),1,""))</x:f>
      </x:c>
      <x:c r="I1678" s="32" t="str">
        <x:f>IF(OR('Detalle'!$J816="",'Detalle'!$K816="",'Detalle'!$L816=""),"",IF(AND(I$8&lt;='Detalle'!$K816,I$9&gt;='Detalle'!$J816),1,""))</x:f>
      </x:c>
      <x:c r="J1678" s="32" t="str">
        <x:f>IF(OR('Detalle'!$J816="",'Detalle'!$K816="",'Detalle'!$L816=""),"",IF(AND(J$8&lt;='Detalle'!$K816,J$9&gt;='Detalle'!$J816),1,""))</x:f>
      </x:c>
      <x:c r="K1678" s="32" t="str">
        <x:f>IF(OR('Detalle'!$J816="",'Detalle'!$K816="",'Detalle'!$L816=""),"",IF(AND(K$8&lt;='Detalle'!$K816,K$9&gt;='Detalle'!$J816),1,""))</x:f>
      </x:c>
      <x:c r="L1678" s="32" t="str">
        <x:f>IF(OR('Detalle'!$J816="",'Detalle'!$K816="",'Detalle'!$L816=""),"",IF(AND(L$8&lt;='Detalle'!$K816,L$9&gt;='Detalle'!$J816),1,""))</x:f>
      </x:c>
      <x:c r="M1678" s="32" t="str">
        <x:f>IF(OR('Detalle'!$J816="",'Detalle'!$K816="",'Detalle'!$L816=""),"",IF(AND(M$8&lt;='Detalle'!$K816,M$9&gt;='Detalle'!$J816),1,""))</x:f>
      </x:c>
      <x:c r="N1678" s="32" t="str">
        <x:f>IF(OR('Detalle'!$J816="",'Detalle'!$K816="",'Detalle'!$L816=""),"",IF(AND(N$8&lt;='Detalle'!$K816,N$9&gt;='Detalle'!$J816),1,""))</x:f>
      </x:c>
      <x:c r="O1678" s="32" t="str">
        <x:f>IF(OR('Detalle'!$J816="",'Detalle'!$K816="",'Detalle'!$L816=""),"",IF(AND(O$8&lt;='Detalle'!$K816,O$9&gt;='Detalle'!$J816),1,""))</x:f>
      </x:c>
      <x:c r="P1678" s="32" t="str">
        <x:f>IF(OR('Detalle'!$J816="",'Detalle'!$K816="",'Detalle'!$L816=""),"",IF(AND(P$8&lt;='Detalle'!$K816,P$9&gt;='Detalle'!$J816),1,""))</x:f>
      </x:c>
      <x:c r="Q1678" s="68"/>
      <x:c r="R1678" s="67" t="str"/>
      <x:c r="S1678" s="67" t="str"/>
    </x:row>
    <x:row r="1679" ht="16" customHeight="1">
      <x:c r="A1679" s="56" t="str">
        <x:v>PIL01.019</x:v>
      </x:c>
      <x:c r="B1679" s="57" t="str">
        <x:v>Probar progreso privado contra Supabase</x:v>
      </x:c>
      <x:c r="C1679" s="62" t="str">
        <x:v>E</x:v>
      </x:c>
      <x:c r="D1679" s="64" t="n">
        <x:f>'Detalle'!I817</x:f>
        <x:v>1</x:v>
      </x:c>
      <x:c r="E1679" s="60" t="str">
        <x:f>'Detalle'!F817</x:f>
        <x:v>Completado</x:v>
      </x:c>
      <x:c r="F1679" s="32" t="str">
        <x:f>IF(AND(F$8&lt;='Detalle'!$H817,F$9&gt;='Detalle'!$G817),1,"")</x:f>
      </x:c>
      <x:c r="G1679" s="32" t="str">
        <x:f>IF(AND(G$8&lt;='Detalle'!$H817,G$9&gt;='Detalle'!$G817),1,"")</x:f>
      </x:c>
      <x:c r="H1679" s="32" t="str">
        <x:f>IF(AND(H$8&lt;='Detalle'!$H817,H$9&gt;='Detalle'!$G817),1,"")</x:f>
      </x:c>
      <x:c r="I1679" s="32" t="str">
        <x:f>IF(AND(I$8&lt;='Detalle'!$H817,I$9&gt;='Detalle'!$G817),1,"")</x:f>
      </x:c>
      <x:c r="J1679" s="32" t="n">
        <x:f>IF(AND(J$8&lt;='Detalle'!$H817,J$9&gt;='Detalle'!$G817),1,"")</x:f>
        <x:v>1</x:v>
      </x:c>
      <x:c r="K1679" s="32" t="str">
        <x:f>IF(AND(K$8&lt;='Detalle'!$H817,K$9&gt;='Detalle'!$G817),1,"")</x:f>
      </x:c>
      <x:c r="L1679" s="32" t="str">
        <x:f>IF(AND(L$8&lt;='Detalle'!$H817,L$9&gt;='Detalle'!$G817),1,"")</x:f>
      </x:c>
      <x:c r="M1679" s="32" t="str">
        <x:f>IF(AND(M$8&lt;='Detalle'!$H817,M$9&gt;='Detalle'!$G817),1,"")</x:f>
      </x:c>
      <x:c r="N1679" s="32" t="str">
        <x:f>IF(AND(N$8&lt;='Detalle'!$H817,N$9&gt;='Detalle'!$G817),1,"")</x:f>
      </x:c>
      <x:c r="O1679" s="32" t="str">
        <x:f>IF(AND(O$8&lt;='Detalle'!$H817,O$9&gt;='Detalle'!$G817),1,"")</x:f>
      </x:c>
      <x:c r="P1679" s="32" t="str">
        <x:f>IF(AND(P$8&lt;='Detalle'!$H817,P$9&gt;='Detalle'!$G817),1,"")</x:f>
      </x:c>
      <x:c r="Q1679" s="68"/>
      <x:c r="R1679" s="67" t="str">
        <x:f>IF('Detalle'!M817="","",'Detalle'!M817)</x:f>
      </x:c>
      <x:c r="S1679" s="67" t="str">
        <x:f>IF('Detalle'!N817="","",'Detalle'!N817)</x:f>
      </x:c>
    </x:row>
    <x:row r="1680" ht="16" customHeight="1">
      <x:c r="A1680" s="56" t="str">
        <x:v>PIL01.019</x:v>
      </x:c>
      <x:c r="B1680" s="57" t="str">
        <x:v>Probar progreso privado contra Supabase</x:v>
      </x:c>
      <x:c r="C1680" s="63" t="str">
        <x:v>R</x:v>
      </x:c>
      <x:c r="D1680" s="65" t="str">
        <x:f>IF('Detalle'!L817="","",'Detalle'!L817)</x:f>
      </x:c>
      <x:c r="E1680" s="60" t="str"/>
      <x:c r="F1680" s="32" t="str">
        <x:f>IF(OR('Detalle'!$J817="",'Detalle'!$K817="",'Detalle'!$L817=""),"",IF(AND(F$8&lt;='Detalle'!$K817,F$9&gt;='Detalle'!$J817),1,""))</x:f>
      </x:c>
      <x:c r="G1680" s="32" t="str">
        <x:f>IF(OR('Detalle'!$J817="",'Detalle'!$K817="",'Detalle'!$L817=""),"",IF(AND(G$8&lt;='Detalle'!$K817,G$9&gt;='Detalle'!$J817),1,""))</x:f>
      </x:c>
      <x:c r="H1680" s="32" t="str">
        <x:f>IF(OR('Detalle'!$J817="",'Detalle'!$K817="",'Detalle'!$L817=""),"",IF(AND(H$8&lt;='Detalle'!$K817,H$9&gt;='Detalle'!$J817),1,""))</x:f>
      </x:c>
      <x:c r="I1680" s="32" t="str">
        <x:f>IF(OR('Detalle'!$J817="",'Detalle'!$K817="",'Detalle'!$L817=""),"",IF(AND(I$8&lt;='Detalle'!$K817,I$9&gt;='Detalle'!$J817),1,""))</x:f>
      </x:c>
      <x:c r="J1680" s="32" t="str">
        <x:f>IF(OR('Detalle'!$J817="",'Detalle'!$K817="",'Detalle'!$L817=""),"",IF(AND(J$8&lt;='Detalle'!$K817,J$9&gt;='Detalle'!$J817),1,""))</x:f>
      </x:c>
      <x:c r="K1680" s="32" t="str">
        <x:f>IF(OR('Detalle'!$J817="",'Detalle'!$K817="",'Detalle'!$L817=""),"",IF(AND(K$8&lt;='Detalle'!$K817,K$9&gt;='Detalle'!$J817),1,""))</x:f>
      </x:c>
      <x:c r="L1680" s="32" t="str">
        <x:f>IF(OR('Detalle'!$J817="",'Detalle'!$K817="",'Detalle'!$L817=""),"",IF(AND(L$8&lt;='Detalle'!$K817,L$9&gt;='Detalle'!$J817),1,""))</x:f>
      </x:c>
      <x:c r="M1680" s="32" t="str">
        <x:f>IF(OR('Detalle'!$J817="",'Detalle'!$K817="",'Detalle'!$L817=""),"",IF(AND(M$8&lt;='Detalle'!$K817,M$9&gt;='Detalle'!$J817),1,""))</x:f>
      </x:c>
      <x:c r="N1680" s="32" t="str">
        <x:f>IF(OR('Detalle'!$J817="",'Detalle'!$K817="",'Detalle'!$L817=""),"",IF(AND(N$8&lt;='Detalle'!$K817,N$9&gt;='Detalle'!$J817),1,""))</x:f>
      </x:c>
      <x:c r="O1680" s="32" t="str">
        <x:f>IF(OR('Detalle'!$J817="",'Detalle'!$K817="",'Detalle'!$L817=""),"",IF(AND(O$8&lt;='Detalle'!$K817,O$9&gt;='Detalle'!$J817),1,""))</x:f>
      </x:c>
      <x:c r="P1680" s="32" t="str">
        <x:f>IF(OR('Detalle'!$J817="",'Detalle'!$K817="",'Detalle'!$L817=""),"",IF(AND(P$8&lt;='Detalle'!$K817,P$9&gt;='Detalle'!$J817),1,""))</x:f>
      </x:c>
      <x:c r="Q1680" s="68"/>
      <x:c r="R1680" s="67" t="str"/>
      <x:c r="S1680" s="67" t="str"/>
    </x:row>
    <x:row r="1681" ht="16" customHeight="1">
      <x:c r="A1681" s="56" t="str">
        <x:v>PIL01.020</x:v>
      </x:c>
      <x:c r="B1681" s="57" t="str">
        <x:v>Probar renovación de cleanup lease</x:v>
      </x:c>
      <x:c r="C1681" s="62" t="str">
        <x:v>E</x:v>
      </x:c>
      <x:c r="D1681" s="64" t="n">
        <x:f>'Detalle'!I818</x:f>
        <x:v>1</x:v>
      </x:c>
      <x:c r="E1681" s="60" t="str">
        <x:f>'Detalle'!F818</x:f>
        <x:v>Completado</x:v>
      </x:c>
      <x:c r="F1681" s="32" t="str">
        <x:f>IF(AND(F$8&lt;='Detalle'!$H818,F$9&gt;='Detalle'!$G818),1,"")</x:f>
      </x:c>
      <x:c r="G1681" s="32" t="str">
        <x:f>IF(AND(G$8&lt;='Detalle'!$H818,G$9&gt;='Detalle'!$G818),1,"")</x:f>
      </x:c>
      <x:c r="H1681" s="32" t="str">
        <x:f>IF(AND(H$8&lt;='Detalle'!$H818,H$9&gt;='Detalle'!$G818),1,"")</x:f>
      </x:c>
      <x:c r="I1681" s="32" t="str">
        <x:f>IF(AND(I$8&lt;='Detalle'!$H818,I$9&gt;='Detalle'!$G818),1,"")</x:f>
      </x:c>
      <x:c r="J1681" s="32" t="n">
        <x:f>IF(AND(J$8&lt;='Detalle'!$H818,J$9&gt;='Detalle'!$G818),1,"")</x:f>
        <x:v>1</x:v>
      </x:c>
      <x:c r="K1681" s="32" t="str">
        <x:f>IF(AND(K$8&lt;='Detalle'!$H818,K$9&gt;='Detalle'!$G818),1,"")</x:f>
      </x:c>
      <x:c r="L1681" s="32" t="str">
        <x:f>IF(AND(L$8&lt;='Detalle'!$H818,L$9&gt;='Detalle'!$G818),1,"")</x:f>
      </x:c>
      <x:c r="M1681" s="32" t="str">
        <x:f>IF(AND(M$8&lt;='Detalle'!$H818,M$9&gt;='Detalle'!$G818),1,"")</x:f>
      </x:c>
      <x:c r="N1681" s="32" t="str">
        <x:f>IF(AND(N$8&lt;='Detalle'!$H818,N$9&gt;='Detalle'!$G818),1,"")</x:f>
      </x:c>
      <x:c r="O1681" s="32" t="str">
        <x:f>IF(AND(O$8&lt;='Detalle'!$H818,O$9&gt;='Detalle'!$G818),1,"")</x:f>
      </x:c>
      <x:c r="P1681" s="32" t="str">
        <x:f>IF(AND(P$8&lt;='Detalle'!$H818,P$9&gt;='Detalle'!$G818),1,"")</x:f>
      </x:c>
      <x:c r="Q1681" s="68"/>
      <x:c r="R1681" s="67" t="str">
        <x:f>IF('Detalle'!M818="","",'Detalle'!M818)</x:f>
      </x:c>
      <x:c r="S1681" s="67" t="str">
        <x:f>IF('Detalle'!N818="","",'Detalle'!N818)</x:f>
      </x:c>
    </x:row>
    <x:row r="1682" ht="16" customHeight="1">
      <x:c r="A1682" s="56" t="str">
        <x:v>PIL01.020</x:v>
      </x:c>
      <x:c r="B1682" s="57" t="str">
        <x:v>Probar renovación de cleanup lease</x:v>
      </x:c>
      <x:c r="C1682" s="63" t="str">
        <x:v>R</x:v>
      </x:c>
      <x:c r="D1682" s="65" t="str">
        <x:f>IF('Detalle'!L818="","",'Detalle'!L818)</x:f>
      </x:c>
      <x:c r="E1682" s="60" t="str"/>
      <x:c r="F1682" s="32" t="str">
        <x:f>IF(OR('Detalle'!$J818="",'Detalle'!$K818="",'Detalle'!$L818=""),"",IF(AND(F$8&lt;='Detalle'!$K818,F$9&gt;='Detalle'!$J818),1,""))</x:f>
      </x:c>
      <x:c r="G1682" s="32" t="str">
        <x:f>IF(OR('Detalle'!$J818="",'Detalle'!$K818="",'Detalle'!$L818=""),"",IF(AND(G$8&lt;='Detalle'!$K818,G$9&gt;='Detalle'!$J818),1,""))</x:f>
      </x:c>
      <x:c r="H1682" s="32" t="str">
        <x:f>IF(OR('Detalle'!$J818="",'Detalle'!$K818="",'Detalle'!$L818=""),"",IF(AND(H$8&lt;='Detalle'!$K818,H$9&gt;='Detalle'!$J818),1,""))</x:f>
      </x:c>
      <x:c r="I1682" s="32" t="str">
        <x:f>IF(OR('Detalle'!$J818="",'Detalle'!$K818="",'Detalle'!$L818=""),"",IF(AND(I$8&lt;='Detalle'!$K818,I$9&gt;='Detalle'!$J818),1,""))</x:f>
      </x:c>
      <x:c r="J1682" s="32" t="str">
        <x:f>IF(OR('Detalle'!$J818="",'Detalle'!$K818="",'Detalle'!$L818=""),"",IF(AND(J$8&lt;='Detalle'!$K818,J$9&gt;='Detalle'!$J818),1,""))</x:f>
      </x:c>
      <x:c r="K1682" s="32" t="str">
        <x:f>IF(OR('Detalle'!$J818="",'Detalle'!$K818="",'Detalle'!$L818=""),"",IF(AND(K$8&lt;='Detalle'!$K818,K$9&gt;='Detalle'!$J818),1,""))</x:f>
      </x:c>
      <x:c r="L1682" s="32" t="str">
        <x:f>IF(OR('Detalle'!$J818="",'Detalle'!$K818="",'Detalle'!$L818=""),"",IF(AND(L$8&lt;='Detalle'!$K818,L$9&gt;='Detalle'!$J818),1,""))</x:f>
      </x:c>
      <x:c r="M1682" s="32" t="str">
        <x:f>IF(OR('Detalle'!$J818="",'Detalle'!$K818="",'Detalle'!$L818=""),"",IF(AND(M$8&lt;='Detalle'!$K818,M$9&gt;='Detalle'!$J818),1,""))</x:f>
      </x:c>
      <x:c r="N1682" s="32" t="str">
        <x:f>IF(OR('Detalle'!$J818="",'Detalle'!$K818="",'Detalle'!$L818=""),"",IF(AND(N$8&lt;='Detalle'!$K818,N$9&gt;='Detalle'!$J818),1,""))</x:f>
      </x:c>
      <x:c r="O1682" s="32" t="str">
        <x:f>IF(OR('Detalle'!$J818="",'Detalle'!$K818="",'Detalle'!$L818=""),"",IF(AND(O$8&lt;='Detalle'!$K818,O$9&gt;='Detalle'!$J818),1,""))</x:f>
      </x:c>
      <x:c r="P1682" s="32" t="str">
        <x:f>IF(OR('Detalle'!$J818="",'Detalle'!$K818="",'Detalle'!$L818=""),"",IF(AND(P$8&lt;='Detalle'!$K818,P$9&gt;='Detalle'!$J818),1,""))</x:f>
      </x:c>
      <x:c r="Q1682" s="68"/>
      <x:c r="R1682" s="67" t="str"/>
      <x:c r="S1682" s="67" t="str"/>
    </x:row>
    <x:row r="1683" ht="16" customHeight="1">
      <x:c r="A1683" s="56" t="str">
        <x:v>PIL01.021</x:v>
      </x:c>
      <x:c r="B1683" s="57" t="str">
        <x:v>Crear runner --once y --watch</x:v>
      </x:c>
      <x:c r="C1683" s="62" t="str">
        <x:v>E</x:v>
      </x:c>
      <x:c r="D1683" s="64" t="n">
        <x:f>'Detalle'!I819</x:f>
        <x:v>1</x:v>
      </x:c>
      <x:c r="E1683" s="60" t="str">
        <x:f>'Detalle'!F819</x:f>
        <x:v>Completado</x:v>
      </x:c>
      <x:c r="F1683" s="32" t="str">
        <x:f>IF(AND(F$8&lt;='Detalle'!$H819,F$9&gt;='Detalle'!$G819),1,"")</x:f>
      </x:c>
      <x:c r="G1683" s="32" t="str">
        <x:f>IF(AND(G$8&lt;='Detalle'!$H819,G$9&gt;='Detalle'!$G819),1,"")</x:f>
      </x:c>
      <x:c r="H1683" s="32" t="str">
        <x:f>IF(AND(H$8&lt;='Detalle'!$H819,H$9&gt;='Detalle'!$G819),1,"")</x:f>
      </x:c>
      <x:c r="I1683" s="32" t="str">
        <x:f>IF(AND(I$8&lt;='Detalle'!$H819,I$9&gt;='Detalle'!$G819),1,"")</x:f>
      </x:c>
      <x:c r="J1683" s="32" t="n">
        <x:f>IF(AND(J$8&lt;='Detalle'!$H819,J$9&gt;='Detalle'!$G819),1,"")</x:f>
        <x:v>1</x:v>
      </x:c>
      <x:c r="K1683" s="32" t="str">
        <x:f>IF(AND(K$8&lt;='Detalle'!$H819,K$9&gt;='Detalle'!$G819),1,"")</x:f>
      </x:c>
      <x:c r="L1683" s="32" t="str">
        <x:f>IF(AND(L$8&lt;='Detalle'!$H819,L$9&gt;='Detalle'!$G819),1,"")</x:f>
      </x:c>
      <x:c r="M1683" s="32" t="str">
        <x:f>IF(AND(M$8&lt;='Detalle'!$H819,M$9&gt;='Detalle'!$G819),1,"")</x:f>
      </x:c>
      <x:c r="N1683" s="32" t="str">
        <x:f>IF(AND(N$8&lt;='Detalle'!$H819,N$9&gt;='Detalle'!$G819),1,"")</x:f>
      </x:c>
      <x:c r="O1683" s="32" t="str">
        <x:f>IF(AND(O$8&lt;='Detalle'!$H819,O$9&gt;='Detalle'!$G819),1,"")</x:f>
      </x:c>
      <x:c r="P1683" s="32" t="str">
        <x:f>IF(AND(P$8&lt;='Detalle'!$H819,P$9&gt;='Detalle'!$G819),1,"")</x:f>
      </x:c>
      <x:c r="Q1683" s="68"/>
      <x:c r="R1683" s="67" t="str">
        <x:f>IF('Detalle'!M819="","",'Detalle'!M819)</x:f>
      </x:c>
      <x:c r="S1683" s="67" t="str">
        <x:f>IF('Detalle'!N819="","",'Detalle'!N819)</x:f>
      </x:c>
    </x:row>
    <x:row r="1684" ht="16" customHeight="1">
      <x:c r="A1684" s="56" t="str">
        <x:v>PIL01.021</x:v>
      </x:c>
      <x:c r="B1684" s="57" t="str">
        <x:v>Crear runner --once y --watch</x:v>
      </x:c>
      <x:c r="C1684" s="63" t="str">
        <x:v>R</x:v>
      </x:c>
      <x:c r="D1684" s="65" t="str">
        <x:f>IF('Detalle'!L819="","",'Detalle'!L819)</x:f>
      </x:c>
      <x:c r="E1684" s="60" t="str"/>
      <x:c r="F1684" s="32" t="str">
        <x:f>IF(OR('Detalle'!$J819="",'Detalle'!$K819="",'Detalle'!$L819=""),"",IF(AND(F$8&lt;='Detalle'!$K819,F$9&gt;='Detalle'!$J819),1,""))</x:f>
      </x:c>
      <x:c r="G1684" s="32" t="str">
        <x:f>IF(OR('Detalle'!$J819="",'Detalle'!$K819="",'Detalle'!$L819=""),"",IF(AND(G$8&lt;='Detalle'!$K819,G$9&gt;='Detalle'!$J819),1,""))</x:f>
      </x:c>
      <x:c r="H1684" s="32" t="str">
        <x:f>IF(OR('Detalle'!$J819="",'Detalle'!$K819="",'Detalle'!$L819=""),"",IF(AND(H$8&lt;='Detalle'!$K819,H$9&gt;='Detalle'!$J819),1,""))</x:f>
      </x:c>
      <x:c r="I1684" s="32" t="str">
        <x:f>IF(OR('Detalle'!$J819="",'Detalle'!$K819="",'Detalle'!$L819=""),"",IF(AND(I$8&lt;='Detalle'!$K819,I$9&gt;='Detalle'!$J819),1,""))</x:f>
      </x:c>
      <x:c r="J1684" s="32" t="str">
        <x:f>IF(OR('Detalle'!$J819="",'Detalle'!$K819="",'Detalle'!$L819=""),"",IF(AND(J$8&lt;='Detalle'!$K819,J$9&gt;='Detalle'!$J819),1,""))</x:f>
      </x:c>
      <x:c r="K1684" s="32" t="str">
        <x:f>IF(OR('Detalle'!$J819="",'Detalle'!$K819="",'Detalle'!$L819=""),"",IF(AND(K$8&lt;='Detalle'!$K819,K$9&gt;='Detalle'!$J819),1,""))</x:f>
      </x:c>
      <x:c r="L1684" s="32" t="str">
        <x:f>IF(OR('Detalle'!$J819="",'Detalle'!$K819="",'Detalle'!$L819=""),"",IF(AND(L$8&lt;='Detalle'!$K819,L$9&gt;='Detalle'!$J819),1,""))</x:f>
      </x:c>
      <x:c r="M1684" s="32" t="str">
        <x:f>IF(OR('Detalle'!$J819="",'Detalle'!$K819="",'Detalle'!$L819=""),"",IF(AND(M$8&lt;='Detalle'!$K819,M$9&gt;='Detalle'!$J819),1,""))</x:f>
      </x:c>
      <x:c r="N1684" s="32" t="str">
        <x:f>IF(OR('Detalle'!$J819="",'Detalle'!$K819="",'Detalle'!$L819=""),"",IF(AND(N$8&lt;='Detalle'!$K819,N$9&gt;='Detalle'!$J819),1,""))</x:f>
      </x:c>
      <x:c r="O1684" s="32" t="str">
        <x:f>IF(OR('Detalle'!$J819="",'Detalle'!$K819="",'Detalle'!$L819=""),"",IF(AND(O$8&lt;='Detalle'!$K819,O$9&gt;='Detalle'!$J819),1,""))</x:f>
      </x:c>
      <x:c r="P1684" s="32" t="str">
        <x:f>IF(OR('Detalle'!$J819="",'Detalle'!$K819="",'Detalle'!$L819=""),"",IF(AND(P$8&lt;='Detalle'!$K819,P$9&gt;='Detalle'!$J819),1,""))</x:f>
      </x:c>
      <x:c r="Q1684" s="68"/>
      <x:c r="R1684" s="67" t="str"/>
      <x:c r="S1684" s="67" t="str"/>
    </x:row>
    <x:row r="1685" ht="16" customHeight="1">
      <x:c r="A1685" s="56" t="str">
        <x:v>PIL01.022</x:v>
      </x:c>
      <x:c r="B1685" s="57" t="str">
        <x:v>Rechazar upload futuro de imagen distinta</x:v>
      </x:c>
      <x:c r="C1685" s="62" t="str">
        <x:v>E</x:v>
      </x:c>
      <x:c r="D1685" s="64" t="n">
        <x:f>'Detalle'!I820</x:f>
        <x:v>1</x:v>
      </x:c>
      <x:c r="E1685" s="60" t="str">
        <x:f>'Detalle'!F820</x:f>
        <x:v>Completado</x:v>
      </x:c>
      <x:c r="F1685" s="32" t="str">
        <x:f>IF(AND(F$8&lt;='Detalle'!$H820,F$9&gt;='Detalle'!$G820),1,"")</x:f>
      </x:c>
      <x:c r="G1685" s="32" t="str">
        <x:f>IF(AND(G$8&lt;='Detalle'!$H820,G$9&gt;='Detalle'!$G820),1,"")</x:f>
      </x:c>
      <x:c r="H1685" s="32" t="str">
        <x:f>IF(AND(H$8&lt;='Detalle'!$H820,H$9&gt;='Detalle'!$G820),1,"")</x:f>
      </x:c>
      <x:c r="I1685" s="32" t="str">
        <x:f>IF(AND(I$8&lt;='Detalle'!$H820,I$9&gt;='Detalle'!$G820),1,"")</x:f>
      </x:c>
      <x:c r="J1685" s="32" t="n">
        <x:f>IF(AND(J$8&lt;='Detalle'!$H820,J$9&gt;='Detalle'!$G820),1,"")</x:f>
        <x:v>1</x:v>
      </x:c>
      <x:c r="K1685" s="32" t="str">
        <x:f>IF(AND(K$8&lt;='Detalle'!$H820,K$9&gt;='Detalle'!$G820),1,"")</x:f>
      </x:c>
      <x:c r="L1685" s="32" t="str">
        <x:f>IF(AND(L$8&lt;='Detalle'!$H820,L$9&gt;='Detalle'!$G820),1,"")</x:f>
      </x:c>
      <x:c r="M1685" s="32" t="str">
        <x:f>IF(AND(M$8&lt;='Detalle'!$H820,M$9&gt;='Detalle'!$G820),1,"")</x:f>
      </x:c>
      <x:c r="N1685" s="32" t="str">
        <x:f>IF(AND(N$8&lt;='Detalle'!$H820,N$9&gt;='Detalle'!$G820),1,"")</x:f>
      </x:c>
      <x:c r="O1685" s="32" t="str">
        <x:f>IF(AND(O$8&lt;='Detalle'!$H820,O$9&gt;='Detalle'!$G820),1,"")</x:f>
      </x:c>
      <x:c r="P1685" s="32" t="str">
        <x:f>IF(AND(P$8&lt;='Detalle'!$H820,P$9&gt;='Detalle'!$G820),1,"")</x:f>
      </x:c>
      <x:c r="Q1685" s="68"/>
      <x:c r="R1685" s="67" t="str">
        <x:f>IF('Detalle'!M820="","",'Detalle'!M820)</x:f>
      </x:c>
      <x:c r="S1685" s="67" t="str">
        <x:f>IF('Detalle'!N820="","",'Detalle'!N820)</x:f>
      </x:c>
    </x:row>
    <x:row r="1686" ht="16" customHeight="1">
      <x:c r="A1686" s="56" t="str">
        <x:v>PIL01.022</x:v>
      </x:c>
      <x:c r="B1686" s="57" t="str">
        <x:v>Rechazar upload futuro de imagen distinta</x:v>
      </x:c>
      <x:c r="C1686" s="63" t="str">
        <x:v>R</x:v>
      </x:c>
      <x:c r="D1686" s="65" t="str">
        <x:f>IF('Detalle'!L820="","",'Detalle'!L820)</x:f>
      </x:c>
      <x:c r="E1686" s="60" t="str"/>
      <x:c r="F1686" s="32" t="str">
        <x:f>IF(OR('Detalle'!$J820="",'Detalle'!$K820="",'Detalle'!$L820=""),"",IF(AND(F$8&lt;='Detalle'!$K820,F$9&gt;='Detalle'!$J820),1,""))</x:f>
      </x:c>
      <x:c r="G1686" s="32" t="str">
        <x:f>IF(OR('Detalle'!$J820="",'Detalle'!$K820="",'Detalle'!$L820=""),"",IF(AND(G$8&lt;='Detalle'!$K820,G$9&gt;='Detalle'!$J820),1,""))</x:f>
      </x:c>
      <x:c r="H1686" s="32" t="str">
        <x:f>IF(OR('Detalle'!$J820="",'Detalle'!$K820="",'Detalle'!$L820=""),"",IF(AND(H$8&lt;='Detalle'!$K820,H$9&gt;='Detalle'!$J820),1,""))</x:f>
      </x:c>
      <x:c r="I1686" s="32" t="str">
        <x:f>IF(OR('Detalle'!$J820="",'Detalle'!$K820="",'Detalle'!$L820=""),"",IF(AND(I$8&lt;='Detalle'!$K820,I$9&gt;='Detalle'!$J820),1,""))</x:f>
      </x:c>
      <x:c r="J1686" s="32" t="str">
        <x:f>IF(OR('Detalle'!$J820="",'Detalle'!$K820="",'Detalle'!$L820=""),"",IF(AND(J$8&lt;='Detalle'!$K820,J$9&gt;='Detalle'!$J820),1,""))</x:f>
      </x:c>
      <x:c r="K1686" s="32" t="str">
        <x:f>IF(OR('Detalle'!$J820="",'Detalle'!$K820="",'Detalle'!$L820=""),"",IF(AND(K$8&lt;='Detalle'!$K820,K$9&gt;='Detalle'!$J820),1,""))</x:f>
      </x:c>
      <x:c r="L1686" s="32" t="str">
        <x:f>IF(OR('Detalle'!$J820="",'Detalle'!$K820="",'Detalle'!$L820=""),"",IF(AND(L$8&lt;='Detalle'!$K820,L$9&gt;='Detalle'!$J820),1,""))</x:f>
      </x:c>
      <x:c r="M1686" s="32" t="str">
        <x:f>IF(OR('Detalle'!$J820="",'Detalle'!$K820="",'Detalle'!$L820=""),"",IF(AND(M$8&lt;='Detalle'!$K820,M$9&gt;='Detalle'!$J820),1,""))</x:f>
      </x:c>
      <x:c r="N1686" s="32" t="str">
        <x:f>IF(OR('Detalle'!$J820="",'Detalle'!$K820="",'Detalle'!$L820=""),"",IF(AND(N$8&lt;='Detalle'!$K820,N$9&gt;='Detalle'!$J820),1,""))</x:f>
      </x:c>
      <x:c r="O1686" s="32" t="str">
        <x:f>IF(OR('Detalle'!$J820="",'Detalle'!$K820="",'Detalle'!$L820=""),"",IF(AND(O$8&lt;='Detalle'!$K820,O$9&gt;='Detalle'!$J820),1,""))</x:f>
      </x:c>
      <x:c r="P1686" s="32" t="str">
        <x:f>IF(OR('Detalle'!$J820="",'Detalle'!$K820="",'Detalle'!$L820=""),"",IF(AND(P$8&lt;='Detalle'!$K820,P$9&gt;='Detalle'!$J820),1,""))</x:f>
      </x:c>
      <x:c r="Q1686" s="68"/>
      <x:c r="R1686" s="67" t="str"/>
      <x:c r="S1686" s="67" t="str"/>
    </x:row>
    <x:row r="1687" ht="16" customHeight="1">
      <x:c r="A1687" s="56" t="str">
        <x:v>PIL01.023</x:v>
      </x:c>
      <x:c r="B1687" s="57" t="str">
        <x:v>Limpiar recursos propios del piloto</x:v>
      </x:c>
      <x:c r="C1687" s="62" t="str">
        <x:v>E</x:v>
      </x:c>
      <x:c r="D1687" s="64" t="n">
        <x:f>'Detalle'!I821</x:f>
        <x:v>1</x:v>
      </x:c>
      <x:c r="E1687" s="60" t="str">
        <x:f>'Detalle'!F821</x:f>
        <x:v>Completado</x:v>
      </x:c>
      <x:c r="F1687" s="32" t="str">
        <x:f>IF(AND(F$8&lt;='Detalle'!$H821,F$9&gt;='Detalle'!$G821),1,"")</x:f>
      </x:c>
      <x:c r="G1687" s="32" t="str">
        <x:f>IF(AND(G$8&lt;='Detalle'!$H821,G$9&gt;='Detalle'!$G821),1,"")</x:f>
      </x:c>
      <x:c r="H1687" s="32" t="str">
        <x:f>IF(AND(H$8&lt;='Detalle'!$H821,H$9&gt;='Detalle'!$G821),1,"")</x:f>
      </x:c>
      <x:c r="I1687" s="32" t="str">
        <x:f>IF(AND(I$8&lt;='Detalle'!$H821,I$9&gt;='Detalle'!$G821),1,"")</x:f>
      </x:c>
      <x:c r="J1687" s="32" t="n">
        <x:f>IF(AND(J$8&lt;='Detalle'!$H821,J$9&gt;='Detalle'!$G821),1,"")</x:f>
        <x:v>1</x:v>
      </x:c>
      <x:c r="K1687" s="32" t="str">
        <x:f>IF(AND(K$8&lt;='Detalle'!$H821,K$9&gt;='Detalle'!$G821),1,"")</x:f>
      </x:c>
      <x:c r="L1687" s="32" t="str">
        <x:f>IF(AND(L$8&lt;='Detalle'!$H821,L$9&gt;='Detalle'!$G821),1,"")</x:f>
      </x:c>
      <x:c r="M1687" s="32" t="str">
        <x:f>IF(AND(M$8&lt;='Detalle'!$H821,M$9&gt;='Detalle'!$G821),1,"")</x:f>
      </x:c>
      <x:c r="N1687" s="32" t="str">
        <x:f>IF(AND(N$8&lt;='Detalle'!$H821,N$9&gt;='Detalle'!$G821),1,"")</x:f>
      </x:c>
      <x:c r="O1687" s="32" t="str">
        <x:f>IF(AND(O$8&lt;='Detalle'!$H821,O$9&gt;='Detalle'!$G821),1,"")</x:f>
      </x:c>
      <x:c r="P1687" s="32" t="str">
        <x:f>IF(AND(P$8&lt;='Detalle'!$H821,P$9&gt;='Detalle'!$G821),1,"")</x:f>
      </x:c>
      <x:c r="Q1687" s="68"/>
      <x:c r="R1687" s="67" t="str">
        <x:f>IF('Detalle'!M821="","",'Detalle'!M821)</x:f>
      </x:c>
      <x:c r="S1687" s="67" t="str">
        <x:f>IF('Detalle'!N821="","",'Detalle'!N821)</x:f>
      </x:c>
    </x:row>
    <x:row r="1688" ht="16" customHeight="1">
      <x:c r="A1688" s="56" t="str">
        <x:v>PIL01.023</x:v>
      </x:c>
      <x:c r="B1688" s="57" t="str">
        <x:v>Limpiar recursos propios del piloto</x:v>
      </x:c>
      <x:c r="C1688" s="63" t="str">
        <x:v>R</x:v>
      </x:c>
      <x:c r="D1688" s="65" t="str">
        <x:f>IF('Detalle'!L821="","",'Detalle'!L821)</x:f>
      </x:c>
      <x:c r="E1688" s="60" t="str"/>
      <x:c r="F1688" s="32" t="str">
        <x:f>IF(OR('Detalle'!$J821="",'Detalle'!$K821="",'Detalle'!$L821=""),"",IF(AND(F$8&lt;='Detalle'!$K821,F$9&gt;='Detalle'!$J821),1,""))</x:f>
      </x:c>
      <x:c r="G1688" s="32" t="str">
        <x:f>IF(OR('Detalle'!$J821="",'Detalle'!$K821="",'Detalle'!$L821=""),"",IF(AND(G$8&lt;='Detalle'!$K821,G$9&gt;='Detalle'!$J821),1,""))</x:f>
      </x:c>
      <x:c r="H1688" s="32" t="str">
        <x:f>IF(OR('Detalle'!$J821="",'Detalle'!$K821="",'Detalle'!$L821=""),"",IF(AND(H$8&lt;='Detalle'!$K821,H$9&gt;='Detalle'!$J821),1,""))</x:f>
      </x:c>
      <x:c r="I1688" s="32" t="str">
        <x:f>IF(OR('Detalle'!$J821="",'Detalle'!$K821="",'Detalle'!$L821=""),"",IF(AND(I$8&lt;='Detalle'!$K821,I$9&gt;='Detalle'!$J821),1,""))</x:f>
      </x:c>
      <x:c r="J1688" s="32" t="str">
        <x:f>IF(OR('Detalle'!$J821="",'Detalle'!$K821="",'Detalle'!$L821=""),"",IF(AND(J$8&lt;='Detalle'!$K821,J$9&gt;='Detalle'!$J821),1,""))</x:f>
      </x:c>
      <x:c r="K1688" s="32" t="str">
        <x:f>IF(OR('Detalle'!$J821="",'Detalle'!$K821="",'Detalle'!$L821=""),"",IF(AND(K$8&lt;='Detalle'!$K821,K$9&gt;='Detalle'!$J821),1,""))</x:f>
      </x:c>
      <x:c r="L1688" s="32" t="str">
        <x:f>IF(OR('Detalle'!$J821="",'Detalle'!$K821="",'Detalle'!$L821=""),"",IF(AND(L$8&lt;='Detalle'!$K821,L$9&gt;='Detalle'!$J821),1,""))</x:f>
      </x:c>
      <x:c r="M1688" s="32" t="str">
        <x:f>IF(OR('Detalle'!$J821="",'Detalle'!$K821="",'Detalle'!$L821=""),"",IF(AND(M$8&lt;='Detalle'!$K821,M$9&gt;='Detalle'!$J821),1,""))</x:f>
      </x:c>
      <x:c r="N1688" s="32" t="str">
        <x:f>IF(OR('Detalle'!$J821="",'Detalle'!$K821="",'Detalle'!$L821=""),"",IF(AND(N$8&lt;='Detalle'!$K821,N$9&gt;='Detalle'!$J821),1,""))</x:f>
      </x:c>
      <x:c r="O1688" s="32" t="str">
        <x:f>IF(OR('Detalle'!$J821="",'Detalle'!$K821="",'Detalle'!$L821=""),"",IF(AND(O$8&lt;='Detalle'!$K821,O$9&gt;='Detalle'!$J821),1,""))</x:f>
      </x:c>
      <x:c r="P1688" s="32" t="str">
        <x:f>IF(OR('Detalle'!$J821="",'Detalle'!$K821="",'Detalle'!$L821=""),"",IF(AND(P$8&lt;='Detalle'!$K821,P$9&gt;='Detalle'!$J821),1,""))</x:f>
      </x:c>
      <x:c r="Q1688" s="68"/>
      <x:c r="R1688" s="67" t="str"/>
      <x:c r="S1688" s="67" t="str"/>
    </x:row>
    <x:row r="1689" ht="16" customHeight="1">
      <x:c r="A1689" s="56" t="str">
        <x:v>PIL01.024</x:v>
      </x:c>
      <x:c r="B1689" s="57" t="str">
        <x:v>Limpiar 175 objetos de checkpoints antiguos</x:v>
      </x:c>
      <x:c r="C1689" s="62" t="str">
        <x:v>E</x:v>
      </x:c>
      <x:c r="D1689" s="64" t="n">
        <x:f>'Detalle'!I822</x:f>
        <x:v>1</x:v>
      </x:c>
      <x:c r="E1689" s="60" t="str">
        <x:f>'Detalle'!F822</x:f>
        <x:v>Completado</x:v>
      </x:c>
      <x:c r="F1689" s="32" t="str">
        <x:f>IF(AND(F$8&lt;='Detalle'!$H822,F$9&gt;='Detalle'!$G822),1,"")</x:f>
      </x:c>
      <x:c r="G1689" s="32" t="str">
        <x:f>IF(AND(G$8&lt;='Detalle'!$H822,G$9&gt;='Detalle'!$G822),1,"")</x:f>
      </x:c>
      <x:c r="H1689" s="32" t="str">
        <x:f>IF(AND(H$8&lt;='Detalle'!$H822,H$9&gt;='Detalle'!$G822),1,"")</x:f>
      </x:c>
      <x:c r="I1689" s="32" t="str">
        <x:f>IF(AND(I$8&lt;='Detalle'!$H822,I$9&gt;='Detalle'!$G822),1,"")</x:f>
      </x:c>
      <x:c r="J1689" s="32" t="n">
        <x:f>IF(AND(J$8&lt;='Detalle'!$H822,J$9&gt;='Detalle'!$G822),1,"")</x:f>
        <x:v>1</x:v>
      </x:c>
      <x:c r="K1689" s="32" t="str">
        <x:f>IF(AND(K$8&lt;='Detalle'!$H822,K$9&gt;='Detalle'!$G822),1,"")</x:f>
      </x:c>
      <x:c r="L1689" s="32" t="str">
        <x:f>IF(AND(L$8&lt;='Detalle'!$H822,L$9&gt;='Detalle'!$G822),1,"")</x:f>
      </x:c>
      <x:c r="M1689" s="32" t="str">
        <x:f>IF(AND(M$8&lt;='Detalle'!$H822,M$9&gt;='Detalle'!$G822),1,"")</x:f>
      </x:c>
      <x:c r="N1689" s="32" t="str">
        <x:f>IF(AND(N$8&lt;='Detalle'!$H822,N$9&gt;='Detalle'!$G822),1,"")</x:f>
      </x:c>
      <x:c r="O1689" s="32" t="str">
        <x:f>IF(AND(O$8&lt;='Detalle'!$H822,O$9&gt;='Detalle'!$G822),1,"")</x:f>
      </x:c>
      <x:c r="P1689" s="32" t="str">
        <x:f>IF(AND(P$8&lt;='Detalle'!$H822,P$9&gt;='Detalle'!$G822),1,"")</x:f>
      </x:c>
      <x:c r="Q1689" s="68"/>
      <x:c r="R1689" s="67" t="str">
        <x:f>IF('Detalle'!M822="","",'Detalle'!M822)</x:f>
      </x:c>
      <x:c r="S1689" s="67" t="str">
        <x:f>IF('Detalle'!N822="","",'Detalle'!N822)</x:f>
      </x:c>
    </x:row>
    <x:row r="1690" ht="16" customHeight="1">
      <x:c r="A1690" s="56" t="str">
        <x:v>PIL01.024</x:v>
      </x:c>
      <x:c r="B1690" s="57" t="str">
        <x:v>Limpiar 175 objetos de checkpoints antiguos</x:v>
      </x:c>
      <x:c r="C1690" s="63" t="str">
        <x:v>R</x:v>
      </x:c>
      <x:c r="D1690" s="65" t="str">
        <x:f>IF('Detalle'!L822="","",'Detalle'!L822)</x:f>
      </x:c>
      <x:c r="E1690" s="60" t="str"/>
      <x:c r="F1690" s="32" t="str">
        <x:f>IF(OR('Detalle'!$J822="",'Detalle'!$K822="",'Detalle'!$L822=""),"",IF(AND(F$8&lt;='Detalle'!$K822,F$9&gt;='Detalle'!$J822),1,""))</x:f>
      </x:c>
      <x:c r="G1690" s="32" t="str">
        <x:f>IF(OR('Detalle'!$J822="",'Detalle'!$K822="",'Detalle'!$L822=""),"",IF(AND(G$8&lt;='Detalle'!$K822,G$9&gt;='Detalle'!$J822),1,""))</x:f>
      </x:c>
      <x:c r="H1690" s="32" t="str">
        <x:f>IF(OR('Detalle'!$J822="",'Detalle'!$K822="",'Detalle'!$L822=""),"",IF(AND(H$8&lt;='Detalle'!$K822,H$9&gt;='Detalle'!$J822),1,""))</x:f>
      </x:c>
      <x:c r="I1690" s="32" t="str">
        <x:f>IF(OR('Detalle'!$J822="",'Detalle'!$K822="",'Detalle'!$L822=""),"",IF(AND(I$8&lt;='Detalle'!$K822,I$9&gt;='Detalle'!$J822),1,""))</x:f>
      </x:c>
      <x:c r="J1690" s="32" t="str">
        <x:f>IF(OR('Detalle'!$J822="",'Detalle'!$K822="",'Detalle'!$L822=""),"",IF(AND(J$8&lt;='Detalle'!$K822,J$9&gt;='Detalle'!$J822),1,""))</x:f>
      </x:c>
      <x:c r="K1690" s="32" t="str">
        <x:f>IF(OR('Detalle'!$J822="",'Detalle'!$K822="",'Detalle'!$L822=""),"",IF(AND(K$8&lt;='Detalle'!$K822,K$9&gt;='Detalle'!$J822),1,""))</x:f>
      </x:c>
      <x:c r="L1690" s="32" t="str">
        <x:f>IF(OR('Detalle'!$J822="",'Detalle'!$K822="",'Detalle'!$L822=""),"",IF(AND(L$8&lt;='Detalle'!$K822,L$9&gt;='Detalle'!$J822),1,""))</x:f>
      </x:c>
      <x:c r="M1690" s="32" t="str">
        <x:f>IF(OR('Detalle'!$J822="",'Detalle'!$K822="",'Detalle'!$L822=""),"",IF(AND(M$8&lt;='Detalle'!$K822,M$9&gt;='Detalle'!$J822),1,""))</x:f>
      </x:c>
      <x:c r="N1690" s="32" t="str">
        <x:f>IF(OR('Detalle'!$J822="",'Detalle'!$K822="",'Detalle'!$L822=""),"",IF(AND(N$8&lt;='Detalle'!$K822,N$9&gt;='Detalle'!$J822),1,""))</x:f>
      </x:c>
      <x:c r="O1690" s="32" t="str">
        <x:f>IF(OR('Detalle'!$J822="",'Detalle'!$K822="",'Detalle'!$L822=""),"",IF(AND(O$8&lt;='Detalle'!$K822,O$9&gt;='Detalle'!$J822),1,""))</x:f>
      </x:c>
      <x:c r="P1690" s="32" t="str">
        <x:f>IF(OR('Detalle'!$J822="",'Detalle'!$K822="",'Detalle'!$L822=""),"",IF(AND(P$8&lt;='Detalle'!$K822,P$9&gt;='Detalle'!$J822),1,""))</x:f>
      </x:c>
      <x:c r="Q1690" s="68"/>
      <x:c r="R1690" s="67" t="str"/>
      <x:c r="S1690" s="67" t="str"/>
    </x:row>
    <x:row r="1691" ht="16" customHeight="1">
      <x:c r="A1691" s="56" t="str">
        <x:v>PIL01.025</x:v>
      </x:c>
      <x:c r="B1691" s="57" t="str">
        <x:v>Mostrar panorama final en widgets reales</x:v>
      </x:c>
      <x:c r="C1691" s="62" t="str">
        <x:v>E</x:v>
      </x:c>
      <x:c r="D1691" s="64" t="n">
        <x:f>'Detalle'!I823</x:f>
        <x:v>1</x:v>
      </x:c>
      <x:c r="E1691" s="60" t="str">
        <x:f>'Detalle'!F823</x:f>
        <x:v>Completado</x:v>
      </x:c>
      <x:c r="F1691" s="32" t="str">
        <x:f>IF(AND(F$8&lt;='Detalle'!$H823,F$9&gt;='Detalle'!$G823),1,"")</x:f>
      </x:c>
      <x:c r="G1691" s="32" t="str">
        <x:f>IF(AND(G$8&lt;='Detalle'!$H823,G$9&gt;='Detalle'!$G823),1,"")</x:f>
      </x:c>
      <x:c r="H1691" s="32" t="str">
        <x:f>IF(AND(H$8&lt;='Detalle'!$H823,H$9&gt;='Detalle'!$G823),1,"")</x:f>
      </x:c>
      <x:c r="I1691" s="32" t="str">
        <x:f>IF(AND(I$8&lt;='Detalle'!$H823,I$9&gt;='Detalle'!$G823),1,"")</x:f>
      </x:c>
      <x:c r="J1691" s="32" t="n">
        <x:f>IF(AND(J$8&lt;='Detalle'!$H823,J$9&gt;='Detalle'!$G823),1,"")</x:f>
        <x:v>1</x:v>
      </x:c>
      <x:c r="K1691" s="32" t="str">
        <x:f>IF(AND(K$8&lt;='Detalle'!$H823,K$9&gt;='Detalle'!$G823),1,"")</x:f>
      </x:c>
      <x:c r="L1691" s="32" t="str">
        <x:f>IF(AND(L$8&lt;='Detalle'!$H823,L$9&gt;='Detalle'!$G823),1,"")</x:f>
      </x:c>
      <x:c r="M1691" s="32" t="str">
        <x:f>IF(AND(M$8&lt;='Detalle'!$H823,M$9&gt;='Detalle'!$G823),1,"")</x:f>
      </x:c>
      <x:c r="N1691" s="32" t="str">
        <x:f>IF(AND(N$8&lt;='Detalle'!$H823,N$9&gt;='Detalle'!$G823),1,"")</x:f>
      </x:c>
      <x:c r="O1691" s="32" t="str">
        <x:f>IF(AND(O$8&lt;='Detalle'!$H823,O$9&gt;='Detalle'!$G823),1,"")</x:f>
      </x:c>
      <x:c r="P1691" s="32" t="str">
        <x:f>IF(AND(P$8&lt;='Detalle'!$H823,P$9&gt;='Detalle'!$G823),1,"")</x:f>
      </x:c>
      <x:c r="Q1691" s="68"/>
      <x:c r="R1691" s="67" t="str">
        <x:f>IF('Detalle'!M823="","",'Detalle'!M823)</x:f>
      </x:c>
      <x:c r="S1691" s="67" t="str">
        <x:f>IF('Detalle'!N823="","",'Detalle'!N823)</x:f>
      </x:c>
    </x:row>
    <x:row r="1692" ht="16" customHeight="1">
      <x:c r="A1692" s="56" t="str">
        <x:v>PIL01.025</x:v>
      </x:c>
      <x:c r="B1692" s="57" t="str">
        <x:v>Mostrar panorama final en widgets reales</x:v>
      </x:c>
      <x:c r="C1692" s="63" t="str">
        <x:v>R</x:v>
      </x:c>
      <x:c r="D1692" s="65" t="str">
        <x:f>IF('Detalle'!L823="","",'Detalle'!L823)</x:f>
      </x:c>
      <x:c r="E1692" s="60" t="str"/>
      <x:c r="F1692" s="32" t="str">
        <x:f>IF(OR('Detalle'!$J823="",'Detalle'!$K823="",'Detalle'!$L823=""),"",IF(AND(F$8&lt;='Detalle'!$K823,F$9&gt;='Detalle'!$J823),1,""))</x:f>
      </x:c>
      <x:c r="G1692" s="32" t="str">
        <x:f>IF(OR('Detalle'!$J823="",'Detalle'!$K823="",'Detalle'!$L823=""),"",IF(AND(G$8&lt;='Detalle'!$K823,G$9&gt;='Detalle'!$J823),1,""))</x:f>
      </x:c>
      <x:c r="H1692" s="32" t="str">
        <x:f>IF(OR('Detalle'!$J823="",'Detalle'!$K823="",'Detalle'!$L823=""),"",IF(AND(H$8&lt;='Detalle'!$K823,H$9&gt;='Detalle'!$J823),1,""))</x:f>
      </x:c>
      <x:c r="I1692" s="32" t="str">
        <x:f>IF(OR('Detalle'!$J823="",'Detalle'!$K823="",'Detalle'!$L823=""),"",IF(AND(I$8&lt;='Detalle'!$K823,I$9&gt;='Detalle'!$J823),1,""))</x:f>
      </x:c>
      <x:c r="J1692" s="32" t="str">
        <x:f>IF(OR('Detalle'!$J823="",'Detalle'!$K823="",'Detalle'!$L823=""),"",IF(AND(J$8&lt;='Detalle'!$K823,J$9&gt;='Detalle'!$J823),1,""))</x:f>
      </x:c>
      <x:c r="K1692" s="32" t="str">
        <x:f>IF(OR('Detalle'!$J823="",'Detalle'!$K823="",'Detalle'!$L823=""),"",IF(AND(K$8&lt;='Detalle'!$K823,K$9&gt;='Detalle'!$J823),1,""))</x:f>
      </x:c>
      <x:c r="L1692" s="32" t="str">
        <x:f>IF(OR('Detalle'!$J823="",'Detalle'!$K823="",'Detalle'!$L823=""),"",IF(AND(L$8&lt;='Detalle'!$K823,L$9&gt;='Detalle'!$J823),1,""))</x:f>
      </x:c>
      <x:c r="M1692" s="32" t="str">
        <x:f>IF(OR('Detalle'!$J823="",'Detalle'!$K823="",'Detalle'!$L823=""),"",IF(AND(M$8&lt;='Detalle'!$K823,M$9&gt;='Detalle'!$J823),1,""))</x:f>
      </x:c>
      <x:c r="N1692" s="32" t="str">
        <x:f>IF(OR('Detalle'!$J823="",'Detalle'!$K823="",'Detalle'!$L823=""),"",IF(AND(N$8&lt;='Detalle'!$K823,N$9&gt;='Detalle'!$J823),1,""))</x:f>
      </x:c>
      <x:c r="O1692" s="32" t="str">
        <x:f>IF(OR('Detalle'!$J823="",'Detalle'!$K823="",'Detalle'!$L823=""),"",IF(AND(O$8&lt;='Detalle'!$K823,O$9&gt;='Detalle'!$J823),1,""))</x:f>
      </x:c>
      <x:c r="P1692" s="32" t="str">
        <x:f>IF(OR('Detalle'!$J823="",'Detalle'!$K823="",'Detalle'!$L823=""),"",IF(AND(P$8&lt;='Detalle'!$K823,P$9&gt;='Detalle'!$J823),1,""))</x:f>
      </x:c>
      <x:c r="Q1692" s="68"/>
      <x:c r="R1692" s="67" t="str"/>
      <x:c r="S1692" s="67" t="str"/>
    </x:row>
    <x:row r="1693" ht="20" customHeight="1">
      <x:c r="A1693" s="52" t="str">
        <x:v>TOU10 · Verificación automática de recorridos</x:v>
      </x:c>
      <x:c r="B1693" s="52" t="str">
        <x:v>TOU10 · Verificación automática de recorridos</x:v>
      </x:c>
      <x:c r="C1693" s="52" t="str">
        <x:v>TOU10 · Verificación automática de recorridos</x:v>
      </x:c>
      <x:c r="D1693" s="52" t="str">
        <x:v>TOU10 · Verificación automática de recorridos</x:v>
      </x:c>
      <x:c r="E1693" s="52" t="str">
        <x:v>TOU10 · Verificación automática de recorridos</x:v>
      </x:c>
      <x:c r="F1693" s="53" t="str">
        <x:v>TOU10 · Verificación automática de recorridos</x:v>
      </x:c>
      <x:c r="G1693" s="53" t="str">
        <x:v>TOU10 · Verificación automática de recorridos</x:v>
      </x:c>
      <x:c r="H1693" s="53" t="str">
        <x:v>TOU10 · Verificación automática de recorridos</x:v>
      </x:c>
      <x:c r="I1693" s="53" t="str">
        <x:v>TOU10 · Verificación automática de recorridos</x:v>
      </x:c>
      <x:c r="J1693" s="53" t="str">
        <x:v>TOU10 · Verificación automática de recorridos</x:v>
      </x:c>
      <x:c r="K1693" s="53" t="str">
        <x:v>TOU10 · Verificación automática de recorridos</x:v>
      </x:c>
      <x:c r="L1693" s="53" t="str">
        <x:v>TOU10 · Verificación automática de recorridos</x:v>
      </x:c>
      <x:c r="M1693" s="53" t="str">
        <x:v>TOU10 · Verificación automática de recorridos</x:v>
      </x:c>
      <x:c r="N1693" s="53" t="str">
        <x:v>TOU10 · Verificación automática de recorridos</x:v>
      </x:c>
      <x:c r="O1693" s="53" t="str">
        <x:v>TOU10 · Verificación automática de recorridos</x:v>
      </x:c>
      <x:c r="P1693" s="53" t="str">
        <x:v>TOU10 · Verificación automática de recorridos</x:v>
      </x:c>
      <x:c r="Q1693" s="52" t="str">
        <x:v>TOU10 · Verificación automática de recorridos</x:v>
      </x:c>
      <x:c r="R1693" s="52" t="str">
        <x:v>TOU10 · Verificación automática de recorridos</x:v>
      </x:c>
      <x:c r="S1693" s="52" t="str">
        <x:v>TOU10 · Verificación automática de recorridos</x:v>
      </x:c>
    </x:row>
    <x:row r="1694" ht="16" customHeight="1">
      <x:c r="A1694" s="56" t="str">
        <x:v>TOU10.001</x:v>
      </x:c>
      <x:c r="B1694" s="57" t="str">
        <x:v>Probar recuperación offline del editor</x:v>
      </x:c>
      <x:c r="C1694" s="62" t="str">
        <x:v>E</x:v>
      </x:c>
      <x:c r="D1694" s="64" t="n">
        <x:f>'Detalle'!I824</x:f>
        <x:v>1</x:v>
      </x:c>
      <x:c r="E1694" s="60" t="str">
        <x:f>'Detalle'!F824</x:f>
        <x:v>Completado</x:v>
      </x:c>
      <x:c r="F1694" s="32" t="str">
        <x:f>IF(AND(F$8&lt;='Detalle'!$H824,F$9&gt;='Detalle'!$G824),1,"")</x:f>
      </x:c>
      <x:c r="G1694" s="32" t="str">
        <x:f>IF(AND(G$8&lt;='Detalle'!$H824,G$9&gt;='Detalle'!$G824),1,"")</x:f>
      </x:c>
      <x:c r="H1694" s="32" t="str">
        <x:f>IF(AND(H$8&lt;='Detalle'!$H824,H$9&gt;='Detalle'!$G824),1,"")</x:f>
      </x:c>
      <x:c r="I1694" s="32" t="str">
        <x:f>IF(AND(I$8&lt;='Detalle'!$H824,I$9&gt;='Detalle'!$G824),1,"")</x:f>
      </x:c>
      <x:c r="J1694" s="32" t="n">
        <x:f>IF(AND(J$8&lt;='Detalle'!$H824,J$9&gt;='Detalle'!$G824),1,"")</x:f>
        <x:v>1</x:v>
      </x:c>
      <x:c r="K1694" s="32" t="str">
        <x:f>IF(AND(K$8&lt;='Detalle'!$H824,K$9&gt;='Detalle'!$G824),1,"")</x:f>
      </x:c>
      <x:c r="L1694" s="32" t="str">
        <x:f>IF(AND(L$8&lt;='Detalle'!$H824,L$9&gt;='Detalle'!$G824),1,"")</x:f>
      </x:c>
      <x:c r="M1694" s="32" t="str">
        <x:f>IF(AND(M$8&lt;='Detalle'!$H824,M$9&gt;='Detalle'!$G824),1,"")</x:f>
      </x:c>
      <x:c r="N1694" s="32" t="str">
        <x:f>IF(AND(N$8&lt;='Detalle'!$H824,N$9&gt;='Detalle'!$G824),1,"")</x:f>
      </x:c>
      <x:c r="O1694" s="32" t="str">
        <x:f>IF(AND(O$8&lt;='Detalle'!$H824,O$9&gt;='Detalle'!$G824),1,"")</x:f>
      </x:c>
      <x:c r="P1694" s="32" t="str">
        <x:f>IF(AND(P$8&lt;='Detalle'!$H824,P$9&gt;='Detalle'!$G824),1,"")</x:f>
      </x:c>
      <x:c r="Q1694" s="68"/>
      <x:c r="R1694" s="67" t="str">
        <x:f>IF('Detalle'!M824="","",'Detalle'!M824)</x:f>
      </x:c>
      <x:c r="S1694" s="67" t="str">
        <x:f>IF('Detalle'!N824="","",'Detalle'!N824)</x:f>
      </x:c>
    </x:row>
    <x:row r="1695" ht="16" customHeight="1">
      <x:c r="A1695" s="56" t="str">
        <x:v>TOU10.001</x:v>
      </x:c>
      <x:c r="B1695" s="57" t="str">
        <x:v>Probar recuperación offline del editor</x:v>
      </x:c>
      <x:c r="C1695" s="63" t="str">
        <x:v>R</x:v>
      </x:c>
      <x:c r="D1695" s="65" t="str">
        <x:f>IF('Detalle'!L824="","",'Detalle'!L824)</x:f>
      </x:c>
      <x:c r="E1695" s="60" t="str"/>
      <x:c r="F1695" s="32" t="str">
        <x:f>IF(OR('Detalle'!$J824="",'Detalle'!$K824="",'Detalle'!$L824=""),"",IF(AND(F$8&lt;='Detalle'!$K824,F$9&gt;='Detalle'!$J824),1,""))</x:f>
      </x:c>
      <x:c r="G1695" s="32" t="str">
        <x:f>IF(OR('Detalle'!$J824="",'Detalle'!$K824="",'Detalle'!$L824=""),"",IF(AND(G$8&lt;='Detalle'!$K824,G$9&gt;='Detalle'!$J824),1,""))</x:f>
      </x:c>
      <x:c r="H1695" s="32" t="str">
        <x:f>IF(OR('Detalle'!$J824="",'Detalle'!$K824="",'Detalle'!$L824=""),"",IF(AND(H$8&lt;='Detalle'!$K824,H$9&gt;='Detalle'!$J824),1,""))</x:f>
      </x:c>
      <x:c r="I1695" s="32" t="str">
        <x:f>IF(OR('Detalle'!$J824="",'Detalle'!$K824="",'Detalle'!$L824=""),"",IF(AND(I$8&lt;='Detalle'!$K824,I$9&gt;='Detalle'!$J824),1,""))</x:f>
      </x:c>
      <x:c r="J1695" s="32" t="str">
        <x:f>IF(OR('Detalle'!$J824="",'Detalle'!$K824="",'Detalle'!$L824=""),"",IF(AND(J$8&lt;='Detalle'!$K824,J$9&gt;='Detalle'!$J824),1,""))</x:f>
      </x:c>
      <x:c r="K1695" s="32" t="str">
        <x:f>IF(OR('Detalle'!$J824="",'Detalle'!$K824="",'Detalle'!$L824=""),"",IF(AND(K$8&lt;='Detalle'!$K824,K$9&gt;='Detalle'!$J824),1,""))</x:f>
      </x:c>
      <x:c r="L1695" s="32" t="str">
        <x:f>IF(OR('Detalle'!$J824="",'Detalle'!$K824="",'Detalle'!$L824=""),"",IF(AND(L$8&lt;='Detalle'!$K824,L$9&gt;='Detalle'!$J824),1,""))</x:f>
      </x:c>
      <x:c r="M1695" s="32" t="str">
        <x:f>IF(OR('Detalle'!$J824="",'Detalle'!$K824="",'Detalle'!$L824=""),"",IF(AND(M$8&lt;='Detalle'!$K824,M$9&gt;='Detalle'!$J824),1,""))</x:f>
      </x:c>
      <x:c r="N1695" s="32" t="str">
        <x:f>IF(OR('Detalle'!$J824="",'Detalle'!$K824="",'Detalle'!$L824=""),"",IF(AND(N$8&lt;='Detalle'!$K824,N$9&gt;='Detalle'!$J824),1,""))</x:f>
      </x:c>
      <x:c r="O1695" s="32" t="str">
        <x:f>IF(OR('Detalle'!$J824="",'Detalle'!$K824="",'Detalle'!$L824=""),"",IF(AND(O$8&lt;='Detalle'!$K824,O$9&gt;='Detalle'!$J824),1,""))</x:f>
      </x:c>
      <x:c r="P1695" s="32" t="str">
        <x:f>IF(OR('Detalle'!$J824="",'Detalle'!$K824="",'Detalle'!$L824=""),"",IF(AND(P$8&lt;='Detalle'!$K824,P$9&gt;='Detalle'!$J824),1,""))</x:f>
      </x:c>
      <x:c r="Q1695" s="68"/>
      <x:c r="R1695" s="67" t="str"/>
      <x:c r="S1695" s="67" t="str"/>
    </x:row>
    <x:row r="1696" ht="16" customHeight="1">
      <x:c r="A1696" s="56" t="str">
        <x:v>TOU10.002</x:v>
      </x:c>
      <x:c r="B1696" s="57" t="str">
        <x:v>Probar cambios de lente al retomar</x:v>
      </x:c>
      <x:c r="C1696" s="62" t="str">
        <x:v>E</x:v>
      </x:c>
      <x:c r="D1696" s="64" t="n">
        <x:f>'Detalle'!I825</x:f>
        <x:v>1</x:v>
      </x:c>
      <x:c r="E1696" s="60" t="str">
        <x:f>'Detalle'!F825</x:f>
        <x:v>Completado</x:v>
      </x:c>
      <x:c r="F1696" s="32" t="str">
        <x:f>IF(AND(F$8&lt;='Detalle'!$H825,F$9&gt;='Detalle'!$G825),1,"")</x:f>
      </x:c>
      <x:c r="G1696" s="32" t="str">
        <x:f>IF(AND(G$8&lt;='Detalle'!$H825,G$9&gt;='Detalle'!$G825),1,"")</x:f>
      </x:c>
      <x:c r="H1696" s="32" t="str">
        <x:f>IF(AND(H$8&lt;='Detalle'!$H825,H$9&gt;='Detalle'!$G825),1,"")</x:f>
      </x:c>
      <x:c r="I1696" s="32" t="str">
        <x:f>IF(AND(I$8&lt;='Detalle'!$H825,I$9&gt;='Detalle'!$G825),1,"")</x:f>
      </x:c>
      <x:c r="J1696" s="32" t="n">
        <x:f>IF(AND(J$8&lt;='Detalle'!$H825,J$9&gt;='Detalle'!$G825),1,"")</x:f>
        <x:v>1</x:v>
      </x:c>
      <x:c r="K1696" s="32" t="str">
        <x:f>IF(AND(K$8&lt;='Detalle'!$H825,K$9&gt;='Detalle'!$G825),1,"")</x:f>
      </x:c>
      <x:c r="L1696" s="32" t="str">
        <x:f>IF(AND(L$8&lt;='Detalle'!$H825,L$9&gt;='Detalle'!$G825),1,"")</x:f>
      </x:c>
      <x:c r="M1696" s="32" t="str">
        <x:f>IF(AND(M$8&lt;='Detalle'!$H825,M$9&gt;='Detalle'!$G825),1,"")</x:f>
      </x:c>
      <x:c r="N1696" s="32" t="str">
        <x:f>IF(AND(N$8&lt;='Detalle'!$H825,N$9&gt;='Detalle'!$G825),1,"")</x:f>
      </x:c>
      <x:c r="O1696" s="32" t="str">
        <x:f>IF(AND(O$8&lt;='Detalle'!$H825,O$9&gt;='Detalle'!$G825),1,"")</x:f>
      </x:c>
      <x:c r="P1696" s="32" t="str">
        <x:f>IF(AND(P$8&lt;='Detalle'!$H825,P$9&gt;='Detalle'!$G825),1,"")</x:f>
      </x:c>
      <x:c r="Q1696" s="68"/>
      <x:c r="R1696" s="67" t="str">
        <x:f>IF('Detalle'!M825="","",'Detalle'!M825)</x:f>
      </x:c>
      <x:c r="S1696" s="67" t="str">
        <x:f>IF('Detalle'!N825="","",'Detalle'!N825)</x:f>
      </x:c>
    </x:row>
    <x:row r="1697" ht="16" customHeight="1">
      <x:c r="A1697" s="56" t="str">
        <x:v>TOU10.002</x:v>
      </x:c>
      <x:c r="B1697" s="57" t="str">
        <x:v>Probar cambios de lente al retomar</x:v>
      </x:c>
      <x:c r="C1697" s="63" t="str">
        <x:v>R</x:v>
      </x:c>
      <x:c r="D1697" s="65" t="str">
        <x:f>IF('Detalle'!L825="","",'Detalle'!L825)</x:f>
      </x:c>
      <x:c r="E1697" s="60" t="str"/>
      <x:c r="F1697" s="32" t="str">
        <x:f>IF(OR('Detalle'!$J825="",'Detalle'!$K825="",'Detalle'!$L825=""),"",IF(AND(F$8&lt;='Detalle'!$K825,F$9&gt;='Detalle'!$J825),1,""))</x:f>
      </x:c>
      <x:c r="G1697" s="32" t="str">
        <x:f>IF(OR('Detalle'!$J825="",'Detalle'!$K825="",'Detalle'!$L825=""),"",IF(AND(G$8&lt;='Detalle'!$K825,G$9&gt;='Detalle'!$J825),1,""))</x:f>
      </x:c>
      <x:c r="H1697" s="32" t="str">
        <x:f>IF(OR('Detalle'!$J825="",'Detalle'!$K825="",'Detalle'!$L825=""),"",IF(AND(H$8&lt;='Detalle'!$K825,H$9&gt;='Detalle'!$J825),1,""))</x:f>
      </x:c>
      <x:c r="I1697" s="32" t="str">
        <x:f>IF(OR('Detalle'!$J825="",'Detalle'!$K825="",'Detalle'!$L825=""),"",IF(AND(I$8&lt;='Detalle'!$K825,I$9&gt;='Detalle'!$J825),1,""))</x:f>
      </x:c>
      <x:c r="J1697" s="32" t="str">
        <x:f>IF(OR('Detalle'!$J825="",'Detalle'!$K825="",'Detalle'!$L825=""),"",IF(AND(J$8&lt;='Detalle'!$K825,J$9&gt;='Detalle'!$J825),1,""))</x:f>
      </x:c>
      <x:c r="K1697" s="32" t="str">
        <x:f>IF(OR('Detalle'!$J825="",'Detalle'!$K825="",'Detalle'!$L825=""),"",IF(AND(K$8&lt;='Detalle'!$K825,K$9&gt;='Detalle'!$J825),1,""))</x:f>
      </x:c>
      <x:c r="L1697" s="32" t="str">
        <x:f>IF(OR('Detalle'!$J825="",'Detalle'!$K825="",'Detalle'!$L825=""),"",IF(AND(L$8&lt;='Detalle'!$K825,L$9&gt;='Detalle'!$J825),1,""))</x:f>
      </x:c>
      <x:c r="M1697" s="32" t="str">
        <x:f>IF(OR('Detalle'!$J825="",'Detalle'!$K825="",'Detalle'!$L825=""),"",IF(AND(M$8&lt;='Detalle'!$K825,M$9&gt;='Detalle'!$J825),1,""))</x:f>
      </x:c>
      <x:c r="N1697" s="32" t="str">
        <x:f>IF(OR('Detalle'!$J825="",'Detalle'!$K825="",'Detalle'!$L825=""),"",IF(AND(N$8&lt;='Detalle'!$K825,N$9&gt;='Detalle'!$J825),1,""))</x:f>
      </x:c>
      <x:c r="O1697" s="32" t="str">
        <x:f>IF(OR('Detalle'!$J825="",'Detalle'!$K825="",'Detalle'!$L825=""),"",IF(AND(O$8&lt;='Detalle'!$K825,O$9&gt;='Detalle'!$J825),1,""))</x:f>
      </x:c>
      <x:c r="P1697" s="32" t="str">
        <x:f>IF(OR('Detalle'!$J825="",'Detalle'!$K825="",'Detalle'!$L825=""),"",IF(AND(P$8&lt;='Detalle'!$K825,P$9&gt;='Detalle'!$J825),1,""))</x:f>
      </x:c>
      <x:c r="Q1697" s="68"/>
      <x:c r="R1697" s="67" t="str"/>
      <x:c r="S1697" s="67" t="str"/>
    </x:row>
    <x:row r="1698" ht="16" customHeight="1">
      <x:c r="A1698" s="56" t="str">
        <x:v>TOU10.003</x:v>
      </x:c>
      <x:c r="B1698" s="57" t="str">
        <x:v>Probar checkpoint y recuperación TUS</x:v>
      </x:c>
      <x:c r="C1698" s="62" t="str">
        <x:v>E</x:v>
      </x:c>
      <x:c r="D1698" s="64" t="n">
        <x:f>'Detalle'!I826</x:f>
        <x:v>1</x:v>
      </x:c>
      <x:c r="E1698" s="60" t="str">
        <x:f>'Detalle'!F826</x:f>
        <x:v>Completado</x:v>
      </x:c>
      <x:c r="F1698" s="32" t="str">
        <x:f>IF(AND(F$8&lt;='Detalle'!$H826,F$9&gt;='Detalle'!$G826),1,"")</x:f>
      </x:c>
      <x:c r="G1698" s="32" t="str">
        <x:f>IF(AND(G$8&lt;='Detalle'!$H826,G$9&gt;='Detalle'!$G826),1,"")</x:f>
      </x:c>
      <x:c r="H1698" s="32" t="str">
        <x:f>IF(AND(H$8&lt;='Detalle'!$H826,H$9&gt;='Detalle'!$G826),1,"")</x:f>
      </x:c>
      <x:c r="I1698" s="32" t="str">
        <x:f>IF(AND(I$8&lt;='Detalle'!$H826,I$9&gt;='Detalle'!$G826),1,"")</x:f>
      </x:c>
      <x:c r="J1698" s="32" t="n">
        <x:f>IF(AND(J$8&lt;='Detalle'!$H826,J$9&gt;='Detalle'!$G826),1,"")</x:f>
        <x:v>1</x:v>
      </x:c>
      <x:c r="K1698" s="32" t="str">
        <x:f>IF(AND(K$8&lt;='Detalle'!$H826,K$9&gt;='Detalle'!$G826),1,"")</x:f>
      </x:c>
      <x:c r="L1698" s="32" t="str">
        <x:f>IF(AND(L$8&lt;='Detalle'!$H826,L$9&gt;='Detalle'!$G826),1,"")</x:f>
      </x:c>
      <x:c r="M1698" s="32" t="str">
        <x:f>IF(AND(M$8&lt;='Detalle'!$H826,M$9&gt;='Detalle'!$G826),1,"")</x:f>
      </x:c>
      <x:c r="N1698" s="32" t="str">
        <x:f>IF(AND(N$8&lt;='Detalle'!$H826,N$9&gt;='Detalle'!$G826),1,"")</x:f>
      </x:c>
      <x:c r="O1698" s="32" t="str">
        <x:f>IF(AND(O$8&lt;='Detalle'!$H826,O$9&gt;='Detalle'!$G826),1,"")</x:f>
      </x:c>
      <x:c r="P1698" s="32" t="str">
        <x:f>IF(AND(P$8&lt;='Detalle'!$H826,P$9&gt;='Detalle'!$G826),1,"")</x:f>
      </x:c>
      <x:c r="Q1698" s="68"/>
      <x:c r="R1698" s="67" t="str">
        <x:f>IF('Detalle'!M826="","",'Detalle'!M826)</x:f>
      </x:c>
      <x:c r="S1698" s="67" t="str">
        <x:f>IF('Detalle'!N826="","",'Detalle'!N826)</x:f>
      </x:c>
    </x:row>
    <x:row r="1699" ht="16" customHeight="1">
      <x:c r="A1699" s="56" t="str">
        <x:v>TOU10.003</x:v>
      </x:c>
      <x:c r="B1699" s="57" t="str">
        <x:v>Probar checkpoint y recuperación TUS</x:v>
      </x:c>
      <x:c r="C1699" s="63" t="str">
        <x:v>R</x:v>
      </x:c>
      <x:c r="D1699" s="65" t="str">
        <x:f>IF('Detalle'!L826="","",'Detalle'!L826)</x:f>
      </x:c>
      <x:c r="E1699" s="60" t="str"/>
      <x:c r="F1699" s="32" t="str">
        <x:f>IF(OR('Detalle'!$J826="",'Detalle'!$K826="",'Detalle'!$L826=""),"",IF(AND(F$8&lt;='Detalle'!$K826,F$9&gt;='Detalle'!$J826),1,""))</x:f>
      </x:c>
      <x:c r="G1699" s="32" t="str">
        <x:f>IF(OR('Detalle'!$J826="",'Detalle'!$K826="",'Detalle'!$L826=""),"",IF(AND(G$8&lt;='Detalle'!$K826,G$9&gt;='Detalle'!$J826),1,""))</x:f>
      </x:c>
      <x:c r="H1699" s="32" t="str">
        <x:f>IF(OR('Detalle'!$J826="",'Detalle'!$K826="",'Detalle'!$L826=""),"",IF(AND(H$8&lt;='Detalle'!$K826,H$9&gt;='Detalle'!$J826),1,""))</x:f>
      </x:c>
      <x:c r="I1699" s="32" t="str">
        <x:f>IF(OR('Detalle'!$J826="",'Detalle'!$K826="",'Detalle'!$L826=""),"",IF(AND(I$8&lt;='Detalle'!$K826,I$9&gt;='Detalle'!$J826),1,""))</x:f>
      </x:c>
      <x:c r="J1699" s="32" t="str">
        <x:f>IF(OR('Detalle'!$J826="",'Detalle'!$K826="",'Detalle'!$L826=""),"",IF(AND(J$8&lt;='Detalle'!$K826,J$9&gt;='Detalle'!$J826),1,""))</x:f>
      </x:c>
      <x:c r="K1699" s="32" t="str">
        <x:f>IF(OR('Detalle'!$J826="",'Detalle'!$K826="",'Detalle'!$L826=""),"",IF(AND(K$8&lt;='Detalle'!$K826,K$9&gt;='Detalle'!$J826),1,""))</x:f>
      </x:c>
      <x:c r="L1699" s="32" t="str">
        <x:f>IF(OR('Detalle'!$J826="",'Detalle'!$K826="",'Detalle'!$L826=""),"",IF(AND(L$8&lt;='Detalle'!$K826,L$9&gt;='Detalle'!$J826),1,""))</x:f>
      </x:c>
      <x:c r="M1699" s="32" t="str">
        <x:f>IF(OR('Detalle'!$J826="",'Detalle'!$K826="",'Detalle'!$L826=""),"",IF(AND(M$8&lt;='Detalle'!$K826,M$9&gt;='Detalle'!$J826),1,""))</x:f>
      </x:c>
      <x:c r="N1699" s="32" t="str">
        <x:f>IF(OR('Detalle'!$J826="",'Detalle'!$K826="",'Detalle'!$L826=""),"",IF(AND(N$8&lt;='Detalle'!$K826,N$9&gt;='Detalle'!$J826),1,""))</x:f>
      </x:c>
      <x:c r="O1699" s="32" t="str">
        <x:f>IF(OR('Detalle'!$J826="",'Detalle'!$K826="",'Detalle'!$L826=""),"",IF(AND(O$8&lt;='Detalle'!$K826,O$9&gt;='Detalle'!$J826),1,""))</x:f>
      </x:c>
      <x:c r="P1699" s="32" t="str">
        <x:f>IF(OR('Detalle'!$J826="",'Detalle'!$K826="",'Detalle'!$L826=""),"",IF(AND(P$8&lt;='Detalle'!$K826,P$9&gt;='Detalle'!$J826),1,""))</x:f>
      </x:c>
      <x:c r="Q1699" s="68"/>
      <x:c r="R1699" s="67" t="str"/>
      <x:c r="S1699" s="67" t="str"/>
    </x:row>
    <x:row r="1700" ht="16" customHeight="1">
      <x:c r="A1700" s="56" t="str">
        <x:v>TOU10.004</x:v>
      </x:c>
      <x:c r="B1700" s="57" t="str">
        <x:v>Probar progreso durable y sincronización</x:v>
      </x:c>
      <x:c r="C1700" s="62" t="str">
        <x:v>E</x:v>
      </x:c>
      <x:c r="D1700" s="64" t="n">
        <x:f>'Detalle'!I827</x:f>
        <x:v>1</x:v>
      </x:c>
      <x:c r="E1700" s="60" t="str">
        <x:f>'Detalle'!F827</x:f>
        <x:v>Completado</x:v>
      </x:c>
      <x:c r="F1700" s="32" t="str">
        <x:f>IF(AND(F$8&lt;='Detalle'!$H827,F$9&gt;='Detalle'!$G827),1,"")</x:f>
      </x:c>
      <x:c r="G1700" s="32" t="str">
        <x:f>IF(AND(G$8&lt;='Detalle'!$H827,G$9&gt;='Detalle'!$G827),1,"")</x:f>
      </x:c>
      <x:c r="H1700" s="32" t="str">
        <x:f>IF(AND(H$8&lt;='Detalle'!$H827,H$9&gt;='Detalle'!$G827),1,"")</x:f>
      </x:c>
      <x:c r="I1700" s="32" t="str">
        <x:f>IF(AND(I$8&lt;='Detalle'!$H827,I$9&gt;='Detalle'!$G827),1,"")</x:f>
      </x:c>
      <x:c r="J1700" s="32" t="n">
        <x:f>IF(AND(J$8&lt;='Detalle'!$H827,J$9&gt;='Detalle'!$G827),1,"")</x:f>
        <x:v>1</x:v>
      </x:c>
      <x:c r="K1700" s="32" t="str">
        <x:f>IF(AND(K$8&lt;='Detalle'!$H827,K$9&gt;='Detalle'!$G827),1,"")</x:f>
      </x:c>
      <x:c r="L1700" s="32" t="str">
        <x:f>IF(AND(L$8&lt;='Detalle'!$H827,L$9&gt;='Detalle'!$G827),1,"")</x:f>
      </x:c>
      <x:c r="M1700" s="32" t="str">
        <x:f>IF(AND(M$8&lt;='Detalle'!$H827,M$9&gt;='Detalle'!$G827),1,"")</x:f>
      </x:c>
      <x:c r="N1700" s="32" t="str">
        <x:f>IF(AND(N$8&lt;='Detalle'!$H827,N$9&gt;='Detalle'!$G827),1,"")</x:f>
      </x:c>
      <x:c r="O1700" s="32" t="str">
        <x:f>IF(AND(O$8&lt;='Detalle'!$H827,O$9&gt;='Detalle'!$G827),1,"")</x:f>
      </x:c>
      <x:c r="P1700" s="32" t="str">
        <x:f>IF(AND(P$8&lt;='Detalle'!$H827,P$9&gt;='Detalle'!$G827),1,"")</x:f>
      </x:c>
      <x:c r="Q1700" s="68"/>
      <x:c r="R1700" s="67" t="str">
        <x:f>IF('Detalle'!M827="","",'Detalle'!M827)</x:f>
      </x:c>
      <x:c r="S1700" s="67" t="str">
        <x:f>IF('Detalle'!N827="","",'Detalle'!N827)</x:f>
      </x:c>
    </x:row>
    <x:row r="1701" ht="16" customHeight="1">
      <x:c r="A1701" s="56" t="str">
        <x:v>TOU10.004</x:v>
      </x:c>
      <x:c r="B1701" s="57" t="str">
        <x:v>Probar progreso durable y sincronización</x:v>
      </x:c>
      <x:c r="C1701" s="63" t="str">
        <x:v>R</x:v>
      </x:c>
      <x:c r="D1701" s="65" t="str">
        <x:f>IF('Detalle'!L827="","",'Detalle'!L827)</x:f>
      </x:c>
      <x:c r="E1701" s="60" t="str"/>
      <x:c r="F1701" s="32" t="str">
        <x:f>IF(OR('Detalle'!$J827="",'Detalle'!$K827="",'Detalle'!$L827=""),"",IF(AND(F$8&lt;='Detalle'!$K827,F$9&gt;='Detalle'!$J827),1,""))</x:f>
      </x:c>
      <x:c r="G1701" s="32" t="str">
        <x:f>IF(OR('Detalle'!$J827="",'Detalle'!$K827="",'Detalle'!$L827=""),"",IF(AND(G$8&lt;='Detalle'!$K827,G$9&gt;='Detalle'!$J827),1,""))</x:f>
      </x:c>
      <x:c r="H1701" s="32" t="str">
        <x:f>IF(OR('Detalle'!$J827="",'Detalle'!$K827="",'Detalle'!$L827=""),"",IF(AND(H$8&lt;='Detalle'!$K827,H$9&gt;='Detalle'!$J827),1,""))</x:f>
      </x:c>
      <x:c r="I1701" s="32" t="str">
        <x:f>IF(OR('Detalle'!$J827="",'Detalle'!$K827="",'Detalle'!$L827=""),"",IF(AND(I$8&lt;='Detalle'!$K827,I$9&gt;='Detalle'!$J827),1,""))</x:f>
      </x:c>
      <x:c r="J1701" s="32" t="str">
        <x:f>IF(OR('Detalle'!$J827="",'Detalle'!$K827="",'Detalle'!$L827=""),"",IF(AND(J$8&lt;='Detalle'!$K827,J$9&gt;='Detalle'!$J827),1,""))</x:f>
      </x:c>
      <x:c r="K1701" s="32" t="str">
        <x:f>IF(OR('Detalle'!$J827="",'Detalle'!$K827="",'Detalle'!$L827=""),"",IF(AND(K$8&lt;='Detalle'!$K827,K$9&gt;='Detalle'!$J827),1,""))</x:f>
      </x:c>
      <x:c r="L1701" s="32" t="str">
        <x:f>IF(OR('Detalle'!$J827="",'Detalle'!$K827="",'Detalle'!$L827=""),"",IF(AND(L$8&lt;='Detalle'!$K827,L$9&gt;='Detalle'!$J827),1,""))</x:f>
      </x:c>
      <x:c r="M1701" s="32" t="str">
        <x:f>IF(OR('Detalle'!$J827="",'Detalle'!$K827="",'Detalle'!$L827=""),"",IF(AND(M$8&lt;='Detalle'!$K827,M$9&gt;='Detalle'!$J827),1,""))</x:f>
      </x:c>
      <x:c r="N1701" s="32" t="str">
        <x:f>IF(OR('Detalle'!$J827="",'Detalle'!$K827="",'Detalle'!$L827=""),"",IF(AND(N$8&lt;='Detalle'!$K827,N$9&gt;='Detalle'!$J827),1,""))</x:f>
      </x:c>
      <x:c r="O1701" s="32" t="str">
        <x:f>IF(OR('Detalle'!$J827="",'Detalle'!$K827="",'Detalle'!$L827=""),"",IF(AND(O$8&lt;='Detalle'!$K827,O$9&gt;='Detalle'!$J827),1,""))</x:f>
      </x:c>
      <x:c r="P1701" s="32" t="str">
        <x:f>IF(OR('Detalle'!$J827="",'Detalle'!$K827="",'Detalle'!$L827=""),"",IF(AND(P$8&lt;='Detalle'!$K827,P$9&gt;='Detalle'!$J827),1,""))</x:f>
      </x:c>
      <x:c r="Q1701" s="68"/>
      <x:c r="R1701" s="67" t="str"/>
      <x:c r="S1701" s="67" t="str"/>
    </x:row>
    <x:row r="1702" ht="16" customHeight="1">
      <x:c r="A1702" s="56" t="str">
        <x:v>TOU10.005</x:v>
      </x:c>
      <x:c r="B1702" s="57" t="str">
        <x:v>Probar descargas AR invalidadas</x:v>
      </x:c>
      <x:c r="C1702" s="62" t="str">
        <x:v>E</x:v>
      </x:c>
      <x:c r="D1702" s="64" t="n">
        <x:f>'Detalle'!I828</x:f>
        <x:v>1</x:v>
      </x:c>
      <x:c r="E1702" s="60" t="str">
        <x:f>'Detalle'!F828</x:f>
        <x:v>Completado</x:v>
      </x:c>
      <x:c r="F1702" s="32" t="str">
        <x:f>IF(AND(F$8&lt;='Detalle'!$H828,F$9&gt;='Detalle'!$G828),1,"")</x:f>
      </x:c>
      <x:c r="G1702" s="32" t="str">
        <x:f>IF(AND(G$8&lt;='Detalle'!$H828,G$9&gt;='Detalle'!$G828),1,"")</x:f>
      </x:c>
      <x:c r="H1702" s="32" t="str">
        <x:f>IF(AND(H$8&lt;='Detalle'!$H828,H$9&gt;='Detalle'!$G828),1,"")</x:f>
      </x:c>
      <x:c r="I1702" s="32" t="str">
        <x:f>IF(AND(I$8&lt;='Detalle'!$H828,I$9&gt;='Detalle'!$G828),1,"")</x:f>
      </x:c>
      <x:c r="J1702" s="32" t="n">
        <x:f>IF(AND(J$8&lt;='Detalle'!$H828,J$9&gt;='Detalle'!$G828),1,"")</x:f>
        <x:v>1</x:v>
      </x:c>
      <x:c r="K1702" s="32" t="str">
        <x:f>IF(AND(K$8&lt;='Detalle'!$H828,K$9&gt;='Detalle'!$G828),1,"")</x:f>
      </x:c>
      <x:c r="L1702" s="32" t="str">
        <x:f>IF(AND(L$8&lt;='Detalle'!$H828,L$9&gt;='Detalle'!$G828),1,"")</x:f>
      </x:c>
      <x:c r="M1702" s="32" t="str">
        <x:f>IF(AND(M$8&lt;='Detalle'!$H828,M$9&gt;='Detalle'!$G828),1,"")</x:f>
      </x:c>
      <x:c r="N1702" s="32" t="str">
        <x:f>IF(AND(N$8&lt;='Detalle'!$H828,N$9&gt;='Detalle'!$G828),1,"")</x:f>
      </x:c>
      <x:c r="O1702" s="32" t="str">
        <x:f>IF(AND(O$8&lt;='Detalle'!$H828,O$9&gt;='Detalle'!$G828),1,"")</x:f>
      </x:c>
      <x:c r="P1702" s="32" t="str">
        <x:f>IF(AND(P$8&lt;='Detalle'!$H828,P$9&gt;='Detalle'!$G828),1,"")</x:f>
      </x:c>
      <x:c r="Q1702" s="68"/>
      <x:c r="R1702" s="67" t="str">
        <x:f>IF('Detalle'!M828="","",'Detalle'!M828)</x:f>
      </x:c>
      <x:c r="S1702" s="67" t="str">
        <x:f>IF('Detalle'!N828="","",'Detalle'!N828)</x:f>
      </x:c>
    </x:row>
    <x:row r="1703" ht="16" customHeight="1">
      <x:c r="A1703" s="56" t="str">
        <x:v>TOU10.005</x:v>
      </x:c>
      <x:c r="B1703" s="57" t="str">
        <x:v>Probar descargas AR invalidadas</x:v>
      </x:c>
      <x:c r="C1703" s="63" t="str">
        <x:v>R</x:v>
      </x:c>
      <x:c r="D1703" s="65" t="str">
        <x:f>IF('Detalle'!L828="","",'Detalle'!L828)</x:f>
      </x:c>
      <x:c r="E1703" s="60" t="str"/>
      <x:c r="F1703" s="32" t="str">
        <x:f>IF(OR('Detalle'!$J828="",'Detalle'!$K828="",'Detalle'!$L828=""),"",IF(AND(F$8&lt;='Detalle'!$K828,F$9&gt;='Detalle'!$J828),1,""))</x:f>
      </x:c>
      <x:c r="G1703" s="32" t="str">
        <x:f>IF(OR('Detalle'!$J828="",'Detalle'!$K828="",'Detalle'!$L828=""),"",IF(AND(G$8&lt;='Detalle'!$K828,G$9&gt;='Detalle'!$J828),1,""))</x:f>
      </x:c>
      <x:c r="H1703" s="32" t="str">
        <x:f>IF(OR('Detalle'!$J828="",'Detalle'!$K828="",'Detalle'!$L828=""),"",IF(AND(H$8&lt;='Detalle'!$K828,H$9&gt;='Detalle'!$J828),1,""))</x:f>
      </x:c>
      <x:c r="I1703" s="32" t="str">
        <x:f>IF(OR('Detalle'!$J828="",'Detalle'!$K828="",'Detalle'!$L828=""),"",IF(AND(I$8&lt;='Detalle'!$K828,I$9&gt;='Detalle'!$J828),1,""))</x:f>
      </x:c>
      <x:c r="J1703" s="32" t="str">
        <x:f>IF(OR('Detalle'!$J828="",'Detalle'!$K828="",'Detalle'!$L828=""),"",IF(AND(J$8&lt;='Detalle'!$K828,J$9&gt;='Detalle'!$J828),1,""))</x:f>
      </x:c>
      <x:c r="K1703" s="32" t="str">
        <x:f>IF(OR('Detalle'!$J828="",'Detalle'!$K828="",'Detalle'!$L828=""),"",IF(AND(K$8&lt;='Detalle'!$K828,K$9&gt;='Detalle'!$J828),1,""))</x:f>
      </x:c>
      <x:c r="L1703" s="32" t="str">
        <x:f>IF(OR('Detalle'!$J828="",'Detalle'!$K828="",'Detalle'!$L828=""),"",IF(AND(L$8&lt;='Detalle'!$K828,L$9&gt;='Detalle'!$J828),1,""))</x:f>
      </x:c>
      <x:c r="M1703" s="32" t="str">
        <x:f>IF(OR('Detalle'!$J828="",'Detalle'!$K828="",'Detalle'!$L828=""),"",IF(AND(M$8&lt;='Detalle'!$K828,M$9&gt;='Detalle'!$J828),1,""))</x:f>
      </x:c>
      <x:c r="N1703" s="32" t="str">
        <x:f>IF(OR('Detalle'!$J828="",'Detalle'!$K828="",'Detalle'!$L828=""),"",IF(AND(N$8&lt;='Detalle'!$K828,N$9&gt;='Detalle'!$J828),1,""))</x:f>
      </x:c>
      <x:c r="O1703" s="32" t="str">
        <x:f>IF(OR('Detalle'!$J828="",'Detalle'!$K828="",'Detalle'!$L828=""),"",IF(AND(O$8&lt;='Detalle'!$K828,O$9&gt;='Detalle'!$J828),1,""))</x:f>
      </x:c>
      <x:c r="P1703" s="32" t="str">
        <x:f>IF(OR('Detalle'!$J828="",'Detalle'!$K828="",'Detalle'!$L828=""),"",IF(AND(P$8&lt;='Detalle'!$K828,P$9&gt;='Detalle'!$J828),1,""))</x:f>
      </x:c>
      <x:c r="Q1703" s="68"/>
      <x:c r="R1703" s="67" t="str"/>
      <x:c r="S1703" s="67" t="str"/>
    </x:row>
    <x:row r="1704" ht="16" customHeight="1">
      <x:c r="A1704" s="56" t="str">
        <x:v>TOU10.006</x:v>
      </x:c>
      <x:c r="B1704" s="57" t="str">
        <x:v>Validar contratos SQL de recorridos</x:v>
      </x:c>
      <x:c r="C1704" s="62" t="str">
        <x:v>E</x:v>
      </x:c>
      <x:c r="D1704" s="64" t="n">
        <x:f>'Detalle'!I829</x:f>
        <x:v>1</x:v>
      </x:c>
      <x:c r="E1704" s="60" t="str">
        <x:f>'Detalle'!F829</x:f>
        <x:v>Completado</x:v>
      </x:c>
      <x:c r="F1704" s="32" t="str">
        <x:f>IF(AND(F$8&lt;='Detalle'!$H829,F$9&gt;='Detalle'!$G829),1,"")</x:f>
      </x:c>
      <x:c r="G1704" s="32" t="str">
        <x:f>IF(AND(G$8&lt;='Detalle'!$H829,G$9&gt;='Detalle'!$G829),1,"")</x:f>
      </x:c>
      <x:c r="H1704" s="32" t="str">
        <x:f>IF(AND(H$8&lt;='Detalle'!$H829,H$9&gt;='Detalle'!$G829),1,"")</x:f>
      </x:c>
      <x:c r="I1704" s="32" t="str">
        <x:f>IF(AND(I$8&lt;='Detalle'!$H829,I$9&gt;='Detalle'!$G829),1,"")</x:f>
      </x:c>
      <x:c r="J1704" s="32" t="n">
        <x:f>IF(AND(J$8&lt;='Detalle'!$H829,J$9&gt;='Detalle'!$G829),1,"")</x:f>
        <x:v>1</x:v>
      </x:c>
      <x:c r="K1704" s="32" t="str">
        <x:f>IF(AND(K$8&lt;='Detalle'!$H829,K$9&gt;='Detalle'!$G829),1,"")</x:f>
      </x:c>
      <x:c r="L1704" s="32" t="str">
        <x:f>IF(AND(L$8&lt;='Detalle'!$H829,L$9&gt;='Detalle'!$G829),1,"")</x:f>
      </x:c>
      <x:c r="M1704" s="32" t="str">
        <x:f>IF(AND(M$8&lt;='Detalle'!$H829,M$9&gt;='Detalle'!$G829),1,"")</x:f>
      </x:c>
      <x:c r="N1704" s="32" t="str">
        <x:f>IF(AND(N$8&lt;='Detalle'!$H829,N$9&gt;='Detalle'!$G829),1,"")</x:f>
      </x:c>
      <x:c r="O1704" s="32" t="str">
        <x:f>IF(AND(O$8&lt;='Detalle'!$H829,O$9&gt;='Detalle'!$G829),1,"")</x:f>
      </x:c>
      <x:c r="P1704" s="32" t="str">
        <x:f>IF(AND(P$8&lt;='Detalle'!$H829,P$9&gt;='Detalle'!$G829),1,"")</x:f>
      </x:c>
      <x:c r="Q1704" s="68"/>
      <x:c r="R1704" s="67" t="str">
        <x:f>IF('Detalle'!M829="","",'Detalle'!M829)</x:f>
      </x:c>
      <x:c r="S1704" s="67" t="str">
        <x:f>IF('Detalle'!N829="","",'Detalle'!N829)</x:f>
      </x:c>
    </x:row>
    <x:row r="1705" ht="16" customHeight="1">
      <x:c r="A1705" s="56" t="str">
        <x:v>TOU10.006</x:v>
      </x:c>
      <x:c r="B1705" s="57" t="str">
        <x:v>Validar contratos SQL de recorridos</x:v>
      </x:c>
      <x:c r="C1705" s="63" t="str">
        <x:v>R</x:v>
      </x:c>
      <x:c r="D1705" s="65" t="str">
        <x:f>IF('Detalle'!L829="","",'Detalle'!L829)</x:f>
      </x:c>
      <x:c r="E1705" s="60" t="str"/>
      <x:c r="F1705" s="32" t="str">
        <x:f>IF(OR('Detalle'!$J829="",'Detalle'!$K829="",'Detalle'!$L829=""),"",IF(AND(F$8&lt;='Detalle'!$K829,F$9&gt;='Detalle'!$J829),1,""))</x:f>
      </x:c>
      <x:c r="G1705" s="32" t="str">
        <x:f>IF(OR('Detalle'!$J829="",'Detalle'!$K829="",'Detalle'!$L829=""),"",IF(AND(G$8&lt;='Detalle'!$K829,G$9&gt;='Detalle'!$J829),1,""))</x:f>
      </x:c>
      <x:c r="H1705" s="32" t="str">
        <x:f>IF(OR('Detalle'!$J829="",'Detalle'!$K829="",'Detalle'!$L829=""),"",IF(AND(H$8&lt;='Detalle'!$K829,H$9&gt;='Detalle'!$J829),1,""))</x:f>
      </x:c>
      <x:c r="I1705" s="32" t="str">
        <x:f>IF(OR('Detalle'!$J829="",'Detalle'!$K829="",'Detalle'!$L829=""),"",IF(AND(I$8&lt;='Detalle'!$K829,I$9&gt;='Detalle'!$J829),1,""))</x:f>
      </x:c>
      <x:c r="J1705" s="32" t="str">
        <x:f>IF(OR('Detalle'!$J829="",'Detalle'!$K829="",'Detalle'!$L829=""),"",IF(AND(J$8&lt;='Detalle'!$K829,J$9&gt;='Detalle'!$J829),1,""))</x:f>
      </x:c>
      <x:c r="K1705" s="32" t="str">
        <x:f>IF(OR('Detalle'!$J829="",'Detalle'!$K829="",'Detalle'!$L829=""),"",IF(AND(K$8&lt;='Detalle'!$K829,K$9&gt;='Detalle'!$J829),1,""))</x:f>
      </x:c>
      <x:c r="L1705" s="32" t="str">
        <x:f>IF(OR('Detalle'!$J829="",'Detalle'!$K829="",'Detalle'!$L829=""),"",IF(AND(L$8&lt;='Detalle'!$K829,L$9&gt;='Detalle'!$J829),1,""))</x:f>
      </x:c>
      <x:c r="M1705" s="32" t="str">
        <x:f>IF(OR('Detalle'!$J829="",'Detalle'!$K829="",'Detalle'!$L829=""),"",IF(AND(M$8&lt;='Detalle'!$K829,M$9&gt;='Detalle'!$J829),1,""))</x:f>
      </x:c>
      <x:c r="N1705" s="32" t="str">
        <x:f>IF(OR('Detalle'!$J829="",'Detalle'!$K829="",'Detalle'!$L829=""),"",IF(AND(N$8&lt;='Detalle'!$K829,N$9&gt;='Detalle'!$J829),1,""))</x:f>
      </x:c>
      <x:c r="O1705" s="32" t="str">
        <x:f>IF(OR('Detalle'!$J829="",'Detalle'!$K829="",'Detalle'!$L829=""),"",IF(AND(O$8&lt;='Detalle'!$K829,O$9&gt;='Detalle'!$J829),1,""))</x:f>
      </x:c>
      <x:c r="P1705" s="32" t="str">
        <x:f>IF(OR('Detalle'!$J829="",'Detalle'!$K829="",'Detalle'!$L829=""),"",IF(AND(P$8&lt;='Detalle'!$K829,P$9&gt;='Detalle'!$J829),1,""))</x:f>
      </x:c>
      <x:c r="Q1705" s="68"/>
      <x:c r="R1705" s="67" t="str"/>
      <x:c r="S1705" s="67" t="str"/>
    </x:row>
    <x:row r="1706" ht="16" customHeight="1">
      <x:c r="A1706" s="56" t="str">
        <x:v>TOU10.007</x:v>
      </x:c>
      <x:c r="B1706" s="57" t="str">
        <x:v>Validar dispatcher y limpieza recursiva</x:v>
      </x:c>
      <x:c r="C1706" s="62" t="str">
        <x:v>E</x:v>
      </x:c>
      <x:c r="D1706" s="64" t="n">
        <x:f>'Detalle'!I830</x:f>
        <x:v>1</x:v>
      </x:c>
      <x:c r="E1706" s="60" t="str">
        <x:f>'Detalle'!F830</x:f>
        <x:v>Completado</x:v>
      </x:c>
      <x:c r="F1706" s="32" t="str">
        <x:f>IF(AND(F$8&lt;='Detalle'!$H830,F$9&gt;='Detalle'!$G830),1,"")</x:f>
      </x:c>
      <x:c r="G1706" s="32" t="str">
        <x:f>IF(AND(G$8&lt;='Detalle'!$H830,G$9&gt;='Detalle'!$G830),1,"")</x:f>
      </x:c>
      <x:c r="H1706" s="32" t="str">
        <x:f>IF(AND(H$8&lt;='Detalle'!$H830,H$9&gt;='Detalle'!$G830),1,"")</x:f>
      </x:c>
      <x:c r="I1706" s="32" t="str">
        <x:f>IF(AND(I$8&lt;='Detalle'!$H830,I$9&gt;='Detalle'!$G830),1,"")</x:f>
      </x:c>
      <x:c r="J1706" s="32" t="n">
        <x:f>IF(AND(J$8&lt;='Detalle'!$H830,J$9&gt;='Detalle'!$G830),1,"")</x:f>
        <x:v>1</x:v>
      </x:c>
      <x:c r="K1706" s="32" t="str">
        <x:f>IF(AND(K$8&lt;='Detalle'!$H830,K$9&gt;='Detalle'!$G830),1,"")</x:f>
      </x:c>
      <x:c r="L1706" s="32" t="str">
        <x:f>IF(AND(L$8&lt;='Detalle'!$H830,L$9&gt;='Detalle'!$G830),1,"")</x:f>
      </x:c>
      <x:c r="M1706" s="32" t="str">
        <x:f>IF(AND(M$8&lt;='Detalle'!$H830,M$9&gt;='Detalle'!$G830),1,"")</x:f>
      </x:c>
      <x:c r="N1706" s="32" t="str">
        <x:f>IF(AND(N$8&lt;='Detalle'!$H830,N$9&gt;='Detalle'!$G830),1,"")</x:f>
      </x:c>
      <x:c r="O1706" s="32" t="str">
        <x:f>IF(AND(O$8&lt;='Detalle'!$H830,O$9&gt;='Detalle'!$G830),1,"")</x:f>
      </x:c>
      <x:c r="P1706" s="32" t="str">
        <x:f>IF(AND(P$8&lt;='Detalle'!$H830,P$9&gt;='Detalle'!$G830),1,"")</x:f>
      </x:c>
      <x:c r="Q1706" s="68"/>
      <x:c r="R1706" s="67" t="str">
        <x:f>IF('Detalle'!M830="","",'Detalle'!M830)</x:f>
      </x:c>
      <x:c r="S1706" s="67" t="str">
        <x:f>IF('Detalle'!N830="","",'Detalle'!N830)</x:f>
      </x:c>
    </x:row>
    <x:row r="1707" ht="16" customHeight="1">
      <x:c r="A1707" s="56" t="str">
        <x:v>TOU10.007</x:v>
      </x:c>
      <x:c r="B1707" s="57" t="str">
        <x:v>Validar dispatcher y limpieza recursiva</x:v>
      </x:c>
      <x:c r="C1707" s="63" t="str">
        <x:v>R</x:v>
      </x:c>
      <x:c r="D1707" s="65" t="str">
        <x:f>IF('Detalle'!L830="","",'Detalle'!L830)</x:f>
      </x:c>
      <x:c r="E1707" s="60" t="str"/>
      <x:c r="F1707" s="32" t="str">
        <x:f>IF(OR('Detalle'!$J830="",'Detalle'!$K830="",'Detalle'!$L830=""),"",IF(AND(F$8&lt;='Detalle'!$K830,F$9&gt;='Detalle'!$J830),1,""))</x:f>
      </x:c>
      <x:c r="G1707" s="32" t="str">
        <x:f>IF(OR('Detalle'!$J830="",'Detalle'!$K830="",'Detalle'!$L830=""),"",IF(AND(G$8&lt;='Detalle'!$K830,G$9&gt;='Detalle'!$J830),1,""))</x:f>
      </x:c>
      <x:c r="H1707" s="32" t="str">
        <x:f>IF(OR('Detalle'!$J830="",'Detalle'!$K830="",'Detalle'!$L830=""),"",IF(AND(H$8&lt;='Detalle'!$K830,H$9&gt;='Detalle'!$J830),1,""))</x:f>
      </x:c>
      <x:c r="I1707" s="32" t="str">
        <x:f>IF(OR('Detalle'!$J830="",'Detalle'!$K830="",'Detalle'!$L830=""),"",IF(AND(I$8&lt;='Detalle'!$K830,I$9&gt;='Detalle'!$J830),1,""))</x:f>
      </x:c>
      <x:c r="J1707" s="32" t="str">
        <x:f>IF(OR('Detalle'!$J830="",'Detalle'!$K830="",'Detalle'!$L830=""),"",IF(AND(J$8&lt;='Detalle'!$K830,J$9&gt;='Detalle'!$J830),1,""))</x:f>
      </x:c>
      <x:c r="K1707" s="32" t="str">
        <x:f>IF(OR('Detalle'!$J830="",'Detalle'!$K830="",'Detalle'!$L830=""),"",IF(AND(K$8&lt;='Detalle'!$K830,K$9&gt;='Detalle'!$J830),1,""))</x:f>
      </x:c>
      <x:c r="L1707" s="32" t="str">
        <x:f>IF(OR('Detalle'!$J830="",'Detalle'!$K830="",'Detalle'!$L830=""),"",IF(AND(L$8&lt;='Detalle'!$K830,L$9&gt;='Detalle'!$J830),1,""))</x:f>
      </x:c>
      <x:c r="M1707" s="32" t="str">
        <x:f>IF(OR('Detalle'!$J830="",'Detalle'!$K830="",'Detalle'!$L830=""),"",IF(AND(M$8&lt;='Detalle'!$K830,M$9&gt;='Detalle'!$J830),1,""))</x:f>
      </x:c>
      <x:c r="N1707" s="32" t="str">
        <x:f>IF(OR('Detalle'!$J830="",'Detalle'!$K830="",'Detalle'!$L830=""),"",IF(AND(N$8&lt;='Detalle'!$K830,N$9&gt;='Detalle'!$J830),1,""))</x:f>
      </x:c>
      <x:c r="O1707" s="32" t="str">
        <x:f>IF(OR('Detalle'!$J830="",'Detalle'!$K830="",'Detalle'!$L830=""),"",IF(AND(O$8&lt;='Detalle'!$K830,O$9&gt;='Detalle'!$J830),1,""))</x:f>
      </x:c>
      <x:c r="P1707" s="32" t="str">
        <x:f>IF(OR('Detalle'!$J830="",'Detalle'!$K830="",'Detalle'!$L830=""),"",IF(AND(P$8&lt;='Detalle'!$K830,P$9&gt;='Detalle'!$J830),1,""))</x:f>
      </x:c>
      <x:c r="Q1707" s="68"/>
      <x:c r="R1707" s="67" t="str"/>
      <x:c r="S1707" s="67" t="str"/>
    </x:row>
    <x:row r="1708" ht="16" customHeight="1">
      <x:c r="A1708" s="56" t="str">
        <x:v>TOU10.008</x:v>
      </x:c>
      <x:c r="B1708" s="57" t="str">
        <x:v>Validar worker y runner Python</x:v>
      </x:c>
      <x:c r="C1708" s="62" t="str">
        <x:v>E</x:v>
      </x:c>
      <x:c r="D1708" s="64" t="n">
        <x:f>'Detalle'!I831</x:f>
        <x:v>1</x:v>
      </x:c>
      <x:c r="E1708" s="60" t="str">
        <x:f>'Detalle'!F831</x:f>
        <x:v>Completado</x:v>
      </x:c>
      <x:c r="F1708" s="32" t="str">
        <x:f>IF(AND(F$8&lt;='Detalle'!$H831,F$9&gt;='Detalle'!$G831),1,"")</x:f>
      </x:c>
      <x:c r="G1708" s="32" t="str">
        <x:f>IF(AND(G$8&lt;='Detalle'!$H831,G$9&gt;='Detalle'!$G831),1,"")</x:f>
      </x:c>
      <x:c r="H1708" s="32" t="str">
        <x:f>IF(AND(H$8&lt;='Detalle'!$H831,H$9&gt;='Detalle'!$G831),1,"")</x:f>
      </x:c>
      <x:c r="I1708" s="32" t="str">
        <x:f>IF(AND(I$8&lt;='Detalle'!$H831,I$9&gt;='Detalle'!$G831),1,"")</x:f>
      </x:c>
      <x:c r="J1708" s="32" t="n">
        <x:f>IF(AND(J$8&lt;='Detalle'!$H831,J$9&gt;='Detalle'!$G831),1,"")</x:f>
        <x:v>1</x:v>
      </x:c>
      <x:c r="K1708" s="32" t="str">
        <x:f>IF(AND(K$8&lt;='Detalle'!$H831,K$9&gt;='Detalle'!$G831),1,"")</x:f>
      </x:c>
      <x:c r="L1708" s="32" t="str">
        <x:f>IF(AND(L$8&lt;='Detalle'!$H831,L$9&gt;='Detalle'!$G831),1,"")</x:f>
      </x:c>
      <x:c r="M1708" s="32" t="str">
        <x:f>IF(AND(M$8&lt;='Detalle'!$H831,M$9&gt;='Detalle'!$G831),1,"")</x:f>
      </x:c>
      <x:c r="N1708" s="32" t="str">
        <x:f>IF(AND(N$8&lt;='Detalle'!$H831,N$9&gt;='Detalle'!$G831),1,"")</x:f>
      </x:c>
      <x:c r="O1708" s="32" t="str">
        <x:f>IF(AND(O$8&lt;='Detalle'!$H831,O$9&gt;='Detalle'!$G831),1,"")</x:f>
      </x:c>
      <x:c r="P1708" s="32" t="str">
        <x:f>IF(AND(P$8&lt;='Detalle'!$H831,P$9&gt;='Detalle'!$G831),1,"")</x:f>
      </x:c>
      <x:c r="Q1708" s="68"/>
      <x:c r="R1708" s="67" t="str">
        <x:f>IF('Detalle'!M831="","",'Detalle'!M831)</x:f>
      </x:c>
      <x:c r="S1708" s="67" t="str">
        <x:f>IF('Detalle'!N831="","",'Detalle'!N831)</x:f>
      </x:c>
    </x:row>
    <x:row r="1709" ht="16" customHeight="1">
      <x:c r="A1709" s="56" t="str">
        <x:v>TOU10.008</x:v>
      </x:c>
      <x:c r="B1709" s="57" t="str">
        <x:v>Validar worker y runner Python</x:v>
      </x:c>
      <x:c r="C1709" s="63" t="str">
        <x:v>R</x:v>
      </x:c>
      <x:c r="D1709" s="65" t="str">
        <x:f>IF('Detalle'!L831="","",'Detalle'!L831)</x:f>
      </x:c>
      <x:c r="E1709" s="60" t="str"/>
      <x:c r="F1709" s="32" t="str">
        <x:f>IF(OR('Detalle'!$J831="",'Detalle'!$K831="",'Detalle'!$L831=""),"",IF(AND(F$8&lt;='Detalle'!$K831,F$9&gt;='Detalle'!$J831),1,""))</x:f>
      </x:c>
      <x:c r="G1709" s="32" t="str">
        <x:f>IF(OR('Detalle'!$J831="",'Detalle'!$K831="",'Detalle'!$L831=""),"",IF(AND(G$8&lt;='Detalle'!$K831,G$9&gt;='Detalle'!$J831),1,""))</x:f>
      </x:c>
      <x:c r="H1709" s="32" t="str">
        <x:f>IF(OR('Detalle'!$J831="",'Detalle'!$K831="",'Detalle'!$L831=""),"",IF(AND(H$8&lt;='Detalle'!$K831,H$9&gt;='Detalle'!$J831),1,""))</x:f>
      </x:c>
      <x:c r="I1709" s="32" t="str">
        <x:f>IF(OR('Detalle'!$J831="",'Detalle'!$K831="",'Detalle'!$L831=""),"",IF(AND(I$8&lt;='Detalle'!$K831,I$9&gt;='Detalle'!$J831),1,""))</x:f>
      </x:c>
      <x:c r="J1709" s="32" t="str">
        <x:f>IF(OR('Detalle'!$J831="",'Detalle'!$K831="",'Detalle'!$L831=""),"",IF(AND(J$8&lt;='Detalle'!$K831,J$9&gt;='Detalle'!$J831),1,""))</x:f>
      </x:c>
      <x:c r="K1709" s="32" t="str">
        <x:f>IF(OR('Detalle'!$J831="",'Detalle'!$K831="",'Detalle'!$L831=""),"",IF(AND(K$8&lt;='Detalle'!$K831,K$9&gt;='Detalle'!$J831),1,""))</x:f>
      </x:c>
      <x:c r="L1709" s="32" t="str">
        <x:f>IF(OR('Detalle'!$J831="",'Detalle'!$K831="",'Detalle'!$L831=""),"",IF(AND(L$8&lt;='Detalle'!$K831,L$9&gt;='Detalle'!$J831),1,""))</x:f>
      </x:c>
      <x:c r="M1709" s="32" t="str">
        <x:f>IF(OR('Detalle'!$J831="",'Detalle'!$K831="",'Detalle'!$L831=""),"",IF(AND(M$8&lt;='Detalle'!$K831,M$9&gt;='Detalle'!$J831),1,""))</x:f>
      </x:c>
      <x:c r="N1709" s="32" t="str">
        <x:f>IF(OR('Detalle'!$J831="",'Detalle'!$K831="",'Detalle'!$L831=""),"",IF(AND(N$8&lt;='Detalle'!$K831,N$9&gt;='Detalle'!$J831),1,""))</x:f>
      </x:c>
      <x:c r="O1709" s="32" t="str">
        <x:f>IF(OR('Detalle'!$J831="",'Detalle'!$K831="",'Detalle'!$L831=""),"",IF(AND(O$8&lt;='Detalle'!$K831,O$9&gt;='Detalle'!$J831),1,""))</x:f>
      </x:c>
      <x:c r="P1709" s="32" t="str">
        <x:f>IF(OR('Detalle'!$J831="",'Detalle'!$K831="",'Detalle'!$L831=""),"",IF(AND(P$8&lt;='Detalle'!$K831,P$9&gt;='Detalle'!$J831),1,""))</x:f>
      </x:c>
      <x:c r="Q1709" s="68"/>
      <x:c r="R1709" s="67" t="str"/>
      <x:c r="S1709" s="67" t="str"/>
    </x:row>
    <x:row r="1710" ht="16" customHeight="1">
      <x:c r="A1710" s="56" t="str">
        <x:v>TOU10.009</x:v>
      </x:c>
      <x:c r="B1710" s="57" t="str">
        <x:v>Registrar suite Flutter completa</x:v>
      </x:c>
      <x:c r="C1710" s="62" t="str">
        <x:v>E</x:v>
      </x:c>
      <x:c r="D1710" s="64" t="n">
        <x:f>'Detalle'!I832</x:f>
        <x:v>1</x:v>
      </x:c>
      <x:c r="E1710" s="60" t="str">
        <x:f>'Detalle'!F832</x:f>
        <x:v>Completado</x:v>
      </x:c>
      <x:c r="F1710" s="32" t="str">
        <x:f>IF(AND(F$8&lt;='Detalle'!$H832,F$9&gt;='Detalle'!$G832),1,"")</x:f>
      </x:c>
      <x:c r="G1710" s="32" t="str">
        <x:f>IF(AND(G$8&lt;='Detalle'!$H832,G$9&gt;='Detalle'!$G832),1,"")</x:f>
      </x:c>
      <x:c r="H1710" s="32" t="str">
        <x:f>IF(AND(H$8&lt;='Detalle'!$H832,H$9&gt;='Detalle'!$G832),1,"")</x:f>
      </x:c>
      <x:c r="I1710" s="32" t="str">
        <x:f>IF(AND(I$8&lt;='Detalle'!$H832,I$9&gt;='Detalle'!$G832),1,"")</x:f>
      </x:c>
      <x:c r="J1710" s="32" t="n">
        <x:f>IF(AND(J$8&lt;='Detalle'!$H832,J$9&gt;='Detalle'!$G832),1,"")</x:f>
        <x:v>1</x:v>
      </x:c>
      <x:c r="K1710" s="32" t="str">
        <x:f>IF(AND(K$8&lt;='Detalle'!$H832,K$9&gt;='Detalle'!$G832),1,"")</x:f>
      </x:c>
      <x:c r="L1710" s="32" t="str">
        <x:f>IF(AND(L$8&lt;='Detalle'!$H832,L$9&gt;='Detalle'!$G832),1,"")</x:f>
      </x:c>
      <x:c r="M1710" s="32" t="str">
        <x:f>IF(AND(M$8&lt;='Detalle'!$H832,M$9&gt;='Detalle'!$G832),1,"")</x:f>
      </x:c>
      <x:c r="N1710" s="32" t="str">
        <x:f>IF(AND(N$8&lt;='Detalle'!$H832,N$9&gt;='Detalle'!$G832),1,"")</x:f>
      </x:c>
      <x:c r="O1710" s="32" t="str">
        <x:f>IF(AND(O$8&lt;='Detalle'!$H832,O$9&gt;='Detalle'!$G832),1,"")</x:f>
      </x:c>
      <x:c r="P1710" s="32" t="str">
        <x:f>IF(AND(P$8&lt;='Detalle'!$H832,P$9&gt;='Detalle'!$G832),1,"")</x:f>
      </x:c>
      <x:c r="Q1710" s="68"/>
      <x:c r="R1710" s="67" t="str">
        <x:f>IF('Detalle'!M832="","",'Detalle'!M832)</x:f>
      </x:c>
      <x:c r="S1710" s="67" t="str">
        <x:f>IF('Detalle'!N832="","",'Detalle'!N832)</x:f>
      </x:c>
    </x:row>
    <x:row r="1711" ht="16" customHeight="1">
      <x:c r="A1711" s="56" t="str">
        <x:v>TOU10.009</x:v>
      </x:c>
      <x:c r="B1711" s="57" t="str">
        <x:v>Registrar suite Flutter completa</x:v>
      </x:c>
      <x:c r="C1711" s="63" t="str">
        <x:v>R</x:v>
      </x:c>
      <x:c r="D1711" s="65" t="str">
        <x:f>IF('Detalle'!L832="","",'Detalle'!L832)</x:f>
      </x:c>
      <x:c r="E1711" s="60" t="str"/>
      <x:c r="F1711" s="32" t="str">
        <x:f>IF(OR('Detalle'!$J832="",'Detalle'!$K832="",'Detalle'!$L832=""),"",IF(AND(F$8&lt;='Detalle'!$K832,F$9&gt;='Detalle'!$J832),1,""))</x:f>
      </x:c>
      <x:c r="G1711" s="32" t="str">
        <x:f>IF(OR('Detalle'!$J832="",'Detalle'!$K832="",'Detalle'!$L832=""),"",IF(AND(G$8&lt;='Detalle'!$K832,G$9&gt;='Detalle'!$J832),1,""))</x:f>
      </x:c>
      <x:c r="H1711" s="32" t="str">
        <x:f>IF(OR('Detalle'!$J832="",'Detalle'!$K832="",'Detalle'!$L832=""),"",IF(AND(H$8&lt;='Detalle'!$K832,H$9&gt;='Detalle'!$J832),1,""))</x:f>
      </x:c>
      <x:c r="I1711" s="32" t="str">
        <x:f>IF(OR('Detalle'!$J832="",'Detalle'!$K832="",'Detalle'!$L832=""),"",IF(AND(I$8&lt;='Detalle'!$K832,I$9&gt;='Detalle'!$J832),1,""))</x:f>
      </x:c>
      <x:c r="J1711" s="32" t="str">
        <x:f>IF(OR('Detalle'!$J832="",'Detalle'!$K832="",'Detalle'!$L832=""),"",IF(AND(J$8&lt;='Detalle'!$K832,J$9&gt;='Detalle'!$J832),1,""))</x:f>
      </x:c>
      <x:c r="K1711" s="32" t="str">
        <x:f>IF(OR('Detalle'!$J832="",'Detalle'!$K832="",'Detalle'!$L832=""),"",IF(AND(K$8&lt;='Detalle'!$K832,K$9&gt;='Detalle'!$J832),1,""))</x:f>
      </x:c>
      <x:c r="L1711" s="32" t="str">
        <x:f>IF(OR('Detalle'!$J832="",'Detalle'!$K832="",'Detalle'!$L832=""),"",IF(AND(L$8&lt;='Detalle'!$K832,L$9&gt;='Detalle'!$J832),1,""))</x:f>
      </x:c>
      <x:c r="M1711" s="32" t="str">
        <x:f>IF(OR('Detalle'!$J832="",'Detalle'!$K832="",'Detalle'!$L832=""),"",IF(AND(M$8&lt;='Detalle'!$K832,M$9&gt;='Detalle'!$J832),1,""))</x:f>
      </x:c>
      <x:c r="N1711" s="32" t="str">
        <x:f>IF(OR('Detalle'!$J832="",'Detalle'!$K832="",'Detalle'!$L832=""),"",IF(AND(N$8&lt;='Detalle'!$K832,N$9&gt;='Detalle'!$J832),1,""))</x:f>
      </x:c>
      <x:c r="O1711" s="32" t="str">
        <x:f>IF(OR('Detalle'!$J832="",'Detalle'!$K832="",'Detalle'!$L832=""),"",IF(AND(O$8&lt;='Detalle'!$K832,O$9&gt;='Detalle'!$J832),1,""))</x:f>
      </x:c>
      <x:c r="P1711" s="32" t="str">
        <x:f>IF(OR('Detalle'!$J832="",'Detalle'!$K832="",'Detalle'!$L832=""),"",IF(AND(P$8&lt;='Detalle'!$K832,P$9&gt;='Detalle'!$J832),1,""))</x:f>
      </x:c>
      <x:c r="Q1711" s="68"/>
      <x:c r="R1711" s="67" t="str"/>
      <x:c r="S1711" s="67" t="str"/>
    </x:row>
    <x:row r="1712" ht="16" customHeight="1">
      <x:c r="A1712" s="56" t="str">
        <x:v>TOU10.010</x:v>
      </x:c>
      <x:c r="B1712" s="57" t="str">
        <x:v>Validar backend real del piloto</x:v>
      </x:c>
      <x:c r="C1712" s="62" t="str">
        <x:v>E</x:v>
      </x:c>
      <x:c r="D1712" s="64" t="n">
        <x:f>'Detalle'!I833</x:f>
        <x:v>1</x:v>
      </x:c>
      <x:c r="E1712" s="60" t="str">
        <x:f>'Detalle'!F833</x:f>
        <x:v>Completado</x:v>
      </x:c>
      <x:c r="F1712" s="32" t="str">
        <x:f>IF(AND(F$8&lt;='Detalle'!$H833,F$9&gt;='Detalle'!$G833),1,"")</x:f>
      </x:c>
      <x:c r="G1712" s="32" t="str">
        <x:f>IF(AND(G$8&lt;='Detalle'!$H833,G$9&gt;='Detalle'!$G833),1,"")</x:f>
      </x:c>
      <x:c r="H1712" s="32" t="str">
        <x:f>IF(AND(H$8&lt;='Detalle'!$H833,H$9&gt;='Detalle'!$G833),1,"")</x:f>
      </x:c>
      <x:c r="I1712" s="32" t="str">
        <x:f>IF(AND(I$8&lt;='Detalle'!$H833,I$9&gt;='Detalle'!$G833),1,"")</x:f>
      </x:c>
      <x:c r="J1712" s="32" t="n">
        <x:f>IF(AND(J$8&lt;='Detalle'!$H833,J$9&gt;='Detalle'!$G833),1,"")</x:f>
        <x:v>1</x:v>
      </x:c>
      <x:c r="K1712" s="32" t="str">
        <x:f>IF(AND(K$8&lt;='Detalle'!$H833,K$9&gt;='Detalle'!$G833),1,"")</x:f>
      </x:c>
      <x:c r="L1712" s="32" t="str">
        <x:f>IF(AND(L$8&lt;='Detalle'!$H833,L$9&gt;='Detalle'!$G833),1,"")</x:f>
      </x:c>
      <x:c r="M1712" s="32" t="str">
        <x:f>IF(AND(M$8&lt;='Detalle'!$H833,M$9&gt;='Detalle'!$G833),1,"")</x:f>
      </x:c>
      <x:c r="N1712" s="32" t="str">
        <x:f>IF(AND(N$8&lt;='Detalle'!$H833,N$9&gt;='Detalle'!$G833),1,"")</x:f>
      </x:c>
      <x:c r="O1712" s="32" t="str">
        <x:f>IF(AND(O$8&lt;='Detalle'!$H833,O$9&gt;='Detalle'!$G833),1,"")</x:f>
      </x:c>
      <x:c r="P1712" s="32" t="str">
        <x:f>IF(AND(P$8&lt;='Detalle'!$H833,P$9&gt;='Detalle'!$G833),1,"")</x:f>
      </x:c>
      <x:c r="Q1712" s="68"/>
      <x:c r="R1712" s="67" t="str">
        <x:f>IF('Detalle'!M833="","",'Detalle'!M833)</x:f>
      </x:c>
      <x:c r="S1712" s="67" t="str">
        <x:f>IF('Detalle'!N833="","",'Detalle'!N833)</x:f>
      </x:c>
    </x:row>
    <x:row r="1713" ht="16" customHeight="1">
      <x:c r="A1713" s="56" t="str">
        <x:v>TOU10.010</x:v>
      </x:c>
      <x:c r="B1713" s="57" t="str">
        <x:v>Validar backend real del piloto</x:v>
      </x:c>
      <x:c r="C1713" s="63" t="str">
        <x:v>R</x:v>
      </x:c>
      <x:c r="D1713" s="65" t="str">
        <x:f>IF('Detalle'!L833="","",'Detalle'!L833)</x:f>
      </x:c>
      <x:c r="E1713" s="60" t="str"/>
      <x:c r="F1713" s="32" t="str">
        <x:f>IF(OR('Detalle'!$J833="",'Detalle'!$K833="",'Detalle'!$L833=""),"",IF(AND(F$8&lt;='Detalle'!$K833,F$9&gt;='Detalle'!$J833),1,""))</x:f>
      </x:c>
      <x:c r="G1713" s="32" t="str">
        <x:f>IF(OR('Detalle'!$J833="",'Detalle'!$K833="",'Detalle'!$L833=""),"",IF(AND(G$8&lt;='Detalle'!$K833,G$9&gt;='Detalle'!$J833),1,""))</x:f>
      </x:c>
      <x:c r="H1713" s="32" t="str">
        <x:f>IF(OR('Detalle'!$J833="",'Detalle'!$K833="",'Detalle'!$L833=""),"",IF(AND(H$8&lt;='Detalle'!$K833,H$9&gt;='Detalle'!$J833),1,""))</x:f>
      </x:c>
      <x:c r="I1713" s="32" t="str">
        <x:f>IF(OR('Detalle'!$J833="",'Detalle'!$K833="",'Detalle'!$L833=""),"",IF(AND(I$8&lt;='Detalle'!$K833,I$9&gt;='Detalle'!$J833),1,""))</x:f>
      </x:c>
      <x:c r="J1713" s="32" t="str">
        <x:f>IF(OR('Detalle'!$J833="",'Detalle'!$K833="",'Detalle'!$L833=""),"",IF(AND(J$8&lt;='Detalle'!$K833,J$9&gt;='Detalle'!$J833),1,""))</x:f>
      </x:c>
      <x:c r="K1713" s="32" t="str">
        <x:f>IF(OR('Detalle'!$J833="",'Detalle'!$K833="",'Detalle'!$L833=""),"",IF(AND(K$8&lt;='Detalle'!$K833,K$9&gt;='Detalle'!$J833),1,""))</x:f>
      </x:c>
      <x:c r="L1713" s="32" t="str">
        <x:f>IF(OR('Detalle'!$J833="",'Detalle'!$K833="",'Detalle'!$L833=""),"",IF(AND(L$8&lt;='Detalle'!$K833,L$9&gt;='Detalle'!$J833),1,""))</x:f>
      </x:c>
      <x:c r="M1713" s="32" t="str">
        <x:f>IF(OR('Detalle'!$J833="",'Detalle'!$K833="",'Detalle'!$L833=""),"",IF(AND(M$8&lt;='Detalle'!$K833,M$9&gt;='Detalle'!$J833),1,""))</x:f>
      </x:c>
      <x:c r="N1713" s="32" t="str">
        <x:f>IF(OR('Detalle'!$J833="",'Detalle'!$K833="",'Detalle'!$L833=""),"",IF(AND(N$8&lt;='Detalle'!$K833,N$9&gt;='Detalle'!$J833),1,""))</x:f>
      </x:c>
      <x:c r="O1713" s="32" t="str">
        <x:f>IF(OR('Detalle'!$J833="",'Detalle'!$K833="",'Detalle'!$L833=""),"",IF(AND(O$8&lt;='Detalle'!$K833,O$9&gt;='Detalle'!$J833),1,""))</x:f>
      </x:c>
      <x:c r="P1713" s="32" t="str">
        <x:f>IF(OR('Detalle'!$J833="",'Detalle'!$K833="",'Detalle'!$L833=""),"",IF(AND(P$8&lt;='Detalle'!$K833,P$9&gt;='Detalle'!$J833),1,""))</x:f>
      </x:c>
      <x:c r="Q1713" s="68"/>
      <x:c r="R1713" s="67" t="str"/>
      <x:c r="S1713" s="67" t="str"/>
    </x:row>
    <x:row r="1714" ht="16" customHeight="1">
      <x:c r="A1714" s="56" t="str">
        <x:v>TOU10.011</x:v>
      </x:c>
      <x:c r="B1714" s="57" t="str">
        <x:v>Compilar APK, Web e iOS sin firma</x:v>
      </x:c>
      <x:c r="C1714" s="62" t="str">
        <x:v>E</x:v>
      </x:c>
      <x:c r="D1714" s="64" t="n">
        <x:f>'Detalle'!I834</x:f>
        <x:v>1</x:v>
      </x:c>
      <x:c r="E1714" s="60" t="str">
        <x:f>'Detalle'!F834</x:f>
        <x:v>Completado</x:v>
      </x:c>
      <x:c r="F1714" s="32" t="str">
        <x:f>IF(AND(F$8&lt;='Detalle'!$H834,F$9&gt;='Detalle'!$G834),1,"")</x:f>
      </x:c>
      <x:c r="G1714" s="32" t="str">
        <x:f>IF(AND(G$8&lt;='Detalle'!$H834,G$9&gt;='Detalle'!$G834),1,"")</x:f>
      </x:c>
      <x:c r="H1714" s="32" t="str">
        <x:f>IF(AND(H$8&lt;='Detalle'!$H834,H$9&gt;='Detalle'!$G834),1,"")</x:f>
      </x:c>
      <x:c r="I1714" s="32" t="str">
        <x:f>IF(AND(I$8&lt;='Detalle'!$H834,I$9&gt;='Detalle'!$G834),1,"")</x:f>
      </x:c>
      <x:c r="J1714" s="32" t="n">
        <x:f>IF(AND(J$8&lt;='Detalle'!$H834,J$9&gt;='Detalle'!$G834),1,"")</x:f>
        <x:v>1</x:v>
      </x:c>
      <x:c r="K1714" s="32" t="str">
        <x:f>IF(AND(K$8&lt;='Detalle'!$H834,K$9&gt;='Detalle'!$G834),1,"")</x:f>
      </x:c>
      <x:c r="L1714" s="32" t="str">
        <x:f>IF(AND(L$8&lt;='Detalle'!$H834,L$9&gt;='Detalle'!$G834),1,"")</x:f>
      </x:c>
      <x:c r="M1714" s="32" t="str">
        <x:f>IF(AND(M$8&lt;='Detalle'!$H834,M$9&gt;='Detalle'!$G834),1,"")</x:f>
      </x:c>
      <x:c r="N1714" s="32" t="str">
        <x:f>IF(AND(N$8&lt;='Detalle'!$H834,N$9&gt;='Detalle'!$G834),1,"")</x:f>
      </x:c>
      <x:c r="O1714" s="32" t="str">
        <x:f>IF(AND(O$8&lt;='Detalle'!$H834,O$9&gt;='Detalle'!$G834),1,"")</x:f>
      </x:c>
      <x:c r="P1714" s="32" t="str">
        <x:f>IF(AND(P$8&lt;='Detalle'!$H834,P$9&gt;='Detalle'!$G834),1,"")</x:f>
      </x:c>
      <x:c r="Q1714" s="68"/>
      <x:c r="R1714" s="67" t="str">
        <x:f>IF('Detalle'!M834="","",'Detalle'!M834)</x:f>
      </x:c>
      <x:c r="S1714" s="67" t="str">
        <x:f>IF('Detalle'!N834="","",'Detalle'!N834)</x:f>
      </x:c>
    </x:row>
    <x:row r="1715" ht="16" customHeight="1">
      <x:c r="A1715" s="56" t="str">
        <x:v>TOU10.011</x:v>
      </x:c>
      <x:c r="B1715" s="57" t="str">
        <x:v>Compilar APK, Web e iOS sin firma</x:v>
      </x:c>
      <x:c r="C1715" s="63" t="str">
        <x:v>R</x:v>
      </x:c>
      <x:c r="D1715" s="65" t="str">
        <x:f>IF('Detalle'!L834="","",'Detalle'!L834)</x:f>
      </x:c>
      <x:c r="E1715" s="60" t="str"/>
      <x:c r="F1715" s="32" t="str">
        <x:f>IF(OR('Detalle'!$J834="",'Detalle'!$K834="",'Detalle'!$L834=""),"",IF(AND(F$8&lt;='Detalle'!$K834,F$9&gt;='Detalle'!$J834),1,""))</x:f>
      </x:c>
      <x:c r="G1715" s="32" t="str">
        <x:f>IF(OR('Detalle'!$J834="",'Detalle'!$K834="",'Detalle'!$L834=""),"",IF(AND(G$8&lt;='Detalle'!$K834,G$9&gt;='Detalle'!$J834),1,""))</x:f>
      </x:c>
      <x:c r="H1715" s="32" t="str">
        <x:f>IF(OR('Detalle'!$J834="",'Detalle'!$K834="",'Detalle'!$L834=""),"",IF(AND(H$8&lt;='Detalle'!$K834,H$9&gt;='Detalle'!$J834),1,""))</x:f>
      </x:c>
      <x:c r="I1715" s="32" t="str">
        <x:f>IF(OR('Detalle'!$J834="",'Detalle'!$K834="",'Detalle'!$L834=""),"",IF(AND(I$8&lt;='Detalle'!$K834,I$9&gt;='Detalle'!$J834),1,""))</x:f>
      </x:c>
      <x:c r="J1715" s="32" t="str">
        <x:f>IF(OR('Detalle'!$J834="",'Detalle'!$K834="",'Detalle'!$L834=""),"",IF(AND(J$8&lt;='Detalle'!$K834,J$9&gt;='Detalle'!$J834),1,""))</x:f>
      </x:c>
      <x:c r="K1715" s="32" t="str">
        <x:f>IF(OR('Detalle'!$J834="",'Detalle'!$K834="",'Detalle'!$L834=""),"",IF(AND(K$8&lt;='Detalle'!$K834,K$9&gt;='Detalle'!$J834),1,""))</x:f>
      </x:c>
      <x:c r="L1715" s="32" t="str">
        <x:f>IF(OR('Detalle'!$J834="",'Detalle'!$K834="",'Detalle'!$L834=""),"",IF(AND(L$8&lt;='Detalle'!$K834,L$9&gt;='Detalle'!$J834),1,""))</x:f>
      </x:c>
      <x:c r="M1715" s="32" t="str">
        <x:f>IF(OR('Detalle'!$J834="",'Detalle'!$K834="",'Detalle'!$L834=""),"",IF(AND(M$8&lt;='Detalle'!$K834,M$9&gt;='Detalle'!$J834),1,""))</x:f>
      </x:c>
      <x:c r="N1715" s="32" t="str">
        <x:f>IF(OR('Detalle'!$J834="",'Detalle'!$K834="",'Detalle'!$L834=""),"",IF(AND(N$8&lt;='Detalle'!$K834,N$9&gt;='Detalle'!$J834),1,""))</x:f>
      </x:c>
      <x:c r="O1715" s="32" t="str">
        <x:f>IF(OR('Detalle'!$J834="",'Detalle'!$K834="",'Detalle'!$L834=""),"",IF(AND(O$8&lt;='Detalle'!$K834,O$9&gt;='Detalle'!$J834),1,""))</x:f>
      </x:c>
      <x:c r="P1715" s="32" t="str">
        <x:f>IF(OR('Detalle'!$J834="",'Detalle'!$K834="",'Detalle'!$L834=""),"",IF(AND(P$8&lt;='Detalle'!$K834,P$9&gt;='Detalle'!$J834),1,""))</x:f>
      </x:c>
      <x:c r="Q1715" s="68"/>
      <x:c r="R1715" s="67" t="str"/>
      <x:c r="S1715" s="67" t="str"/>
    </x:row>
    <x:row r="1716" ht="16" customHeight="1">
      <x:c r="A1716" s="56" t="str">
        <x:v>TOU10.012</x:v>
      </x:c>
      <x:c r="B1716" s="57" t="str">
        <x:v>Conservar límites de validación automática</x:v>
      </x:c>
      <x:c r="C1716" s="62" t="str">
        <x:v>E</x:v>
      </x:c>
      <x:c r="D1716" s="64" t="n">
        <x:f>'Detalle'!I835</x:f>
        <x:v>1</x:v>
      </x:c>
      <x:c r="E1716" s="60" t="str">
        <x:f>'Detalle'!F835</x:f>
        <x:v>Completado</x:v>
      </x:c>
      <x:c r="F1716" s="32" t="str">
        <x:f>IF(AND(F$8&lt;='Detalle'!$H835,F$9&gt;='Detalle'!$G835),1,"")</x:f>
      </x:c>
      <x:c r="G1716" s="32" t="str">
        <x:f>IF(AND(G$8&lt;='Detalle'!$H835,G$9&gt;='Detalle'!$G835),1,"")</x:f>
      </x:c>
      <x:c r="H1716" s="32" t="str">
        <x:f>IF(AND(H$8&lt;='Detalle'!$H835,H$9&gt;='Detalle'!$G835),1,"")</x:f>
      </x:c>
      <x:c r="I1716" s="32" t="str">
        <x:f>IF(AND(I$8&lt;='Detalle'!$H835,I$9&gt;='Detalle'!$G835),1,"")</x:f>
      </x:c>
      <x:c r="J1716" s="32" t="n">
        <x:f>IF(AND(J$8&lt;='Detalle'!$H835,J$9&gt;='Detalle'!$G835),1,"")</x:f>
        <x:v>1</x:v>
      </x:c>
      <x:c r="K1716" s="32" t="str">
        <x:f>IF(AND(K$8&lt;='Detalle'!$H835,K$9&gt;='Detalle'!$G835),1,"")</x:f>
      </x:c>
      <x:c r="L1716" s="32" t="str">
        <x:f>IF(AND(L$8&lt;='Detalle'!$H835,L$9&gt;='Detalle'!$G835),1,"")</x:f>
      </x:c>
      <x:c r="M1716" s="32" t="str">
        <x:f>IF(AND(M$8&lt;='Detalle'!$H835,M$9&gt;='Detalle'!$G835),1,"")</x:f>
      </x:c>
      <x:c r="N1716" s="32" t="str">
        <x:f>IF(AND(N$8&lt;='Detalle'!$H835,N$9&gt;='Detalle'!$G835),1,"")</x:f>
      </x:c>
      <x:c r="O1716" s="32" t="str">
        <x:f>IF(AND(O$8&lt;='Detalle'!$H835,O$9&gt;='Detalle'!$G835),1,"")</x:f>
      </x:c>
      <x:c r="P1716" s="32" t="str">
        <x:f>IF(AND(P$8&lt;='Detalle'!$H835,P$9&gt;='Detalle'!$G835),1,"")</x:f>
      </x:c>
      <x:c r="Q1716" s="68"/>
      <x:c r="R1716" s="67" t="str">
        <x:f>IF('Detalle'!M835="","",'Detalle'!M835)</x:f>
      </x:c>
      <x:c r="S1716" s="67" t="str">
        <x:f>IF('Detalle'!N835="","",'Detalle'!N835)</x:f>
      </x:c>
    </x:row>
    <x:row r="1717" ht="16" customHeight="1">
      <x:c r="A1717" s="56" t="str">
        <x:v>TOU10.012</x:v>
      </x:c>
      <x:c r="B1717" s="57" t="str">
        <x:v>Conservar límites de validación automática</x:v>
      </x:c>
      <x:c r="C1717" s="63" t="str">
        <x:v>R</x:v>
      </x:c>
      <x:c r="D1717" s="65" t="str">
        <x:f>IF('Detalle'!L835="","",'Detalle'!L835)</x:f>
      </x:c>
      <x:c r="E1717" s="60" t="str"/>
      <x:c r="F1717" s="32" t="str">
        <x:f>IF(OR('Detalle'!$J835="",'Detalle'!$K835="",'Detalle'!$L835=""),"",IF(AND(F$8&lt;='Detalle'!$K835,F$9&gt;='Detalle'!$J835),1,""))</x:f>
      </x:c>
      <x:c r="G1717" s="32" t="str">
        <x:f>IF(OR('Detalle'!$J835="",'Detalle'!$K835="",'Detalle'!$L835=""),"",IF(AND(G$8&lt;='Detalle'!$K835,G$9&gt;='Detalle'!$J835),1,""))</x:f>
      </x:c>
      <x:c r="H1717" s="32" t="str">
        <x:f>IF(OR('Detalle'!$J835="",'Detalle'!$K835="",'Detalle'!$L835=""),"",IF(AND(H$8&lt;='Detalle'!$K835,H$9&gt;='Detalle'!$J835),1,""))</x:f>
      </x:c>
      <x:c r="I1717" s="32" t="str">
        <x:f>IF(OR('Detalle'!$J835="",'Detalle'!$K835="",'Detalle'!$L835=""),"",IF(AND(I$8&lt;='Detalle'!$K835,I$9&gt;='Detalle'!$J835),1,""))</x:f>
      </x:c>
      <x:c r="J1717" s="32" t="str">
        <x:f>IF(OR('Detalle'!$J835="",'Detalle'!$K835="",'Detalle'!$L835=""),"",IF(AND(J$8&lt;='Detalle'!$K835,J$9&gt;='Detalle'!$J835),1,""))</x:f>
      </x:c>
      <x:c r="K1717" s="32" t="str">
        <x:f>IF(OR('Detalle'!$J835="",'Detalle'!$K835="",'Detalle'!$L835=""),"",IF(AND(K$8&lt;='Detalle'!$K835,K$9&gt;='Detalle'!$J835),1,""))</x:f>
      </x:c>
      <x:c r="L1717" s="32" t="str">
        <x:f>IF(OR('Detalle'!$J835="",'Detalle'!$K835="",'Detalle'!$L835=""),"",IF(AND(L$8&lt;='Detalle'!$K835,L$9&gt;='Detalle'!$J835),1,""))</x:f>
      </x:c>
      <x:c r="M1717" s="32" t="str">
        <x:f>IF(OR('Detalle'!$J835="",'Detalle'!$K835="",'Detalle'!$L835=""),"",IF(AND(M$8&lt;='Detalle'!$K835,M$9&gt;='Detalle'!$J835),1,""))</x:f>
      </x:c>
      <x:c r="N1717" s="32" t="str">
        <x:f>IF(OR('Detalle'!$J835="",'Detalle'!$K835="",'Detalle'!$L835=""),"",IF(AND(N$8&lt;='Detalle'!$K835,N$9&gt;='Detalle'!$J835),1,""))</x:f>
      </x:c>
      <x:c r="O1717" s="32" t="str">
        <x:f>IF(OR('Detalle'!$J835="",'Detalle'!$K835="",'Detalle'!$L835=""),"",IF(AND(O$8&lt;='Detalle'!$K835,O$9&gt;='Detalle'!$J835),1,""))</x:f>
      </x:c>
      <x:c r="P1717" s="32" t="str">
        <x:f>IF(OR('Detalle'!$J835="",'Detalle'!$K835="",'Detalle'!$L835=""),"",IF(AND(P$8&lt;='Detalle'!$K835,P$9&gt;='Detalle'!$J835),1,""))</x:f>
      </x:c>
      <x:c r="Q1717" s="68"/>
      <x:c r="R1717" s="67" t="str"/>
      <x:c r="S1717" s="67" t="str"/>
    </x:row>
    <x:row r="1718" ht="20" customHeight="1">
      <x:c r="A1718" s="52" t="str">
        <x:v>FIS01 · Captura óptica real y calibración de panoramas</x:v>
      </x:c>
      <x:c r="B1718" s="52" t="str">
        <x:v>FIS01 · Captura óptica real y calibración de panoramas</x:v>
      </x:c>
      <x:c r="C1718" s="52" t="str">
        <x:v>FIS01 · Captura óptica real y calibración de panoramas</x:v>
      </x:c>
      <x:c r="D1718" s="52" t="str">
        <x:v>FIS01 · Captura óptica real y calibración de panoramas</x:v>
      </x:c>
      <x:c r="E1718" s="52" t="str">
        <x:v>FIS01 · Captura óptica real y calibración de panoramas</x:v>
      </x:c>
      <x:c r="F1718" s="53" t="str">
        <x:v>FIS01 · Captura óptica real y calibración de panoramas</x:v>
      </x:c>
      <x:c r="G1718" s="53" t="str">
        <x:v>FIS01 · Captura óptica real y calibración de panoramas</x:v>
      </x:c>
      <x:c r="H1718" s="53" t="str">
        <x:v>FIS01 · Captura óptica real y calibración de panoramas</x:v>
      </x:c>
      <x:c r="I1718" s="53" t="str">
        <x:v>FIS01 · Captura óptica real y calibración de panoramas</x:v>
      </x:c>
      <x:c r="J1718" s="53" t="str">
        <x:v>FIS01 · Captura óptica real y calibración de panoramas</x:v>
      </x:c>
      <x:c r="K1718" s="53" t="str">
        <x:v>FIS01 · Captura óptica real y calibración de panoramas</x:v>
      </x:c>
      <x:c r="L1718" s="53" t="str">
        <x:v>FIS01 · Captura óptica real y calibración de panoramas</x:v>
      </x:c>
      <x:c r="M1718" s="53" t="str">
        <x:v>FIS01 · Captura óptica real y calibración de panoramas</x:v>
      </x:c>
      <x:c r="N1718" s="53" t="str">
        <x:v>FIS01 · Captura óptica real y calibración de panoramas</x:v>
      </x:c>
      <x:c r="O1718" s="53" t="str">
        <x:v>FIS01 · Captura óptica real y calibración de panoramas</x:v>
      </x:c>
      <x:c r="P1718" s="53" t="str">
        <x:v>FIS01 · Captura óptica real y calibración de panoramas</x:v>
      </x:c>
      <x:c r="Q1718" s="52" t="str">
        <x:v>FIS01 · Captura óptica real y calibración de panoramas</x:v>
      </x:c>
      <x:c r="R1718" s="52" t="str">
        <x:v>FIS01 · Captura óptica real y calibración de panoramas</x:v>
      </x:c>
      <x:c r="S1718" s="52" t="str">
        <x:v>FIS01 · Captura óptica real y calibración de panoramas</x:v>
      </x:c>
    </x:row>
    <x:row r="1719" ht="16" customHeight="1">
      <x:c r="A1719" s="56" t="str">
        <x:v>FIS01.001</x:v>
      </x:c>
      <x:c r="B1719" s="57" t="str">
        <x:v>Preparar local autorizado para prueba</x:v>
      </x:c>
      <x:c r="C1719" s="62" t="str">
        <x:v>E</x:v>
      </x:c>
      <x:c r="D1719" s="64" t="n">
        <x:f>'Detalle'!I836</x:f>
        <x:v>1</x:v>
      </x:c>
      <x:c r="E1719" s="60" t="str">
        <x:f>'Detalle'!F836</x:f>
        <x:v>Pendiente</x:v>
      </x:c>
      <x:c r="F1719" s="32" t="str">
        <x:f>IF(AND(F$8&lt;='Detalle'!$H836,F$9&gt;='Detalle'!$G836),1,"")</x:f>
      </x:c>
      <x:c r="G1719" s="32" t="str">
        <x:f>IF(AND(G$8&lt;='Detalle'!$H836,G$9&gt;='Detalle'!$G836),1,"")</x:f>
      </x:c>
      <x:c r="H1719" s="32" t="str">
        <x:f>IF(AND(H$8&lt;='Detalle'!$H836,H$9&gt;='Detalle'!$G836),1,"")</x:f>
      </x:c>
      <x:c r="I1719" s="32" t="str">
        <x:f>IF(AND(I$8&lt;='Detalle'!$H836,I$9&gt;='Detalle'!$G836),1,"")</x:f>
      </x:c>
      <x:c r="J1719" s="32" t="str">
        <x:f>IF(AND(J$8&lt;='Detalle'!$H836,J$9&gt;='Detalle'!$G836),1,"")</x:f>
      </x:c>
      <x:c r="K1719" s="32" t="n">
        <x:f>IF(AND(K$8&lt;='Detalle'!$H836,K$9&gt;='Detalle'!$G836),1,"")</x:f>
        <x:v>1</x:v>
      </x:c>
      <x:c r="L1719" s="32" t="str">
        <x:f>IF(AND(L$8&lt;='Detalle'!$H836,L$9&gt;='Detalle'!$G836),1,"")</x:f>
      </x:c>
      <x:c r="M1719" s="32" t="str">
        <x:f>IF(AND(M$8&lt;='Detalle'!$H836,M$9&gt;='Detalle'!$G836),1,"")</x:f>
      </x:c>
      <x:c r="N1719" s="32" t="str">
        <x:f>IF(AND(N$8&lt;='Detalle'!$H836,N$9&gt;='Detalle'!$G836),1,"")</x:f>
      </x:c>
      <x:c r="O1719" s="32" t="str">
        <x:f>IF(AND(O$8&lt;='Detalle'!$H836,O$9&gt;='Detalle'!$G836),1,"")</x:f>
      </x:c>
      <x:c r="P1719" s="32" t="str">
        <x:f>IF(AND(P$8&lt;='Detalle'!$H836,P$9&gt;='Detalle'!$G836),1,"")</x:f>
      </x:c>
      <x:c r="Q1719" s="68"/>
      <x:c r="R1719" s="67" t="str">
        <x:f>IF('Detalle'!M836="","",'Detalle'!M836)</x:f>
      </x:c>
      <x:c r="S1719" s="67" t="str">
        <x:f>IF('Detalle'!N836="","",'Detalle'!N836)</x:f>
      </x:c>
    </x:row>
    <x:row r="1720" ht="16" customHeight="1">
      <x:c r="A1720" s="56" t="str">
        <x:v>FIS01.001</x:v>
      </x:c>
      <x:c r="B1720" s="57" t="str">
        <x:v>Preparar local autorizado para prueba</x:v>
      </x:c>
      <x:c r="C1720" s="63" t="str">
        <x:v>R</x:v>
      </x:c>
      <x:c r="D1720" s="65" t="str">
        <x:f>IF('Detalle'!L836="","",'Detalle'!L836)</x:f>
      </x:c>
      <x:c r="E1720" s="60" t="str"/>
      <x:c r="F1720" s="32" t="str">
        <x:f>IF(OR('Detalle'!$J836="",'Detalle'!$K836="",'Detalle'!$L836=""),"",IF(AND(F$8&lt;='Detalle'!$K836,F$9&gt;='Detalle'!$J836),1,""))</x:f>
      </x:c>
      <x:c r="G1720" s="32" t="str">
        <x:f>IF(OR('Detalle'!$J836="",'Detalle'!$K836="",'Detalle'!$L836=""),"",IF(AND(G$8&lt;='Detalle'!$K836,G$9&gt;='Detalle'!$J836),1,""))</x:f>
      </x:c>
      <x:c r="H1720" s="32" t="str">
        <x:f>IF(OR('Detalle'!$J836="",'Detalle'!$K836="",'Detalle'!$L836=""),"",IF(AND(H$8&lt;='Detalle'!$K836,H$9&gt;='Detalle'!$J836),1,""))</x:f>
      </x:c>
      <x:c r="I1720" s="32" t="str">
        <x:f>IF(OR('Detalle'!$J836="",'Detalle'!$K836="",'Detalle'!$L836=""),"",IF(AND(I$8&lt;='Detalle'!$K836,I$9&gt;='Detalle'!$J836),1,""))</x:f>
      </x:c>
      <x:c r="J1720" s="32" t="str">
        <x:f>IF(OR('Detalle'!$J836="",'Detalle'!$K836="",'Detalle'!$L836=""),"",IF(AND(J$8&lt;='Detalle'!$K836,J$9&gt;='Detalle'!$J836),1,""))</x:f>
      </x:c>
      <x:c r="K1720" s="32" t="str">
        <x:f>IF(OR('Detalle'!$J836="",'Detalle'!$K836="",'Detalle'!$L836=""),"",IF(AND(K$8&lt;='Detalle'!$K836,K$9&gt;='Detalle'!$J836),1,""))</x:f>
      </x:c>
      <x:c r="L1720" s="32" t="str">
        <x:f>IF(OR('Detalle'!$J836="",'Detalle'!$K836="",'Detalle'!$L836=""),"",IF(AND(L$8&lt;='Detalle'!$K836,L$9&gt;='Detalle'!$J836),1,""))</x:f>
      </x:c>
      <x:c r="M1720" s="32" t="str">
        <x:f>IF(OR('Detalle'!$J836="",'Detalle'!$K836="",'Detalle'!$L836=""),"",IF(AND(M$8&lt;='Detalle'!$K836,M$9&gt;='Detalle'!$J836),1,""))</x:f>
      </x:c>
      <x:c r="N1720" s="32" t="str">
        <x:f>IF(OR('Detalle'!$J836="",'Detalle'!$K836="",'Detalle'!$L836=""),"",IF(AND(N$8&lt;='Detalle'!$K836,N$9&gt;='Detalle'!$J836),1,""))</x:f>
      </x:c>
      <x:c r="O1720" s="32" t="str">
        <x:f>IF(OR('Detalle'!$J836="",'Detalle'!$K836="",'Detalle'!$L836=""),"",IF(AND(O$8&lt;='Detalle'!$K836,O$9&gt;='Detalle'!$J836),1,""))</x:f>
      </x:c>
      <x:c r="P1720" s="32" t="str">
        <x:f>IF(OR('Detalle'!$J836="",'Detalle'!$K836="",'Detalle'!$L836=""),"",IF(AND(P$8&lt;='Detalle'!$K836,P$9&gt;='Detalle'!$J836),1,""))</x:f>
      </x:c>
      <x:c r="Q1720" s="68"/>
      <x:c r="R1720" s="67" t="str"/>
      <x:c r="S1720" s="67" t="str"/>
    </x:row>
    <x:row r="1721" ht="16" customHeight="1">
      <x:c r="A1721" s="56" t="str">
        <x:v>FIS01.002</x:v>
      </x:c>
      <x:c r="B1721" s="57" t="str">
        <x:v>Preparar Android de captura</x:v>
      </x:c>
      <x:c r="C1721" s="62" t="str">
        <x:v>E</x:v>
      </x:c>
      <x:c r="D1721" s="64" t="n">
        <x:f>'Detalle'!I837</x:f>
        <x:v>1</x:v>
      </x:c>
      <x:c r="E1721" s="60" t="str">
        <x:f>'Detalle'!F837</x:f>
        <x:v>Pendiente</x:v>
      </x:c>
      <x:c r="F1721" s="32" t="str">
        <x:f>IF(AND(F$8&lt;='Detalle'!$H837,F$9&gt;='Detalle'!$G837),1,"")</x:f>
      </x:c>
      <x:c r="G1721" s="32" t="str">
        <x:f>IF(AND(G$8&lt;='Detalle'!$H837,G$9&gt;='Detalle'!$G837),1,"")</x:f>
      </x:c>
      <x:c r="H1721" s="32" t="str">
        <x:f>IF(AND(H$8&lt;='Detalle'!$H837,H$9&gt;='Detalle'!$G837),1,"")</x:f>
      </x:c>
      <x:c r="I1721" s="32" t="str">
        <x:f>IF(AND(I$8&lt;='Detalle'!$H837,I$9&gt;='Detalle'!$G837),1,"")</x:f>
      </x:c>
      <x:c r="J1721" s="32" t="str">
        <x:f>IF(AND(J$8&lt;='Detalle'!$H837,J$9&gt;='Detalle'!$G837),1,"")</x:f>
      </x:c>
      <x:c r="K1721" s="32" t="n">
        <x:f>IF(AND(K$8&lt;='Detalle'!$H837,K$9&gt;='Detalle'!$G837),1,"")</x:f>
        <x:v>1</x:v>
      </x:c>
      <x:c r="L1721" s="32" t="str">
        <x:f>IF(AND(L$8&lt;='Detalle'!$H837,L$9&gt;='Detalle'!$G837),1,"")</x:f>
      </x:c>
      <x:c r="M1721" s="32" t="str">
        <x:f>IF(AND(M$8&lt;='Detalle'!$H837,M$9&gt;='Detalle'!$G837),1,"")</x:f>
      </x:c>
      <x:c r="N1721" s="32" t="str">
        <x:f>IF(AND(N$8&lt;='Detalle'!$H837,N$9&gt;='Detalle'!$G837),1,"")</x:f>
      </x:c>
      <x:c r="O1721" s="32" t="str">
        <x:f>IF(AND(O$8&lt;='Detalle'!$H837,O$9&gt;='Detalle'!$G837),1,"")</x:f>
      </x:c>
      <x:c r="P1721" s="32" t="str">
        <x:f>IF(AND(P$8&lt;='Detalle'!$H837,P$9&gt;='Detalle'!$G837),1,"")</x:f>
      </x:c>
      <x:c r="Q1721" s="68"/>
      <x:c r="R1721" s="67" t="str">
        <x:f>IF('Detalle'!M837="","",'Detalle'!M837)</x:f>
      </x:c>
      <x:c r="S1721" s="67" t="str">
        <x:f>IF('Detalle'!N837="","",'Detalle'!N837)</x:f>
      </x:c>
    </x:row>
    <x:row r="1722" ht="16" customHeight="1">
      <x:c r="A1722" s="56" t="str">
        <x:v>FIS01.002</x:v>
      </x:c>
      <x:c r="B1722" s="57" t="str">
        <x:v>Preparar Android de captura</x:v>
      </x:c>
      <x:c r="C1722" s="63" t="str">
        <x:v>R</x:v>
      </x:c>
      <x:c r="D1722" s="65" t="str">
        <x:f>IF('Detalle'!L837="","",'Detalle'!L837)</x:f>
      </x:c>
      <x:c r="E1722" s="60" t="str"/>
      <x:c r="F1722" s="32" t="str">
        <x:f>IF(OR('Detalle'!$J837="",'Detalle'!$K837="",'Detalle'!$L837=""),"",IF(AND(F$8&lt;='Detalle'!$K837,F$9&gt;='Detalle'!$J837),1,""))</x:f>
      </x:c>
      <x:c r="G1722" s="32" t="str">
        <x:f>IF(OR('Detalle'!$J837="",'Detalle'!$K837="",'Detalle'!$L837=""),"",IF(AND(G$8&lt;='Detalle'!$K837,G$9&gt;='Detalle'!$J837),1,""))</x:f>
      </x:c>
      <x:c r="H1722" s="32" t="str">
        <x:f>IF(OR('Detalle'!$J837="",'Detalle'!$K837="",'Detalle'!$L837=""),"",IF(AND(H$8&lt;='Detalle'!$K837,H$9&gt;='Detalle'!$J837),1,""))</x:f>
      </x:c>
      <x:c r="I1722" s="32" t="str">
        <x:f>IF(OR('Detalle'!$J837="",'Detalle'!$K837="",'Detalle'!$L837=""),"",IF(AND(I$8&lt;='Detalle'!$K837,I$9&gt;='Detalle'!$J837),1,""))</x:f>
      </x:c>
      <x:c r="J1722" s="32" t="str">
        <x:f>IF(OR('Detalle'!$J837="",'Detalle'!$K837="",'Detalle'!$L837=""),"",IF(AND(J$8&lt;='Detalle'!$K837,J$9&gt;='Detalle'!$J837),1,""))</x:f>
      </x:c>
      <x:c r="K1722" s="32" t="str">
        <x:f>IF(OR('Detalle'!$J837="",'Detalle'!$K837="",'Detalle'!$L837=""),"",IF(AND(K$8&lt;='Detalle'!$K837,K$9&gt;='Detalle'!$J837),1,""))</x:f>
      </x:c>
      <x:c r="L1722" s="32" t="str">
        <x:f>IF(OR('Detalle'!$J837="",'Detalle'!$K837="",'Detalle'!$L837=""),"",IF(AND(L$8&lt;='Detalle'!$K837,L$9&gt;='Detalle'!$J837),1,""))</x:f>
      </x:c>
      <x:c r="M1722" s="32" t="str">
        <x:f>IF(OR('Detalle'!$J837="",'Detalle'!$K837="",'Detalle'!$L837=""),"",IF(AND(M$8&lt;='Detalle'!$K837,M$9&gt;='Detalle'!$J837),1,""))</x:f>
      </x:c>
      <x:c r="N1722" s="32" t="str">
        <x:f>IF(OR('Detalle'!$J837="",'Detalle'!$K837="",'Detalle'!$L837=""),"",IF(AND(N$8&lt;='Detalle'!$K837,N$9&gt;='Detalle'!$J837),1,""))</x:f>
      </x:c>
      <x:c r="O1722" s="32" t="str">
        <x:f>IF(OR('Detalle'!$J837="",'Detalle'!$K837="",'Detalle'!$L837=""),"",IF(AND(O$8&lt;='Detalle'!$K837,O$9&gt;='Detalle'!$J837),1,""))</x:f>
      </x:c>
      <x:c r="P1722" s="32" t="str">
        <x:f>IF(OR('Detalle'!$J837="",'Detalle'!$K837="",'Detalle'!$L837=""),"",IF(AND(P$8&lt;='Detalle'!$K837,P$9&gt;='Detalle'!$J837),1,""))</x:f>
      </x:c>
      <x:c r="Q1722" s="68"/>
      <x:c r="R1722" s="67" t="str"/>
      <x:c r="S1722" s="67" t="str"/>
    </x:row>
    <x:row r="1723" ht="16" customHeight="1">
      <x:c r="A1723" s="56" t="str">
        <x:v>FIS01.003</x:v>
      </x:c>
      <x:c r="B1723" s="57" t="str">
        <x:v>Preparar iPhone de captura</x:v>
      </x:c>
      <x:c r="C1723" s="62" t="str">
        <x:v>E</x:v>
      </x:c>
      <x:c r="D1723" s="64" t="n">
        <x:f>'Detalle'!I838</x:f>
        <x:v>1</x:v>
      </x:c>
      <x:c r="E1723" s="60" t="str">
        <x:f>'Detalle'!F838</x:f>
        <x:v>Bloqueado</x:v>
      </x:c>
      <x:c r="F1723" s="32" t="str">
        <x:f>IF(AND(F$8&lt;='Detalle'!$H838,F$9&gt;='Detalle'!$G838),1,"")</x:f>
      </x:c>
      <x:c r="G1723" s="32" t="str">
        <x:f>IF(AND(G$8&lt;='Detalle'!$H838,G$9&gt;='Detalle'!$G838),1,"")</x:f>
      </x:c>
      <x:c r="H1723" s="32" t="str">
        <x:f>IF(AND(H$8&lt;='Detalle'!$H838,H$9&gt;='Detalle'!$G838),1,"")</x:f>
      </x:c>
      <x:c r="I1723" s="32" t="str">
        <x:f>IF(AND(I$8&lt;='Detalle'!$H838,I$9&gt;='Detalle'!$G838),1,"")</x:f>
      </x:c>
      <x:c r="J1723" s="32" t="str">
        <x:f>IF(AND(J$8&lt;='Detalle'!$H838,J$9&gt;='Detalle'!$G838),1,"")</x:f>
      </x:c>
      <x:c r="K1723" s="32" t="n">
        <x:f>IF(AND(K$8&lt;='Detalle'!$H838,K$9&gt;='Detalle'!$G838),1,"")</x:f>
        <x:v>1</x:v>
      </x:c>
      <x:c r="L1723" s="32" t="str">
        <x:f>IF(AND(L$8&lt;='Detalle'!$H838,L$9&gt;='Detalle'!$G838),1,"")</x:f>
      </x:c>
      <x:c r="M1723" s="32" t="str">
        <x:f>IF(AND(M$8&lt;='Detalle'!$H838,M$9&gt;='Detalle'!$G838),1,"")</x:f>
      </x:c>
      <x:c r="N1723" s="32" t="str">
        <x:f>IF(AND(N$8&lt;='Detalle'!$H838,N$9&gt;='Detalle'!$G838),1,"")</x:f>
      </x:c>
      <x:c r="O1723" s="32" t="str">
        <x:f>IF(AND(O$8&lt;='Detalle'!$H838,O$9&gt;='Detalle'!$G838),1,"")</x:f>
      </x:c>
      <x:c r="P1723" s="32" t="str">
        <x:f>IF(AND(P$8&lt;='Detalle'!$H838,P$9&gt;='Detalle'!$G838),1,"")</x:f>
      </x:c>
      <x:c r="Q1723" s="68"/>
      <x:c r="R1723" s="67" t="str">
        <x:f>IF('Detalle'!M838="","",'Detalle'!M838)</x:f>
      </x:c>
      <x:c r="S1723" s="67" t="str">
        <x:f>IF('Detalle'!N838="","",'Detalle'!N838)</x:f>
      </x:c>
    </x:row>
    <x:row r="1724" ht="16" customHeight="1">
      <x:c r="A1724" s="56" t="str">
        <x:v>FIS01.003</x:v>
      </x:c>
      <x:c r="B1724" s="57" t="str">
        <x:v>Preparar iPhone de captura</x:v>
      </x:c>
      <x:c r="C1724" s="63" t="str">
        <x:v>R</x:v>
      </x:c>
      <x:c r="D1724" s="65" t="str">
        <x:f>IF('Detalle'!L838="","",'Detalle'!L838)</x:f>
      </x:c>
      <x:c r="E1724" s="60" t="str"/>
      <x:c r="F1724" s="32" t="str">
        <x:f>IF(OR('Detalle'!$J838="",'Detalle'!$K838="",'Detalle'!$L838=""),"",IF(AND(F$8&lt;='Detalle'!$K838,F$9&gt;='Detalle'!$J838),1,""))</x:f>
      </x:c>
      <x:c r="G1724" s="32" t="str">
        <x:f>IF(OR('Detalle'!$J838="",'Detalle'!$K838="",'Detalle'!$L838=""),"",IF(AND(G$8&lt;='Detalle'!$K838,G$9&gt;='Detalle'!$J838),1,""))</x:f>
      </x:c>
      <x:c r="H1724" s="32" t="str">
        <x:f>IF(OR('Detalle'!$J838="",'Detalle'!$K838="",'Detalle'!$L838=""),"",IF(AND(H$8&lt;='Detalle'!$K838,H$9&gt;='Detalle'!$J838),1,""))</x:f>
      </x:c>
      <x:c r="I1724" s="32" t="str">
        <x:f>IF(OR('Detalle'!$J838="",'Detalle'!$K838="",'Detalle'!$L838=""),"",IF(AND(I$8&lt;='Detalle'!$K838,I$9&gt;='Detalle'!$J838),1,""))</x:f>
      </x:c>
      <x:c r="J1724" s="32" t="str">
        <x:f>IF(OR('Detalle'!$J838="",'Detalle'!$K838="",'Detalle'!$L838=""),"",IF(AND(J$8&lt;='Detalle'!$K838,J$9&gt;='Detalle'!$J838),1,""))</x:f>
      </x:c>
      <x:c r="K1724" s="32" t="str">
        <x:f>IF(OR('Detalle'!$J838="",'Detalle'!$K838="",'Detalle'!$L838=""),"",IF(AND(K$8&lt;='Detalle'!$K838,K$9&gt;='Detalle'!$J838),1,""))</x:f>
      </x:c>
      <x:c r="L1724" s="32" t="str">
        <x:f>IF(OR('Detalle'!$J838="",'Detalle'!$K838="",'Detalle'!$L838=""),"",IF(AND(L$8&lt;='Detalle'!$K838,L$9&gt;='Detalle'!$J838),1,""))</x:f>
      </x:c>
      <x:c r="M1724" s="32" t="str">
        <x:f>IF(OR('Detalle'!$J838="",'Detalle'!$K838="",'Detalle'!$L838=""),"",IF(AND(M$8&lt;='Detalle'!$K838,M$9&gt;='Detalle'!$J838),1,""))</x:f>
      </x:c>
      <x:c r="N1724" s="32" t="str">
        <x:f>IF(OR('Detalle'!$J838="",'Detalle'!$K838="",'Detalle'!$L838=""),"",IF(AND(N$8&lt;='Detalle'!$K838,N$9&gt;='Detalle'!$J838),1,""))</x:f>
      </x:c>
      <x:c r="O1724" s="32" t="str">
        <x:f>IF(OR('Detalle'!$J838="",'Detalle'!$K838="",'Detalle'!$L838=""),"",IF(AND(O$8&lt;='Detalle'!$K838,O$9&gt;='Detalle'!$J838),1,""))</x:f>
      </x:c>
      <x:c r="P1724" s="32" t="str">
        <x:f>IF(OR('Detalle'!$J838="",'Detalle'!$K838="",'Detalle'!$L838=""),"",IF(AND(P$8&lt;='Detalle'!$K838,P$9&gt;='Detalle'!$J838),1,""))</x:f>
      </x:c>
      <x:c r="Q1724" s="68"/>
      <x:c r="R1724" s="67" t="str"/>
      <x:c r="S1724" s="67" t="str"/>
    </x:row>
    <x:row r="1725" ht="16" customHeight="1">
      <x:c r="A1725" s="56" t="str">
        <x:v>FIS01.004</x:v>
      </x:c>
      <x:c r="B1725" s="57" t="str">
        <x:v>Validar FOV frente al JPEG real</x:v>
      </x:c>
      <x:c r="C1725" s="62" t="str">
        <x:v>E</x:v>
      </x:c>
      <x:c r="D1725" s="64" t="n">
        <x:f>'Detalle'!I839</x:f>
        <x:v>1</x:v>
      </x:c>
      <x:c r="E1725" s="60" t="str">
        <x:f>'Detalle'!F839</x:f>
        <x:v>Pendiente</x:v>
      </x:c>
      <x:c r="F1725" s="32" t="str">
        <x:f>IF(AND(F$8&lt;='Detalle'!$H839,F$9&gt;='Detalle'!$G839),1,"")</x:f>
      </x:c>
      <x:c r="G1725" s="32" t="str">
        <x:f>IF(AND(G$8&lt;='Detalle'!$H839,G$9&gt;='Detalle'!$G839),1,"")</x:f>
      </x:c>
      <x:c r="H1725" s="32" t="str">
        <x:f>IF(AND(H$8&lt;='Detalle'!$H839,H$9&gt;='Detalle'!$G839),1,"")</x:f>
      </x:c>
      <x:c r="I1725" s="32" t="str">
        <x:f>IF(AND(I$8&lt;='Detalle'!$H839,I$9&gt;='Detalle'!$G839),1,"")</x:f>
      </x:c>
      <x:c r="J1725" s="32" t="str">
        <x:f>IF(AND(J$8&lt;='Detalle'!$H839,J$9&gt;='Detalle'!$G839),1,"")</x:f>
      </x:c>
      <x:c r="K1725" s="32" t="n">
        <x:f>IF(AND(K$8&lt;='Detalle'!$H839,K$9&gt;='Detalle'!$G839),1,"")</x:f>
        <x:v>1</x:v>
      </x:c>
      <x:c r="L1725" s="32" t="str">
        <x:f>IF(AND(L$8&lt;='Detalle'!$H839,L$9&gt;='Detalle'!$G839),1,"")</x:f>
      </x:c>
      <x:c r="M1725" s="32" t="str">
        <x:f>IF(AND(M$8&lt;='Detalle'!$H839,M$9&gt;='Detalle'!$G839),1,"")</x:f>
      </x:c>
      <x:c r="N1725" s="32" t="str">
        <x:f>IF(AND(N$8&lt;='Detalle'!$H839,N$9&gt;='Detalle'!$G839),1,"")</x:f>
      </x:c>
      <x:c r="O1725" s="32" t="str">
        <x:f>IF(AND(O$8&lt;='Detalle'!$H839,O$9&gt;='Detalle'!$G839),1,"")</x:f>
      </x:c>
      <x:c r="P1725" s="32" t="str">
        <x:f>IF(AND(P$8&lt;='Detalle'!$H839,P$9&gt;='Detalle'!$G839),1,"")</x:f>
      </x:c>
      <x:c r="Q1725" s="68"/>
      <x:c r="R1725" s="67" t="str">
        <x:f>IF('Detalle'!M839="","",'Detalle'!M839)</x:f>
      </x:c>
      <x:c r="S1725" s="67" t="str">
        <x:f>IF('Detalle'!N839="","",'Detalle'!N839)</x:f>
      </x:c>
    </x:row>
    <x:row r="1726" ht="16" customHeight="1">
      <x:c r="A1726" s="56" t="str">
        <x:v>FIS01.004</x:v>
      </x:c>
      <x:c r="B1726" s="57" t="str">
        <x:v>Validar FOV frente al JPEG real</x:v>
      </x:c>
      <x:c r="C1726" s="63" t="str">
        <x:v>R</x:v>
      </x:c>
      <x:c r="D1726" s="65" t="str">
        <x:f>IF('Detalle'!L839="","",'Detalle'!L839)</x:f>
      </x:c>
      <x:c r="E1726" s="60" t="str"/>
      <x:c r="F1726" s="32" t="str">
        <x:f>IF(OR('Detalle'!$J839="",'Detalle'!$K839="",'Detalle'!$L839=""),"",IF(AND(F$8&lt;='Detalle'!$K839,F$9&gt;='Detalle'!$J839),1,""))</x:f>
      </x:c>
      <x:c r="G1726" s="32" t="str">
        <x:f>IF(OR('Detalle'!$J839="",'Detalle'!$K839="",'Detalle'!$L839=""),"",IF(AND(G$8&lt;='Detalle'!$K839,G$9&gt;='Detalle'!$J839),1,""))</x:f>
      </x:c>
      <x:c r="H1726" s="32" t="str">
        <x:f>IF(OR('Detalle'!$J839="",'Detalle'!$K839="",'Detalle'!$L839=""),"",IF(AND(H$8&lt;='Detalle'!$K839,H$9&gt;='Detalle'!$J839),1,""))</x:f>
      </x:c>
      <x:c r="I1726" s="32" t="str">
        <x:f>IF(OR('Detalle'!$J839="",'Detalle'!$K839="",'Detalle'!$L839=""),"",IF(AND(I$8&lt;='Detalle'!$K839,I$9&gt;='Detalle'!$J839),1,""))</x:f>
      </x:c>
      <x:c r="J1726" s="32" t="str">
        <x:f>IF(OR('Detalle'!$J839="",'Detalle'!$K839="",'Detalle'!$L839=""),"",IF(AND(J$8&lt;='Detalle'!$K839,J$9&gt;='Detalle'!$J839),1,""))</x:f>
      </x:c>
      <x:c r="K1726" s="32" t="str">
        <x:f>IF(OR('Detalle'!$J839="",'Detalle'!$K839="",'Detalle'!$L839=""),"",IF(AND(K$8&lt;='Detalle'!$K839,K$9&gt;='Detalle'!$J839),1,""))</x:f>
      </x:c>
      <x:c r="L1726" s="32" t="str">
        <x:f>IF(OR('Detalle'!$J839="",'Detalle'!$K839="",'Detalle'!$L839=""),"",IF(AND(L$8&lt;='Detalle'!$K839,L$9&gt;='Detalle'!$J839),1,""))</x:f>
      </x:c>
      <x:c r="M1726" s="32" t="str">
        <x:f>IF(OR('Detalle'!$J839="",'Detalle'!$K839="",'Detalle'!$L839=""),"",IF(AND(M$8&lt;='Detalle'!$K839,M$9&gt;='Detalle'!$J839),1,""))</x:f>
      </x:c>
      <x:c r="N1726" s="32" t="str">
        <x:f>IF(OR('Detalle'!$J839="",'Detalle'!$K839="",'Detalle'!$L839=""),"",IF(AND(N$8&lt;='Detalle'!$K839,N$9&gt;='Detalle'!$J839),1,""))</x:f>
      </x:c>
      <x:c r="O1726" s="32" t="str">
        <x:f>IF(OR('Detalle'!$J839="",'Detalle'!$K839="",'Detalle'!$L839=""),"",IF(AND(O$8&lt;='Detalle'!$K839,O$9&gt;='Detalle'!$J839),1,""))</x:f>
      </x:c>
      <x:c r="P1726" s="32" t="str">
        <x:f>IF(OR('Detalle'!$J839="",'Detalle'!$K839="",'Detalle'!$L839=""),"",IF(AND(P$8&lt;='Detalle'!$K839,P$9&gt;='Detalle'!$J839),1,""))</x:f>
      </x:c>
      <x:c r="Q1726" s="68"/>
      <x:c r="R1726" s="67" t="str"/>
      <x:c r="S1726" s="67" t="str"/>
    </x:row>
    <x:row r="1727" ht="16" customHeight="1">
      <x:c r="A1727" s="56" t="str">
        <x:v>FIS01.005</x:v>
      </x:c>
      <x:c r="B1727" s="57" t="str">
        <x:v>Validar signo yaw y pitch en teléfono</x:v>
      </x:c>
      <x:c r="C1727" s="62" t="str">
        <x:v>E</x:v>
      </x:c>
      <x:c r="D1727" s="64" t="n">
        <x:f>'Detalle'!I840</x:f>
        <x:v>1</x:v>
      </x:c>
      <x:c r="E1727" s="60" t="str">
        <x:f>'Detalle'!F840</x:f>
        <x:v>Pendiente</x:v>
      </x:c>
      <x:c r="F1727" s="32" t="str">
        <x:f>IF(AND(F$8&lt;='Detalle'!$H840,F$9&gt;='Detalle'!$G840),1,"")</x:f>
      </x:c>
      <x:c r="G1727" s="32" t="str">
        <x:f>IF(AND(G$8&lt;='Detalle'!$H840,G$9&gt;='Detalle'!$G840),1,"")</x:f>
      </x:c>
      <x:c r="H1727" s="32" t="str">
        <x:f>IF(AND(H$8&lt;='Detalle'!$H840,H$9&gt;='Detalle'!$G840),1,"")</x:f>
      </x:c>
      <x:c r="I1727" s="32" t="str">
        <x:f>IF(AND(I$8&lt;='Detalle'!$H840,I$9&gt;='Detalle'!$G840),1,"")</x:f>
      </x:c>
      <x:c r="J1727" s="32" t="str">
        <x:f>IF(AND(J$8&lt;='Detalle'!$H840,J$9&gt;='Detalle'!$G840),1,"")</x:f>
      </x:c>
      <x:c r="K1727" s="32" t="n">
        <x:f>IF(AND(K$8&lt;='Detalle'!$H840,K$9&gt;='Detalle'!$G840),1,"")</x:f>
        <x:v>1</x:v>
      </x:c>
      <x:c r="L1727" s="32" t="str">
        <x:f>IF(AND(L$8&lt;='Detalle'!$H840,L$9&gt;='Detalle'!$G840),1,"")</x:f>
      </x:c>
      <x:c r="M1727" s="32" t="str">
        <x:f>IF(AND(M$8&lt;='Detalle'!$H840,M$9&gt;='Detalle'!$G840),1,"")</x:f>
      </x:c>
      <x:c r="N1727" s="32" t="str">
        <x:f>IF(AND(N$8&lt;='Detalle'!$H840,N$9&gt;='Detalle'!$G840),1,"")</x:f>
      </x:c>
      <x:c r="O1727" s="32" t="str">
        <x:f>IF(AND(O$8&lt;='Detalle'!$H840,O$9&gt;='Detalle'!$G840),1,"")</x:f>
      </x:c>
      <x:c r="P1727" s="32" t="str">
        <x:f>IF(AND(P$8&lt;='Detalle'!$H840,P$9&gt;='Detalle'!$G840),1,"")</x:f>
      </x:c>
      <x:c r="Q1727" s="68"/>
      <x:c r="R1727" s="67" t="str">
        <x:f>IF('Detalle'!M840="","",'Detalle'!M840)</x:f>
      </x:c>
      <x:c r="S1727" s="67" t="str">
        <x:f>IF('Detalle'!N840="","",'Detalle'!N840)</x:f>
      </x:c>
    </x:row>
    <x:row r="1728" ht="16" customHeight="1">
      <x:c r="A1728" s="56" t="str">
        <x:v>FIS01.005</x:v>
      </x:c>
      <x:c r="B1728" s="57" t="str">
        <x:v>Validar signo yaw y pitch en teléfono</x:v>
      </x:c>
      <x:c r="C1728" s="63" t="str">
        <x:v>R</x:v>
      </x:c>
      <x:c r="D1728" s="65" t="str">
        <x:f>IF('Detalle'!L840="","",'Detalle'!L840)</x:f>
      </x:c>
      <x:c r="E1728" s="60" t="str"/>
      <x:c r="F1728" s="32" t="str">
        <x:f>IF(OR('Detalle'!$J840="",'Detalle'!$K840="",'Detalle'!$L840=""),"",IF(AND(F$8&lt;='Detalle'!$K840,F$9&gt;='Detalle'!$J840),1,""))</x:f>
      </x:c>
      <x:c r="G1728" s="32" t="str">
        <x:f>IF(OR('Detalle'!$J840="",'Detalle'!$K840="",'Detalle'!$L840=""),"",IF(AND(G$8&lt;='Detalle'!$K840,G$9&gt;='Detalle'!$J840),1,""))</x:f>
      </x:c>
      <x:c r="H1728" s="32" t="str">
        <x:f>IF(OR('Detalle'!$J840="",'Detalle'!$K840="",'Detalle'!$L840=""),"",IF(AND(H$8&lt;='Detalle'!$K840,H$9&gt;='Detalle'!$J840),1,""))</x:f>
      </x:c>
      <x:c r="I1728" s="32" t="str">
        <x:f>IF(OR('Detalle'!$J840="",'Detalle'!$K840="",'Detalle'!$L840=""),"",IF(AND(I$8&lt;='Detalle'!$K840,I$9&gt;='Detalle'!$J840),1,""))</x:f>
      </x:c>
      <x:c r="J1728" s="32" t="str">
        <x:f>IF(OR('Detalle'!$J840="",'Detalle'!$K840="",'Detalle'!$L840=""),"",IF(AND(J$8&lt;='Detalle'!$K840,J$9&gt;='Detalle'!$J840),1,""))</x:f>
      </x:c>
      <x:c r="K1728" s="32" t="str">
        <x:f>IF(OR('Detalle'!$J840="",'Detalle'!$K840="",'Detalle'!$L840=""),"",IF(AND(K$8&lt;='Detalle'!$K840,K$9&gt;='Detalle'!$J840),1,""))</x:f>
      </x:c>
      <x:c r="L1728" s="32" t="str">
        <x:f>IF(OR('Detalle'!$J840="",'Detalle'!$K840="",'Detalle'!$L840=""),"",IF(AND(L$8&lt;='Detalle'!$K840,L$9&gt;='Detalle'!$J840),1,""))</x:f>
      </x:c>
      <x:c r="M1728" s="32" t="str">
        <x:f>IF(OR('Detalle'!$J840="",'Detalle'!$K840="",'Detalle'!$L840=""),"",IF(AND(M$8&lt;='Detalle'!$K840,M$9&gt;='Detalle'!$J840),1,""))</x:f>
      </x:c>
      <x:c r="N1728" s="32" t="str">
        <x:f>IF(OR('Detalle'!$J840="",'Detalle'!$K840="",'Detalle'!$L840=""),"",IF(AND(N$8&lt;='Detalle'!$K840,N$9&gt;='Detalle'!$J840),1,""))</x:f>
      </x:c>
      <x:c r="O1728" s="32" t="str">
        <x:f>IF(OR('Detalle'!$J840="",'Detalle'!$K840="",'Detalle'!$L840=""),"",IF(AND(O$8&lt;='Detalle'!$K840,O$9&gt;='Detalle'!$J840),1,""))</x:f>
      </x:c>
      <x:c r="P1728" s="32" t="str">
        <x:f>IF(OR('Detalle'!$J840="",'Detalle'!$K840="",'Detalle'!$L840=""),"",IF(AND(P$8&lt;='Detalle'!$K840,P$9&gt;='Detalle'!$J840),1,""))</x:f>
      </x:c>
      <x:c r="Q1728" s="68"/>
      <x:c r="R1728" s="67" t="str"/>
      <x:c r="S1728" s="67" t="str"/>
    </x:row>
    <x:row r="1729" ht="16" customHeight="1">
      <x:c r="A1729" s="56" t="str">
        <x:v>FIS01.006</x:v>
      </x:c>
      <x:c r="B1729" s="57" t="str">
        <x:v>Validar cenit y nadir</x:v>
      </x:c>
      <x:c r="C1729" s="62" t="str">
        <x:v>E</x:v>
      </x:c>
      <x:c r="D1729" s="64" t="n">
        <x:f>'Detalle'!I841</x:f>
        <x:v>1</x:v>
      </x:c>
      <x:c r="E1729" s="60" t="str">
        <x:f>'Detalle'!F841</x:f>
        <x:v>Pendiente</x:v>
      </x:c>
      <x:c r="F1729" s="32" t="str">
        <x:f>IF(AND(F$8&lt;='Detalle'!$H841,F$9&gt;='Detalle'!$G841),1,"")</x:f>
      </x:c>
      <x:c r="G1729" s="32" t="str">
        <x:f>IF(AND(G$8&lt;='Detalle'!$H841,G$9&gt;='Detalle'!$G841),1,"")</x:f>
      </x:c>
      <x:c r="H1729" s="32" t="str">
        <x:f>IF(AND(H$8&lt;='Detalle'!$H841,H$9&gt;='Detalle'!$G841),1,"")</x:f>
      </x:c>
      <x:c r="I1729" s="32" t="str">
        <x:f>IF(AND(I$8&lt;='Detalle'!$H841,I$9&gt;='Detalle'!$G841),1,"")</x:f>
      </x:c>
      <x:c r="J1729" s="32" t="str">
        <x:f>IF(AND(J$8&lt;='Detalle'!$H841,J$9&gt;='Detalle'!$G841),1,"")</x:f>
      </x:c>
      <x:c r="K1729" s="32" t="n">
        <x:f>IF(AND(K$8&lt;='Detalle'!$H841,K$9&gt;='Detalle'!$G841),1,"")</x:f>
        <x:v>1</x:v>
      </x:c>
      <x:c r="L1729" s="32" t="str">
        <x:f>IF(AND(L$8&lt;='Detalle'!$H841,L$9&gt;='Detalle'!$G841),1,"")</x:f>
      </x:c>
      <x:c r="M1729" s="32" t="str">
        <x:f>IF(AND(M$8&lt;='Detalle'!$H841,M$9&gt;='Detalle'!$G841),1,"")</x:f>
      </x:c>
      <x:c r="N1729" s="32" t="str">
        <x:f>IF(AND(N$8&lt;='Detalle'!$H841,N$9&gt;='Detalle'!$G841),1,"")</x:f>
      </x:c>
      <x:c r="O1729" s="32" t="str">
        <x:f>IF(AND(O$8&lt;='Detalle'!$H841,O$9&gt;='Detalle'!$G841),1,"")</x:f>
      </x:c>
      <x:c r="P1729" s="32" t="str">
        <x:f>IF(AND(P$8&lt;='Detalle'!$H841,P$9&gt;='Detalle'!$G841),1,"")</x:f>
      </x:c>
      <x:c r="Q1729" s="68"/>
      <x:c r="R1729" s="67" t="str">
        <x:f>IF('Detalle'!M841="","",'Detalle'!M841)</x:f>
      </x:c>
      <x:c r="S1729" s="67" t="str">
        <x:f>IF('Detalle'!N841="","",'Detalle'!N841)</x:f>
      </x:c>
    </x:row>
    <x:row r="1730" ht="16" customHeight="1">
      <x:c r="A1730" s="56" t="str">
        <x:v>FIS01.006</x:v>
      </x:c>
      <x:c r="B1730" s="57" t="str">
        <x:v>Validar cenit y nadir</x:v>
      </x:c>
      <x:c r="C1730" s="63" t="str">
        <x:v>R</x:v>
      </x:c>
      <x:c r="D1730" s="65" t="str">
        <x:f>IF('Detalle'!L841="","",'Detalle'!L841)</x:f>
      </x:c>
      <x:c r="E1730" s="60" t="str"/>
      <x:c r="F1730" s="32" t="str">
        <x:f>IF(OR('Detalle'!$J841="",'Detalle'!$K841="",'Detalle'!$L841=""),"",IF(AND(F$8&lt;='Detalle'!$K841,F$9&gt;='Detalle'!$J841),1,""))</x:f>
      </x:c>
      <x:c r="G1730" s="32" t="str">
        <x:f>IF(OR('Detalle'!$J841="",'Detalle'!$K841="",'Detalle'!$L841=""),"",IF(AND(G$8&lt;='Detalle'!$K841,G$9&gt;='Detalle'!$J841),1,""))</x:f>
      </x:c>
      <x:c r="H1730" s="32" t="str">
        <x:f>IF(OR('Detalle'!$J841="",'Detalle'!$K841="",'Detalle'!$L841=""),"",IF(AND(H$8&lt;='Detalle'!$K841,H$9&gt;='Detalle'!$J841),1,""))</x:f>
      </x:c>
      <x:c r="I1730" s="32" t="str">
        <x:f>IF(OR('Detalle'!$J841="",'Detalle'!$K841="",'Detalle'!$L841=""),"",IF(AND(I$8&lt;='Detalle'!$K841,I$9&gt;='Detalle'!$J841),1,""))</x:f>
      </x:c>
      <x:c r="J1730" s="32" t="str">
        <x:f>IF(OR('Detalle'!$J841="",'Detalle'!$K841="",'Detalle'!$L841=""),"",IF(AND(J$8&lt;='Detalle'!$K841,J$9&gt;='Detalle'!$J841),1,""))</x:f>
      </x:c>
      <x:c r="K1730" s="32" t="str">
        <x:f>IF(OR('Detalle'!$J841="",'Detalle'!$K841="",'Detalle'!$L841=""),"",IF(AND(K$8&lt;='Detalle'!$K841,K$9&gt;='Detalle'!$J841),1,""))</x:f>
      </x:c>
      <x:c r="L1730" s="32" t="str">
        <x:f>IF(OR('Detalle'!$J841="",'Detalle'!$K841="",'Detalle'!$L841=""),"",IF(AND(L$8&lt;='Detalle'!$K841,L$9&gt;='Detalle'!$J841),1,""))</x:f>
      </x:c>
      <x:c r="M1730" s="32" t="str">
        <x:f>IF(OR('Detalle'!$J841="",'Detalle'!$K841="",'Detalle'!$L841=""),"",IF(AND(M$8&lt;='Detalle'!$K841,M$9&gt;='Detalle'!$J841),1,""))</x:f>
      </x:c>
      <x:c r="N1730" s="32" t="str">
        <x:f>IF(OR('Detalle'!$J841="",'Detalle'!$K841="",'Detalle'!$L841=""),"",IF(AND(N$8&lt;='Detalle'!$K841,N$9&gt;='Detalle'!$J841),1,""))</x:f>
      </x:c>
      <x:c r="O1730" s="32" t="str">
        <x:f>IF(OR('Detalle'!$J841="",'Detalle'!$K841="",'Detalle'!$L841=""),"",IF(AND(O$8&lt;='Detalle'!$K841,O$9&gt;='Detalle'!$J841),1,""))</x:f>
      </x:c>
      <x:c r="P1730" s="32" t="str">
        <x:f>IF(OR('Detalle'!$J841="",'Detalle'!$K841="",'Detalle'!$L841=""),"",IF(AND(P$8&lt;='Detalle'!$K841,P$9&gt;='Detalle'!$J841),1,""))</x:f>
      </x:c>
      <x:c r="Q1730" s="68"/>
      <x:c r="R1730" s="67" t="str"/>
      <x:c r="S1730" s="67" t="str"/>
    </x:row>
    <x:row r="1731" ht="16" customHeight="1">
      <x:c r="A1731" s="56" t="str">
        <x:v>FIS01.007</x:v>
      </x:c>
      <x:c r="B1731" s="57" t="str">
        <x:v>Validar orientación al reabrir captura</x:v>
      </x:c>
      <x:c r="C1731" s="62" t="str">
        <x:v>E</x:v>
      </x:c>
      <x:c r="D1731" s="64" t="n">
        <x:f>'Detalle'!I842</x:f>
        <x:v>1</x:v>
      </x:c>
      <x:c r="E1731" s="60" t="str">
        <x:f>'Detalle'!F842</x:f>
        <x:v>Pendiente</x:v>
      </x:c>
      <x:c r="F1731" s="32" t="str">
        <x:f>IF(AND(F$8&lt;='Detalle'!$H842,F$9&gt;='Detalle'!$G842),1,"")</x:f>
      </x:c>
      <x:c r="G1731" s="32" t="str">
        <x:f>IF(AND(G$8&lt;='Detalle'!$H842,G$9&gt;='Detalle'!$G842),1,"")</x:f>
      </x:c>
      <x:c r="H1731" s="32" t="str">
        <x:f>IF(AND(H$8&lt;='Detalle'!$H842,H$9&gt;='Detalle'!$G842),1,"")</x:f>
      </x:c>
      <x:c r="I1731" s="32" t="str">
        <x:f>IF(AND(I$8&lt;='Detalle'!$H842,I$9&gt;='Detalle'!$G842),1,"")</x:f>
      </x:c>
      <x:c r="J1731" s="32" t="str">
        <x:f>IF(AND(J$8&lt;='Detalle'!$H842,J$9&gt;='Detalle'!$G842),1,"")</x:f>
      </x:c>
      <x:c r="K1731" s="32" t="n">
        <x:f>IF(AND(K$8&lt;='Detalle'!$H842,K$9&gt;='Detalle'!$G842),1,"")</x:f>
        <x:v>1</x:v>
      </x:c>
      <x:c r="L1731" s="32" t="str">
        <x:f>IF(AND(L$8&lt;='Detalle'!$H842,L$9&gt;='Detalle'!$G842),1,"")</x:f>
      </x:c>
      <x:c r="M1731" s="32" t="str">
        <x:f>IF(AND(M$8&lt;='Detalle'!$H842,M$9&gt;='Detalle'!$G842),1,"")</x:f>
      </x:c>
      <x:c r="N1731" s="32" t="str">
        <x:f>IF(AND(N$8&lt;='Detalle'!$H842,N$9&gt;='Detalle'!$G842),1,"")</x:f>
      </x:c>
      <x:c r="O1731" s="32" t="str">
        <x:f>IF(AND(O$8&lt;='Detalle'!$H842,O$9&gt;='Detalle'!$G842),1,"")</x:f>
      </x:c>
      <x:c r="P1731" s="32" t="str">
        <x:f>IF(AND(P$8&lt;='Detalle'!$H842,P$9&gt;='Detalle'!$G842),1,"")</x:f>
      </x:c>
      <x:c r="Q1731" s="68"/>
      <x:c r="R1731" s="67" t="str">
        <x:f>IF('Detalle'!M842="","",'Detalle'!M842)</x:f>
      </x:c>
      <x:c r="S1731" s="67" t="str">
        <x:f>IF('Detalle'!N842="","",'Detalle'!N842)</x:f>
      </x:c>
    </x:row>
    <x:row r="1732" ht="16" customHeight="1">
      <x:c r="A1732" s="56" t="str">
        <x:v>FIS01.007</x:v>
      </x:c>
      <x:c r="B1732" s="57" t="str">
        <x:v>Validar orientación al reabrir captura</x:v>
      </x:c>
      <x:c r="C1732" s="63" t="str">
        <x:v>R</x:v>
      </x:c>
      <x:c r="D1732" s="65" t="str">
        <x:f>IF('Detalle'!L842="","",'Detalle'!L842)</x:f>
      </x:c>
      <x:c r="E1732" s="60" t="str"/>
      <x:c r="F1732" s="32" t="str">
        <x:f>IF(OR('Detalle'!$J842="",'Detalle'!$K842="",'Detalle'!$L842=""),"",IF(AND(F$8&lt;='Detalle'!$K842,F$9&gt;='Detalle'!$J842),1,""))</x:f>
      </x:c>
      <x:c r="G1732" s="32" t="str">
        <x:f>IF(OR('Detalle'!$J842="",'Detalle'!$K842="",'Detalle'!$L842=""),"",IF(AND(G$8&lt;='Detalle'!$K842,G$9&gt;='Detalle'!$J842),1,""))</x:f>
      </x:c>
      <x:c r="H1732" s="32" t="str">
        <x:f>IF(OR('Detalle'!$J842="",'Detalle'!$K842="",'Detalle'!$L842=""),"",IF(AND(H$8&lt;='Detalle'!$K842,H$9&gt;='Detalle'!$J842),1,""))</x:f>
      </x:c>
      <x:c r="I1732" s="32" t="str">
        <x:f>IF(OR('Detalle'!$J842="",'Detalle'!$K842="",'Detalle'!$L842=""),"",IF(AND(I$8&lt;='Detalle'!$K842,I$9&gt;='Detalle'!$J842),1,""))</x:f>
      </x:c>
      <x:c r="J1732" s="32" t="str">
        <x:f>IF(OR('Detalle'!$J842="",'Detalle'!$K842="",'Detalle'!$L842=""),"",IF(AND(J$8&lt;='Detalle'!$K842,J$9&gt;='Detalle'!$J842),1,""))</x:f>
      </x:c>
      <x:c r="K1732" s="32" t="str">
        <x:f>IF(OR('Detalle'!$J842="",'Detalle'!$K842="",'Detalle'!$L842=""),"",IF(AND(K$8&lt;='Detalle'!$K842,K$9&gt;='Detalle'!$J842),1,""))</x:f>
      </x:c>
      <x:c r="L1732" s="32" t="str">
        <x:f>IF(OR('Detalle'!$J842="",'Detalle'!$K842="",'Detalle'!$L842=""),"",IF(AND(L$8&lt;='Detalle'!$K842,L$9&gt;='Detalle'!$J842),1,""))</x:f>
      </x:c>
      <x:c r="M1732" s="32" t="str">
        <x:f>IF(OR('Detalle'!$J842="",'Detalle'!$K842="",'Detalle'!$L842=""),"",IF(AND(M$8&lt;='Detalle'!$K842,M$9&gt;='Detalle'!$J842),1,""))</x:f>
      </x:c>
      <x:c r="N1732" s="32" t="str">
        <x:f>IF(OR('Detalle'!$J842="",'Detalle'!$K842="",'Detalle'!$L842=""),"",IF(AND(N$8&lt;='Detalle'!$K842,N$9&gt;='Detalle'!$J842),1,""))</x:f>
      </x:c>
      <x:c r="O1732" s="32" t="str">
        <x:f>IF(OR('Detalle'!$J842="",'Detalle'!$K842="",'Detalle'!$L842=""),"",IF(AND(O$8&lt;='Detalle'!$K842,O$9&gt;='Detalle'!$J842),1,""))</x:f>
      </x:c>
      <x:c r="P1732" s="32" t="str">
        <x:f>IF(OR('Detalle'!$J842="",'Detalle'!$K842="",'Detalle'!$L842=""),"",IF(AND(P$8&lt;='Detalle'!$K842,P$9&gt;='Detalle'!$J842),1,""))</x:f>
      </x:c>
      <x:c r="Q1732" s="68"/>
      <x:c r="R1732" s="67" t="str"/>
      <x:c r="S1732" s="67" t="str"/>
    </x:row>
    <x:row r="1733" ht="16" customHeight="1">
      <x:c r="A1733" s="56" t="str">
        <x:v>FIS01.008</x:v>
      </x:c>
      <x:c r="B1733" s="57" t="str">
        <x:v>Capturar esfera interior con techo y piso</x:v>
      </x:c>
      <x:c r="C1733" s="62" t="str">
        <x:v>E</x:v>
      </x:c>
      <x:c r="D1733" s="64" t="n">
        <x:f>'Detalle'!I843</x:f>
        <x:v>1</x:v>
      </x:c>
      <x:c r="E1733" s="60" t="str">
        <x:f>'Detalle'!F843</x:f>
        <x:v>Pendiente</x:v>
      </x:c>
      <x:c r="F1733" s="32" t="str">
        <x:f>IF(AND(F$8&lt;='Detalle'!$H843,F$9&gt;='Detalle'!$G843),1,"")</x:f>
      </x:c>
      <x:c r="G1733" s="32" t="str">
        <x:f>IF(AND(G$8&lt;='Detalle'!$H843,G$9&gt;='Detalle'!$G843),1,"")</x:f>
      </x:c>
      <x:c r="H1733" s="32" t="str">
        <x:f>IF(AND(H$8&lt;='Detalle'!$H843,H$9&gt;='Detalle'!$G843),1,"")</x:f>
      </x:c>
      <x:c r="I1733" s="32" t="str">
        <x:f>IF(AND(I$8&lt;='Detalle'!$H843,I$9&gt;='Detalle'!$G843),1,"")</x:f>
      </x:c>
      <x:c r="J1733" s="32" t="str">
        <x:f>IF(AND(J$8&lt;='Detalle'!$H843,J$9&gt;='Detalle'!$G843),1,"")</x:f>
      </x:c>
      <x:c r="K1733" s="32" t="n">
        <x:f>IF(AND(K$8&lt;='Detalle'!$H843,K$9&gt;='Detalle'!$G843),1,"")</x:f>
        <x:v>1</x:v>
      </x:c>
      <x:c r="L1733" s="32" t="str">
        <x:f>IF(AND(L$8&lt;='Detalle'!$H843,L$9&gt;='Detalle'!$G843),1,"")</x:f>
      </x:c>
      <x:c r="M1733" s="32" t="str">
        <x:f>IF(AND(M$8&lt;='Detalle'!$H843,M$9&gt;='Detalle'!$G843),1,"")</x:f>
      </x:c>
      <x:c r="N1733" s="32" t="str">
        <x:f>IF(AND(N$8&lt;='Detalle'!$H843,N$9&gt;='Detalle'!$G843),1,"")</x:f>
      </x:c>
      <x:c r="O1733" s="32" t="str">
        <x:f>IF(AND(O$8&lt;='Detalle'!$H843,O$9&gt;='Detalle'!$G843),1,"")</x:f>
      </x:c>
      <x:c r="P1733" s="32" t="str">
        <x:f>IF(AND(P$8&lt;='Detalle'!$H843,P$9&gt;='Detalle'!$G843),1,"")</x:f>
      </x:c>
      <x:c r="Q1733" s="68"/>
      <x:c r="R1733" s="67" t="str">
        <x:f>IF('Detalle'!M843="","",'Detalle'!M843)</x:f>
      </x:c>
      <x:c r="S1733" s="67" t="str">
        <x:f>IF('Detalle'!N843="","",'Detalle'!N843)</x:f>
      </x:c>
    </x:row>
    <x:row r="1734" ht="16" customHeight="1">
      <x:c r="A1734" s="56" t="str">
        <x:v>FIS01.008</x:v>
      </x:c>
      <x:c r="B1734" s="57" t="str">
        <x:v>Capturar esfera interior con techo y piso</x:v>
      </x:c>
      <x:c r="C1734" s="63" t="str">
        <x:v>R</x:v>
      </x:c>
      <x:c r="D1734" s="65" t="str">
        <x:f>IF('Detalle'!L843="","",'Detalle'!L843)</x:f>
      </x:c>
      <x:c r="E1734" s="60" t="str"/>
      <x:c r="F1734" s="32" t="str">
        <x:f>IF(OR('Detalle'!$J843="",'Detalle'!$K843="",'Detalle'!$L843=""),"",IF(AND(F$8&lt;='Detalle'!$K843,F$9&gt;='Detalle'!$J843),1,""))</x:f>
      </x:c>
      <x:c r="G1734" s="32" t="str">
        <x:f>IF(OR('Detalle'!$J843="",'Detalle'!$K843="",'Detalle'!$L843=""),"",IF(AND(G$8&lt;='Detalle'!$K843,G$9&gt;='Detalle'!$J843),1,""))</x:f>
      </x:c>
      <x:c r="H1734" s="32" t="str">
        <x:f>IF(OR('Detalle'!$J843="",'Detalle'!$K843="",'Detalle'!$L843=""),"",IF(AND(H$8&lt;='Detalle'!$K843,H$9&gt;='Detalle'!$J843),1,""))</x:f>
      </x:c>
      <x:c r="I1734" s="32" t="str">
        <x:f>IF(OR('Detalle'!$J843="",'Detalle'!$K843="",'Detalle'!$L843=""),"",IF(AND(I$8&lt;='Detalle'!$K843,I$9&gt;='Detalle'!$J843),1,""))</x:f>
      </x:c>
      <x:c r="J1734" s="32" t="str">
        <x:f>IF(OR('Detalle'!$J843="",'Detalle'!$K843="",'Detalle'!$L843=""),"",IF(AND(J$8&lt;='Detalle'!$K843,J$9&gt;='Detalle'!$J843),1,""))</x:f>
      </x:c>
      <x:c r="K1734" s="32" t="str">
        <x:f>IF(OR('Detalle'!$J843="",'Detalle'!$K843="",'Detalle'!$L843=""),"",IF(AND(K$8&lt;='Detalle'!$K843,K$9&gt;='Detalle'!$J843),1,""))</x:f>
      </x:c>
      <x:c r="L1734" s="32" t="str">
        <x:f>IF(OR('Detalle'!$J843="",'Detalle'!$K843="",'Detalle'!$L843=""),"",IF(AND(L$8&lt;='Detalle'!$K843,L$9&gt;='Detalle'!$J843),1,""))</x:f>
      </x:c>
      <x:c r="M1734" s="32" t="str">
        <x:f>IF(OR('Detalle'!$J843="",'Detalle'!$K843="",'Detalle'!$L843=""),"",IF(AND(M$8&lt;='Detalle'!$K843,M$9&gt;='Detalle'!$J843),1,""))</x:f>
      </x:c>
      <x:c r="N1734" s="32" t="str">
        <x:f>IF(OR('Detalle'!$J843="",'Detalle'!$K843="",'Detalle'!$L843=""),"",IF(AND(N$8&lt;='Detalle'!$K843,N$9&gt;='Detalle'!$J843),1,""))</x:f>
      </x:c>
      <x:c r="O1734" s="32" t="str">
        <x:f>IF(OR('Detalle'!$J843="",'Detalle'!$K843="",'Detalle'!$L843=""),"",IF(AND(O$8&lt;='Detalle'!$K843,O$9&gt;='Detalle'!$J843),1,""))</x:f>
      </x:c>
      <x:c r="P1734" s="32" t="str">
        <x:f>IF(OR('Detalle'!$J843="",'Detalle'!$K843="",'Detalle'!$L843=""),"",IF(AND(P$8&lt;='Detalle'!$K843,P$9&gt;='Detalle'!$J843),1,""))</x:f>
      </x:c>
      <x:c r="Q1734" s="68"/>
      <x:c r="R1734" s="67" t="str"/>
      <x:c r="S1734" s="67" t="str"/>
    </x:row>
    <x:row r="1735" ht="16" customHeight="1">
      <x:c r="A1735" s="56" t="str">
        <x:v>FIS01.009</x:v>
      </x:c>
      <x:c r="B1735" s="57" t="str">
        <x:v>Capturar escena con ventanas</x:v>
      </x:c>
      <x:c r="C1735" s="62" t="str">
        <x:v>E</x:v>
      </x:c>
      <x:c r="D1735" s="64" t="n">
        <x:f>'Detalle'!I844</x:f>
        <x:v>1</x:v>
      </x:c>
      <x:c r="E1735" s="60" t="str">
        <x:f>'Detalle'!F844</x:f>
        <x:v>Pendiente</x:v>
      </x:c>
      <x:c r="F1735" s="32" t="str">
        <x:f>IF(AND(F$8&lt;='Detalle'!$H844,F$9&gt;='Detalle'!$G844),1,"")</x:f>
      </x:c>
      <x:c r="G1735" s="32" t="str">
        <x:f>IF(AND(G$8&lt;='Detalle'!$H844,G$9&gt;='Detalle'!$G844),1,"")</x:f>
      </x:c>
      <x:c r="H1735" s="32" t="str">
        <x:f>IF(AND(H$8&lt;='Detalle'!$H844,H$9&gt;='Detalle'!$G844),1,"")</x:f>
      </x:c>
      <x:c r="I1735" s="32" t="str">
        <x:f>IF(AND(I$8&lt;='Detalle'!$H844,I$9&gt;='Detalle'!$G844),1,"")</x:f>
      </x:c>
      <x:c r="J1735" s="32" t="str">
        <x:f>IF(AND(J$8&lt;='Detalle'!$H844,J$9&gt;='Detalle'!$G844),1,"")</x:f>
      </x:c>
      <x:c r="K1735" s="32" t="n">
        <x:f>IF(AND(K$8&lt;='Detalle'!$H844,K$9&gt;='Detalle'!$G844),1,"")</x:f>
        <x:v>1</x:v>
      </x:c>
      <x:c r="L1735" s="32" t="str">
        <x:f>IF(AND(L$8&lt;='Detalle'!$H844,L$9&gt;='Detalle'!$G844),1,"")</x:f>
      </x:c>
      <x:c r="M1735" s="32" t="str">
        <x:f>IF(AND(M$8&lt;='Detalle'!$H844,M$9&gt;='Detalle'!$G844),1,"")</x:f>
      </x:c>
      <x:c r="N1735" s="32" t="str">
        <x:f>IF(AND(N$8&lt;='Detalle'!$H844,N$9&gt;='Detalle'!$G844),1,"")</x:f>
      </x:c>
      <x:c r="O1735" s="32" t="str">
        <x:f>IF(AND(O$8&lt;='Detalle'!$H844,O$9&gt;='Detalle'!$G844),1,"")</x:f>
      </x:c>
      <x:c r="P1735" s="32" t="str">
        <x:f>IF(AND(P$8&lt;='Detalle'!$H844,P$9&gt;='Detalle'!$G844),1,"")</x:f>
      </x:c>
      <x:c r="Q1735" s="68"/>
      <x:c r="R1735" s="67" t="str">
        <x:f>IF('Detalle'!M844="","",'Detalle'!M844)</x:f>
      </x:c>
      <x:c r="S1735" s="67" t="str">
        <x:f>IF('Detalle'!N844="","",'Detalle'!N844)</x:f>
      </x:c>
    </x:row>
    <x:row r="1736" ht="16" customHeight="1">
      <x:c r="A1736" s="56" t="str">
        <x:v>FIS01.009</x:v>
      </x:c>
      <x:c r="B1736" s="57" t="str">
        <x:v>Capturar escena con ventanas</x:v>
      </x:c>
      <x:c r="C1736" s="63" t="str">
        <x:v>R</x:v>
      </x:c>
      <x:c r="D1736" s="65" t="str">
        <x:f>IF('Detalle'!L844="","",'Detalle'!L844)</x:f>
      </x:c>
      <x:c r="E1736" s="60" t="str"/>
      <x:c r="F1736" s="32" t="str">
        <x:f>IF(OR('Detalle'!$J844="",'Detalle'!$K844="",'Detalle'!$L844=""),"",IF(AND(F$8&lt;='Detalle'!$K844,F$9&gt;='Detalle'!$J844),1,""))</x:f>
      </x:c>
      <x:c r="G1736" s="32" t="str">
        <x:f>IF(OR('Detalle'!$J844="",'Detalle'!$K844="",'Detalle'!$L844=""),"",IF(AND(G$8&lt;='Detalle'!$K844,G$9&gt;='Detalle'!$J844),1,""))</x:f>
      </x:c>
      <x:c r="H1736" s="32" t="str">
        <x:f>IF(OR('Detalle'!$J844="",'Detalle'!$K844="",'Detalle'!$L844=""),"",IF(AND(H$8&lt;='Detalle'!$K844,H$9&gt;='Detalle'!$J844),1,""))</x:f>
      </x:c>
      <x:c r="I1736" s="32" t="str">
        <x:f>IF(OR('Detalle'!$J844="",'Detalle'!$K844="",'Detalle'!$L844=""),"",IF(AND(I$8&lt;='Detalle'!$K844,I$9&gt;='Detalle'!$J844),1,""))</x:f>
      </x:c>
      <x:c r="J1736" s="32" t="str">
        <x:f>IF(OR('Detalle'!$J844="",'Detalle'!$K844="",'Detalle'!$L844=""),"",IF(AND(J$8&lt;='Detalle'!$K844,J$9&gt;='Detalle'!$J844),1,""))</x:f>
      </x:c>
      <x:c r="K1736" s="32" t="str">
        <x:f>IF(OR('Detalle'!$J844="",'Detalle'!$K844="",'Detalle'!$L844=""),"",IF(AND(K$8&lt;='Detalle'!$K844,K$9&gt;='Detalle'!$J844),1,""))</x:f>
      </x:c>
      <x:c r="L1736" s="32" t="str">
        <x:f>IF(OR('Detalle'!$J844="",'Detalle'!$K844="",'Detalle'!$L844=""),"",IF(AND(L$8&lt;='Detalle'!$K844,L$9&gt;='Detalle'!$J844),1,""))</x:f>
      </x:c>
      <x:c r="M1736" s="32" t="str">
        <x:f>IF(OR('Detalle'!$J844="",'Detalle'!$K844="",'Detalle'!$L844=""),"",IF(AND(M$8&lt;='Detalle'!$K844,M$9&gt;='Detalle'!$J844),1,""))</x:f>
      </x:c>
      <x:c r="N1736" s="32" t="str">
        <x:f>IF(OR('Detalle'!$J844="",'Detalle'!$K844="",'Detalle'!$L844=""),"",IF(AND(N$8&lt;='Detalle'!$K844,N$9&gt;='Detalle'!$J844),1,""))</x:f>
      </x:c>
      <x:c r="O1736" s="32" t="str">
        <x:f>IF(OR('Detalle'!$J844="",'Detalle'!$K844="",'Detalle'!$L844=""),"",IF(AND(O$8&lt;='Detalle'!$K844,O$9&gt;='Detalle'!$J844),1,""))</x:f>
      </x:c>
      <x:c r="P1736" s="32" t="str">
        <x:f>IF(OR('Detalle'!$J844="",'Detalle'!$K844="",'Detalle'!$L844=""),"",IF(AND(P$8&lt;='Detalle'!$K844,P$9&gt;='Detalle'!$J844),1,""))</x:f>
      </x:c>
      <x:c r="Q1736" s="68"/>
      <x:c r="R1736" s="67" t="str"/>
      <x:c r="S1736" s="67" t="str"/>
    </x:row>
    <x:row r="1737" ht="16" customHeight="1">
      <x:c r="A1737" s="56" t="str">
        <x:v>FIS01.010</x:v>
      </x:c>
      <x:c r="B1737" s="57" t="str">
        <x:v>Capturar escena de poca textura</x:v>
      </x:c>
      <x:c r="C1737" s="62" t="str">
        <x:v>E</x:v>
      </x:c>
      <x:c r="D1737" s="64" t="n">
        <x:f>'Detalle'!I845</x:f>
        <x:v>1</x:v>
      </x:c>
      <x:c r="E1737" s="60" t="str">
        <x:f>'Detalle'!F845</x:f>
        <x:v>Pendiente</x:v>
      </x:c>
      <x:c r="F1737" s="32" t="str">
        <x:f>IF(AND(F$8&lt;='Detalle'!$H845,F$9&gt;='Detalle'!$G845),1,"")</x:f>
      </x:c>
      <x:c r="G1737" s="32" t="str">
        <x:f>IF(AND(G$8&lt;='Detalle'!$H845,G$9&gt;='Detalle'!$G845),1,"")</x:f>
      </x:c>
      <x:c r="H1737" s="32" t="str">
        <x:f>IF(AND(H$8&lt;='Detalle'!$H845,H$9&gt;='Detalle'!$G845),1,"")</x:f>
      </x:c>
      <x:c r="I1737" s="32" t="str">
        <x:f>IF(AND(I$8&lt;='Detalle'!$H845,I$9&gt;='Detalle'!$G845),1,"")</x:f>
      </x:c>
      <x:c r="J1737" s="32" t="str">
        <x:f>IF(AND(J$8&lt;='Detalle'!$H845,J$9&gt;='Detalle'!$G845),1,"")</x:f>
      </x:c>
      <x:c r="K1737" s="32" t="n">
        <x:f>IF(AND(K$8&lt;='Detalle'!$H845,K$9&gt;='Detalle'!$G845),1,"")</x:f>
        <x:v>1</x:v>
      </x:c>
      <x:c r="L1737" s="32" t="str">
        <x:f>IF(AND(L$8&lt;='Detalle'!$H845,L$9&gt;='Detalle'!$G845),1,"")</x:f>
      </x:c>
      <x:c r="M1737" s="32" t="str">
        <x:f>IF(AND(M$8&lt;='Detalle'!$H845,M$9&gt;='Detalle'!$G845),1,"")</x:f>
      </x:c>
      <x:c r="N1737" s="32" t="str">
        <x:f>IF(AND(N$8&lt;='Detalle'!$H845,N$9&gt;='Detalle'!$G845),1,"")</x:f>
      </x:c>
      <x:c r="O1737" s="32" t="str">
        <x:f>IF(AND(O$8&lt;='Detalle'!$H845,O$9&gt;='Detalle'!$G845),1,"")</x:f>
      </x:c>
      <x:c r="P1737" s="32" t="str">
        <x:f>IF(AND(P$8&lt;='Detalle'!$H845,P$9&gt;='Detalle'!$G845),1,"")</x:f>
      </x:c>
      <x:c r="Q1737" s="68"/>
      <x:c r="R1737" s="67" t="str">
        <x:f>IF('Detalle'!M845="","",'Detalle'!M845)</x:f>
      </x:c>
      <x:c r="S1737" s="67" t="str">
        <x:f>IF('Detalle'!N845="","",'Detalle'!N845)</x:f>
      </x:c>
    </x:row>
    <x:row r="1738" ht="16" customHeight="1">
      <x:c r="A1738" s="56" t="str">
        <x:v>FIS01.010</x:v>
      </x:c>
      <x:c r="B1738" s="57" t="str">
        <x:v>Capturar escena de poca textura</x:v>
      </x:c>
      <x:c r="C1738" s="63" t="str">
        <x:v>R</x:v>
      </x:c>
      <x:c r="D1738" s="65" t="str">
        <x:f>IF('Detalle'!L845="","",'Detalle'!L845)</x:f>
      </x:c>
      <x:c r="E1738" s="60" t="str"/>
      <x:c r="F1738" s="32" t="str">
        <x:f>IF(OR('Detalle'!$J845="",'Detalle'!$K845="",'Detalle'!$L845=""),"",IF(AND(F$8&lt;='Detalle'!$K845,F$9&gt;='Detalle'!$J845),1,""))</x:f>
      </x:c>
      <x:c r="G1738" s="32" t="str">
        <x:f>IF(OR('Detalle'!$J845="",'Detalle'!$K845="",'Detalle'!$L845=""),"",IF(AND(G$8&lt;='Detalle'!$K845,G$9&gt;='Detalle'!$J845),1,""))</x:f>
      </x:c>
      <x:c r="H1738" s="32" t="str">
        <x:f>IF(OR('Detalle'!$J845="",'Detalle'!$K845="",'Detalle'!$L845=""),"",IF(AND(H$8&lt;='Detalle'!$K845,H$9&gt;='Detalle'!$J845),1,""))</x:f>
      </x:c>
      <x:c r="I1738" s="32" t="str">
        <x:f>IF(OR('Detalle'!$J845="",'Detalle'!$K845="",'Detalle'!$L845=""),"",IF(AND(I$8&lt;='Detalle'!$K845,I$9&gt;='Detalle'!$J845),1,""))</x:f>
      </x:c>
      <x:c r="J1738" s="32" t="str">
        <x:f>IF(OR('Detalle'!$J845="",'Detalle'!$K845="",'Detalle'!$L845=""),"",IF(AND(J$8&lt;='Detalle'!$K845,J$9&gt;='Detalle'!$J845),1,""))</x:f>
      </x:c>
      <x:c r="K1738" s="32" t="str">
        <x:f>IF(OR('Detalle'!$J845="",'Detalle'!$K845="",'Detalle'!$L845=""),"",IF(AND(K$8&lt;='Detalle'!$K845,K$9&gt;='Detalle'!$J845),1,""))</x:f>
      </x:c>
      <x:c r="L1738" s="32" t="str">
        <x:f>IF(OR('Detalle'!$J845="",'Detalle'!$K845="",'Detalle'!$L845=""),"",IF(AND(L$8&lt;='Detalle'!$K845,L$9&gt;='Detalle'!$J845),1,""))</x:f>
      </x:c>
      <x:c r="M1738" s="32" t="str">
        <x:f>IF(OR('Detalle'!$J845="",'Detalle'!$K845="",'Detalle'!$L845=""),"",IF(AND(M$8&lt;='Detalle'!$K845,M$9&gt;='Detalle'!$J845),1,""))</x:f>
      </x:c>
      <x:c r="N1738" s="32" t="str">
        <x:f>IF(OR('Detalle'!$J845="",'Detalle'!$K845="",'Detalle'!$L845=""),"",IF(AND(N$8&lt;='Detalle'!$K845,N$9&gt;='Detalle'!$J845),1,""))</x:f>
      </x:c>
      <x:c r="O1738" s="32" t="str">
        <x:f>IF(OR('Detalle'!$J845="",'Detalle'!$K845="",'Detalle'!$L845=""),"",IF(AND(O$8&lt;='Detalle'!$K845,O$9&gt;='Detalle'!$J845),1,""))</x:f>
      </x:c>
      <x:c r="P1738" s="32" t="str">
        <x:f>IF(OR('Detalle'!$J845="",'Detalle'!$K845="",'Detalle'!$L845=""),"",IF(AND(P$8&lt;='Detalle'!$K845,P$9&gt;='Detalle'!$J845),1,""))</x:f>
      </x:c>
      <x:c r="Q1738" s="68"/>
      <x:c r="R1738" s="67" t="str"/>
      <x:c r="S1738" s="67" t="str"/>
    </x:row>
    <x:row r="1739" ht="16" customHeight="1">
      <x:c r="A1739" s="56" t="str">
        <x:v>FIS01.011</x:v>
      </x:c>
      <x:c r="B1739" s="57" t="str">
        <x:v>Capturar objetos próximos</x:v>
      </x:c>
      <x:c r="C1739" s="62" t="str">
        <x:v>E</x:v>
      </x:c>
      <x:c r="D1739" s="64" t="n">
        <x:f>'Detalle'!I846</x:f>
        <x:v>1</x:v>
      </x:c>
      <x:c r="E1739" s="60" t="str">
        <x:f>'Detalle'!F846</x:f>
        <x:v>Pendiente</x:v>
      </x:c>
      <x:c r="F1739" s="32" t="str">
        <x:f>IF(AND(F$8&lt;='Detalle'!$H846,F$9&gt;='Detalle'!$G846),1,"")</x:f>
      </x:c>
      <x:c r="G1739" s="32" t="str">
        <x:f>IF(AND(G$8&lt;='Detalle'!$H846,G$9&gt;='Detalle'!$G846),1,"")</x:f>
      </x:c>
      <x:c r="H1739" s="32" t="str">
        <x:f>IF(AND(H$8&lt;='Detalle'!$H846,H$9&gt;='Detalle'!$G846),1,"")</x:f>
      </x:c>
      <x:c r="I1739" s="32" t="str">
        <x:f>IF(AND(I$8&lt;='Detalle'!$H846,I$9&gt;='Detalle'!$G846),1,"")</x:f>
      </x:c>
      <x:c r="J1739" s="32" t="str">
        <x:f>IF(AND(J$8&lt;='Detalle'!$H846,J$9&gt;='Detalle'!$G846),1,"")</x:f>
      </x:c>
      <x:c r="K1739" s="32" t="n">
        <x:f>IF(AND(K$8&lt;='Detalle'!$H846,K$9&gt;='Detalle'!$G846),1,"")</x:f>
        <x:v>1</x:v>
      </x:c>
      <x:c r="L1739" s="32" t="str">
        <x:f>IF(AND(L$8&lt;='Detalle'!$H846,L$9&gt;='Detalle'!$G846),1,"")</x:f>
      </x:c>
      <x:c r="M1739" s="32" t="str">
        <x:f>IF(AND(M$8&lt;='Detalle'!$H846,M$9&gt;='Detalle'!$G846),1,"")</x:f>
      </x:c>
      <x:c r="N1739" s="32" t="str">
        <x:f>IF(AND(N$8&lt;='Detalle'!$H846,N$9&gt;='Detalle'!$G846),1,"")</x:f>
      </x:c>
      <x:c r="O1739" s="32" t="str">
        <x:f>IF(AND(O$8&lt;='Detalle'!$H846,O$9&gt;='Detalle'!$G846),1,"")</x:f>
      </x:c>
      <x:c r="P1739" s="32" t="str">
        <x:f>IF(AND(P$8&lt;='Detalle'!$H846,P$9&gt;='Detalle'!$G846),1,"")</x:f>
      </x:c>
      <x:c r="Q1739" s="68"/>
      <x:c r="R1739" s="67" t="str">
        <x:f>IF('Detalle'!M846="","",'Detalle'!M846)</x:f>
      </x:c>
      <x:c r="S1739" s="67" t="str">
        <x:f>IF('Detalle'!N846="","",'Detalle'!N846)</x:f>
      </x:c>
    </x:row>
    <x:row r="1740" ht="16" customHeight="1">
      <x:c r="A1740" s="56" t="str">
        <x:v>FIS01.011</x:v>
      </x:c>
      <x:c r="B1740" s="57" t="str">
        <x:v>Capturar objetos próximos</x:v>
      </x:c>
      <x:c r="C1740" s="63" t="str">
        <x:v>R</x:v>
      </x:c>
      <x:c r="D1740" s="65" t="str">
        <x:f>IF('Detalle'!L846="","",'Detalle'!L846)</x:f>
      </x:c>
      <x:c r="E1740" s="60" t="str"/>
      <x:c r="F1740" s="32" t="str">
        <x:f>IF(OR('Detalle'!$J846="",'Detalle'!$K846="",'Detalle'!$L846=""),"",IF(AND(F$8&lt;='Detalle'!$K846,F$9&gt;='Detalle'!$J846),1,""))</x:f>
      </x:c>
      <x:c r="G1740" s="32" t="str">
        <x:f>IF(OR('Detalle'!$J846="",'Detalle'!$K846="",'Detalle'!$L846=""),"",IF(AND(G$8&lt;='Detalle'!$K846,G$9&gt;='Detalle'!$J846),1,""))</x:f>
      </x:c>
      <x:c r="H1740" s="32" t="str">
        <x:f>IF(OR('Detalle'!$J846="",'Detalle'!$K846="",'Detalle'!$L846=""),"",IF(AND(H$8&lt;='Detalle'!$K846,H$9&gt;='Detalle'!$J846),1,""))</x:f>
      </x:c>
      <x:c r="I1740" s="32" t="str">
        <x:f>IF(OR('Detalle'!$J846="",'Detalle'!$K846="",'Detalle'!$L846=""),"",IF(AND(I$8&lt;='Detalle'!$K846,I$9&gt;='Detalle'!$J846),1,""))</x:f>
      </x:c>
      <x:c r="J1740" s="32" t="str">
        <x:f>IF(OR('Detalle'!$J846="",'Detalle'!$K846="",'Detalle'!$L846=""),"",IF(AND(J$8&lt;='Detalle'!$K846,J$9&gt;='Detalle'!$J846),1,""))</x:f>
      </x:c>
      <x:c r="K1740" s="32" t="str">
        <x:f>IF(OR('Detalle'!$J846="",'Detalle'!$K846="",'Detalle'!$L846=""),"",IF(AND(K$8&lt;='Detalle'!$K846,K$9&gt;='Detalle'!$J846),1,""))</x:f>
      </x:c>
      <x:c r="L1740" s="32" t="str">
        <x:f>IF(OR('Detalle'!$J846="",'Detalle'!$K846="",'Detalle'!$L846=""),"",IF(AND(L$8&lt;='Detalle'!$K846,L$9&gt;='Detalle'!$J846),1,""))</x:f>
      </x:c>
      <x:c r="M1740" s="32" t="str">
        <x:f>IF(OR('Detalle'!$J846="",'Detalle'!$K846="",'Detalle'!$L846=""),"",IF(AND(M$8&lt;='Detalle'!$K846,M$9&gt;='Detalle'!$J846),1,""))</x:f>
      </x:c>
      <x:c r="N1740" s="32" t="str">
        <x:f>IF(OR('Detalle'!$J846="",'Detalle'!$K846="",'Detalle'!$L846=""),"",IF(AND(N$8&lt;='Detalle'!$K846,N$9&gt;='Detalle'!$J846),1,""))</x:f>
      </x:c>
      <x:c r="O1740" s="32" t="str">
        <x:f>IF(OR('Detalle'!$J846="",'Detalle'!$K846="",'Detalle'!$L846=""),"",IF(AND(O$8&lt;='Detalle'!$K846,O$9&gt;='Detalle'!$J846),1,""))</x:f>
      </x:c>
      <x:c r="P1740" s="32" t="str">
        <x:f>IF(OR('Detalle'!$J846="",'Detalle'!$K846="",'Detalle'!$L846=""),"",IF(AND(P$8&lt;='Detalle'!$K846,P$9&gt;='Detalle'!$J846),1,""))</x:f>
      </x:c>
      <x:c r="Q1740" s="68"/>
      <x:c r="R1740" s="67" t="str"/>
      <x:c r="S1740" s="67" t="str"/>
    </x:row>
    <x:row r="1741" ht="16" customHeight="1">
      <x:c r="A1741" s="56" t="str">
        <x:v>FIS01.012</x:v>
      </x:c>
      <x:c r="B1741" s="57" t="str">
        <x:v>Capturar patrones repetidos</x:v>
      </x:c>
      <x:c r="C1741" s="62" t="str">
        <x:v>E</x:v>
      </x:c>
      <x:c r="D1741" s="64" t="n">
        <x:f>'Detalle'!I847</x:f>
        <x:v>1</x:v>
      </x:c>
      <x:c r="E1741" s="60" t="str">
        <x:f>'Detalle'!F847</x:f>
        <x:v>Pendiente</x:v>
      </x:c>
      <x:c r="F1741" s="32" t="str">
        <x:f>IF(AND(F$8&lt;='Detalle'!$H847,F$9&gt;='Detalle'!$G847),1,"")</x:f>
      </x:c>
      <x:c r="G1741" s="32" t="str">
        <x:f>IF(AND(G$8&lt;='Detalle'!$H847,G$9&gt;='Detalle'!$G847),1,"")</x:f>
      </x:c>
      <x:c r="H1741" s="32" t="str">
        <x:f>IF(AND(H$8&lt;='Detalle'!$H847,H$9&gt;='Detalle'!$G847),1,"")</x:f>
      </x:c>
      <x:c r="I1741" s="32" t="str">
        <x:f>IF(AND(I$8&lt;='Detalle'!$H847,I$9&gt;='Detalle'!$G847),1,"")</x:f>
      </x:c>
      <x:c r="J1741" s="32" t="str">
        <x:f>IF(AND(J$8&lt;='Detalle'!$H847,J$9&gt;='Detalle'!$G847),1,"")</x:f>
      </x:c>
      <x:c r="K1741" s="32" t="n">
        <x:f>IF(AND(K$8&lt;='Detalle'!$H847,K$9&gt;='Detalle'!$G847),1,"")</x:f>
        <x:v>1</x:v>
      </x:c>
      <x:c r="L1741" s="32" t="str">
        <x:f>IF(AND(L$8&lt;='Detalle'!$H847,L$9&gt;='Detalle'!$G847),1,"")</x:f>
      </x:c>
      <x:c r="M1741" s="32" t="str">
        <x:f>IF(AND(M$8&lt;='Detalle'!$H847,M$9&gt;='Detalle'!$G847),1,"")</x:f>
      </x:c>
      <x:c r="N1741" s="32" t="str">
        <x:f>IF(AND(N$8&lt;='Detalle'!$H847,N$9&gt;='Detalle'!$G847),1,"")</x:f>
      </x:c>
      <x:c r="O1741" s="32" t="str">
        <x:f>IF(AND(O$8&lt;='Detalle'!$H847,O$9&gt;='Detalle'!$G847),1,"")</x:f>
      </x:c>
      <x:c r="P1741" s="32" t="str">
        <x:f>IF(AND(P$8&lt;='Detalle'!$H847,P$9&gt;='Detalle'!$G847),1,"")</x:f>
      </x:c>
      <x:c r="Q1741" s="68"/>
      <x:c r="R1741" s="67" t="str">
        <x:f>IF('Detalle'!M847="","",'Detalle'!M847)</x:f>
      </x:c>
      <x:c r="S1741" s="67" t="str">
        <x:f>IF('Detalle'!N847="","",'Detalle'!N847)</x:f>
      </x:c>
    </x:row>
    <x:row r="1742" ht="16" customHeight="1">
      <x:c r="A1742" s="56" t="str">
        <x:v>FIS01.012</x:v>
      </x:c>
      <x:c r="B1742" s="57" t="str">
        <x:v>Capturar patrones repetidos</x:v>
      </x:c>
      <x:c r="C1742" s="63" t="str">
        <x:v>R</x:v>
      </x:c>
      <x:c r="D1742" s="65" t="str">
        <x:f>IF('Detalle'!L847="","",'Detalle'!L847)</x:f>
      </x:c>
      <x:c r="E1742" s="60" t="str"/>
      <x:c r="F1742" s="32" t="str">
        <x:f>IF(OR('Detalle'!$J847="",'Detalle'!$K847="",'Detalle'!$L847=""),"",IF(AND(F$8&lt;='Detalle'!$K847,F$9&gt;='Detalle'!$J847),1,""))</x:f>
      </x:c>
      <x:c r="G1742" s="32" t="str">
        <x:f>IF(OR('Detalle'!$J847="",'Detalle'!$K847="",'Detalle'!$L847=""),"",IF(AND(G$8&lt;='Detalle'!$K847,G$9&gt;='Detalle'!$J847),1,""))</x:f>
      </x:c>
      <x:c r="H1742" s="32" t="str">
        <x:f>IF(OR('Detalle'!$J847="",'Detalle'!$K847="",'Detalle'!$L847=""),"",IF(AND(H$8&lt;='Detalle'!$K847,H$9&gt;='Detalle'!$J847),1,""))</x:f>
      </x:c>
      <x:c r="I1742" s="32" t="str">
        <x:f>IF(OR('Detalle'!$J847="",'Detalle'!$K847="",'Detalle'!$L847=""),"",IF(AND(I$8&lt;='Detalle'!$K847,I$9&gt;='Detalle'!$J847),1,""))</x:f>
      </x:c>
      <x:c r="J1742" s="32" t="str">
        <x:f>IF(OR('Detalle'!$J847="",'Detalle'!$K847="",'Detalle'!$L847=""),"",IF(AND(J$8&lt;='Detalle'!$K847,J$9&gt;='Detalle'!$J847),1,""))</x:f>
      </x:c>
      <x:c r="K1742" s="32" t="str">
        <x:f>IF(OR('Detalle'!$J847="",'Detalle'!$K847="",'Detalle'!$L847=""),"",IF(AND(K$8&lt;='Detalle'!$K847,K$9&gt;='Detalle'!$J847),1,""))</x:f>
      </x:c>
      <x:c r="L1742" s="32" t="str">
        <x:f>IF(OR('Detalle'!$J847="",'Detalle'!$K847="",'Detalle'!$L847=""),"",IF(AND(L$8&lt;='Detalle'!$K847,L$9&gt;='Detalle'!$J847),1,""))</x:f>
      </x:c>
      <x:c r="M1742" s="32" t="str">
        <x:f>IF(OR('Detalle'!$J847="",'Detalle'!$K847="",'Detalle'!$L847=""),"",IF(AND(M$8&lt;='Detalle'!$K847,M$9&gt;='Detalle'!$J847),1,""))</x:f>
      </x:c>
      <x:c r="N1742" s="32" t="str">
        <x:f>IF(OR('Detalle'!$J847="",'Detalle'!$K847="",'Detalle'!$L847=""),"",IF(AND(N$8&lt;='Detalle'!$K847,N$9&gt;='Detalle'!$J847),1,""))</x:f>
      </x:c>
      <x:c r="O1742" s="32" t="str">
        <x:f>IF(OR('Detalle'!$J847="",'Detalle'!$K847="",'Detalle'!$L847=""),"",IF(AND(O$8&lt;='Detalle'!$K847,O$9&gt;='Detalle'!$J847),1,""))</x:f>
      </x:c>
      <x:c r="P1742" s="32" t="str">
        <x:f>IF(OR('Detalle'!$J847="",'Detalle'!$K847="",'Detalle'!$L847=""),"",IF(AND(P$8&lt;='Detalle'!$K847,P$9&gt;='Detalle'!$J847),1,""))</x:f>
      </x:c>
      <x:c r="Q1742" s="68"/>
      <x:c r="R1742" s="67" t="str"/>
      <x:c r="S1742" s="67" t="str"/>
    </x:row>
    <x:row r="1743" ht="16" customHeight="1">
      <x:c r="A1743" s="56" t="str">
        <x:v>FIS01.013</x:v>
      </x:c>
      <x:c r="B1743" s="57" t="str">
        <x:v>Interrumpir captura y retomar</x:v>
      </x:c>
      <x:c r="C1743" s="62" t="str">
        <x:v>E</x:v>
      </x:c>
      <x:c r="D1743" s="64" t="n">
        <x:f>'Detalle'!I848</x:f>
        <x:v>1</x:v>
      </x:c>
      <x:c r="E1743" s="60" t="str">
        <x:f>'Detalle'!F848</x:f>
        <x:v>Pendiente</x:v>
      </x:c>
      <x:c r="F1743" s="32" t="str">
        <x:f>IF(AND(F$8&lt;='Detalle'!$H848,F$9&gt;='Detalle'!$G848),1,"")</x:f>
      </x:c>
      <x:c r="G1743" s="32" t="str">
        <x:f>IF(AND(G$8&lt;='Detalle'!$H848,G$9&gt;='Detalle'!$G848),1,"")</x:f>
      </x:c>
      <x:c r="H1743" s="32" t="str">
        <x:f>IF(AND(H$8&lt;='Detalle'!$H848,H$9&gt;='Detalle'!$G848),1,"")</x:f>
      </x:c>
      <x:c r="I1743" s="32" t="str">
        <x:f>IF(AND(I$8&lt;='Detalle'!$H848,I$9&gt;='Detalle'!$G848),1,"")</x:f>
      </x:c>
      <x:c r="J1743" s="32" t="str">
        <x:f>IF(AND(J$8&lt;='Detalle'!$H848,J$9&gt;='Detalle'!$G848),1,"")</x:f>
      </x:c>
      <x:c r="K1743" s="32" t="n">
        <x:f>IF(AND(K$8&lt;='Detalle'!$H848,K$9&gt;='Detalle'!$G848),1,"")</x:f>
        <x:v>1</x:v>
      </x:c>
      <x:c r="L1743" s="32" t="str">
        <x:f>IF(AND(L$8&lt;='Detalle'!$H848,L$9&gt;='Detalle'!$G848),1,"")</x:f>
      </x:c>
      <x:c r="M1743" s="32" t="str">
        <x:f>IF(AND(M$8&lt;='Detalle'!$H848,M$9&gt;='Detalle'!$G848),1,"")</x:f>
      </x:c>
      <x:c r="N1743" s="32" t="str">
        <x:f>IF(AND(N$8&lt;='Detalle'!$H848,N$9&gt;='Detalle'!$G848),1,"")</x:f>
      </x:c>
      <x:c r="O1743" s="32" t="str">
        <x:f>IF(AND(O$8&lt;='Detalle'!$H848,O$9&gt;='Detalle'!$G848),1,"")</x:f>
      </x:c>
      <x:c r="P1743" s="32" t="str">
        <x:f>IF(AND(P$8&lt;='Detalle'!$H848,P$9&gt;='Detalle'!$G848),1,"")</x:f>
      </x:c>
      <x:c r="Q1743" s="68"/>
      <x:c r="R1743" s="67" t="str">
        <x:f>IF('Detalle'!M848="","",'Detalle'!M848)</x:f>
      </x:c>
      <x:c r="S1743" s="67" t="str">
        <x:f>IF('Detalle'!N848="","",'Detalle'!N848)</x:f>
      </x:c>
    </x:row>
    <x:row r="1744" ht="16" customHeight="1">
      <x:c r="A1744" s="56" t="str">
        <x:v>FIS01.013</x:v>
      </x:c>
      <x:c r="B1744" s="57" t="str">
        <x:v>Interrumpir captura y retomar</x:v>
      </x:c>
      <x:c r="C1744" s="63" t="str">
        <x:v>R</x:v>
      </x:c>
      <x:c r="D1744" s="65" t="str">
        <x:f>IF('Detalle'!L848="","",'Detalle'!L848)</x:f>
      </x:c>
      <x:c r="E1744" s="60" t="str"/>
      <x:c r="F1744" s="32" t="str">
        <x:f>IF(OR('Detalle'!$J848="",'Detalle'!$K848="",'Detalle'!$L848=""),"",IF(AND(F$8&lt;='Detalle'!$K848,F$9&gt;='Detalle'!$J848),1,""))</x:f>
      </x:c>
      <x:c r="G1744" s="32" t="str">
        <x:f>IF(OR('Detalle'!$J848="",'Detalle'!$K848="",'Detalle'!$L848=""),"",IF(AND(G$8&lt;='Detalle'!$K848,G$9&gt;='Detalle'!$J848),1,""))</x:f>
      </x:c>
      <x:c r="H1744" s="32" t="str">
        <x:f>IF(OR('Detalle'!$J848="",'Detalle'!$K848="",'Detalle'!$L848=""),"",IF(AND(H$8&lt;='Detalle'!$K848,H$9&gt;='Detalle'!$J848),1,""))</x:f>
      </x:c>
      <x:c r="I1744" s="32" t="str">
        <x:f>IF(OR('Detalle'!$J848="",'Detalle'!$K848="",'Detalle'!$L848=""),"",IF(AND(I$8&lt;='Detalle'!$K848,I$9&gt;='Detalle'!$J848),1,""))</x:f>
      </x:c>
      <x:c r="J1744" s="32" t="str">
        <x:f>IF(OR('Detalle'!$J848="",'Detalle'!$K848="",'Detalle'!$L848=""),"",IF(AND(J$8&lt;='Detalle'!$K848,J$9&gt;='Detalle'!$J848),1,""))</x:f>
      </x:c>
      <x:c r="K1744" s="32" t="str">
        <x:f>IF(OR('Detalle'!$J848="",'Detalle'!$K848="",'Detalle'!$L848=""),"",IF(AND(K$8&lt;='Detalle'!$K848,K$9&gt;='Detalle'!$J848),1,""))</x:f>
      </x:c>
      <x:c r="L1744" s="32" t="str">
        <x:f>IF(OR('Detalle'!$J848="",'Detalle'!$K848="",'Detalle'!$L848=""),"",IF(AND(L$8&lt;='Detalle'!$K848,L$9&gt;='Detalle'!$J848),1,""))</x:f>
      </x:c>
      <x:c r="M1744" s="32" t="str">
        <x:f>IF(OR('Detalle'!$J848="",'Detalle'!$K848="",'Detalle'!$L848=""),"",IF(AND(M$8&lt;='Detalle'!$K848,M$9&gt;='Detalle'!$J848),1,""))</x:f>
      </x:c>
      <x:c r="N1744" s="32" t="str">
        <x:f>IF(OR('Detalle'!$J848="",'Detalle'!$K848="",'Detalle'!$L848=""),"",IF(AND(N$8&lt;='Detalle'!$K848,N$9&gt;='Detalle'!$J848),1,""))</x:f>
      </x:c>
      <x:c r="O1744" s="32" t="str">
        <x:f>IF(OR('Detalle'!$J848="",'Detalle'!$K848="",'Detalle'!$L848=""),"",IF(AND(O$8&lt;='Detalle'!$K848,O$9&gt;='Detalle'!$J848),1,""))</x:f>
      </x:c>
      <x:c r="P1744" s="32" t="str">
        <x:f>IF(OR('Detalle'!$J848="",'Detalle'!$K848="",'Detalle'!$L848=""),"",IF(AND(P$8&lt;='Detalle'!$K848,P$9&gt;='Detalle'!$J848),1,""))</x:f>
      </x:c>
      <x:c r="Q1744" s="68"/>
      <x:c r="R1744" s="67" t="str"/>
      <x:c r="S1744" s="67" t="str"/>
    </x:row>
    <x:row r="1745" ht="16" customHeight="1">
      <x:c r="A1745" s="56" t="str">
        <x:v>FIS01.014</x:v>
      </x:c>
      <x:c r="B1745" s="57" t="str">
        <x:v>Cambiar lente durante recuperación</x:v>
      </x:c>
      <x:c r="C1745" s="62" t="str">
        <x:v>E</x:v>
      </x:c>
      <x:c r="D1745" s="64" t="n">
        <x:f>'Detalle'!I849</x:f>
        <x:v>1</x:v>
      </x:c>
      <x:c r="E1745" s="60" t="str">
        <x:f>'Detalle'!F849</x:f>
        <x:v>Pendiente</x:v>
      </x:c>
      <x:c r="F1745" s="32" t="str">
        <x:f>IF(AND(F$8&lt;='Detalle'!$H849,F$9&gt;='Detalle'!$G849),1,"")</x:f>
      </x:c>
      <x:c r="G1745" s="32" t="str">
        <x:f>IF(AND(G$8&lt;='Detalle'!$H849,G$9&gt;='Detalle'!$G849),1,"")</x:f>
      </x:c>
      <x:c r="H1745" s="32" t="str">
        <x:f>IF(AND(H$8&lt;='Detalle'!$H849,H$9&gt;='Detalle'!$G849),1,"")</x:f>
      </x:c>
      <x:c r="I1745" s="32" t="str">
        <x:f>IF(AND(I$8&lt;='Detalle'!$H849,I$9&gt;='Detalle'!$G849),1,"")</x:f>
      </x:c>
      <x:c r="J1745" s="32" t="str">
        <x:f>IF(AND(J$8&lt;='Detalle'!$H849,J$9&gt;='Detalle'!$G849),1,"")</x:f>
      </x:c>
      <x:c r="K1745" s="32" t="n">
        <x:f>IF(AND(K$8&lt;='Detalle'!$H849,K$9&gt;='Detalle'!$G849),1,"")</x:f>
        <x:v>1</x:v>
      </x:c>
      <x:c r="L1745" s="32" t="str">
        <x:f>IF(AND(L$8&lt;='Detalle'!$H849,L$9&gt;='Detalle'!$G849),1,"")</x:f>
      </x:c>
      <x:c r="M1745" s="32" t="str">
        <x:f>IF(AND(M$8&lt;='Detalle'!$H849,M$9&gt;='Detalle'!$G849),1,"")</x:f>
      </x:c>
      <x:c r="N1745" s="32" t="str">
        <x:f>IF(AND(N$8&lt;='Detalle'!$H849,N$9&gt;='Detalle'!$G849),1,"")</x:f>
      </x:c>
      <x:c r="O1745" s="32" t="str">
        <x:f>IF(AND(O$8&lt;='Detalle'!$H849,O$9&gt;='Detalle'!$G849),1,"")</x:f>
      </x:c>
      <x:c r="P1745" s="32" t="str">
        <x:f>IF(AND(P$8&lt;='Detalle'!$H849,P$9&gt;='Detalle'!$G849),1,"")</x:f>
      </x:c>
      <x:c r="Q1745" s="68"/>
      <x:c r="R1745" s="67" t="str">
        <x:f>IF('Detalle'!M849="","",'Detalle'!M849)</x:f>
      </x:c>
      <x:c r="S1745" s="67" t="str">
        <x:f>IF('Detalle'!N849="","",'Detalle'!N849)</x:f>
      </x:c>
    </x:row>
    <x:row r="1746" ht="16" customHeight="1">
      <x:c r="A1746" s="56" t="str">
        <x:v>FIS01.014</x:v>
      </x:c>
      <x:c r="B1746" s="57" t="str">
        <x:v>Cambiar lente durante recuperación</x:v>
      </x:c>
      <x:c r="C1746" s="63" t="str">
        <x:v>R</x:v>
      </x:c>
      <x:c r="D1746" s="65" t="str">
        <x:f>IF('Detalle'!L849="","",'Detalle'!L849)</x:f>
      </x:c>
      <x:c r="E1746" s="60" t="str"/>
      <x:c r="F1746" s="32" t="str">
        <x:f>IF(OR('Detalle'!$J849="",'Detalle'!$K849="",'Detalle'!$L849=""),"",IF(AND(F$8&lt;='Detalle'!$K849,F$9&gt;='Detalle'!$J849),1,""))</x:f>
      </x:c>
      <x:c r="G1746" s="32" t="str">
        <x:f>IF(OR('Detalle'!$J849="",'Detalle'!$K849="",'Detalle'!$L849=""),"",IF(AND(G$8&lt;='Detalle'!$K849,G$9&gt;='Detalle'!$J849),1,""))</x:f>
      </x:c>
      <x:c r="H1746" s="32" t="str">
        <x:f>IF(OR('Detalle'!$J849="",'Detalle'!$K849="",'Detalle'!$L849=""),"",IF(AND(H$8&lt;='Detalle'!$K849,H$9&gt;='Detalle'!$J849),1,""))</x:f>
      </x:c>
      <x:c r="I1746" s="32" t="str">
        <x:f>IF(OR('Detalle'!$J849="",'Detalle'!$K849="",'Detalle'!$L849=""),"",IF(AND(I$8&lt;='Detalle'!$K849,I$9&gt;='Detalle'!$J849),1,""))</x:f>
      </x:c>
      <x:c r="J1746" s="32" t="str">
        <x:f>IF(OR('Detalle'!$J849="",'Detalle'!$K849="",'Detalle'!$L849=""),"",IF(AND(J$8&lt;='Detalle'!$K849,J$9&gt;='Detalle'!$J849),1,""))</x:f>
      </x:c>
      <x:c r="K1746" s="32" t="str">
        <x:f>IF(OR('Detalle'!$J849="",'Detalle'!$K849="",'Detalle'!$L849=""),"",IF(AND(K$8&lt;='Detalle'!$K849,K$9&gt;='Detalle'!$J849),1,""))</x:f>
      </x:c>
      <x:c r="L1746" s="32" t="str">
        <x:f>IF(OR('Detalle'!$J849="",'Detalle'!$K849="",'Detalle'!$L849=""),"",IF(AND(L$8&lt;='Detalle'!$K849,L$9&gt;='Detalle'!$J849),1,""))</x:f>
      </x:c>
      <x:c r="M1746" s="32" t="str">
        <x:f>IF(OR('Detalle'!$J849="",'Detalle'!$K849="",'Detalle'!$L849=""),"",IF(AND(M$8&lt;='Detalle'!$K849,M$9&gt;='Detalle'!$J849),1,""))</x:f>
      </x:c>
      <x:c r="N1746" s="32" t="str">
        <x:f>IF(OR('Detalle'!$J849="",'Detalle'!$K849="",'Detalle'!$L849=""),"",IF(AND(N$8&lt;='Detalle'!$K849,N$9&gt;='Detalle'!$J849),1,""))</x:f>
      </x:c>
      <x:c r="O1746" s="32" t="str">
        <x:f>IF(OR('Detalle'!$J849="",'Detalle'!$K849="",'Detalle'!$L849=""),"",IF(AND(O$8&lt;='Detalle'!$K849,O$9&gt;='Detalle'!$J849),1,""))</x:f>
      </x:c>
      <x:c r="P1746" s="32" t="str">
        <x:f>IF(OR('Detalle'!$J849="",'Detalle'!$K849="",'Detalle'!$L849=""),"",IF(AND(P$8&lt;='Detalle'!$K849,P$9&gt;='Detalle'!$J849),1,""))</x:f>
      </x:c>
      <x:c r="Q1746" s="68"/>
      <x:c r="R1746" s="67" t="str"/>
      <x:c r="S1746" s="67" t="str"/>
    </x:row>
    <x:row r="1747" ht="16" customHeight="1">
      <x:c r="A1747" s="56" t="str">
        <x:v>FIS01.015</x:v>
      </x:c>
      <x:c r="B1747" s="57" t="str">
        <x:v>Subir fotografías reales y procesarlas</x:v>
      </x:c>
      <x:c r="C1747" s="62" t="str">
        <x:v>E</x:v>
      </x:c>
      <x:c r="D1747" s="64" t="n">
        <x:f>'Detalle'!I850</x:f>
        <x:v>1</x:v>
      </x:c>
      <x:c r="E1747" s="60" t="str">
        <x:f>'Detalle'!F850</x:f>
        <x:v>Pendiente</x:v>
      </x:c>
      <x:c r="F1747" s="32" t="str">
        <x:f>IF(AND(F$8&lt;='Detalle'!$H850,F$9&gt;='Detalle'!$G850),1,"")</x:f>
      </x:c>
      <x:c r="G1747" s="32" t="str">
        <x:f>IF(AND(G$8&lt;='Detalle'!$H850,G$9&gt;='Detalle'!$G850),1,"")</x:f>
      </x:c>
      <x:c r="H1747" s="32" t="str">
        <x:f>IF(AND(H$8&lt;='Detalle'!$H850,H$9&gt;='Detalle'!$G850),1,"")</x:f>
      </x:c>
      <x:c r="I1747" s="32" t="str">
        <x:f>IF(AND(I$8&lt;='Detalle'!$H850,I$9&gt;='Detalle'!$G850),1,"")</x:f>
      </x:c>
      <x:c r="J1747" s="32" t="str">
        <x:f>IF(AND(J$8&lt;='Detalle'!$H850,J$9&gt;='Detalle'!$G850),1,"")</x:f>
      </x:c>
      <x:c r="K1747" s="32" t="n">
        <x:f>IF(AND(K$8&lt;='Detalle'!$H850,K$9&gt;='Detalle'!$G850),1,"")</x:f>
        <x:v>1</x:v>
      </x:c>
      <x:c r="L1747" s="32" t="str">
        <x:f>IF(AND(L$8&lt;='Detalle'!$H850,L$9&gt;='Detalle'!$G850),1,"")</x:f>
      </x:c>
      <x:c r="M1747" s="32" t="str">
        <x:f>IF(AND(M$8&lt;='Detalle'!$H850,M$9&gt;='Detalle'!$G850),1,"")</x:f>
      </x:c>
      <x:c r="N1747" s="32" t="str">
        <x:f>IF(AND(N$8&lt;='Detalle'!$H850,N$9&gt;='Detalle'!$G850),1,"")</x:f>
      </x:c>
      <x:c r="O1747" s="32" t="str">
        <x:f>IF(AND(O$8&lt;='Detalle'!$H850,O$9&gt;='Detalle'!$G850),1,"")</x:f>
      </x:c>
      <x:c r="P1747" s="32" t="str">
        <x:f>IF(AND(P$8&lt;='Detalle'!$H850,P$9&gt;='Detalle'!$G850),1,"")</x:f>
      </x:c>
      <x:c r="Q1747" s="68"/>
      <x:c r="R1747" s="67" t="str">
        <x:f>IF('Detalle'!M850="","",'Detalle'!M850)</x:f>
      </x:c>
      <x:c r="S1747" s="67" t="str">
        <x:f>IF('Detalle'!N850="","",'Detalle'!N850)</x:f>
      </x:c>
    </x:row>
    <x:row r="1748" ht="16" customHeight="1">
      <x:c r="A1748" s="56" t="str">
        <x:v>FIS01.015</x:v>
      </x:c>
      <x:c r="B1748" s="57" t="str">
        <x:v>Subir fotografías reales y procesarlas</x:v>
      </x:c>
      <x:c r="C1748" s="63" t="str">
        <x:v>R</x:v>
      </x:c>
      <x:c r="D1748" s="65" t="str">
        <x:f>IF('Detalle'!L850="","",'Detalle'!L850)</x:f>
      </x:c>
      <x:c r="E1748" s="60" t="str"/>
      <x:c r="F1748" s="32" t="str">
        <x:f>IF(OR('Detalle'!$J850="",'Detalle'!$K850="",'Detalle'!$L850=""),"",IF(AND(F$8&lt;='Detalle'!$K850,F$9&gt;='Detalle'!$J850),1,""))</x:f>
      </x:c>
      <x:c r="G1748" s="32" t="str">
        <x:f>IF(OR('Detalle'!$J850="",'Detalle'!$K850="",'Detalle'!$L850=""),"",IF(AND(G$8&lt;='Detalle'!$K850,G$9&gt;='Detalle'!$J850),1,""))</x:f>
      </x:c>
      <x:c r="H1748" s="32" t="str">
        <x:f>IF(OR('Detalle'!$J850="",'Detalle'!$K850="",'Detalle'!$L850=""),"",IF(AND(H$8&lt;='Detalle'!$K850,H$9&gt;='Detalle'!$J850),1,""))</x:f>
      </x:c>
      <x:c r="I1748" s="32" t="str">
        <x:f>IF(OR('Detalle'!$J850="",'Detalle'!$K850="",'Detalle'!$L850=""),"",IF(AND(I$8&lt;='Detalle'!$K850,I$9&gt;='Detalle'!$J850),1,""))</x:f>
      </x:c>
      <x:c r="J1748" s="32" t="str">
        <x:f>IF(OR('Detalle'!$J850="",'Detalle'!$K850="",'Detalle'!$L850=""),"",IF(AND(J$8&lt;='Detalle'!$K850,J$9&gt;='Detalle'!$J850),1,""))</x:f>
      </x:c>
      <x:c r="K1748" s="32" t="str">
        <x:f>IF(OR('Detalle'!$J850="",'Detalle'!$K850="",'Detalle'!$L850=""),"",IF(AND(K$8&lt;='Detalle'!$K850,K$9&gt;='Detalle'!$J850),1,""))</x:f>
      </x:c>
      <x:c r="L1748" s="32" t="str">
        <x:f>IF(OR('Detalle'!$J850="",'Detalle'!$K850="",'Detalle'!$L850=""),"",IF(AND(L$8&lt;='Detalle'!$K850,L$9&gt;='Detalle'!$J850),1,""))</x:f>
      </x:c>
      <x:c r="M1748" s="32" t="str">
        <x:f>IF(OR('Detalle'!$J850="",'Detalle'!$K850="",'Detalle'!$L850=""),"",IF(AND(M$8&lt;='Detalle'!$K850,M$9&gt;='Detalle'!$J850),1,""))</x:f>
      </x:c>
      <x:c r="N1748" s="32" t="str">
        <x:f>IF(OR('Detalle'!$J850="",'Detalle'!$K850="",'Detalle'!$L850=""),"",IF(AND(N$8&lt;='Detalle'!$K850,N$9&gt;='Detalle'!$J850),1,""))</x:f>
      </x:c>
      <x:c r="O1748" s="32" t="str">
        <x:f>IF(OR('Detalle'!$J850="",'Detalle'!$K850="",'Detalle'!$L850=""),"",IF(AND(O$8&lt;='Detalle'!$K850,O$9&gt;='Detalle'!$J850),1,""))</x:f>
      </x:c>
      <x:c r="P1748" s="32" t="str">
        <x:f>IF(OR('Detalle'!$J850="",'Detalle'!$K850="",'Detalle'!$L850=""),"",IF(AND(P$8&lt;='Detalle'!$K850,P$9&gt;='Detalle'!$J850),1,""))</x:f>
      </x:c>
      <x:c r="Q1748" s="68"/>
      <x:c r="R1748" s="67" t="str"/>
      <x:c r="S1748" s="67" t="str"/>
    </x:row>
    <x:row r="1749" ht="16" customHeight="1">
      <x:c r="A1749" s="56" t="str">
        <x:v>FIS01.016</x:v>
      </x:c>
      <x:c r="B1749" s="57" t="str">
        <x:v>Revisar cierre y costura ±180°</x:v>
      </x:c>
      <x:c r="C1749" s="62" t="str">
        <x:v>E</x:v>
      </x:c>
      <x:c r="D1749" s="64" t="n">
        <x:f>'Detalle'!I851</x:f>
        <x:v>1</x:v>
      </x:c>
      <x:c r="E1749" s="60" t="str">
        <x:f>'Detalle'!F851</x:f>
        <x:v>Pendiente</x:v>
      </x:c>
      <x:c r="F1749" s="32" t="str">
        <x:f>IF(AND(F$8&lt;='Detalle'!$H851,F$9&gt;='Detalle'!$G851),1,"")</x:f>
      </x:c>
      <x:c r="G1749" s="32" t="str">
        <x:f>IF(AND(G$8&lt;='Detalle'!$H851,G$9&gt;='Detalle'!$G851),1,"")</x:f>
      </x:c>
      <x:c r="H1749" s="32" t="str">
        <x:f>IF(AND(H$8&lt;='Detalle'!$H851,H$9&gt;='Detalle'!$G851),1,"")</x:f>
      </x:c>
      <x:c r="I1749" s="32" t="str">
        <x:f>IF(AND(I$8&lt;='Detalle'!$H851,I$9&gt;='Detalle'!$G851),1,"")</x:f>
      </x:c>
      <x:c r="J1749" s="32" t="str">
        <x:f>IF(AND(J$8&lt;='Detalle'!$H851,J$9&gt;='Detalle'!$G851),1,"")</x:f>
      </x:c>
      <x:c r="K1749" s="32" t="n">
        <x:f>IF(AND(K$8&lt;='Detalle'!$H851,K$9&gt;='Detalle'!$G851),1,"")</x:f>
        <x:v>1</x:v>
      </x:c>
      <x:c r="L1749" s="32" t="str">
        <x:f>IF(AND(L$8&lt;='Detalle'!$H851,L$9&gt;='Detalle'!$G851),1,"")</x:f>
      </x:c>
      <x:c r="M1749" s="32" t="str">
        <x:f>IF(AND(M$8&lt;='Detalle'!$H851,M$9&gt;='Detalle'!$G851),1,"")</x:f>
      </x:c>
      <x:c r="N1749" s="32" t="str">
        <x:f>IF(AND(N$8&lt;='Detalle'!$H851,N$9&gt;='Detalle'!$G851),1,"")</x:f>
      </x:c>
      <x:c r="O1749" s="32" t="str">
        <x:f>IF(AND(O$8&lt;='Detalle'!$H851,O$9&gt;='Detalle'!$G851),1,"")</x:f>
      </x:c>
      <x:c r="P1749" s="32" t="str">
        <x:f>IF(AND(P$8&lt;='Detalle'!$H851,P$9&gt;='Detalle'!$G851),1,"")</x:f>
      </x:c>
      <x:c r="Q1749" s="68"/>
      <x:c r="R1749" s="67" t="str">
        <x:f>IF('Detalle'!M851="","",'Detalle'!M851)</x:f>
      </x:c>
      <x:c r="S1749" s="67" t="str">
        <x:f>IF('Detalle'!N851="","",'Detalle'!N851)</x:f>
      </x:c>
    </x:row>
    <x:row r="1750" ht="16" customHeight="1">
      <x:c r="A1750" s="56" t="str">
        <x:v>FIS01.016</x:v>
      </x:c>
      <x:c r="B1750" s="57" t="str">
        <x:v>Revisar cierre y costura ±180°</x:v>
      </x:c>
      <x:c r="C1750" s="63" t="str">
        <x:v>R</x:v>
      </x:c>
      <x:c r="D1750" s="65" t="str">
        <x:f>IF('Detalle'!L851="","",'Detalle'!L851)</x:f>
      </x:c>
      <x:c r="E1750" s="60" t="str"/>
      <x:c r="F1750" s="32" t="str">
        <x:f>IF(OR('Detalle'!$J851="",'Detalle'!$K851="",'Detalle'!$L851=""),"",IF(AND(F$8&lt;='Detalle'!$K851,F$9&gt;='Detalle'!$J851),1,""))</x:f>
      </x:c>
      <x:c r="G1750" s="32" t="str">
        <x:f>IF(OR('Detalle'!$J851="",'Detalle'!$K851="",'Detalle'!$L851=""),"",IF(AND(G$8&lt;='Detalle'!$K851,G$9&gt;='Detalle'!$J851),1,""))</x:f>
      </x:c>
      <x:c r="H1750" s="32" t="str">
        <x:f>IF(OR('Detalle'!$J851="",'Detalle'!$K851="",'Detalle'!$L851=""),"",IF(AND(H$8&lt;='Detalle'!$K851,H$9&gt;='Detalle'!$J851),1,""))</x:f>
      </x:c>
      <x:c r="I1750" s="32" t="str">
        <x:f>IF(OR('Detalle'!$J851="",'Detalle'!$K851="",'Detalle'!$L851=""),"",IF(AND(I$8&lt;='Detalle'!$K851,I$9&gt;='Detalle'!$J851),1,""))</x:f>
      </x:c>
      <x:c r="J1750" s="32" t="str">
        <x:f>IF(OR('Detalle'!$J851="",'Detalle'!$K851="",'Detalle'!$L851=""),"",IF(AND(J$8&lt;='Detalle'!$K851,J$9&gt;='Detalle'!$J851),1,""))</x:f>
      </x:c>
      <x:c r="K1750" s="32" t="str">
        <x:f>IF(OR('Detalle'!$J851="",'Detalle'!$K851="",'Detalle'!$L851=""),"",IF(AND(K$8&lt;='Detalle'!$K851,K$9&gt;='Detalle'!$J851),1,""))</x:f>
      </x:c>
      <x:c r="L1750" s="32" t="str">
        <x:f>IF(OR('Detalle'!$J851="",'Detalle'!$K851="",'Detalle'!$L851=""),"",IF(AND(L$8&lt;='Detalle'!$K851,L$9&gt;='Detalle'!$J851),1,""))</x:f>
      </x:c>
      <x:c r="M1750" s="32" t="str">
        <x:f>IF(OR('Detalle'!$J851="",'Detalle'!$K851="",'Detalle'!$L851=""),"",IF(AND(M$8&lt;='Detalle'!$K851,M$9&gt;='Detalle'!$J851),1,""))</x:f>
      </x:c>
      <x:c r="N1750" s="32" t="str">
        <x:f>IF(OR('Detalle'!$J851="",'Detalle'!$K851="",'Detalle'!$L851=""),"",IF(AND(N$8&lt;='Detalle'!$K851,N$9&gt;='Detalle'!$J851),1,""))</x:f>
      </x:c>
      <x:c r="O1750" s="32" t="str">
        <x:f>IF(OR('Detalle'!$J851="",'Detalle'!$K851="",'Detalle'!$L851=""),"",IF(AND(O$8&lt;='Detalle'!$K851,O$9&gt;='Detalle'!$J851),1,""))</x:f>
      </x:c>
      <x:c r="P1750" s="32" t="str">
        <x:f>IF(OR('Detalle'!$J851="",'Detalle'!$K851="",'Detalle'!$L851=""),"",IF(AND(P$8&lt;='Detalle'!$K851,P$9&gt;='Detalle'!$J851),1,""))</x:f>
      </x:c>
      <x:c r="Q1750" s="68"/>
      <x:c r="R1750" s="67" t="str"/>
      <x:c r="S1750" s="67" t="str"/>
    </x:row>
    <x:row r="1751" ht="16" customHeight="1">
      <x:c r="A1751" s="56" t="str">
        <x:v>FIS01.017</x:v>
      </x:c>
      <x:c r="B1751" s="57" t="str">
        <x:v>Revisar techo, piso y huecos</x:v>
      </x:c>
      <x:c r="C1751" s="62" t="str">
        <x:v>E</x:v>
      </x:c>
      <x:c r="D1751" s="64" t="n">
        <x:f>'Detalle'!I852</x:f>
        <x:v>1</x:v>
      </x:c>
      <x:c r="E1751" s="60" t="str">
        <x:f>'Detalle'!F852</x:f>
        <x:v>Pendiente</x:v>
      </x:c>
      <x:c r="F1751" s="32" t="str">
        <x:f>IF(AND(F$8&lt;='Detalle'!$H852,F$9&gt;='Detalle'!$G852),1,"")</x:f>
      </x:c>
      <x:c r="G1751" s="32" t="str">
        <x:f>IF(AND(G$8&lt;='Detalle'!$H852,G$9&gt;='Detalle'!$G852),1,"")</x:f>
      </x:c>
      <x:c r="H1751" s="32" t="str">
        <x:f>IF(AND(H$8&lt;='Detalle'!$H852,H$9&gt;='Detalle'!$G852),1,"")</x:f>
      </x:c>
      <x:c r="I1751" s="32" t="str">
        <x:f>IF(AND(I$8&lt;='Detalle'!$H852,I$9&gt;='Detalle'!$G852),1,"")</x:f>
      </x:c>
      <x:c r="J1751" s="32" t="str">
        <x:f>IF(AND(J$8&lt;='Detalle'!$H852,J$9&gt;='Detalle'!$G852),1,"")</x:f>
      </x:c>
      <x:c r="K1751" s="32" t="n">
        <x:f>IF(AND(K$8&lt;='Detalle'!$H852,K$9&gt;='Detalle'!$G852),1,"")</x:f>
        <x:v>1</x:v>
      </x:c>
      <x:c r="L1751" s="32" t="str">
        <x:f>IF(AND(L$8&lt;='Detalle'!$H852,L$9&gt;='Detalle'!$G852),1,"")</x:f>
      </x:c>
      <x:c r="M1751" s="32" t="str">
        <x:f>IF(AND(M$8&lt;='Detalle'!$H852,M$9&gt;='Detalle'!$G852),1,"")</x:f>
      </x:c>
      <x:c r="N1751" s="32" t="str">
        <x:f>IF(AND(N$8&lt;='Detalle'!$H852,N$9&gt;='Detalle'!$G852),1,"")</x:f>
      </x:c>
      <x:c r="O1751" s="32" t="str">
        <x:f>IF(AND(O$8&lt;='Detalle'!$H852,O$9&gt;='Detalle'!$G852),1,"")</x:f>
      </x:c>
      <x:c r="P1751" s="32" t="str">
        <x:f>IF(AND(P$8&lt;='Detalle'!$H852,P$9&gt;='Detalle'!$G852),1,"")</x:f>
      </x:c>
      <x:c r="Q1751" s="68"/>
      <x:c r="R1751" s="67" t="str">
        <x:f>IF('Detalle'!M852="","",'Detalle'!M852)</x:f>
      </x:c>
      <x:c r="S1751" s="67" t="str">
        <x:f>IF('Detalle'!N852="","",'Detalle'!N852)</x:f>
      </x:c>
    </x:row>
    <x:row r="1752" ht="16" customHeight="1">
      <x:c r="A1752" s="56" t="str">
        <x:v>FIS01.017</x:v>
      </x:c>
      <x:c r="B1752" s="57" t="str">
        <x:v>Revisar techo, piso y huecos</x:v>
      </x:c>
      <x:c r="C1752" s="63" t="str">
        <x:v>R</x:v>
      </x:c>
      <x:c r="D1752" s="65" t="str">
        <x:f>IF('Detalle'!L852="","",'Detalle'!L852)</x:f>
      </x:c>
      <x:c r="E1752" s="60" t="str"/>
      <x:c r="F1752" s="32" t="str">
        <x:f>IF(OR('Detalle'!$J852="",'Detalle'!$K852="",'Detalle'!$L852=""),"",IF(AND(F$8&lt;='Detalle'!$K852,F$9&gt;='Detalle'!$J852),1,""))</x:f>
      </x:c>
      <x:c r="G1752" s="32" t="str">
        <x:f>IF(OR('Detalle'!$J852="",'Detalle'!$K852="",'Detalle'!$L852=""),"",IF(AND(G$8&lt;='Detalle'!$K852,G$9&gt;='Detalle'!$J852),1,""))</x:f>
      </x:c>
      <x:c r="H1752" s="32" t="str">
        <x:f>IF(OR('Detalle'!$J852="",'Detalle'!$K852="",'Detalle'!$L852=""),"",IF(AND(H$8&lt;='Detalle'!$K852,H$9&gt;='Detalle'!$J852),1,""))</x:f>
      </x:c>
      <x:c r="I1752" s="32" t="str">
        <x:f>IF(OR('Detalle'!$J852="",'Detalle'!$K852="",'Detalle'!$L852=""),"",IF(AND(I$8&lt;='Detalle'!$K852,I$9&gt;='Detalle'!$J852),1,""))</x:f>
      </x:c>
      <x:c r="J1752" s="32" t="str">
        <x:f>IF(OR('Detalle'!$J852="",'Detalle'!$K852="",'Detalle'!$L852=""),"",IF(AND(J$8&lt;='Detalle'!$K852,J$9&gt;='Detalle'!$J852),1,""))</x:f>
      </x:c>
      <x:c r="K1752" s="32" t="str">
        <x:f>IF(OR('Detalle'!$J852="",'Detalle'!$K852="",'Detalle'!$L852=""),"",IF(AND(K$8&lt;='Detalle'!$K852,K$9&gt;='Detalle'!$J852),1,""))</x:f>
      </x:c>
      <x:c r="L1752" s="32" t="str">
        <x:f>IF(OR('Detalle'!$J852="",'Detalle'!$K852="",'Detalle'!$L852=""),"",IF(AND(L$8&lt;='Detalle'!$K852,L$9&gt;='Detalle'!$J852),1,""))</x:f>
      </x:c>
      <x:c r="M1752" s="32" t="str">
        <x:f>IF(OR('Detalle'!$J852="",'Detalle'!$K852="",'Detalle'!$L852=""),"",IF(AND(M$8&lt;='Detalle'!$K852,M$9&gt;='Detalle'!$J852),1,""))</x:f>
      </x:c>
      <x:c r="N1752" s="32" t="str">
        <x:f>IF(OR('Detalle'!$J852="",'Detalle'!$K852="",'Detalle'!$L852=""),"",IF(AND(N$8&lt;='Detalle'!$K852,N$9&gt;='Detalle'!$J852),1,""))</x:f>
      </x:c>
      <x:c r="O1752" s="32" t="str">
        <x:f>IF(OR('Detalle'!$J852="",'Detalle'!$K852="",'Detalle'!$L852=""),"",IF(AND(O$8&lt;='Detalle'!$K852,O$9&gt;='Detalle'!$J852),1,""))</x:f>
      </x:c>
      <x:c r="P1752" s="32" t="str">
        <x:f>IF(OR('Detalle'!$J852="",'Detalle'!$K852="",'Detalle'!$L852=""),"",IF(AND(P$8&lt;='Detalle'!$K852,P$9&gt;='Detalle'!$J852),1,""))</x:f>
      </x:c>
      <x:c r="Q1752" s="68"/>
      <x:c r="R1752" s="67" t="str"/>
      <x:c r="S1752" s="67" t="str"/>
    </x:row>
    <x:row r="1753" ht="16" customHeight="1">
      <x:c r="A1753" s="56" t="str">
        <x:v>FIS01.018</x:v>
      </x:c>
      <x:c r="B1753" s="57" t="str">
        <x:v>Medir tiempo y memoria con fotos reales</x:v>
      </x:c>
      <x:c r="C1753" s="62" t="str">
        <x:v>E</x:v>
      </x:c>
      <x:c r="D1753" s="64" t="n">
        <x:f>'Detalle'!I853</x:f>
        <x:v>1</x:v>
      </x:c>
      <x:c r="E1753" s="60" t="str">
        <x:f>'Detalle'!F853</x:f>
        <x:v>Pendiente</x:v>
      </x:c>
      <x:c r="F1753" s="32" t="str">
        <x:f>IF(AND(F$8&lt;='Detalle'!$H853,F$9&gt;='Detalle'!$G853),1,"")</x:f>
      </x:c>
      <x:c r="G1753" s="32" t="str">
        <x:f>IF(AND(G$8&lt;='Detalle'!$H853,G$9&gt;='Detalle'!$G853),1,"")</x:f>
      </x:c>
      <x:c r="H1753" s="32" t="str">
        <x:f>IF(AND(H$8&lt;='Detalle'!$H853,H$9&gt;='Detalle'!$G853),1,"")</x:f>
      </x:c>
      <x:c r="I1753" s="32" t="str">
        <x:f>IF(AND(I$8&lt;='Detalle'!$H853,I$9&gt;='Detalle'!$G853),1,"")</x:f>
      </x:c>
      <x:c r="J1753" s="32" t="str">
        <x:f>IF(AND(J$8&lt;='Detalle'!$H853,J$9&gt;='Detalle'!$G853),1,"")</x:f>
      </x:c>
      <x:c r="K1753" s="32" t="n">
        <x:f>IF(AND(K$8&lt;='Detalle'!$H853,K$9&gt;='Detalle'!$G853),1,"")</x:f>
        <x:v>1</x:v>
      </x:c>
      <x:c r="L1753" s="32" t="str">
        <x:f>IF(AND(L$8&lt;='Detalle'!$H853,L$9&gt;='Detalle'!$G853),1,"")</x:f>
      </x:c>
      <x:c r="M1753" s="32" t="str">
        <x:f>IF(AND(M$8&lt;='Detalle'!$H853,M$9&gt;='Detalle'!$G853),1,"")</x:f>
      </x:c>
      <x:c r="N1753" s="32" t="str">
        <x:f>IF(AND(N$8&lt;='Detalle'!$H853,N$9&gt;='Detalle'!$G853),1,"")</x:f>
      </x:c>
      <x:c r="O1753" s="32" t="str">
        <x:f>IF(AND(O$8&lt;='Detalle'!$H853,O$9&gt;='Detalle'!$G853),1,"")</x:f>
      </x:c>
      <x:c r="P1753" s="32" t="str">
        <x:f>IF(AND(P$8&lt;='Detalle'!$H853,P$9&gt;='Detalle'!$G853),1,"")</x:f>
      </x:c>
      <x:c r="Q1753" s="68"/>
      <x:c r="R1753" s="67" t="str">
        <x:f>IF('Detalle'!M853="","",'Detalle'!M853)</x:f>
      </x:c>
      <x:c r="S1753" s="67" t="str">
        <x:f>IF('Detalle'!N853="","",'Detalle'!N853)</x:f>
      </x:c>
    </x:row>
    <x:row r="1754" ht="16" customHeight="1">
      <x:c r="A1754" s="56" t="str">
        <x:v>FIS01.018</x:v>
      </x:c>
      <x:c r="B1754" s="57" t="str">
        <x:v>Medir tiempo y memoria con fotos reales</x:v>
      </x:c>
      <x:c r="C1754" s="63" t="str">
        <x:v>R</x:v>
      </x:c>
      <x:c r="D1754" s="65" t="str">
        <x:f>IF('Detalle'!L853="","",'Detalle'!L853)</x:f>
      </x:c>
      <x:c r="E1754" s="60" t="str"/>
      <x:c r="F1754" s="32" t="str">
        <x:f>IF(OR('Detalle'!$J853="",'Detalle'!$K853="",'Detalle'!$L853=""),"",IF(AND(F$8&lt;='Detalle'!$K853,F$9&gt;='Detalle'!$J853),1,""))</x:f>
      </x:c>
      <x:c r="G1754" s="32" t="str">
        <x:f>IF(OR('Detalle'!$J853="",'Detalle'!$K853="",'Detalle'!$L853=""),"",IF(AND(G$8&lt;='Detalle'!$K853,G$9&gt;='Detalle'!$J853),1,""))</x:f>
      </x:c>
      <x:c r="H1754" s="32" t="str">
        <x:f>IF(OR('Detalle'!$J853="",'Detalle'!$K853="",'Detalle'!$L853=""),"",IF(AND(H$8&lt;='Detalle'!$K853,H$9&gt;='Detalle'!$J853),1,""))</x:f>
      </x:c>
      <x:c r="I1754" s="32" t="str">
        <x:f>IF(OR('Detalle'!$J853="",'Detalle'!$K853="",'Detalle'!$L853=""),"",IF(AND(I$8&lt;='Detalle'!$K853,I$9&gt;='Detalle'!$J853),1,""))</x:f>
      </x:c>
      <x:c r="J1754" s="32" t="str">
        <x:f>IF(OR('Detalle'!$J853="",'Detalle'!$K853="",'Detalle'!$L853=""),"",IF(AND(J$8&lt;='Detalle'!$K853,J$9&gt;='Detalle'!$J853),1,""))</x:f>
      </x:c>
      <x:c r="K1754" s="32" t="str">
        <x:f>IF(OR('Detalle'!$J853="",'Detalle'!$K853="",'Detalle'!$L853=""),"",IF(AND(K$8&lt;='Detalle'!$K853,K$9&gt;='Detalle'!$J853),1,""))</x:f>
      </x:c>
      <x:c r="L1754" s="32" t="str">
        <x:f>IF(OR('Detalle'!$J853="",'Detalle'!$K853="",'Detalle'!$L853=""),"",IF(AND(L$8&lt;='Detalle'!$K853,L$9&gt;='Detalle'!$J853),1,""))</x:f>
      </x:c>
      <x:c r="M1754" s="32" t="str">
        <x:f>IF(OR('Detalle'!$J853="",'Detalle'!$K853="",'Detalle'!$L853=""),"",IF(AND(M$8&lt;='Detalle'!$K853,M$9&gt;='Detalle'!$J853),1,""))</x:f>
      </x:c>
      <x:c r="N1754" s="32" t="str">
        <x:f>IF(OR('Detalle'!$J853="",'Detalle'!$K853="",'Detalle'!$L853=""),"",IF(AND(N$8&lt;='Detalle'!$K853,N$9&gt;='Detalle'!$J853),1,""))</x:f>
      </x:c>
      <x:c r="O1754" s="32" t="str">
        <x:f>IF(OR('Detalle'!$J853="",'Detalle'!$K853="",'Detalle'!$L853=""),"",IF(AND(O$8&lt;='Detalle'!$K853,O$9&gt;='Detalle'!$J853),1,""))</x:f>
      </x:c>
      <x:c r="P1754" s="32" t="str">
        <x:f>IF(OR('Detalle'!$J853="",'Detalle'!$K853="",'Detalle'!$L853=""),"",IF(AND(P$8&lt;='Detalle'!$K853,P$9&gt;='Detalle'!$J853),1,""))</x:f>
      </x:c>
      <x:c r="Q1754" s="68"/>
      <x:c r="R1754" s="67" t="str"/>
      <x:c r="S1754" s="67" t="str"/>
    </x:row>
    <x:row r="1755" ht="16" customHeight="1">
      <x:c r="A1755" s="56" t="str">
        <x:v>FIS01.019</x:v>
      </x:c>
      <x:c r="B1755" s="57" t="str">
        <x:v>Registrar recapturas necesarias</x:v>
      </x:c>
      <x:c r="C1755" s="62" t="str">
        <x:v>E</x:v>
      </x:c>
      <x:c r="D1755" s="64" t="n">
        <x:f>'Detalle'!I854</x:f>
        <x:v>1</x:v>
      </x:c>
      <x:c r="E1755" s="60" t="str">
        <x:f>'Detalle'!F854</x:f>
        <x:v>Pendiente</x:v>
      </x:c>
      <x:c r="F1755" s="32" t="str">
        <x:f>IF(AND(F$8&lt;='Detalle'!$H854,F$9&gt;='Detalle'!$G854),1,"")</x:f>
      </x:c>
      <x:c r="G1755" s="32" t="str">
        <x:f>IF(AND(G$8&lt;='Detalle'!$H854,G$9&gt;='Detalle'!$G854),1,"")</x:f>
      </x:c>
      <x:c r="H1755" s="32" t="str">
        <x:f>IF(AND(H$8&lt;='Detalle'!$H854,H$9&gt;='Detalle'!$G854),1,"")</x:f>
      </x:c>
      <x:c r="I1755" s="32" t="str">
        <x:f>IF(AND(I$8&lt;='Detalle'!$H854,I$9&gt;='Detalle'!$G854),1,"")</x:f>
      </x:c>
      <x:c r="J1755" s="32" t="str">
        <x:f>IF(AND(J$8&lt;='Detalle'!$H854,J$9&gt;='Detalle'!$G854),1,"")</x:f>
      </x:c>
      <x:c r="K1755" s="32" t="n">
        <x:f>IF(AND(K$8&lt;='Detalle'!$H854,K$9&gt;='Detalle'!$G854),1,"")</x:f>
        <x:v>1</x:v>
      </x:c>
      <x:c r="L1755" s="32" t="str">
        <x:f>IF(AND(L$8&lt;='Detalle'!$H854,L$9&gt;='Detalle'!$G854),1,"")</x:f>
      </x:c>
      <x:c r="M1755" s="32" t="str">
        <x:f>IF(AND(M$8&lt;='Detalle'!$H854,M$9&gt;='Detalle'!$G854),1,"")</x:f>
      </x:c>
      <x:c r="N1755" s="32" t="str">
        <x:f>IF(AND(N$8&lt;='Detalle'!$H854,N$9&gt;='Detalle'!$G854),1,"")</x:f>
      </x:c>
      <x:c r="O1755" s="32" t="str">
        <x:f>IF(AND(O$8&lt;='Detalle'!$H854,O$9&gt;='Detalle'!$G854),1,"")</x:f>
      </x:c>
      <x:c r="P1755" s="32" t="str">
        <x:f>IF(AND(P$8&lt;='Detalle'!$H854,P$9&gt;='Detalle'!$G854),1,"")</x:f>
      </x:c>
      <x:c r="Q1755" s="68"/>
      <x:c r="R1755" s="67" t="str">
        <x:f>IF('Detalle'!M854="","",'Detalle'!M854)</x:f>
      </x:c>
      <x:c r="S1755" s="67" t="str">
        <x:f>IF('Detalle'!N854="","",'Detalle'!N854)</x:f>
      </x:c>
    </x:row>
    <x:row r="1756" ht="16" customHeight="1">
      <x:c r="A1756" s="56" t="str">
        <x:v>FIS01.019</x:v>
      </x:c>
      <x:c r="B1756" s="57" t="str">
        <x:v>Registrar recapturas necesarias</x:v>
      </x:c>
      <x:c r="C1756" s="63" t="str">
        <x:v>R</x:v>
      </x:c>
      <x:c r="D1756" s="65" t="str">
        <x:f>IF('Detalle'!L854="","",'Detalle'!L854)</x:f>
      </x:c>
      <x:c r="E1756" s="60" t="str"/>
      <x:c r="F1756" s="32" t="str">
        <x:f>IF(OR('Detalle'!$J854="",'Detalle'!$K854="",'Detalle'!$L854=""),"",IF(AND(F$8&lt;='Detalle'!$K854,F$9&gt;='Detalle'!$J854),1,""))</x:f>
      </x:c>
      <x:c r="G1756" s="32" t="str">
        <x:f>IF(OR('Detalle'!$J854="",'Detalle'!$K854="",'Detalle'!$L854=""),"",IF(AND(G$8&lt;='Detalle'!$K854,G$9&gt;='Detalle'!$J854),1,""))</x:f>
      </x:c>
      <x:c r="H1756" s="32" t="str">
        <x:f>IF(OR('Detalle'!$J854="",'Detalle'!$K854="",'Detalle'!$L854=""),"",IF(AND(H$8&lt;='Detalle'!$K854,H$9&gt;='Detalle'!$J854),1,""))</x:f>
      </x:c>
      <x:c r="I1756" s="32" t="str">
        <x:f>IF(OR('Detalle'!$J854="",'Detalle'!$K854="",'Detalle'!$L854=""),"",IF(AND(I$8&lt;='Detalle'!$K854,I$9&gt;='Detalle'!$J854),1,""))</x:f>
      </x:c>
      <x:c r="J1756" s="32" t="str">
        <x:f>IF(OR('Detalle'!$J854="",'Detalle'!$K854="",'Detalle'!$L854=""),"",IF(AND(J$8&lt;='Detalle'!$K854,J$9&gt;='Detalle'!$J854),1,""))</x:f>
      </x:c>
      <x:c r="K1756" s="32" t="str">
        <x:f>IF(OR('Detalle'!$J854="",'Detalle'!$K854="",'Detalle'!$L854=""),"",IF(AND(K$8&lt;='Detalle'!$K854,K$9&gt;='Detalle'!$J854),1,""))</x:f>
      </x:c>
      <x:c r="L1756" s="32" t="str">
        <x:f>IF(OR('Detalle'!$J854="",'Detalle'!$K854="",'Detalle'!$L854=""),"",IF(AND(L$8&lt;='Detalle'!$K854,L$9&gt;='Detalle'!$J854),1,""))</x:f>
      </x:c>
      <x:c r="M1756" s="32" t="str">
        <x:f>IF(OR('Detalle'!$J854="",'Detalle'!$K854="",'Detalle'!$L854=""),"",IF(AND(M$8&lt;='Detalle'!$K854,M$9&gt;='Detalle'!$J854),1,""))</x:f>
      </x:c>
      <x:c r="N1756" s="32" t="str">
        <x:f>IF(OR('Detalle'!$J854="",'Detalle'!$K854="",'Detalle'!$L854=""),"",IF(AND(N$8&lt;='Detalle'!$K854,N$9&gt;='Detalle'!$J854),1,""))</x:f>
      </x:c>
      <x:c r="O1756" s="32" t="str">
        <x:f>IF(OR('Detalle'!$J854="",'Detalle'!$K854="",'Detalle'!$L854=""),"",IF(AND(O$8&lt;='Detalle'!$K854,O$9&gt;='Detalle'!$J854),1,""))</x:f>
      </x:c>
      <x:c r="P1756" s="32" t="str">
        <x:f>IF(OR('Detalle'!$J854="",'Detalle'!$K854="",'Detalle'!$L854=""),"",IF(AND(P$8&lt;='Detalle'!$K854,P$9&gt;='Detalle'!$J854),1,""))</x:f>
      </x:c>
      <x:c r="Q1756" s="68"/>
      <x:c r="R1756" s="67" t="str"/>
      <x:c r="S1756" s="67" t="str"/>
    </x:row>
    <x:row r="1757" ht="20" customHeight="1">
      <x:c r="A1757" s="52" t="str">
        <x:v>FIS02 · Aceptación física de reconocimiento AR</x:v>
      </x:c>
      <x:c r="B1757" s="52" t="str">
        <x:v>FIS02 · Aceptación física de reconocimiento AR</x:v>
      </x:c>
      <x:c r="C1757" s="52" t="str">
        <x:v>FIS02 · Aceptación física de reconocimiento AR</x:v>
      </x:c>
      <x:c r="D1757" s="52" t="str">
        <x:v>FIS02 · Aceptación física de reconocimiento AR</x:v>
      </x:c>
      <x:c r="E1757" s="52" t="str">
        <x:v>FIS02 · Aceptación física de reconocimiento AR</x:v>
      </x:c>
      <x:c r="F1757" s="53" t="str">
        <x:v>FIS02 · Aceptación física de reconocimiento AR</x:v>
      </x:c>
      <x:c r="G1757" s="53" t="str">
        <x:v>FIS02 · Aceptación física de reconocimiento AR</x:v>
      </x:c>
      <x:c r="H1757" s="53" t="str">
        <x:v>FIS02 · Aceptación física de reconocimiento AR</x:v>
      </x:c>
      <x:c r="I1757" s="53" t="str">
        <x:v>FIS02 · Aceptación física de reconocimiento AR</x:v>
      </x:c>
      <x:c r="J1757" s="53" t="str">
        <x:v>FIS02 · Aceptación física de reconocimiento AR</x:v>
      </x:c>
      <x:c r="K1757" s="53" t="str">
        <x:v>FIS02 · Aceptación física de reconocimiento AR</x:v>
      </x:c>
      <x:c r="L1757" s="53" t="str">
        <x:v>FIS02 · Aceptación física de reconocimiento AR</x:v>
      </x:c>
      <x:c r="M1757" s="53" t="str">
        <x:v>FIS02 · Aceptación física de reconocimiento AR</x:v>
      </x:c>
      <x:c r="N1757" s="53" t="str">
        <x:v>FIS02 · Aceptación física de reconocimiento AR</x:v>
      </x:c>
      <x:c r="O1757" s="53" t="str">
        <x:v>FIS02 · Aceptación física de reconocimiento AR</x:v>
      </x:c>
      <x:c r="P1757" s="53" t="str">
        <x:v>FIS02 · Aceptación física de reconocimiento AR</x:v>
      </x:c>
      <x:c r="Q1757" s="52" t="str">
        <x:v>FIS02 · Aceptación física de reconocimiento AR</x:v>
      </x:c>
      <x:c r="R1757" s="52" t="str">
        <x:v>FIS02 · Aceptación física de reconocimiento AR</x:v>
      </x:c>
      <x:c r="S1757" s="52" t="str">
        <x:v>FIS02 · Aceptación física de reconocimiento AR</x:v>
      </x:c>
    </x:row>
    <x:row r="1758" ht="16" customHeight="1">
      <x:c r="A1758" s="56" t="str">
        <x:v>FIS02.001</x:v>
      </x:c>
      <x:c r="B1758" s="57" t="str">
        <x:v>Medir activador físico del local</x:v>
      </x:c>
      <x:c r="C1758" s="62" t="str">
        <x:v>E</x:v>
      </x:c>
      <x:c r="D1758" s="64" t="n">
        <x:f>'Detalle'!I855</x:f>
        <x:v>2</x:v>
      </x:c>
      <x:c r="E1758" s="60" t="str">
        <x:f>'Detalle'!F855</x:f>
        <x:v>Pendiente</x:v>
      </x:c>
      <x:c r="F1758" s="32" t="str">
        <x:f>IF(AND(F$8&lt;='Detalle'!$H855,F$9&gt;='Detalle'!$G855),1,"")</x:f>
      </x:c>
      <x:c r="G1758" s="32" t="str">
        <x:f>IF(AND(G$8&lt;='Detalle'!$H855,G$9&gt;='Detalle'!$G855),1,"")</x:f>
      </x:c>
      <x:c r="H1758" s="32" t="str">
        <x:f>IF(AND(H$8&lt;='Detalle'!$H855,H$9&gt;='Detalle'!$G855),1,"")</x:f>
      </x:c>
      <x:c r="I1758" s="32" t="str">
        <x:f>IF(AND(I$8&lt;='Detalle'!$H855,I$9&gt;='Detalle'!$G855),1,"")</x:f>
      </x:c>
      <x:c r="J1758" s="32" t="str">
        <x:f>IF(AND(J$8&lt;='Detalle'!$H855,J$9&gt;='Detalle'!$G855),1,"")</x:f>
      </x:c>
      <x:c r="K1758" s="32" t="n">
        <x:f>IF(AND(K$8&lt;='Detalle'!$H855,K$9&gt;='Detalle'!$G855),1,"")</x:f>
        <x:v>1</x:v>
      </x:c>
      <x:c r="L1758" s="32" t="n">
        <x:f>IF(AND(L$8&lt;='Detalle'!$H855,L$9&gt;='Detalle'!$G855),1,"")</x:f>
        <x:v>1</x:v>
      </x:c>
      <x:c r="M1758" s="32" t="str">
        <x:f>IF(AND(M$8&lt;='Detalle'!$H855,M$9&gt;='Detalle'!$G855),1,"")</x:f>
      </x:c>
      <x:c r="N1758" s="32" t="str">
        <x:f>IF(AND(N$8&lt;='Detalle'!$H855,N$9&gt;='Detalle'!$G855),1,"")</x:f>
      </x:c>
      <x:c r="O1758" s="32" t="str">
        <x:f>IF(AND(O$8&lt;='Detalle'!$H855,O$9&gt;='Detalle'!$G855),1,"")</x:f>
      </x:c>
      <x:c r="P1758" s="32" t="str">
        <x:f>IF(AND(P$8&lt;='Detalle'!$H855,P$9&gt;='Detalle'!$G855),1,"")</x:f>
      </x:c>
      <x:c r="Q1758" s="68"/>
      <x:c r="R1758" s="67" t="str">
        <x:f>IF('Detalle'!M855="","",'Detalle'!M855)</x:f>
      </x:c>
      <x:c r="S1758" s="67" t="str">
        <x:f>IF('Detalle'!N855="","",'Detalle'!N855)</x:f>
      </x:c>
    </x:row>
    <x:row r="1759" ht="16" customHeight="1">
      <x:c r="A1759" s="56" t="str">
        <x:v>FIS02.001</x:v>
      </x:c>
      <x:c r="B1759" s="57" t="str">
        <x:v>Medir activador físico del local</x:v>
      </x:c>
      <x:c r="C1759" s="63" t="str">
        <x:v>R</x:v>
      </x:c>
      <x:c r="D1759" s="65" t="str">
        <x:f>IF('Detalle'!L855="","",'Detalle'!L855)</x:f>
      </x:c>
      <x:c r="E1759" s="60" t="str"/>
      <x:c r="F1759" s="32" t="str">
        <x:f>IF(OR('Detalle'!$J855="",'Detalle'!$K855="",'Detalle'!$L855=""),"",IF(AND(F$8&lt;='Detalle'!$K855,F$9&gt;='Detalle'!$J855),1,""))</x:f>
      </x:c>
      <x:c r="G1759" s="32" t="str">
        <x:f>IF(OR('Detalle'!$J855="",'Detalle'!$K855="",'Detalle'!$L855=""),"",IF(AND(G$8&lt;='Detalle'!$K855,G$9&gt;='Detalle'!$J855),1,""))</x:f>
      </x:c>
      <x:c r="H1759" s="32" t="str">
        <x:f>IF(OR('Detalle'!$J855="",'Detalle'!$K855="",'Detalle'!$L855=""),"",IF(AND(H$8&lt;='Detalle'!$K855,H$9&gt;='Detalle'!$J855),1,""))</x:f>
      </x:c>
      <x:c r="I1759" s="32" t="str">
        <x:f>IF(OR('Detalle'!$J855="",'Detalle'!$K855="",'Detalle'!$L855=""),"",IF(AND(I$8&lt;='Detalle'!$K855,I$9&gt;='Detalle'!$J855),1,""))</x:f>
      </x:c>
      <x:c r="J1759" s="32" t="str">
        <x:f>IF(OR('Detalle'!$J855="",'Detalle'!$K855="",'Detalle'!$L855=""),"",IF(AND(J$8&lt;='Detalle'!$K855,J$9&gt;='Detalle'!$J855),1,""))</x:f>
      </x:c>
      <x:c r="K1759" s="32" t="str">
        <x:f>IF(OR('Detalle'!$J855="",'Detalle'!$K855="",'Detalle'!$L855=""),"",IF(AND(K$8&lt;='Detalle'!$K855,K$9&gt;='Detalle'!$J855),1,""))</x:f>
      </x:c>
      <x:c r="L1759" s="32" t="str">
        <x:f>IF(OR('Detalle'!$J855="",'Detalle'!$K855="",'Detalle'!$L855=""),"",IF(AND(L$8&lt;='Detalle'!$K855,L$9&gt;='Detalle'!$J855),1,""))</x:f>
      </x:c>
      <x:c r="M1759" s="32" t="str">
        <x:f>IF(OR('Detalle'!$J855="",'Detalle'!$K855="",'Detalle'!$L855=""),"",IF(AND(M$8&lt;='Detalle'!$K855,M$9&gt;='Detalle'!$J855),1,""))</x:f>
      </x:c>
      <x:c r="N1759" s="32" t="str">
        <x:f>IF(OR('Detalle'!$J855="",'Detalle'!$K855="",'Detalle'!$L855=""),"",IF(AND(N$8&lt;='Detalle'!$K855,N$9&gt;='Detalle'!$J855),1,""))</x:f>
      </x:c>
      <x:c r="O1759" s="32" t="str">
        <x:f>IF(OR('Detalle'!$J855="",'Detalle'!$K855="",'Detalle'!$L855=""),"",IF(AND(O$8&lt;='Detalle'!$K855,O$9&gt;='Detalle'!$J855),1,""))</x:f>
      </x:c>
      <x:c r="P1759" s="32" t="str">
        <x:f>IF(OR('Detalle'!$J855="",'Detalle'!$K855="",'Detalle'!$L855=""),"",IF(AND(P$8&lt;='Detalle'!$K855,P$9&gt;='Detalle'!$J855),1,""))</x:f>
      </x:c>
      <x:c r="Q1759" s="68"/>
      <x:c r="R1759" s="67" t="str"/>
      <x:c r="S1759" s="67" t="str"/>
    </x:row>
    <x:row r="1760" ht="16" customHeight="1">
      <x:c r="A1760" s="56" t="str">
        <x:v>FIS02.002</x:v>
      </x:c>
      <x:c r="B1760" s="57" t="str">
        <x:v>Probar reconocimiento ARCore en Android</x:v>
      </x:c>
      <x:c r="C1760" s="62" t="str">
        <x:v>E</x:v>
      </x:c>
      <x:c r="D1760" s="64" t="n">
        <x:f>'Detalle'!I856</x:f>
        <x:v>2</x:v>
      </x:c>
      <x:c r="E1760" s="60" t="str">
        <x:f>'Detalle'!F856</x:f>
        <x:v>Pendiente</x:v>
      </x:c>
      <x:c r="F1760" s="32" t="str">
        <x:f>IF(AND(F$8&lt;='Detalle'!$H856,F$9&gt;='Detalle'!$G856),1,"")</x:f>
      </x:c>
      <x:c r="G1760" s="32" t="str">
        <x:f>IF(AND(G$8&lt;='Detalle'!$H856,G$9&gt;='Detalle'!$G856),1,"")</x:f>
      </x:c>
      <x:c r="H1760" s="32" t="str">
        <x:f>IF(AND(H$8&lt;='Detalle'!$H856,H$9&gt;='Detalle'!$G856),1,"")</x:f>
      </x:c>
      <x:c r="I1760" s="32" t="str">
        <x:f>IF(AND(I$8&lt;='Detalle'!$H856,I$9&gt;='Detalle'!$G856),1,"")</x:f>
      </x:c>
      <x:c r="J1760" s="32" t="str">
        <x:f>IF(AND(J$8&lt;='Detalle'!$H856,J$9&gt;='Detalle'!$G856),1,"")</x:f>
      </x:c>
      <x:c r="K1760" s="32" t="n">
        <x:f>IF(AND(K$8&lt;='Detalle'!$H856,K$9&gt;='Detalle'!$G856),1,"")</x:f>
        <x:v>1</x:v>
      </x:c>
      <x:c r="L1760" s="32" t="n">
        <x:f>IF(AND(L$8&lt;='Detalle'!$H856,L$9&gt;='Detalle'!$G856),1,"")</x:f>
        <x:v>1</x:v>
      </x:c>
      <x:c r="M1760" s="32" t="str">
        <x:f>IF(AND(M$8&lt;='Detalle'!$H856,M$9&gt;='Detalle'!$G856),1,"")</x:f>
      </x:c>
      <x:c r="N1760" s="32" t="str">
        <x:f>IF(AND(N$8&lt;='Detalle'!$H856,N$9&gt;='Detalle'!$G856),1,"")</x:f>
      </x:c>
      <x:c r="O1760" s="32" t="str">
        <x:f>IF(AND(O$8&lt;='Detalle'!$H856,O$9&gt;='Detalle'!$G856),1,"")</x:f>
      </x:c>
      <x:c r="P1760" s="32" t="str">
        <x:f>IF(AND(P$8&lt;='Detalle'!$H856,P$9&gt;='Detalle'!$G856),1,"")</x:f>
      </x:c>
      <x:c r="Q1760" s="68"/>
      <x:c r="R1760" s="67" t="str">
        <x:f>IF('Detalle'!M856="","",'Detalle'!M856)</x:f>
      </x:c>
      <x:c r="S1760" s="67" t="str">
        <x:f>IF('Detalle'!N856="","",'Detalle'!N856)</x:f>
      </x:c>
    </x:row>
    <x:row r="1761" ht="16" customHeight="1">
      <x:c r="A1761" s="56" t="str">
        <x:v>FIS02.002</x:v>
      </x:c>
      <x:c r="B1761" s="57" t="str">
        <x:v>Probar reconocimiento ARCore en Android</x:v>
      </x:c>
      <x:c r="C1761" s="63" t="str">
        <x:v>R</x:v>
      </x:c>
      <x:c r="D1761" s="65" t="str">
        <x:f>IF('Detalle'!L856="","",'Detalle'!L856)</x:f>
      </x:c>
      <x:c r="E1761" s="60" t="str"/>
      <x:c r="F1761" s="32" t="str">
        <x:f>IF(OR('Detalle'!$J856="",'Detalle'!$K856="",'Detalle'!$L856=""),"",IF(AND(F$8&lt;='Detalle'!$K856,F$9&gt;='Detalle'!$J856),1,""))</x:f>
      </x:c>
      <x:c r="G1761" s="32" t="str">
        <x:f>IF(OR('Detalle'!$J856="",'Detalle'!$K856="",'Detalle'!$L856=""),"",IF(AND(G$8&lt;='Detalle'!$K856,G$9&gt;='Detalle'!$J856),1,""))</x:f>
      </x:c>
      <x:c r="H1761" s="32" t="str">
        <x:f>IF(OR('Detalle'!$J856="",'Detalle'!$K856="",'Detalle'!$L856=""),"",IF(AND(H$8&lt;='Detalle'!$K856,H$9&gt;='Detalle'!$J856),1,""))</x:f>
      </x:c>
      <x:c r="I1761" s="32" t="str">
        <x:f>IF(OR('Detalle'!$J856="",'Detalle'!$K856="",'Detalle'!$L856=""),"",IF(AND(I$8&lt;='Detalle'!$K856,I$9&gt;='Detalle'!$J856),1,""))</x:f>
      </x:c>
      <x:c r="J1761" s="32" t="str">
        <x:f>IF(OR('Detalle'!$J856="",'Detalle'!$K856="",'Detalle'!$L856=""),"",IF(AND(J$8&lt;='Detalle'!$K856,J$9&gt;='Detalle'!$J856),1,""))</x:f>
      </x:c>
      <x:c r="K1761" s="32" t="str">
        <x:f>IF(OR('Detalle'!$J856="",'Detalle'!$K856="",'Detalle'!$L856=""),"",IF(AND(K$8&lt;='Detalle'!$K856,K$9&gt;='Detalle'!$J856),1,""))</x:f>
      </x:c>
      <x:c r="L1761" s="32" t="str">
        <x:f>IF(OR('Detalle'!$J856="",'Detalle'!$K856="",'Detalle'!$L856=""),"",IF(AND(L$8&lt;='Detalle'!$K856,L$9&gt;='Detalle'!$J856),1,""))</x:f>
      </x:c>
      <x:c r="M1761" s="32" t="str">
        <x:f>IF(OR('Detalle'!$J856="",'Detalle'!$K856="",'Detalle'!$L856=""),"",IF(AND(M$8&lt;='Detalle'!$K856,M$9&gt;='Detalle'!$J856),1,""))</x:f>
      </x:c>
      <x:c r="N1761" s="32" t="str">
        <x:f>IF(OR('Detalle'!$J856="",'Detalle'!$K856="",'Detalle'!$L856=""),"",IF(AND(N$8&lt;='Detalle'!$K856,N$9&gt;='Detalle'!$J856),1,""))</x:f>
      </x:c>
      <x:c r="O1761" s="32" t="str">
        <x:f>IF(OR('Detalle'!$J856="",'Detalle'!$K856="",'Detalle'!$L856=""),"",IF(AND(O$8&lt;='Detalle'!$K856,O$9&gt;='Detalle'!$J856),1,""))</x:f>
      </x:c>
      <x:c r="P1761" s="32" t="str">
        <x:f>IF(OR('Detalle'!$J856="",'Detalle'!$K856="",'Detalle'!$L856=""),"",IF(AND(P$8&lt;='Detalle'!$K856,P$9&gt;='Detalle'!$J856),1,""))</x:f>
      </x:c>
      <x:c r="Q1761" s="68"/>
      <x:c r="R1761" s="67" t="str"/>
      <x:c r="S1761" s="67" t="str"/>
    </x:row>
    <x:row r="1762" ht="16" customHeight="1">
      <x:c r="A1762" s="56" t="str">
        <x:v>FIS02.003</x:v>
      </x:c>
      <x:c r="B1762" s="57" t="str">
        <x:v>Probar reconocimiento ARKit en iPhone</x:v>
      </x:c>
      <x:c r="C1762" s="62" t="str">
        <x:v>E</x:v>
      </x:c>
      <x:c r="D1762" s="64" t="n">
        <x:f>'Detalle'!I857</x:f>
        <x:v>2</x:v>
      </x:c>
      <x:c r="E1762" s="60" t="str">
        <x:f>'Detalle'!F857</x:f>
        <x:v>Bloqueado</x:v>
      </x:c>
      <x:c r="F1762" s="32" t="str">
        <x:f>IF(AND(F$8&lt;='Detalle'!$H857,F$9&gt;='Detalle'!$G857),1,"")</x:f>
      </x:c>
      <x:c r="G1762" s="32" t="str">
        <x:f>IF(AND(G$8&lt;='Detalle'!$H857,G$9&gt;='Detalle'!$G857),1,"")</x:f>
      </x:c>
      <x:c r="H1762" s="32" t="str">
        <x:f>IF(AND(H$8&lt;='Detalle'!$H857,H$9&gt;='Detalle'!$G857),1,"")</x:f>
      </x:c>
      <x:c r="I1762" s="32" t="str">
        <x:f>IF(AND(I$8&lt;='Detalle'!$H857,I$9&gt;='Detalle'!$G857),1,"")</x:f>
      </x:c>
      <x:c r="J1762" s="32" t="str">
        <x:f>IF(AND(J$8&lt;='Detalle'!$H857,J$9&gt;='Detalle'!$G857),1,"")</x:f>
      </x:c>
      <x:c r="K1762" s="32" t="n">
        <x:f>IF(AND(K$8&lt;='Detalle'!$H857,K$9&gt;='Detalle'!$G857),1,"")</x:f>
        <x:v>1</x:v>
      </x:c>
      <x:c r="L1762" s="32" t="n">
        <x:f>IF(AND(L$8&lt;='Detalle'!$H857,L$9&gt;='Detalle'!$G857),1,"")</x:f>
        <x:v>1</x:v>
      </x:c>
      <x:c r="M1762" s="32" t="str">
        <x:f>IF(AND(M$8&lt;='Detalle'!$H857,M$9&gt;='Detalle'!$G857),1,"")</x:f>
      </x:c>
      <x:c r="N1762" s="32" t="str">
        <x:f>IF(AND(N$8&lt;='Detalle'!$H857,N$9&gt;='Detalle'!$G857),1,"")</x:f>
      </x:c>
      <x:c r="O1762" s="32" t="str">
        <x:f>IF(AND(O$8&lt;='Detalle'!$H857,O$9&gt;='Detalle'!$G857),1,"")</x:f>
      </x:c>
      <x:c r="P1762" s="32" t="str">
        <x:f>IF(AND(P$8&lt;='Detalle'!$H857,P$9&gt;='Detalle'!$G857),1,"")</x:f>
      </x:c>
      <x:c r="Q1762" s="68"/>
      <x:c r="R1762" s="67" t="str">
        <x:f>IF('Detalle'!M857="","",'Detalle'!M857)</x:f>
      </x:c>
      <x:c r="S1762" s="67" t="str">
        <x:f>IF('Detalle'!N857="","",'Detalle'!N857)</x:f>
      </x:c>
    </x:row>
    <x:row r="1763" ht="16" customHeight="1">
      <x:c r="A1763" s="56" t="str">
        <x:v>FIS02.003</x:v>
      </x:c>
      <x:c r="B1763" s="57" t="str">
        <x:v>Probar reconocimiento ARKit en iPhone</x:v>
      </x:c>
      <x:c r="C1763" s="63" t="str">
        <x:v>R</x:v>
      </x:c>
      <x:c r="D1763" s="65" t="str">
        <x:f>IF('Detalle'!L857="","",'Detalle'!L857)</x:f>
      </x:c>
      <x:c r="E1763" s="60" t="str"/>
      <x:c r="F1763" s="32" t="str">
        <x:f>IF(OR('Detalle'!$J857="",'Detalle'!$K857="",'Detalle'!$L857=""),"",IF(AND(F$8&lt;='Detalle'!$K857,F$9&gt;='Detalle'!$J857),1,""))</x:f>
      </x:c>
      <x:c r="G1763" s="32" t="str">
        <x:f>IF(OR('Detalle'!$J857="",'Detalle'!$K857="",'Detalle'!$L857=""),"",IF(AND(G$8&lt;='Detalle'!$K857,G$9&gt;='Detalle'!$J857),1,""))</x:f>
      </x:c>
      <x:c r="H1763" s="32" t="str">
        <x:f>IF(OR('Detalle'!$J857="",'Detalle'!$K857="",'Detalle'!$L857=""),"",IF(AND(H$8&lt;='Detalle'!$K857,H$9&gt;='Detalle'!$J857),1,""))</x:f>
      </x:c>
      <x:c r="I1763" s="32" t="str">
        <x:f>IF(OR('Detalle'!$J857="",'Detalle'!$K857="",'Detalle'!$L857=""),"",IF(AND(I$8&lt;='Detalle'!$K857,I$9&gt;='Detalle'!$J857),1,""))</x:f>
      </x:c>
      <x:c r="J1763" s="32" t="str">
        <x:f>IF(OR('Detalle'!$J857="",'Detalle'!$K857="",'Detalle'!$L857=""),"",IF(AND(J$8&lt;='Detalle'!$K857,J$9&gt;='Detalle'!$J857),1,""))</x:f>
      </x:c>
      <x:c r="K1763" s="32" t="str">
        <x:f>IF(OR('Detalle'!$J857="",'Detalle'!$K857="",'Detalle'!$L857=""),"",IF(AND(K$8&lt;='Detalle'!$K857,K$9&gt;='Detalle'!$J857),1,""))</x:f>
      </x:c>
      <x:c r="L1763" s="32" t="str">
        <x:f>IF(OR('Detalle'!$J857="",'Detalle'!$K857="",'Detalle'!$L857=""),"",IF(AND(L$8&lt;='Detalle'!$K857,L$9&gt;='Detalle'!$J857),1,""))</x:f>
      </x:c>
      <x:c r="M1763" s="32" t="str">
        <x:f>IF(OR('Detalle'!$J857="",'Detalle'!$K857="",'Detalle'!$L857=""),"",IF(AND(M$8&lt;='Detalle'!$K857,M$9&gt;='Detalle'!$J857),1,""))</x:f>
      </x:c>
      <x:c r="N1763" s="32" t="str">
        <x:f>IF(OR('Detalle'!$J857="",'Detalle'!$K857="",'Detalle'!$L857=""),"",IF(AND(N$8&lt;='Detalle'!$K857,N$9&gt;='Detalle'!$J857),1,""))</x:f>
      </x:c>
      <x:c r="O1763" s="32" t="str">
        <x:f>IF(OR('Detalle'!$J857="",'Detalle'!$K857="",'Detalle'!$L857=""),"",IF(AND(O$8&lt;='Detalle'!$K857,O$9&gt;='Detalle'!$J857),1,""))</x:f>
      </x:c>
      <x:c r="P1763" s="32" t="str">
        <x:f>IF(OR('Detalle'!$J857="",'Detalle'!$K857="",'Detalle'!$L857=""),"",IF(AND(P$8&lt;='Detalle'!$K857,P$9&gt;='Detalle'!$J857),1,""))</x:f>
      </x:c>
      <x:c r="Q1763" s="68"/>
      <x:c r="R1763" s="67" t="str"/>
      <x:c r="S1763" s="67" t="str"/>
    </x:row>
    <x:row r="1764" ht="16" customHeight="1">
      <x:c r="A1764" s="56" t="str">
        <x:v>FIS02.004</x:v>
      </x:c>
      <x:c r="B1764" s="57" t="str">
        <x:v>Probar rechazo del permiso de cámara</x:v>
      </x:c>
      <x:c r="C1764" s="62" t="str">
        <x:v>E</x:v>
      </x:c>
      <x:c r="D1764" s="64" t="n">
        <x:f>'Detalle'!I858</x:f>
        <x:v>2</x:v>
      </x:c>
      <x:c r="E1764" s="60" t="str">
        <x:f>'Detalle'!F858</x:f>
        <x:v>Pendiente</x:v>
      </x:c>
      <x:c r="F1764" s="32" t="str">
        <x:f>IF(AND(F$8&lt;='Detalle'!$H858,F$9&gt;='Detalle'!$G858),1,"")</x:f>
      </x:c>
      <x:c r="G1764" s="32" t="str">
        <x:f>IF(AND(G$8&lt;='Detalle'!$H858,G$9&gt;='Detalle'!$G858),1,"")</x:f>
      </x:c>
      <x:c r="H1764" s="32" t="str">
        <x:f>IF(AND(H$8&lt;='Detalle'!$H858,H$9&gt;='Detalle'!$G858),1,"")</x:f>
      </x:c>
      <x:c r="I1764" s="32" t="str">
        <x:f>IF(AND(I$8&lt;='Detalle'!$H858,I$9&gt;='Detalle'!$G858),1,"")</x:f>
      </x:c>
      <x:c r="J1764" s="32" t="str">
        <x:f>IF(AND(J$8&lt;='Detalle'!$H858,J$9&gt;='Detalle'!$G858),1,"")</x:f>
      </x:c>
      <x:c r="K1764" s="32" t="n">
        <x:f>IF(AND(K$8&lt;='Detalle'!$H858,K$9&gt;='Detalle'!$G858),1,"")</x:f>
        <x:v>1</x:v>
      </x:c>
      <x:c r="L1764" s="32" t="n">
        <x:f>IF(AND(L$8&lt;='Detalle'!$H858,L$9&gt;='Detalle'!$G858),1,"")</x:f>
        <x:v>1</x:v>
      </x:c>
      <x:c r="M1764" s="32" t="str">
        <x:f>IF(AND(M$8&lt;='Detalle'!$H858,M$9&gt;='Detalle'!$G858),1,"")</x:f>
      </x:c>
      <x:c r="N1764" s="32" t="str">
        <x:f>IF(AND(N$8&lt;='Detalle'!$H858,N$9&gt;='Detalle'!$G858),1,"")</x:f>
      </x:c>
      <x:c r="O1764" s="32" t="str">
        <x:f>IF(AND(O$8&lt;='Detalle'!$H858,O$9&gt;='Detalle'!$G858),1,"")</x:f>
      </x:c>
      <x:c r="P1764" s="32" t="str">
        <x:f>IF(AND(P$8&lt;='Detalle'!$H858,P$9&gt;='Detalle'!$G858),1,"")</x:f>
      </x:c>
      <x:c r="Q1764" s="68"/>
      <x:c r="R1764" s="67" t="str">
        <x:f>IF('Detalle'!M858="","",'Detalle'!M858)</x:f>
      </x:c>
      <x:c r="S1764" s="67" t="str">
        <x:f>IF('Detalle'!N858="","",'Detalle'!N858)</x:f>
      </x:c>
    </x:row>
    <x:row r="1765" ht="16" customHeight="1">
      <x:c r="A1765" s="56" t="str">
        <x:v>FIS02.004</x:v>
      </x:c>
      <x:c r="B1765" s="57" t="str">
        <x:v>Probar rechazo del permiso de cámara</x:v>
      </x:c>
      <x:c r="C1765" s="63" t="str">
        <x:v>R</x:v>
      </x:c>
      <x:c r="D1765" s="65" t="str">
        <x:f>IF('Detalle'!L858="","",'Detalle'!L858)</x:f>
      </x:c>
      <x:c r="E1765" s="60" t="str"/>
      <x:c r="F1765" s="32" t="str">
        <x:f>IF(OR('Detalle'!$J858="",'Detalle'!$K858="",'Detalle'!$L858=""),"",IF(AND(F$8&lt;='Detalle'!$K858,F$9&gt;='Detalle'!$J858),1,""))</x:f>
      </x:c>
      <x:c r="G1765" s="32" t="str">
        <x:f>IF(OR('Detalle'!$J858="",'Detalle'!$K858="",'Detalle'!$L858=""),"",IF(AND(G$8&lt;='Detalle'!$K858,G$9&gt;='Detalle'!$J858),1,""))</x:f>
      </x:c>
      <x:c r="H1765" s="32" t="str">
        <x:f>IF(OR('Detalle'!$J858="",'Detalle'!$K858="",'Detalle'!$L858=""),"",IF(AND(H$8&lt;='Detalle'!$K858,H$9&gt;='Detalle'!$J858),1,""))</x:f>
      </x:c>
      <x:c r="I1765" s="32" t="str">
        <x:f>IF(OR('Detalle'!$J858="",'Detalle'!$K858="",'Detalle'!$L858=""),"",IF(AND(I$8&lt;='Detalle'!$K858,I$9&gt;='Detalle'!$J858),1,""))</x:f>
      </x:c>
      <x:c r="J1765" s="32" t="str">
        <x:f>IF(OR('Detalle'!$J858="",'Detalle'!$K858="",'Detalle'!$L858=""),"",IF(AND(J$8&lt;='Detalle'!$K858,J$9&gt;='Detalle'!$J858),1,""))</x:f>
      </x:c>
      <x:c r="K1765" s="32" t="str">
        <x:f>IF(OR('Detalle'!$J858="",'Detalle'!$K858="",'Detalle'!$L858=""),"",IF(AND(K$8&lt;='Detalle'!$K858,K$9&gt;='Detalle'!$J858),1,""))</x:f>
      </x:c>
      <x:c r="L1765" s="32" t="str">
        <x:f>IF(OR('Detalle'!$J858="",'Detalle'!$K858="",'Detalle'!$L858=""),"",IF(AND(L$8&lt;='Detalle'!$K858,L$9&gt;='Detalle'!$J858),1,""))</x:f>
      </x:c>
      <x:c r="M1765" s="32" t="str">
        <x:f>IF(OR('Detalle'!$J858="",'Detalle'!$K858="",'Detalle'!$L858=""),"",IF(AND(M$8&lt;='Detalle'!$K858,M$9&gt;='Detalle'!$J858),1,""))</x:f>
      </x:c>
      <x:c r="N1765" s="32" t="str">
        <x:f>IF(OR('Detalle'!$J858="",'Detalle'!$K858="",'Detalle'!$L858=""),"",IF(AND(N$8&lt;='Detalle'!$K858,N$9&gt;='Detalle'!$J858),1,""))</x:f>
      </x:c>
      <x:c r="O1765" s="32" t="str">
        <x:f>IF(OR('Detalle'!$J858="",'Detalle'!$K858="",'Detalle'!$L858=""),"",IF(AND(O$8&lt;='Detalle'!$K858,O$9&gt;='Detalle'!$J858),1,""))</x:f>
      </x:c>
      <x:c r="P1765" s="32" t="str">
        <x:f>IF(OR('Detalle'!$J858="",'Detalle'!$K858="",'Detalle'!$L858=""),"",IF(AND(P$8&lt;='Detalle'!$K858,P$9&gt;='Detalle'!$J858),1,""))</x:f>
      </x:c>
      <x:c r="Q1765" s="68"/>
      <x:c r="R1765" s="67" t="str"/>
      <x:c r="S1765" s="67" t="str"/>
    </x:row>
    <x:row r="1766" ht="16" customHeight="1">
      <x:c r="A1766" s="56" t="str">
        <x:v>FIS02.005</x:v>
      </x:c>
      <x:c r="B1766" s="57" t="str">
        <x:v>Probar dispositivo sin soporte AR</x:v>
      </x:c>
      <x:c r="C1766" s="62" t="str">
        <x:v>E</x:v>
      </x:c>
      <x:c r="D1766" s="64" t="n">
        <x:f>'Detalle'!I859</x:f>
        <x:v>2</x:v>
      </x:c>
      <x:c r="E1766" s="60" t="str">
        <x:f>'Detalle'!F859</x:f>
        <x:v>Pendiente</x:v>
      </x:c>
      <x:c r="F1766" s="32" t="str">
        <x:f>IF(AND(F$8&lt;='Detalle'!$H859,F$9&gt;='Detalle'!$G859),1,"")</x:f>
      </x:c>
      <x:c r="G1766" s="32" t="str">
        <x:f>IF(AND(G$8&lt;='Detalle'!$H859,G$9&gt;='Detalle'!$G859),1,"")</x:f>
      </x:c>
      <x:c r="H1766" s="32" t="str">
        <x:f>IF(AND(H$8&lt;='Detalle'!$H859,H$9&gt;='Detalle'!$G859),1,"")</x:f>
      </x:c>
      <x:c r="I1766" s="32" t="str">
        <x:f>IF(AND(I$8&lt;='Detalle'!$H859,I$9&gt;='Detalle'!$G859),1,"")</x:f>
      </x:c>
      <x:c r="J1766" s="32" t="str">
        <x:f>IF(AND(J$8&lt;='Detalle'!$H859,J$9&gt;='Detalle'!$G859),1,"")</x:f>
      </x:c>
      <x:c r="K1766" s="32" t="n">
        <x:f>IF(AND(K$8&lt;='Detalle'!$H859,K$9&gt;='Detalle'!$G859),1,"")</x:f>
        <x:v>1</x:v>
      </x:c>
      <x:c r="L1766" s="32" t="n">
        <x:f>IF(AND(L$8&lt;='Detalle'!$H859,L$9&gt;='Detalle'!$G859),1,"")</x:f>
        <x:v>1</x:v>
      </x:c>
      <x:c r="M1766" s="32" t="str">
        <x:f>IF(AND(M$8&lt;='Detalle'!$H859,M$9&gt;='Detalle'!$G859),1,"")</x:f>
      </x:c>
      <x:c r="N1766" s="32" t="str">
        <x:f>IF(AND(N$8&lt;='Detalle'!$H859,N$9&gt;='Detalle'!$G859),1,"")</x:f>
      </x:c>
      <x:c r="O1766" s="32" t="str">
        <x:f>IF(AND(O$8&lt;='Detalle'!$H859,O$9&gt;='Detalle'!$G859),1,"")</x:f>
      </x:c>
      <x:c r="P1766" s="32" t="str">
        <x:f>IF(AND(P$8&lt;='Detalle'!$H859,P$9&gt;='Detalle'!$G859),1,"")</x:f>
      </x:c>
      <x:c r="Q1766" s="68"/>
      <x:c r="R1766" s="67" t="str">
        <x:f>IF('Detalle'!M859="","",'Detalle'!M859)</x:f>
      </x:c>
      <x:c r="S1766" s="67" t="str">
        <x:f>IF('Detalle'!N859="","",'Detalle'!N859)</x:f>
      </x:c>
    </x:row>
    <x:row r="1767" ht="16" customHeight="1">
      <x:c r="A1767" s="56" t="str">
        <x:v>FIS02.005</x:v>
      </x:c>
      <x:c r="B1767" s="57" t="str">
        <x:v>Probar dispositivo sin soporte AR</x:v>
      </x:c>
      <x:c r="C1767" s="63" t="str">
        <x:v>R</x:v>
      </x:c>
      <x:c r="D1767" s="65" t="str">
        <x:f>IF('Detalle'!L859="","",'Detalle'!L859)</x:f>
      </x:c>
      <x:c r="E1767" s="60" t="str"/>
      <x:c r="F1767" s="32" t="str">
        <x:f>IF(OR('Detalle'!$J859="",'Detalle'!$K859="",'Detalle'!$L859=""),"",IF(AND(F$8&lt;='Detalle'!$K859,F$9&gt;='Detalle'!$J859),1,""))</x:f>
      </x:c>
      <x:c r="G1767" s="32" t="str">
        <x:f>IF(OR('Detalle'!$J859="",'Detalle'!$K859="",'Detalle'!$L859=""),"",IF(AND(G$8&lt;='Detalle'!$K859,G$9&gt;='Detalle'!$J859),1,""))</x:f>
      </x:c>
      <x:c r="H1767" s="32" t="str">
        <x:f>IF(OR('Detalle'!$J859="",'Detalle'!$K859="",'Detalle'!$L859=""),"",IF(AND(H$8&lt;='Detalle'!$K859,H$9&gt;='Detalle'!$J859),1,""))</x:f>
      </x:c>
      <x:c r="I1767" s="32" t="str">
        <x:f>IF(OR('Detalle'!$J859="",'Detalle'!$K859="",'Detalle'!$L859=""),"",IF(AND(I$8&lt;='Detalle'!$K859,I$9&gt;='Detalle'!$J859),1,""))</x:f>
      </x:c>
      <x:c r="J1767" s="32" t="str">
        <x:f>IF(OR('Detalle'!$J859="",'Detalle'!$K859="",'Detalle'!$L859=""),"",IF(AND(J$8&lt;='Detalle'!$K859,J$9&gt;='Detalle'!$J859),1,""))</x:f>
      </x:c>
      <x:c r="K1767" s="32" t="str">
        <x:f>IF(OR('Detalle'!$J859="",'Detalle'!$K859="",'Detalle'!$L859=""),"",IF(AND(K$8&lt;='Detalle'!$K859,K$9&gt;='Detalle'!$J859),1,""))</x:f>
      </x:c>
      <x:c r="L1767" s="32" t="str">
        <x:f>IF(OR('Detalle'!$J859="",'Detalle'!$K859="",'Detalle'!$L859=""),"",IF(AND(L$8&lt;='Detalle'!$K859,L$9&gt;='Detalle'!$J859),1,""))</x:f>
      </x:c>
      <x:c r="M1767" s="32" t="str">
        <x:f>IF(OR('Detalle'!$J859="",'Detalle'!$K859="",'Detalle'!$L859=""),"",IF(AND(M$8&lt;='Detalle'!$K859,M$9&gt;='Detalle'!$J859),1,""))</x:f>
      </x:c>
      <x:c r="N1767" s="32" t="str">
        <x:f>IF(OR('Detalle'!$J859="",'Detalle'!$K859="",'Detalle'!$L859=""),"",IF(AND(N$8&lt;='Detalle'!$K859,N$9&gt;='Detalle'!$J859),1,""))</x:f>
      </x:c>
      <x:c r="O1767" s="32" t="str">
        <x:f>IF(OR('Detalle'!$J859="",'Detalle'!$K859="",'Detalle'!$L859=""),"",IF(AND(O$8&lt;='Detalle'!$K859,O$9&gt;='Detalle'!$J859),1,""))</x:f>
      </x:c>
      <x:c r="P1767" s="32" t="str">
        <x:f>IF(OR('Detalle'!$J859="",'Detalle'!$K859="",'Detalle'!$L859=""),"",IF(AND(P$8&lt;='Detalle'!$K859,P$9&gt;='Detalle'!$J859),1,""))</x:f>
      </x:c>
      <x:c r="Q1767" s="68"/>
      <x:c r="R1767" s="67" t="str"/>
      <x:c r="S1767" s="67" t="str"/>
    </x:row>
    <x:row r="1768" ht="16" customHeight="1">
      <x:c r="A1768" s="56" t="str">
        <x:v>FIS02.006</x:v>
      </x:c>
      <x:c r="B1768" s="57" t="str">
        <x:v>Probar referencia ilegible</x:v>
      </x:c>
      <x:c r="C1768" s="62" t="str">
        <x:v>E</x:v>
      </x:c>
      <x:c r="D1768" s="64" t="n">
        <x:f>'Detalle'!I860</x:f>
        <x:v>2</x:v>
      </x:c>
      <x:c r="E1768" s="60" t="str">
        <x:f>'Detalle'!F860</x:f>
        <x:v>Pendiente</x:v>
      </x:c>
      <x:c r="F1768" s="32" t="str">
        <x:f>IF(AND(F$8&lt;='Detalle'!$H860,F$9&gt;='Detalle'!$G860),1,"")</x:f>
      </x:c>
      <x:c r="G1768" s="32" t="str">
        <x:f>IF(AND(G$8&lt;='Detalle'!$H860,G$9&gt;='Detalle'!$G860),1,"")</x:f>
      </x:c>
      <x:c r="H1768" s="32" t="str">
        <x:f>IF(AND(H$8&lt;='Detalle'!$H860,H$9&gt;='Detalle'!$G860),1,"")</x:f>
      </x:c>
      <x:c r="I1768" s="32" t="str">
        <x:f>IF(AND(I$8&lt;='Detalle'!$H860,I$9&gt;='Detalle'!$G860),1,"")</x:f>
      </x:c>
      <x:c r="J1768" s="32" t="str">
        <x:f>IF(AND(J$8&lt;='Detalle'!$H860,J$9&gt;='Detalle'!$G860),1,"")</x:f>
      </x:c>
      <x:c r="K1768" s="32" t="n">
        <x:f>IF(AND(K$8&lt;='Detalle'!$H860,K$9&gt;='Detalle'!$G860),1,"")</x:f>
        <x:v>1</x:v>
      </x:c>
      <x:c r="L1768" s="32" t="n">
        <x:f>IF(AND(L$8&lt;='Detalle'!$H860,L$9&gt;='Detalle'!$G860),1,"")</x:f>
        <x:v>1</x:v>
      </x:c>
      <x:c r="M1768" s="32" t="str">
        <x:f>IF(AND(M$8&lt;='Detalle'!$H860,M$9&gt;='Detalle'!$G860),1,"")</x:f>
      </x:c>
      <x:c r="N1768" s="32" t="str">
        <x:f>IF(AND(N$8&lt;='Detalle'!$H860,N$9&gt;='Detalle'!$G860),1,"")</x:f>
      </x:c>
      <x:c r="O1768" s="32" t="str">
        <x:f>IF(AND(O$8&lt;='Detalle'!$H860,O$9&gt;='Detalle'!$G860),1,"")</x:f>
      </x:c>
      <x:c r="P1768" s="32" t="str">
        <x:f>IF(AND(P$8&lt;='Detalle'!$H860,P$9&gt;='Detalle'!$G860),1,"")</x:f>
      </x:c>
      <x:c r="Q1768" s="68"/>
      <x:c r="R1768" s="67" t="str">
        <x:f>IF('Detalle'!M860="","",'Detalle'!M860)</x:f>
      </x:c>
      <x:c r="S1768" s="67" t="str">
        <x:f>IF('Detalle'!N860="","",'Detalle'!N860)</x:f>
      </x:c>
    </x:row>
    <x:row r="1769" ht="16" customHeight="1">
      <x:c r="A1769" s="56" t="str">
        <x:v>FIS02.006</x:v>
      </x:c>
      <x:c r="B1769" s="57" t="str">
        <x:v>Probar referencia ilegible</x:v>
      </x:c>
      <x:c r="C1769" s="63" t="str">
        <x:v>R</x:v>
      </x:c>
      <x:c r="D1769" s="65" t="str">
        <x:f>IF('Detalle'!L860="","",'Detalle'!L860)</x:f>
      </x:c>
      <x:c r="E1769" s="60" t="str"/>
      <x:c r="F1769" s="32" t="str">
        <x:f>IF(OR('Detalle'!$J860="",'Detalle'!$K860="",'Detalle'!$L860=""),"",IF(AND(F$8&lt;='Detalle'!$K860,F$9&gt;='Detalle'!$J860),1,""))</x:f>
      </x:c>
      <x:c r="G1769" s="32" t="str">
        <x:f>IF(OR('Detalle'!$J860="",'Detalle'!$K860="",'Detalle'!$L860=""),"",IF(AND(G$8&lt;='Detalle'!$K860,G$9&gt;='Detalle'!$J860),1,""))</x:f>
      </x:c>
      <x:c r="H1769" s="32" t="str">
        <x:f>IF(OR('Detalle'!$J860="",'Detalle'!$K860="",'Detalle'!$L860=""),"",IF(AND(H$8&lt;='Detalle'!$K860,H$9&gt;='Detalle'!$J860),1,""))</x:f>
      </x:c>
      <x:c r="I1769" s="32" t="str">
        <x:f>IF(OR('Detalle'!$J860="",'Detalle'!$K860="",'Detalle'!$L860=""),"",IF(AND(I$8&lt;='Detalle'!$K860,I$9&gt;='Detalle'!$J860),1,""))</x:f>
      </x:c>
      <x:c r="J1769" s="32" t="str">
        <x:f>IF(OR('Detalle'!$J860="",'Detalle'!$K860="",'Detalle'!$L860=""),"",IF(AND(J$8&lt;='Detalle'!$K860,J$9&gt;='Detalle'!$J860),1,""))</x:f>
      </x:c>
      <x:c r="K1769" s="32" t="str">
        <x:f>IF(OR('Detalle'!$J860="",'Detalle'!$K860="",'Detalle'!$L860=""),"",IF(AND(K$8&lt;='Detalle'!$K860,K$9&gt;='Detalle'!$J860),1,""))</x:f>
      </x:c>
      <x:c r="L1769" s="32" t="str">
        <x:f>IF(OR('Detalle'!$J860="",'Detalle'!$K860="",'Detalle'!$L860=""),"",IF(AND(L$8&lt;='Detalle'!$K860,L$9&gt;='Detalle'!$J860),1,""))</x:f>
      </x:c>
      <x:c r="M1769" s="32" t="str">
        <x:f>IF(OR('Detalle'!$J860="",'Detalle'!$K860="",'Detalle'!$L860=""),"",IF(AND(M$8&lt;='Detalle'!$K860,M$9&gt;='Detalle'!$J860),1,""))</x:f>
      </x:c>
      <x:c r="N1769" s="32" t="str">
        <x:f>IF(OR('Detalle'!$J860="",'Detalle'!$K860="",'Detalle'!$L860=""),"",IF(AND(N$8&lt;='Detalle'!$K860,N$9&gt;='Detalle'!$J860),1,""))</x:f>
      </x:c>
      <x:c r="O1769" s="32" t="str">
        <x:f>IF(OR('Detalle'!$J860="",'Detalle'!$K860="",'Detalle'!$L860=""),"",IF(AND(O$8&lt;='Detalle'!$K860,O$9&gt;='Detalle'!$J860),1,""))</x:f>
      </x:c>
      <x:c r="P1769" s="32" t="str">
        <x:f>IF(OR('Detalle'!$J860="",'Detalle'!$K860="",'Detalle'!$L860=""),"",IF(AND(P$8&lt;='Detalle'!$K860,P$9&gt;='Detalle'!$J860),1,""))</x:f>
      </x:c>
      <x:c r="Q1769" s="68"/>
      <x:c r="R1769" s="67" t="str"/>
      <x:c r="S1769" s="67" t="str"/>
    </x:row>
    <x:row r="1770" ht="16" customHeight="1">
      <x:c r="A1770" s="56" t="str">
        <x:v>FIS02.007</x:v>
      </x:c>
      <x:c r="B1770" s="57" t="str">
        <x:v>Probar activador con reflejos</x:v>
      </x:c>
      <x:c r="C1770" s="62" t="str">
        <x:v>E</x:v>
      </x:c>
      <x:c r="D1770" s="64" t="n">
        <x:f>'Detalle'!I861</x:f>
        <x:v>2</x:v>
      </x:c>
      <x:c r="E1770" s="60" t="str">
        <x:f>'Detalle'!F861</x:f>
        <x:v>Pendiente</x:v>
      </x:c>
      <x:c r="F1770" s="32" t="str">
        <x:f>IF(AND(F$8&lt;='Detalle'!$H861,F$9&gt;='Detalle'!$G861),1,"")</x:f>
      </x:c>
      <x:c r="G1770" s="32" t="str">
        <x:f>IF(AND(G$8&lt;='Detalle'!$H861,G$9&gt;='Detalle'!$G861),1,"")</x:f>
      </x:c>
      <x:c r="H1770" s="32" t="str">
        <x:f>IF(AND(H$8&lt;='Detalle'!$H861,H$9&gt;='Detalle'!$G861),1,"")</x:f>
      </x:c>
      <x:c r="I1770" s="32" t="str">
        <x:f>IF(AND(I$8&lt;='Detalle'!$H861,I$9&gt;='Detalle'!$G861),1,"")</x:f>
      </x:c>
      <x:c r="J1770" s="32" t="str">
        <x:f>IF(AND(J$8&lt;='Detalle'!$H861,J$9&gt;='Detalle'!$G861),1,"")</x:f>
      </x:c>
      <x:c r="K1770" s="32" t="n">
        <x:f>IF(AND(K$8&lt;='Detalle'!$H861,K$9&gt;='Detalle'!$G861),1,"")</x:f>
        <x:v>1</x:v>
      </x:c>
      <x:c r="L1770" s="32" t="n">
        <x:f>IF(AND(L$8&lt;='Detalle'!$H861,L$9&gt;='Detalle'!$G861),1,"")</x:f>
        <x:v>1</x:v>
      </x:c>
      <x:c r="M1770" s="32" t="str">
        <x:f>IF(AND(M$8&lt;='Detalle'!$H861,M$9&gt;='Detalle'!$G861),1,"")</x:f>
      </x:c>
      <x:c r="N1770" s="32" t="str">
        <x:f>IF(AND(N$8&lt;='Detalle'!$H861,N$9&gt;='Detalle'!$G861),1,"")</x:f>
      </x:c>
      <x:c r="O1770" s="32" t="str">
        <x:f>IF(AND(O$8&lt;='Detalle'!$H861,O$9&gt;='Detalle'!$G861),1,"")</x:f>
      </x:c>
      <x:c r="P1770" s="32" t="str">
        <x:f>IF(AND(P$8&lt;='Detalle'!$H861,P$9&gt;='Detalle'!$G861),1,"")</x:f>
      </x:c>
      <x:c r="Q1770" s="68"/>
      <x:c r="R1770" s="67" t="str">
        <x:f>IF('Detalle'!M861="","",'Detalle'!M861)</x:f>
      </x:c>
      <x:c r="S1770" s="67" t="str">
        <x:f>IF('Detalle'!N861="","",'Detalle'!N861)</x:f>
      </x:c>
    </x:row>
    <x:row r="1771" ht="16" customHeight="1">
      <x:c r="A1771" s="56" t="str">
        <x:v>FIS02.007</x:v>
      </x:c>
      <x:c r="B1771" s="57" t="str">
        <x:v>Probar activador con reflejos</x:v>
      </x:c>
      <x:c r="C1771" s="63" t="str">
        <x:v>R</x:v>
      </x:c>
      <x:c r="D1771" s="65" t="str">
        <x:f>IF('Detalle'!L861="","",'Detalle'!L861)</x:f>
      </x:c>
      <x:c r="E1771" s="60" t="str"/>
      <x:c r="F1771" s="32" t="str">
        <x:f>IF(OR('Detalle'!$J861="",'Detalle'!$K861="",'Detalle'!$L861=""),"",IF(AND(F$8&lt;='Detalle'!$K861,F$9&gt;='Detalle'!$J861),1,""))</x:f>
      </x:c>
      <x:c r="G1771" s="32" t="str">
        <x:f>IF(OR('Detalle'!$J861="",'Detalle'!$K861="",'Detalle'!$L861=""),"",IF(AND(G$8&lt;='Detalle'!$K861,G$9&gt;='Detalle'!$J861),1,""))</x:f>
      </x:c>
      <x:c r="H1771" s="32" t="str">
        <x:f>IF(OR('Detalle'!$J861="",'Detalle'!$K861="",'Detalle'!$L861=""),"",IF(AND(H$8&lt;='Detalle'!$K861,H$9&gt;='Detalle'!$J861),1,""))</x:f>
      </x:c>
      <x:c r="I1771" s="32" t="str">
        <x:f>IF(OR('Detalle'!$J861="",'Detalle'!$K861="",'Detalle'!$L861=""),"",IF(AND(I$8&lt;='Detalle'!$K861,I$9&gt;='Detalle'!$J861),1,""))</x:f>
      </x:c>
      <x:c r="J1771" s="32" t="str">
        <x:f>IF(OR('Detalle'!$J861="",'Detalle'!$K861="",'Detalle'!$L861=""),"",IF(AND(J$8&lt;='Detalle'!$K861,J$9&gt;='Detalle'!$J861),1,""))</x:f>
      </x:c>
      <x:c r="K1771" s="32" t="str">
        <x:f>IF(OR('Detalle'!$J861="",'Detalle'!$K861="",'Detalle'!$L861=""),"",IF(AND(K$8&lt;='Detalle'!$K861,K$9&gt;='Detalle'!$J861),1,""))</x:f>
      </x:c>
      <x:c r="L1771" s="32" t="str">
        <x:f>IF(OR('Detalle'!$J861="",'Detalle'!$K861="",'Detalle'!$L861=""),"",IF(AND(L$8&lt;='Detalle'!$K861,L$9&gt;='Detalle'!$J861),1,""))</x:f>
      </x:c>
      <x:c r="M1771" s="32" t="str">
        <x:f>IF(OR('Detalle'!$J861="",'Detalle'!$K861="",'Detalle'!$L861=""),"",IF(AND(M$8&lt;='Detalle'!$K861,M$9&gt;='Detalle'!$J861),1,""))</x:f>
      </x:c>
      <x:c r="N1771" s="32" t="str">
        <x:f>IF(OR('Detalle'!$J861="",'Detalle'!$K861="",'Detalle'!$L861=""),"",IF(AND(N$8&lt;='Detalle'!$K861,N$9&gt;='Detalle'!$J861),1,""))</x:f>
      </x:c>
      <x:c r="O1771" s="32" t="str">
        <x:f>IF(OR('Detalle'!$J861="",'Detalle'!$K861="",'Detalle'!$L861=""),"",IF(AND(O$8&lt;='Detalle'!$K861,O$9&gt;='Detalle'!$J861),1,""))</x:f>
      </x:c>
      <x:c r="P1771" s="32" t="str">
        <x:f>IF(OR('Detalle'!$J861="",'Detalle'!$K861="",'Detalle'!$L861=""),"",IF(AND(P$8&lt;='Detalle'!$K861,P$9&gt;='Detalle'!$J861),1,""))</x:f>
      </x:c>
      <x:c r="Q1771" s="68"/>
      <x:c r="R1771" s="67" t="str"/>
      <x:c r="S1771" s="67" t="str"/>
    </x:row>
    <x:row r="1772" ht="16" customHeight="1">
      <x:c r="A1772" s="56" t="str">
        <x:v>FIS02.008</x:v>
      </x:c>
      <x:c r="B1772" s="57" t="str">
        <x:v>Retirar activador del encuadre</x:v>
      </x:c>
      <x:c r="C1772" s="62" t="str">
        <x:v>E</x:v>
      </x:c>
      <x:c r="D1772" s="64" t="n">
        <x:f>'Detalle'!I862</x:f>
        <x:v>2</x:v>
      </x:c>
      <x:c r="E1772" s="60" t="str">
        <x:f>'Detalle'!F862</x:f>
        <x:v>Pendiente</x:v>
      </x:c>
      <x:c r="F1772" s="32" t="str">
        <x:f>IF(AND(F$8&lt;='Detalle'!$H862,F$9&gt;='Detalle'!$G862),1,"")</x:f>
      </x:c>
      <x:c r="G1772" s="32" t="str">
        <x:f>IF(AND(G$8&lt;='Detalle'!$H862,G$9&gt;='Detalle'!$G862),1,"")</x:f>
      </x:c>
      <x:c r="H1772" s="32" t="str">
        <x:f>IF(AND(H$8&lt;='Detalle'!$H862,H$9&gt;='Detalle'!$G862),1,"")</x:f>
      </x:c>
      <x:c r="I1772" s="32" t="str">
        <x:f>IF(AND(I$8&lt;='Detalle'!$H862,I$9&gt;='Detalle'!$G862),1,"")</x:f>
      </x:c>
      <x:c r="J1772" s="32" t="str">
        <x:f>IF(AND(J$8&lt;='Detalle'!$H862,J$9&gt;='Detalle'!$G862),1,"")</x:f>
      </x:c>
      <x:c r="K1772" s="32" t="n">
        <x:f>IF(AND(K$8&lt;='Detalle'!$H862,K$9&gt;='Detalle'!$G862),1,"")</x:f>
        <x:v>1</x:v>
      </x:c>
      <x:c r="L1772" s="32" t="n">
        <x:f>IF(AND(L$8&lt;='Detalle'!$H862,L$9&gt;='Detalle'!$G862),1,"")</x:f>
        <x:v>1</x:v>
      </x:c>
      <x:c r="M1772" s="32" t="str">
        <x:f>IF(AND(M$8&lt;='Detalle'!$H862,M$9&gt;='Detalle'!$G862),1,"")</x:f>
      </x:c>
      <x:c r="N1772" s="32" t="str">
        <x:f>IF(AND(N$8&lt;='Detalle'!$H862,N$9&gt;='Detalle'!$G862),1,"")</x:f>
      </x:c>
      <x:c r="O1772" s="32" t="str">
        <x:f>IF(AND(O$8&lt;='Detalle'!$H862,O$9&gt;='Detalle'!$G862),1,"")</x:f>
      </x:c>
      <x:c r="P1772" s="32" t="str">
        <x:f>IF(AND(P$8&lt;='Detalle'!$H862,P$9&gt;='Detalle'!$G862),1,"")</x:f>
      </x:c>
      <x:c r="Q1772" s="68"/>
      <x:c r="R1772" s="67" t="str">
        <x:f>IF('Detalle'!M862="","",'Detalle'!M862)</x:f>
      </x:c>
      <x:c r="S1772" s="67" t="str">
        <x:f>IF('Detalle'!N862="","",'Detalle'!N862)</x:f>
      </x:c>
    </x:row>
    <x:row r="1773" ht="16" customHeight="1">
      <x:c r="A1773" s="56" t="str">
        <x:v>FIS02.008</x:v>
      </x:c>
      <x:c r="B1773" s="57" t="str">
        <x:v>Retirar activador del encuadre</x:v>
      </x:c>
      <x:c r="C1773" s="63" t="str">
        <x:v>R</x:v>
      </x:c>
      <x:c r="D1773" s="65" t="str">
        <x:f>IF('Detalle'!L862="","",'Detalle'!L862)</x:f>
      </x:c>
      <x:c r="E1773" s="60" t="str"/>
      <x:c r="F1773" s="32" t="str">
        <x:f>IF(OR('Detalle'!$J862="",'Detalle'!$K862="",'Detalle'!$L862=""),"",IF(AND(F$8&lt;='Detalle'!$K862,F$9&gt;='Detalle'!$J862),1,""))</x:f>
      </x:c>
      <x:c r="G1773" s="32" t="str">
        <x:f>IF(OR('Detalle'!$J862="",'Detalle'!$K862="",'Detalle'!$L862=""),"",IF(AND(G$8&lt;='Detalle'!$K862,G$9&gt;='Detalle'!$J862),1,""))</x:f>
      </x:c>
      <x:c r="H1773" s="32" t="str">
        <x:f>IF(OR('Detalle'!$J862="",'Detalle'!$K862="",'Detalle'!$L862=""),"",IF(AND(H$8&lt;='Detalle'!$K862,H$9&gt;='Detalle'!$J862),1,""))</x:f>
      </x:c>
      <x:c r="I1773" s="32" t="str">
        <x:f>IF(OR('Detalle'!$J862="",'Detalle'!$K862="",'Detalle'!$L862=""),"",IF(AND(I$8&lt;='Detalle'!$K862,I$9&gt;='Detalle'!$J862),1,""))</x:f>
      </x:c>
      <x:c r="J1773" s="32" t="str">
        <x:f>IF(OR('Detalle'!$J862="",'Detalle'!$K862="",'Detalle'!$L862=""),"",IF(AND(J$8&lt;='Detalle'!$K862,J$9&gt;='Detalle'!$J862),1,""))</x:f>
      </x:c>
      <x:c r="K1773" s="32" t="str">
        <x:f>IF(OR('Detalle'!$J862="",'Detalle'!$K862="",'Detalle'!$L862=""),"",IF(AND(K$8&lt;='Detalle'!$K862,K$9&gt;='Detalle'!$J862),1,""))</x:f>
      </x:c>
      <x:c r="L1773" s="32" t="str">
        <x:f>IF(OR('Detalle'!$J862="",'Detalle'!$K862="",'Detalle'!$L862=""),"",IF(AND(L$8&lt;='Detalle'!$K862,L$9&gt;='Detalle'!$J862),1,""))</x:f>
      </x:c>
      <x:c r="M1773" s="32" t="str">
        <x:f>IF(OR('Detalle'!$J862="",'Detalle'!$K862="",'Detalle'!$L862=""),"",IF(AND(M$8&lt;='Detalle'!$K862,M$9&gt;='Detalle'!$J862),1,""))</x:f>
      </x:c>
      <x:c r="N1773" s="32" t="str">
        <x:f>IF(OR('Detalle'!$J862="",'Detalle'!$K862="",'Detalle'!$L862=""),"",IF(AND(N$8&lt;='Detalle'!$K862,N$9&gt;='Detalle'!$J862),1,""))</x:f>
      </x:c>
      <x:c r="O1773" s="32" t="str">
        <x:f>IF(OR('Detalle'!$J862="",'Detalle'!$K862="",'Detalle'!$L862=""),"",IF(AND(O$8&lt;='Detalle'!$K862,O$9&gt;='Detalle'!$J862),1,""))</x:f>
      </x:c>
      <x:c r="P1773" s="32" t="str">
        <x:f>IF(OR('Detalle'!$J862="",'Detalle'!$K862="",'Detalle'!$L862=""),"",IF(AND(P$8&lt;='Detalle'!$K862,P$9&gt;='Detalle'!$J862),1,""))</x:f>
      </x:c>
      <x:c r="Q1773" s="68"/>
      <x:c r="R1773" s="67" t="str"/>
      <x:c r="S1773" s="67" t="str"/>
    </x:row>
    <x:row r="1774" ht="16" customHeight="1">
      <x:c r="A1774" s="56" t="str">
        <x:v>FIS02.009</x:v>
      </x:c>
      <x:c r="B1774" s="57" t="str">
        <x:v>Recuperar tracking al reencuadrar</x:v>
      </x:c>
      <x:c r="C1774" s="62" t="str">
        <x:v>E</x:v>
      </x:c>
      <x:c r="D1774" s="64" t="n">
        <x:f>'Detalle'!I863</x:f>
        <x:v>2</x:v>
      </x:c>
      <x:c r="E1774" s="60" t="str">
        <x:f>'Detalle'!F863</x:f>
        <x:v>Pendiente</x:v>
      </x:c>
      <x:c r="F1774" s="32" t="str">
        <x:f>IF(AND(F$8&lt;='Detalle'!$H863,F$9&gt;='Detalle'!$G863),1,"")</x:f>
      </x:c>
      <x:c r="G1774" s="32" t="str">
        <x:f>IF(AND(G$8&lt;='Detalle'!$H863,G$9&gt;='Detalle'!$G863),1,"")</x:f>
      </x:c>
      <x:c r="H1774" s="32" t="str">
        <x:f>IF(AND(H$8&lt;='Detalle'!$H863,H$9&gt;='Detalle'!$G863),1,"")</x:f>
      </x:c>
      <x:c r="I1774" s="32" t="str">
        <x:f>IF(AND(I$8&lt;='Detalle'!$H863,I$9&gt;='Detalle'!$G863),1,"")</x:f>
      </x:c>
      <x:c r="J1774" s="32" t="str">
        <x:f>IF(AND(J$8&lt;='Detalle'!$H863,J$9&gt;='Detalle'!$G863),1,"")</x:f>
      </x:c>
      <x:c r="K1774" s="32" t="n">
        <x:f>IF(AND(K$8&lt;='Detalle'!$H863,K$9&gt;='Detalle'!$G863),1,"")</x:f>
        <x:v>1</x:v>
      </x:c>
      <x:c r="L1774" s="32" t="n">
        <x:f>IF(AND(L$8&lt;='Detalle'!$H863,L$9&gt;='Detalle'!$G863),1,"")</x:f>
        <x:v>1</x:v>
      </x:c>
      <x:c r="M1774" s="32" t="str">
        <x:f>IF(AND(M$8&lt;='Detalle'!$H863,M$9&gt;='Detalle'!$G863),1,"")</x:f>
      </x:c>
      <x:c r="N1774" s="32" t="str">
        <x:f>IF(AND(N$8&lt;='Detalle'!$H863,N$9&gt;='Detalle'!$G863),1,"")</x:f>
      </x:c>
      <x:c r="O1774" s="32" t="str">
        <x:f>IF(AND(O$8&lt;='Detalle'!$H863,O$9&gt;='Detalle'!$G863),1,"")</x:f>
      </x:c>
      <x:c r="P1774" s="32" t="str">
        <x:f>IF(AND(P$8&lt;='Detalle'!$H863,P$9&gt;='Detalle'!$G863),1,"")</x:f>
      </x:c>
      <x:c r="Q1774" s="68"/>
      <x:c r="R1774" s="67" t="str">
        <x:f>IF('Detalle'!M863="","",'Detalle'!M863)</x:f>
      </x:c>
      <x:c r="S1774" s="67" t="str">
        <x:f>IF('Detalle'!N863="","",'Detalle'!N863)</x:f>
      </x:c>
    </x:row>
    <x:row r="1775" ht="16" customHeight="1">
      <x:c r="A1775" s="56" t="str">
        <x:v>FIS02.009</x:v>
      </x:c>
      <x:c r="B1775" s="57" t="str">
        <x:v>Recuperar tracking al reencuadrar</x:v>
      </x:c>
      <x:c r="C1775" s="63" t="str">
        <x:v>R</x:v>
      </x:c>
      <x:c r="D1775" s="65" t="str">
        <x:f>IF('Detalle'!L863="","",'Detalle'!L863)</x:f>
      </x:c>
      <x:c r="E1775" s="60" t="str"/>
      <x:c r="F1775" s="32" t="str">
        <x:f>IF(OR('Detalle'!$J863="",'Detalle'!$K863="",'Detalle'!$L863=""),"",IF(AND(F$8&lt;='Detalle'!$K863,F$9&gt;='Detalle'!$J863),1,""))</x:f>
      </x:c>
      <x:c r="G1775" s="32" t="str">
        <x:f>IF(OR('Detalle'!$J863="",'Detalle'!$K863="",'Detalle'!$L863=""),"",IF(AND(G$8&lt;='Detalle'!$K863,G$9&gt;='Detalle'!$J863),1,""))</x:f>
      </x:c>
      <x:c r="H1775" s="32" t="str">
        <x:f>IF(OR('Detalle'!$J863="",'Detalle'!$K863="",'Detalle'!$L863=""),"",IF(AND(H$8&lt;='Detalle'!$K863,H$9&gt;='Detalle'!$J863),1,""))</x:f>
      </x:c>
      <x:c r="I1775" s="32" t="str">
        <x:f>IF(OR('Detalle'!$J863="",'Detalle'!$K863="",'Detalle'!$L863=""),"",IF(AND(I$8&lt;='Detalle'!$K863,I$9&gt;='Detalle'!$J863),1,""))</x:f>
      </x:c>
      <x:c r="J1775" s="32" t="str">
        <x:f>IF(OR('Detalle'!$J863="",'Detalle'!$K863="",'Detalle'!$L863=""),"",IF(AND(J$8&lt;='Detalle'!$K863,J$9&gt;='Detalle'!$J863),1,""))</x:f>
      </x:c>
      <x:c r="K1775" s="32" t="str">
        <x:f>IF(OR('Detalle'!$J863="",'Detalle'!$K863="",'Detalle'!$L863=""),"",IF(AND(K$8&lt;='Detalle'!$K863,K$9&gt;='Detalle'!$J863),1,""))</x:f>
      </x:c>
      <x:c r="L1775" s="32" t="str">
        <x:f>IF(OR('Detalle'!$J863="",'Detalle'!$K863="",'Detalle'!$L863=""),"",IF(AND(L$8&lt;='Detalle'!$K863,L$9&gt;='Detalle'!$J863),1,""))</x:f>
      </x:c>
      <x:c r="M1775" s="32" t="str">
        <x:f>IF(OR('Detalle'!$J863="",'Detalle'!$K863="",'Detalle'!$L863=""),"",IF(AND(M$8&lt;='Detalle'!$K863,M$9&gt;='Detalle'!$J863),1,""))</x:f>
      </x:c>
      <x:c r="N1775" s="32" t="str">
        <x:f>IF(OR('Detalle'!$J863="",'Detalle'!$K863="",'Detalle'!$L863=""),"",IF(AND(N$8&lt;='Detalle'!$K863,N$9&gt;='Detalle'!$J863),1,""))</x:f>
      </x:c>
      <x:c r="O1775" s="32" t="str">
        <x:f>IF(OR('Detalle'!$J863="",'Detalle'!$K863="",'Detalle'!$L863=""),"",IF(AND(O$8&lt;='Detalle'!$K863,O$9&gt;='Detalle'!$J863),1,""))</x:f>
      </x:c>
      <x:c r="P1775" s="32" t="str">
        <x:f>IF(OR('Detalle'!$J863="",'Detalle'!$K863="",'Detalle'!$L863=""),"",IF(AND(P$8&lt;='Detalle'!$K863,P$9&gt;='Detalle'!$J863),1,""))</x:f>
      </x:c>
      <x:c r="Q1775" s="68"/>
      <x:c r="R1775" s="67" t="str"/>
      <x:c r="S1775" s="67" t="str"/>
    </x:row>
    <x:row r="1776" ht="16" customHeight="1">
      <x:c r="A1776" s="56" t="str">
        <x:v>FIS02.010</x:v>
      </x:c>
      <x:c r="B1776" s="57" t="str">
        <x:v>Enviar aplicación a segundo plano</x:v>
      </x:c>
      <x:c r="C1776" s="62" t="str">
        <x:v>E</x:v>
      </x:c>
      <x:c r="D1776" s="64" t="n">
        <x:f>'Detalle'!I864</x:f>
        <x:v>2</x:v>
      </x:c>
      <x:c r="E1776" s="60" t="str">
        <x:f>'Detalle'!F864</x:f>
        <x:v>Pendiente</x:v>
      </x:c>
      <x:c r="F1776" s="32" t="str">
        <x:f>IF(AND(F$8&lt;='Detalle'!$H864,F$9&gt;='Detalle'!$G864),1,"")</x:f>
      </x:c>
      <x:c r="G1776" s="32" t="str">
        <x:f>IF(AND(G$8&lt;='Detalle'!$H864,G$9&gt;='Detalle'!$G864),1,"")</x:f>
      </x:c>
      <x:c r="H1776" s="32" t="str">
        <x:f>IF(AND(H$8&lt;='Detalle'!$H864,H$9&gt;='Detalle'!$G864),1,"")</x:f>
      </x:c>
      <x:c r="I1776" s="32" t="str">
        <x:f>IF(AND(I$8&lt;='Detalle'!$H864,I$9&gt;='Detalle'!$G864),1,"")</x:f>
      </x:c>
      <x:c r="J1776" s="32" t="str">
        <x:f>IF(AND(J$8&lt;='Detalle'!$H864,J$9&gt;='Detalle'!$G864),1,"")</x:f>
      </x:c>
      <x:c r="K1776" s="32" t="n">
        <x:f>IF(AND(K$8&lt;='Detalle'!$H864,K$9&gt;='Detalle'!$G864),1,"")</x:f>
        <x:v>1</x:v>
      </x:c>
      <x:c r="L1776" s="32" t="n">
        <x:f>IF(AND(L$8&lt;='Detalle'!$H864,L$9&gt;='Detalle'!$G864),1,"")</x:f>
        <x:v>1</x:v>
      </x:c>
      <x:c r="M1776" s="32" t="str">
        <x:f>IF(AND(M$8&lt;='Detalle'!$H864,M$9&gt;='Detalle'!$G864),1,"")</x:f>
      </x:c>
      <x:c r="N1776" s="32" t="str">
        <x:f>IF(AND(N$8&lt;='Detalle'!$H864,N$9&gt;='Detalle'!$G864),1,"")</x:f>
      </x:c>
      <x:c r="O1776" s="32" t="str">
        <x:f>IF(AND(O$8&lt;='Detalle'!$H864,O$9&gt;='Detalle'!$G864),1,"")</x:f>
      </x:c>
      <x:c r="P1776" s="32" t="str">
        <x:f>IF(AND(P$8&lt;='Detalle'!$H864,P$9&gt;='Detalle'!$G864),1,"")</x:f>
      </x:c>
      <x:c r="Q1776" s="68"/>
      <x:c r="R1776" s="67" t="str">
        <x:f>IF('Detalle'!M864="","",'Detalle'!M864)</x:f>
      </x:c>
      <x:c r="S1776" s="67" t="str">
        <x:f>IF('Detalle'!N864="","",'Detalle'!N864)</x:f>
      </x:c>
    </x:row>
    <x:row r="1777" ht="16" customHeight="1">
      <x:c r="A1777" s="56" t="str">
        <x:v>FIS02.010</x:v>
      </x:c>
      <x:c r="B1777" s="57" t="str">
        <x:v>Enviar aplicación a segundo plano</x:v>
      </x:c>
      <x:c r="C1777" s="63" t="str">
        <x:v>R</x:v>
      </x:c>
      <x:c r="D1777" s="65" t="str">
        <x:f>IF('Detalle'!L864="","",'Detalle'!L864)</x:f>
      </x:c>
      <x:c r="E1777" s="60" t="str"/>
      <x:c r="F1777" s="32" t="str">
        <x:f>IF(OR('Detalle'!$J864="",'Detalle'!$K864="",'Detalle'!$L864=""),"",IF(AND(F$8&lt;='Detalle'!$K864,F$9&gt;='Detalle'!$J864),1,""))</x:f>
      </x:c>
      <x:c r="G1777" s="32" t="str">
        <x:f>IF(OR('Detalle'!$J864="",'Detalle'!$K864="",'Detalle'!$L864=""),"",IF(AND(G$8&lt;='Detalle'!$K864,G$9&gt;='Detalle'!$J864),1,""))</x:f>
      </x:c>
      <x:c r="H1777" s="32" t="str">
        <x:f>IF(OR('Detalle'!$J864="",'Detalle'!$K864="",'Detalle'!$L864=""),"",IF(AND(H$8&lt;='Detalle'!$K864,H$9&gt;='Detalle'!$J864),1,""))</x:f>
      </x:c>
      <x:c r="I1777" s="32" t="str">
        <x:f>IF(OR('Detalle'!$J864="",'Detalle'!$K864="",'Detalle'!$L864=""),"",IF(AND(I$8&lt;='Detalle'!$K864,I$9&gt;='Detalle'!$J864),1,""))</x:f>
      </x:c>
      <x:c r="J1777" s="32" t="str">
        <x:f>IF(OR('Detalle'!$J864="",'Detalle'!$K864="",'Detalle'!$L864=""),"",IF(AND(J$8&lt;='Detalle'!$K864,J$9&gt;='Detalle'!$J864),1,""))</x:f>
      </x:c>
      <x:c r="K1777" s="32" t="str">
        <x:f>IF(OR('Detalle'!$J864="",'Detalle'!$K864="",'Detalle'!$L864=""),"",IF(AND(K$8&lt;='Detalle'!$K864,K$9&gt;='Detalle'!$J864),1,""))</x:f>
      </x:c>
      <x:c r="L1777" s="32" t="str">
        <x:f>IF(OR('Detalle'!$J864="",'Detalle'!$K864="",'Detalle'!$L864=""),"",IF(AND(L$8&lt;='Detalle'!$K864,L$9&gt;='Detalle'!$J864),1,""))</x:f>
      </x:c>
      <x:c r="M1777" s="32" t="str">
        <x:f>IF(OR('Detalle'!$J864="",'Detalle'!$K864="",'Detalle'!$L864=""),"",IF(AND(M$8&lt;='Detalle'!$K864,M$9&gt;='Detalle'!$J864),1,""))</x:f>
      </x:c>
      <x:c r="N1777" s="32" t="str">
        <x:f>IF(OR('Detalle'!$J864="",'Detalle'!$K864="",'Detalle'!$L864=""),"",IF(AND(N$8&lt;='Detalle'!$K864,N$9&gt;='Detalle'!$J864),1,""))</x:f>
      </x:c>
      <x:c r="O1777" s="32" t="str">
        <x:f>IF(OR('Detalle'!$J864="",'Detalle'!$K864="",'Detalle'!$L864=""),"",IF(AND(O$8&lt;='Detalle'!$K864,O$9&gt;='Detalle'!$J864),1,""))</x:f>
      </x:c>
      <x:c r="P1777" s="32" t="str">
        <x:f>IF(OR('Detalle'!$J864="",'Detalle'!$K864="",'Detalle'!$L864=""),"",IF(AND(P$8&lt;='Detalle'!$K864,P$9&gt;='Detalle'!$J864),1,""))</x:f>
      </x:c>
      <x:c r="Q1777" s="68"/>
      <x:c r="R1777" s="67" t="str"/>
      <x:c r="S1777" s="67" t="str"/>
    </x:row>
    <x:row r="1778" ht="16" customHeight="1">
      <x:c r="A1778" s="56" t="str">
        <x:v>FIS02.011</x:v>
      </x:c>
      <x:c r="B1778" s="57" t="str">
        <x:v>Apagar y reanudar pantalla</x:v>
      </x:c>
      <x:c r="C1778" s="62" t="str">
        <x:v>E</x:v>
      </x:c>
      <x:c r="D1778" s="64" t="n">
        <x:f>'Detalle'!I865</x:f>
        <x:v>2</x:v>
      </x:c>
      <x:c r="E1778" s="60" t="str">
        <x:f>'Detalle'!F865</x:f>
        <x:v>Pendiente</x:v>
      </x:c>
      <x:c r="F1778" s="32" t="str">
        <x:f>IF(AND(F$8&lt;='Detalle'!$H865,F$9&gt;='Detalle'!$G865),1,"")</x:f>
      </x:c>
      <x:c r="G1778" s="32" t="str">
        <x:f>IF(AND(G$8&lt;='Detalle'!$H865,G$9&gt;='Detalle'!$G865),1,"")</x:f>
      </x:c>
      <x:c r="H1778" s="32" t="str">
        <x:f>IF(AND(H$8&lt;='Detalle'!$H865,H$9&gt;='Detalle'!$G865),1,"")</x:f>
      </x:c>
      <x:c r="I1778" s="32" t="str">
        <x:f>IF(AND(I$8&lt;='Detalle'!$H865,I$9&gt;='Detalle'!$G865),1,"")</x:f>
      </x:c>
      <x:c r="J1778" s="32" t="str">
        <x:f>IF(AND(J$8&lt;='Detalle'!$H865,J$9&gt;='Detalle'!$G865),1,"")</x:f>
      </x:c>
      <x:c r="K1778" s="32" t="n">
        <x:f>IF(AND(K$8&lt;='Detalle'!$H865,K$9&gt;='Detalle'!$G865),1,"")</x:f>
        <x:v>1</x:v>
      </x:c>
      <x:c r="L1778" s="32" t="n">
        <x:f>IF(AND(L$8&lt;='Detalle'!$H865,L$9&gt;='Detalle'!$G865),1,"")</x:f>
        <x:v>1</x:v>
      </x:c>
      <x:c r="M1778" s="32" t="str">
        <x:f>IF(AND(M$8&lt;='Detalle'!$H865,M$9&gt;='Detalle'!$G865),1,"")</x:f>
      </x:c>
      <x:c r="N1778" s="32" t="str">
        <x:f>IF(AND(N$8&lt;='Detalle'!$H865,N$9&gt;='Detalle'!$G865),1,"")</x:f>
      </x:c>
      <x:c r="O1778" s="32" t="str">
        <x:f>IF(AND(O$8&lt;='Detalle'!$H865,O$9&gt;='Detalle'!$G865),1,"")</x:f>
      </x:c>
      <x:c r="P1778" s="32" t="str">
        <x:f>IF(AND(P$8&lt;='Detalle'!$H865,P$9&gt;='Detalle'!$G865),1,"")</x:f>
      </x:c>
      <x:c r="Q1778" s="68"/>
      <x:c r="R1778" s="67" t="str">
        <x:f>IF('Detalle'!M865="","",'Detalle'!M865)</x:f>
      </x:c>
      <x:c r="S1778" s="67" t="str">
        <x:f>IF('Detalle'!N865="","",'Detalle'!N865)</x:f>
      </x:c>
    </x:row>
    <x:row r="1779" ht="16" customHeight="1">
      <x:c r="A1779" s="56" t="str">
        <x:v>FIS02.011</x:v>
      </x:c>
      <x:c r="B1779" s="57" t="str">
        <x:v>Apagar y reanudar pantalla</x:v>
      </x:c>
      <x:c r="C1779" s="63" t="str">
        <x:v>R</x:v>
      </x:c>
      <x:c r="D1779" s="65" t="str">
        <x:f>IF('Detalle'!L865="","",'Detalle'!L865)</x:f>
      </x:c>
      <x:c r="E1779" s="60" t="str"/>
      <x:c r="F1779" s="32" t="str">
        <x:f>IF(OR('Detalle'!$J865="",'Detalle'!$K865="",'Detalle'!$L865=""),"",IF(AND(F$8&lt;='Detalle'!$K865,F$9&gt;='Detalle'!$J865),1,""))</x:f>
      </x:c>
      <x:c r="G1779" s="32" t="str">
        <x:f>IF(OR('Detalle'!$J865="",'Detalle'!$K865="",'Detalle'!$L865=""),"",IF(AND(G$8&lt;='Detalle'!$K865,G$9&gt;='Detalle'!$J865),1,""))</x:f>
      </x:c>
      <x:c r="H1779" s="32" t="str">
        <x:f>IF(OR('Detalle'!$J865="",'Detalle'!$K865="",'Detalle'!$L865=""),"",IF(AND(H$8&lt;='Detalle'!$K865,H$9&gt;='Detalle'!$J865),1,""))</x:f>
      </x:c>
      <x:c r="I1779" s="32" t="str">
        <x:f>IF(OR('Detalle'!$J865="",'Detalle'!$K865="",'Detalle'!$L865=""),"",IF(AND(I$8&lt;='Detalle'!$K865,I$9&gt;='Detalle'!$J865),1,""))</x:f>
      </x:c>
      <x:c r="J1779" s="32" t="str">
        <x:f>IF(OR('Detalle'!$J865="",'Detalle'!$K865="",'Detalle'!$L865=""),"",IF(AND(J$8&lt;='Detalle'!$K865,J$9&gt;='Detalle'!$J865),1,""))</x:f>
      </x:c>
      <x:c r="K1779" s="32" t="str">
        <x:f>IF(OR('Detalle'!$J865="",'Detalle'!$K865="",'Detalle'!$L865=""),"",IF(AND(K$8&lt;='Detalle'!$K865,K$9&gt;='Detalle'!$J865),1,""))</x:f>
      </x:c>
      <x:c r="L1779" s="32" t="str">
        <x:f>IF(OR('Detalle'!$J865="",'Detalle'!$K865="",'Detalle'!$L865=""),"",IF(AND(L$8&lt;='Detalle'!$K865,L$9&gt;='Detalle'!$J865),1,""))</x:f>
      </x:c>
      <x:c r="M1779" s="32" t="str">
        <x:f>IF(OR('Detalle'!$J865="",'Detalle'!$K865="",'Detalle'!$L865=""),"",IF(AND(M$8&lt;='Detalle'!$K865,M$9&gt;='Detalle'!$J865),1,""))</x:f>
      </x:c>
      <x:c r="N1779" s="32" t="str">
        <x:f>IF(OR('Detalle'!$J865="",'Detalle'!$K865="",'Detalle'!$L865=""),"",IF(AND(N$8&lt;='Detalle'!$K865,N$9&gt;='Detalle'!$J865),1,""))</x:f>
      </x:c>
      <x:c r="O1779" s="32" t="str">
        <x:f>IF(OR('Detalle'!$J865="",'Detalle'!$K865="",'Detalle'!$L865=""),"",IF(AND(O$8&lt;='Detalle'!$K865,O$9&gt;='Detalle'!$J865),1,""))</x:f>
      </x:c>
      <x:c r="P1779" s="32" t="str">
        <x:f>IF(OR('Detalle'!$J865="",'Detalle'!$K865="",'Detalle'!$L865=""),"",IF(AND(P$8&lt;='Detalle'!$K865,P$9&gt;='Detalle'!$J865),1,""))</x:f>
      </x:c>
      <x:c r="Q1779" s="68"/>
      <x:c r="R1779" s="67" t="str"/>
      <x:c r="S1779" s="67" t="str"/>
    </x:row>
    <x:row r="1780" ht="16" customHeight="1">
      <x:c r="A1780" s="56" t="str">
        <x:v>FIS02.012</x:v>
      </x:c>
      <x:c r="B1780" s="57" t="str">
        <x:v>Abrir contenido y regresar durante AR</x:v>
      </x:c>
      <x:c r="C1780" s="62" t="str">
        <x:v>E</x:v>
      </x:c>
      <x:c r="D1780" s="64" t="n">
        <x:f>'Detalle'!I866</x:f>
        <x:v>2</x:v>
      </x:c>
      <x:c r="E1780" s="60" t="str">
        <x:f>'Detalle'!F866</x:f>
        <x:v>Pendiente</x:v>
      </x:c>
      <x:c r="F1780" s="32" t="str">
        <x:f>IF(AND(F$8&lt;='Detalle'!$H866,F$9&gt;='Detalle'!$G866),1,"")</x:f>
      </x:c>
      <x:c r="G1780" s="32" t="str">
        <x:f>IF(AND(G$8&lt;='Detalle'!$H866,G$9&gt;='Detalle'!$G866),1,"")</x:f>
      </x:c>
      <x:c r="H1780" s="32" t="str">
        <x:f>IF(AND(H$8&lt;='Detalle'!$H866,H$9&gt;='Detalle'!$G866),1,"")</x:f>
      </x:c>
      <x:c r="I1780" s="32" t="str">
        <x:f>IF(AND(I$8&lt;='Detalle'!$H866,I$9&gt;='Detalle'!$G866),1,"")</x:f>
      </x:c>
      <x:c r="J1780" s="32" t="str">
        <x:f>IF(AND(J$8&lt;='Detalle'!$H866,J$9&gt;='Detalle'!$G866),1,"")</x:f>
      </x:c>
      <x:c r="K1780" s="32" t="n">
        <x:f>IF(AND(K$8&lt;='Detalle'!$H866,K$9&gt;='Detalle'!$G866),1,"")</x:f>
        <x:v>1</x:v>
      </x:c>
      <x:c r="L1780" s="32" t="n">
        <x:f>IF(AND(L$8&lt;='Detalle'!$H866,L$9&gt;='Detalle'!$G866),1,"")</x:f>
        <x:v>1</x:v>
      </x:c>
      <x:c r="M1780" s="32" t="str">
        <x:f>IF(AND(M$8&lt;='Detalle'!$H866,M$9&gt;='Detalle'!$G866),1,"")</x:f>
      </x:c>
      <x:c r="N1780" s="32" t="str">
        <x:f>IF(AND(N$8&lt;='Detalle'!$H866,N$9&gt;='Detalle'!$G866),1,"")</x:f>
      </x:c>
      <x:c r="O1780" s="32" t="str">
        <x:f>IF(AND(O$8&lt;='Detalle'!$H866,O$9&gt;='Detalle'!$G866),1,"")</x:f>
      </x:c>
      <x:c r="P1780" s="32" t="str">
        <x:f>IF(AND(P$8&lt;='Detalle'!$H866,P$9&gt;='Detalle'!$G866),1,"")</x:f>
      </x:c>
      <x:c r="Q1780" s="68"/>
      <x:c r="R1780" s="67" t="str">
        <x:f>IF('Detalle'!M866="","",'Detalle'!M866)</x:f>
      </x:c>
      <x:c r="S1780" s="67" t="str">
        <x:f>IF('Detalle'!N866="","",'Detalle'!N866)</x:f>
      </x:c>
    </x:row>
    <x:row r="1781" ht="16" customHeight="1">
      <x:c r="A1781" s="56" t="str">
        <x:v>FIS02.012</x:v>
      </x:c>
      <x:c r="B1781" s="57" t="str">
        <x:v>Abrir contenido y regresar durante AR</x:v>
      </x:c>
      <x:c r="C1781" s="63" t="str">
        <x:v>R</x:v>
      </x:c>
      <x:c r="D1781" s="65" t="str">
        <x:f>IF('Detalle'!L866="","",'Detalle'!L866)</x:f>
      </x:c>
      <x:c r="E1781" s="60" t="str"/>
      <x:c r="F1781" s="32" t="str">
        <x:f>IF(OR('Detalle'!$J866="",'Detalle'!$K866="",'Detalle'!$L866=""),"",IF(AND(F$8&lt;='Detalle'!$K866,F$9&gt;='Detalle'!$J866),1,""))</x:f>
      </x:c>
      <x:c r="G1781" s="32" t="str">
        <x:f>IF(OR('Detalle'!$J866="",'Detalle'!$K866="",'Detalle'!$L866=""),"",IF(AND(G$8&lt;='Detalle'!$K866,G$9&gt;='Detalle'!$J866),1,""))</x:f>
      </x:c>
      <x:c r="H1781" s="32" t="str">
        <x:f>IF(OR('Detalle'!$J866="",'Detalle'!$K866="",'Detalle'!$L866=""),"",IF(AND(H$8&lt;='Detalle'!$K866,H$9&gt;='Detalle'!$J866),1,""))</x:f>
      </x:c>
      <x:c r="I1781" s="32" t="str">
        <x:f>IF(OR('Detalle'!$J866="",'Detalle'!$K866="",'Detalle'!$L866=""),"",IF(AND(I$8&lt;='Detalle'!$K866,I$9&gt;='Detalle'!$J866),1,""))</x:f>
      </x:c>
      <x:c r="J1781" s="32" t="str">
        <x:f>IF(OR('Detalle'!$J866="",'Detalle'!$K866="",'Detalle'!$L866=""),"",IF(AND(J$8&lt;='Detalle'!$K866,J$9&gt;='Detalle'!$J866),1,""))</x:f>
      </x:c>
      <x:c r="K1781" s="32" t="str">
        <x:f>IF(OR('Detalle'!$J866="",'Detalle'!$K866="",'Detalle'!$L866=""),"",IF(AND(K$8&lt;='Detalle'!$K866,K$9&gt;='Detalle'!$J866),1,""))</x:f>
      </x:c>
      <x:c r="L1781" s="32" t="str">
        <x:f>IF(OR('Detalle'!$J866="",'Detalle'!$K866="",'Detalle'!$L866=""),"",IF(AND(L$8&lt;='Detalle'!$K866,L$9&gt;='Detalle'!$J866),1,""))</x:f>
      </x:c>
      <x:c r="M1781" s="32" t="str">
        <x:f>IF(OR('Detalle'!$J866="",'Detalle'!$K866="",'Detalle'!$L866=""),"",IF(AND(M$8&lt;='Detalle'!$K866,M$9&gt;='Detalle'!$J866),1,""))</x:f>
      </x:c>
      <x:c r="N1781" s="32" t="str">
        <x:f>IF(OR('Detalle'!$J866="",'Detalle'!$K866="",'Detalle'!$L866=""),"",IF(AND(N$8&lt;='Detalle'!$K866,N$9&gt;='Detalle'!$J866),1,""))</x:f>
      </x:c>
      <x:c r="O1781" s="32" t="str">
        <x:f>IF(OR('Detalle'!$J866="",'Detalle'!$K866="",'Detalle'!$L866=""),"",IF(AND(O$8&lt;='Detalle'!$K866,O$9&gt;='Detalle'!$J866),1,""))</x:f>
      </x:c>
      <x:c r="P1781" s="32" t="str">
        <x:f>IF(OR('Detalle'!$J866="",'Detalle'!$K866="",'Detalle'!$L866=""),"",IF(AND(P$8&lt;='Detalle'!$K866,P$9&gt;='Detalle'!$J866),1,""))</x:f>
      </x:c>
      <x:c r="Q1781" s="68"/>
      <x:c r="R1781" s="67" t="str"/>
      <x:c r="S1781" s="67" t="str"/>
    </x:row>
    <x:row r="1782" ht="16" customHeight="1">
      <x:c r="A1782" s="56" t="str">
        <x:v>FIS02.013</x:v>
      </x:c>
      <x:c r="B1782" s="57" t="str">
        <x:v>Cambiar de parada durante descarga</x:v>
      </x:c>
      <x:c r="C1782" s="62" t="str">
        <x:v>E</x:v>
      </x:c>
      <x:c r="D1782" s="64" t="n">
        <x:f>'Detalle'!I867</x:f>
        <x:v>2</x:v>
      </x:c>
      <x:c r="E1782" s="60" t="str">
        <x:f>'Detalle'!F867</x:f>
        <x:v>Pendiente</x:v>
      </x:c>
      <x:c r="F1782" s="32" t="str">
        <x:f>IF(AND(F$8&lt;='Detalle'!$H867,F$9&gt;='Detalle'!$G867),1,"")</x:f>
      </x:c>
      <x:c r="G1782" s="32" t="str">
        <x:f>IF(AND(G$8&lt;='Detalle'!$H867,G$9&gt;='Detalle'!$G867),1,"")</x:f>
      </x:c>
      <x:c r="H1782" s="32" t="str">
        <x:f>IF(AND(H$8&lt;='Detalle'!$H867,H$9&gt;='Detalle'!$G867),1,"")</x:f>
      </x:c>
      <x:c r="I1782" s="32" t="str">
        <x:f>IF(AND(I$8&lt;='Detalle'!$H867,I$9&gt;='Detalle'!$G867),1,"")</x:f>
      </x:c>
      <x:c r="J1782" s="32" t="str">
        <x:f>IF(AND(J$8&lt;='Detalle'!$H867,J$9&gt;='Detalle'!$G867),1,"")</x:f>
      </x:c>
      <x:c r="K1782" s="32" t="n">
        <x:f>IF(AND(K$8&lt;='Detalle'!$H867,K$9&gt;='Detalle'!$G867),1,"")</x:f>
        <x:v>1</x:v>
      </x:c>
      <x:c r="L1782" s="32" t="n">
        <x:f>IF(AND(L$8&lt;='Detalle'!$H867,L$9&gt;='Detalle'!$G867),1,"")</x:f>
        <x:v>1</x:v>
      </x:c>
      <x:c r="M1782" s="32" t="str">
        <x:f>IF(AND(M$8&lt;='Detalle'!$H867,M$9&gt;='Detalle'!$G867),1,"")</x:f>
      </x:c>
      <x:c r="N1782" s="32" t="str">
        <x:f>IF(AND(N$8&lt;='Detalle'!$H867,N$9&gt;='Detalle'!$G867),1,"")</x:f>
      </x:c>
      <x:c r="O1782" s="32" t="str">
        <x:f>IF(AND(O$8&lt;='Detalle'!$H867,O$9&gt;='Detalle'!$G867),1,"")</x:f>
      </x:c>
      <x:c r="P1782" s="32" t="str">
        <x:f>IF(AND(P$8&lt;='Detalle'!$H867,P$9&gt;='Detalle'!$G867),1,"")</x:f>
      </x:c>
      <x:c r="Q1782" s="68"/>
      <x:c r="R1782" s="67" t="str">
        <x:f>IF('Detalle'!M867="","",'Detalle'!M867)</x:f>
      </x:c>
      <x:c r="S1782" s="67" t="str">
        <x:f>IF('Detalle'!N867="","",'Detalle'!N867)</x:f>
      </x:c>
    </x:row>
    <x:row r="1783" ht="16" customHeight="1">
      <x:c r="A1783" s="56" t="str">
        <x:v>FIS02.013</x:v>
      </x:c>
      <x:c r="B1783" s="57" t="str">
        <x:v>Cambiar de parada durante descarga</x:v>
      </x:c>
      <x:c r="C1783" s="63" t="str">
        <x:v>R</x:v>
      </x:c>
      <x:c r="D1783" s="65" t="str">
        <x:f>IF('Detalle'!L867="","",'Detalle'!L867)</x:f>
      </x:c>
      <x:c r="E1783" s="60" t="str"/>
      <x:c r="F1783" s="32" t="str">
        <x:f>IF(OR('Detalle'!$J867="",'Detalle'!$K867="",'Detalle'!$L867=""),"",IF(AND(F$8&lt;='Detalle'!$K867,F$9&gt;='Detalle'!$J867),1,""))</x:f>
      </x:c>
      <x:c r="G1783" s="32" t="str">
        <x:f>IF(OR('Detalle'!$J867="",'Detalle'!$K867="",'Detalle'!$L867=""),"",IF(AND(G$8&lt;='Detalle'!$K867,G$9&gt;='Detalle'!$J867),1,""))</x:f>
      </x:c>
      <x:c r="H1783" s="32" t="str">
        <x:f>IF(OR('Detalle'!$J867="",'Detalle'!$K867="",'Detalle'!$L867=""),"",IF(AND(H$8&lt;='Detalle'!$K867,H$9&gt;='Detalle'!$J867),1,""))</x:f>
      </x:c>
      <x:c r="I1783" s="32" t="str">
        <x:f>IF(OR('Detalle'!$J867="",'Detalle'!$K867="",'Detalle'!$L867=""),"",IF(AND(I$8&lt;='Detalle'!$K867,I$9&gt;='Detalle'!$J867),1,""))</x:f>
      </x:c>
      <x:c r="J1783" s="32" t="str">
        <x:f>IF(OR('Detalle'!$J867="",'Detalle'!$K867="",'Detalle'!$L867=""),"",IF(AND(J$8&lt;='Detalle'!$K867,J$9&gt;='Detalle'!$J867),1,""))</x:f>
      </x:c>
      <x:c r="K1783" s="32" t="str">
        <x:f>IF(OR('Detalle'!$J867="",'Detalle'!$K867="",'Detalle'!$L867=""),"",IF(AND(K$8&lt;='Detalle'!$K867,K$9&gt;='Detalle'!$J867),1,""))</x:f>
      </x:c>
      <x:c r="L1783" s="32" t="str">
        <x:f>IF(OR('Detalle'!$J867="",'Detalle'!$K867="",'Detalle'!$L867=""),"",IF(AND(L$8&lt;='Detalle'!$K867,L$9&gt;='Detalle'!$J867),1,""))</x:f>
      </x:c>
      <x:c r="M1783" s="32" t="str">
        <x:f>IF(OR('Detalle'!$J867="",'Detalle'!$K867="",'Detalle'!$L867=""),"",IF(AND(M$8&lt;='Detalle'!$K867,M$9&gt;='Detalle'!$J867),1,""))</x:f>
      </x:c>
      <x:c r="N1783" s="32" t="str">
        <x:f>IF(OR('Detalle'!$J867="",'Detalle'!$K867="",'Detalle'!$L867=""),"",IF(AND(N$8&lt;='Detalle'!$K867,N$9&gt;='Detalle'!$J867),1,""))</x:f>
      </x:c>
      <x:c r="O1783" s="32" t="str">
        <x:f>IF(OR('Detalle'!$J867="",'Detalle'!$K867="",'Detalle'!$L867=""),"",IF(AND(O$8&lt;='Detalle'!$K867,O$9&gt;='Detalle'!$J867),1,""))</x:f>
      </x:c>
      <x:c r="P1783" s="32" t="str">
        <x:f>IF(OR('Detalle'!$J867="",'Detalle'!$K867="",'Detalle'!$L867=""),"",IF(AND(P$8&lt;='Detalle'!$K867,P$9&gt;='Detalle'!$J867),1,""))</x:f>
      </x:c>
      <x:c r="Q1783" s="68"/>
      <x:c r="R1783" s="67" t="str"/>
      <x:c r="S1783" s="67" t="str"/>
    </x:row>
    <x:row r="1784" ht="16" customHeight="1">
      <x:c r="A1784" s="56" t="str">
        <x:v>FIS02.014</x:v>
      </x:c>
      <x:c r="B1784" s="57" t="str">
        <x:v>Cambiar cuenta durante AR</x:v>
      </x:c>
      <x:c r="C1784" s="62" t="str">
        <x:v>E</x:v>
      </x:c>
      <x:c r="D1784" s="64" t="n">
        <x:f>'Detalle'!I868</x:f>
        <x:v>2</x:v>
      </x:c>
      <x:c r="E1784" s="60" t="str">
        <x:f>'Detalle'!F868</x:f>
        <x:v>Pendiente</x:v>
      </x:c>
      <x:c r="F1784" s="32" t="str">
        <x:f>IF(AND(F$8&lt;='Detalle'!$H868,F$9&gt;='Detalle'!$G868),1,"")</x:f>
      </x:c>
      <x:c r="G1784" s="32" t="str">
        <x:f>IF(AND(G$8&lt;='Detalle'!$H868,G$9&gt;='Detalle'!$G868),1,"")</x:f>
      </x:c>
      <x:c r="H1784" s="32" t="str">
        <x:f>IF(AND(H$8&lt;='Detalle'!$H868,H$9&gt;='Detalle'!$G868),1,"")</x:f>
      </x:c>
      <x:c r="I1784" s="32" t="str">
        <x:f>IF(AND(I$8&lt;='Detalle'!$H868,I$9&gt;='Detalle'!$G868),1,"")</x:f>
      </x:c>
      <x:c r="J1784" s="32" t="str">
        <x:f>IF(AND(J$8&lt;='Detalle'!$H868,J$9&gt;='Detalle'!$G868),1,"")</x:f>
      </x:c>
      <x:c r="K1784" s="32" t="n">
        <x:f>IF(AND(K$8&lt;='Detalle'!$H868,K$9&gt;='Detalle'!$G868),1,"")</x:f>
        <x:v>1</x:v>
      </x:c>
      <x:c r="L1784" s="32" t="n">
        <x:f>IF(AND(L$8&lt;='Detalle'!$H868,L$9&gt;='Detalle'!$G868),1,"")</x:f>
        <x:v>1</x:v>
      </x:c>
      <x:c r="M1784" s="32" t="str">
        <x:f>IF(AND(M$8&lt;='Detalle'!$H868,M$9&gt;='Detalle'!$G868),1,"")</x:f>
      </x:c>
      <x:c r="N1784" s="32" t="str">
        <x:f>IF(AND(N$8&lt;='Detalle'!$H868,N$9&gt;='Detalle'!$G868),1,"")</x:f>
      </x:c>
      <x:c r="O1784" s="32" t="str">
        <x:f>IF(AND(O$8&lt;='Detalle'!$H868,O$9&gt;='Detalle'!$G868),1,"")</x:f>
      </x:c>
      <x:c r="P1784" s="32" t="str">
        <x:f>IF(AND(P$8&lt;='Detalle'!$H868,P$9&gt;='Detalle'!$G868),1,"")</x:f>
      </x:c>
      <x:c r="Q1784" s="68"/>
      <x:c r="R1784" s="67" t="str">
        <x:f>IF('Detalle'!M868="","",'Detalle'!M868)</x:f>
      </x:c>
      <x:c r="S1784" s="67" t="str">
        <x:f>IF('Detalle'!N868="","",'Detalle'!N868)</x:f>
      </x:c>
    </x:row>
    <x:row r="1785" ht="16" customHeight="1">
      <x:c r="A1785" s="56" t="str">
        <x:v>FIS02.014</x:v>
      </x:c>
      <x:c r="B1785" s="57" t="str">
        <x:v>Cambiar cuenta durante AR</x:v>
      </x:c>
      <x:c r="C1785" s="63" t="str">
        <x:v>R</x:v>
      </x:c>
      <x:c r="D1785" s="65" t="str">
        <x:f>IF('Detalle'!L868="","",'Detalle'!L868)</x:f>
      </x:c>
      <x:c r="E1785" s="60" t="str"/>
      <x:c r="F1785" s="32" t="str">
        <x:f>IF(OR('Detalle'!$J868="",'Detalle'!$K868="",'Detalle'!$L868=""),"",IF(AND(F$8&lt;='Detalle'!$K868,F$9&gt;='Detalle'!$J868),1,""))</x:f>
      </x:c>
      <x:c r="G1785" s="32" t="str">
        <x:f>IF(OR('Detalle'!$J868="",'Detalle'!$K868="",'Detalle'!$L868=""),"",IF(AND(G$8&lt;='Detalle'!$K868,G$9&gt;='Detalle'!$J868),1,""))</x:f>
      </x:c>
      <x:c r="H1785" s="32" t="str">
        <x:f>IF(OR('Detalle'!$J868="",'Detalle'!$K868="",'Detalle'!$L868=""),"",IF(AND(H$8&lt;='Detalle'!$K868,H$9&gt;='Detalle'!$J868),1,""))</x:f>
      </x:c>
      <x:c r="I1785" s="32" t="str">
        <x:f>IF(OR('Detalle'!$J868="",'Detalle'!$K868="",'Detalle'!$L868=""),"",IF(AND(I$8&lt;='Detalle'!$K868,I$9&gt;='Detalle'!$J868),1,""))</x:f>
      </x:c>
      <x:c r="J1785" s="32" t="str">
        <x:f>IF(OR('Detalle'!$J868="",'Detalle'!$K868="",'Detalle'!$L868=""),"",IF(AND(J$8&lt;='Detalle'!$K868,J$9&gt;='Detalle'!$J868),1,""))</x:f>
      </x:c>
      <x:c r="K1785" s="32" t="str">
        <x:f>IF(OR('Detalle'!$J868="",'Detalle'!$K868="",'Detalle'!$L868=""),"",IF(AND(K$8&lt;='Detalle'!$K868,K$9&gt;='Detalle'!$J868),1,""))</x:f>
      </x:c>
      <x:c r="L1785" s="32" t="str">
        <x:f>IF(OR('Detalle'!$J868="",'Detalle'!$K868="",'Detalle'!$L868=""),"",IF(AND(L$8&lt;='Detalle'!$K868,L$9&gt;='Detalle'!$J868),1,""))</x:f>
      </x:c>
      <x:c r="M1785" s="32" t="str">
        <x:f>IF(OR('Detalle'!$J868="",'Detalle'!$K868="",'Detalle'!$L868=""),"",IF(AND(M$8&lt;='Detalle'!$K868,M$9&gt;='Detalle'!$J868),1,""))</x:f>
      </x:c>
      <x:c r="N1785" s="32" t="str">
        <x:f>IF(OR('Detalle'!$J868="",'Detalle'!$K868="",'Detalle'!$L868=""),"",IF(AND(N$8&lt;='Detalle'!$K868,N$9&gt;='Detalle'!$J868),1,""))</x:f>
      </x:c>
      <x:c r="O1785" s="32" t="str">
        <x:f>IF(OR('Detalle'!$J868="",'Detalle'!$K868="",'Detalle'!$L868=""),"",IF(AND(O$8&lt;='Detalle'!$K868,O$9&gt;='Detalle'!$J868),1,""))</x:f>
      </x:c>
      <x:c r="P1785" s="32" t="str">
        <x:f>IF(OR('Detalle'!$J868="",'Detalle'!$K868="",'Detalle'!$L868=""),"",IF(AND(P$8&lt;='Detalle'!$K868,P$9&gt;='Detalle'!$J868),1,""))</x:f>
      </x:c>
      <x:c r="Q1785" s="68"/>
      <x:c r="R1785" s="67" t="str"/>
      <x:c r="S1785" s="67" t="str"/>
    </x:row>
    <x:row r="1786" ht="16" customHeight="1">
      <x:c r="A1786" s="56" t="str">
        <x:v>FIS02.015</x:v>
      </x:c>
      <x:c r="B1786" s="57" t="str">
        <x:v>Cambiar mobiliario del espacio</x:v>
      </x:c>
      <x:c r="C1786" s="62" t="str">
        <x:v>E</x:v>
      </x:c>
      <x:c r="D1786" s="64" t="n">
        <x:f>'Detalle'!I869</x:f>
        <x:v>2</x:v>
      </x:c>
      <x:c r="E1786" s="60" t="str">
        <x:f>'Detalle'!F869</x:f>
        <x:v>Pendiente</x:v>
      </x:c>
      <x:c r="F1786" s="32" t="str">
        <x:f>IF(AND(F$8&lt;='Detalle'!$H869,F$9&gt;='Detalle'!$G869),1,"")</x:f>
      </x:c>
      <x:c r="G1786" s="32" t="str">
        <x:f>IF(AND(G$8&lt;='Detalle'!$H869,G$9&gt;='Detalle'!$G869),1,"")</x:f>
      </x:c>
      <x:c r="H1786" s="32" t="str">
        <x:f>IF(AND(H$8&lt;='Detalle'!$H869,H$9&gt;='Detalle'!$G869),1,"")</x:f>
      </x:c>
      <x:c r="I1786" s="32" t="str">
        <x:f>IF(AND(I$8&lt;='Detalle'!$H869,I$9&gt;='Detalle'!$G869),1,"")</x:f>
      </x:c>
      <x:c r="J1786" s="32" t="str">
        <x:f>IF(AND(J$8&lt;='Detalle'!$H869,J$9&gt;='Detalle'!$G869),1,"")</x:f>
      </x:c>
      <x:c r="K1786" s="32" t="n">
        <x:f>IF(AND(K$8&lt;='Detalle'!$H869,K$9&gt;='Detalle'!$G869),1,"")</x:f>
        <x:v>1</x:v>
      </x:c>
      <x:c r="L1786" s="32" t="n">
        <x:f>IF(AND(L$8&lt;='Detalle'!$H869,L$9&gt;='Detalle'!$G869),1,"")</x:f>
        <x:v>1</x:v>
      </x:c>
      <x:c r="M1786" s="32" t="str">
        <x:f>IF(AND(M$8&lt;='Detalle'!$H869,M$9&gt;='Detalle'!$G869),1,"")</x:f>
      </x:c>
      <x:c r="N1786" s="32" t="str">
        <x:f>IF(AND(N$8&lt;='Detalle'!$H869,N$9&gt;='Detalle'!$G869),1,"")</x:f>
      </x:c>
      <x:c r="O1786" s="32" t="str">
        <x:f>IF(AND(O$8&lt;='Detalle'!$H869,O$9&gt;='Detalle'!$G869),1,"")</x:f>
      </x:c>
      <x:c r="P1786" s="32" t="str">
        <x:f>IF(AND(P$8&lt;='Detalle'!$H869,P$9&gt;='Detalle'!$G869),1,"")</x:f>
      </x:c>
      <x:c r="Q1786" s="68"/>
      <x:c r="R1786" s="67" t="str">
        <x:f>IF('Detalle'!M869="","",'Detalle'!M869)</x:f>
      </x:c>
      <x:c r="S1786" s="67" t="str">
        <x:f>IF('Detalle'!N869="","",'Detalle'!N869)</x:f>
      </x:c>
    </x:row>
    <x:row r="1787" ht="16" customHeight="1">
      <x:c r="A1787" s="56" t="str">
        <x:v>FIS02.015</x:v>
      </x:c>
      <x:c r="B1787" s="57" t="str">
        <x:v>Cambiar mobiliario del espacio</x:v>
      </x:c>
      <x:c r="C1787" s="63" t="str">
        <x:v>R</x:v>
      </x:c>
      <x:c r="D1787" s="65" t="str">
        <x:f>IF('Detalle'!L869="","",'Detalle'!L869)</x:f>
      </x:c>
      <x:c r="E1787" s="60" t="str"/>
      <x:c r="F1787" s="32" t="str">
        <x:f>IF(OR('Detalle'!$J869="",'Detalle'!$K869="",'Detalle'!$L869=""),"",IF(AND(F$8&lt;='Detalle'!$K869,F$9&gt;='Detalle'!$J869),1,""))</x:f>
      </x:c>
      <x:c r="G1787" s="32" t="str">
        <x:f>IF(OR('Detalle'!$J869="",'Detalle'!$K869="",'Detalle'!$L869=""),"",IF(AND(G$8&lt;='Detalle'!$K869,G$9&gt;='Detalle'!$J869),1,""))</x:f>
      </x:c>
      <x:c r="H1787" s="32" t="str">
        <x:f>IF(OR('Detalle'!$J869="",'Detalle'!$K869="",'Detalle'!$L869=""),"",IF(AND(H$8&lt;='Detalle'!$K869,H$9&gt;='Detalle'!$J869),1,""))</x:f>
      </x:c>
      <x:c r="I1787" s="32" t="str">
        <x:f>IF(OR('Detalle'!$J869="",'Detalle'!$K869="",'Detalle'!$L869=""),"",IF(AND(I$8&lt;='Detalle'!$K869,I$9&gt;='Detalle'!$J869),1,""))</x:f>
      </x:c>
      <x:c r="J1787" s="32" t="str">
        <x:f>IF(OR('Detalle'!$J869="",'Detalle'!$K869="",'Detalle'!$L869=""),"",IF(AND(J$8&lt;='Detalle'!$K869,J$9&gt;='Detalle'!$J869),1,""))</x:f>
      </x:c>
      <x:c r="K1787" s="32" t="str">
        <x:f>IF(OR('Detalle'!$J869="",'Detalle'!$K869="",'Detalle'!$L869=""),"",IF(AND(K$8&lt;='Detalle'!$K869,K$9&gt;='Detalle'!$J869),1,""))</x:f>
      </x:c>
      <x:c r="L1787" s="32" t="str">
        <x:f>IF(OR('Detalle'!$J869="",'Detalle'!$K869="",'Detalle'!$L869=""),"",IF(AND(L$8&lt;='Detalle'!$K869,L$9&gt;='Detalle'!$J869),1,""))</x:f>
      </x:c>
      <x:c r="M1787" s="32" t="str">
        <x:f>IF(OR('Detalle'!$J869="",'Detalle'!$K869="",'Detalle'!$L869=""),"",IF(AND(M$8&lt;='Detalle'!$K869,M$9&gt;='Detalle'!$J869),1,""))</x:f>
      </x:c>
      <x:c r="N1787" s="32" t="str">
        <x:f>IF(OR('Detalle'!$J869="",'Detalle'!$K869="",'Detalle'!$L869=""),"",IF(AND(N$8&lt;='Detalle'!$K869,N$9&gt;='Detalle'!$J869),1,""))</x:f>
      </x:c>
      <x:c r="O1787" s="32" t="str">
        <x:f>IF(OR('Detalle'!$J869="",'Detalle'!$K869="",'Detalle'!$L869=""),"",IF(AND(O$8&lt;='Detalle'!$K869,O$9&gt;='Detalle'!$J869),1,""))</x:f>
      </x:c>
      <x:c r="P1787" s="32" t="str">
        <x:f>IF(OR('Detalle'!$J869="",'Detalle'!$K869="",'Detalle'!$L869=""),"",IF(AND(P$8&lt;='Detalle'!$K869,P$9&gt;='Detalle'!$J869),1,""))</x:f>
      </x:c>
      <x:c r="Q1787" s="68"/>
      <x:c r="R1787" s="67" t="str"/>
      <x:c r="S1787" s="67" t="str"/>
    </x:row>
    <x:row r="1788" ht="16" customHeight="1">
      <x:c r="A1788" s="56" t="str">
        <x:v>FIS02.016</x:v>
      </x:c>
      <x:c r="B1788" s="57" t="str">
        <x:v>Comprobar ancho y colocación de señal</x:v>
      </x:c>
      <x:c r="C1788" s="62" t="str">
        <x:v>E</x:v>
      </x:c>
      <x:c r="D1788" s="64" t="n">
        <x:f>'Detalle'!I870</x:f>
        <x:v>2</x:v>
      </x:c>
      <x:c r="E1788" s="60" t="str">
        <x:f>'Detalle'!F870</x:f>
        <x:v>Pendiente</x:v>
      </x:c>
      <x:c r="F1788" s="32" t="str">
        <x:f>IF(AND(F$8&lt;='Detalle'!$H870,F$9&gt;='Detalle'!$G870),1,"")</x:f>
      </x:c>
      <x:c r="G1788" s="32" t="str">
        <x:f>IF(AND(G$8&lt;='Detalle'!$H870,G$9&gt;='Detalle'!$G870),1,"")</x:f>
      </x:c>
      <x:c r="H1788" s="32" t="str">
        <x:f>IF(AND(H$8&lt;='Detalle'!$H870,H$9&gt;='Detalle'!$G870),1,"")</x:f>
      </x:c>
      <x:c r="I1788" s="32" t="str">
        <x:f>IF(AND(I$8&lt;='Detalle'!$H870,I$9&gt;='Detalle'!$G870),1,"")</x:f>
      </x:c>
      <x:c r="J1788" s="32" t="str">
        <x:f>IF(AND(J$8&lt;='Detalle'!$H870,J$9&gt;='Detalle'!$G870),1,"")</x:f>
      </x:c>
      <x:c r="K1788" s="32" t="n">
        <x:f>IF(AND(K$8&lt;='Detalle'!$H870,K$9&gt;='Detalle'!$G870),1,"")</x:f>
        <x:v>1</x:v>
      </x:c>
      <x:c r="L1788" s="32" t="n">
        <x:f>IF(AND(L$8&lt;='Detalle'!$H870,L$9&gt;='Detalle'!$G870),1,"")</x:f>
        <x:v>1</x:v>
      </x:c>
      <x:c r="M1788" s="32" t="str">
        <x:f>IF(AND(M$8&lt;='Detalle'!$H870,M$9&gt;='Detalle'!$G870),1,"")</x:f>
      </x:c>
      <x:c r="N1788" s="32" t="str">
        <x:f>IF(AND(N$8&lt;='Detalle'!$H870,N$9&gt;='Detalle'!$G870),1,"")</x:f>
      </x:c>
      <x:c r="O1788" s="32" t="str">
        <x:f>IF(AND(O$8&lt;='Detalle'!$H870,O$9&gt;='Detalle'!$G870),1,"")</x:f>
      </x:c>
      <x:c r="P1788" s="32" t="str">
        <x:f>IF(AND(P$8&lt;='Detalle'!$H870,P$9&gt;='Detalle'!$G870),1,"")</x:f>
      </x:c>
      <x:c r="Q1788" s="68"/>
      <x:c r="R1788" s="67" t="str">
        <x:f>IF('Detalle'!M870="","",'Detalle'!M870)</x:f>
      </x:c>
      <x:c r="S1788" s="67" t="str">
        <x:f>IF('Detalle'!N870="","",'Detalle'!N870)</x:f>
      </x:c>
    </x:row>
    <x:row r="1789" ht="16" customHeight="1">
      <x:c r="A1789" s="56" t="str">
        <x:v>FIS02.016</x:v>
      </x:c>
      <x:c r="B1789" s="57" t="str">
        <x:v>Comprobar ancho y colocación de señal</x:v>
      </x:c>
      <x:c r="C1789" s="63" t="str">
        <x:v>R</x:v>
      </x:c>
      <x:c r="D1789" s="65" t="str">
        <x:f>IF('Detalle'!L870="","",'Detalle'!L870)</x:f>
      </x:c>
      <x:c r="E1789" s="60" t="str"/>
      <x:c r="F1789" s="32" t="str">
        <x:f>IF(OR('Detalle'!$J870="",'Detalle'!$K870="",'Detalle'!$L870=""),"",IF(AND(F$8&lt;='Detalle'!$K870,F$9&gt;='Detalle'!$J870),1,""))</x:f>
      </x:c>
      <x:c r="G1789" s="32" t="str">
        <x:f>IF(OR('Detalle'!$J870="",'Detalle'!$K870="",'Detalle'!$L870=""),"",IF(AND(G$8&lt;='Detalle'!$K870,G$9&gt;='Detalle'!$J870),1,""))</x:f>
      </x:c>
      <x:c r="H1789" s="32" t="str">
        <x:f>IF(OR('Detalle'!$J870="",'Detalle'!$K870="",'Detalle'!$L870=""),"",IF(AND(H$8&lt;='Detalle'!$K870,H$9&gt;='Detalle'!$J870),1,""))</x:f>
      </x:c>
      <x:c r="I1789" s="32" t="str">
        <x:f>IF(OR('Detalle'!$J870="",'Detalle'!$K870="",'Detalle'!$L870=""),"",IF(AND(I$8&lt;='Detalle'!$K870,I$9&gt;='Detalle'!$J870),1,""))</x:f>
      </x:c>
      <x:c r="J1789" s="32" t="str">
        <x:f>IF(OR('Detalle'!$J870="",'Detalle'!$K870="",'Detalle'!$L870=""),"",IF(AND(J$8&lt;='Detalle'!$K870,J$9&gt;='Detalle'!$J870),1,""))</x:f>
      </x:c>
      <x:c r="K1789" s="32" t="str">
        <x:f>IF(OR('Detalle'!$J870="",'Detalle'!$K870="",'Detalle'!$L870=""),"",IF(AND(K$8&lt;='Detalle'!$K870,K$9&gt;='Detalle'!$J870),1,""))</x:f>
      </x:c>
      <x:c r="L1789" s="32" t="str">
        <x:f>IF(OR('Detalle'!$J870="",'Detalle'!$K870="",'Detalle'!$L870=""),"",IF(AND(L$8&lt;='Detalle'!$K870,L$9&gt;='Detalle'!$J870),1,""))</x:f>
      </x:c>
      <x:c r="M1789" s="32" t="str">
        <x:f>IF(OR('Detalle'!$J870="",'Detalle'!$K870="",'Detalle'!$L870=""),"",IF(AND(M$8&lt;='Detalle'!$K870,M$9&gt;='Detalle'!$J870),1,""))</x:f>
      </x:c>
      <x:c r="N1789" s="32" t="str">
        <x:f>IF(OR('Detalle'!$J870="",'Detalle'!$K870="",'Detalle'!$L870=""),"",IF(AND(N$8&lt;='Detalle'!$K870,N$9&gt;='Detalle'!$J870),1,""))</x:f>
      </x:c>
      <x:c r="O1789" s="32" t="str">
        <x:f>IF(OR('Detalle'!$J870="",'Detalle'!$K870="",'Detalle'!$L870=""),"",IF(AND(O$8&lt;='Detalle'!$K870,O$9&gt;='Detalle'!$J870),1,""))</x:f>
      </x:c>
      <x:c r="P1789" s="32" t="str">
        <x:f>IF(OR('Detalle'!$J870="",'Detalle'!$K870="",'Detalle'!$L870=""),"",IF(AND(P$8&lt;='Detalle'!$K870,P$9&gt;='Detalle'!$J870),1,""))</x:f>
      </x:c>
      <x:c r="Q1789" s="68"/>
      <x:c r="R1789" s="67" t="str"/>
      <x:c r="S1789" s="67" t="str"/>
    </x:row>
    <x:row r="1790" ht="16" customHeight="1">
      <x:c r="A1790" s="56" t="str">
        <x:v>FIS02.017</x:v>
      </x:c>
      <x:c r="B1790" s="57" t="str">
        <x:v>Guardar prueba física de versión de activador</x:v>
      </x:c>
      <x:c r="C1790" s="62" t="str">
        <x:v>E</x:v>
      </x:c>
      <x:c r="D1790" s="64" t="n">
        <x:f>'Detalle'!I871</x:f>
        <x:v>2</x:v>
      </x:c>
      <x:c r="E1790" s="60" t="str">
        <x:f>'Detalle'!F871</x:f>
        <x:v>Pendiente</x:v>
      </x:c>
      <x:c r="F1790" s="32" t="str">
        <x:f>IF(AND(F$8&lt;='Detalle'!$H871,F$9&gt;='Detalle'!$G871),1,"")</x:f>
      </x:c>
      <x:c r="G1790" s="32" t="str">
        <x:f>IF(AND(G$8&lt;='Detalle'!$H871,G$9&gt;='Detalle'!$G871),1,"")</x:f>
      </x:c>
      <x:c r="H1790" s="32" t="str">
        <x:f>IF(AND(H$8&lt;='Detalle'!$H871,H$9&gt;='Detalle'!$G871),1,"")</x:f>
      </x:c>
      <x:c r="I1790" s="32" t="str">
        <x:f>IF(AND(I$8&lt;='Detalle'!$H871,I$9&gt;='Detalle'!$G871),1,"")</x:f>
      </x:c>
      <x:c r="J1790" s="32" t="str">
        <x:f>IF(AND(J$8&lt;='Detalle'!$H871,J$9&gt;='Detalle'!$G871),1,"")</x:f>
      </x:c>
      <x:c r="K1790" s="32" t="n">
        <x:f>IF(AND(K$8&lt;='Detalle'!$H871,K$9&gt;='Detalle'!$G871),1,"")</x:f>
        <x:v>1</x:v>
      </x:c>
      <x:c r="L1790" s="32" t="n">
        <x:f>IF(AND(L$8&lt;='Detalle'!$H871,L$9&gt;='Detalle'!$G871),1,"")</x:f>
        <x:v>1</x:v>
      </x:c>
      <x:c r="M1790" s="32" t="str">
        <x:f>IF(AND(M$8&lt;='Detalle'!$H871,M$9&gt;='Detalle'!$G871),1,"")</x:f>
      </x:c>
      <x:c r="N1790" s="32" t="str">
        <x:f>IF(AND(N$8&lt;='Detalle'!$H871,N$9&gt;='Detalle'!$G871),1,"")</x:f>
      </x:c>
      <x:c r="O1790" s="32" t="str">
        <x:f>IF(AND(O$8&lt;='Detalle'!$H871,O$9&gt;='Detalle'!$G871),1,"")</x:f>
      </x:c>
      <x:c r="P1790" s="32" t="str">
        <x:f>IF(AND(P$8&lt;='Detalle'!$H871,P$9&gt;='Detalle'!$G871),1,"")</x:f>
      </x:c>
      <x:c r="Q1790" s="68"/>
      <x:c r="R1790" s="67" t="str">
        <x:f>IF('Detalle'!M871="","",'Detalle'!M871)</x:f>
      </x:c>
      <x:c r="S1790" s="67" t="str">
        <x:f>IF('Detalle'!N871="","",'Detalle'!N871)</x:f>
      </x:c>
    </x:row>
    <x:row r="1791" ht="16" customHeight="1">
      <x:c r="A1791" s="56" t="str">
        <x:v>FIS02.017</x:v>
      </x:c>
      <x:c r="B1791" s="57" t="str">
        <x:v>Guardar prueba física de versión de activador</x:v>
      </x:c>
      <x:c r="C1791" s="63" t="str">
        <x:v>R</x:v>
      </x:c>
      <x:c r="D1791" s="65" t="str">
        <x:f>IF('Detalle'!L871="","",'Detalle'!L871)</x:f>
      </x:c>
      <x:c r="E1791" s="60" t="str"/>
      <x:c r="F1791" s="32" t="str">
        <x:f>IF(OR('Detalle'!$J871="",'Detalle'!$K871="",'Detalle'!$L871=""),"",IF(AND(F$8&lt;='Detalle'!$K871,F$9&gt;='Detalle'!$J871),1,""))</x:f>
      </x:c>
      <x:c r="G1791" s="32" t="str">
        <x:f>IF(OR('Detalle'!$J871="",'Detalle'!$K871="",'Detalle'!$L871=""),"",IF(AND(G$8&lt;='Detalle'!$K871,G$9&gt;='Detalle'!$J871),1,""))</x:f>
      </x:c>
      <x:c r="H1791" s="32" t="str">
        <x:f>IF(OR('Detalle'!$J871="",'Detalle'!$K871="",'Detalle'!$L871=""),"",IF(AND(H$8&lt;='Detalle'!$K871,H$9&gt;='Detalle'!$J871),1,""))</x:f>
      </x:c>
      <x:c r="I1791" s="32" t="str">
        <x:f>IF(OR('Detalle'!$J871="",'Detalle'!$K871="",'Detalle'!$L871=""),"",IF(AND(I$8&lt;='Detalle'!$K871,I$9&gt;='Detalle'!$J871),1,""))</x:f>
      </x:c>
      <x:c r="J1791" s="32" t="str">
        <x:f>IF(OR('Detalle'!$J871="",'Detalle'!$K871="",'Detalle'!$L871=""),"",IF(AND(J$8&lt;='Detalle'!$K871,J$9&gt;='Detalle'!$J871),1,""))</x:f>
      </x:c>
      <x:c r="K1791" s="32" t="str">
        <x:f>IF(OR('Detalle'!$J871="",'Detalle'!$K871="",'Detalle'!$L871=""),"",IF(AND(K$8&lt;='Detalle'!$K871,K$9&gt;='Detalle'!$J871),1,""))</x:f>
      </x:c>
      <x:c r="L1791" s="32" t="str">
        <x:f>IF(OR('Detalle'!$J871="",'Detalle'!$K871="",'Detalle'!$L871=""),"",IF(AND(L$8&lt;='Detalle'!$K871,L$9&gt;='Detalle'!$J871),1,""))</x:f>
      </x:c>
      <x:c r="M1791" s="32" t="str">
        <x:f>IF(OR('Detalle'!$J871="",'Detalle'!$K871="",'Detalle'!$L871=""),"",IF(AND(M$8&lt;='Detalle'!$K871,M$9&gt;='Detalle'!$J871),1,""))</x:f>
      </x:c>
      <x:c r="N1791" s="32" t="str">
        <x:f>IF(OR('Detalle'!$J871="",'Detalle'!$K871="",'Detalle'!$L871=""),"",IF(AND(N$8&lt;='Detalle'!$K871,N$9&gt;='Detalle'!$J871),1,""))</x:f>
      </x:c>
      <x:c r="O1791" s="32" t="str">
        <x:f>IF(OR('Detalle'!$J871="",'Detalle'!$K871="",'Detalle'!$L871=""),"",IF(AND(O$8&lt;='Detalle'!$K871,O$9&gt;='Detalle'!$J871),1,""))</x:f>
      </x:c>
      <x:c r="P1791" s="32" t="str">
        <x:f>IF(OR('Detalle'!$J871="",'Detalle'!$K871="",'Detalle'!$L871=""),"",IF(AND(P$8&lt;='Detalle'!$K871,P$9&gt;='Detalle'!$J871),1,""))</x:f>
      </x:c>
      <x:c r="Q1791" s="68"/>
      <x:c r="R1791" s="67" t="str"/>
      <x:c r="S1791" s="67" t="str"/>
    </x:row>
    <x:row r="1792" ht="16" customHeight="1">
      <x:c r="A1792" s="56" t="str">
        <x:v>FIS02.018</x:v>
      </x:c>
      <x:c r="B1792" s="57" t="str">
        <x:v>Cerrar aceptación del módulo AR</x:v>
      </x:c>
      <x:c r="C1792" s="62" t="str">
        <x:v>E</x:v>
      </x:c>
      <x:c r="D1792" s="64" t="n">
        <x:f>'Detalle'!I872</x:f>
        <x:v>2</x:v>
      </x:c>
      <x:c r="E1792" s="60" t="str">
        <x:f>'Detalle'!F872</x:f>
        <x:v>Pendiente</x:v>
      </x:c>
      <x:c r="F1792" s="32" t="str">
        <x:f>IF(AND(F$8&lt;='Detalle'!$H872,F$9&gt;='Detalle'!$G872),1,"")</x:f>
      </x:c>
      <x:c r="G1792" s="32" t="str">
        <x:f>IF(AND(G$8&lt;='Detalle'!$H872,G$9&gt;='Detalle'!$G872),1,"")</x:f>
      </x:c>
      <x:c r="H1792" s="32" t="str">
        <x:f>IF(AND(H$8&lt;='Detalle'!$H872,H$9&gt;='Detalle'!$G872),1,"")</x:f>
      </x:c>
      <x:c r="I1792" s="32" t="str">
        <x:f>IF(AND(I$8&lt;='Detalle'!$H872,I$9&gt;='Detalle'!$G872),1,"")</x:f>
      </x:c>
      <x:c r="J1792" s="32" t="str">
        <x:f>IF(AND(J$8&lt;='Detalle'!$H872,J$9&gt;='Detalle'!$G872),1,"")</x:f>
      </x:c>
      <x:c r="K1792" s="32" t="n">
        <x:f>IF(AND(K$8&lt;='Detalle'!$H872,K$9&gt;='Detalle'!$G872),1,"")</x:f>
        <x:v>1</x:v>
      </x:c>
      <x:c r="L1792" s="32" t="n">
        <x:f>IF(AND(L$8&lt;='Detalle'!$H872,L$9&gt;='Detalle'!$G872),1,"")</x:f>
        <x:v>1</x:v>
      </x:c>
      <x:c r="M1792" s="32" t="str">
        <x:f>IF(AND(M$8&lt;='Detalle'!$H872,M$9&gt;='Detalle'!$G872),1,"")</x:f>
      </x:c>
      <x:c r="N1792" s="32" t="str">
        <x:f>IF(AND(N$8&lt;='Detalle'!$H872,N$9&gt;='Detalle'!$G872),1,"")</x:f>
      </x:c>
      <x:c r="O1792" s="32" t="str">
        <x:f>IF(AND(O$8&lt;='Detalle'!$H872,O$9&gt;='Detalle'!$G872),1,"")</x:f>
      </x:c>
      <x:c r="P1792" s="32" t="str">
        <x:f>IF(AND(P$8&lt;='Detalle'!$H872,P$9&gt;='Detalle'!$G872),1,"")</x:f>
      </x:c>
      <x:c r="Q1792" s="68"/>
      <x:c r="R1792" s="67" t="str">
        <x:f>IF('Detalle'!M872="","",'Detalle'!M872)</x:f>
      </x:c>
      <x:c r="S1792" s="67" t="str">
        <x:f>IF('Detalle'!N872="","",'Detalle'!N872)</x:f>
      </x:c>
    </x:row>
    <x:row r="1793" ht="16" customHeight="1">
      <x:c r="A1793" s="56" t="str">
        <x:v>FIS02.018</x:v>
      </x:c>
      <x:c r="B1793" s="57" t="str">
        <x:v>Cerrar aceptación del módulo AR</x:v>
      </x:c>
      <x:c r="C1793" s="63" t="str">
        <x:v>R</x:v>
      </x:c>
      <x:c r="D1793" s="65" t="str">
        <x:f>IF('Detalle'!L872="","",'Detalle'!L872)</x:f>
      </x:c>
      <x:c r="E1793" s="60" t="str"/>
      <x:c r="F1793" s="32" t="str">
        <x:f>IF(OR('Detalle'!$J872="",'Detalle'!$K872="",'Detalle'!$L872=""),"",IF(AND(F$8&lt;='Detalle'!$K872,F$9&gt;='Detalle'!$J872),1,""))</x:f>
      </x:c>
      <x:c r="G1793" s="32" t="str">
        <x:f>IF(OR('Detalle'!$J872="",'Detalle'!$K872="",'Detalle'!$L872=""),"",IF(AND(G$8&lt;='Detalle'!$K872,G$9&gt;='Detalle'!$J872),1,""))</x:f>
      </x:c>
      <x:c r="H1793" s="32" t="str">
        <x:f>IF(OR('Detalle'!$J872="",'Detalle'!$K872="",'Detalle'!$L872=""),"",IF(AND(H$8&lt;='Detalle'!$K872,H$9&gt;='Detalle'!$J872),1,""))</x:f>
      </x:c>
      <x:c r="I1793" s="32" t="str">
        <x:f>IF(OR('Detalle'!$J872="",'Detalle'!$K872="",'Detalle'!$L872=""),"",IF(AND(I$8&lt;='Detalle'!$K872,I$9&gt;='Detalle'!$J872),1,""))</x:f>
      </x:c>
      <x:c r="J1793" s="32" t="str">
        <x:f>IF(OR('Detalle'!$J872="",'Detalle'!$K872="",'Detalle'!$L872=""),"",IF(AND(J$8&lt;='Detalle'!$K872,J$9&gt;='Detalle'!$J872),1,""))</x:f>
      </x:c>
      <x:c r="K1793" s="32" t="str">
        <x:f>IF(OR('Detalle'!$J872="",'Detalle'!$K872="",'Detalle'!$L872=""),"",IF(AND(K$8&lt;='Detalle'!$K872,K$9&gt;='Detalle'!$J872),1,""))</x:f>
      </x:c>
      <x:c r="L1793" s="32" t="str">
        <x:f>IF(OR('Detalle'!$J872="",'Detalle'!$K872="",'Detalle'!$L872=""),"",IF(AND(L$8&lt;='Detalle'!$K872,L$9&gt;='Detalle'!$J872),1,""))</x:f>
      </x:c>
      <x:c r="M1793" s="32" t="str">
        <x:f>IF(OR('Detalle'!$J872="",'Detalle'!$K872="",'Detalle'!$L872=""),"",IF(AND(M$8&lt;='Detalle'!$K872,M$9&gt;='Detalle'!$J872),1,""))</x:f>
      </x:c>
      <x:c r="N1793" s="32" t="str">
        <x:f>IF(OR('Detalle'!$J872="",'Detalle'!$K872="",'Detalle'!$L872=""),"",IF(AND(N$8&lt;='Detalle'!$K872,N$9&gt;='Detalle'!$J872),1,""))</x:f>
      </x:c>
      <x:c r="O1793" s="32" t="str">
        <x:f>IF(OR('Detalle'!$J872="",'Detalle'!$K872="",'Detalle'!$L872=""),"",IF(AND(O$8&lt;='Detalle'!$K872,O$9&gt;='Detalle'!$J872),1,""))</x:f>
      </x:c>
      <x:c r="P1793" s="32" t="str">
        <x:f>IF(OR('Detalle'!$J872="",'Detalle'!$K872="",'Detalle'!$L872=""),"",IF(AND(P$8&lt;='Detalle'!$K872,P$9&gt;='Detalle'!$J872),1,""))</x:f>
      </x:c>
      <x:c r="Q1793" s="68"/>
      <x:c r="R1793" s="67" t="str"/>
      <x:c r="S1793" s="67" t="str"/>
    </x:row>
    <x:row r="1794" ht="20" customHeight="1">
      <x:c r="A1794" s="52" t="str">
        <x:v>COR01 · Correcciones posteriores a pruebas físicas</x:v>
      </x:c>
      <x:c r="B1794" s="52" t="str">
        <x:v>COR01 · Correcciones posteriores a pruebas físicas</x:v>
      </x:c>
      <x:c r="C1794" s="52" t="str">
        <x:v>COR01 · Correcciones posteriores a pruebas físicas</x:v>
      </x:c>
      <x:c r="D1794" s="52" t="str">
        <x:v>COR01 · Correcciones posteriores a pruebas físicas</x:v>
      </x:c>
      <x:c r="E1794" s="52" t="str">
        <x:v>COR01 · Correcciones posteriores a pruebas físicas</x:v>
      </x:c>
      <x:c r="F1794" s="53" t="str">
        <x:v>COR01 · Correcciones posteriores a pruebas físicas</x:v>
      </x:c>
      <x:c r="G1794" s="53" t="str">
        <x:v>COR01 · Correcciones posteriores a pruebas físicas</x:v>
      </x:c>
      <x:c r="H1794" s="53" t="str">
        <x:v>COR01 · Correcciones posteriores a pruebas físicas</x:v>
      </x:c>
      <x:c r="I1794" s="53" t="str">
        <x:v>COR01 · Correcciones posteriores a pruebas físicas</x:v>
      </x:c>
      <x:c r="J1794" s="53" t="str">
        <x:v>COR01 · Correcciones posteriores a pruebas físicas</x:v>
      </x:c>
      <x:c r="K1794" s="53" t="str">
        <x:v>COR01 · Correcciones posteriores a pruebas físicas</x:v>
      </x:c>
      <x:c r="L1794" s="53" t="str">
        <x:v>COR01 · Correcciones posteriores a pruebas físicas</x:v>
      </x:c>
      <x:c r="M1794" s="53" t="str">
        <x:v>COR01 · Correcciones posteriores a pruebas físicas</x:v>
      </x:c>
      <x:c r="N1794" s="53" t="str">
        <x:v>COR01 · Correcciones posteriores a pruebas físicas</x:v>
      </x:c>
      <x:c r="O1794" s="53" t="str">
        <x:v>COR01 · Correcciones posteriores a pruebas físicas</x:v>
      </x:c>
      <x:c r="P1794" s="53" t="str">
        <x:v>COR01 · Correcciones posteriores a pruebas físicas</x:v>
      </x:c>
      <x:c r="Q1794" s="52" t="str">
        <x:v>COR01 · Correcciones posteriores a pruebas físicas</x:v>
      </x:c>
      <x:c r="R1794" s="52" t="str">
        <x:v>COR01 · Correcciones posteriores a pruebas físicas</x:v>
      </x:c>
      <x:c r="S1794" s="52" t="str">
        <x:v>COR01 · Correcciones posteriores a pruebas físicas</x:v>
      </x:c>
    </x:row>
    <x:row r="1795" ht="16" customHeight="1">
      <x:c r="A1795" s="56" t="str">
        <x:v>COR01.001</x:v>
      </x:c>
      <x:c r="B1795" s="57" t="str">
        <x:v>Clasificar fallos de calibración observados</x:v>
      </x:c>
      <x:c r="C1795" s="62" t="str">
        <x:v>E</x:v>
      </x:c>
      <x:c r="D1795" s="64" t="n">
        <x:f>'Detalle'!I873</x:f>
        <x:v>1</x:v>
      </x:c>
      <x:c r="E1795" s="60" t="str">
        <x:f>'Detalle'!F873</x:f>
        <x:v>Pendiente</x:v>
      </x:c>
      <x:c r="F1795" s="32" t="str">
        <x:f>IF(AND(F$8&lt;='Detalle'!$H873,F$9&gt;='Detalle'!$G873),1,"")</x:f>
      </x:c>
      <x:c r="G1795" s="32" t="str">
        <x:f>IF(AND(G$8&lt;='Detalle'!$H873,G$9&gt;='Detalle'!$G873),1,"")</x:f>
      </x:c>
      <x:c r="H1795" s="32" t="str">
        <x:f>IF(AND(H$8&lt;='Detalle'!$H873,H$9&gt;='Detalle'!$G873),1,"")</x:f>
      </x:c>
      <x:c r="I1795" s="32" t="str">
        <x:f>IF(AND(I$8&lt;='Detalle'!$H873,I$9&gt;='Detalle'!$G873),1,"")</x:f>
      </x:c>
      <x:c r="J1795" s="32" t="str">
        <x:f>IF(AND(J$8&lt;='Detalle'!$H873,J$9&gt;='Detalle'!$G873),1,"")</x:f>
      </x:c>
      <x:c r="K1795" s="32" t="str">
        <x:f>IF(AND(K$8&lt;='Detalle'!$H873,K$9&gt;='Detalle'!$G873),1,"")</x:f>
      </x:c>
      <x:c r="L1795" s="32" t="n">
        <x:f>IF(AND(L$8&lt;='Detalle'!$H873,L$9&gt;='Detalle'!$G873),1,"")</x:f>
        <x:v>1</x:v>
      </x:c>
      <x:c r="M1795" s="32" t="str">
        <x:f>IF(AND(M$8&lt;='Detalle'!$H873,M$9&gt;='Detalle'!$G873),1,"")</x:f>
      </x:c>
      <x:c r="N1795" s="32" t="str">
        <x:f>IF(AND(N$8&lt;='Detalle'!$H873,N$9&gt;='Detalle'!$G873),1,"")</x:f>
      </x:c>
      <x:c r="O1795" s="32" t="str">
        <x:f>IF(AND(O$8&lt;='Detalle'!$H873,O$9&gt;='Detalle'!$G873),1,"")</x:f>
      </x:c>
      <x:c r="P1795" s="32" t="str">
        <x:f>IF(AND(P$8&lt;='Detalle'!$H873,P$9&gt;='Detalle'!$G873),1,"")</x:f>
      </x:c>
      <x:c r="Q1795" s="68"/>
      <x:c r="R1795" s="67" t="str">
        <x:f>IF('Detalle'!M873="","",'Detalle'!M873)</x:f>
      </x:c>
      <x:c r="S1795" s="67" t="str">
        <x:f>IF('Detalle'!N873="","",'Detalle'!N873)</x:f>
      </x:c>
    </x:row>
    <x:row r="1796" ht="16" customHeight="1">
      <x:c r="A1796" s="56" t="str">
        <x:v>COR01.001</x:v>
      </x:c>
      <x:c r="B1796" s="57" t="str">
        <x:v>Clasificar fallos de calibración observados</x:v>
      </x:c>
      <x:c r="C1796" s="63" t="str">
        <x:v>R</x:v>
      </x:c>
      <x:c r="D1796" s="65" t="str">
        <x:f>IF('Detalle'!L873="","",'Detalle'!L873)</x:f>
      </x:c>
      <x:c r="E1796" s="60" t="str"/>
      <x:c r="F1796" s="32" t="str">
        <x:f>IF(OR('Detalle'!$J873="",'Detalle'!$K873="",'Detalle'!$L873=""),"",IF(AND(F$8&lt;='Detalle'!$K873,F$9&gt;='Detalle'!$J873),1,""))</x:f>
      </x:c>
      <x:c r="G1796" s="32" t="str">
        <x:f>IF(OR('Detalle'!$J873="",'Detalle'!$K873="",'Detalle'!$L873=""),"",IF(AND(G$8&lt;='Detalle'!$K873,G$9&gt;='Detalle'!$J873),1,""))</x:f>
      </x:c>
      <x:c r="H1796" s="32" t="str">
        <x:f>IF(OR('Detalle'!$J873="",'Detalle'!$K873="",'Detalle'!$L873=""),"",IF(AND(H$8&lt;='Detalle'!$K873,H$9&gt;='Detalle'!$J873),1,""))</x:f>
      </x:c>
      <x:c r="I1796" s="32" t="str">
        <x:f>IF(OR('Detalle'!$J873="",'Detalle'!$K873="",'Detalle'!$L873=""),"",IF(AND(I$8&lt;='Detalle'!$K873,I$9&gt;='Detalle'!$J873),1,""))</x:f>
      </x:c>
      <x:c r="J1796" s="32" t="str">
        <x:f>IF(OR('Detalle'!$J873="",'Detalle'!$K873="",'Detalle'!$L873=""),"",IF(AND(J$8&lt;='Detalle'!$K873,J$9&gt;='Detalle'!$J873),1,""))</x:f>
      </x:c>
      <x:c r="K1796" s="32" t="str">
        <x:f>IF(OR('Detalle'!$J873="",'Detalle'!$K873="",'Detalle'!$L873=""),"",IF(AND(K$8&lt;='Detalle'!$K873,K$9&gt;='Detalle'!$J873),1,""))</x:f>
      </x:c>
      <x:c r="L1796" s="32" t="str">
        <x:f>IF(OR('Detalle'!$J873="",'Detalle'!$K873="",'Detalle'!$L873=""),"",IF(AND(L$8&lt;='Detalle'!$K873,L$9&gt;='Detalle'!$J873),1,""))</x:f>
      </x:c>
      <x:c r="M1796" s="32" t="str">
        <x:f>IF(OR('Detalle'!$J873="",'Detalle'!$K873="",'Detalle'!$L873=""),"",IF(AND(M$8&lt;='Detalle'!$K873,M$9&gt;='Detalle'!$J873),1,""))</x:f>
      </x:c>
      <x:c r="N1796" s="32" t="str">
        <x:f>IF(OR('Detalle'!$J873="",'Detalle'!$K873="",'Detalle'!$L873=""),"",IF(AND(N$8&lt;='Detalle'!$K873,N$9&gt;='Detalle'!$J873),1,""))</x:f>
      </x:c>
      <x:c r="O1796" s="32" t="str">
        <x:f>IF(OR('Detalle'!$J873="",'Detalle'!$K873="",'Detalle'!$L873=""),"",IF(AND(O$8&lt;='Detalle'!$K873,O$9&gt;='Detalle'!$J873),1,""))</x:f>
      </x:c>
      <x:c r="P1796" s="32" t="str">
        <x:f>IF(OR('Detalle'!$J873="",'Detalle'!$K873="",'Detalle'!$L873=""),"",IF(AND(P$8&lt;='Detalle'!$K873,P$9&gt;='Detalle'!$J873),1,""))</x:f>
      </x:c>
      <x:c r="Q1796" s="68"/>
      <x:c r="R1796" s="67" t="str"/>
      <x:c r="S1796" s="67" t="str"/>
    </x:row>
    <x:row r="1797" ht="16" customHeight="1">
      <x:c r="A1797" s="56" t="str">
        <x:v>COR01.002</x:v>
      </x:c>
      <x:c r="B1797" s="57" t="str">
        <x:v>Corregir FOV o crop si se detecta error</x:v>
      </x:c>
      <x:c r="C1797" s="62" t="str">
        <x:v>E</x:v>
      </x:c>
      <x:c r="D1797" s="64" t="n">
        <x:f>'Detalle'!I874</x:f>
        <x:v>1</x:v>
      </x:c>
      <x:c r="E1797" s="60" t="str">
        <x:f>'Detalle'!F874</x:f>
        <x:v>Pendiente</x:v>
      </x:c>
      <x:c r="F1797" s="32" t="str">
        <x:f>IF(AND(F$8&lt;='Detalle'!$H874,F$9&gt;='Detalle'!$G874),1,"")</x:f>
      </x:c>
      <x:c r="G1797" s="32" t="str">
        <x:f>IF(AND(G$8&lt;='Detalle'!$H874,G$9&gt;='Detalle'!$G874),1,"")</x:f>
      </x:c>
      <x:c r="H1797" s="32" t="str">
        <x:f>IF(AND(H$8&lt;='Detalle'!$H874,H$9&gt;='Detalle'!$G874),1,"")</x:f>
      </x:c>
      <x:c r="I1797" s="32" t="str">
        <x:f>IF(AND(I$8&lt;='Detalle'!$H874,I$9&gt;='Detalle'!$G874),1,"")</x:f>
      </x:c>
      <x:c r="J1797" s="32" t="str">
        <x:f>IF(AND(J$8&lt;='Detalle'!$H874,J$9&gt;='Detalle'!$G874),1,"")</x:f>
      </x:c>
      <x:c r="K1797" s="32" t="str">
        <x:f>IF(AND(K$8&lt;='Detalle'!$H874,K$9&gt;='Detalle'!$G874),1,"")</x:f>
      </x:c>
      <x:c r="L1797" s="32" t="n">
        <x:f>IF(AND(L$8&lt;='Detalle'!$H874,L$9&gt;='Detalle'!$G874),1,"")</x:f>
        <x:v>1</x:v>
      </x:c>
      <x:c r="M1797" s="32" t="str">
        <x:f>IF(AND(M$8&lt;='Detalle'!$H874,M$9&gt;='Detalle'!$G874),1,"")</x:f>
      </x:c>
      <x:c r="N1797" s="32" t="str">
        <x:f>IF(AND(N$8&lt;='Detalle'!$H874,N$9&gt;='Detalle'!$G874),1,"")</x:f>
      </x:c>
      <x:c r="O1797" s="32" t="str">
        <x:f>IF(AND(O$8&lt;='Detalle'!$H874,O$9&gt;='Detalle'!$G874),1,"")</x:f>
      </x:c>
      <x:c r="P1797" s="32" t="str">
        <x:f>IF(AND(P$8&lt;='Detalle'!$H874,P$9&gt;='Detalle'!$G874),1,"")</x:f>
      </x:c>
      <x:c r="Q1797" s="68"/>
      <x:c r="R1797" s="67" t="str">
        <x:f>IF('Detalle'!M874="","",'Detalle'!M874)</x:f>
      </x:c>
      <x:c r="S1797" s="67" t="str">
        <x:f>IF('Detalle'!N874="","",'Detalle'!N874)</x:f>
      </x:c>
    </x:row>
    <x:row r="1798" ht="16" customHeight="1">
      <x:c r="A1798" s="56" t="str">
        <x:v>COR01.002</x:v>
      </x:c>
      <x:c r="B1798" s="57" t="str">
        <x:v>Corregir FOV o crop si se detecta error</x:v>
      </x:c>
      <x:c r="C1798" s="63" t="str">
        <x:v>R</x:v>
      </x:c>
      <x:c r="D1798" s="65" t="str">
        <x:f>IF('Detalle'!L874="","",'Detalle'!L874)</x:f>
      </x:c>
      <x:c r="E1798" s="60" t="str"/>
      <x:c r="F1798" s="32" t="str">
        <x:f>IF(OR('Detalle'!$J874="",'Detalle'!$K874="",'Detalle'!$L874=""),"",IF(AND(F$8&lt;='Detalle'!$K874,F$9&gt;='Detalle'!$J874),1,""))</x:f>
      </x:c>
      <x:c r="G1798" s="32" t="str">
        <x:f>IF(OR('Detalle'!$J874="",'Detalle'!$K874="",'Detalle'!$L874=""),"",IF(AND(G$8&lt;='Detalle'!$K874,G$9&gt;='Detalle'!$J874),1,""))</x:f>
      </x:c>
      <x:c r="H1798" s="32" t="str">
        <x:f>IF(OR('Detalle'!$J874="",'Detalle'!$K874="",'Detalle'!$L874=""),"",IF(AND(H$8&lt;='Detalle'!$K874,H$9&gt;='Detalle'!$J874),1,""))</x:f>
      </x:c>
      <x:c r="I1798" s="32" t="str">
        <x:f>IF(OR('Detalle'!$J874="",'Detalle'!$K874="",'Detalle'!$L874=""),"",IF(AND(I$8&lt;='Detalle'!$K874,I$9&gt;='Detalle'!$J874),1,""))</x:f>
      </x:c>
      <x:c r="J1798" s="32" t="str">
        <x:f>IF(OR('Detalle'!$J874="",'Detalle'!$K874="",'Detalle'!$L874=""),"",IF(AND(J$8&lt;='Detalle'!$K874,J$9&gt;='Detalle'!$J874),1,""))</x:f>
      </x:c>
      <x:c r="K1798" s="32" t="str">
        <x:f>IF(OR('Detalle'!$J874="",'Detalle'!$K874="",'Detalle'!$L874=""),"",IF(AND(K$8&lt;='Detalle'!$K874,K$9&gt;='Detalle'!$J874),1,""))</x:f>
      </x:c>
      <x:c r="L1798" s="32" t="str">
        <x:f>IF(OR('Detalle'!$J874="",'Detalle'!$K874="",'Detalle'!$L874=""),"",IF(AND(L$8&lt;='Detalle'!$K874,L$9&gt;='Detalle'!$J874),1,""))</x:f>
      </x:c>
      <x:c r="M1798" s="32" t="str">
        <x:f>IF(OR('Detalle'!$J874="",'Detalle'!$K874="",'Detalle'!$L874=""),"",IF(AND(M$8&lt;='Detalle'!$K874,M$9&gt;='Detalle'!$J874),1,""))</x:f>
      </x:c>
      <x:c r="N1798" s="32" t="str">
        <x:f>IF(OR('Detalle'!$J874="",'Detalle'!$K874="",'Detalle'!$L874=""),"",IF(AND(N$8&lt;='Detalle'!$K874,N$9&gt;='Detalle'!$J874),1,""))</x:f>
      </x:c>
      <x:c r="O1798" s="32" t="str">
        <x:f>IF(OR('Detalle'!$J874="",'Detalle'!$K874="",'Detalle'!$L874=""),"",IF(AND(O$8&lt;='Detalle'!$K874,O$9&gt;='Detalle'!$J874),1,""))</x:f>
      </x:c>
      <x:c r="P1798" s="32" t="str">
        <x:f>IF(OR('Detalle'!$J874="",'Detalle'!$K874="",'Detalle'!$L874=""),"",IF(AND(P$8&lt;='Detalle'!$K874,P$9&gt;='Detalle'!$J874),1,""))</x:f>
      </x:c>
      <x:c r="Q1798" s="68"/>
      <x:c r="R1798" s="67" t="str"/>
      <x:c r="S1798" s="67" t="str"/>
    </x:row>
    <x:row r="1799" ht="16" customHeight="1">
      <x:c r="A1799" s="56" t="str">
        <x:v>COR01.003</x:v>
      </x:c>
      <x:c r="B1799" s="57" t="str">
        <x:v>Corregir recuperación de captura si falla</x:v>
      </x:c>
      <x:c r="C1799" s="62" t="str">
        <x:v>E</x:v>
      </x:c>
      <x:c r="D1799" s="64" t="n">
        <x:f>'Detalle'!I875</x:f>
        <x:v>1</x:v>
      </x:c>
      <x:c r="E1799" s="60" t="str">
        <x:f>'Detalle'!F875</x:f>
        <x:v>Pendiente</x:v>
      </x:c>
      <x:c r="F1799" s="32" t="str">
        <x:f>IF(AND(F$8&lt;='Detalle'!$H875,F$9&gt;='Detalle'!$G875),1,"")</x:f>
      </x:c>
      <x:c r="G1799" s="32" t="str">
        <x:f>IF(AND(G$8&lt;='Detalle'!$H875,G$9&gt;='Detalle'!$G875),1,"")</x:f>
      </x:c>
      <x:c r="H1799" s="32" t="str">
        <x:f>IF(AND(H$8&lt;='Detalle'!$H875,H$9&gt;='Detalle'!$G875),1,"")</x:f>
      </x:c>
      <x:c r="I1799" s="32" t="str">
        <x:f>IF(AND(I$8&lt;='Detalle'!$H875,I$9&gt;='Detalle'!$G875),1,"")</x:f>
      </x:c>
      <x:c r="J1799" s="32" t="str">
        <x:f>IF(AND(J$8&lt;='Detalle'!$H875,J$9&gt;='Detalle'!$G875),1,"")</x:f>
      </x:c>
      <x:c r="K1799" s="32" t="str">
        <x:f>IF(AND(K$8&lt;='Detalle'!$H875,K$9&gt;='Detalle'!$G875),1,"")</x:f>
      </x:c>
      <x:c r="L1799" s="32" t="n">
        <x:f>IF(AND(L$8&lt;='Detalle'!$H875,L$9&gt;='Detalle'!$G875),1,"")</x:f>
        <x:v>1</x:v>
      </x:c>
      <x:c r="M1799" s="32" t="str">
        <x:f>IF(AND(M$8&lt;='Detalle'!$H875,M$9&gt;='Detalle'!$G875),1,"")</x:f>
      </x:c>
      <x:c r="N1799" s="32" t="str">
        <x:f>IF(AND(N$8&lt;='Detalle'!$H875,N$9&gt;='Detalle'!$G875),1,"")</x:f>
      </x:c>
      <x:c r="O1799" s="32" t="str">
        <x:f>IF(AND(O$8&lt;='Detalle'!$H875,O$9&gt;='Detalle'!$G875),1,"")</x:f>
      </x:c>
      <x:c r="P1799" s="32" t="str">
        <x:f>IF(AND(P$8&lt;='Detalle'!$H875,P$9&gt;='Detalle'!$G875),1,"")</x:f>
      </x:c>
      <x:c r="Q1799" s="68"/>
      <x:c r="R1799" s="67" t="str">
        <x:f>IF('Detalle'!M875="","",'Detalle'!M875)</x:f>
      </x:c>
      <x:c r="S1799" s="67" t="str">
        <x:f>IF('Detalle'!N875="","",'Detalle'!N875)</x:f>
      </x:c>
    </x:row>
    <x:row r="1800" ht="16" customHeight="1">
      <x:c r="A1800" s="56" t="str">
        <x:v>COR01.003</x:v>
      </x:c>
      <x:c r="B1800" s="57" t="str">
        <x:v>Corregir recuperación de captura si falla</x:v>
      </x:c>
      <x:c r="C1800" s="63" t="str">
        <x:v>R</x:v>
      </x:c>
      <x:c r="D1800" s="65" t="str">
        <x:f>IF('Detalle'!L875="","",'Detalle'!L875)</x:f>
      </x:c>
      <x:c r="E1800" s="60" t="str"/>
      <x:c r="F1800" s="32" t="str">
        <x:f>IF(OR('Detalle'!$J875="",'Detalle'!$K875="",'Detalle'!$L875=""),"",IF(AND(F$8&lt;='Detalle'!$K875,F$9&gt;='Detalle'!$J875),1,""))</x:f>
      </x:c>
      <x:c r="G1800" s="32" t="str">
        <x:f>IF(OR('Detalle'!$J875="",'Detalle'!$K875="",'Detalle'!$L875=""),"",IF(AND(G$8&lt;='Detalle'!$K875,G$9&gt;='Detalle'!$J875),1,""))</x:f>
      </x:c>
      <x:c r="H1800" s="32" t="str">
        <x:f>IF(OR('Detalle'!$J875="",'Detalle'!$K875="",'Detalle'!$L875=""),"",IF(AND(H$8&lt;='Detalle'!$K875,H$9&gt;='Detalle'!$J875),1,""))</x:f>
      </x:c>
      <x:c r="I1800" s="32" t="str">
        <x:f>IF(OR('Detalle'!$J875="",'Detalle'!$K875="",'Detalle'!$L875=""),"",IF(AND(I$8&lt;='Detalle'!$K875,I$9&gt;='Detalle'!$J875),1,""))</x:f>
      </x:c>
      <x:c r="J1800" s="32" t="str">
        <x:f>IF(OR('Detalle'!$J875="",'Detalle'!$K875="",'Detalle'!$L875=""),"",IF(AND(J$8&lt;='Detalle'!$K875,J$9&gt;='Detalle'!$J875),1,""))</x:f>
      </x:c>
      <x:c r="K1800" s="32" t="str">
        <x:f>IF(OR('Detalle'!$J875="",'Detalle'!$K875="",'Detalle'!$L875=""),"",IF(AND(K$8&lt;='Detalle'!$K875,K$9&gt;='Detalle'!$J875),1,""))</x:f>
      </x:c>
      <x:c r="L1800" s="32" t="str">
        <x:f>IF(OR('Detalle'!$J875="",'Detalle'!$K875="",'Detalle'!$L875=""),"",IF(AND(L$8&lt;='Detalle'!$K875,L$9&gt;='Detalle'!$J875),1,""))</x:f>
      </x:c>
      <x:c r="M1800" s="32" t="str">
        <x:f>IF(OR('Detalle'!$J875="",'Detalle'!$K875="",'Detalle'!$L875=""),"",IF(AND(M$8&lt;='Detalle'!$K875,M$9&gt;='Detalle'!$J875),1,""))</x:f>
      </x:c>
      <x:c r="N1800" s="32" t="str">
        <x:f>IF(OR('Detalle'!$J875="",'Detalle'!$K875="",'Detalle'!$L875=""),"",IF(AND(N$8&lt;='Detalle'!$K875,N$9&gt;='Detalle'!$J875),1,""))</x:f>
      </x:c>
      <x:c r="O1800" s="32" t="str">
        <x:f>IF(OR('Detalle'!$J875="",'Detalle'!$K875="",'Detalle'!$L875=""),"",IF(AND(O$8&lt;='Detalle'!$K875,O$9&gt;='Detalle'!$J875),1,""))</x:f>
      </x:c>
      <x:c r="P1800" s="32" t="str">
        <x:f>IF(OR('Detalle'!$J875="",'Detalle'!$K875="",'Detalle'!$L875=""),"",IF(AND(P$8&lt;='Detalle'!$K875,P$9&gt;='Detalle'!$J875),1,""))</x:f>
      </x:c>
      <x:c r="Q1800" s="68"/>
      <x:c r="R1800" s="67" t="str"/>
      <x:c r="S1800" s="67" t="str"/>
    </x:row>
    <x:row r="1801" ht="16" customHeight="1">
      <x:c r="A1801" s="56" t="str">
        <x:v>COR01.004</x:v>
      </x:c>
      <x:c r="B1801" s="57" t="str">
        <x:v>Corregir costura si la prueba lo exige</x:v>
      </x:c>
      <x:c r="C1801" s="62" t="str">
        <x:v>E</x:v>
      </x:c>
      <x:c r="D1801" s="64" t="n">
        <x:f>'Detalle'!I876</x:f>
        <x:v>1</x:v>
      </x:c>
      <x:c r="E1801" s="60" t="str">
        <x:f>'Detalle'!F876</x:f>
        <x:v>Pendiente</x:v>
      </x:c>
      <x:c r="F1801" s="32" t="str">
        <x:f>IF(AND(F$8&lt;='Detalle'!$H876,F$9&gt;='Detalle'!$G876),1,"")</x:f>
      </x:c>
      <x:c r="G1801" s="32" t="str">
        <x:f>IF(AND(G$8&lt;='Detalle'!$H876,G$9&gt;='Detalle'!$G876),1,"")</x:f>
      </x:c>
      <x:c r="H1801" s="32" t="str">
        <x:f>IF(AND(H$8&lt;='Detalle'!$H876,H$9&gt;='Detalle'!$G876),1,"")</x:f>
      </x:c>
      <x:c r="I1801" s="32" t="str">
        <x:f>IF(AND(I$8&lt;='Detalle'!$H876,I$9&gt;='Detalle'!$G876),1,"")</x:f>
      </x:c>
      <x:c r="J1801" s="32" t="str">
        <x:f>IF(AND(J$8&lt;='Detalle'!$H876,J$9&gt;='Detalle'!$G876),1,"")</x:f>
      </x:c>
      <x:c r="K1801" s="32" t="str">
        <x:f>IF(AND(K$8&lt;='Detalle'!$H876,K$9&gt;='Detalle'!$G876),1,"")</x:f>
      </x:c>
      <x:c r="L1801" s="32" t="n">
        <x:f>IF(AND(L$8&lt;='Detalle'!$H876,L$9&gt;='Detalle'!$G876),1,"")</x:f>
        <x:v>1</x:v>
      </x:c>
      <x:c r="M1801" s="32" t="str">
        <x:f>IF(AND(M$8&lt;='Detalle'!$H876,M$9&gt;='Detalle'!$G876),1,"")</x:f>
      </x:c>
      <x:c r="N1801" s="32" t="str">
        <x:f>IF(AND(N$8&lt;='Detalle'!$H876,N$9&gt;='Detalle'!$G876),1,"")</x:f>
      </x:c>
      <x:c r="O1801" s="32" t="str">
        <x:f>IF(AND(O$8&lt;='Detalle'!$H876,O$9&gt;='Detalle'!$G876),1,"")</x:f>
      </x:c>
      <x:c r="P1801" s="32" t="str">
        <x:f>IF(AND(P$8&lt;='Detalle'!$H876,P$9&gt;='Detalle'!$G876),1,"")</x:f>
      </x:c>
      <x:c r="Q1801" s="68"/>
      <x:c r="R1801" s="67" t="str">
        <x:f>IF('Detalle'!M876="","",'Detalle'!M876)</x:f>
      </x:c>
      <x:c r="S1801" s="67" t="str">
        <x:f>IF('Detalle'!N876="","",'Detalle'!N876)</x:f>
      </x:c>
    </x:row>
    <x:row r="1802" ht="16" customHeight="1">
      <x:c r="A1802" s="56" t="str">
        <x:v>COR01.004</x:v>
      </x:c>
      <x:c r="B1802" s="57" t="str">
        <x:v>Corregir costura si la prueba lo exige</x:v>
      </x:c>
      <x:c r="C1802" s="63" t="str">
        <x:v>R</x:v>
      </x:c>
      <x:c r="D1802" s="65" t="str">
        <x:f>IF('Detalle'!L876="","",'Detalle'!L876)</x:f>
      </x:c>
      <x:c r="E1802" s="60" t="str"/>
      <x:c r="F1802" s="32" t="str">
        <x:f>IF(OR('Detalle'!$J876="",'Detalle'!$K876="",'Detalle'!$L876=""),"",IF(AND(F$8&lt;='Detalle'!$K876,F$9&gt;='Detalle'!$J876),1,""))</x:f>
      </x:c>
      <x:c r="G1802" s="32" t="str">
        <x:f>IF(OR('Detalle'!$J876="",'Detalle'!$K876="",'Detalle'!$L876=""),"",IF(AND(G$8&lt;='Detalle'!$K876,G$9&gt;='Detalle'!$J876),1,""))</x:f>
      </x:c>
      <x:c r="H1802" s="32" t="str">
        <x:f>IF(OR('Detalle'!$J876="",'Detalle'!$K876="",'Detalle'!$L876=""),"",IF(AND(H$8&lt;='Detalle'!$K876,H$9&gt;='Detalle'!$J876),1,""))</x:f>
      </x:c>
      <x:c r="I1802" s="32" t="str">
        <x:f>IF(OR('Detalle'!$J876="",'Detalle'!$K876="",'Detalle'!$L876=""),"",IF(AND(I$8&lt;='Detalle'!$K876,I$9&gt;='Detalle'!$J876),1,""))</x:f>
      </x:c>
      <x:c r="J1802" s="32" t="str">
        <x:f>IF(OR('Detalle'!$J876="",'Detalle'!$K876="",'Detalle'!$L876=""),"",IF(AND(J$8&lt;='Detalle'!$K876,J$9&gt;='Detalle'!$J876),1,""))</x:f>
      </x:c>
      <x:c r="K1802" s="32" t="str">
        <x:f>IF(OR('Detalle'!$J876="",'Detalle'!$K876="",'Detalle'!$L876=""),"",IF(AND(K$8&lt;='Detalle'!$K876,K$9&gt;='Detalle'!$J876),1,""))</x:f>
      </x:c>
      <x:c r="L1802" s="32" t="str">
        <x:f>IF(OR('Detalle'!$J876="",'Detalle'!$K876="",'Detalle'!$L876=""),"",IF(AND(L$8&lt;='Detalle'!$K876,L$9&gt;='Detalle'!$J876),1,""))</x:f>
      </x:c>
      <x:c r="M1802" s="32" t="str">
        <x:f>IF(OR('Detalle'!$J876="",'Detalle'!$K876="",'Detalle'!$L876=""),"",IF(AND(M$8&lt;='Detalle'!$K876,M$9&gt;='Detalle'!$J876),1,""))</x:f>
      </x:c>
      <x:c r="N1802" s="32" t="str">
        <x:f>IF(OR('Detalle'!$J876="",'Detalle'!$K876="",'Detalle'!$L876=""),"",IF(AND(N$8&lt;='Detalle'!$K876,N$9&gt;='Detalle'!$J876),1,""))</x:f>
      </x:c>
      <x:c r="O1802" s="32" t="str">
        <x:f>IF(OR('Detalle'!$J876="",'Detalle'!$K876="",'Detalle'!$L876=""),"",IF(AND(O$8&lt;='Detalle'!$K876,O$9&gt;='Detalle'!$J876),1,""))</x:f>
      </x:c>
      <x:c r="P1802" s="32" t="str">
        <x:f>IF(OR('Detalle'!$J876="",'Detalle'!$K876="",'Detalle'!$L876=""),"",IF(AND(P$8&lt;='Detalle'!$K876,P$9&gt;='Detalle'!$J876),1,""))</x:f>
      </x:c>
      <x:c r="Q1802" s="68"/>
      <x:c r="R1802" s="67" t="str"/>
      <x:c r="S1802" s="67" t="str"/>
    </x:row>
    <x:row r="1803" ht="16" customHeight="1">
      <x:c r="A1803" s="56" t="str">
        <x:v>COR01.005</x:v>
      </x:c>
      <x:c r="B1803" s="57" t="str">
        <x:v>Corregir reconocimiento AR si falla</x:v>
      </x:c>
      <x:c r="C1803" s="62" t="str">
        <x:v>E</x:v>
      </x:c>
      <x:c r="D1803" s="64" t="n">
        <x:f>'Detalle'!I877</x:f>
        <x:v>1</x:v>
      </x:c>
      <x:c r="E1803" s="60" t="str">
        <x:f>'Detalle'!F877</x:f>
        <x:v>Pendiente</x:v>
      </x:c>
      <x:c r="F1803" s="32" t="str">
        <x:f>IF(AND(F$8&lt;='Detalle'!$H877,F$9&gt;='Detalle'!$G877),1,"")</x:f>
      </x:c>
      <x:c r="G1803" s="32" t="str">
        <x:f>IF(AND(G$8&lt;='Detalle'!$H877,G$9&gt;='Detalle'!$G877),1,"")</x:f>
      </x:c>
      <x:c r="H1803" s="32" t="str">
        <x:f>IF(AND(H$8&lt;='Detalle'!$H877,H$9&gt;='Detalle'!$G877),1,"")</x:f>
      </x:c>
      <x:c r="I1803" s="32" t="str">
        <x:f>IF(AND(I$8&lt;='Detalle'!$H877,I$9&gt;='Detalle'!$G877),1,"")</x:f>
      </x:c>
      <x:c r="J1803" s="32" t="str">
        <x:f>IF(AND(J$8&lt;='Detalle'!$H877,J$9&gt;='Detalle'!$G877),1,"")</x:f>
      </x:c>
      <x:c r="K1803" s="32" t="str">
        <x:f>IF(AND(K$8&lt;='Detalle'!$H877,K$9&gt;='Detalle'!$G877),1,"")</x:f>
      </x:c>
      <x:c r="L1803" s="32" t="n">
        <x:f>IF(AND(L$8&lt;='Detalle'!$H877,L$9&gt;='Detalle'!$G877),1,"")</x:f>
        <x:v>1</x:v>
      </x:c>
      <x:c r="M1803" s="32" t="str">
        <x:f>IF(AND(M$8&lt;='Detalle'!$H877,M$9&gt;='Detalle'!$G877),1,"")</x:f>
      </x:c>
      <x:c r="N1803" s="32" t="str">
        <x:f>IF(AND(N$8&lt;='Detalle'!$H877,N$9&gt;='Detalle'!$G877),1,"")</x:f>
      </x:c>
      <x:c r="O1803" s="32" t="str">
        <x:f>IF(AND(O$8&lt;='Detalle'!$H877,O$9&gt;='Detalle'!$G877),1,"")</x:f>
      </x:c>
      <x:c r="P1803" s="32" t="str">
        <x:f>IF(AND(P$8&lt;='Detalle'!$H877,P$9&gt;='Detalle'!$G877),1,"")</x:f>
      </x:c>
      <x:c r="Q1803" s="68"/>
      <x:c r="R1803" s="67" t="str">
        <x:f>IF('Detalle'!M877="","",'Detalle'!M877)</x:f>
      </x:c>
      <x:c r="S1803" s="67" t="str">
        <x:f>IF('Detalle'!N877="","",'Detalle'!N877)</x:f>
      </x:c>
    </x:row>
    <x:row r="1804" ht="16" customHeight="1">
      <x:c r="A1804" s="56" t="str">
        <x:v>COR01.005</x:v>
      </x:c>
      <x:c r="B1804" s="57" t="str">
        <x:v>Corregir reconocimiento AR si falla</x:v>
      </x:c>
      <x:c r="C1804" s="63" t="str">
        <x:v>R</x:v>
      </x:c>
      <x:c r="D1804" s="65" t="str">
        <x:f>IF('Detalle'!L877="","",'Detalle'!L877)</x:f>
      </x:c>
      <x:c r="E1804" s="60" t="str"/>
      <x:c r="F1804" s="32" t="str">
        <x:f>IF(OR('Detalle'!$J877="",'Detalle'!$K877="",'Detalle'!$L877=""),"",IF(AND(F$8&lt;='Detalle'!$K877,F$9&gt;='Detalle'!$J877),1,""))</x:f>
      </x:c>
      <x:c r="G1804" s="32" t="str">
        <x:f>IF(OR('Detalle'!$J877="",'Detalle'!$K877="",'Detalle'!$L877=""),"",IF(AND(G$8&lt;='Detalle'!$K877,G$9&gt;='Detalle'!$J877),1,""))</x:f>
      </x:c>
      <x:c r="H1804" s="32" t="str">
        <x:f>IF(OR('Detalle'!$J877="",'Detalle'!$K877="",'Detalle'!$L877=""),"",IF(AND(H$8&lt;='Detalle'!$K877,H$9&gt;='Detalle'!$J877),1,""))</x:f>
      </x:c>
      <x:c r="I1804" s="32" t="str">
        <x:f>IF(OR('Detalle'!$J877="",'Detalle'!$K877="",'Detalle'!$L877=""),"",IF(AND(I$8&lt;='Detalle'!$K877,I$9&gt;='Detalle'!$J877),1,""))</x:f>
      </x:c>
      <x:c r="J1804" s="32" t="str">
        <x:f>IF(OR('Detalle'!$J877="",'Detalle'!$K877="",'Detalle'!$L877=""),"",IF(AND(J$8&lt;='Detalle'!$K877,J$9&gt;='Detalle'!$J877),1,""))</x:f>
      </x:c>
      <x:c r="K1804" s="32" t="str">
        <x:f>IF(OR('Detalle'!$J877="",'Detalle'!$K877="",'Detalle'!$L877=""),"",IF(AND(K$8&lt;='Detalle'!$K877,K$9&gt;='Detalle'!$J877),1,""))</x:f>
      </x:c>
      <x:c r="L1804" s="32" t="str">
        <x:f>IF(OR('Detalle'!$J877="",'Detalle'!$K877="",'Detalle'!$L877=""),"",IF(AND(L$8&lt;='Detalle'!$K877,L$9&gt;='Detalle'!$J877),1,""))</x:f>
      </x:c>
      <x:c r="M1804" s="32" t="str">
        <x:f>IF(OR('Detalle'!$J877="",'Detalle'!$K877="",'Detalle'!$L877=""),"",IF(AND(M$8&lt;='Detalle'!$K877,M$9&gt;='Detalle'!$J877),1,""))</x:f>
      </x:c>
      <x:c r="N1804" s="32" t="str">
        <x:f>IF(OR('Detalle'!$J877="",'Detalle'!$K877="",'Detalle'!$L877=""),"",IF(AND(N$8&lt;='Detalle'!$K877,N$9&gt;='Detalle'!$J877),1,""))</x:f>
      </x:c>
      <x:c r="O1804" s="32" t="str">
        <x:f>IF(OR('Detalle'!$J877="",'Detalle'!$K877="",'Detalle'!$L877=""),"",IF(AND(O$8&lt;='Detalle'!$K877,O$9&gt;='Detalle'!$J877),1,""))</x:f>
      </x:c>
      <x:c r="P1804" s="32" t="str">
        <x:f>IF(OR('Detalle'!$J877="",'Detalle'!$K877="",'Detalle'!$L877=""),"",IF(AND(P$8&lt;='Detalle'!$K877,P$9&gt;='Detalle'!$J877),1,""))</x:f>
      </x:c>
      <x:c r="Q1804" s="68"/>
      <x:c r="R1804" s="67" t="str"/>
      <x:c r="S1804" s="67" t="str"/>
    </x:row>
    <x:row r="1805" ht="16" customHeight="1">
      <x:c r="A1805" s="56" t="str">
        <x:v>COR01.006</x:v>
      </x:c>
      <x:c r="B1805" s="57" t="str">
        <x:v>Corregir lifecycle si quedan recursos activos</x:v>
      </x:c>
      <x:c r="C1805" s="62" t="str">
        <x:v>E</x:v>
      </x:c>
      <x:c r="D1805" s="64" t="n">
        <x:f>'Detalle'!I878</x:f>
        <x:v>1</x:v>
      </x:c>
      <x:c r="E1805" s="60" t="str">
        <x:f>'Detalle'!F878</x:f>
        <x:v>Pendiente</x:v>
      </x:c>
      <x:c r="F1805" s="32" t="str">
        <x:f>IF(AND(F$8&lt;='Detalle'!$H878,F$9&gt;='Detalle'!$G878),1,"")</x:f>
      </x:c>
      <x:c r="G1805" s="32" t="str">
        <x:f>IF(AND(G$8&lt;='Detalle'!$H878,G$9&gt;='Detalle'!$G878),1,"")</x:f>
      </x:c>
      <x:c r="H1805" s="32" t="str">
        <x:f>IF(AND(H$8&lt;='Detalle'!$H878,H$9&gt;='Detalle'!$G878),1,"")</x:f>
      </x:c>
      <x:c r="I1805" s="32" t="str">
        <x:f>IF(AND(I$8&lt;='Detalle'!$H878,I$9&gt;='Detalle'!$G878),1,"")</x:f>
      </x:c>
      <x:c r="J1805" s="32" t="str">
        <x:f>IF(AND(J$8&lt;='Detalle'!$H878,J$9&gt;='Detalle'!$G878),1,"")</x:f>
      </x:c>
      <x:c r="K1805" s="32" t="str">
        <x:f>IF(AND(K$8&lt;='Detalle'!$H878,K$9&gt;='Detalle'!$G878),1,"")</x:f>
      </x:c>
      <x:c r="L1805" s="32" t="n">
        <x:f>IF(AND(L$8&lt;='Detalle'!$H878,L$9&gt;='Detalle'!$G878),1,"")</x:f>
        <x:v>1</x:v>
      </x:c>
      <x:c r="M1805" s="32" t="str">
        <x:f>IF(AND(M$8&lt;='Detalle'!$H878,M$9&gt;='Detalle'!$G878),1,"")</x:f>
      </x:c>
      <x:c r="N1805" s="32" t="str">
        <x:f>IF(AND(N$8&lt;='Detalle'!$H878,N$9&gt;='Detalle'!$G878),1,"")</x:f>
      </x:c>
      <x:c r="O1805" s="32" t="str">
        <x:f>IF(AND(O$8&lt;='Detalle'!$H878,O$9&gt;='Detalle'!$G878),1,"")</x:f>
      </x:c>
      <x:c r="P1805" s="32" t="str">
        <x:f>IF(AND(P$8&lt;='Detalle'!$H878,P$9&gt;='Detalle'!$G878),1,"")</x:f>
      </x:c>
      <x:c r="Q1805" s="68"/>
      <x:c r="R1805" s="67" t="str">
        <x:f>IF('Detalle'!M878="","",'Detalle'!M878)</x:f>
      </x:c>
      <x:c r="S1805" s="67" t="str">
        <x:f>IF('Detalle'!N878="","",'Detalle'!N878)</x:f>
      </x:c>
    </x:row>
    <x:row r="1806" ht="16" customHeight="1">
      <x:c r="A1806" s="56" t="str">
        <x:v>COR01.006</x:v>
      </x:c>
      <x:c r="B1806" s="57" t="str">
        <x:v>Corregir lifecycle si quedan recursos activos</x:v>
      </x:c>
      <x:c r="C1806" s="63" t="str">
        <x:v>R</x:v>
      </x:c>
      <x:c r="D1806" s="65" t="str">
        <x:f>IF('Detalle'!L878="","",'Detalle'!L878)</x:f>
      </x:c>
      <x:c r="E1806" s="60" t="str"/>
      <x:c r="F1806" s="32" t="str">
        <x:f>IF(OR('Detalle'!$J878="",'Detalle'!$K878="",'Detalle'!$L878=""),"",IF(AND(F$8&lt;='Detalle'!$K878,F$9&gt;='Detalle'!$J878),1,""))</x:f>
      </x:c>
      <x:c r="G1806" s="32" t="str">
        <x:f>IF(OR('Detalle'!$J878="",'Detalle'!$K878="",'Detalle'!$L878=""),"",IF(AND(G$8&lt;='Detalle'!$K878,G$9&gt;='Detalle'!$J878),1,""))</x:f>
      </x:c>
      <x:c r="H1806" s="32" t="str">
        <x:f>IF(OR('Detalle'!$J878="",'Detalle'!$K878="",'Detalle'!$L878=""),"",IF(AND(H$8&lt;='Detalle'!$K878,H$9&gt;='Detalle'!$J878),1,""))</x:f>
      </x:c>
      <x:c r="I1806" s="32" t="str">
        <x:f>IF(OR('Detalle'!$J878="",'Detalle'!$K878="",'Detalle'!$L878=""),"",IF(AND(I$8&lt;='Detalle'!$K878,I$9&gt;='Detalle'!$J878),1,""))</x:f>
      </x:c>
      <x:c r="J1806" s="32" t="str">
        <x:f>IF(OR('Detalle'!$J878="",'Detalle'!$K878="",'Detalle'!$L878=""),"",IF(AND(J$8&lt;='Detalle'!$K878,J$9&gt;='Detalle'!$J878),1,""))</x:f>
      </x:c>
      <x:c r="K1806" s="32" t="str">
        <x:f>IF(OR('Detalle'!$J878="",'Detalle'!$K878="",'Detalle'!$L878=""),"",IF(AND(K$8&lt;='Detalle'!$K878,K$9&gt;='Detalle'!$J878),1,""))</x:f>
      </x:c>
      <x:c r="L1806" s="32" t="str">
        <x:f>IF(OR('Detalle'!$J878="",'Detalle'!$K878="",'Detalle'!$L878=""),"",IF(AND(L$8&lt;='Detalle'!$K878,L$9&gt;='Detalle'!$J878),1,""))</x:f>
      </x:c>
      <x:c r="M1806" s="32" t="str">
        <x:f>IF(OR('Detalle'!$J878="",'Detalle'!$K878="",'Detalle'!$L878=""),"",IF(AND(M$8&lt;='Detalle'!$K878,M$9&gt;='Detalle'!$J878),1,""))</x:f>
      </x:c>
      <x:c r="N1806" s="32" t="str">
        <x:f>IF(OR('Detalle'!$J878="",'Detalle'!$K878="",'Detalle'!$L878=""),"",IF(AND(N$8&lt;='Detalle'!$K878,N$9&gt;='Detalle'!$J878),1,""))</x:f>
      </x:c>
      <x:c r="O1806" s="32" t="str">
        <x:f>IF(OR('Detalle'!$J878="",'Detalle'!$K878="",'Detalle'!$L878=""),"",IF(AND(O$8&lt;='Detalle'!$K878,O$9&gt;='Detalle'!$J878),1,""))</x:f>
      </x:c>
      <x:c r="P1806" s="32" t="str">
        <x:f>IF(OR('Detalle'!$J878="",'Detalle'!$K878="",'Detalle'!$L878=""),"",IF(AND(P$8&lt;='Detalle'!$K878,P$9&gt;='Detalle'!$J878),1,""))</x:f>
      </x:c>
      <x:c r="Q1806" s="68"/>
      <x:c r="R1806" s="67" t="str"/>
      <x:c r="S1806" s="67" t="str"/>
    </x:row>
    <x:row r="1807" ht="16" customHeight="1">
      <x:c r="A1807" s="56" t="str">
        <x:v>COR01.007</x:v>
      </x:c>
      <x:c r="B1807" s="57" t="str">
        <x:v>Añadir regresión para cada fallo confirmado</x:v>
      </x:c>
      <x:c r="C1807" s="62" t="str">
        <x:v>E</x:v>
      </x:c>
      <x:c r="D1807" s="64" t="n">
        <x:f>'Detalle'!I879</x:f>
        <x:v>1</x:v>
      </x:c>
      <x:c r="E1807" s="60" t="str">
        <x:f>'Detalle'!F879</x:f>
        <x:v>Pendiente</x:v>
      </x:c>
      <x:c r="F1807" s="32" t="str">
        <x:f>IF(AND(F$8&lt;='Detalle'!$H879,F$9&gt;='Detalle'!$G879),1,"")</x:f>
      </x:c>
      <x:c r="G1807" s="32" t="str">
        <x:f>IF(AND(G$8&lt;='Detalle'!$H879,G$9&gt;='Detalle'!$G879),1,"")</x:f>
      </x:c>
      <x:c r="H1807" s="32" t="str">
        <x:f>IF(AND(H$8&lt;='Detalle'!$H879,H$9&gt;='Detalle'!$G879),1,"")</x:f>
      </x:c>
      <x:c r="I1807" s="32" t="str">
        <x:f>IF(AND(I$8&lt;='Detalle'!$H879,I$9&gt;='Detalle'!$G879),1,"")</x:f>
      </x:c>
      <x:c r="J1807" s="32" t="str">
        <x:f>IF(AND(J$8&lt;='Detalle'!$H879,J$9&gt;='Detalle'!$G879),1,"")</x:f>
      </x:c>
      <x:c r="K1807" s="32" t="str">
        <x:f>IF(AND(K$8&lt;='Detalle'!$H879,K$9&gt;='Detalle'!$G879),1,"")</x:f>
      </x:c>
      <x:c r="L1807" s="32" t="n">
        <x:f>IF(AND(L$8&lt;='Detalle'!$H879,L$9&gt;='Detalle'!$G879),1,"")</x:f>
        <x:v>1</x:v>
      </x:c>
      <x:c r="M1807" s="32" t="str">
        <x:f>IF(AND(M$8&lt;='Detalle'!$H879,M$9&gt;='Detalle'!$G879),1,"")</x:f>
      </x:c>
      <x:c r="N1807" s="32" t="str">
        <x:f>IF(AND(N$8&lt;='Detalle'!$H879,N$9&gt;='Detalle'!$G879),1,"")</x:f>
      </x:c>
      <x:c r="O1807" s="32" t="str">
        <x:f>IF(AND(O$8&lt;='Detalle'!$H879,O$9&gt;='Detalle'!$G879),1,"")</x:f>
      </x:c>
      <x:c r="P1807" s="32" t="str">
        <x:f>IF(AND(P$8&lt;='Detalle'!$H879,P$9&gt;='Detalle'!$G879),1,"")</x:f>
      </x:c>
      <x:c r="Q1807" s="68"/>
      <x:c r="R1807" s="67" t="str">
        <x:f>IF('Detalle'!M879="","",'Detalle'!M879)</x:f>
      </x:c>
      <x:c r="S1807" s="67" t="str">
        <x:f>IF('Detalle'!N879="","",'Detalle'!N879)</x:f>
      </x:c>
    </x:row>
    <x:row r="1808" ht="16" customHeight="1">
      <x:c r="A1808" s="56" t="str">
        <x:v>COR01.007</x:v>
      </x:c>
      <x:c r="B1808" s="57" t="str">
        <x:v>Añadir regresión para cada fallo confirmado</x:v>
      </x:c>
      <x:c r="C1808" s="63" t="str">
        <x:v>R</x:v>
      </x:c>
      <x:c r="D1808" s="65" t="str">
        <x:f>IF('Detalle'!L879="","",'Detalle'!L879)</x:f>
      </x:c>
      <x:c r="E1808" s="60" t="str"/>
      <x:c r="F1808" s="32" t="str">
        <x:f>IF(OR('Detalle'!$J879="",'Detalle'!$K879="",'Detalle'!$L879=""),"",IF(AND(F$8&lt;='Detalle'!$K879,F$9&gt;='Detalle'!$J879),1,""))</x:f>
      </x:c>
      <x:c r="G1808" s="32" t="str">
        <x:f>IF(OR('Detalle'!$J879="",'Detalle'!$K879="",'Detalle'!$L879=""),"",IF(AND(G$8&lt;='Detalle'!$K879,G$9&gt;='Detalle'!$J879),1,""))</x:f>
      </x:c>
      <x:c r="H1808" s="32" t="str">
        <x:f>IF(OR('Detalle'!$J879="",'Detalle'!$K879="",'Detalle'!$L879=""),"",IF(AND(H$8&lt;='Detalle'!$K879,H$9&gt;='Detalle'!$J879),1,""))</x:f>
      </x:c>
      <x:c r="I1808" s="32" t="str">
        <x:f>IF(OR('Detalle'!$J879="",'Detalle'!$K879="",'Detalle'!$L879=""),"",IF(AND(I$8&lt;='Detalle'!$K879,I$9&gt;='Detalle'!$J879),1,""))</x:f>
      </x:c>
      <x:c r="J1808" s="32" t="str">
        <x:f>IF(OR('Detalle'!$J879="",'Detalle'!$K879="",'Detalle'!$L879=""),"",IF(AND(J$8&lt;='Detalle'!$K879,J$9&gt;='Detalle'!$J879),1,""))</x:f>
      </x:c>
      <x:c r="K1808" s="32" t="str">
        <x:f>IF(OR('Detalle'!$J879="",'Detalle'!$K879="",'Detalle'!$L879=""),"",IF(AND(K$8&lt;='Detalle'!$K879,K$9&gt;='Detalle'!$J879),1,""))</x:f>
      </x:c>
      <x:c r="L1808" s="32" t="str">
        <x:f>IF(OR('Detalle'!$J879="",'Detalle'!$K879="",'Detalle'!$L879=""),"",IF(AND(L$8&lt;='Detalle'!$K879,L$9&gt;='Detalle'!$J879),1,""))</x:f>
      </x:c>
      <x:c r="M1808" s="32" t="str">
        <x:f>IF(OR('Detalle'!$J879="",'Detalle'!$K879="",'Detalle'!$L879=""),"",IF(AND(M$8&lt;='Detalle'!$K879,M$9&gt;='Detalle'!$J879),1,""))</x:f>
      </x:c>
      <x:c r="N1808" s="32" t="str">
        <x:f>IF(OR('Detalle'!$J879="",'Detalle'!$K879="",'Detalle'!$L879=""),"",IF(AND(N$8&lt;='Detalle'!$K879,N$9&gt;='Detalle'!$J879),1,""))</x:f>
      </x:c>
      <x:c r="O1808" s="32" t="str">
        <x:f>IF(OR('Detalle'!$J879="",'Detalle'!$K879="",'Detalle'!$L879=""),"",IF(AND(O$8&lt;='Detalle'!$K879,O$9&gt;='Detalle'!$J879),1,""))</x:f>
      </x:c>
      <x:c r="P1808" s="32" t="str">
        <x:f>IF(OR('Detalle'!$J879="",'Detalle'!$K879="",'Detalle'!$L879=""),"",IF(AND(P$8&lt;='Detalle'!$K879,P$9&gt;='Detalle'!$J879),1,""))</x:f>
      </x:c>
      <x:c r="Q1808" s="68"/>
      <x:c r="R1808" s="67" t="str"/>
      <x:c r="S1808" s="67" t="str"/>
    </x:row>
    <x:row r="1809" ht="16" customHeight="1">
      <x:c r="A1809" s="56" t="str">
        <x:v>COR01.008</x:v>
      </x:c>
      <x:c r="B1809" s="57" t="str">
        <x:v>Repetir escenarios físicos afectados</x:v>
      </x:c>
      <x:c r="C1809" s="62" t="str">
        <x:v>E</x:v>
      </x:c>
      <x:c r="D1809" s="64" t="n">
        <x:f>'Detalle'!I880</x:f>
        <x:v>1</x:v>
      </x:c>
      <x:c r="E1809" s="60" t="str">
        <x:f>'Detalle'!F880</x:f>
        <x:v>Pendiente</x:v>
      </x:c>
      <x:c r="F1809" s="32" t="str">
        <x:f>IF(AND(F$8&lt;='Detalle'!$H880,F$9&gt;='Detalle'!$G880),1,"")</x:f>
      </x:c>
      <x:c r="G1809" s="32" t="str">
        <x:f>IF(AND(G$8&lt;='Detalle'!$H880,G$9&gt;='Detalle'!$G880),1,"")</x:f>
      </x:c>
      <x:c r="H1809" s="32" t="str">
        <x:f>IF(AND(H$8&lt;='Detalle'!$H880,H$9&gt;='Detalle'!$G880),1,"")</x:f>
      </x:c>
      <x:c r="I1809" s="32" t="str">
        <x:f>IF(AND(I$8&lt;='Detalle'!$H880,I$9&gt;='Detalle'!$G880),1,"")</x:f>
      </x:c>
      <x:c r="J1809" s="32" t="str">
        <x:f>IF(AND(J$8&lt;='Detalle'!$H880,J$9&gt;='Detalle'!$G880),1,"")</x:f>
      </x:c>
      <x:c r="K1809" s="32" t="str">
        <x:f>IF(AND(K$8&lt;='Detalle'!$H880,K$9&gt;='Detalle'!$G880),1,"")</x:f>
      </x:c>
      <x:c r="L1809" s="32" t="n">
        <x:f>IF(AND(L$8&lt;='Detalle'!$H880,L$9&gt;='Detalle'!$G880),1,"")</x:f>
        <x:v>1</x:v>
      </x:c>
      <x:c r="M1809" s="32" t="str">
        <x:f>IF(AND(M$8&lt;='Detalle'!$H880,M$9&gt;='Detalle'!$G880),1,"")</x:f>
      </x:c>
      <x:c r="N1809" s="32" t="str">
        <x:f>IF(AND(N$8&lt;='Detalle'!$H880,N$9&gt;='Detalle'!$G880),1,"")</x:f>
      </x:c>
      <x:c r="O1809" s="32" t="str">
        <x:f>IF(AND(O$8&lt;='Detalle'!$H880,O$9&gt;='Detalle'!$G880),1,"")</x:f>
      </x:c>
      <x:c r="P1809" s="32" t="str">
        <x:f>IF(AND(P$8&lt;='Detalle'!$H880,P$9&gt;='Detalle'!$G880),1,"")</x:f>
      </x:c>
      <x:c r="Q1809" s="68"/>
      <x:c r="R1809" s="67" t="str">
        <x:f>IF('Detalle'!M880="","",'Detalle'!M880)</x:f>
      </x:c>
      <x:c r="S1809" s="67" t="str">
        <x:f>IF('Detalle'!N880="","",'Detalle'!N880)</x:f>
      </x:c>
    </x:row>
    <x:row r="1810" ht="16" customHeight="1">
      <x:c r="A1810" s="56" t="str">
        <x:v>COR01.008</x:v>
      </x:c>
      <x:c r="B1810" s="57" t="str">
        <x:v>Repetir escenarios físicos afectados</x:v>
      </x:c>
      <x:c r="C1810" s="63" t="str">
        <x:v>R</x:v>
      </x:c>
      <x:c r="D1810" s="65" t="str">
        <x:f>IF('Detalle'!L880="","",'Detalle'!L880)</x:f>
      </x:c>
      <x:c r="E1810" s="60" t="str"/>
      <x:c r="F1810" s="32" t="str">
        <x:f>IF(OR('Detalle'!$J880="",'Detalle'!$K880="",'Detalle'!$L880=""),"",IF(AND(F$8&lt;='Detalle'!$K880,F$9&gt;='Detalle'!$J880),1,""))</x:f>
      </x:c>
      <x:c r="G1810" s="32" t="str">
        <x:f>IF(OR('Detalle'!$J880="",'Detalle'!$K880="",'Detalle'!$L880=""),"",IF(AND(G$8&lt;='Detalle'!$K880,G$9&gt;='Detalle'!$J880),1,""))</x:f>
      </x:c>
      <x:c r="H1810" s="32" t="str">
        <x:f>IF(OR('Detalle'!$J880="",'Detalle'!$K880="",'Detalle'!$L880=""),"",IF(AND(H$8&lt;='Detalle'!$K880,H$9&gt;='Detalle'!$J880),1,""))</x:f>
      </x:c>
      <x:c r="I1810" s="32" t="str">
        <x:f>IF(OR('Detalle'!$J880="",'Detalle'!$K880="",'Detalle'!$L880=""),"",IF(AND(I$8&lt;='Detalle'!$K880,I$9&gt;='Detalle'!$J880),1,""))</x:f>
      </x:c>
      <x:c r="J1810" s="32" t="str">
        <x:f>IF(OR('Detalle'!$J880="",'Detalle'!$K880="",'Detalle'!$L880=""),"",IF(AND(J$8&lt;='Detalle'!$K880,J$9&gt;='Detalle'!$J880),1,""))</x:f>
      </x:c>
      <x:c r="K1810" s="32" t="str">
        <x:f>IF(OR('Detalle'!$J880="",'Detalle'!$K880="",'Detalle'!$L880=""),"",IF(AND(K$8&lt;='Detalle'!$K880,K$9&gt;='Detalle'!$J880),1,""))</x:f>
      </x:c>
      <x:c r="L1810" s="32" t="str">
        <x:f>IF(OR('Detalle'!$J880="",'Detalle'!$K880="",'Detalle'!$L880=""),"",IF(AND(L$8&lt;='Detalle'!$K880,L$9&gt;='Detalle'!$J880),1,""))</x:f>
      </x:c>
      <x:c r="M1810" s="32" t="str">
        <x:f>IF(OR('Detalle'!$J880="",'Detalle'!$K880="",'Detalle'!$L880=""),"",IF(AND(M$8&lt;='Detalle'!$K880,M$9&gt;='Detalle'!$J880),1,""))</x:f>
      </x:c>
      <x:c r="N1810" s="32" t="str">
        <x:f>IF(OR('Detalle'!$J880="",'Detalle'!$K880="",'Detalle'!$L880=""),"",IF(AND(N$8&lt;='Detalle'!$K880,N$9&gt;='Detalle'!$J880),1,""))</x:f>
      </x:c>
      <x:c r="O1810" s="32" t="str">
        <x:f>IF(OR('Detalle'!$J880="",'Detalle'!$K880="",'Detalle'!$L880=""),"",IF(AND(O$8&lt;='Detalle'!$K880,O$9&gt;='Detalle'!$J880),1,""))</x:f>
      </x:c>
      <x:c r="P1810" s="32" t="str">
        <x:f>IF(OR('Detalle'!$J880="",'Detalle'!$K880="",'Detalle'!$L880=""),"",IF(AND(P$8&lt;='Detalle'!$K880,P$9&gt;='Detalle'!$J880),1,""))</x:f>
      </x:c>
      <x:c r="Q1810" s="68"/>
      <x:c r="R1810" s="67" t="str"/>
      <x:c r="S1810" s="67" t="str"/>
    </x:row>
    <x:row r="1811" ht="16" customHeight="1">
      <x:c r="A1811" s="56" t="str">
        <x:v>COR01.009</x:v>
      </x:c>
      <x:c r="B1811" s="57" t="str">
        <x:v>Actualizar límites conocidos del módulo</x:v>
      </x:c>
      <x:c r="C1811" s="62" t="str">
        <x:v>E</x:v>
      </x:c>
      <x:c r="D1811" s="64" t="n">
        <x:f>'Detalle'!I881</x:f>
        <x:v>1</x:v>
      </x:c>
      <x:c r="E1811" s="60" t="str">
        <x:f>'Detalle'!F881</x:f>
        <x:v>Pendiente</x:v>
      </x:c>
      <x:c r="F1811" s="32" t="str">
        <x:f>IF(AND(F$8&lt;='Detalle'!$H881,F$9&gt;='Detalle'!$G881),1,"")</x:f>
      </x:c>
      <x:c r="G1811" s="32" t="str">
        <x:f>IF(AND(G$8&lt;='Detalle'!$H881,G$9&gt;='Detalle'!$G881),1,"")</x:f>
      </x:c>
      <x:c r="H1811" s="32" t="str">
        <x:f>IF(AND(H$8&lt;='Detalle'!$H881,H$9&gt;='Detalle'!$G881),1,"")</x:f>
      </x:c>
      <x:c r="I1811" s="32" t="str">
        <x:f>IF(AND(I$8&lt;='Detalle'!$H881,I$9&gt;='Detalle'!$G881),1,"")</x:f>
      </x:c>
      <x:c r="J1811" s="32" t="str">
        <x:f>IF(AND(J$8&lt;='Detalle'!$H881,J$9&gt;='Detalle'!$G881),1,"")</x:f>
      </x:c>
      <x:c r="K1811" s="32" t="str">
        <x:f>IF(AND(K$8&lt;='Detalle'!$H881,K$9&gt;='Detalle'!$G881),1,"")</x:f>
      </x:c>
      <x:c r="L1811" s="32" t="n">
        <x:f>IF(AND(L$8&lt;='Detalle'!$H881,L$9&gt;='Detalle'!$G881),1,"")</x:f>
        <x:v>1</x:v>
      </x:c>
      <x:c r="M1811" s="32" t="str">
        <x:f>IF(AND(M$8&lt;='Detalle'!$H881,M$9&gt;='Detalle'!$G881),1,"")</x:f>
      </x:c>
      <x:c r="N1811" s="32" t="str">
        <x:f>IF(AND(N$8&lt;='Detalle'!$H881,N$9&gt;='Detalle'!$G881),1,"")</x:f>
      </x:c>
      <x:c r="O1811" s="32" t="str">
        <x:f>IF(AND(O$8&lt;='Detalle'!$H881,O$9&gt;='Detalle'!$G881),1,"")</x:f>
      </x:c>
      <x:c r="P1811" s="32" t="str">
        <x:f>IF(AND(P$8&lt;='Detalle'!$H881,P$9&gt;='Detalle'!$G881),1,"")</x:f>
      </x:c>
      <x:c r="Q1811" s="68"/>
      <x:c r="R1811" s="67" t="str">
        <x:f>IF('Detalle'!M881="","",'Detalle'!M881)</x:f>
      </x:c>
      <x:c r="S1811" s="67" t="str">
        <x:f>IF('Detalle'!N881="","",'Detalle'!N881)</x:f>
      </x:c>
    </x:row>
    <x:row r="1812" ht="16" customHeight="1">
      <x:c r="A1812" s="56" t="str">
        <x:v>COR01.009</x:v>
      </x:c>
      <x:c r="B1812" s="57" t="str">
        <x:v>Actualizar límites conocidos del módulo</x:v>
      </x:c>
      <x:c r="C1812" s="63" t="str">
        <x:v>R</x:v>
      </x:c>
      <x:c r="D1812" s="65" t="str">
        <x:f>IF('Detalle'!L881="","",'Detalle'!L881)</x:f>
      </x:c>
      <x:c r="E1812" s="60" t="str"/>
      <x:c r="F1812" s="32" t="str">
        <x:f>IF(OR('Detalle'!$J881="",'Detalle'!$K881="",'Detalle'!$L881=""),"",IF(AND(F$8&lt;='Detalle'!$K881,F$9&gt;='Detalle'!$J881),1,""))</x:f>
      </x:c>
      <x:c r="G1812" s="32" t="str">
        <x:f>IF(OR('Detalle'!$J881="",'Detalle'!$K881="",'Detalle'!$L881=""),"",IF(AND(G$8&lt;='Detalle'!$K881,G$9&gt;='Detalle'!$J881),1,""))</x:f>
      </x:c>
      <x:c r="H1812" s="32" t="str">
        <x:f>IF(OR('Detalle'!$J881="",'Detalle'!$K881="",'Detalle'!$L881=""),"",IF(AND(H$8&lt;='Detalle'!$K881,H$9&gt;='Detalle'!$J881),1,""))</x:f>
      </x:c>
      <x:c r="I1812" s="32" t="str">
        <x:f>IF(OR('Detalle'!$J881="",'Detalle'!$K881="",'Detalle'!$L881=""),"",IF(AND(I$8&lt;='Detalle'!$K881,I$9&gt;='Detalle'!$J881),1,""))</x:f>
      </x:c>
      <x:c r="J1812" s="32" t="str">
        <x:f>IF(OR('Detalle'!$J881="",'Detalle'!$K881="",'Detalle'!$L881=""),"",IF(AND(J$8&lt;='Detalle'!$K881,J$9&gt;='Detalle'!$J881),1,""))</x:f>
      </x:c>
      <x:c r="K1812" s="32" t="str">
        <x:f>IF(OR('Detalle'!$J881="",'Detalle'!$K881="",'Detalle'!$L881=""),"",IF(AND(K$8&lt;='Detalle'!$K881,K$9&gt;='Detalle'!$J881),1,""))</x:f>
      </x:c>
      <x:c r="L1812" s="32" t="str">
        <x:f>IF(OR('Detalle'!$J881="",'Detalle'!$K881="",'Detalle'!$L881=""),"",IF(AND(L$8&lt;='Detalle'!$K881,L$9&gt;='Detalle'!$J881),1,""))</x:f>
      </x:c>
      <x:c r="M1812" s="32" t="str">
        <x:f>IF(OR('Detalle'!$J881="",'Detalle'!$K881="",'Detalle'!$L881=""),"",IF(AND(M$8&lt;='Detalle'!$K881,M$9&gt;='Detalle'!$J881),1,""))</x:f>
      </x:c>
      <x:c r="N1812" s="32" t="str">
        <x:f>IF(OR('Detalle'!$J881="",'Detalle'!$K881="",'Detalle'!$L881=""),"",IF(AND(N$8&lt;='Detalle'!$K881,N$9&gt;='Detalle'!$J881),1,""))</x:f>
      </x:c>
      <x:c r="O1812" s="32" t="str">
        <x:f>IF(OR('Detalle'!$J881="",'Detalle'!$K881="",'Detalle'!$L881=""),"",IF(AND(O$8&lt;='Detalle'!$K881,O$9&gt;='Detalle'!$J881),1,""))</x:f>
      </x:c>
      <x:c r="P1812" s="32" t="str">
        <x:f>IF(OR('Detalle'!$J881="",'Detalle'!$K881="",'Detalle'!$L881=""),"",IF(AND(P$8&lt;='Detalle'!$K881,P$9&gt;='Detalle'!$J881),1,""))</x:f>
      </x:c>
      <x:c r="Q1812" s="68"/>
      <x:c r="R1812" s="67" t="str"/>
      <x:c r="S1812" s="67" t="str"/>
    </x:row>
    <x:row r="1813" ht="20" customHeight="1">
      <x:c r="A1813" s="52" t="str">
        <x:v>CLO01 · Traspaso del procesador a Cloud Run</x:v>
      </x:c>
      <x:c r="B1813" s="52" t="str">
        <x:v>CLO01 · Traspaso del procesador a Cloud Run</x:v>
      </x:c>
      <x:c r="C1813" s="52" t="str">
        <x:v>CLO01 · Traspaso del procesador a Cloud Run</x:v>
      </x:c>
      <x:c r="D1813" s="52" t="str">
        <x:v>CLO01 · Traspaso del procesador a Cloud Run</x:v>
      </x:c>
      <x:c r="E1813" s="52" t="str">
        <x:v>CLO01 · Traspaso del procesador a Cloud Run</x:v>
      </x:c>
      <x:c r="F1813" s="53" t="str">
        <x:v>CLO01 · Traspaso del procesador a Cloud Run</x:v>
      </x:c>
      <x:c r="G1813" s="53" t="str">
        <x:v>CLO01 · Traspaso del procesador a Cloud Run</x:v>
      </x:c>
      <x:c r="H1813" s="53" t="str">
        <x:v>CLO01 · Traspaso del procesador a Cloud Run</x:v>
      </x:c>
      <x:c r="I1813" s="53" t="str">
        <x:v>CLO01 · Traspaso del procesador a Cloud Run</x:v>
      </x:c>
      <x:c r="J1813" s="53" t="str">
        <x:v>CLO01 · Traspaso del procesador a Cloud Run</x:v>
      </x:c>
      <x:c r="K1813" s="53" t="str">
        <x:v>CLO01 · Traspaso del procesador a Cloud Run</x:v>
      </x:c>
      <x:c r="L1813" s="53" t="str">
        <x:v>CLO01 · Traspaso del procesador a Cloud Run</x:v>
      </x:c>
      <x:c r="M1813" s="53" t="str">
        <x:v>CLO01 · Traspaso del procesador a Cloud Run</x:v>
      </x:c>
      <x:c r="N1813" s="53" t="str">
        <x:v>CLO01 · Traspaso del procesador a Cloud Run</x:v>
      </x:c>
      <x:c r="O1813" s="53" t="str">
        <x:v>CLO01 · Traspaso del procesador a Cloud Run</x:v>
      </x:c>
      <x:c r="P1813" s="53" t="str">
        <x:v>CLO01 · Traspaso del procesador a Cloud Run</x:v>
      </x:c>
      <x:c r="Q1813" s="52" t="str">
        <x:v>CLO01 · Traspaso del procesador a Cloud Run</x:v>
      </x:c>
      <x:c r="R1813" s="52" t="str">
        <x:v>CLO01 · Traspaso del procesador a Cloud Run</x:v>
      </x:c>
      <x:c r="S1813" s="52" t="str">
        <x:v>CLO01 · Traspaso del procesador a Cloud Run</x:v>
      </x:c>
    </x:row>
    <x:row r="1814" ht="16" customHeight="1">
      <x:c r="A1814" s="56" t="str">
        <x:v>CLO01.001</x:v>
      </x:c>
      <x:c r="B1814" s="57" t="str">
        <x:v>Resolver verificación de facturación Google</x:v>
      </x:c>
      <x:c r="C1814" s="62" t="str">
        <x:v>E</x:v>
      </x:c>
      <x:c r="D1814" s="64" t="n">
        <x:f>'Detalle'!I882</x:f>
        <x:v>1</x:v>
      </x:c>
      <x:c r="E1814" s="60" t="str">
        <x:f>'Detalle'!F882</x:f>
        <x:v>Bloqueado</x:v>
      </x:c>
      <x:c r="F1814" s="32" t="str">
        <x:f>IF(AND(F$8&lt;='Detalle'!$H882,F$9&gt;='Detalle'!$G882),1,"")</x:f>
      </x:c>
      <x:c r="G1814" s="32" t="str">
        <x:f>IF(AND(G$8&lt;='Detalle'!$H882,G$9&gt;='Detalle'!$G882),1,"")</x:f>
      </x:c>
      <x:c r="H1814" s="32" t="str">
        <x:f>IF(AND(H$8&lt;='Detalle'!$H882,H$9&gt;='Detalle'!$G882),1,"")</x:f>
      </x:c>
      <x:c r="I1814" s="32" t="str">
        <x:f>IF(AND(I$8&lt;='Detalle'!$H882,I$9&gt;='Detalle'!$G882),1,"")</x:f>
      </x:c>
      <x:c r="J1814" s="32" t="str">
        <x:f>IF(AND(J$8&lt;='Detalle'!$H882,J$9&gt;='Detalle'!$G882),1,"")</x:f>
      </x:c>
      <x:c r="K1814" s="32" t="str">
        <x:f>IF(AND(K$8&lt;='Detalle'!$H882,K$9&gt;='Detalle'!$G882),1,"")</x:f>
      </x:c>
      <x:c r="L1814" s="32" t="str">
        <x:f>IF(AND(L$8&lt;='Detalle'!$H882,L$9&gt;='Detalle'!$G882),1,"")</x:f>
      </x:c>
      <x:c r="M1814" s="32" t="n">
        <x:f>IF(AND(M$8&lt;='Detalle'!$H882,M$9&gt;='Detalle'!$G882),1,"")</x:f>
        <x:v>1</x:v>
      </x:c>
      <x:c r="N1814" s="32" t="str">
        <x:f>IF(AND(N$8&lt;='Detalle'!$H882,N$9&gt;='Detalle'!$G882),1,"")</x:f>
      </x:c>
      <x:c r="O1814" s="32" t="str">
        <x:f>IF(AND(O$8&lt;='Detalle'!$H882,O$9&gt;='Detalle'!$G882),1,"")</x:f>
      </x:c>
      <x:c r="P1814" s="32" t="str">
        <x:f>IF(AND(P$8&lt;='Detalle'!$H882,P$9&gt;='Detalle'!$G882),1,"")</x:f>
      </x:c>
      <x:c r="Q1814" s="68"/>
      <x:c r="R1814" s="67" t="str">
        <x:f>IF('Detalle'!M882="","",'Detalle'!M882)</x:f>
      </x:c>
      <x:c r="S1814" s="67" t="str">
        <x:f>IF('Detalle'!N882="","",'Detalle'!N882)</x:f>
      </x:c>
    </x:row>
    <x:row r="1815" ht="16" customHeight="1">
      <x:c r="A1815" s="56" t="str">
        <x:v>CLO01.001</x:v>
      </x:c>
      <x:c r="B1815" s="57" t="str">
        <x:v>Resolver verificación de facturación Google</x:v>
      </x:c>
      <x:c r="C1815" s="63" t="str">
        <x:v>R</x:v>
      </x:c>
      <x:c r="D1815" s="65" t="str">
        <x:f>IF('Detalle'!L882="","",'Detalle'!L882)</x:f>
      </x:c>
      <x:c r="E1815" s="60" t="str"/>
      <x:c r="F1815" s="32" t="str">
        <x:f>IF(OR('Detalle'!$J882="",'Detalle'!$K882="",'Detalle'!$L882=""),"",IF(AND(F$8&lt;='Detalle'!$K882,F$9&gt;='Detalle'!$J882),1,""))</x:f>
      </x:c>
      <x:c r="G1815" s="32" t="str">
        <x:f>IF(OR('Detalle'!$J882="",'Detalle'!$K882="",'Detalle'!$L882=""),"",IF(AND(G$8&lt;='Detalle'!$K882,G$9&gt;='Detalle'!$J882),1,""))</x:f>
      </x:c>
      <x:c r="H1815" s="32" t="str">
        <x:f>IF(OR('Detalle'!$J882="",'Detalle'!$K882="",'Detalle'!$L882=""),"",IF(AND(H$8&lt;='Detalle'!$K882,H$9&gt;='Detalle'!$J882),1,""))</x:f>
      </x:c>
      <x:c r="I1815" s="32" t="str">
        <x:f>IF(OR('Detalle'!$J882="",'Detalle'!$K882="",'Detalle'!$L882=""),"",IF(AND(I$8&lt;='Detalle'!$K882,I$9&gt;='Detalle'!$J882),1,""))</x:f>
      </x:c>
      <x:c r="J1815" s="32" t="str">
        <x:f>IF(OR('Detalle'!$J882="",'Detalle'!$K882="",'Detalle'!$L882=""),"",IF(AND(J$8&lt;='Detalle'!$K882,J$9&gt;='Detalle'!$J882),1,""))</x:f>
      </x:c>
      <x:c r="K1815" s="32" t="str">
        <x:f>IF(OR('Detalle'!$J882="",'Detalle'!$K882="",'Detalle'!$L882=""),"",IF(AND(K$8&lt;='Detalle'!$K882,K$9&gt;='Detalle'!$J882),1,""))</x:f>
      </x:c>
      <x:c r="L1815" s="32" t="str">
        <x:f>IF(OR('Detalle'!$J882="",'Detalle'!$K882="",'Detalle'!$L882=""),"",IF(AND(L$8&lt;='Detalle'!$K882,L$9&gt;='Detalle'!$J882),1,""))</x:f>
      </x:c>
      <x:c r="M1815" s="32" t="str">
        <x:f>IF(OR('Detalle'!$J882="",'Detalle'!$K882="",'Detalle'!$L882=""),"",IF(AND(M$8&lt;='Detalle'!$K882,M$9&gt;='Detalle'!$J882),1,""))</x:f>
      </x:c>
      <x:c r="N1815" s="32" t="str">
        <x:f>IF(OR('Detalle'!$J882="",'Detalle'!$K882="",'Detalle'!$L882=""),"",IF(AND(N$8&lt;='Detalle'!$K882,N$9&gt;='Detalle'!$J882),1,""))</x:f>
      </x:c>
      <x:c r="O1815" s="32" t="str">
        <x:f>IF(OR('Detalle'!$J882="",'Detalle'!$K882="",'Detalle'!$L882=""),"",IF(AND(O$8&lt;='Detalle'!$K882,O$9&gt;='Detalle'!$J882),1,""))</x:f>
      </x:c>
      <x:c r="P1815" s="32" t="str">
        <x:f>IF(OR('Detalle'!$J882="",'Detalle'!$K882="",'Detalle'!$L882=""),"",IF(AND(P$8&lt;='Detalle'!$K882,P$9&gt;='Detalle'!$J882),1,""))</x:f>
      </x:c>
      <x:c r="Q1815" s="68"/>
      <x:c r="R1815" s="67" t="str"/>
      <x:c r="S1815" s="67" t="str"/>
    </x:row>
    <x:row r="1816" ht="16" customHeight="1">
      <x:c r="A1816" s="56" t="str">
        <x:v>CLO01.002</x:v>
      </x:c>
      <x:c r="B1816" s="57" t="str">
        <x:v>Instalar y autenticar gcloud</x:v>
      </x:c>
      <x:c r="C1816" s="62" t="str">
        <x:v>E</x:v>
      </x:c>
      <x:c r="D1816" s="64" t="n">
        <x:f>'Detalle'!I883</x:f>
        <x:v>1</x:v>
      </x:c>
      <x:c r="E1816" s="60" t="str">
        <x:f>'Detalle'!F883</x:f>
        <x:v>Bloqueado</x:v>
      </x:c>
      <x:c r="F1816" s="32" t="str">
        <x:f>IF(AND(F$8&lt;='Detalle'!$H883,F$9&gt;='Detalle'!$G883),1,"")</x:f>
      </x:c>
      <x:c r="G1816" s="32" t="str">
        <x:f>IF(AND(G$8&lt;='Detalle'!$H883,G$9&gt;='Detalle'!$G883),1,"")</x:f>
      </x:c>
      <x:c r="H1816" s="32" t="str">
        <x:f>IF(AND(H$8&lt;='Detalle'!$H883,H$9&gt;='Detalle'!$G883),1,"")</x:f>
      </x:c>
      <x:c r="I1816" s="32" t="str">
        <x:f>IF(AND(I$8&lt;='Detalle'!$H883,I$9&gt;='Detalle'!$G883),1,"")</x:f>
      </x:c>
      <x:c r="J1816" s="32" t="str">
        <x:f>IF(AND(J$8&lt;='Detalle'!$H883,J$9&gt;='Detalle'!$G883),1,"")</x:f>
      </x:c>
      <x:c r="K1816" s="32" t="str">
        <x:f>IF(AND(K$8&lt;='Detalle'!$H883,K$9&gt;='Detalle'!$G883),1,"")</x:f>
      </x:c>
      <x:c r="L1816" s="32" t="str">
        <x:f>IF(AND(L$8&lt;='Detalle'!$H883,L$9&gt;='Detalle'!$G883),1,"")</x:f>
      </x:c>
      <x:c r="M1816" s="32" t="n">
        <x:f>IF(AND(M$8&lt;='Detalle'!$H883,M$9&gt;='Detalle'!$G883),1,"")</x:f>
        <x:v>1</x:v>
      </x:c>
      <x:c r="N1816" s="32" t="str">
        <x:f>IF(AND(N$8&lt;='Detalle'!$H883,N$9&gt;='Detalle'!$G883),1,"")</x:f>
      </x:c>
      <x:c r="O1816" s="32" t="str">
        <x:f>IF(AND(O$8&lt;='Detalle'!$H883,O$9&gt;='Detalle'!$G883),1,"")</x:f>
      </x:c>
      <x:c r="P1816" s="32" t="str">
        <x:f>IF(AND(P$8&lt;='Detalle'!$H883,P$9&gt;='Detalle'!$G883),1,"")</x:f>
      </x:c>
      <x:c r="Q1816" s="68"/>
      <x:c r="R1816" s="67" t="str">
        <x:f>IF('Detalle'!M883="","",'Detalle'!M883)</x:f>
      </x:c>
      <x:c r="S1816" s="67" t="str">
        <x:f>IF('Detalle'!N883="","",'Detalle'!N883)</x:f>
      </x:c>
    </x:row>
    <x:row r="1817" ht="16" customHeight="1">
      <x:c r="A1817" s="56" t="str">
        <x:v>CLO01.002</x:v>
      </x:c>
      <x:c r="B1817" s="57" t="str">
        <x:v>Instalar y autenticar gcloud</x:v>
      </x:c>
      <x:c r="C1817" s="63" t="str">
        <x:v>R</x:v>
      </x:c>
      <x:c r="D1817" s="65" t="str">
        <x:f>IF('Detalle'!L883="","",'Detalle'!L883)</x:f>
      </x:c>
      <x:c r="E1817" s="60" t="str"/>
      <x:c r="F1817" s="32" t="str">
        <x:f>IF(OR('Detalle'!$J883="",'Detalle'!$K883="",'Detalle'!$L883=""),"",IF(AND(F$8&lt;='Detalle'!$K883,F$9&gt;='Detalle'!$J883),1,""))</x:f>
      </x:c>
      <x:c r="G1817" s="32" t="str">
        <x:f>IF(OR('Detalle'!$J883="",'Detalle'!$K883="",'Detalle'!$L883=""),"",IF(AND(G$8&lt;='Detalle'!$K883,G$9&gt;='Detalle'!$J883),1,""))</x:f>
      </x:c>
      <x:c r="H1817" s="32" t="str">
        <x:f>IF(OR('Detalle'!$J883="",'Detalle'!$K883="",'Detalle'!$L883=""),"",IF(AND(H$8&lt;='Detalle'!$K883,H$9&gt;='Detalle'!$J883),1,""))</x:f>
      </x:c>
      <x:c r="I1817" s="32" t="str">
        <x:f>IF(OR('Detalle'!$J883="",'Detalle'!$K883="",'Detalle'!$L883=""),"",IF(AND(I$8&lt;='Detalle'!$K883,I$9&gt;='Detalle'!$J883),1,""))</x:f>
      </x:c>
      <x:c r="J1817" s="32" t="str">
        <x:f>IF(OR('Detalle'!$J883="",'Detalle'!$K883="",'Detalle'!$L883=""),"",IF(AND(J$8&lt;='Detalle'!$K883,J$9&gt;='Detalle'!$J883),1,""))</x:f>
      </x:c>
      <x:c r="K1817" s="32" t="str">
        <x:f>IF(OR('Detalle'!$J883="",'Detalle'!$K883="",'Detalle'!$L883=""),"",IF(AND(K$8&lt;='Detalle'!$K883,K$9&gt;='Detalle'!$J883),1,""))</x:f>
      </x:c>
      <x:c r="L1817" s="32" t="str">
        <x:f>IF(OR('Detalle'!$J883="",'Detalle'!$K883="",'Detalle'!$L883=""),"",IF(AND(L$8&lt;='Detalle'!$K883,L$9&gt;='Detalle'!$J883),1,""))</x:f>
      </x:c>
      <x:c r="M1817" s="32" t="str">
        <x:f>IF(OR('Detalle'!$J883="",'Detalle'!$K883="",'Detalle'!$L883=""),"",IF(AND(M$8&lt;='Detalle'!$K883,M$9&gt;='Detalle'!$J883),1,""))</x:f>
      </x:c>
      <x:c r="N1817" s="32" t="str">
        <x:f>IF(OR('Detalle'!$J883="",'Detalle'!$K883="",'Detalle'!$L883=""),"",IF(AND(N$8&lt;='Detalle'!$K883,N$9&gt;='Detalle'!$J883),1,""))</x:f>
      </x:c>
      <x:c r="O1817" s="32" t="str">
        <x:f>IF(OR('Detalle'!$J883="",'Detalle'!$K883="",'Detalle'!$L883=""),"",IF(AND(O$8&lt;='Detalle'!$K883,O$9&gt;='Detalle'!$J883),1,""))</x:f>
      </x:c>
      <x:c r="P1817" s="32" t="str">
        <x:f>IF(OR('Detalle'!$J883="",'Detalle'!$K883="",'Detalle'!$L883=""),"",IF(AND(P$8&lt;='Detalle'!$K883,P$9&gt;='Detalle'!$J883),1,""))</x:f>
      </x:c>
      <x:c r="Q1817" s="68"/>
      <x:c r="R1817" s="67" t="str"/>
      <x:c r="S1817" s="67" t="str"/>
    </x:row>
    <x:row r="1818" ht="16" customHeight="1">
      <x:c r="A1818" s="56" t="str">
        <x:v>CLO01.003</x:v>
      </x:c>
      <x:c r="B1818" s="57" t="str">
        <x:v>Verificar permisos del proyecto Google</x:v>
      </x:c>
      <x:c r="C1818" s="62" t="str">
        <x:v>E</x:v>
      </x:c>
      <x:c r="D1818" s="64" t="n">
        <x:f>'Detalle'!I884</x:f>
        <x:v>1</x:v>
      </x:c>
      <x:c r="E1818" s="60" t="str">
        <x:f>'Detalle'!F884</x:f>
        <x:v>Bloqueado</x:v>
      </x:c>
      <x:c r="F1818" s="32" t="str">
        <x:f>IF(AND(F$8&lt;='Detalle'!$H884,F$9&gt;='Detalle'!$G884),1,"")</x:f>
      </x:c>
      <x:c r="G1818" s="32" t="str">
        <x:f>IF(AND(G$8&lt;='Detalle'!$H884,G$9&gt;='Detalle'!$G884),1,"")</x:f>
      </x:c>
      <x:c r="H1818" s="32" t="str">
        <x:f>IF(AND(H$8&lt;='Detalle'!$H884,H$9&gt;='Detalle'!$G884),1,"")</x:f>
      </x:c>
      <x:c r="I1818" s="32" t="str">
        <x:f>IF(AND(I$8&lt;='Detalle'!$H884,I$9&gt;='Detalle'!$G884),1,"")</x:f>
      </x:c>
      <x:c r="J1818" s="32" t="str">
        <x:f>IF(AND(J$8&lt;='Detalle'!$H884,J$9&gt;='Detalle'!$G884),1,"")</x:f>
      </x:c>
      <x:c r="K1818" s="32" t="str">
        <x:f>IF(AND(K$8&lt;='Detalle'!$H884,K$9&gt;='Detalle'!$G884),1,"")</x:f>
      </x:c>
      <x:c r="L1818" s="32" t="str">
        <x:f>IF(AND(L$8&lt;='Detalle'!$H884,L$9&gt;='Detalle'!$G884),1,"")</x:f>
      </x:c>
      <x:c r="M1818" s="32" t="n">
        <x:f>IF(AND(M$8&lt;='Detalle'!$H884,M$9&gt;='Detalle'!$G884),1,"")</x:f>
        <x:v>1</x:v>
      </x:c>
      <x:c r="N1818" s="32" t="str">
        <x:f>IF(AND(N$8&lt;='Detalle'!$H884,N$9&gt;='Detalle'!$G884),1,"")</x:f>
      </x:c>
      <x:c r="O1818" s="32" t="str">
        <x:f>IF(AND(O$8&lt;='Detalle'!$H884,O$9&gt;='Detalle'!$G884),1,"")</x:f>
      </x:c>
      <x:c r="P1818" s="32" t="str">
        <x:f>IF(AND(P$8&lt;='Detalle'!$H884,P$9&gt;='Detalle'!$G884),1,"")</x:f>
      </x:c>
      <x:c r="Q1818" s="68"/>
      <x:c r="R1818" s="67" t="str">
        <x:f>IF('Detalle'!M884="","",'Detalle'!M884)</x:f>
      </x:c>
      <x:c r="S1818" s="67" t="str">
        <x:f>IF('Detalle'!N884="","",'Detalle'!N884)</x:f>
      </x:c>
    </x:row>
    <x:row r="1819" ht="16" customHeight="1">
      <x:c r="A1819" s="56" t="str">
        <x:v>CLO01.003</x:v>
      </x:c>
      <x:c r="B1819" s="57" t="str">
        <x:v>Verificar permisos del proyecto Google</x:v>
      </x:c>
      <x:c r="C1819" s="63" t="str">
        <x:v>R</x:v>
      </x:c>
      <x:c r="D1819" s="65" t="str">
        <x:f>IF('Detalle'!L884="","",'Detalle'!L884)</x:f>
      </x:c>
      <x:c r="E1819" s="60" t="str"/>
      <x:c r="F1819" s="32" t="str">
        <x:f>IF(OR('Detalle'!$J884="",'Detalle'!$K884="",'Detalle'!$L884=""),"",IF(AND(F$8&lt;='Detalle'!$K884,F$9&gt;='Detalle'!$J884),1,""))</x:f>
      </x:c>
      <x:c r="G1819" s="32" t="str">
        <x:f>IF(OR('Detalle'!$J884="",'Detalle'!$K884="",'Detalle'!$L884=""),"",IF(AND(G$8&lt;='Detalle'!$K884,G$9&gt;='Detalle'!$J884),1,""))</x:f>
      </x:c>
      <x:c r="H1819" s="32" t="str">
        <x:f>IF(OR('Detalle'!$J884="",'Detalle'!$K884="",'Detalle'!$L884=""),"",IF(AND(H$8&lt;='Detalle'!$K884,H$9&gt;='Detalle'!$J884),1,""))</x:f>
      </x:c>
      <x:c r="I1819" s="32" t="str">
        <x:f>IF(OR('Detalle'!$J884="",'Detalle'!$K884="",'Detalle'!$L884=""),"",IF(AND(I$8&lt;='Detalle'!$K884,I$9&gt;='Detalle'!$J884),1,""))</x:f>
      </x:c>
      <x:c r="J1819" s="32" t="str">
        <x:f>IF(OR('Detalle'!$J884="",'Detalle'!$K884="",'Detalle'!$L884=""),"",IF(AND(J$8&lt;='Detalle'!$K884,J$9&gt;='Detalle'!$J884),1,""))</x:f>
      </x:c>
      <x:c r="K1819" s="32" t="str">
        <x:f>IF(OR('Detalle'!$J884="",'Detalle'!$K884="",'Detalle'!$L884=""),"",IF(AND(K$8&lt;='Detalle'!$K884,K$9&gt;='Detalle'!$J884),1,""))</x:f>
      </x:c>
      <x:c r="L1819" s="32" t="str">
        <x:f>IF(OR('Detalle'!$J884="",'Detalle'!$K884="",'Detalle'!$L884=""),"",IF(AND(L$8&lt;='Detalle'!$K884,L$9&gt;='Detalle'!$J884),1,""))</x:f>
      </x:c>
      <x:c r="M1819" s="32" t="str">
        <x:f>IF(OR('Detalle'!$J884="",'Detalle'!$K884="",'Detalle'!$L884=""),"",IF(AND(M$8&lt;='Detalle'!$K884,M$9&gt;='Detalle'!$J884),1,""))</x:f>
      </x:c>
      <x:c r="N1819" s="32" t="str">
        <x:f>IF(OR('Detalle'!$J884="",'Detalle'!$K884="",'Detalle'!$L884=""),"",IF(AND(N$8&lt;='Detalle'!$K884,N$9&gt;='Detalle'!$J884),1,""))</x:f>
      </x:c>
      <x:c r="O1819" s="32" t="str">
        <x:f>IF(OR('Detalle'!$J884="",'Detalle'!$K884="",'Detalle'!$L884=""),"",IF(AND(O$8&lt;='Detalle'!$K884,O$9&gt;='Detalle'!$J884),1,""))</x:f>
      </x:c>
      <x:c r="P1819" s="32" t="str">
        <x:f>IF(OR('Detalle'!$J884="",'Detalle'!$K884="",'Detalle'!$L884=""),"",IF(AND(P$8&lt;='Detalle'!$K884,P$9&gt;='Detalle'!$J884),1,""))</x:f>
      </x:c>
      <x:c r="Q1819" s="68"/>
      <x:c r="R1819" s="67" t="str"/>
      <x:c r="S1819" s="67" t="str"/>
    </x:row>
    <x:row r="1820" ht="16" customHeight="1">
      <x:c r="A1820" s="56" t="str">
        <x:v>CLO01.004</x:v>
      </x:c>
      <x:c r="B1820" s="57" t="str">
        <x:v>Definir presupuesto de procesamiento</x:v>
      </x:c>
      <x:c r="C1820" s="62" t="str">
        <x:v>E</x:v>
      </x:c>
      <x:c r="D1820" s="64" t="n">
        <x:f>'Detalle'!I885</x:f>
        <x:v>1</x:v>
      </x:c>
      <x:c r="E1820" s="60" t="str">
        <x:f>'Detalle'!F885</x:f>
        <x:v>Pendiente</x:v>
      </x:c>
      <x:c r="F1820" s="32" t="str">
        <x:f>IF(AND(F$8&lt;='Detalle'!$H885,F$9&gt;='Detalle'!$G885),1,"")</x:f>
      </x:c>
      <x:c r="G1820" s="32" t="str">
        <x:f>IF(AND(G$8&lt;='Detalle'!$H885,G$9&gt;='Detalle'!$G885),1,"")</x:f>
      </x:c>
      <x:c r="H1820" s="32" t="str">
        <x:f>IF(AND(H$8&lt;='Detalle'!$H885,H$9&gt;='Detalle'!$G885),1,"")</x:f>
      </x:c>
      <x:c r="I1820" s="32" t="str">
        <x:f>IF(AND(I$8&lt;='Detalle'!$H885,I$9&gt;='Detalle'!$G885),1,"")</x:f>
      </x:c>
      <x:c r="J1820" s="32" t="str">
        <x:f>IF(AND(J$8&lt;='Detalle'!$H885,J$9&gt;='Detalle'!$G885),1,"")</x:f>
      </x:c>
      <x:c r="K1820" s="32" t="str">
        <x:f>IF(AND(K$8&lt;='Detalle'!$H885,K$9&gt;='Detalle'!$G885),1,"")</x:f>
      </x:c>
      <x:c r="L1820" s="32" t="str">
        <x:f>IF(AND(L$8&lt;='Detalle'!$H885,L$9&gt;='Detalle'!$G885),1,"")</x:f>
      </x:c>
      <x:c r="M1820" s="32" t="n">
        <x:f>IF(AND(M$8&lt;='Detalle'!$H885,M$9&gt;='Detalle'!$G885),1,"")</x:f>
        <x:v>1</x:v>
      </x:c>
      <x:c r="N1820" s="32" t="str">
        <x:f>IF(AND(N$8&lt;='Detalle'!$H885,N$9&gt;='Detalle'!$G885),1,"")</x:f>
      </x:c>
      <x:c r="O1820" s="32" t="str">
        <x:f>IF(AND(O$8&lt;='Detalle'!$H885,O$9&gt;='Detalle'!$G885),1,"")</x:f>
      </x:c>
      <x:c r="P1820" s="32" t="str">
        <x:f>IF(AND(P$8&lt;='Detalle'!$H885,P$9&gt;='Detalle'!$G885),1,"")</x:f>
      </x:c>
      <x:c r="Q1820" s="68"/>
      <x:c r="R1820" s="67" t="str">
        <x:f>IF('Detalle'!M885="","",'Detalle'!M885)</x:f>
      </x:c>
      <x:c r="S1820" s="67" t="str">
        <x:f>IF('Detalle'!N885="","",'Detalle'!N885)</x:f>
      </x:c>
    </x:row>
    <x:row r="1821" ht="16" customHeight="1">
      <x:c r="A1821" s="56" t="str">
        <x:v>CLO01.004</x:v>
      </x:c>
      <x:c r="B1821" s="57" t="str">
        <x:v>Definir presupuesto de procesamiento</x:v>
      </x:c>
      <x:c r="C1821" s="63" t="str">
        <x:v>R</x:v>
      </x:c>
      <x:c r="D1821" s="65" t="str">
        <x:f>IF('Detalle'!L885="","",'Detalle'!L885)</x:f>
      </x:c>
      <x:c r="E1821" s="60" t="str"/>
      <x:c r="F1821" s="32" t="str">
        <x:f>IF(OR('Detalle'!$J885="",'Detalle'!$K885="",'Detalle'!$L885=""),"",IF(AND(F$8&lt;='Detalle'!$K885,F$9&gt;='Detalle'!$J885),1,""))</x:f>
      </x:c>
      <x:c r="G1821" s="32" t="str">
        <x:f>IF(OR('Detalle'!$J885="",'Detalle'!$K885="",'Detalle'!$L885=""),"",IF(AND(G$8&lt;='Detalle'!$K885,G$9&gt;='Detalle'!$J885),1,""))</x:f>
      </x:c>
      <x:c r="H1821" s="32" t="str">
        <x:f>IF(OR('Detalle'!$J885="",'Detalle'!$K885="",'Detalle'!$L885=""),"",IF(AND(H$8&lt;='Detalle'!$K885,H$9&gt;='Detalle'!$J885),1,""))</x:f>
      </x:c>
      <x:c r="I1821" s="32" t="str">
        <x:f>IF(OR('Detalle'!$J885="",'Detalle'!$K885="",'Detalle'!$L885=""),"",IF(AND(I$8&lt;='Detalle'!$K885,I$9&gt;='Detalle'!$J885),1,""))</x:f>
      </x:c>
      <x:c r="J1821" s="32" t="str">
        <x:f>IF(OR('Detalle'!$J885="",'Detalle'!$K885="",'Detalle'!$L885=""),"",IF(AND(J$8&lt;='Detalle'!$K885,J$9&gt;='Detalle'!$J885),1,""))</x:f>
      </x:c>
      <x:c r="K1821" s="32" t="str">
        <x:f>IF(OR('Detalle'!$J885="",'Detalle'!$K885="",'Detalle'!$L885=""),"",IF(AND(K$8&lt;='Detalle'!$K885,K$9&gt;='Detalle'!$J885),1,""))</x:f>
      </x:c>
      <x:c r="L1821" s="32" t="str">
        <x:f>IF(OR('Detalle'!$J885="",'Detalle'!$K885="",'Detalle'!$L885=""),"",IF(AND(L$8&lt;='Detalle'!$K885,L$9&gt;='Detalle'!$J885),1,""))</x:f>
      </x:c>
      <x:c r="M1821" s="32" t="str">
        <x:f>IF(OR('Detalle'!$J885="",'Detalle'!$K885="",'Detalle'!$L885=""),"",IF(AND(M$8&lt;='Detalle'!$K885,M$9&gt;='Detalle'!$J885),1,""))</x:f>
      </x:c>
      <x:c r="N1821" s="32" t="str">
        <x:f>IF(OR('Detalle'!$J885="",'Detalle'!$K885="",'Detalle'!$L885=""),"",IF(AND(N$8&lt;='Detalle'!$K885,N$9&gt;='Detalle'!$J885),1,""))</x:f>
      </x:c>
      <x:c r="O1821" s="32" t="str">
        <x:f>IF(OR('Detalle'!$J885="",'Detalle'!$K885="",'Detalle'!$L885=""),"",IF(AND(O$8&lt;='Detalle'!$K885,O$9&gt;='Detalle'!$J885),1,""))</x:f>
      </x:c>
      <x:c r="P1821" s="32" t="str">
        <x:f>IF(OR('Detalle'!$J885="",'Detalle'!$K885="",'Detalle'!$L885=""),"",IF(AND(P$8&lt;='Detalle'!$K885,P$9&gt;='Detalle'!$J885),1,""))</x:f>
      </x:c>
      <x:c r="Q1821" s="68"/>
      <x:c r="R1821" s="67" t="str"/>
      <x:c r="S1821" s="67" t="str"/>
    </x:row>
    <x:row r="1822" ht="16" customHeight="1">
      <x:c r="A1822" s="56" t="str">
        <x:v>CLO01.005</x:v>
      </x:c>
      <x:c r="B1822" s="57" t="str">
        <x:v>Crear Artifact Registry autorizado</x:v>
      </x:c>
      <x:c r="C1822" s="62" t="str">
        <x:v>E</x:v>
      </x:c>
      <x:c r="D1822" s="64" t="n">
        <x:f>'Detalle'!I886</x:f>
        <x:v>1</x:v>
      </x:c>
      <x:c r="E1822" s="60" t="str">
        <x:f>'Detalle'!F886</x:f>
        <x:v>Pendiente</x:v>
      </x:c>
      <x:c r="F1822" s="32" t="str">
        <x:f>IF(AND(F$8&lt;='Detalle'!$H886,F$9&gt;='Detalle'!$G886),1,"")</x:f>
      </x:c>
      <x:c r="G1822" s="32" t="str">
        <x:f>IF(AND(G$8&lt;='Detalle'!$H886,G$9&gt;='Detalle'!$G886),1,"")</x:f>
      </x:c>
      <x:c r="H1822" s="32" t="str">
        <x:f>IF(AND(H$8&lt;='Detalle'!$H886,H$9&gt;='Detalle'!$G886),1,"")</x:f>
      </x:c>
      <x:c r="I1822" s="32" t="str">
        <x:f>IF(AND(I$8&lt;='Detalle'!$H886,I$9&gt;='Detalle'!$G886),1,"")</x:f>
      </x:c>
      <x:c r="J1822" s="32" t="str">
        <x:f>IF(AND(J$8&lt;='Detalle'!$H886,J$9&gt;='Detalle'!$G886),1,"")</x:f>
      </x:c>
      <x:c r="K1822" s="32" t="str">
        <x:f>IF(AND(K$8&lt;='Detalle'!$H886,K$9&gt;='Detalle'!$G886),1,"")</x:f>
      </x:c>
      <x:c r="L1822" s="32" t="str">
        <x:f>IF(AND(L$8&lt;='Detalle'!$H886,L$9&gt;='Detalle'!$G886),1,"")</x:f>
      </x:c>
      <x:c r="M1822" s="32" t="n">
        <x:f>IF(AND(M$8&lt;='Detalle'!$H886,M$9&gt;='Detalle'!$G886),1,"")</x:f>
        <x:v>1</x:v>
      </x:c>
      <x:c r="N1822" s="32" t="str">
        <x:f>IF(AND(N$8&lt;='Detalle'!$H886,N$9&gt;='Detalle'!$G886),1,"")</x:f>
      </x:c>
      <x:c r="O1822" s="32" t="str">
        <x:f>IF(AND(O$8&lt;='Detalle'!$H886,O$9&gt;='Detalle'!$G886),1,"")</x:f>
      </x:c>
      <x:c r="P1822" s="32" t="str">
        <x:f>IF(AND(P$8&lt;='Detalle'!$H886,P$9&gt;='Detalle'!$G886),1,"")</x:f>
      </x:c>
      <x:c r="Q1822" s="68"/>
      <x:c r="R1822" s="67" t="str">
        <x:f>IF('Detalle'!M886="","",'Detalle'!M886)</x:f>
      </x:c>
      <x:c r="S1822" s="67" t="str">
        <x:f>IF('Detalle'!N886="","",'Detalle'!N886)</x:f>
      </x:c>
    </x:row>
    <x:row r="1823" ht="16" customHeight="1">
      <x:c r="A1823" s="56" t="str">
        <x:v>CLO01.005</x:v>
      </x:c>
      <x:c r="B1823" s="57" t="str">
        <x:v>Crear Artifact Registry autorizado</x:v>
      </x:c>
      <x:c r="C1823" s="63" t="str">
        <x:v>R</x:v>
      </x:c>
      <x:c r="D1823" s="65" t="str">
        <x:f>IF('Detalle'!L886="","",'Detalle'!L886)</x:f>
      </x:c>
      <x:c r="E1823" s="60" t="str"/>
      <x:c r="F1823" s="32" t="str">
        <x:f>IF(OR('Detalle'!$J886="",'Detalle'!$K886="",'Detalle'!$L886=""),"",IF(AND(F$8&lt;='Detalle'!$K886,F$9&gt;='Detalle'!$J886),1,""))</x:f>
      </x:c>
      <x:c r="G1823" s="32" t="str">
        <x:f>IF(OR('Detalle'!$J886="",'Detalle'!$K886="",'Detalle'!$L886=""),"",IF(AND(G$8&lt;='Detalle'!$K886,G$9&gt;='Detalle'!$J886),1,""))</x:f>
      </x:c>
      <x:c r="H1823" s="32" t="str">
        <x:f>IF(OR('Detalle'!$J886="",'Detalle'!$K886="",'Detalle'!$L886=""),"",IF(AND(H$8&lt;='Detalle'!$K886,H$9&gt;='Detalle'!$J886),1,""))</x:f>
      </x:c>
      <x:c r="I1823" s="32" t="str">
        <x:f>IF(OR('Detalle'!$J886="",'Detalle'!$K886="",'Detalle'!$L886=""),"",IF(AND(I$8&lt;='Detalle'!$K886,I$9&gt;='Detalle'!$J886),1,""))</x:f>
      </x:c>
      <x:c r="J1823" s="32" t="str">
        <x:f>IF(OR('Detalle'!$J886="",'Detalle'!$K886="",'Detalle'!$L886=""),"",IF(AND(J$8&lt;='Detalle'!$K886,J$9&gt;='Detalle'!$J886),1,""))</x:f>
      </x:c>
      <x:c r="K1823" s="32" t="str">
        <x:f>IF(OR('Detalle'!$J886="",'Detalle'!$K886="",'Detalle'!$L886=""),"",IF(AND(K$8&lt;='Detalle'!$K886,K$9&gt;='Detalle'!$J886),1,""))</x:f>
      </x:c>
      <x:c r="L1823" s="32" t="str">
        <x:f>IF(OR('Detalle'!$J886="",'Detalle'!$K886="",'Detalle'!$L886=""),"",IF(AND(L$8&lt;='Detalle'!$K886,L$9&gt;='Detalle'!$J886),1,""))</x:f>
      </x:c>
      <x:c r="M1823" s="32" t="str">
        <x:f>IF(OR('Detalle'!$J886="",'Detalle'!$K886="",'Detalle'!$L886=""),"",IF(AND(M$8&lt;='Detalle'!$K886,M$9&gt;='Detalle'!$J886),1,""))</x:f>
      </x:c>
      <x:c r="N1823" s="32" t="str">
        <x:f>IF(OR('Detalle'!$J886="",'Detalle'!$K886="",'Detalle'!$L886=""),"",IF(AND(N$8&lt;='Detalle'!$K886,N$9&gt;='Detalle'!$J886),1,""))</x:f>
      </x:c>
      <x:c r="O1823" s="32" t="str">
        <x:f>IF(OR('Detalle'!$J886="",'Detalle'!$K886="",'Detalle'!$L886=""),"",IF(AND(O$8&lt;='Detalle'!$K886,O$9&gt;='Detalle'!$J886),1,""))</x:f>
      </x:c>
      <x:c r="P1823" s="32" t="str">
        <x:f>IF(OR('Detalle'!$J886="",'Detalle'!$K886="",'Detalle'!$L886=""),"",IF(AND(P$8&lt;='Detalle'!$K886,P$9&gt;='Detalle'!$J886),1,""))</x:f>
      </x:c>
      <x:c r="Q1823" s="68"/>
      <x:c r="R1823" s="67" t="str"/>
      <x:c r="S1823" s="67" t="str"/>
    </x:row>
    <x:row r="1824" ht="16" customHeight="1">
      <x:c r="A1824" s="56" t="str">
        <x:v>CLO01.006</x:v>
      </x:c>
      <x:c r="B1824" s="57" t="str">
        <x:v>Subir la misma imagen validada</x:v>
      </x:c>
      <x:c r="C1824" s="62" t="str">
        <x:v>E</x:v>
      </x:c>
      <x:c r="D1824" s="64" t="n">
        <x:f>'Detalle'!I887</x:f>
        <x:v>1</x:v>
      </x:c>
      <x:c r="E1824" s="60" t="str">
        <x:f>'Detalle'!F887</x:f>
        <x:v>Pendiente</x:v>
      </x:c>
      <x:c r="F1824" s="32" t="str">
        <x:f>IF(AND(F$8&lt;='Detalle'!$H887,F$9&gt;='Detalle'!$G887),1,"")</x:f>
      </x:c>
      <x:c r="G1824" s="32" t="str">
        <x:f>IF(AND(G$8&lt;='Detalle'!$H887,G$9&gt;='Detalle'!$G887),1,"")</x:f>
      </x:c>
      <x:c r="H1824" s="32" t="str">
        <x:f>IF(AND(H$8&lt;='Detalle'!$H887,H$9&gt;='Detalle'!$G887),1,"")</x:f>
      </x:c>
      <x:c r="I1824" s="32" t="str">
        <x:f>IF(AND(I$8&lt;='Detalle'!$H887,I$9&gt;='Detalle'!$G887),1,"")</x:f>
      </x:c>
      <x:c r="J1824" s="32" t="str">
        <x:f>IF(AND(J$8&lt;='Detalle'!$H887,J$9&gt;='Detalle'!$G887),1,"")</x:f>
      </x:c>
      <x:c r="K1824" s="32" t="str">
        <x:f>IF(AND(K$8&lt;='Detalle'!$H887,K$9&gt;='Detalle'!$G887),1,"")</x:f>
      </x:c>
      <x:c r="L1824" s="32" t="str">
        <x:f>IF(AND(L$8&lt;='Detalle'!$H887,L$9&gt;='Detalle'!$G887),1,"")</x:f>
      </x:c>
      <x:c r="M1824" s="32" t="n">
        <x:f>IF(AND(M$8&lt;='Detalle'!$H887,M$9&gt;='Detalle'!$G887),1,"")</x:f>
        <x:v>1</x:v>
      </x:c>
      <x:c r="N1824" s="32" t="str">
        <x:f>IF(AND(N$8&lt;='Detalle'!$H887,N$9&gt;='Detalle'!$G887),1,"")</x:f>
      </x:c>
      <x:c r="O1824" s="32" t="str">
        <x:f>IF(AND(O$8&lt;='Detalle'!$H887,O$9&gt;='Detalle'!$G887),1,"")</x:f>
      </x:c>
      <x:c r="P1824" s="32" t="str">
        <x:f>IF(AND(P$8&lt;='Detalle'!$H887,P$9&gt;='Detalle'!$G887),1,"")</x:f>
      </x:c>
      <x:c r="Q1824" s="68"/>
      <x:c r="R1824" s="67" t="str">
        <x:f>IF('Detalle'!M887="","",'Detalle'!M887)</x:f>
      </x:c>
      <x:c r="S1824" s="67" t="str">
        <x:f>IF('Detalle'!N887="","",'Detalle'!N887)</x:f>
      </x:c>
    </x:row>
    <x:row r="1825" ht="16" customHeight="1">
      <x:c r="A1825" s="56" t="str">
        <x:v>CLO01.006</x:v>
      </x:c>
      <x:c r="B1825" s="57" t="str">
        <x:v>Subir la misma imagen validada</x:v>
      </x:c>
      <x:c r="C1825" s="63" t="str">
        <x:v>R</x:v>
      </x:c>
      <x:c r="D1825" s="65" t="str">
        <x:f>IF('Detalle'!L887="","",'Detalle'!L887)</x:f>
      </x:c>
      <x:c r="E1825" s="60" t="str"/>
      <x:c r="F1825" s="32" t="str">
        <x:f>IF(OR('Detalle'!$J887="",'Detalle'!$K887="",'Detalle'!$L887=""),"",IF(AND(F$8&lt;='Detalle'!$K887,F$9&gt;='Detalle'!$J887),1,""))</x:f>
      </x:c>
      <x:c r="G1825" s="32" t="str">
        <x:f>IF(OR('Detalle'!$J887="",'Detalle'!$K887="",'Detalle'!$L887=""),"",IF(AND(G$8&lt;='Detalle'!$K887,G$9&gt;='Detalle'!$J887),1,""))</x:f>
      </x:c>
      <x:c r="H1825" s="32" t="str">
        <x:f>IF(OR('Detalle'!$J887="",'Detalle'!$K887="",'Detalle'!$L887=""),"",IF(AND(H$8&lt;='Detalle'!$K887,H$9&gt;='Detalle'!$J887),1,""))</x:f>
      </x:c>
      <x:c r="I1825" s="32" t="str">
        <x:f>IF(OR('Detalle'!$J887="",'Detalle'!$K887="",'Detalle'!$L887=""),"",IF(AND(I$8&lt;='Detalle'!$K887,I$9&gt;='Detalle'!$J887),1,""))</x:f>
      </x:c>
      <x:c r="J1825" s="32" t="str">
        <x:f>IF(OR('Detalle'!$J887="",'Detalle'!$K887="",'Detalle'!$L887=""),"",IF(AND(J$8&lt;='Detalle'!$K887,J$9&gt;='Detalle'!$J887),1,""))</x:f>
      </x:c>
      <x:c r="K1825" s="32" t="str">
        <x:f>IF(OR('Detalle'!$J887="",'Detalle'!$K887="",'Detalle'!$L887=""),"",IF(AND(K$8&lt;='Detalle'!$K887,K$9&gt;='Detalle'!$J887),1,""))</x:f>
      </x:c>
      <x:c r="L1825" s="32" t="str">
        <x:f>IF(OR('Detalle'!$J887="",'Detalle'!$K887="",'Detalle'!$L887=""),"",IF(AND(L$8&lt;='Detalle'!$K887,L$9&gt;='Detalle'!$J887),1,""))</x:f>
      </x:c>
      <x:c r="M1825" s="32" t="str">
        <x:f>IF(OR('Detalle'!$J887="",'Detalle'!$K887="",'Detalle'!$L887=""),"",IF(AND(M$8&lt;='Detalle'!$K887,M$9&gt;='Detalle'!$J887),1,""))</x:f>
      </x:c>
      <x:c r="N1825" s="32" t="str">
        <x:f>IF(OR('Detalle'!$J887="",'Detalle'!$K887="",'Detalle'!$L887=""),"",IF(AND(N$8&lt;='Detalle'!$K887,N$9&gt;='Detalle'!$J887),1,""))</x:f>
      </x:c>
      <x:c r="O1825" s="32" t="str">
        <x:f>IF(OR('Detalle'!$J887="",'Detalle'!$K887="",'Detalle'!$L887=""),"",IF(AND(O$8&lt;='Detalle'!$K887,O$9&gt;='Detalle'!$J887),1,""))</x:f>
      </x:c>
      <x:c r="P1825" s="32" t="str">
        <x:f>IF(OR('Detalle'!$J887="",'Detalle'!$K887="",'Detalle'!$L887=""),"",IF(AND(P$8&lt;='Detalle'!$K887,P$9&gt;='Detalle'!$J887),1,""))</x:f>
      </x:c>
      <x:c r="Q1825" s="68"/>
      <x:c r="R1825" s="67" t="str"/>
      <x:c r="S1825" s="67" t="str"/>
    </x:row>
    <x:row r="1826" ht="16" customHeight="1">
      <x:c r="A1826" s="56" t="str">
        <x:v>CLO01.007</x:v>
      </x:c>
      <x:c r="B1826" s="57" t="str">
        <x:v>Crear cuentas de servicio del procesador</x:v>
      </x:c>
      <x:c r="C1826" s="62" t="str">
        <x:v>E</x:v>
      </x:c>
      <x:c r="D1826" s="64" t="n">
        <x:f>'Detalle'!I888</x:f>
        <x:v>1</x:v>
      </x:c>
      <x:c r="E1826" s="60" t="str">
        <x:f>'Detalle'!F888</x:f>
        <x:v>Pendiente</x:v>
      </x:c>
      <x:c r="F1826" s="32" t="str">
        <x:f>IF(AND(F$8&lt;='Detalle'!$H888,F$9&gt;='Detalle'!$G888),1,"")</x:f>
      </x:c>
      <x:c r="G1826" s="32" t="str">
        <x:f>IF(AND(G$8&lt;='Detalle'!$H888,G$9&gt;='Detalle'!$G888),1,"")</x:f>
      </x:c>
      <x:c r="H1826" s="32" t="str">
        <x:f>IF(AND(H$8&lt;='Detalle'!$H888,H$9&gt;='Detalle'!$G888),1,"")</x:f>
      </x:c>
      <x:c r="I1826" s="32" t="str">
        <x:f>IF(AND(I$8&lt;='Detalle'!$H888,I$9&gt;='Detalle'!$G888),1,"")</x:f>
      </x:c>
      <x:c r="J1826" s="32" t="str">
        <x:f>IF(AND(J$8&lt;='Detalle'!$H888,J$9&gt;='Detalle'!$G888),1,"")</x:f>
      </x:c>
      <x:c r="K1826" s="32" t="str">
        <x:f>IF(AND(K$8&lt;='Detalle'!$H888,K$9&gt;='Detalle'!$G888),1,"")</x:f>
      </x:c>
      <x:c r="L1826" s="32" t="str">
        <x:f>IF(AND(L$8&lt;='Detalle'!$H888,L$9&gt;='Detalle'!$G888),1,"")</x:f>
      </x:c>
      <x:c r="M1826" s="32" t="n">
        <x:f>IF(AND(M$8&lt;='Detalle'!$H888,M$9&gt;='Detalle'!$G888),1,"")</x:f>
        <x:v>1</x:v>
      </x:c>
      <x:c r="N1826" s="32" t="str">
        <x:f>IF(AND(N$8&lt;='Detalle'!$H888,N$9&gt;='Detalle'!$G888),1,"")</x:f>
      </x:c>
      <x:c r="O1826" s="32" t="str">
        <x:f>IF(AND(O$8&lt;='Detalle'!$H888,O$9&gt;='Detalle'!$G888),1,"")</x:f>
      </x:c>
      <x:c r="P1826" s="32" t="str">
        <x:f>IF(AND(P$8&lt;='Detalle'!$H888,P$9&gt;='Detalle'!$G888),1,"")</x:f>
      </x:c>
      <x:c r="Q1826" s="68"/>
      <x:c r="R1826" s="67" t="str">
        <x:f>IF('Detalle'!M888="","",'Detalle'!M888)</x:f>
      </x:c>
      <x:c r="S1826" s="67" t="str">
        <x:f>IF('Detalle'!N888="","",'Detalle'!N888)</x:f>
      </x:c>
    </x:row>
    <x:row r="1827" ht="16" customHeight="1">
      <x:c r="A1827" s="56" t="str">
        <x:v>CLO01.007</x:v>
      </x:c>
      <x:c r="B1827" s="57" t="str">
        <x:v>Crear cuentas de servicio del procesador</x:v>
      </x:c>
      <x:c r="C1827" s="63" t="str">
        <x:v>R</x:v>
      </x:c>
      <x:c r="D1827" s="65" t="str">
        <x:f>IF('Detalle'!L888="","",'Detalle'!L888)</x:f>
      </x:c>
      <x:c r="E1827" s="60" t="str"/>
      <x:c r="F1827" s="32" t="str">
        <x:f>IF(OR('Detalle'!$J888="",'Detalle'!$K888="",'Detalle'!$L888=""),"",IF(AND(F$8&lt;='Detalle'!$K888,F$9&gt;='Detalle'!$J888),1,""))</x:f>
      </x:c>
      <x:c r="G1827" s="32" t="str">
        <x:f>IF(OR('Detalle'!$J888="",'Detalle'!$K888="",'Detalle'!$L888=""),"",IF(AND(G$8&lt;='Detalle'!$K888,G$9&gt;='Detalle'!$J888),1,""))</x:f>
      </x:c>
      <x:c r="H1827" s="32" t="str">
        <x:f>IF(OR('Detalle'!$J888="",'Detalle'!$K888="",'Detalle'!$L888=""),"",IF(AND(H$8&lt;='Detalle'!$K888,H$9&gt;='Detalle'!$J888),1,""))</x:f>
      </x:c>
      <x:c r="I1827" s="32" t="str">
        <x:f>IF(OR('Detalle'!$J888="",'Detalle'!$K888="",'Detalle'!$L888=""),"",IF(AND(I$8&lt;='Detalle'!$K888,I$9&gt;='Detalle'!$J888),1,""))</x:f>
      </x:c>
      <x:c r="J1827" s="32" t="str">
        <x:f>IF(OR('Detalle'!$J888="",'Detalle'!$K888="",'Detalle'!$L888=""),"",IF(AND(J$8&lt;='Detalle'!$K888,J$9&gt;='Detalle'!$J888),1,""))</x:f>
      </x:c>
      <x:c r="K1827" s="32" t="str">
        <x:f>IF(OR('Detalle'!$J888="",'Detalle'!$K888="",'Detalle'!$L888=""),"",IF(AND(K$8&lt;='Detalle'!$K888,K$9&gt;='Detalle'!$J888),1,""))</x:f>
      </x:c>
      <x:c r="L1827" s="32" t="str">
        <x:f>IF(OR('Detalle'!$J888="",'Detalle'!$K888="",'Detalle'!$L888=""),"",IF(AND(L$8&lt;='Detalle'!$K888,L$9&gt;='Detalle'!$J888),1,""))</x:f>
      </x:c>
      <x:c r="M1827" s="32" t="str">
        <x:f>IF(OR('Detalle'!$J888="",'Detalle'!$K888="",'Detalle'!$L888=""),"",IF(AND(M$8&lt;='Detalle'!$K888,M$9&gt;='Detalle'!$J888),1,""))</x:f>
      </x:c>
      <x:c r="N1827" s="32" t="str">
        <x:f>IF(OR('Detalle'!$J888="",'Detalle'!$K888="",'Detalle'!$L888=""),"",IF(AND(N$8&lt;='Detalle'!$K888,N$9&gt;='Detalle'!$J888),1,""))</x:f>
      </x:c>
      <x:c r="O1827" s="32" t="str">
        <x:f>IF(OR('Detalle'!$J888="",'Detalle'!$K888="",'Detalle'!$L888=""),"",IF(AND(O$8&lt;='Detalle'!$K888,O$9&gt;='Detalle'!$J888),1,""))</x:f>
      </x:c>
      <x:c r="P1827" s="32" t="str">
        <x:f>IF(OR('Detalle'!$J888="",'Detalle'!$K888="",'Detalle'!$L888=""),"",IF(AND(P$8&lt;='Detalle'!$K888,P$9&gt;='Detalle'!$J888),1,""))</x:f>
      </x:c>
      <x:c r="Q1827" s="68"/>
      <x:c r="R1827" s="67" t="str"/>
      <x:c r="S1827" s="67" t="str"/>
    </x:row>
    <x:row r="1828" ht="16" customHeight="1">
      <x:c r="A1828" s="56" t="str">
        <x:v>CLO01.008</x:v>
      </x:c>
      <x:c r="B1828" s="57" t="str">
        <x:v>Configurar secretos de servidor</x:v>
      </x:c>
      <x:c r="C1828" s="62" t="str">
        <x:v>E</x:v>
      </x:c>
      <x:c r="D1828" s="64" t="n">
        <x:f>'Detalle'!I889</x:f>
        <x:v>1</x:v>
      </x:c>
      <x:c r="E1828" s="60" t="str">
        <x:f>'Detalle'!F889</x:f>
        <x:v>Pendiente</x:v>
      </x:c>
      <x:c r="F1828" s="32" t="str">
        <x:f>IF(AND(F$8&lt;='Detalle'!$H889,F$9&gt;='Detalle'!$G889),1,"")</x:f>
      </x:c>
      <x:c r="G1828" s="32" t="str">
        <x:f>IF(AND(G$8&lt;='Detalle'!$H889,G$9&gt;='Detalle'!$G889),1,"")</x:f>
      </x:c>
      <x:c r="H1828" s="32" t="str">
        <x:f>IF(AND(H$8&lt;='Detalle'!$H889,H$9&gt;='Detalle'!$G889),1,"")</x:f>
      </x:c>
      <x:c r="I1828" s="32" t="str">
        <x:f>IF(AND(I$8&lt;='Detalle'!$H889,I$9&gt;='Detalle'!$G889),1,"")</x:f>
      </x:c>
      <x:c r="J1828" s="32" t="str">
        <x:f>IF(AND(J$8&lt;='Detalle'!$H889,J$9&gt;='Detalle'!$G889),1,"")</x:f>
      </x:c>
      <x:c r="K1828" s="32" t="str">
        <x:f>IF(AND(K$8&lt;='Detalle'!$H889,K$9&gt;='Detalle'!$G889),1,"")</x:f>
      </x:c>
      <x:c r="L1828" s="32" t="str">
        <x:f>IF(AND(L$8&lt;='Detalle'!$H889,L$9&gt;='Detalle'!$G889),1,"")</x:f>
      </x:c>
      <x:c r="M1828" s="32" t="n">
        <x:f>IF(AND(M$8&lt;='Detalle'!$H889,M$9&gt;='Detalle'!$G889),1,"")</x:f>
        <x:v>1</x:v>
      </x:c>
      <x:c r="N1828" s="32" t="str">
        <x:f>IF(AND(N$8&lt;='Detalle'!$H889,N$9&gt;='Detalle'!$G889),1,"")</x:f>
      </x:c>
      <x:c r="O1828" s="32" t="str">
        <x:f>IF(AND(O$8&lt;='Detalle'!$H889,O$9&gt;='Detalle'!$G889),1,"")</x:f>
      </x:c>
      <x:c r="P1828" s="32" t="str">
        <x:f>IF(AND(P$8&lt;='Detalle'!$H889,P$9&gt;='Detalle'!$G889),1,"")</x:f>
      </x:c>
      <x:c r="Q1828" s="68"/>
      <x:c r="R1828" s="67" t="str">
        <x:f>IF('Detalle'!M889="","",'Detalle'!M889)</x:f>
      </x:c>
      <x:c r="S1828" s="67" t="str">
        <x:f>IF('Detalle'!N889="","",'Detalle'!N889)</x:f>
      </x:c>
    </x:row>
    <x:row r="1829" ht="16" customHeight="1">
      <x:c r="A1829" s="56" t="str">
        <x:v>CLO01.008</x:v>
      </x:c>
      <x:c r="B1829" s="57" t="str">
        <x:v>Configurar secretos de servidor</x:v>
      </x:c>
      <x:c r="C1829" s="63" t="str">
        <x:v>R</x:v>
      </x:c>
      <x:c r="D1829" s="65" t="str">
        <x:f>IF('Detalle'!L889="","",'Detalle'!L889)</x:f>
      </x:c>
      <x:c r="E1829" s="60" t="str"/>
      <x:c r="F1829" s="32" t="str">
        <x:f>IF(OR('Detalle'!$J889="",'Detalle'!$K889="",'Detalle'!$L889=""),"",IF(AND(F$8&lt;='Detalle'!$K889,F$9&gt;='Detalle'!$J889),1,""))</x:f>
      </x:c>
      <x:c r="G1829" s="32" t="str">
        <x:f>IF(OR('Detalle'!$J889="",'Detalle'!$K889="",'Detalle'!$L889=""),"",IF(AND(G$8&lt;='Detalle'!$K889,G$9&gt;='Detalle'!$J889),1,""))</x:f>
      </x:c>
      <x:c r="H1829" s="32" t="str">
        <x:f>IF(OR('Detalle'!$J889="",'Detalle'!$K889="",'Detalle'!$L889=""),"",IF(AND(H$8&lt;='Detalle'!$K889,H$9&gt;='Detalle'!$J889),1,""))</x:f>
      </x:c>
      <x:c r="I1829" s="32" t="str">
        <x:f>IF(OR('Detalle'!$J889="",'Detalle'!$K889="",'Detalle'!$L889=""),"",IF(AND(I$8&lt;='Detalle'!$K889,I$9&gt;='Detalle'!$J889),1,""))</x:f>
      </x:c>
      <x:c r="J1829" s="32" t="str">
        <x:f>IF(OR('Detalle'!$J889="",'Detalle'!$K889="",'Detalle'!$L889=""),"",IF(AND(J$8&lt;='Detalle'!$K889,J$9&gt;='Detalle'!$J889),1,""))</x:f>
      </x:c>
      <x:c r="K1829" s="32" t="str">
        <x:f>IF(OR('Detalle'!$J889="",'Detalle'!$K889="",'Detalle'!$L889=""),"",IF(AND(K$8&lt;='Detalle'!$K889,K$9&gt;='Detalle'!$J889),1,""))</x:f>
      </x:c>
      <x:c r="L1829" s="32" t="str">
        <x:f>IF(OR('Detalle'!$J889="",'Detalle'!$K889="",'Detalle'!$L889=""),"",IF(AND(L$8&lt;='Detalle'!$K889,L$9&gt;='Detalle'!$J889),1,""))</x:f>
      </x:c>
      <x:c r="M1829" s="32" t="str">
        <x:f>IF(OR('Detalle'!$J889="",'Detalle'!$K889="",'Detalle'!$L889=""),"",IF(AND(M$8&lt;='Detalle'!$K889,M$9&gt;='Detalle'!$J889),1,""))</x:f>
      </x:c>
      <x:c r="N1829" s="32" t="str">
        <x:f>IF(OR('Detalle'!$J889="",'Detalle'!$K889="",'Detalle'!$L889=""),"",IF(AND(N$8&lt;='Detalle'!$K889,N$9&gt;='Detalle'!$J889),1,""))</x:f>
      </x:c>
      <x:c r="O1829" s="32" t="str">
        <x:f>IF(OR('Detalle'!$J889="",'Detalle'!$K889="",'Detalle'!$L889=""),"",IF(AND(O$8&lt;='Detalle'!$K889,O$9&gt;='Detalle'!$J889),1,""))</x:f>
      </x:c>
      <x:c r="P1829" s="32" t="str">
        <x:f>IF(OR('Detalle'!$J889="",'Detalle'!$K889="",'Detalle'!$L889=""),"",IF(AND(P$8&lt;='Detalle'!$K889,P$9&gt;='Detalle'!$J889),1,""))</x:f>
      </x:c>
      <x:c r="Q1829" s="68"/>
      <x:c r="R1829" s="67" t="str"/>
      <x:c r="S1829" s="67" t="str"/>
    </x:row>
    <x:row r="1830" ht="16" customHeight="1">
      <x:c r="A1830" s="56" t="str">
        <x:v>CLO01.009</x:v>
      </x:c>
      <x:c r="B1830" s="57" t="str">
        <x:v>Desplegar Cloud Run Job</x:v>
      </x:c>
      <x:c r="C1830" s="62" t="str">
        <x:v>E</x:v>
      </x:c>
      <x:c r="D1830" s="64" t="n">
        <x:f>'Detalle'!I890</x:f>
        <x:v>1</x:v>
      </x:c>
      <x:c r="E1830" s="60" t="str">
        <x:f>'Detalle'!F890</x:f>
        <x:v>Pendiente</x:v>
      </x:c>
      <x:c r="F1830" s="32" t="str">
        <x:f>IF(AND(F$8&lt;='Detalle'!$H890,F$9&gt;='Detalle'!$G890),1,"")</x:f>
      </x:c>
      <x:c r="G1830" s="32" t="str">
        <x:f>IF(AND(G$8&lt;='Detalle'!$H890,G$9&gt;='Detalle'!$G890),1,"")</x:f>
      </x:c>
      <x:c r="H1830" s="32" t="str">
        <x:f>IF(AND(H$8&lt;='Detalle'!$H890,H$9&gt;='Detalle'!$G890),1,"")</x:f>
      </x:c>
      <x:c r="I1830" s="32" t="str">
        <x:f>IF(AND(I$8&lt;='Detalle'!$H890,I$9&gt;='Detalle'!$G890),1,"")</x:f>
      </x:c>
      <x:c r="J1830" s="32" t="str">
        <x:f>IF(AND(J$8&lt;='Detalle'!$H890,J$9&gt;='Detalle'!$G890),1,"")</x:f>
      </x:c>
      <x:c r="K1830" s="32" t="str">
        <x:f>IF(AND(K$8&lt;='Detalle'!$H890,K$9&gt;='Detalle'!$G890),1,"")</x:f>
      </x:c>
      <x:c r="L1830" s="32" t="str">
        <x:f>IF(AND(L$8&lt;='Detalle'!$H890,L$9&gt;='Detalle'!$G890),1,"")</x:f>
      </x:c>
      <x:c r="M1830" s="32" t="n">
        <x:f>IF(AND(M$8&lt;='Detalle'!$H890,M$9&gt;='Detalle'!$G890),1,"")</x:f>
        <x:v>1</x:v>
      </x:c>
      <x:c r="N1830" s="32" t="str">
        <x:f>IF(AND(N$8&lt;='Detalle'!$H890,N$9&gt;='Detalle'!$G890),1,"")</x:f>
      </x:c>
      <x:c r="O1830" s="32" t="str">
        <x:f>IF(AND(O$8&lt;='Detalle'!$H890,O$9&gt;='Detalle'!$G890),1,"")</x:f>
      </x:c>
      <x:c r="P1830" s="32" t="str">
        <x:f>IF(AND(P$8&lt;='Detalle'!$H890,P$9&gt;='Detalle'!$G890),1,"")</x:f>
      </x:c>
      <x:c r="Q1830" s="68"/>
      <x:c r="R1830" s="67" t="str">
        <x:f>IF('Detalle'!M890="","",'Detalle'!M890)</x:f>
      </x:c>
      <x:c r="S1830" s="67" t="str">
        <x:f>IF('Detalle'!N890="","",'Detalle'!N890)</x:f>
      </x:c>
    </x:row>
    <x:row r="1831" ht="16" customHeight="1">
      <x:c r="A1831" s="56" t="str">
        <x:v>CLO01.009</x:v>
      </x:c>
      <x:c r="B1831" s="57" t="str">
        <x:v>Desplegar Cloud Run Job</x:v>
      </x:c>
      <x:c r="C1831" s="63" t="str">
        <x:v>R</x:v>
      </x:c>
      <x:c r="D1831" s="65" t="str">
        <x:f>IF('Detalle'!L890="","",'Detalle'!L890)</x:f>
      </x:c>
      <x:c r="E1831" s="60" t="str"/>
      <x:c r="F1831" s="32" t="str">
        <x:f>IF(OR('Detalle'!$J890="",'Detalle'!$K890="",'Detalle'!$L890=""),"",IF(AND(F$8&lt;='Detalle'!$K890,F$9&gt;='Detalle'!$J890),1,""))</x:f>
      </x:c>
      <x:c r="G1831" s="32" t="str">
        <x:f>IF(OR('Detalle'!$J890="",'Detalle'!$K890="",'Detalle'!$L890=""),"",IF(AND(G$8&lt;='Detalle'!$K890,G$9&gt;='Detalle'!$J890),1,""))</x:f>
      </x:c>
      <x:c r="H1831" s="32" t="str">
        <x:f>IF(OR('Detalle'!$J890="",'Detalle'!$K890="",'Detalle'!$L890=""),"",IF(AND(H$8&lt;='Detalle'!$K890,H$9&gt;='Detalle'!$J890),1,""))</x:f>
      </x:c>
      <x:c r="I1831" s="32" t="str">
        <x:f>IF(OR('Detalle'!$J890="",'Detalle'!$K890="",'Detalle'!$L890=""),"",IF(AND(I$8&lt;='Detalle'!$K890,I$9&gt;='Detalle'!$J890),1,""))</x:f>
      </x:c>
      <x:c r="J1831" s="32" t="str">
        <x:f>IF(OR('Detalle'!$J890="",'Detalle'!$K890="",'Detalle'!$L890=""),"",IF(AND(J$8&lt;='Detalle'!$K890,J$9&gt;='Detalle'!$J890),1,""))</x:f>
      </x:c>
      <x:c r="K1831" s="32" t="str">
        <x:f>IF(OR('Detalle'!$J890="",'Detalle'!$K890="",'Detalle'!$L890=""),"",IF(AND(K$8&lt;='Detalle'!$K890,K$9&gt;='Detalle'!$J890),1,""))</x:f>
      </x:c>
      <x:c r="L1831" s="32" t="str">
        <x:f>IF(OR('Detalle'!$J890="",'Detalle'!$K890="",'Detalle'!$L890=""),"",IF(AND(L$8&lt;='Detalle'!$K890,L$9&gt;='Detalle'!$J890),1,""))</x:f>
      </x:c>
      <x:c r="M1831" s="32" t="str">
        <x:f>IF(OR('Detalle'!$J890="",'Detalle'!$K890="",'Detalle'!$L890=""),"",IF(AND(M$8&lt;='Detalle'!$K890,M$9&gt;='Detalle'!$J890),1,""))</x:f>
      </x:c>
      <x:c r="N1831" s="32" t="str">
        <x:f>IF(OR('Detalle'!$J890="",'Detalle'!$K890="",'Detalle'!$L890=""),"",IF(AND(N$8&lt;='Detalle'!$K890,N$9&gt;='Detalle'!$J890),1,""))</x:f>
      </x:c>
      <x:c r="O1831" s="32" t="str">
        <x:f>IF(OR('Detalle'!$J890="",'Detalle'!$K890="",'Detalle'!$L890=""),"",IF(AND(O$8&lt;='Detalle'!$K890,O$9&gt;='Detalle'!$J890),1,""))</x:f>
      </x:c>
      <x:c r="P1831" s="32" t="str">
        <x:f>IF(OR('Detalle'!$J890="",'Detalle'!$K890="",'Detalle'!$L890=""),"",IF(AND(P$8&lt;='Detalle'!$K890,P$9&gt;='Detalle'!$J890),1,""))</x:f>
      </x:c>
      <x:c r="Q1831" s="68"/>
      <x:c r="R1831" s="67" t="str"/>
      <x:c r="S1831" s="67" t="str"/>
    </x:row>
    <x:row r="1832" ht="16" customHeight="1">
      <x:c r="A1832" s="56" t="str">
        <x:v>CLO01.010</x:v>
      </x:c>
      <x:c r="B1832" s="57" t="str">
        <x:v>Autorizar dispatcher para ejecutar jobs</x:v>
      </x:c>
      <x:c r="C1832" s="62" t="str">
        <x:v>E</x:v>
      </x:c>
      <x:c r="D1832" s="64" t="n">
        <x:f>'Detalle'!I891</x:f>
        <x:v>1</x:v>
      </x:c>
      <x:c r="E1832" s="60" t="str">
        <x:f>'Detalle'!F891</x:f>
        <x:v>Pendiente</x:v>
      </x:c>
      <x:c r="F1832" s="32" t="str">
        <x:f>IF(AND(F$8&lt;='Detalle'!$H891,F$9&gt;='Detalle'!$G891),1,"")</x:f>
      </x:c>
      <x:c r="G1832" s="32" t="str">
        <x:f>IF(AND(G$8&lt;='Detalle'!$H891,G$9&gt;='Detalle'!$G891),1,"")</x:f>
      </x:c>
      <x:c r="H1832" s="32" t="str">
        <x:f>IF(AND(H$8&lt;='Detalle'!$H891,H$9&gt;='Detalle'!$G891),1,"")</x:f>
      </x:c>
      <x:c r="I1832" s="32" t="str">
        <x:f>IF(AND(I$8&lt;='Detalle'!$H891,I$9&gt;='Detalle'!$G891),1,"")</x:f>
      </x:c>
      <x:c r="J1832" s="32" t="str">
        <x:f>IF(AND(J$8&lt;='Detalle'!$H891,J$9&gt;='Detalle'!$G891),1,"")</x:f>
      </x:c>
      <x:c r="K1832" s="32" t="str">
        <x:f>IF(AND(K$8&lt;='Detalle'!$H891,K$9&gt;='Detalle'!$G891),1,"")</x:f>
      </x:c>
      <x:c r="L1832" s="32" t="str">
        <x:f>IF(AND(L$8&lt;='Detalle'!$H891,L$9&gt;='Detalle'!$G891),1,"")</x:f>
      </x:c>
      <x:c r="M1832" s="32" t="n">
        <x:f>IF(AND(M$8&lt;='Detalle'!$H891,M$9&gt;='Detalle'!$G891),1,"")</x:f>
        <x:v>1</x:v>
      </x:c>
      <x:c r="N1832" s="32" t="str">
        <x:f>IF(AND(N$8&lt;='Detalle'!$H891,N$9&gt;='Detalle'!$G891),1,"")</x:f>
      </x:c>
      <x:c r="O1832" s="32" t="str">
        <x:f>IF(AND(O$8&lt;='Detalle'!$H891,O$9&gt;='Detalle'!$G891),1,"")</x:f>
      </x:c>
      <x:c r="P1832" s="32" t="str">
        <x:f>IF(AND(P$8&lt;='Detalle'!$H891,P$9&gt;='Detalle'!$G891),1,"")</x:f>
      </x:c>
      <x:c r="Q1832" s="68"/>
      <x:c r="R1832" s="67" t="str">
        <x:f>IF('Detalle'!M891="","",'Detalle'!M891)</x:f>
      </x:c>
      <x:c r="S1832" s="67" t="str">
        <x:f>IF('Detalle'!N891="","",'Detalle'!N891)</x:f>
      </x:c>
    </x:row>
    <x:row r="1833" ht="16" customHeight="1">
      <x:c r="A1833" s="56" t="str">
        <x:v>CLO01.010</x:v>
      </x:c>
      <x:c r="B1833" s="57" t="str">
        <x:v>Autorizar dispatcher para ejecutar jobs</x:v>
      </x:c>
      <x:c r="C1833" s="63" t="str">
        <x:v>R</x:v>
      </x:c>
      <x:c r="D1833" s="65" t="str">
        <x:f>IF('Detalle'!L891="","",'Detalle'!L891)</x:f>
      </x:c>
      <x:c r="E1833" s="60" t="str"/>
      <x:c r="F1833" s="32" t="str">
        <x:f>IF(OR('Detalle'!$J891="",'Detalle'!$K891="",'Detalle'!$L891=""),"",IF(AND(F$8&lt;='Detalle'!$K891,F$9&gt;='Detalle'!$J891),1,""))</x:f>
      </x:c>
      <x:c r="G1833" s="32" t="str">
        <x:f>IF(OR('Detalle'!$J891="",'Detalle'!$K891="",'Detalle'!$L891=""),"",IF(AND(G$8&lt;='Detalle'!$K891,G$9&gt;='Detalle'!$J891),1,""))</x:f>
      </x:c>
      <x:c r="H1833" s="32" t="str">
        <x:f>IF(OR('Detalle'!$J891="",'Detalle'!$K891="",'Detalle'!$L891=""),"",IF(AND(H$8&lt;='Detalle'!$K891,H$9&gt;='Detalle'!$J891),1,""))</x:f>
      </x:c>
      <x:c r="I1833" s="32" t="str">
        <x:f>IF(OR('Detalle'!$J891="",'Detalle'!$K891="",'Detalle'!$L891=""),"",IF(AND(I$8&lt;='Detalle'!$K891,I$9&gt;='Detalle'!$J891),1,""))</x:f>
      </x:c>
      <x:c r="J1833" s="32" t="str">
        <x:f>IF(OR('Detalle'!$J891="",'Detalle'!$K891="",'Detalle'!$L891=""),"",IF(AND(J$8&lt;='Detalle'!$K891,J$9&gt;='Detalle'!$J891),1,""))</x:f>
      </x:c>
      <x:c r="K1833" s="32" t="str">
        <x:f>IF(OR('Detalle'!$J891="",'Detalle'!$K891="",'Detalle'!$L891=""),"",IF(AND(K$8&lt;='Detalle'!$K891,K$9&gt;='Detalle'!$J891),1,""))</x:f>
      </x:c>
      <x:c r="L1833" s="32" t="str">
        <x:f>IF(OR('Detalle'!$J891="",'Detalle'!$K891="",'Detalle'!$L891=""),"",IF(AND(L$8&lt;='Detalle'!$K891,L$9&gt;='Detalle'!$J891),1,""))</x:f>
      </x:c>
      <x:c r="M1833" s="32" t="str">
        <x:f>IF(OR('Detalle'!$J891="",'Detalle'!$K891="",'Detalle'!$L891=""),"",IF(AND(M$8&lt;='Detalle'!$K891,M$9&gt;='Detalle'!$J891),1,""))</x:f>
      </x:c>
      <x:c r="N1833" s="32" t="str">
        <x:f>IF(OR('Detalle'!$J891="",'Detalle'!$K891="",'Detalle'!$L891=""),"",IF(AND(N$8&lt;='Detalle'!$K891,N$9&gt;='Detalle'!$J891),1,""))</x:f>
      </x:c>
      <x:c r="O1833" s="32" t="str">
        <x:f>IF(OR('Detalle'!$J891="",'Detalle'!$K891="",'Detalle'!$L891=""),"",IF(AND(O$8&lt;='Detalle'!$K891,O$9&gt;='Detalle'!$J891),1,""))</x:f>
      </x:c>
      <x:c r="P1833" s="32" t="str">
        <x:f>IF(OR('Detalle'!$J891="",'Detalle'!$K891="",'Detalle'!$L891=""),"",IF(AND(P$8&lt;='Detalle'!$K891,P$9&gt;='Detalle'!$J891),1,""))</x:f>
      </x:c>
      <x:c r="Q1833" s="68"/>
      <x:c r="R1833" s="67" t="str"/>
      <x:c r="S1833" s="67" t="str"/>
    </x:row>
    <x:row r="1834" ht="16" customHeight="1">
      <x:c r="A1834" s="56" t="str">
        <x:v>CLO01.011</x:v>
      </x:c>
      <x:c r="B1834" s="57" t="str">
        <x:v>Probar trabajo remoto con recibo</x:v>
      </x:c>
      <x:c r="C1834" s="62" t="str">
        <x:v>E</x:v>
      </x:c>
      <x:c r="D1834" s="64" t="n">
        <x:f>'Detalle'!I892</x:f>
        <x:v>1</x:v>
      </x:c>
      <x:c r="E1834" s="60" t="str">
        <x:f>'Detalle'!F892</x:f>
        <x:v>Pendiente</x:v>
      </x:c>
      <x:c r="F1834" s="32" t="str">
        <x:f>IF(AND(F$8&lt;='Detalle'!$H892,F$9&gt;='Detalle'!$G892),1,"")</x:f>
      </x:c>
      <x:c r="G1834" s="32" t="str">
        <x:f>IF(AND(G$8&lt;='Detalle'!$H892,G$9&gt;='Detalle'!$G892),1,"")</x:f>
      </x:c>
      <x:c r="H1834" s="32" t="str">
        <x:f>IF(AND(H$8&lt;='Detalle'!$H892,H$9&gt;='Detalle'!$G892),1,"")</x:f>
      </x:c>
      <x:c r="I1834" s="32" t="str">
        <x:f>IF(AND(I$8&lt;='Detalle'!$H892,I$9&gt;='Detalle'!$G892),1,"")</x:f>
      </x:c>
      <x:c r="J1834" s="32" t="str">
        <x:f>IF(AND(J$8&lt;='Detalle'!$H892,J$9&gt;='Detalle'!$G892),1,"")</x:f>
      </x:c>
      <x:c r="K1834" s="32" t="str">
        <x:f>IF(AND(K$8&lt;='Detalle'!$H892,K$9&gt;='Detalle'!$G892),1,"")</x:f>
      </x:c>
      <x:c r="L1834" s="32" t="str">
        <x:f>IF(AND(L$8&lt;='Detalle'!$H892,L$9&gt;='Detalle'!$G892),1,"")</x:f>
      </x:c>
      <x:c r="M1834" s="32" t="n">
        <x:f>IF(AND(M$8&lt;='Detalle'!$H892,M$9&gt;='Detalle'!$G892),1,"")</x:f>
        <x:v>1</x:v>
      </x:c>
      <x:c r="N1834" s="32" t="str">
        <x:f>IF(AND(N$8&lt;='Detalle'!$H892,N$9&gt;='Detalle'!$G892),1,"")</x:f>
      </x:c>
      <x:c r="O1834" s="32" t="str">
        <x:f>IF(AND(O$8&lt;='Detalle'!$H892,O$9&gt;='Detalle'!$G892),1,"")</x:f>
      </x:c>
      <x:c r="P1834" s="32" t="str">
        <x:f>IF(AND(P$8&lt;='Detalle'!$H892,P$9&gt;='Detalle'!$G892),1,"")</x:f>
      </x:c>
      <x:c r="Q1834" s="68"/>
      <x:c r="R1834" s="67" t="str">
        <x:f>IF('Detalle'!M892="","",'Detalle'!M892)</x:f>
      </x:c>
      <x:c r="S1834" s="67" t="str">
        <x:f>IF('Detalle'!N892="","",'Detalle'!N892)</x:f>
      </x:c>
    </x:row>
    <x:row r="1835" ht="16" customHeight="1">
      <x:c r="A1835" s="56" t="str">
        <x:v>CLO01.011</x:v>
      </x:c>
      <x:c r="B1835" s="57" t="str">
        <x:v>Probar trabajo remoto con recibo</x:v>
      </x:c>
      <x:c r="C1835" s="63" t="str">
        <x:v>R</x:v>
      </x:c>
      <x:c r="D1835" s="65" t="str">
        <x:f>IF('Detalle'!L892="","",'Detalle'!L892)</x:f>
      </x:c>
      <x:c r="E1835" s="60" t="str"/>
      <x:c r="F1835" s="32" t="str">
        <x:f>IF(OR('Detalle'!$J892="",'Detalle'!$K892="",'Detalle'!$L892=""),"",IF(AND(F$8&lt;='Detalle'!$K892,F$9&gt;='Detalle'!$J892),1,""))</x:f>
      </x:c>
      <x:c r="G1835" s="32" t="str">
        <x:f>IF(OR('Detalle'!$J892="",'Detalle'!$K892="",'Detalle'!$L892=""),"",IF(AND(G$8&lt;='Detalle'!$K892,G$9&gt;='Detalle'!$J892),1,""))</x:f>
      </x:c>
      <x:c r="H1835" s="32" t="str">
        <x:f>IF(OR('Detalle'!$J892="",'Detalle'!$K892="",'Detalle'!$L892=""),"",IF(AND(H$8&lt;='Detalle'!$K892,H$9&gt;='Detalle'!$J892),1,""))</x:f>
      </x:c>
      <x:c r="I1835" s="32" t="str">
        <x:f>IF(OR('Detalle'!$J892="",'Detalle'!$K892="",'Detalle'!$L892=""),"",IF(AND(I$8&lt;='Detalle'!$K892,I$9&gt;='Detalle'!$J892),1,""))</x:f>
      </x:c>
      <x:c r="J1835" s="32" t="str">
        <x:f>IF(OR('Detalle'!$J892="",'Detalle'!$K892="",'Detalle'!$L892=""),"",IF(AND(J$8&lt;='Detalle'!$K892,J$9&gt;='Detalle'!$J892),1,""))</x:f>
      </x:c>
      <x:c r="K1835" s="32" t="str">
        <x:f>IF(OR('Detalle'!$J892="",'Detalle'!$K892="",'Detalle'!$L892=""),"",IF(AND(K$8&lt;='Detalle'!$K892,K$9&gt;='Detalle'!$J892),1,""))</x:f>
      </x:c>
      <x:c r="L1835" s="32" t="str">
        <x:f>IF(OR('Detalle'!$J892="",'Detalle'!$K892="",'Detalle'!$L892=""),"",IF(AND(L$8&lt;='Detalle'!$K892,L$9&gt;='Detalle'!$J892),1,""))</x:f>
      </x:c>
      <x:c r="M1835" s="32" t="str">
        <x:f>IF(OR('Detalle'!$J892="",'Detalle'!$K892="",'Detalle'!$L892=""),"",IF(AND(M$8&lt;='Detalle'!$K892,M$9&gt;='Detalle'!$J892),1,""))</x:f>
      </x:c>
      <x:c r="N1835" s="32" t="str">
        <x:f>IF(OR('Detalle'!$J892="",'Detalle'!$K892="",'Detalle'!$L892=""),"",IF(AND(N$8&lt;='Detalle'!$K892,N$9&gt;='Detalle'!$J892),1,""))</x:f>
      </x:c>
      <x:c r="O1835" s="32" t="str">
        <x:f>IF(OR('Detalle'!$J892="",'Detalle'!$K892="",'Detalle'!$L892=""),"",IF(AND(O$8&lt;='Detalle'!$K892,O$9&gt;='Detalle'!$J892),1,""))</x:f>
      </x:c>
      <x:c r="P1835" s="32" t="str">
        <x:f>IF(OR('Detalle'!$J892="",'Detalle'!$K892="",'Detalle'!$L892=""),"",IF(AND(P$8&lt;='Detalle'!$K892,P$9&gt;='Detalle'!$J892),1,""))</x:f>
      </x:c>
      <x:c r="Q1835" s="68"/>
      <x:c r="R1835" s="67" t="str"/>
      <x:c r="S1835" s="67" t="str"/>
    </x:row>
    <x:row r="1836" ht="16" customHeight="1">
      <x:c r="A1836" s="56" t="str">
        <x:v>CLO01.012</x:v>
      </x:c>
      <x:c r="B1836" s="57" t="str">
        <x:v>Probar concurrencia de dos jobs</x:v>
      </x:c>
      <x:c r="C1836" s="62" t="str">
        <x:v>E</x:v>
      </x:c>
      <x:c r="D1836" s="64" t="n">
        <x:f>'Detalle'!I893</x:f>
        <x:v>1</x:v>
      </x:c>
      <x:c r="E1836" s="60" t="str">
        <x:f>'Detalle'!F893</x:f>
        <x:v>Pendiente</x:v>
      </x:c>
      <x:c r="F1836" s="32" t="str">
        <x:f>IF(AND(F$8&lt;='Detalle'!$H893,F$9&gt;='Detalle'!$G893),1,"")</x:f>
      </x:c>
      <x:c r="G1836" s="32" t="str">
        <x:f>IF(AND(G$8&lt;='Detalle'!$H893,G$9&gt;='Detalle'!$G893),1,"")</x:f>
      </x:c>
      <x:c r="H1836" s="32" t="str">
        <x:f>IF(AND(H$8&lt;='Detalle'!$H893,H$9&gt;='Detalle'!$G893),1,"")</x:f>
      </x:c>
      <x:c r="I1836" s="32" t="str">
        <x:f>IF(AND(I$8&lt;='Detalle'!$H893,I$9&gt;='Detalle'!$G893),1,"")</x:f>
      </x:c>
      <x:c r="J1836" s="32" t="str">
        <x:f>IF(AND(J$8&lt;='Detalle'!$H893,J$9&gt;='Detalle'!$G893),1,"")</x:f>
      </x:c>
      <x:c r="K1836" s="32" t="str">
        <x:f>IF(AND(K$8&lt;='Detalle'!$H893,K$9&gt;='Detalle'!$G893),1,"")</x:f>
      </x:c>
      <x:c r="L1836" s="32" t="str">
        <x:f>IF(AND(L$8&lt;='Detalle'!$H893,L$9&gt;='Detalle'!$G893),1,"")</x:f>
      </x:c>
      <x:c r="M1836" s="32" t="n">
        <x:f>IF(AND(M$8&lt;='Detalle'!$H893,M$9&gt;='Detalle'!$G893),1,"")</x:f>
        <x:v>1</x:v>
      </x:c>
      <x:c r="N1836" s="32" t="str">
        <x:f>IF(AND(N$8&lt;='Detalle'!$H893,N$9&gt;='Detalle'!$G893),1,"")</x:f>
      </x:c>
      <x:c r="O1836" s="32" t="str">
        <x:f>IF(AND(O$8&lt;='Detalle'!$H893,O$9&gt;='Detalle'!$G893),1,"")</x:f>
      </x:c>
      <x:c r="P1836" s="32" t="str">
        <x:f>IF(AND(P$8&lt;='Detalle'!$H893,P$9&gt;='Detalle'!$G893),1,"")</x:f>
      </x:c>
      <x:c r="Q1836" s="68"/>
      <x:c r="R1836" s="67" t="str">
        <x:f>IF('Detalle'!M893="","",'Detalle'!M893)</x:f>
      </x:c>
      <x:c r="S1836" s="67" t="str">
        <x:f>IF('Detalle'!N893="","",'Detalle'!N893)</x:f>
      </x:c>
    </x:row>
    <x:row r="1837" ht="16" customHeight="1">
      <x:c r="A1837" s="56" t="str">
        <x:v>CLO01.012</x:v>
      </x:c>
      <x:c r="B1837" s="57" t="str">
        <x:v>Probar concurrencia de dos jobs</x:v>
      </x:c>
      <x:c r="C1837" s="63" t="str">
        <x:v>R</x:v>
      </x:c>
      <x:c r="D1837" s="65" t="str">
        <x:f>IF('Detalle'!L893="","",'Detalle'!L893)</x:f>
      </x:c>
      <x:c r="E1837" s="60" t="str"/>
      <x:c r="F1837" s="32" t="str">
        <x:f>IF(OR('Detalle'!$J893="",'Detalle'!$K893="",'Detalle'!$L893=""),"",IF(AND(F$8&lt;='Detalle'!$K893,F$9&gt;='Detalle'!$J893),1,""))</x:f>
      </x:c>
      <x:c r="G1837" s="32" t="str">
        <x:f>IF(OR('Detalle'!$J893="",'Detalle'!$K893="",'Detalle'!$L893=""),"",IF(AND(G$8&lt;='Detalle'!$K893,G$9&gt;='Detalle'!$J893),1,""))</x:f>
      </x:c>
      <x:c r="H1837" s="32" t="str">
        <x:f>IF(OR('Detalle'!$J893="",'Detalle'!$K893="",'Detalle'!$L893=""),"",IF(AND(H$8&lt;='Detalle'!$K893,H$9&gt;='Detalle'!$J893),1,""))</x:f>
      </x:c>
      <x:c r="I1837" s="32" t="str">
        <x:f>IF(OR('Detalle'!$J893="",'Detalle'!$K893="",'Detalle'!$L893=""),"",IF(AND(I$8&lt;='Detalle'!$K893,I$9&gt;='Detalle'!$J893),1,""))</x:f>
      </x:c>
      <x:c r="J1837" s="32" t="str">
        <x:f>IF(OR('Detalle'!$J893="",'Detalle'!$K893="",'Detalle'!$L893=""),"",IF(AND(J$8&lt;='Detalle'!$K893,J$9&gt;='Detalle'!$J893),1,""))</x:f>
      </x:c>
      <x:c r="K1837" s="32" t="str">
        <x:f>IF(OR('Detalle'!$J893="",'Detalle'!$K893="",'Detalle'!$L893=""),"",IF(AND(K$8&lt;='Detalle'!$K893,K$9&gt;='Detalle'!$J893),1,""))</x:f>
      </x:c>
      <x:c r="L1837" s="32" t="str">
        <x:f>IF(OR('Detalle'!$J893="",'Detalle'!$K893="",'Detalle'!$L893=""),"",IF(AND(L$8&lt;='Detalle'!$K893,L$9&gt;='Detalle'!$J893),1,""))</x:f>
      </x:c>
      <x:c r="M1837" s="32" t="str">
        <x:f>IF(OR('Detalle'!$J893="",'Detalle'!$K893="",'Detalle'!$L893=""),"",IF(AND(M$8&lt;='Detalle'!$K893,M$9&gt;='Detalle'!$J893),1,""))</x:f>
      </x:c>
      <x:c r="N1837" s="32" t="str">
        <x:f>IF(OR('Detalle'!$J893="",'Detalle'!$K893="",'Detalle'!$L893=""),"",IF(AND(N$8&lt;='Detalle'!$K893,N$9&gt;='Detalle'!$J893),1,""))</x:f>
      </x:c>
      <x:c r="O1837" s="32" t="str">
        <x:f>IF(OR('Detalle'!$J893="",'Detalle'!$K893="",'Detalle'!$L893=""),"",IF(AND(O$8&lt;='Detalle'!$K893,O$9&gt;='Detalle'!$J893),1,""))</x:f>
      </x:c>
      <x:c r="P1837" s="32" t="str">
        <x:f>IF(OR('Detalle'!$J893="",'Detalle'!$K893="",'Detalle'!$L893=""),"",IF(AND(P$8&lt;='Detalle'!$K893,P$9&gt;='Detalle'!$J893),1,""))</x:f>
      </x:c>
      <x:c r="Q1837" s="68"/>
      <x:c r="R1837" s="67" t="str"/>
      <x:c r="S1837" s="67" t="str"/>
    </x:row>
    <x:row r="1838" ht="16" customHeight="1">
      <x:c r="A1838" s="56" t="str">
        <x:v>CLO01.013</x:v>
      </x:c>
      <x:c r="B1838" s="57" t="str">
        <x:v>Probar cancelación y respuesta perdida remotas</x:v>
      </x:c>
      <x:c r="C1838" s="62" t="str">
        <x:v>E</x:v>
      </x:c>
      <x:c r="D1838" s="64" t="n">
        <x:f>'Detalle'!I894</x:f>
        <x:v>1</x:v>
      </x:c>
      <x:c r="E1838" s="60" t="str">
        <x:f>'Detalle'!F894</x:f>
        <x:v>Pendiente</x:v>
      </x:c>
      <x:c r="F1838" s="32" t="str">
        <x:f>IF(AND(F$8&lt;='Detalle'!$H894,F$9&gt;='Detalle'!$G894),1,"")</x:f>
      </x:c>
      <x:c r="G1838" s="32" t="str">
        <x:f>IF(AND(G$8&lt;='Detalle'!$H894,G$9&gt;='Detalle'!$G894),1,"")</x:f>
      </x:c>
      <x:c r="H1838" s="32" t="str">
        <x:f>IF(AND(H$8&lt;='Detalle'!$H894,H$9&gt;='Detalle'!$G894),1,"")</x:f>
      </x:c>
      <x:c r="I1838" s="32" t="str">
        <x:f>IF(AND(I$8&lt;='Detalle'!$H894,I$9&gt;='Detalle'!$G894),1,"")</x:f>
      </x:c>
      <x:c r="J1838" s="32" t="str">
        <x:f>IF(AND(J$8&lt;='Detalle'!$H894,J$9&gt;='Detalle'!$G894),1,"")</x:f>
      </x:c>
      <x:c r="K1838" s="32" t="str">
        <x:f>IF(AND(K$8&lt;='Detalle'!$H894,K$9&gt;='Detalle'!$G894),1,"")</x:f>
      </x:c>
      <x:c r="L1838" s="32" t="str">
        <x:f>IF(AND(L$8&lt;='Detalle'!$H894,L$9&gt;='Detalle'!$G894),1,"")</x:f>
      </x:c>
      <x:c r="M1838" s="32" t="n">
        <x:f>IF(AND(M$8&lt;='Detalle'!$H894,M$9&gt;='Detalle'!$G894),1,"")</x:f>
        <x:v>1</x:v>
      </x:c>
      <x:c r="N1838" s="32" t="str">
        <x:f>IF(AND(N$8&lt;='Detalle'!$H894,N$9&gt;='Detalle'!$G894),1,"")</x:f>
      </x:c>
      <x:c r="O1838" s="32" t="str">
        <x:f>IF(AND(O$8&lt;='Detalle'!$H894,O$9&gt;='Detalle'!$G894),1,"")</x:f>
      </x:c>
      <x:c r="P1838" s="32" t="str">
        <x:f>IF(AND(P$8&lt;='Detalle'!$H894,P$9&gt;='Detalle'!$G894),1,"")</x:f>
      </x:c>
      <x:c r="Q1838" s="68"/>
      <x:c r="R1838" s="67" t="str">
        <x:f>IF('Detalle'!M894="","",'Detalle'!M894)</x:f>
      </x:c>
      <x:c r="S1838" s="67" t="str">
        <x:f>IF('Detalle'!N894="","",'Detalle'!N894)</x:f>
      </x:c>
    </x:row>
    <x:row r="1839" ht="16" customHeight="1">
      <x:c r="A1839" s="56" t="str">
        <x:v>CLO01.013</x:v>
      </x:c>
      <x:c r="B1839" s="57" t="str">
        <x:v>Probar cancelación y respuesta perdida remotas</x:v>
      </x:c>
      <x:c r="C1839" s="63" t="str">
        <x:v>R</x:v>
      </x:c>
      <x:c r="D1839" s="65" t="str">
        <x:f>IF('Detalle'!L894="","",'Detalle'!L894)</x:f>
      </x:c>
      <x:c r="E1839" s="60" t="str"/>
      <x:c r="F1839" s="32" t="str">
        <x:f>IF(OR('Detalle'!$J894="",'Detalle'!$K894="",'Detalle'!$L894=""),"",IF(AND(F$8&lt;='Detalle'!$K894,F$9&gt;='Detalle'!$J894),1,""))</x:f>
      </x:c>
      <x:c r="G1839" s="32" t="str">
        <x:f>IF(OR('Detalle'!$J894="",'Detalle'!$K894="",'Detalle'!$L894=""),"",IF(AND(G$8&lt;='Detalle'!$K894,G$9&gt;='Detalle'!$J894),1,""))</x:f>
      </x:c>
      <x:c r="H1839" s="32" t="str">
        <x:f>IF(OR('Detalle'!$J894="",'Detalle'!$K894="",'Detalle'!$L894=""),"",IF(AND(H$8&lt;='Detalle'!$K894,H$9&gt;='Detalle'!$J894),1,""))</x:f>
      </x:c>
      <x:c r="I1839" s="32" t="str">
        <x:f>IF(OR('Detalle'!$J894="",'Detalle'!$K894="",'Detalle'!$L894=""),"",IF(AND(I$8&lt;='Detalle'!$K894,I$9&gt;='Detalle'!$J894),1,""))</x:f>
      </x:c>
      <x:c r="J1839" s="32" t="str">
        <x:f>IF(OR('Detalle'!$J894="",'Detalle'!$K894="",'Detalle'!$L894=""),"",IF(AND(J$8&lt;='Detalle'!$K894,J$9&gt;='Detalle'!$J894),1,""))</x:f>
      </x:c>
      <x:c r="K1839" s="32" t="str">
        <x:f>IF(OR('Detalle'!$J894="",'Detalle'!$K894="",'Detalle'!$L894=""),"",IF(AND(K$8&lt;='Detalle'!$K894,K$9&gt;='Detalle'!$J894),1,""))</x:f>
      </x:c>
      <x:c r="L1839" s="32" t="str">
        <x:f>IF(OR('Detalle'!$J894="",'Detalle'!$K894="",'Detalle'!$L894=""),"",IF(AND(L$8&lt;='Detalle'!$K894,L$9&gt;='Detalle'!$J894),1,""))</x:f>
      </x:c>
      <x:c r="M1839" s="32" t="str">
        <x:f>IF(OR('Detalle'!$J894="",'Detalle'!$K894="",'Detalle'!$L894=""),"",IF(AND(M$8&lt;='Detalle'!$K894,M$9&gt;='Detalle'!$J894),1,""))</x:f>
      </x:c>
      <x:c r="N1839" s="32" t="str">
        <x:f>IF(OR('Detalle'!$J894="",'Detalle'!$K894="",'Detalle'!$L894=""),"",IF(AND(N$8&lt;='Detalle'!$K894,N$9&gt;='Detalle'!$J894),1,""))</x:f>
      </x:c>
      <x:c r="O1839" s="32" t="str">
        <x:f>IF(OR('Detalle'!$J894="",'Detalle'!$K894="",'Detalle'!$L894=""),"",IF(AND(O$8&lt;='Detalle'!$K894,O$9&gt;='Detalle'!$J894),1,""))</x:f>
      </x:c>
      <x:c r="P1839" s="32" t="str">
        <x:f>IF(OR('Detalle'!$J894="",'Detalle'!$K894="",'Detalle'!$L894=""),"",IF(AND(P$8&lt;='Detalle'!$K894,P$9&gt;='Detalle'!$J894),1,""))</x:f>
      </x:c>
      <x:c r="Q1839" s="68"/>
      <x:c r="R1839" s="67" t="str"/>
      <x:c r="S1839" s="67" t="str"/>
    </x:row>
    <x:row r="1840" ht="16" customHeight="1">
      <x:c r="A1840" s="56" t="str">
        <x:v>CLO01.014</x:v>
      </x:c>
      <x:c r="B1840" s="57" t="str">
        <x:v>Configurar canales de alerta</x:v>
      </x:c>
      <x:c r="C1840" s="62" t="str">
        <x:v>E</x:v>
      </x:c>
      <x:c r="D1840" s="64" t="n">
        <x:f>'Detalle'!I895</x:f>
        <x:v>1</x:v>
      </x:c>
      <x:c r="E1840" s="60" t="str">
        <x:f>'Detalle'!F895</x:f>
        <x:v>Pendiente</x:v>
      </x:c>
      <x:c r="F1840" s="32" t="str">
        <x:f>IF(AND(F$8&lt;='Detalle'!$H895,F$9&gt;='Detalle'!$G895),1,"")</x:f>
      </x:c>
      <x:c r="G1840" s="32" t="str">
        <x:f>IF(AND(G$8&lt;='Detalle'!$H895,G$9&gt;='Detalle'!$G895),1,"")</x:f>
      </x:c>
      <x:c r="H1840" s="32" t="str">
        <x:f>IF(AND(H$8&lt;='Detalle'!$H895,H$9&gt;='Detalle'!$G895),1,"")</x:f>
      </x:c>
      <x:c r="I1840" s="32" t="str">
        <x:f>IF(AND(I$8&lt;='Detalle'!$H895,I$9&gt;='Detalle'!$G895),1,"")</x:f>
      </x:c>
      <x:c r="J1840" s="32" t="str">
        <x:f>IF(AND(J$8&lt;='Detalle'!$H895,J$9&gt;='Detalle'!$G895),1,"")</x:f>
      </x:c>
      <x:c r="K1840" s="32" t="str">
        <x:f>IF(AND(K$8&lt;='Detalle'!$H895,K$9&gt;='Detalle'!$G895),1,"")</x:f>
      </x:c>
      <x:c r="L1840" s="32" t="str">
        <x:f>IF(AND(L$8&lt;='Detalle'!$H895,L$9&gt;='Detalle'!$G895),1,"")</x:f>
      </x:c>
      <x:c r="M1840" s="32" t="n">
        <x:f>IF(AND(M$8&lt;='Detalle'!$H895,M$9&gt;='Detalle'!$G895),1,"")</x:f>
        <x:v>1</x:v>
      </x:c>
      <x:c r="N1840" s="32" t="str">
        <x:f>IF(AND(N$8&lt;='Detalle'!$H895,N$9&gt;='Detalle'!$G895),1,"")</x:f>
      </x:c>
      <x:c r="O1840" s="32" t="str">
        <x:f>IF(AND(O$8&lt;='Detalle'!$H895,O$9&gt;='Detalle'!$G895),1,"")</x:f>
      </x:c>
      <x:c r="P1840" s="32" t="str">
        <x:f>IF(AND(P$8&lt;='Detalle'!$H895,P$9&gt;='Detalle'!$G895),1,"")</x:f>
      </x:c>
      <x:c r="Q1840" s="68"/>
      <x:c r="R1840" s="67" t="str">
        <x:f>IF('Detalle'!M895="","",'Detalle'!M895)</x:f>
      </x:c>
      <x:c r="S1840" s="67" t="str">
        <x:f>IF('Detalle'!N895="","",'Detalle'!N895)</x:f>
      </x:c>
    </x:row>
    <x:row r="1841" ht="16" customHeight="1">
      <x:c r="A1841" s="56" t="str">
        <x:v>CLO01.014</x:v>
      </x:c>
      <x:c r="B1841" s="57" t="str">
        <x:v>Configurar canales de alerta</x:v>
      </x:c>
      <x:c r="C1841" s="63" t="str">
        <x:v>R</x:v>
      </x:c>
      <x:c r="D1841" s="65" t="str">
        <x:f>IF('Detalle'!L895="","",'Detalle'!L895)</x:f>
      </x:c>
      <x:c r="E1841" s="60" t="str"/>
      <x:c r="F1841" s="32" t="str">
        <x:f>IF(OR('Detalle'!$J895="",'Detalle'!$K895="",'Detalle'!$L895=""),"",IF(AND(F$8&lt;='Detalle'!$K895,F$9&gt;='Detalle'!$J895),1,""))</x:f>
      </x:c>
      <x:c r="G1841" s="32" t="str">
        <x:f>IF(OR('Detalle'!$J895="",'Detalle'!$K895="",'Detalle'!$L895=""),"",IF(AND(G$8&lt;='Detalle'!$K895,G$9&gt;='Detalle'!$J895),1,""))</x:f>
      </x:c>
      <x:c r="H1841" s="32" t="str">
        <x:f>IF(OR('Detalle'!$J895="",'Detalle'!$K895="",'Detalle'!$L895=""),"",IF(AND(H$8&lt;='Detalle'!$K895,H$9&gt;='Detalle'!$J895),1,""))</x:f>
      </x:c>
      <x:c r="I1841" s="32" t="str">
        <x:f>IF(OR('Detalle'!$J895="",'Detalle'!$K895="",'Detalle'!$L895=""),"",IF(AND(I$8&lt;='Detalle'!$K895,I$9&gt;='Detalle'!$J895),1,""))</x:f>
      </x:c>
      <x:c r="J1841" s="32" t="str">
        <x:f>IF(OR('Detalle'!$J895="",'Detalle'!$K895="",'Detalle'!$L895=""),"",IF(AND(J$8&lt;='Detalle'!$K895,J$9&gt;='Detalle'!$J895),1,""))</x:f>
      </x:c>
      <x:c r="K1841" s="32" t="str">
        <x:f>IF(OR('Detalle'!$J895="",'Detalle'!$K895="",'Detalle'!$L895=""),"",IF(AND(K$8&lt;='Detalle'!$K895,K$9&gt;='Detalle'!$J895),1,""))</x:f>
      </x:c>
      <x:c r="L1841" s="32" t="str">
        <x:f>IF(OR('Detalle'!$J895="",'Detalle'!$K895="",'Detalle'!$L895=""),"",IF(AND(L$8&lt;='Detalle'!$K895,L$9&gt;='Detalle'!$J895),1,""))</x:f>
      </x:c>
      <x:c r="M1841" s="32" t="str">
        <x:f>IF(OR('Detalle'!$J895="",'Detalle'!$K895="",'Detalle'!$L895=""),"",IF(AND(M$8&lt;='Detalle'!$K895,M$9&gt;='Detalle'!$J895),1,""))</x:f>
      </x:c>
      <x:c r="N1841" s="32" t="str">
        <x:f>IF(OR('Detalle'!$J895="",'Detalle'!$K895="",'Detalle'!$L895=""),"",IF(AND(N$8&lt;='Detalle'!$K895,N$9&gt;='Detalle'!$J895),1,""))</x:f>
      </x:c>
      <x:c r="O1841" s="32" t="str">
        <x:f>IF(OR('Detalle'!$J895="",'Detalle'!$K895="",'Detalle'!$L895=""),"",IF(AND(O$8&lt;='Detalle'!$K895,O$9&gt;='Detalle'!$J895),1,""))</x:f>
      </x:c>
      <x:c r="P1841" s="32" t="str">
        <x:f>IF(OR('Detalle'!$J895="",'Detalle'!$K895="",'Detalle'!$L895=""),"",IF(AND(P$8&lt;='Detalle'!$K895,P$9&gt;='Detalle'!$J895),1,""))</x:f>
      </x:c>
      <x:c r="Q1841" s="68"/>
      <x:c r="R1841" s="67" t="str"/>
      <x:c r="S1841" s="67" t="str"/>
    </x:row>
    <x:row r="1842" ht="16" customHeight="1">
      <x:c r="A1842" s="56" t="str">
        <x:v>CLO01.015</x:v>
      </x:c>
      <x:c r="B1842" s="57" t="str">
        <x:v>Detener runner local antes de traspaso</x:v>
      </x:c>
      <x:c r="C1842" s="62" t="str">
        <x:v>E</x:v>
      </x:c>
      <x:c r="D1842" s="64" t="n">
        <x:f>'Detalle'!I896</x:f>
        <x:v>1</x:v>
      </x:c>
      <x:c r="E1842" s="60" t="str">
        <x:f>'Detalle'!F896</x:f>
        <x:v>Pendiente</x:v>
      </x:c>
      <x:c r="F1842" s="32" t="str">
        <x:f>IF(AND(F$8&lt;='Detalle'!$H896,F$9&gt;='Detalle'!$G896),1,"")</x:f>
      </x:c>
      <x:c r="G1842" s="32" t="str">
        <x:f>IF(AND(G$8&lt;='Detalle'!$H896,G$9&gt;='Detalle'!$G896),1,"")</x:f>
      </x:c>
      <x:c r="H1842" s="32" t="str">
        <x:f>IF(AND(H$8&lt;='Detalle'!$H896,H$9&gt;='Detalle'!$G896),1,"")</x:f>
      </x:c>
      <x:c r="I1842" s="32" t="str">
        <x:f>IF(AND(I$8&lt;='Detalle'!$H896,I$9&gt;='Detalle'!$G896),1,"")</x:f>
      </x:c>
      <x:c r="J1842" s="32" t="str">
        <x:f>IF(AND(J$8&lt;='Detalle'!$H896,J$9&gt;='Detalle'!$G896),1,"")</x:f>
      </x:c>
      <x:c r="K1842" s="32" t="str">
        <x:f>IF(AND(K$8&lt;='Detalle'!$H896,K$9&gt;='Detalle'!$G896),1,"")</x:f>
      </x:c>
      <x:c r="L1842" s="32" t="str">
        <x:f>IF(AND(L$8&lt;='Detalle'!$H896,L$9&gt;='Detalle'!$G896),1,"")</x:f>
      </x:c>
      <x:c r="M1842" s="32" t="n">
        <x:f>IF(AND(M$8&lt;='Detalle'!$H896,M$9&gt;='Detalle'!$G896),1,"")</x:f>
        <x:v>1</x:v>
      </x:c>
      <x:c r="N1842" s="32" t="str">
        <x:f>IF(AND(N$8&lt;='Detalle'!$H896,N$9&gt;='Detalle'!$G896),1,"")</x:f>
      </x:c>
      <x:c r="O1842" s="32" t="str">
        <x:f>IF(AND(O$8&lt;='Detalle'!$H896,O$9&gt;='Detalle'!$G896),1,"")</x:f>
      </x:c>
      <x:c r="P1842" s="32" t="str">
        <x:f>IF(AND(P$8&lt;='Detalle'!$H896,P$9&gt;='Detalle'!$G896),1,"")</x:f>
      </x:c>
      <x:c r="Q1842" s="68"/>
      <x:c r="R1842" s="67" t="str">
        <x:f>IF('Detalle'!M896="","",'Detalle'!M896)</x:f>
      </x:c>
      <x:c r="S1842" s="67" t="str">
        <x:f>IF('Detalle'!N896="","",'Detalle'!N896)</x:f>
      </x:c>
    </x:row>
    <x:row r="1843" ht="16" customHeight="1">
      <x:c r="A1843" s="56" t="str">
        <x:v>CLO01.015</x:v>
      </x:c>
      <x:c r="B1843" s="57" t="str">
        <x:v>Detener runner local antes de traspaso</x:v>
      </x:c>
      <x:c r="C1843" s="63" t="str">
        <x:v>R</x:v>
      </x:c>
      <x:c r="D1843" s="65" t="str">
        <x:f>IF('Detalle'!L896="","",'Detalle'!L896)</x:f>
      </x:c>
      <x:c r="E1843" s="60" t="str"/>
      <x:c r="F1843" s="32" t="str">
        <x:f>IF(OR('Detalle'!$J896="",'Detalle'!$K896="",'Detalle'!$L896=""),"",IF(AND(F$8&lt;='Detalle'!$K896,F$9&gt;='Detalle'!$J896),1,""))</x:f>
      </x:c>
      <x:c r="G1843" s="32" t="str">
        <x:f>IF(OR('Detalle'!$J896="",'Detalle'!$K896="",'Detalle'!$L896=""),"",IF(AND(G$8&lt;='Detalle'!$K896,G$9&gt;='Detalle'!$J896),1,""))</x:f>
      </x:c>
      <x:c r="H1843" s="32" t="str">
        <x:f>IF(OR('Detalle'!$J896="",'Detalle'!$K896="",'Detalle'!$L896=""),"",IF(AND(H$8&lt;='Detalle'!$K896,H$9&gt;='Detalle'!$J896),1,""))</x:f>
      </x:c>
      <x:c r="I1843" s="32" t="str">
        <x:f>IF(OR('Detalle'!$J896="",'Detalle'!$K896="",'Detalle'!$L896=""),"",IF(AND(I$8&lt;='Detalle'!$K896,I$9&gt;='Detalle'!$J896),1,""))</x:f>
      </x:c>
      <x:c r="J1843" s="32" t="str">
        <x:f>IF(OR('Detalle'!$J896="",'Detalle'!$K896="",'Detalle'!$L896=""),"",IF(AND(J$8&lt;='Detalle'!$K896,J$9&gt;='Detalle'!$J896),1,""))</x:f>
      </x:c>
      <x:c r="K1843" s="32" t="str">
        <x:f>IF(OR('Detalle'!$J896="",'Detalle'!$K896="",'Detalle'!$L896=""),"",IF(AND(K$8&lt;='Detalle'!$K896,K$9&gt;='Detalle'!$J896),1,""))</x:f>
      </x:c>
      <x:c r="L1843" s="32" t="str">
        <x:f>IF(OR('Detalle'!$J896="",'Detalle'!$K896="",'Detalle'!$L896=""),"",IF(AND(L$8&lt;='Detalle'!$K896,L$9&gt;='Detalle'!$J896),1,""))</x:f>
      </x:c>
      <x:c r="M1843" s="32" t="str">
        <x:f>IF(OR('Detalle'!$J896="",'Detalle'!$K896="",'Detalle'!$L896=""),"",IF(AND(M$8&lt;='Detalle'!$K896,M$9&gt;='Detalle'!$J896),1,""))</x:f>
      </x:c>
      <x:c r="N1843" s="32" t="str">
        <x:f>IF(OR('Detalle'!$J896="",'Detalle'!$K896="",'Detalle'!$L896=""),"",IF(AND(N$8&lt;='Detalle'!$K896,N$9&gt;='Detalle'!$J896),1,""))</x:f>
      </x:c>
      <x:c r="O1843" s="32" t="str">
        <x:f>IF(OR('Detalle'!$J896="",'Detalle'!$K896="",'Detalle'!$L896=""),"",IF(AND(O$8&lt;='Detalle'!$K896,O$9&gt;='Detalle'!$J896),1,""))</x:f>
      </x:c>
      <x:c r="P1843" s="32" t="str">
        <x:f>IF(OR('Detalle'!$J896="",'Detalle'!$K896="",'Detalle'!$L896=""),"",IF(AND(P$8&lt;='Detalle'!$K896,P$9&gt;='Detalle'!$J896),1,""))</x:f>
      </x:c>
      <x:c r="Q1843" s="68"/>
      <x:c r="R1843" s="67" t="str"/>
      <x:c r="S1843" s="67" t="str"/>
    </x:row>
    <x:row r="1844" ht="16" customHeight="1">
      <x:c r="A1844" s="56" t="str">
        <x:v>CLO01.016</x:v>
      </x:c>
      <x:c r="B1844" s="57" t="str">
        <x:v>Activar Vault y cron de tours</x:v>
      </x:c>
      <x:c r="C1844" s="62" t="str">
        <x:v>E</x:v>
      </x:c>
      <x:c r="D1844" s="64" t="n">
        <x:f>'Detalle'!I897</x:f>
        <x:v>1</x:v>
      </x:c>
      <x:c r="E1844" s="60" t="str">
        <x:f>'Detalle'!F897</x:f>
        <x:v>Pendiente</x:v>
      </x:c>
      <x:c r="F1844" s="32" t="str">
        <x:f>IF(AND(F$8&lt;='Detalle'!$H897,F$9&gt;='Detalle'!$G897),1,"")</x:f>
      </x:c>
      <x:c r="G1844" s="32" t="str">
        <x:f>IF(AND(G$8&lt;='Detalle'!$H897,G$9&gt;='Detalle'!$G897),1,"")</x:f>
      </x:c>
      <x:c r="H1844" s="32" t="str">
        <x:f>IF(AND(H$8&lt;='Detalle'!$H897,H$9&gt;='Detalle'!$G897),1,"")</x:f>
      </x:c>
      <x:c r="I1844" s="32" t="str">
        <x:f>IF(AND(I$8&lt;='Detalle'!$H897,I$9&gt;='Detalle'!$G897),1,"")</x:f>
      </x:c>
      <x:c r="J1844" s="32" t="str">
        <x:f>IF(AND(J$8&lt;='Detalle'!$H897,J$9&gt;='Detalle'!$G897),1,"")</x:f>
      </x:c>
      <x:c r="K1844" s="32" t="str">
        <x:f>IF(AND(K$8&lt;='Detalle'!$H897,K$9&gt;='Detalle'!$G897),1,"")</x:f>
      </x:c>
      <x:c r="L1844" s="32" t="str">
        <x:f>IF(AND(L$8&lt;='Detalle'!$H897,L$9&gt;='Detalle'!$G897),1,"")</x:f>
      </x:c>
      <x:c r="M1844" s="32" t="n">
        <x:f>IF(AND(M$8&lt;='Detalle'!$H897,M$9&gt;='Detalle'!$G897),1,"")</x:f>
        <x:v>1</x:v>
      </x:c>
      <x:c r="N1844" s="32" t="str">
        <x:f>IF(AND(N$8&lt;='Detalle'!$H897,N$9&gt;='Detalle'!$G897),1,"")</x:f>
      </x:c>
      <x:c r="O1844" s="32" t="str">
        <x:f>IF(AND(O$8&lt;='Detalle'!$H897,O$9&gt;='Detalle'!$G897),1,"")</x:f>
      </x:c>
      <x:c r="P1844" s="32" t="str">
        <x:f>IF(AND(P$8&lt;='Detalle'!$H897,P$9&gt;='Detalle'!$G897),1,"")</x:f>
      </x:c>
      <x:c r="Q1844" s="68"/>
      <x:c r="R1844" s="67" t="str">
        <x:f>IF('Detalle'!M897="","",'Detalle'!M897)</x:f>
      </x:c>
      <x:c r="S1844" s="67" t="str">
        <x:f>IF('Detalle'!N897="","",'Detalle'!N897)</x:f>
      </x:c>
    </x:row>
    <x:row r="1845" ht="16" customHeight="1">
      <x:c r="A1845" s="56" t="str">
        <x:v>CLO01.016</x:v>
      </x:c>
      <x:c r="B1845" s="57" t="str">
        <x:v>Activar Vault y cron de tours</x:v>
      </x:c>
      <x:c r="C1845" s="63" t="str">
        <x:v>R</x:v>
      </x:c>
      <x:c r="D1845" s="65" t="str">
        <x:f>IF('Detalle'!L897="","",'Detalle'!L897)</x:f>
      </x:c>
      <x:c r="E1845" s="60" t="str"/>
      <x:c r="F1845" s="32" t="str">
        <x:f>IF(OR('Detalle'!$J897="",'Detalle'!$K897="",'Detalle'!$L897=""),"",IF(AND(F$8&lt;='Detalle'!$K897,F$9&gt;='Detalle'!$J897),1,""))</x:f>
      </x:c>
      <x:c r="G1845" s="32" t="str">
        <x:f>IF(OR('Detalle'!$J897="",'Detalle'!$K897="",'Detalle'!$L897=""),"",IF(AND(G$8&lt;='Detalle'!$K897,G$9&gt;='Detalle'!$J897),1,""))</x:f>
      </x:c>
      <x:c r="H1845" s="32" t="str">
        <x:f>IF(OR('Detalle'!$J897="",'Detalle'!$K897="",'Detalle'!$L897=""),"",IF(AND(H$8&lt;='Detalle'!$K897,H$9&gt;='Detalle'!$J897),1,""))</x:f>
      </x:c>
      <x:c r="I1845" s="32" t="str">
        <x:f>IF(OR('Detalle'!$J897="",'Detalle'!$K897="",'Detalle'!$L897=""),"",IF(AND(I$8&lt;='Detalle'!$K897,I$9&gt;='Detalle'!$J897),1,""))</x:f>
      </x:c>
      <x:c r="J1845" s="32" t="str">
        <x:f>IF(OR('Detalle'!$J897="",'Detalle'!$K897="",'Detalle'!$L897=""),"",IF(AND(J$8&lt;='Detalle'!$K897,J$9&gt;='Detalle'!$J897),1,""))</x:f>
      </x:c>
      <x:c r="K1845" s="32" t="str">
        <x:f>IF(OR('Detalle'!$J897="",'Detalle'!$K897="",'Detalle'!$L897=""),"",IF(AND(K$8&lt;='Detalle'!$K897,K$9&gt;='Detalle'!$J897),1,""))</x:f>
      </x:c>
      <x:c r="L1845" s="32" t="str">
        <x:f>IF(OR('Detalle'!$J897="",'Detalle'!$K897="",'Detalle'!$L897=""),"",IF(AND(L$8&lt;='Detalle'!$K897,L$9&gt;='Detalle'!$J897),1,""))</x:f>
      </x:c>
      <x:c r="M1845" s="32" t="str">
        <x:f>IF(OR('Detalle'!$J897="",'Detalle'!$K897="",'Detalle'!$L897=""),"",IF(AND(M$8&lt;='Detalle'!$K897,M$9&gt;='Detalle'!$J897),1,""))</x:f>
      </x:c>
      <x:c r="N1845" s="32" t="str">
        <x:f>IF(OR('Detalle'!$J897="",'Detalle'!$K897="",'Detalle'!$L897=""),"",IF(AND(N$8&lt;='Detalle'!$K897,N$9&gt;='Detalle'!$J897),1,""))</x:f>
      </x:c>
      <x:c r="O1845" s="32" t="str">
        <x:f>IF(OR('Detalle'!$J897="",'Detalle'!$K897="",'Detalle'!$L897=""),"",IF(AND(O$8&lt;='Detalle'!$K897,O$9&gt;='Detalle'!$J897),1,""))</x:f>
      </x:c>
      <x:c r="P1845" s="32" t="str">
        <x:f>IF(OR('Detalle'!$J897="",'Detalle'!$K897="",'Detalle'!$L897=""),"",IF(AND(P$8&lt;='Detalle'!$K897,P$9&gt;='Detalle'!$J897),1,""))</x:f>
      </x:c>
      <x:c r="Q1845" s="68"/>
      <x:c r="R1845" s="67" t="str"/>
      <x:c r="S1845" s="67" t="str"/>
    </x:row>
    <x:row r="1846" ht="16" customHeight="1">
      <x:c r="A1846" s="56" t="str">
        <x:v>CLO01.017</x:v>
      </x:c>
      <x:c r="B1846" s="57" t="str">
        <x:v>Comprobar primera ejecución programada</x:v>
      </x:c>
      <x:c r="C1846" s="62" t="str">
        <x:v>E</x:v>
      </x:c>
      <x:c r="D1846" s="64" t="n">
        <x:f>'Detalle'!I898</x:f>
        <x:v>1</x:v>
      </x:c>
      <x:c r="E1846" s="60" t="str">
        <x:f>'Detalle'!F898</x:f>
        <x:v>Pendiente</x:v>
      </x:c>
      <x:c r="F1846" s="32" t="str">
        <x:f>IF(AND(F$8&lt;='Detalle'!$H898,F$9&gt;='Detalle'!$G898),1,"")</x:f>
      </x:c>
      <x:c r="G1846" s="32" t="str">
        <x:f>IF(AND(G$8&lt;='Detalle'!$H898,G$9&gt;='Detalle'!$G898),1,"")</x:f>
      </x:c>
      <x:c r="H1846" s="32" t="str">
        <x:f>IF(AND(H$8&lt;='Detalle'!$H898,H$9&gt;='Detalle'!$G898),1,"")</x:f>
      </x:c>
      <x:c r="I1846" s="32" t="str">
        <x:f>IF(AND(I$8&lt;='Detalle'!$H898,I$9&gt;='Detalle'!$G898),1,"")</x:f>
      </x:c>
      <x:c r="J1846" s="32" t="str">
        <x:f>IF(AND(J$8&lt;='Detalle'!$H898,J$9&gt;='Detalle'!$G898),1,"")</x:f>
      </x:c>
      <x:c r="K1846" s="32" t="str">
        <x:f>IF(AND(K$8&lt;='Detalle'!$H898,K$9&gt;='Detalle'!$G898),1,"")</x:f>
      </x:c>
      <x:c r="L1846" s="32" t="str">
        <x:f>IF(AND(L$8&lt;='Detalle'!$H898,L$9&gt;='Detalle'!$G898),1,"")</x:f>
      </x:c>
      <x:c r="M1846" s="32" t="n">
        <x:f>IF(AND(M$8&lt;='Detalle'!$H898,M$9&gt;='Detalle'!$G898),1,"")</x:f>
        <x:v>1</x:v>
      </x:c>
      <x:c r="N1846" s="32" t="str">
        <x:f>IF(AND(N$8&lt;='Detalle'!$H898,N$9&gt;='Detalle'!$G898),1,"")</x:f>
      </x:c>
      <x:c r="O1846" s="32" t="str">
        <x:f>IF(AND(O$8&lt;='Detalle'!$H898,O$9&gt;='Detalle'!$G898),1,"")</x:f>
      </x:c>
      <x:c r="P1846" s="32" t="str">
        <x:f>IF(AND(P$8&lt;='Detalle'!$H898,P$9&gt;='Detalle'!$G898),1,"")</x:f>
      </x:c>
      <x:c r="Q1846" s="68"/>
      <x:c r="R1846" s="67" t="str">
        <x:f>IF('Detalle'!M898="","",'Detalle'!M898)</x:f>
      </x:c>
      <x:c r="S1846" s="67" t="str">
        <x:f>IF('Detalle'!N898="","",'Detalle'!N898)</x:f>
      </x:c>
    </x:row>
    <x:row r="1847" ht="16" customHeight="1">
      <x:c r="A1847" s="56" t="str">
        <x:v>CLO01.017</x:v>
      </x:c>
      <x:c r="B1847" s="57" t="str">
        <x:v>Comprobar primera ejecución programada</x:v>
      </x:c>
      <x:c r="C1847" s="63" t="str">
        <x:v>R</x:v>
      </x:c>
      <x:c r="D1847" s="65" t="str">
        <x:f>IF('Detalle'!L898="","",'Detalle'!L898)</x:f>
      </x:c>
      <x:c r="E1847" s="60" t="str"/>
      <x:c r="F1847" s="32" t="str">
        <x:f>IF(OR('Detalle'!$J898="",'Detalle'!$K898="",'Detalle'!$L898=""),"",IF(AND(F$8&lt;='Detalle'!$K898,F$9&gt;='Detalle'!$J898),1,""))</x:f>
      </x:c>
      <x:c r="G1847" s="32" t="str">
        <x:f>IF(OR('Detalle'!$J898="",'Detalle'!$K898="",'Detalle'!$L898=""),"",IF(AND(G$8&lt;='Detalle'!$K898,G$9&gt;='Detalle'!$J898),1,""))</x:f>
      </x:c>
      <x:c r="H1847" s="32" t="str">
        <x:f>IF(OR('Detalle'!$J898="",'Detalle'!$K898="",'Detalle'!$L898=""),"",IF(AND(H$8&lt;='Detalle'!$K898,H$9&gt;='Detalle'!$J898),1,""))</x:f>
      </x:c>
      <x:c r="I1847" s="32" t="str">
        <x:f>IF(OR('Detalle'!$J898="",'Detalle'!$K898="",'Detalle'!$L898=""),"",IF(AND(I$8&lt;='Detalle'!$K898,I$9&gt;='Detalle'!$J898),1,""))</x:f>
      </x:c>
      <x:c r="J1847" s="32" t="str">
        <x:f>IF(OR('Detalle'!$J898="",'Detalle'!$K898="",'Detalle'!$L898=""),"",IF(AND(J$8&lt;='Detalle'!$K898,J$9&gt;='Detalle'!$J898),1,""))</x:f>
      </x:c>
      <x:c r="K1847" s="32" t="str">
        <x:f>IF(OR('Detalle'!$J898="",'Detalle'!$K898="",'Detalle'!$L898=""),"",IF(AND(K$8&lt;='Detalle'!$K898,K$9&gt;='Detalle'!$J898),1,""))</x:f>
      </x:c>
      <x:c r="L1847" s="32" t="str">
        <x:f>IF(OR('Detalle'!$J898="",'Detalle'!$K898="",'Detalle'!$L898=""),"",IF(AND(L$8&lt;='Detalle'!$K898,L$9&gt;='Detalle'!$J898),1,""))</x:f>
      </x:c>
      <x:c r="M1847" s="32" t="str">
        <x:f>IF(OR('Detalle'!$J898="",'Detalle'!$K898="",'Detalle'!$L898=""),"",IF(AND(M$8&lt;='Detalle'!$K898,M$9&gt;='Detalle'!$J898),1,""))</x:f>
      </x:c>
      <x:c r="N1847" s="32" t="str">
        <x:f>IF(OR('Detalle'!$J898="",'Detalle'!$K898="",'Detalle'!$L898=""),"",IF(AND(N$8&lt;='Detalle'!$K898,N$9&gt;='Detalle'!$J898),1,""))</x:f>
      </x:c>
      <x:c r="O1847" s="32" t="str">
        <x:f>IF(OR('Detalle'!$J898="",'Detalle'!$K898="",'Detalle'!$L898=""),"",IF(AND(O$8&lt;='Detalle'!$K898,O$9&gt;='Detalle'!$J898),1,""))</x:f>
      </x:c>
      <x:c r="P1847" s="32" t="str">
        <x:f>IF(OR('Detalle'!$J898="",'Detalle'!$K898="",'Detalle'!$L898=""),"",IF(AND(P$8&lt;='Detalle'!$K898,P$9&gt;='Detalle'!$J898),1,""))</x:f>
      </x:c>
      <x:c r="Q1847" s="68"/>
      <x:c r="R1847" s="67" t="str"/>
      <x:c r="S1847" s="67" t="str"/>
    </x:row>
    <x:row r="1848" ht="16" customHeight="1">
      <x:c r="A1848" s="56" t="str">
        <x:v>CLO01.018</x:v>
      </x:c>
      <x:c r="B1848" s="57" t="str">
        <x:v>Medir coste del procesamiento remoto</x:v>
      </x:c>
      <x:c r="C1848" s="62" t="str">
        <x:v>E</x:v>
      </x:c>
      <x:c r="D1848" s="64" t="n">
        <x:f>'Detalle'!I899</x:f>
        <x:v>1</x:v>
      </x:c>
      <x:c r="E1848" s="60" t="str">
        <x:f>'Detalle'!F899</x:f>
        <x:v>Pendiente</x:v>
      </x:c>
      <x:c r="F1848" s="32" t="str">
        <x:f>IF(AND(F$8&lt;='Detalle'!$H899,F$9&gt;='Detalle'!$G899),1,"")</x:f>
      </x:c>
      <x:c r="G1848" s="32" t="str">
        <x:f>IF(AND(G$8&lt;='Detalle'!$H899,G$9&gt;='Detalle'!$G899),1,"")</x:f>
      </x:c>
      <x:c r="H1848" s="32" t="str">
        <x:f>IF(AND(H$8&lt;='Detalle'!$H899,H$9&gt;='Detalle'!$G899),1,"")</x:f>
      </x:c>
      <x:c r="I1848" s="32" t="str">
        <x:f>IF(AND(I$8&lt;='Detalle'!$H899,I$9&gt;='Detalle'!$G899),1,"")</x:f>
      </x:c>
      <x:c r="J1848" s="32" t="str">
        <x:f>IF(AND(J$8&lt;='Detalle'!$H899,J$9&gt;='Detalle'!$G899),1,"")</x:f>
      </x:c>
      <x:c r="K1848" s="32" t="str">
        <x:f>IF(AND(K$8&lt;='Detalle'!$H899,K$9&gt;='Detalle'!$G899),1,"")</x:f>
      </x:c>
      <x:c r="L1848" s="32" t="str">
        <x:f>IF(AND(L$8&lt;='Detalle'!$H899,L$9&gt;='Detalle'!$G899),1,"")</x:f>
      </x:c>
      <x:c r="M1848" s="32" t="n">
        <x:f>IF(AND(M$8&lt;='Detalle'!$H899,M$9&gt;='Detalle'!$G899),1,"")</x:f>
        <x:v>1</x:v>
      </x:c>
      <x:c r="N1848" s="32" t="str">
        <x:f>IF(AND(N$8&lt;='Detalle'!$H899,N$9&gt;='Detalle'!$G899),1,"")</x:f>
      </x:c>
      <x:c r="O1848" s="32" t="str">
        <x:f>IF(AND(O$8&lt;='Detalle'!$H899,O$9&gt;='Detalle'!$G899),1,"")</x:f>
      </x:c>
      <x:c r="P1848" s="32" t="str">
        <x:f>IF(AND(P$8&lt;='Detalle'!$H899,P$9&gt;='Detalle'!$G899),1,"")</x:f>
      </x:c>
      <x:c r="Q1848" s="68"/>
      <x:c r="R1848" s="67" t="str">
        <x:f>IF('Detalle'!M899="","",'Detalle'!M899)</x:f>
      </x:c>
      <x:c r="S1848" s="67" t="str">
        <x:f>IF('Detalle'!N899="","",'Detalle'!N899)</x:f>
      </x:c>
    </x:row>
    <x:row r="1849" ht="16" customHeight="1">
      <x:c r="A1849" s="56" t="str">
        <x:v>CLO01.018</x:v>
      </x:c>
      <x:c r="B1849" s="57" t="str">
        <x:v>Medir coste del procesamiento remoto</x:v>
      </x:c>
      <x:c r="C1849" s="63" t="str">
        <x:v>R</x:v>
      </x:c>
      <x:c r="D1849" s="65" t="str">
        <x:f>IF('Detalle'!L899="","",'Detalle'!L899)</x:f>
      </x:c>
      <x:c r="E1849" s="60" t="str"/>
      <x:c r="F1849" s="32" t="str">
        <x:f>IF(OR('Detalle'!$J899="",'Detalle'!$K899="",'Detalle'!$L899=""),"",IF(AND(F$8&lt;='Detalle'!$K899,F$9&gt;='Detalle'!$J899),1,""))</x:f>
      </x:c>
      <x:c r="G1849" s="32" t="str">
        <x:f>IF(OR('Detalle'!$J899="",'Detalle'!$K899="",'Detalle'!$L899=""),"",IF(AND(G$8&lt;='Detalle'!$K899,G$9&gt;='Detalle'!$J899),1,""))</x:f>
      </x:c>
      <x:c r="H1849" s="32" t="str">
        <x:f>IF(OR('Detalle'!$J899="",'Detalle'!$K899="",'Detalle'!$L899=""),"",IF(AND(H$8&lt;='Detalle'!$K899,H$9&gt;='Detalle'!$J899),1,""))</x:f>
      </x:c>
      <x:c r="I1849" s="32" t="str">
        <x:f>IF(OR('Detalle'!$J899="",'Detalle'!$K899="",'Detalle'!$L899=""),"",IF(AND(I$8&lt;='Detalle'!$K899,I$9&gt;='Detalle'!$J899),1,""))</x:f>
      </x:c>
      <x:c r="J1849" s="32" t="str">
        <x:f>IF(OR('Detalle'!$J899="",'Detalle'!$K899="",'Detalle'!$L899=""),"",IF(AND(J$8&lt;='Detalle'!$K899,J$9&gt;='Detalle'!$J899),1,""))</x:f>
      </x:c>
      <x:c r="K1849" s="32" t="str">
        <x:f>IF(OR('Detalle'!$J899="",'Detalle'!$K899="",'Detalle'!$L899=""),"",IF(AND(K$8&lt;='Detalle'!$K899,K$9&gt;='Detalle'!$J899),1,""))</x:f>
      </x:c>
      <x:c r="L1849" s="32" t="str">
        <x:f>IF(OR('Detalle'!$J899="",'Detalle'!$K899="",'Detalle'!$L899=""),"",IF(AND(L$8&lt;='Detalle'!$K899,L$9&gt;='Detalle'!$J899),1,""))</x:f>
      </x:c>
      <x:c r="M1849" s="32" t="str">
        <x:f>IF(OR('Detalle'!$J899="",'Detalle'!$K899="",'Detalle'!$L899=""),"",IF(AND(M$8&lt;='Detalle'!$K899,M$9&gt;='Detalle'!$J899),1,""))</x:f>
      </x:c>
      <x:c r="N1849" s="32" t="str">
        <x:f>IF(OR('Detalle'!$J899="",'Detalle'!$K899="",'Detalle'!$L899=""),"",IF(AND(N$8&lt;='Detalle'!$K899,N$9&gt;='Detalle'!$J899),1,""))</x:f>
      </x:c>
      <x:c r="O1849" s="32" t="str">
        <x:f>IF(OR('Detalle'!$J899="",'Detalle'!$K899="",'Detalle'!$L899=""),"",IF(AND(O$8&lt;='Detalle'!$K899,O$9&gt;='Detalle'!$J899),1,""))</x:f>
      </x:c>
      <x:c r="P1849" s="32" t="str">
        <x:f>IF(OR('Detalle'!$J899="",'Detalle'!$K899="",'Detalle'!$L899=""),"",IF(AND(P$8&lt;='Detalle'!$K899,P$9&gt;='Detalle'!$J899),1,""))</x:f>
      </x:c>
      <x:c r="Q1849" s="68"/>
      <x:c r="R1849" s="67" t="str"/>
      <x:c r="S1849" s="67" t="str"/>
    </x:row>
    <x:row r="1850" ht="20" customHeight="1">
      <x:c r="A1850" s="52" t="str">
        <x:v>QA02 · Pruebas reales pendientes de acceso, medios y ubicación</x:v>
      </x:c>
      <x:c r="B1850" s="52" t="str">
        <x:v>QA02 · Pruebas reales pendientes de acceso, medios y ubicación</x:v>
      </x:c>
      <x:c r="C1850" s="52" t="str">
        <x:v>QA02 · Pruebas reales pendientes de acceso, medios y ubicación</x:v>
      </x:c>
      <x:c r="D1850" s="52" t="str">
        <x:v>QA02 · Pruebas reales pendientes de acceso, medios y ubicación</x:v>
      </x:c>
      <x:c r="E1850" s="52" t="str">
        <x:v>QA02 · Pruebas reales pendientes de acceso, medios y ubicación</x:v>
      </x:c>
      <x:c r="F1850" s="53" t="str">
        <x:v>QA02 · Pruebas reales pendientes de acceso, medios y ubicación</x:v>
      </x:c>
      <x:c r="G1850" s="53" t="str">
        <x:v>QA02 · Pruebas reales pendientes de acceso, medios y ubicación</x:v>
      </x:c>
      <x:c r="H1850" s="53" t="str">
        <x:v>QA02 · Pruebas reales pendientes de acceso, medios y ubicación</x:v>
      </x:c>
      <x:c r="I1850" s="53" t="str">
        <x:v>QA02 · Pruebas reales pendientes de acceso, medios y ubicación</x:v>
      </x:c>
      <x:c r="J1850" s="53" t="str">
        <x:v>QA02 · Pruebas reales pendientes de acceso, medios y ubicación</x:v>
      </x:c>
      <x:c r="K1850" s="53" t="str">
        <x:v>QA02 · Pruebas reales pendientes de acceso, medios y ubicación</x:v>
      </x:c>
      <x:c r="L1850" s="53" t="str">
        <x:v>QA02 · Pruebas reales pendientes de acceso, medios y ubicación</x:v>
      </x:c>
      <x:c r="M1850" s="53" t="str">
        <x:v>QA02 · Pruebas reales pendientes de acceso, medios y ubicación</x:v>
      </x:c>
      <x:c r="N1850" s="53" t="str">
        <x:v>QA02 · Pruebas reales pendientes de acceso, medios y ubicación</x:v>
      </x:c>
      <x:c r="O1850" s="53" t="str">
        <x:v>QA02 · Pruebas reales pendientes de acceso, medios y ubicación</x:v>
      </x:c>
      <x:c r="P1850" s="53" t="str">
        <x:v>QA02 · Pruebas reales pendientes de acceso, medios y ubicación</x:v>
      </x:c>
      <x:c r="Q1850" s="52" t="str">
        <x:v>QA02 · Pruebas reales pendientes de acceso, medios y ubicación</x:v>
      </x:c>
      <x:c r="R1850" s="52" t="str">
        <x:v>QA02 · Pruebas reales pendientes de acceso, medios y ubicación</x:v>
      </x:c>
      <x:c r="S1850" s="52" t="str">
        <x:v>QA02 · Pruebas reales pendientes de acceso, medios y ubicación</x:v>
      </x:c>
    </x:row>
    <x:row r="1851" ht="16" customHeight="1">
      <x:c r="A1851" s="56" t="str">
        <x:v>QA02.001</x:v>
      </x:c>
      <x:c r="B1851" s="57" t="str">
        <x:v>Registrar cuenta con un correo nuevo propio</x:v>
      </x:c>
      <x:c r="C1851" s="62" t="str">
        <x:v>E</x:v>
      </x:c>
      <x:c r="D1851" s="64" t="n">
        <x:f>'Detalle'!I900</x:f>
        <x:v>1</x:v>
      </x:c>
      <x:c r="E1851" s="60" t="str">
        <x:f>'Detalle'!F900</x:f>
        <x:v>Pendiente</x:v>
      </x:c>
      <x:c r="F1851" s="32" t="str">
        <x:f>IF(AND(F$8&lt;='Detalle'!$H900,F$9&gt;='Detalle'!$G900),1,"")</x:f>
      </x:c>
      <x:c r="G1851" s="32" t="str">
        <x:f>IF(AND(G$8&lt;='Detalle'!$H900,G$9&gt;='Detalle'!$G900),1,"")</x:f>
      </x:c>
      <x:c r="H1851" s="32" t="str">
        <x:f>IF(AND(H$8&lt;='Detalle'!$H900,H$9&gt;='Detalle'!$G900),1,"")</x:f>
      </x:c>
      <x:c r="I1851" s="32" t="str">
        <x:f>IF(AND(I$8&lt;='Detalle'!$H900,I$9&gt;='Detalle'!$G900),1,"")</x:f>
      </x:c>
      <x:c r="J1851" s="32" t="str">
        <x:f>IF(AND(J$8&lt;='Detalle'!$H900,J$9&gt;='Detalle'!$G900),1,"")</x:f>
      </x:c>
      <x:c r="K1851" s="32" t="str">
        <x:f>IF(AND(K$8&lt;='Detalle'!$H900,K$9&gt;='Detalle'!$G900),1,"")</x:f>
      </x:c>
      <x:c r="L1851" s="32" t="str">
        <x:f>IF(AND(L$8&lt;='Detalle'!$H900,L$9&gt;='Detalle'!$G900),1,"")</x:f>
      </x:c>
      <x:c r="M1851" s="32" t="str">
        <x:f>IF(AND(M$8&lt;='Detalle'!$H900,M$9&gt;='Detalle'!$G900),1,"")</x:f>
      </x:c>
      <x:c r="N1851" s="32" t="n">
        <x:f>IF(AND(N$8&lt;='Detalle'!$H900,N$9&gt;='Detalle'!$G900),1,"")</x:f>
        <x:v>1</x:v>
      </x:c>
      <x:c r="O1851" s="32" t="str">
        <x:f>IF(AND(O$8&lt;='Detalle'!$H900,O$9&gt;='Detalle'!$G900),1,"")</x:f>
      </x:c>
      <x:c r="P1851" s="32" t="str">
        <x:f>IF(AND(P$8&lt;='Detalle'!$H900,P$9&gt;='Detalle'!$G900),1,"")</x:f>
      </x:c>
      <x:c r="Q1851" s="68"/>
      <x:c r="R1851" s="67" t="str">
        <x:f>IF('Detalle'!M900="","",'Detalle'!M900)</x:f>
      </x:c>
      <x:c r="S1851" s="67" t="str">
        <x:f>IF('Detalle'!N900="","",'Detalle'!N900)</x:f>
      </x:c>
    </x:row>
    <x:row r="1852" ht="16" customHeight="1">
      <x:c r="A1852" s="56" t="str">
        <x:v>QA02.001</x:v>
      </x:c>
      <x:c r="B1852" s="57" t="str">
        <x:v>Registrar cuenta con un correo nuevo propio</x:v>
      </x:c>
      <x:c r="C1852" s="63" t="str">
        <x:v>R</x:v>
      </x:c>
      <x:c r="D1852" s="65" t="str">
        <x:f>IF('Detalle'!L900="","",'Detalle'!L900)</x:f>
      </x:c>
      <x:c r="E1852" s="60" t="str"/>
      <x:c r="F1852" s="32" t="str">
        <x:f>IF(OR('Detalle'!$J900="",'Detalle'!$K900="",'Detalle'!$L900=""),"",IF(AND(F$8&lt;='Detalle'!$K900,F$9&gt;='Detalle'!$J900),1,""))</x:f>
      </x:c>
      <x:c r="G1852" s="32" t="str">
        <x:f>IF(OR('Detalle'!$J900="",'Detalle'!$K900="",'Detalle'!$L900=""),"",IF(AND(G$8&lt;='Detalle'!$K900,G$9&gt;='Detalle'!$J900),1,""))</x:f>
      </x:c>
      <x:c r="H1852" s="32" t="str">
        <x:f>IF(OR('Detalle'!$J900="",'Detalle'!$K900="",'Detalle'!$L900=""),"",IF(AND(H$8&lt;='Detalle'!$K900,H$9&gt;='Detalle'!$J900),1,""))</x:f>
      </x:c>
      <x:c r="I1852" s="32" t="str">
        <x:f>IF(OR('Detalle'!$J900="",'Detalle'!$K900="",'Detalle'!$L900=""),"",IF(AND(I$8&lt;='Detalle'!$K900,I$9&gt;='Detalle'!$J900),1,""))</x:f>
      </x:c>
      <x:c r="J1852" s="32" t="str">
        <x:f>IF(OR('Detalle'!$J900="",'Detalle'!$K900="",'Detalle'!$L900=""),"",IF(AND(J$8&lt;='Detalle'!$K900,J$9&gt;='Detalle'!$J900),1,""))</x:f>
      </x:c>
      <x:c r="K1852" s="32" t="str">
        <x:f>IF(OR('Detalle'!$J900="",'Detalle'!$K900="",'Detalle'!$L900=""),"",IF(AND(K$8&lt;='Detalle'!$K900,K$9&gt;='Detalle'!$J900),1,""))</x:f>
      </x:c>
      <x:c r="L1852" s="32" t="str">
        <x:f>IF(OR('Detalle'!$J900="",'Detalle'!$K900="",'Detalle'!$L900=""),"",IF(AND(L$8&lt;='Detalle'!$K900,L$9&gt;='Detalle'!$J900),1,""))</x:f>
      </x:c>
      <x:c r="M1852" s="32" t="str">
        <x:f>IF(OR('Detalle'!$J900="",'Detalle'!$K900="",'Detalle'!$L900=""),"",IF(AND(M$8&lt;='Detalle'!$K900,M$9&gt;='Detalle'!$J900),1,""))</x:f>
      </x:c>
      <x:c r="N1852" s="32" t="str">
        <x:f>IF(OR('Detalle'!$J900="",'Detalle'!$K900="",'Detalle'!$L900=""),"",IF(AND(N$8&lt;='Detalle'!$K900,N$9&gt;='Detalle'!$J900),1,""))</x:f>
      </x:c>
      <x:c r="O1852" s="32" t="str">
        <x:f>IF(OR('Detalle'!$J900="",'Detalle'!$K900="",'Detalle'!$L900=""),"",IF(AND(O$8&lt;='Detalle'!$K900,O$9&gt;='Detalle'!$J900),1,""))</x:f>
      </x:c>
      <x:c r="P1852" s="32" t="str">
        <x:f>IF(OR('Detalle'!$J900="",'Detalle'!$K900="",'Detalle'!$L900=""),"",IF(AND(P$8&lt;='Detalle'!$K900,P$9&gt;='Detalle'!$J900),1,""))</x:f>
      </x:c>
      <x:c r="Q1852" s="68"/>
      <x:c r="R1852" s="67" t="str"/>
      <x:c r="S1852" s="67" t="str"/>
    </x:row>
    <x:row r="1853" ht="16" customHeight="1">
      <x:c r="A1853" s="56" t="str">
        <x:v>QA02.002</x:v>
      </x:c>
      <x:c r="B1853" s="57" t="str">
        <x:v>Completar confirmación con OTP recibido</x:v>
      </x:c>
      <x:c r="C1853" s="62" t="str">
        <x:v>E</x:v>
      </x:c>
      <x:c r="D1853" s="64" t="n">
        <x:f>'Detalle'!I901</x:f>
        <x:v>1</x:v>
      </x:c>
      <x:c r="E1853" s="60" t="str">
        <x:f>'Detalle'!F901</x:f>
        <x:v>Pendiente</x:v>
      </x:c>
      <x:c r="F1853" s="32" t="str">
        <x:f>IF(AND(F$8&lt;='Detalle'!$H901,F$9&gt;='Detalle'!$G901),1,"")</x:f>
      </x:c>
      <x:c r="G1853" s="32" t="str">
        <x:f>IF(AND(G$8&lt;='Detalle'!$H901,G$9&gt;='Detalle'!$G901),1,"")</x:f>
      </x:c>
      <x:c r="H1853" s="32" t="str">
        <x:f>IF(AND(H$8&lt;='Detalle'!$H901,H$9&gt;='Detalle'!$G901),1,"")</x:f>
      </x:c>
      <x:c r="I1853" s="32" t="str">
        <x:f>IF(AND(I$8&lt;='Detalle'!$H901,I$9&gt;='Detalle'!$G901),1,"")</x:f>
      </x:c>
      <x:c r="J1853" s="32" t="str">
        <x:f>IF(AND(J$8&lt;='Detalle'!$H901,J$9&gt;='Detalle'!$G901),1,"")</x:f>
      </x:c>
      <x:c r="K1853" s="32" t="str">
        <x:f>IF(AND(K$8&lt;='Detalle'!$H901,K$9&gt;='Detalle'!$G901),1,"")</x:f>
      </x:c>
      <x:c r="L1853" s="32" t="str">
        <x:f>IF(AND(L$8&lt;='Detalle'!$H901,L$9&gt;='Detalle'!$G901),1,"")</x:f>
      </x:c>
      <x:c r="M1853" s="32" t="str">
        <x:f>IF(AND(M$8&lt;='Detalle'!$H901,M$9&gt;='Detalle'!$G901),1,"")</x:f>
      </x:c>
      <x:c r="N1853" s="32" t="n">
        <x:f>IF(AND(N$8&lt;='Detalle'!$H901,N$9&gt;='Detalle'!$G901),1,"")</x:f>
        <x:v>1</x:v>
      </x:c>
      <x:c r="O1853" s="32" t="str">
        <x:f>IF(AND(O$8&lt;='Detalle'!$H901,O$9&gt;='Detalle'!$G901),1,"")</x:f>
      </x:c>
      <x:c r="P1853" s="32" t="str">
        <x:f>IF(AND(P$8&lt;='Detalle'!$H901,P$9&gt;='Detalle'!$G901),1,"")</x:f>
      </x:c>
      <x:c r="Q1853" s="68"/>
      <x:c r="R1853" s="67" t="str">
        <x:f>IF('Detalle'!M901="","",'Detalle'!M901)</x:f>
      </x:c>
      <x:c r="S1853" s="67" t="str">
        <x:f>IF('Detalle'!N901="","",'Detalle'!N901)</x:f>
      </x:c>
    </x:row>
    <x:row r="1854" ht="16" customHeight="1">
      <x:c r="A1854" s="56" t="str">
        <x:v>QA02.002</x:v>
      </x:c>
      <x:c r="B1854" s="57" t="str">
        <x:v>Completar confirmación con OTP recibido</x:v>
      </x:c>
      <x:c r="C1854" s="63" t="str">
        <x:v>R</x:v>
      </x:c>
      <x:c r="D1854" s="65" t="str">
        <x:f>IF('Detalle'!L901="","",'Detalle'!L901)</x:f>
      </x:c>
      <x:c r="E1854" s="60" t="str"/>
      <x:c r="F1854" s="32" t="str">
        <x:f>IF(OR('Detalle'!$J901="",'Detalle'!$K901="",'Detalle'!$L901=""),"",IF(AND(F$8&lt;='Detalle'!$K901,F$9&gt;='Detalle'!$J901),1,""))</x:f>
      </x:c>
      <x:c r="G1854" s="32" t="str">
        <x:f>IF(OR('Detalle'!$J901="",'Detalle'!$K901="",'Detalle'!$L901=""),"",IF(AND(G$8&lt;='Detalle'!$K901,G$9&gt;='Detalle'!$J901),1,""))</x:f>
      </x:c>
      <x:c r="H1854" s="32" t="str">
        <x:f>IF(OR('Detalle'!$J901="",'Detalle'!$K901="",'Detalle'!$L901=""),"",IF(AND(H$8&lt;='Detalle'!$K901,H$9&gt;='Detalle'!$J901),1,""))</x:f>
      </x:c>
      <x:c r="I1854" s="32" t="str">
        <x:f>IF(OR('Detalle'!$J901="",'Detalle'!$K901="",'Detalle'!$L901=""),"",IF(AND(I$8&lt;='Detalle'!$K901,I$9&gt;='Detalle'!$J901),1,""))</x:f>
      </x:c>
      <x:c r="J1854" s="32" t="str">
        <x:f>IF(OR('Detalle'!$J901="",'Detalle'!$K901="",'Detalle'!$L901=""),"",IF(AND(J$8&lt;='Detalle'!$K901,J$9&gt;='Detalle'!$J901),1,""))</x:f>
      </x:c>
      <x:c r="K1854" s="32" t="str">
        <x:f>IF(OR('Detalle'!$J901="",'Detalle'!$K901="",'Detalle'!$L901=""),"",IF(AND(K$8&lt;='Detalle'!$K901,K$9&gt;='Detalle'!$J901),1,""))</x:f>
      </x:c>
      <x:c r="L1854" s="32" t="str">
        <x:f>IF(OR('Detalle'!$J901="",'Detalle'!$K901="",'Detalle'!$L901=""),"",IF(AND(L$8&lt;='Detalle'!$K901,L$9&gt;='Detalle'!$J901),1,""))</x:f>
      </x:c>
      <x:c r="M1854" s="32" t="str">
        <x:f>IF(OR('Detalle'!$J901="",'Detalle'!$K901="",'Detalle'!$L901=""),"",IF(AND(M$8&lt;='Detalle'!$K901,M$9&gt;='Detalle'!$J901),1,""))</x:f>
      </x:c>
      <x:c r="N1854" s="32" t="str">
        <x:f>IF(OR('Detalle'!$J901="",'Detalle'!$K901="",'Detalle'!$L901=""),"",IF(AND(N$8&lt;='Detalle'!$K901,N$9&gt;='Detalle'!$J901),1,""))</x:f>
      </x:c>
      <x:c r="O1854" s="32" t="str">
        <x:f>IF(OR('Detalle'!$J901="",'Detalle'!$K901="",'Detalle'!$L901=""),"",IF(AND(O$8&lt;='Detalle'!$K901,O$9&gt;='Detalle'!$J901),1,""))</x:f>
      </x:c>
      <x:c r="P1854" s="32" t="str">
        <x:f>IF(OR('Detalle'!$J901="",'Detalle'!$K901="",'Detalle'!$L901=""),"",IF(AND(P$8&lt;='Detalle'!$K901,P$9&gt;='Detalle'!$J901),1,""))</x:f>
      </x:c>
      <x:c r="Q1854" s="68"/>
      <x:c r="R1854" s="67" t="str"/>
      <x:c r="S1854" s="67" t="str"/>
    </x:row>
    <x:row r="1855" ht="16" customHeight="1">
      <x:c r="A1855" s="56" t="str">
        <x:v>QA02.003</x:v>
      </x:c>
      <x:c r="B1855" s="57" t="str">
        <x:v>Solicitar y recibir recuperación real</x:v>
      </x:c>
      <x:c r="C1855" s="62" t="str">
        <x:v>E</x:v>
      </x:c>
      <x:c r="D1855" s="64" t="n">
        <x:f>'Detalle'!I902</x:f>
        <x:v>1</x:v>
      </x:c>
      <x:c r="E1855" s="60" t="str">
        <x:f>'Detalle'!F902</x:f>
        <x:v>Pendiente</x:v>
      </x:c>
      <x:c r="F1855" s="32" t="str">
        <x:f>IF(AND(F$8&lt;='Detalle'!$H902,F$9&gt;='Detalle'!$G902),1,"")</x:f>
      </x:c>
      <x:c r="G1855" s="32" t="str">
        <x:f>IF(AND(G$8&lt;='Detalle'!$H902,G$9&gt;='Detalle'!$G902),1,"")</x:f>
      </x:c>
      <x:c r="H1855" s="32" t="str">
        <x:f>IF(AND(H$8&lt;='Detalle'!$H902,H$9&gt;='Detalle'!$G902),1,"")</x:f>
      </x:c>
      <x:c r="I1855" s="32" t="str">
        <x:f>IF(AND(I$8&lt;='Detalle'!$H902,I$9&gt;='Detalle'!$G902),1,"")</x:f>
      </x:c>
      <x:c r="J1855" s="32" t="str">
        <x:f>IF(AND(J$8&lt;='Detalle'!$H902,J$9&gt;='Detalle'!$G902),1,"")</x:f>
      </x:c>
      <x:c r="K1855" s="32" t="str">
        <x:f>IF(AND(K$8&lt;='Detalle'!$H902,K$9&gt;='Detalle'!$G902),1,"")</x:f>
      </x:c>
      <x:c r="L1855" s="32" t="str">
        <x:f>IF(AND(L$8&lt;='Detalle'!$H902,L$9&gt;='Detalle'!$G902),1,"")</x:f>
      </x:c>
      <x:c r="M1855" s="32" t="str">
        <x:f>IF(AND(M$8&lt;='Detalle'!$H902,M$9&gt;='Detalle'!$G902),1,"")</x:f>
      </x:c>
      <x:c r="N1855" s="32" t="n">
        <x:f>IF(AND(N$8&lt;='Detalle'!$H902,N$9&gt;='Detalle'!$G902),1,"")</x:f>
        <x:v>1</x:v>
      </x:c>
      <x:c r="O1855" s="32" t="str">
        <x:f>IF(AND(O$8&lt;='Detalle'!$H902,O$9&gt;='Detalle'!$G902),1,"")</x:f>
      </x:c>
      <x:c r="P1855" s="32" t="str">
        <x:f>IF(AND(P$8&lt;='Detalle'!$H902,P$9&gt;='Detalle'!$G902),1,"")</x:f>
      </x:c>
      <x:c r="Q1855" s="68"/>
      <x:c r="R1855" s="67" t="str">
        <x:f>IF('Detalle'!M902="","",'Detalle'!M902)</x:f>
      </x:c>
      <x:c r="S1855" s="67" t="str">
        <x:f>IF('Detalle'!N902="","",'Detalle'!N902)</x:f>
      </x:c>
    </x:row>
    <x:row r="1856" ht="16" customHeight="1">
      <x:c r="A1856" s="56" t="str">
        <x:v>QA02.003</x:v>
      </x:c>
      <x:c r="B1856" s="57" t="str">
        <x:v>Solicitar y recibir recuperación real</x:v>
      </x:c>
      <x:c r="C1856" s="63" t="str">
        <x:v>R</x:v>
      </x:c>
      <x:c r="D1856" s="65" t="str">
        <x:f>IF('Detalle'!L902="","",'Detalle'!L902)</x:f>
      </x:c>
      <x:c r="E1856" s="60" t="str"/>
      <x:c r="F1856" s="32" t="str">
        <x:f>IF(OR('Detalle'!$J902="",'Detalle'!$K902="",'Detalle'!$L902=""),"",IF(AND(F$8&lt;='Detalle'!$K902,F$9&gt;='Detalle'!$J902),1,""))</x:f>
      </x:c>
      <x:c r="G1856" s="32" t="str">
        <x:f>IF(OR('Detalle'!$J902="",'Detalle'!$K902="",'Detalle'!$L902=""),"",IF(AND(G$8&lt;='Detalle'!$K902,G$9&gt;='Detalle'!$J902),1,""))</x:f>
      </x:c>
      <x:c r="H1856" s="32" t="str">
        <x:f>IF(OR('Detalle'!$J902="",'Detalle'!$K902="",'Detalle'!$L902=""),"",IF(AND(H$8&lt;='Detalle'!$K902,H$9&gt;='Detalle'!$J902),1,""))</x:f>
      </x:c>
      <x:c r="I1856" s="32" t="str">
        <x:f>IF(OR('Detalle'!$J902="",'Detalle'!$K902="",'Detalle'!$L902=""),"",IF(AND(I$8&lt;='Detalle'!$K902,I$9&gt;='Detalle'!$J902),1,""))</x:f>
      </x:c>
      <x:c r="J1856" s="32" t="str">
        <x:f>IF(OR('Detalle'!$J902="",'Detalle'!$K902="",'Detalle'!$L902=""),"",IF(AND(J$8&lt;='Detalle'!$K902,J$9&gt;='Detalle'!$J902),1,""))</x:f>
      </x:c>
      <x:c r="K1856" s="32" t="str">
        <x:f>IF(OR('Detalle'!$J902="",'Detalle'!$K902="",'Detalle'!$L902=""),"",IF(AND(K$8&lt;='Detalle'!$K902,K$9&gt;='Detalle'!$J902),1,""))</x:f>
      </x:c>
      <x:c r="L1856" s="32" t="str">
        <x:f>IF(OR('Detalle'!$J902="",'Detalle'!$K902="",'Detalle'!$L902=""),"",IF(AND(L$8&lt;='Detalle'!$K902,L$9&gt;='Detalle'!$J902),1,""))</x:f>
      </x:c>
      <x:c r="M1856" s="32" t="str">
        <x:f>IF(OR('Detalle'!$J902="",'Detalle'!$K902="",'Detalle'!$L902=""),"",IF(AND(M$8&lt;='Detalle'!$K902,M$9&gt;='Detalle'!$J902),1,""))</x:f>
      </x:c>
      <x:c r="N1856" s="32" t="str">
        <x:f>IF(OR('Detalle'!$J902="",'Detalle'!$K902="",'Detalle'!$L902=""),"",IF(AND(N$8&lt;='Detalle'!$K902,N$9&gt;='Detalle'!$J902),1,""))</x:f>
      </x:c>
      <x:c r="O1856" s="32" t="str">
        <x:f>IF(OR('Detalle'!$J902="",'Detalle'!$K902="",'Detalle'!$L902=""),"",IF(AND(O$8&lt;='Detalle'!$K902,O$9&gt;='Detalle'!$J902),1,""))</x:f>
      </x:c>
      <x:c r="P1856" s="32" t="str">
        <x:f>IF(OR('Detalle'!$J902="",'Detalle'!$K902="",'Detalle'!$L902=""),"",IF(AND(P$8&lt;='Detalle'!$K902,P$9&gt;='Detalle'!$J902),1,""))</x:f>
      </x:c>
      <x:c r="Q1856" s="68"/>
      <x:c r="R1856" s="67" t="str"/>
      <x:c r="S1856" s="67" t="str"/>
    </x:row>
    <x:row r="1857" ht="16" customHeight="1">
      <x:c r="A1857" s="56" t="str">
        <x:v>QA02.004</x:v>
      </x:c>
      <x:c r="B1857" s="57" t="str">
        <x:v>Cambiar contraseña con código recuperado</x:v>
      </x:c>
      <x:c r="C1857" s="62" t="str">
        <x:v>E</x:v>
      </x:c>
      <x:c r="D1857" s="64" t="n">
        <x:f>'Detalle'!I903</x:f>
        <x:v>1</x:v>
      </x:c>
      <x:c r="E1857" s="60" t="str">
        <x:f>'Detalle'!F903</x:f>
        <x:v>Pendiente</x:v>
      </x:c>
      <x:c r="F1857" s="32" t="str">
        <x:f>IF(AND(F$8&lt;='Detalle'!$H903,F$9&gt;='Detalle'!$G903),1,"")</x:f>
      </x:c>
      <x:c r="G1857" s="32" t="str">
        <x:f>IF(AND(G$8&lt;='Detalle'!$H903,G$9&gt;='Detalle'!$G903),1,"")</x:f>
      </x:c>
      <x:c r="H1857" s="32" t="str">
        <x:f>IF(AND(H$8&lt;='Detalle'!$H903,H$9&gt;='Detalle'!$G903),1,"")</x:f>
      </x:c>
      <x:c r="I1857" s="32" t="str">
        <x:f>IF(AND(I$8&lt;='Detalle'!$H903,I$9&gt;='Detalle'!$G903),1,"")</x:f>
      </x:c>
      <x:c r="J1857" s="32" t="str">
        <x:f>IF(AND(J$8&lt;='Detalle'!$H903,J$9&gt;='Detalle'!$G903),1,"")</x:f>
      </x:c>
      <x:c r="K1857" s="32" t="str">
        <x:f>IF(AND(K$8&lt;='Detalle'!$H903,K$9&gt;='Detalle'!$G903),1,"")</x:f>
      </x:c>
      <x:c r="L1857" s="32" t="str">
        <x:f>IF(AND(L$8&lt;='Detalle'!$H903,L$9&gt;='Detalle'!$G903),1,"")</x:f>
      </x:c>
      <x:c r="M1857" s="32" t="str">
        <x:f>IF(AND(M$8&lt;='Detalle'!$H903,M$9&gt;='Detalle'!$G903),1,"")</x:f>
      </x:c>
      <x:c r="N1857" s="32" t="n">
        <x:f>IF(AND(N$8&lt;='Detalle'!$H903,N$9&gt;='Detalle'!$G903),1,"")</x:f>
        <x:v>1</x:v>
      </x:c>
      <x:c r="O1857" s="32" t="str">
        <x:f>IF(AND(O$8&lt;='Detalle'!$H903,O$9&gt;='Detalle'!$G903),1,"")</x:f>
      </x:c>
      <x:c r="P1857" s="32" t="str">
        <x:f>IF(AND(P$8&lt;='Detalle'!$H903,P$9&gt;='Detalle'!$G903),1,"")</x:f>
      </x:c>
      <x:c r="Q1857" s="68"/>
      <x:c r="R1857" s="67" t="str">
        <x:f>IF('Detalle'!M903="","",'Detalle'!M903)</x:f>
      </x:c>
      <x:c r="S1857" s="67" t="str">
        <x:f>IF('Detalle'!N903="","",'Detalle'!N903)</x:f>
      </x:c>
    </x:row>
    <x:row r="1858" ht="16" customHeight="1">
      <x:c r="A1858" s="56" t="str">
        <x:v>QA02.004</x:v>
      </x:c>
      <x:c r="B1858" s="57" t="str">
        <x:v>Cambiar contraseña con código recuperado</x:v>
      </x:c>
      <x:c r="C1858" s="63" t="str">
        <x:v>R</x:v>
      </x:c>
      <x:c r="D1858" s="65" t="str">
        <x:f>IF('Detalle'!L903="","",'Detalle'!L903)</x:f>
      </x:c>
      <x:c r="E1858" s="60" t="str"/>
      <x:c r="F1858" s="32" t="str">
        <x:f>IF(OR('Detalle'!$J903="",'Detalle'!$K903="",'Detalle'!$L903=""),"",IF(AND(F$8&lt;='Detalle'!$K903,F$9&gt;='Detalle'!$J903),1,""))</x:f>
      </x:c>
      <x:c r="G1858" s="32" t="str">
        <x:f>IF(OR('Detalle'!$J903="",'Detalle'!$K903="",'Detalle'!$L903=""),"",IF(AND(G$8&lt;='Detalle'!$K903,G$9&gt;='Detalle'!$J903),1,""))</x:f>
      </x:c>
      <x:c r="H1858" s="32" t="str">
        <x:f>IF(OR('Detalle'!$J903="",'Detalle'!$K903="",'Detalle'!$L903=""),"",IF(AND(H$8&lt;='Detalle'!$K903,H$9&gt;='Detalle'!$J903),1,""))</x:f>
      </x:c>
      <x:c r="I1858" s="32" t="str">
        <x:f>IF(OR('Detalle'!$J903="",'Detalle'!$K903="",'Detalle'!$L903=""),"",IF(AND(I$8&lt;='Detalle'!$K903,I$9&gt;='Detalle'!$J903),1,""))</x:f>
      </x:c>
      <x:c r="J1858" s="32" t="str">
        <x:f>IF(OR('Detalle'!$J903="",'Detalle'!$K903="",'Detalle'!$L903=""),"",IF(AND(J$8&lt;='Detalle'!$K903,J$9&gt;='Detalle'!$J903),1,""))</x:f>
      </x:c>
      <x:c r="K1858" s="32" t="str">
        <x:f>IF(OR('Detalle'!$J903="",'Detalle'!$K903="",'Detalle'!$L903=""),"",IF(AND(K$8&lt;='Detalle'!$K903,K$9&gt;='Detalle'!$J903),1,""))</x:f>
      </x:c>
      <x:c r="L1858" s="32" t="str">
        <x:f>IF(OR('Detalle'!$J903="",'Detalle'!$K903="",'Detalle'!$L903=""),"",IF(AND(L$8&lt;='Detalle'!$K903,L$9&gt;='Detalle'!$J903),1,""))</x:f>
      </x:c>
      <x:c r="M1858" s="32" t="str">
        <x:f>IF(OR('Detalle'!$J903="",'Detalle'!$K903="",'Detalle'!$L903=""),"",IF(AND(M$8&lt;='Detalle'!$K903,M$9&gt;='Detalle'!$J903),1,""))</x:f>
      </x:c>
      <x:c r="N1858" s="32" t="str">
        <x:f>IF(OR('Detalle'!$J903="",'Detalle'!$K903="",'Detalle'!$L903=""),"",IF(AND(N$8&lt;='Detalle'!$K903,N$9&gt;='Detalle'!$J903),1,""))</x:f>
      </x:c>
      <x:c r="O1858" s="32" t="str">
        <x:f>IF(OR('Detalle'!$J903="",'Detalle'!$K903="",'Detalle'!$L903=""),"",IF(AND(O$8&lt;='Detalle'!$K903,O$9&gt;='Detalle'!$J903),1,""))</x:f>
      </x:c>
      <x:c r="P1858" s="32" t="str">
        <x:f>IF(OR('Detalle'!$J903="",'Detalle'!$K903="",'Detalle'!$L903=""),"",IF(AND(P$8&lt;='Detalle'!$K903,P$9&gt;='Detalle'!$J903),1,""))</x:f>
      </x:c>
      <x:c r="Q1858" s="68"/>
      <x:c r="R1858" s="67" t="str"/>
      <x:c r="S1858" s="67" t="str"/>
    </x:row>
    <x:row r="1859" ht="16" customHeight="1">
      <x:c r="A1859" s="56" t="str">
        <x:v>QA02.005</x:v>
      </x:c>
      <x:c r="B1859" s="57" t="str">
        <x:v>Probar código incorrecto y reutilizado</x:v>
      </x:c>
      <x:c r="C1859" s="62" t="str">
        <x:v>E</x:v>
      </x:c>
      <x:c r="D1859" s="64" t="n">
        <x:f>'Detalle'!I904</x:f>
        <x:v>1</x:v>
      </x:c>
      <x:c r="E1859" s="60" t="str">
        <x:f>'Detalle'!F904</x:f>
        <x:v>Pendiente</x:v>
      </x:c>
      <x:c r="F1859" s="32" t="str">
        <x:f>IF(AND(F$8&lt;='Detalle'!$H904,F$9&gt;='Detalle'!$G904),1,"")</x:f>
      </x:c>
      <x:c r="G1859" s="32" t="str">
        <x:f>IF(AND(G$8&lt;='Detalle'!$H904,G$9&gt;='Detalle'!$G904),1,"")</x:f>
      </x:c>
      <x:c r="H1859" s="32" t="str">
        <x:f>IF(AND(H$8&lt;='Detalle'!$H904,H$9&gt;='Detalle'!$G904),1,"")</x:f>
      </x:c>
      <x:c r="I1859" s="32" t="str">
        <x:f>IF(AND(I$8&lt;='Detalle'!$H904,I$9&gt;='Detalle'!$G904),1,"")</x:f>
      </x:c>
      <x:c r="J1859" s="32" t="str">
        <x:f>IF(AND(J$8&lt;='Detalle'!$H904,J$9&gt;='Detalle'!$G904),1,"")</x:f>
      </x:c>
      <x:c r="K1859" s="32" t="str">
        <x:f>IF(AND(K$8&lt;='Detalle'!$H904,K$9&gt;='Detalle'!$G904),1,"")</x:f>
      </x:c>
      <x:c r="L1859" s="32" t="str">
        <x:f>IF(AND(L$8&lt;='Detalle'!$H904,L$9&gt;='Detalle'!$G904),1,"")</x:f>
      </x:c>
      <x:c r="M1859" s="32" t="str">
        <x:f>IF(AND(M$8&lt;='Detalle'!$H904,M$9&gt;='Detalle'!$G904),1,"")</x:f>
      </x:c>
      <x:c r="N1859" s="32" t="n">
        <x:f>IF(AND(N$8&lt;='Detalle'!$H904,N$9&gt;='Detalle'!$G904),1,"")</x:f>
        <x:v>1</x:v>
      </x:c>
      <x:c r="O1859" s="32" t="str">
        <x:f>IF(AND(O$8&lt;='Detalle'!$H904,O$9&gt;='Detalle'!$G904),1,"")</x:f>
      </x:c>
      <x:c r="P1859" s="32" t="str">
        <x:f>IF(AND(P$8&lt;='Detalle'!$H904,P$9&gt;='Detalle'!$G904),1,"")</x:f>
      </x:c>
      <x:c r="Q1859" s="68"/>
      <x:c r="R1859" s="67" t="str">
        <x:f>IF('Detalle'!M904="","",'Detalle'!M904)</x:f>
      </x:c>
      <x:c r="S1859" s="67" t="str">
        <x:f>IF('Detalle'!N904="","",'Detalle'!N904)</x:f>
      </x:c>
    </x:row>
    <x:row r="1860" ht="16" customHeight="1">
      <x:c r="A1860" s="56" t="str">
        <x:v>QA02.005</x:v>
      </x:c>
      <x:c r="B1860" s="57" t="str">
        <x:v>Probar código incorrecto y reutilizado</x:v>
      </x:c>
      <x:c r="C1860" s="63" t="str">
        <x:v>R</x:v>
      </x:c>
      <x:c r="D1860" s="65" t="str">
        <x:f>IF('Detalle'!L904="","",'Detalle'!L904)</x:f>
      </x:c>
      <x:c r="E1860" s="60" t="str"/>
      <x:c r="F1860" s="32" t="str">
        <x:f>IF(OR('Detalle'!$J904="",'Detalle'!$K904="",'Detalle'!$L904=""),"",IF(AND(F$8&lt;='Detalle'!$K904,F$9&gt;='Detalle'!$J904),1,""))</x:f>
      </x:c>
      <x:c r="G1860" s="32" t="str">
        <x:f>IF(OR('Detalle'!$J904="",'Detalle'!$K904="",'Detalle'!$L904=""),"",IF(AND(G$8&lt;='Detalle'!$K904,G$9&gt;='Detalle'!$J904),1,""))</x:f>
      </x:c>
      <x:c r="H1860" s="32" t="str">
        <x:f>IF(OR('Detalle'!$J904="",'Detalle'!$K904="",'Detalle'!$L904=""),"",IF(AND(H$8&lt;='Detalle'!$K904,H$9&gt;='Detalle'!$J904),1,""))</x:f>
      </x:c>
      <x:c r="I1860" s="32" t="str">
        <x:f>IF(OR('Detalle'!$J904="",'Detalle'!$K904="",'Detalle'!$L904=""),"",IF(AND(I$8&lt;='Detalle'!$K904,I$9&gt;='Detalle'!$J904),1,""))</x:f>
      </x:c>
      <x:c r="J1860" s="32" t="str">
        <x:f>IF(OR('Detalle'!$J904="",'Detalle'!$K904="",'Detalle'!$L904=""),"",IF(AND(J$8&lt;='Detalle'!$K904,J$9&gt;='Detalle'!$J904),1,""))</x:f>
      </x:c>
      <x:c r="K1860" s="32" t="str">
        <x:f>IF(OR('Detalle'!$J904="",'Detalle'!$K904="",'Detalle'!$L904=""),"",IF(AND(K$8&lt;='Detalle'!$K904,K$9&gt;='Detalle'!$J904),1,""))</x:f>
      </x:c>
      <x:c r="L1860" s="32" t="str">
        <x:f>IF(OR('Detalle'!$J904="",'Detalle'!$K904="",'Detalle'!$L904=""),"",IF(AND(L$8&lt;='Detalle'!$K904,L$9&gt;='Detalle'!$J904),1,""))</x:f>
      </x:c>
      <x:c r="M1860" s="32" t="str">
        <x:f>IF(OR('Detalle'!$J904="",'Detalle'!$K904="",'Detalle'!$L904=""),"",IF(AND(M$8&lt;='Detalle'!$K904,M$9&gt;='Detalle'!$J904),1,""))</x:f>
      </x:c>
      <x:c r="N1860" s="32" t="str">
        <x:f>IF(OR('Detalle'!$J904="",'Detalle'!$K904="",'Detalle'!$L904=""),"",IF(AND(N$8&lt;='Detalle'!$K904,N$9&gt;='Detalle'!$J904),1,""))</x:f>
      </x:c>
      <x:c r="O1860" s="32" t="str">
        <x:f>IF(OR('Detalle'!$J904="",'Detalle'!$K904="",'Detalle'!$L904=""),"",IF(AND(O$8&lt;='Detalle'!$K904,O$9&gt;='Detalle'!$J904),1,""))</x:f>
      </x:c>
      <x:c r="P1860" s="32" t="str">
        <x:f>IF(OR('Detalle'!$J904="",'Detalle'!$K904="",'Detalle'!$L904=""),"",IF(AND(P$8&lt;='Detalle'!$K904,P$9&gt;='Detalle'!$J904),1,""))</x:f>
      </x:c>
      <x:c r="Q1860" s="68"/>
      <x:c r="R1860" s="67" t="str"/>
      <x:c r="S1860" s="67" t="str"/>
    </x:row>
    <x:row r="1861" ht="16" customHeight="1">
      <x:c r="A1861" s="56" t="str">
        <x:v>QA02.006</x:v>
      </x:c>
      <x:c r="B1861" s="57" t="str">
        <x:v>Probar selección nativa de avatar y portada</x:v>
      </x:c>
      <x:c r="C1861" s="62" t="str">
        <x:v>E</x:v>
      </x:c>
      <x:c r="D1861" s="64" t="n">
        <x:f>'Detalle'!I905</x:f>
        <x:v>1</x:v>
      </x:c>
      <x:c r="E1861" s="60" t="str">
        <x:f>'Detalle'!F905</x:f>
        <x:v>Pendiente</x:v>
      </x:c>
      <x:c r="F1861" s="32" t="str">
        <x:f>IF(AND(F$8&lt;='Detalle'!$H905,F$9&gt;='Detalle'!$G905),1,"")</x:f>
      </x:c>
      <x:c r="G1861" s="32" t="str">
        <x:f>IF(AND(G$8&lt;='Detalle'!$H905,G$9&gt;='Detalle'!$G905),1,"")</x:f>
      </x:c>
      <x:c r="H1861" s="32" t="str">
        <x:f>IF(AND(H$8&lt;='Detalle'!$H905,H$9&gt;='Detalle'!$G905),1,"")</x:f>
      </x:c>
      <x:c r="I1861" s="32" t="str">
        <x:f>IF(AND(I$8&lt;='Detalle'!$H905,I$9&gt;='Detalle'!$G905),1,"")</x:f>
      </x:c>
      <x:c r="J1861" s="32" t="str">
        <x:f>IF(AND(J$8&lt;='Detalle'!$H905,J$9&gt;='Detalle'!$G905),1,"")</x:f>
      </x:c>
      <x:c r="K1861" s="32" t="str">
        <x:f>IF(AND(K$8&lt;='Detalle'!$H905,K$9&gt;='Detalle'!$G905),1,"")</x:f>
      </x:c>
      <x:c r="L1861" s="32" t="str">
        <x:f>IF(AND(L$8&lt;='Detalle'!$H905,L$9&gt;='Detalle'!$G905),1,"")</x:f>
      </x:c>
      <x:c r="M1861" s="32" t="str">
        <x:f>IF(AND(M$8&lt;='Detalle'!$H905,M$9&gt;='Detalle'!$G905),1,"")</x:f>
      </x:c>
      <x:c r="N1861" s="32" t="n">
        <x:f>IF(AND(N$8&lt;='Detalle'!$H905,N$9&gt;='Detalle'!$G905),1,"")</x:f>
        <x:v>1</x:v>
      </x:c>
      <x:c r="O1861" s="32" t="str">
        <x:f>IF(AND(O$8&lt;='Detalle'!$H905,O$9&gt;='Detalle'!$G905),1,"")</x:f>
      </x:c>
      <x:c r="P1861" s="32" t="str">
        <x:f>IF(AND(P$8&lt;='Detalle'!$H905,P$9&gt;='Detalle'!$G905),1,"")</x:f>
      </x:c>
      <x:c r="Q1861" s="68"/>
      <x:c r="R1861" s="67" t="str">
        <x:f>IF('Detalle'!M905="","",'Detalle'!M905)</x:f>
      </x:c>
      <x:c r="S1861" s="67" t="str">
        <x:f>IF('Detalle'!N905="","",'Detalle'!N905)</x:f>
      </x:c>
    </x:row>
    <x:row r="1862" ht="16" customHeight="1">
      <x:c r="A1862" s="56" t="str">
        <x:v>QA02.006</x:v>
      </x:c>
      <x:c r="B1862" s="57" t="str">
        <x:v>Probar selección nativa de avatar y portada</x:v>
      </x:c>
      <x:c r="C1862" s="63" t="str">
        <x:v>R</x:v>
      </x:c>
      <x:c r="D1862" s="65" t="str">
        <x:f>IF('Detalle'!L905="","",'Detalle'!L905)</x:f>
      </x:c>
      <x:c r="E1862" s="60" t="str"/>
      <x:c r="F1862" s="32" t="str">
        <x:f>IF(OR('Detalle'!$J905="",'Detalle'!$K905="",'Detalle'!$L905=""),"",IF(AND(F$8&lt;='Detalle'!$K905,F$9&gt;='Detalle'!$J905),1,""))</x:f>
      </x:c>
      <x:c r="G1862" s="32" t="str">
        <x:f>IF(OR('Detalle'!$J905="",'Detalle'!$K905="",'Detalle'!$L905=""),"",IF(AND(G$8&lt;='Detalle'!$K905,G$9&gt;='Detalle'!$J905),1,""))</x:f>
      </x:c>
      <x:c r="H1862" s="32" t="str">
        <x:f>IF(OR('Detalle'!$J905="",'Detalle'!$K905="",'Detalle'!$L905=""),"",IF(AND(H$8&lt;='Detalle'!$K905,H$9&gt;='Detalle'!$J905),1,""))</x:f>
      </x:c>
      <x:c r="I1862" s="32" t="str">
        <x:f>IF(OR('Detalle'!$J905="",'Detalle'!$K905="",'Detalle'!$L905=""),"",IF(AND(I$8&lt;='Detalle'!$K905,I$9&gt;='Detalle'!$J905),1,""))</x:f>
      </x:c>
      <x:c r="J1862" s="32" t="str">
        <x:f>IF(OR('Detalle'!$J905="",'Detalle'!$K905="",'Detalle'!$L905=""),"",IF(AND(J$8&lt;='Detalle'!$K905,J$9&gt;='Detalle'!$J905),1,""))</x:f>
      </x:c>
      <x:c r="K1862" s="32" t="str">
        <x:f>IF(OR('Detalle'!$J905="",'Detalle'!$K905="",'Detalle'!$L905=""),"",IF(AND(K$8&lt;='Detalle'!$K905,K$9&gt;='Detalle'!$J905),1,""))</x:f>
      </x:c>
      <x:c r="L1862" s="32" t="str">
        <x:f>IF(OR('Detalle'!$J905="",'Detalle'!$K905="",'Detalle'!$L905=""),"",IF(AND(L$8&lt;='Detalle'!$K905,L$9&gt;='Detalle'!$J905),1,""))</x:f>
      </x:c>
      <x:c r="M1862" s="32" t="str">
        <x:f>IF(OR('Detalle'!$J905="",'Detalle'!$K905="",'Detalle'!$L905=""),"",IF(AND(M$8&lt;='Detalle'!$K905,M$9&gt;='Detalle'!$J905),1,""))</x:f>
      </x:c>
      <x:c r="N1862" s="32" t="str">
        <x:f>IF(OR('Detalle'!$J905="",'Detalle'!$K905="",'Detalle'!$L905=""),"",IF(AND(N$8&lt;='Detalle'!$K905,N$9&gt;='Detalle'!$J905),1,""))</x:f>
      </x:c>
      <x:c r="O1862" s="32" t="str">
        <x:f>IF(OR('Detalle'!$J905="",'Detalle'!$K905="",'Detalle'!$L905=""),"",IF(AND(O$8&lt;='Detalle'!$K905,O$9&gt;='Detalle'!$J905),1,""))</x:f>
      </x:c>
      <x:c r="P1862" s="32" t="str">
        <x:f>IF(OR('Detalle'!$J905="",'Detalle'!$K905="",'Detalle'!$L905=""),"",IF(AND(P$8&lt;='Detalle'!$K905,P$9&gt;='Detalle'!$J905),1,""))</x:f>
      </x:c>
      <x:c r="Q1862" s="68"/>
      <x:c r="R1862" s="67" t="str"/>
      <x:c r="S1862" s="67" t="str"/>
    </x:row>
    <x:row r="1863" ht="16" customHeight="1">
      <x:c r="A1863" s="56" t="str">
        <x:v>QA02.007</x:v>
      </x:c>
      <x:c r="B1863" s="57" t="str">
        <x:v>Probar selección nativa de foto de post</x:v>
      </x:c>
      <x:c r="C1863" s="62" t="str">
        <x:v>E</x:v>
      </x:c>
      <x:c r="D1863" s="64" t="n">
        <x:f>'Detalle'!I906</x:f>
        <x:v>1</x:v>
      </x:c>
      <x:c r="E1863" s="60" t="str">
        <x:f>'Detalle'!F906</x:f>
        <x:v>Pendiente</x:v>
      </x:c>
      <x:c r="F1863" s="32" t="str">
        <x:f>IF(AND(F$8&lt;='Detalle'!$H906,F$9&gt;='Detalle'!$G906),1,"")</x:f>
      </x:c>
      <x:c r="G1863" s="32" t="str">
        <x:f>IF(AND(G$8&lt;='Detalle'!$H906,G$9&gt;='Detalle'!$G906),1,"")</x:f>
      </x:c>
      <x:c r="H1863" s="32" t="str">
        <x:f>IF(AND(H$8&lt;='Detalle'!$H906,H$9&gt;='Detalle'!$G906),1,"")</x:f>
      </x:c>
      <x:c r="I1863" s="32" t="str">
        <x:f>IF(AND(I$8&lt;='Detalle'!$H906,I$9&gt;='Detalle'!$G906),1,"")</x:f>
      </x:c>
      <x:c r="J1863" s="32" t="str">
        <x:f>IF(AND(J$8&lt;='Detalle'!$H906,J$9&gt;='Detalle'!$G906),1,"")</x:f>
      </x:c>
      <x:c r="K1863" s="32" t="str">
        <x:f>IF(AND(K$8&lt;='Detalle'!$H906,K$9&gt;='Detalle'!$G906),1,"")</x:f>
      </x:c>
      <x:c r="L1863" s="32" t="str">
        <x:f>IF(AND(L$8&lt;='Detalle'!$H906,L$9&gt;='Detalle'!$G906),1,"")</x:f>
      </x:c>
      <x:c r="M1863" s="32" t="str">
        <x:f>IF(AND(M$8&lt;='Detalle'!$H906,M$9&gt;='Detalle'!$G906),1,"")</x:f>
      </x:c>
      <x:c r="N1863" s="32" t="n">
        <x:f>IF(AND(N$8&lt;='Detalle'!$H906,N$9&gt;='Detalle'!$G906),1,"")</x:f>
        <x:v>1</x:v>
      </x:c>
      <x:c r="O1863" s="32" t="str">
        <x:f>IF(AND(O$8&lt;='Detalle'!$H906,O$9&gt;='Detalle'!$G906),1,"")</x:f>
      </x:c>
      <x:c r="P1863" s="32" t="str">
        <x:f>IF(AND(P$8&lt;='Detalle'!$H906,P$9&gt;='Detalle'!$G906),1,"")</x:f>
      </x:c>
      <x:c r="Q1863" s="68"/>
      <x:c r="R1863" s="67" t="str">
        <x:f>IF('Detalle'!M906="","",'Detalle'!M906)</x:f>
      </x:c>
      <x:c r="S1863" s="67" t="str">
        <x:f>IF('Detalle'!N906="","",'Detalle'!N906)</x:f>
      </x:c>
    </x:row>
    <x:row r="1864" ht="16" customHeight="1">
      <x:c r="A1864" s="56" t="str">
        <x:v>QA02.007</x:v>
      </x:c>
      <x:c r="B1864" s="57" t="str">
        <x:v>Probar selección nativa de foto de post</x:v>
      </x:c>
      <x:c r="C1864" s="63" t="str">
        <x:v>R</x:v>
      </x:c>
      <x:c r="D1864" s="65" t="str">
        <x:f>IF('Detalle'!L906="","",'Detalle'!L906)</x:f>
      </x:c>
      <x:c r="E1864" s="60" t="str"/>
      <x:c r="F1864" s="32" t="str">
        <x:f>IF(OR('Detalle'!$J906="",'Detalle'!$K906="",'Detalle'!$L906=""),"",IF(AND(F$8&lt;='Detalle'!$K906,F$9&gt;='Detalle'!$J906),1,""))</x:f>
      </x:c>
      <x:c r="G1864" s="32" t="str">
        <x:f>IF(OR('Detalle'!$J906="",'Detalle'!$K906="",'Detalle'!$L906=""),"",IF(AND(G$8&lt;='Detalle'!$K906,G$9&gt;='Detalle'!$J906),1,""))</x:f>
      </x:c>
      <x:c r="H1864" s="32" t="str">
        <x:f>IF(OR('Detalle'!$J906="",'Detalle'!$K906="",'Detalle'!$L906=""),"",IF(AND(H$8&lt;='Detalle'!$K906,H$9&gt;='Detalle'!$J906),1,""))</x:f>
      </x:c>
      <x:c r="I1864" s="32" t="str">
        <x:f>IF(OR('Detalle'!$J906="",'Detalle'!$K906="",'Detalle'!$L906=""),"",IF(AND(I$8&lt;='Detalle'!$K906,I$9&gt;='Detalle'!$J906),1,""))</x:f>
      </x:c>
      <x:c r="J1864" s="32" t="str">
        <x:f>IF(OR('Detalle'!$J906="",'Detalle'!$K906="",'Detalle'!$L906=""),"",IF(AND(J$8&lt;='Detalle'!$K906,J$9&gt;='Detalle'!$J906),1,""))</x:f>
      </x:c>
      <x:c r="K1864" s="32" t="str">
        <x:f>IF(OR('Detalle'!$J906="",'Detalle'!$K906="",'Detalle'!$L906=""),"",IF(AND(K$8&lt;='Detalle'!$K906,K$9&gt;='Detalle'!$J906),1,""))</x:f>
      </x:c>
      <x:c r="L1864" s="32" t="str">
        <x:f>IF(OR('Detalle'!$J906="",'Detalle'!$K906="",'Detalle'!$L906=""),"",IF(AND(L$8&lt;='Detalle'!$K906,L$9&gt;='Detalle'!$J906),1,""))</x:f>
      </x:c>
      <x:c r="M1864" s="32" t="str">
        <x:f>IF(OR('Detalle'!$J906="",'Detalle'!$K906="",'Detalle'!$L906=""),"",IF(AND(M$8&lt;='Detalle'!$K906,M$9&gt;='Detalle'!$J906),1,""))</x:f>
      </x:c>
      <x:c r="N1864" s="32" t="str">
        <x:f>IF(OR('Detalle'!$J906="",'Detalle'!$K906="",'Detalle'!$L906=""),"",IF(AND(N$8&lt;='Detalle'!$K906,N$9&gt;='Detalle'!$J906),1,""))</x:f>
      </x:c>
      <x:c r="O1864" s="32" t="str">
        <x:f>IF(OR('Detalle'!$J906="",'Detalle'!$K906="",'Detalle'!$L906=""),"",IF(AND(O$8&lt;='Detalle'!$K906,O$9&gt;='Detalle'!$J906),1,""))</x:f>
      </x:c>
      <x:c r="P1864" s="32" t="str">
        <x:f>IF(OR('Detalle'!$J906="",'Detalle'!$K906="",'Detalle'!$L906=""),"",IF(AND(P$8&lt;='Detalle'!$K906,P$9&gt;='Detalle'!$J906),1,""))</x:f>
      </x:c>
      <x:c r="Q1864" s="68"/>
      <x:c r="R1864" s="67" t="str"/>
      <x:c r="S1864" s="67" t="str"/>
    </x:row>
    <x:row r="1865" ht="16" customHeight="1">
      <x:c r="A1865" s="56" t="str">
        <x:v>QA02.008</x:v>
      </x:c>
      <x:c r="B1865" s="57" t="str">
        <x:v>Probar GPS y permiso en mapa físico</x:v>
      </x:c>
      <x:c r="C1865" s="62" t="str">
        <x:v>E</x:v>
      </x:c>
      <x:c r="D1865" s="64" t="n">
        <x:f>'Detalle'!I907</x:f>
        <x:v>1</x:v>
      </x:c>
      <x:c r="E1865" s="60" t="str">
        <x:f>'Detalle'!F907</x:f>
        <x:v>Pendiente</x:v>
      </x:c>
      <x:c r="F1865" s="32" t="str">
        <x:f>IF(AND(F$8&lt;='Detalle'!$H907,F$9&gt;='Detalle'!$G907),1,"")</x:f>
      </x:c>
      <x:c r="G1865" s="32" t="str">
        <x:f>IF(AND(G$8&lt;='Detalle'!$H907,G$9&gt;='Detalle'!$G907),1,"")</x:f>
      </x:c>
      <x:c r="H1865" s="32" t="str">
        <x:f>IF(AND(H$8&lt;='Detalle'!$H907,H$9&gt;='Detalle'!$G907),1,"")</x:f>
      </x:c>
      <x:c r="I1865" s="32" t="str">
        <x:f>IF(AND(I$8&lt;='Detalle'!$H907,I$9&gt;='Detalle'!$G907),1,"")</x:f>
      </x:c>
      <x:c r="J1865" s="32" t="str">
        <x:f>IF(AND(J$8&lt;='Detalle'!$H907,J$9&gt;='Detalle'!$G907),1,"")</x:f>
      </x:c>
      <x:c r="K1865" s="32" t="str">
        <x:f>IF(AND(K$8&lt;='Detalle'!$H907,K$9&gt;='Detalle'!$G907),1,"")</x:f>
      </x:c>
      <x:c r="L1865" s="32" t="str">
        <x:f>IF(AND(L$8&lt;='Detalle'!$H907,L$9&gt;='Detalle'!$G907),1,"")</x:f>
      </x:c>
      <x:c r="M1865" s="32" t="str">
        <x:f>IF(AND(M$8&lt;='Detalle'!$H907,M$9&gt;='Detalle'!$G907),1,"")</x:f>
      </x:c>
      <x:c r="N1865" s="32" t="n">
        <x:f>IF(AND(N$8&lt;='Detalle'!$H907,N$9&gt;='Detalle'!$G907),1,"")</x:f>
        <x:v>1</x:v>
      </x:c>
      <x:c r="O1865" s="32" t="str">
        <x:f>IF(AND(O$8&lt;='Detalle'!$H907,O$9&gt;='Detalle'!$G907),1,"")</x:f>
      </x:c>
      <x:c r="P1865" s="32" t="str">
        <x:f>IF(AND(P$8&lt;='Detalle'!$H907,P$9&gt;='Detalle'!$G907),1,"")</x:f>
      </x:c>
      <x:c r="Q1865" s="68"/>
      <x:c r="R1865" s="67" t="str">
        <x:f>IF('Detalle'!M907="","",'Detalle'!M907)</x:f>
      </x:c>
      <x:c r="S1865" s="67" t="str">
        <x:f>IF('Detalle'!N907="","",'Detalle'!N907)</x:f>
      </x:c>
    </x:row>
    <x:row r="1866" ht="16" customHeight="1">
      <x:c r="A1866" s="56" t="str">
        <x:v>QA02.008</x:v>
      </x:c>
      <x:c r="B1866" s="57" t="str">
        <x:v>Probar GPS y permiso en mapa físico</x:v>
      </x:c>
      <x:c r="C1866" s="63" t="str">
        <x:v>R</x:v>
      </x:c>
      <x:c r="D1866" s="65" t="str">
        <x:f>IF('Detalle'!L907="","",'Detalle'!L907)</x:f>
      </x:c>
      <x:c r="E1866" s="60" t="str"/>
      <x:c r="F1866" s="32" t="str">
        <x:f>IF(OR('Detalle'!$J907="",'Detalle'!$K907="",'Detalle'!$L907=""),"",IF(AND(F$8&lt;='Detalle'!$K907,F$9&gt;='Detalle'!$J907),1,""))</x:f>
      </x:c>
      <x:c r="G1866" s="32" t="str">
        <x:f>IF(OR('Detalle'!$J907="",'Detalle'!$K907="",'Detalle'!$L907=""),"",IF(AND(G$8&lt;='Detalle'!$K907,G$9&gt;='Detalle'!$J907),1,""))</x:f>
      </x:c>
      <x:c r="H1866" s="32" t="str">
        <x:f>IF(OR('Detalle'!$J907="",'Detalle'!$K907="",'Detalle'!$L907=""),"",IF(AND(H$8&lt;='Detalle'!$K907,H$9&gt;='Detalle'!$J907),1,""))</x:f>
      </x:c>
      <x:c r="I1866" s="32" t="str">
        <x:f>IF(OR('Detalle'!$J907="",'Detalle'!$K907="",'Detalle'!$L907=""),"",IF(AND(I$8&lt;='Detalle'!$K907,I$9&gt;='Detalle'!$J907),1,""))</x:f>
      </x:c>
      <x:c r="J1866" s="32" t="str">
        <x:f>IF(OR('Detalle'!$J907="",'Detalle'!$K907="",'Detalle'!$L907=""),"",IF(AND(J$8&lt;='Detalle'!$K907,J$9&gt;='Detalle'!$J907),1,""))</x:f>
      </x:c>
      <x:c r="K1866" s="32" t="str">
        <x:f>IF(OR('Detalle'!$J907="",'Detalle'!$K907="",'Detalle'!$L907=""),"",IF(AND(K$8&lt;='Detalle'!$K907,K$9&gt;='Detalle'!$J907),1,""))</x:f>
      </x:c>
      <x:c r="L1866" s="32" t="str">
        <x:f>IF(OR('Detalle'!$J907="",'Detalle'!$K907="",'Detalle'!$L907=""),"",IF(AND(L$8&lt;='Detalle'!$K907,L$9&gt;='Detalle'!$J907),1,""))</x:f>
      </x:c>
      <x:c r="M1866" s="32" t="str">
        <x:f>IF(OR('Detalle'!$J907="",'Detalle'!$K907="",'Detalle'!$L907=""),"",IF(AND(M$8&lt;='Detalle'!$K907,M$9&gt;='Detalle'!$J907),1,""))</x:f>
      </x:c>
      <x:c r="N1866" s="32" t="str">
        <x:f>IF(OR('Detalle'!$J907="",'Detalle'!$K907="",'Detalle'!$L907=""),"",IF(AND(N$8&lt;='Detalle'!$K907,N$9&gt;='Detalle'!$J907),1,""))</x:f>
      </x:c>
      <x:c r="O1866" s="32" t="str">
        <x:f>IF(OR('Detalle'!$J907="",'Detalle'!$K907="",'Detalle'!$L907=""),"",IF(AND(O$8&lt;='Detalle'!$K907,O$9&gt;='Detalle'!$J907),1,""))</x:f>
      </x:c>
      <x:c r="P1866" s="32" t="str">
        <x:f>IF(OR('Detalle'!$J907="",'Detalle'!$K907="",'Detalle'!$L907=""),"",IF(AND(P$8&lt;='Detalle'!$K907,P$9&gt;='Detalle'!$J907),1,""))</x:f>
      </x:c>
      <x:c r="Q1866" s="68"/>
      <x:c r="R1866" s="67" t="str"/>
      <x:c r="S1866" s="67" t="str"/>
    </x:row>
    <x:row r="1867" ht="16" customHeight="1">
      <x:c r="A1867" s="56" t="str">
        <x:v>QA02.009</x:v>
      </x:c>
      <x:c r="B1867" s="57" t="str">
        <x:v>Probar teclado físico en registro y compositor</x:v>
      </x:c>
      <x:c r="C1867" s="62" t="str">
        <x:v>E</x:v>
      </x:c>
      <x:c r="D1867" s="64" t="n">
        <x:f>'Detalle'!I908</x:f>
        <x:v>1</x:v>
      </x:c>
      <x:c r="E1867" s="60" t="str">
        <x:f>'Detalle'!F908</x:f>
        <x:v>Pendiente</x:v>
      </x:c>
      <x:c r="F1867" s="32" t="str">
        <x:f>IF(AND(F$8&lt;='Detalle'!$H908,F$9&gt;='Detalle'!$G908),1,"")</x:f>
      </x:c>
      <x:c r="G1867" s="32" t="str">
        <x:f>IF(AND(G$8&lt;='Detalle'!$H908,G$9&gt;='Detalle'!$G908),1,"")</x:f>
      </x:c>
      <x:c r="H1867" s="32" t="str">
        <x:f>IF(AND(H$8&lt;='Detalle'!$H908,H$9&gt;='Detalle'!$G908),1,"")</x:f>
      </x:c>
      <x:c r="I1867" s="32" t="str">
        <x:f>IF(AND(I$8&lt;='Detalle'!$H908,I$9&gt;='Detalle'!$G908),1,"")</x:f>
      </x:c>
      <x:c r="J1867" s="32" t="str">
        <x:f>IF(AND(J$8&lt;='Detalle'!$H908,J$9&gt;='Detalle'!$G908),1,"")</x:f>
      </x:c>
      <x:c r="K1867" s="32" t="str">
        <x:f>IF(AND(K$8&lt;='Detalle'!$H908,K$9&gt;='Detalle'!$G908),1,"")</x:f>
      </x:c>
      <x:c r="L1867" s="32" t="str">
        <x:f>IF(AND(L$8&lt;='Detalle'!$H908,L$9&gt;='Detalle'!$G908),1,"")</x:f>
      </x:c>
      <x:c r="M1867" s="32" t="str">
        <x:f>IF(AND(M$8&lt;='Detalle'!$H908,M$9&gt;='Detalle'!$G908),1,"")</x:f>
      </x:c>
      <x:c r="N1867" s="32" t="n">
        <x:f>IF(AND(N$8&lt;='Detalle'!$H908,N$9&gt;='Detalle'!$G908),1,"")</x:f>
        <x:v>1</x:v>
      </x:c>
      <x:c r="O1867" s="32" t="str">
        <x:f>IF(AND(O$8&lt;='Detalle'!$H908,O$9&gt;='Detalle'!$G908),1,"")</x:f>
      </x:c>
      <x:c r="P1867" s="32" t="str">
        <x:f>IF(AND(P$8&lt;='Detalle'!$H908,P$9&gt;='Detalle'!$G908),1,"")</x:f>
      </x:c>
      <x:c r="Q1867" s="68"/>
      <x:c r="R1867" s="67" t="str">
        <x:f>IF('Detalle'!M908="","",'Detalle'!M908)</x:f>
      </x:c>
      <x:c r="S1867" s="67" t="str">
        <x:f>IF('Detalle'!N908="","",'Detalle'!N908)</x:f>
      </x:c>
    </x:row>
    <x:row r="1868" ht="16" customHeight="1">
      <x:c r="A1868" s="56" t="str">
        <x:v>QA02.009</x:v>
      </x:c>
      <x:c r="B1868" s="57" t="str">
        <x:v>Probar teclado físico en registro y compositor</x:v>
      </x:c>
      <x:c r="C1868" s="63" t="str">
        <x:v>R</x:v>
      </x:c>
      <x:c r="D1868" s="65" t="str">
        <x:f>IF('Detalle'!L908="","",'Detalle'!L908)</x:f>
      </x:c>
      <x:c r="E1868" s="60" t="str"/>
      <x:c r="F1868" s="32" t="str">
        <x:f>IF(OR('Detalle'!$J908="",'Detalle'!$K908="",'Detalle'!$L908=""),"",IF(AND(F$8&lt;='Detalle'!$K908,F$9&gt;='Detalle'!$J908),1,""))</x:f>
      </x:c>
      <x:c r="G1868" s="32" t="str">
        <x:f>IF(OR('Detalle'!$J908="",'Detalle'!$K908="",'Detalle'!$L908=""),"",IF(AND(G$8&lt;='Detalle'!$K908,G$9&gt;='Detalle'!$J908),1,""))</x:f>
      </x:c>
      <x:c r="H1868" s="32" t="str">
        <x:f>IF(OR('Detalle'!$J908="",'Detalle'!$K908="",'Detalle'!$L908=""),"",IF(AND(H$8&lt;='Detalle'!$K908,H$9&gt;='Detalle'!$J908),1,""))</x:f>
      </x:c>
      <x:c r="I1868" s="32" t="str">
        <x:f>IF(OR('Detalle'!$J908="",'Detalle'!$K908="",'Detalle'!$L908=""),"",IF(AND(I$8&lt;='Detalle'!$K908,I$9&gt;='Detalle'!$J908),1,""))</x:f>
      </x:c>
      <x:c r="J1868" s="32" t="str">
        <x:f>IF(OR('Detalle'!$J908="",'Detalle'!$K908="",'Detalle'!$L908=""),"",IF(AND(J$8&lt;='Detalle'!$K908,J$9&gt;='Detalle'!$J908),1,""))</x:f>
      </x:c>
      <x:c r="K1868" s="32" t="str">
        <x:f>IF(OR('Detalle'!$J908="",'Detalle'!$K908="",'Detalle'!$L908=""),"",IF(AND(K$8&lt;='Detalle'!$K908,K$9&gt;='Detalle'!$J908),1,""))</x:f>
      </x:c>
      <x:c r="L1868" s="32" t="str">
        <x:f>IF(OR('Detalle'!$J908="",'Detalle'!$K908="",'Detalle'!$L908=""),"",IF(AND(L$8&lt;='Detalle'!$K908,L$9&gt;='Detalle'!$J908),1,""))</x:f>
      </x:c>
      <x:c r="M1868" s="32" t="str">
        <x:f>IF(OR('Detalle'!$J908="",'Detalle'!$K908="",'Detalle'!$L908=""),"",IF(AND(M$8&lt;='Detalle'!$K908,M$9&gt;='Detalle'!$J908),1,""))</x:f>
      </x:c>
      <x:c r="N1868" s="32" t="str">
        <x:f>IF(OR('Detalle'!$J908="",'Detalle'!$K908="",'Detalle'!$L908=""),"",IF(AND(N$8&lt;='Detalle'!$K908,N$9&gt;='Detalle'!$J908),1,""))</x:f>
      </x:c>
      <x:c r="O1868" s="32" t="str">
        <x:f>IF(OR('Detalle'!$J908="",'Detalle'!$K908="",'Detalle'!$L908=""),"",IF(AND(O$8&lt;='Detalle'!$K908,O$9&gt;='Detalle'!$J908),1,""))</x:f>
      </x:c>
      <x:c r="P1868" s="32" t="str">
        <x:f>IF(OR('Detalle'!$J908="",'Detalle'!$K908="",'Detalle'!$L908=""),"",IF(AND(P$8&lt;='Detalle'!$K908,P$9&gt;='Detalle'!$J908),1,""))</x:f>
      </x:c>
      <x:c r="Q1868" s="68"/>
      <x:c r="R1868" s="67" t="str"/>
      <x:c r="S1868" s="67" t="str"/>
    </x:row>
    <x:row r="1869" ht="16" customHeight="1">
      <x:c r="A1869" s="56" t="str">
        <x:v>QA02.010</x:v>
      </x:c>
      <x:c r="B1869" s="57" t="str">
        <x:v>Probar lector de pantalla en destinos principales</x:v>
      </x:c>
      <x:c r="C1869" s="62" t="str">
        <x:v>E</x:v>
      </x:c>
      <x:c r="D1869" s="64" t="n">
        <x:f>'Detalle'!I909</x:f>
        <x:v>1</x:v>
      </x:c>
      <x:c r="E1869" s="60" t="str">
        <x:f>'Detalle'!F909</x:f>
        <x:v>Pendiente</x:v>
      </x:c>
      <x:c r="F1869" s="32" t="str">
        <x:f>IF(AND(F$8&lt;='Detalle'!$H909,F$9&gt;='Detalle'!$G909),1,"")</x:f>
      </x:c>
      <x:c r="G1869" s="32" t="str">
        <x:f>IF(AND(G$8&lt;='Detalle'!$H909,G$9&gt;='Detalle'!$G909),1,"")</x:f>
      </x:c>
      <x:c r="H1869" s="32" t="str">
        <x:f>IF(AND(H$8&lt;='Detalle'!$H909,H$9&gt;='Detalle'!$G909),1,"")</x:f>
      </x:c>
      <x:c r="I1869" s="32" t="str">
        <x:f>IF(AND(I$8&lt;='Detalle'!$H909,I$9&gt;='Detalle'!$G909),1,"")</x:f>
      </x:c>
      <x:c r="J1869" s="32" t="str">
        <x:f>IF(AND(J$8&lt;='Detalle'!$H909,J$9&gt;='Detalle'!$G909),1,"")</x:f>
      </x:c>
      <x:c r="K1869" s="32" t="str">
        <x:f>IF(AND(K$8&lt;='Detalle'!$H909,K$9&gt;='Detalle'!$G909),1,"")</x:f>
      </x:c>
      <x:c r="L1869" s="32" t="str">
        <x:f>IF(AND(L$8&lt;='Detalle'!$H909,L$9&gt;='Detalle'!$G909),1,"")</x:f>
      </x:c>
      <x:c r="M1869" s="32" t="str">
        <x:f>IF(AND(M$8&lt;='Detalle'!$H909,M$9&gt;='Detalle'!$G909),1,"")</x:f>
      </x:c>
      <x:c r="N1869" s="32" t="n">
        <x:f>IF(AND(N$8&lt;='Detalle'!$H909,N$9&gt;='Detalle'!$G909),1,"")</x:f>
        <x:v>1</x:v>
      </x:c>
      <x:c r="O1869" s="32" t="str">
        <x:f>IF(AND(O$8&lt;='Detalle'!$H909,O$9&gt;='Detalle'!$G909),1,"")</x:f>
      </x:c>
      <x:c r="P1869" s="32" t="str">
        <x:f>IF(AND(P$8&lt;='Detalle'!$H909,P$9&gt;='Detalle'!$G909),1,"")</x:f>
      </x:c>
      <x:c r="Q1869" s="68"/>
      <x:c r="R1869" s="67" t="str">
        <x:f>IF('Detalle'!M909="","",'Detalle'!M909)</x:f>
      </x:c>
      <x:c r="S1869" s="67" t="str">
        <x:f>IF('Detalle'!N909="","",'Detalle'!N909)</x:f>
      </x:c>
    </x:row>
    <x:row r="1870" ht="16" customHeight="1">
      <x:c r="A1870" s="56" t="str">
        <x:v>QA02.010</x:v>
      </x:c>
      <x:c r="B1870" s="57" t="str">
        <x:v>Probar lector de pantalla en destinos principales</x:v>
      </x:c>
      <x:c r="C1870" s="63" t="str">
        <x:v>R</x:v>
      </x:c>
      <x:c r="D1870" s="65" t="str">
        <x:f>IF('Detalle'!L909="","",'Detalle'!L909)</x:f>
      </x:c>
      <x:c r="E1870" s="60" t="str"/>
      <x:c r="F1870" s="32" t="str">
        <x:f>IF(OR('Detalle'!$J909="",'Detalle'!$K909="",'Detalle'!$L909=""),"",IF(AND(F$8&lt;='Detalle'!$K909,F$9&gt;='Detalle'!$J909),1,""))</x:f>
      </x:c>
      <x:c r="G1870" s="32" t="str">
        <x:f>IF(OR('Detalle'!$J909="",'Detalle'!$K909="",'Detalle'!$L909=""),"",IF(AND(G$8&lt;='Detalle'!$K909,G$9&gt;='Detalle'!$J909),1,""))</x:f>
      </x:c>
      <x:c r="H1870" s="32" t="str">
        <x:f>IF(OR('Detalle'!$J909="",'Detalle'!$K909="",'Detalle'!$L909=""),"",IF(AND(H$8&lt;='Detalle'!$K909,H$9&gt;='Detalle'!$J909),1,""))</x:f>
      </x:c>
      <x:c r="I1870" s="32" t="str">
        <x:f>IF(OR('Detalle'!$J909="",'Detalle'!$K909="",'Detalle'!$L909=""),"",IF(AND(I$8&lt;='Detalle'!$K909,I$9&gt;='Detalle'!$J909),1,""))</x:f>
      </x:c>
      <x:c r="J1870" s="32" t="str">
        <x:f>IF(OR('Detalle'!$J909="",'Detalle'!$K909="",'Detalle'!$L909=""),"",IF(AND(J$8&lt;='Detalle'!$K909,J$9&gt;='Detalle'!$J909),1,""))</x:f>
      </x:c>
      <x:c r="K1870" s="32" t="str">
        <x:f>IF(OR('Detalle'!$J909="",'Detalle'!$K909="",'Detalle'!$L909=""),"",IF(AND(K$8&lt;='Detalle'!$K909,K$9&gt;='Detalle'!$J909),1,""))</x:f>
      </x:c>
      <x:c r="L1870" s="32" t="str">
        <x:f>IF(OR('Detalle'!$J909="",'Detalle'!$K909="",'Detalle'!$L909=""),"",IF(AND(L$8&lt;='Detalle'!$K909,L$9&gt;='Detalle'!$J909),1,""))</x:f>
      </x:c>
      <x:c r="M1870" s="32" t="str">
        <x:f>IF(OR('Detalle'!$J909="",'Detalle'!$K909="",'Detalle'!$L909=""),"",IF(AND(M$8&lt;='Detalle'!$K909,M$9&gt;='Detalle'!$J909),1,""))</x:f>
      </x:c>
      <x:c r="N1870" s="32" t="str">
        <x:f>IF(OR('Detalle'!$J909="",'Detalle'!$K909="",'Detalle'!$L909=""),"",IF(AND(N$8&lt;='Detalle'!$K909,N$9&gt;='Detalle'!$J909),1,""))</x:f>
      </x:c>
      <x:c r="O1870" s="32" t="str">
        <x:f>IF(OR('Detalle'!$J909="",'Detalle'!$K909="",'Detalle'!$L909=""),"",IF(AND(O$8&lt;='Detalle'!$K909,O$9&gt;='Detalle'!$J909),1,""))</x:f>
      </x:c>
      <x:c r="P1870" s="32" t="str">
        <x:f>IF(OR('Detalle'!$J909="",'Detalle'!$K909="",'Detalle'!$L909=""),"",IF(AND(P$8&lt;='Detalle'!$K909,P$9&gt;='Detalle'!$J909),1,""))</x:f>
      </x:c>
      <x:c r="Q1870" s="68"/>
      <x:c r="R1870" s="67" t="str"/>
      <x:c r="S1870" s="67" t="str"/>
    </x:row>
    <x:row r="1871" ht="20" customHeight="1">
      <x:c r="A1871" s="52" t="str">
        <x:v>QA03 · Matriz física adicional de push y regresión integrada</x:v>
      </x:c>
      <x:c r="B1871" s="52" t="str">
        <x:v>QA03 · Matriz física adicional de push y regresión integrada</x:v>
      </x:c>
      <x:c r="C1871" s="52" t="str">
        <x:v>QA03 · Matriz física adicional de push y regresión integrada</x:v>
      </x:c>
      <x:c r="D1871" s="52" t="str">
        <x:v>QA03 · Matriz física adicional de push y regresión integrada</x:v>
      </x:c>
      <x:c r="E1871" s="52" t="str">
        <x:v>QA03 · Matriz física adicional de push y regresión integrada</x:v>
      </x:c>
      <x:c r="F1871" s="53" t="str">
        <x:v>QA03 · Matriz física adicional de push y regresión integrada</x:v>
      </x:c>
      <x:c r="G1871" s="53" t="str">
        <x:v>QA03 · Matriz física adicional de push y regresión integrada</x:v>
      </x:c>
      <x:c r="H1871" s="53" t="str">
        <x:v>QA03 · Matriz física adicional de push y regresión integrada</x:v>
      </x:c>
      <x:c r="I1871" s="53" t="str">
        <x:v>QA03 · Matriz física adicional de push y regresión integrada</x:v>
      </x:c>
      <x:c r="J1871" s="53" t="str">
        <x:v>QA03 · Matriz física adicional de push y regresión integrada</x:v>
      </x:c>
      <x:c r="K1871" s="53" t="str">
        <x:v>QA03 · Matriz física adicional de push y regresión integrada</x:v>
      </x:c>
      <x:c r="L1871" s="53" t="str">
        <x:v>QA03 · Matriz física adicional de push y regresión integrada</x:v>
      </x:c>
      <x:c r="M1871" s="53" t="str">
        <x:v>QA03 · Matriz física adicional de push y regresión integrada</x:v>
      </x:c>
      <x:c r="N1871" s="53" t="str">
        <x:v>QA03 · Matriz física adicional de push y regresión integrada</x:v>
      </x:c>
      <x:c r="O1871" s="53" t="str">
        <x:v>QA03 · Matriz física adicional de push y regresión integrada</x:v>
      </x:c>
      <x:c r="P1871" s="53" t="str">
        <x:v>QA03 · Matriz física adicional de push y regresión integrada</x:v>
      </x:c>
      <x:c r="Q1871" s="52" t="str">
        <x:v>QA03 · Matriz física adicional de push y regresión integrada</x:v>
      </x:c>
      <x:c r="R1871" s="52" t="str">
        <x:v>QA03 · Matriz física adicional de push y regresión integrada</x:v>
      </x:c>
      <x:c r="S1871" s="52" t="str">
        <x:v>QA03 · Matriz física adicional de push y regresión integrada</x:v>
      </x:c>
    </x:row>
    <x:row r="1872" ht="16" customHeight="1">
      <x:c r="A1872" s="56" t="str">
        <x:v>QA03.001</x:v>
      </x:c>
      <x:c r="B1872" s="57" t="str">
        <x:v>Probar permiso push denegado físicamente</x:v>
      </x:c>
      <x:c r="C1872" s="62" t="str">
        <x:v>E</x:v>
      </x:c>
      <x:c r="D1872" s="64" t="n">
        <x:f>'Detalle'!I910</x:f>
        <x:v>1</x:v>
      </x:c>
      <x:c r="E1872" s="60" t="str">
        <x:f>'Detalle'!F910</x:f>
        <x:v>Pendiente</x:v>
      </x:c>
      <x:c r="F1872" s="32" t="str">
        <x:f>IF(AND(F$8&lt;='Detalle'!$H910,F$9&gt;='Detalle'!$G910),1,"")</x:f>
      </x:c>
      <x:c r="G1872" s="32" t="str">
        <x:f>IF(AND(G$8&lt;='Detalle'!$H910,G$9&gt;='Detalle'!$G910),1,"")</x:f>
      </x:c>
      <x:c r="H1872" s="32" t="str">
        <x:f>IF(AND(H$8&lt;='Detalle'!$H910,H$9&gt;='Detalle'!$G910),1,"")</x:f>
      </x:c>
      <x:c r="I1872" s="32" t="str">
        <x:f>IF(AND(I$8&lt;='Detalle'!$H910,I$9&gt;='Detalle'!$G910),1,"")</x:f>
      </x:c>
      <x:c r="J1872" s="32" t="str">
        <x:f>IF(AND(J$8&lt;='Detalle'!$H910,J$9&gt;='Detalle'!$G910),1,"")</x:f>
      </x:c>
      <x:c r="K1872" s="32" t="str">
        <x:f>IF(AND(K$8&lt;='Detalle'!$H910,K$9&gt;='Detalle'!$G910),1,"")</x:f>
      </x:c>
      <x:c r="L1872" s="32" t="str">
        <x:f>IF(AND(L$8&lt;='Detalle'!$H910,L$9&gt;='Detalle'!$G910),1,"")</x:f>
      </x:c>
      <x:c r="M1872" s="32" t="str">
        <x:f>IF(AND(M$8&lt;='Detalle'!$H910,M$9&gt;='Detalle'!$G910),1,"")</x:f>
      </x:c>
      <x:c r="N1872" s="32" t="n">
        <x:f>IF(AND(N$8&lt;='Detalle'!$H910,N$9&gt;='Detalle'!$G910),1,"")</x:f>
        <x:v>1</x:v>
      </x:c>
      <x:c r="O1872" s="32" t="str">
        <x:f>IF(AND(O$8&lt;='Detalle'!$H910,O$9&gt;='Detalle'!$G910),1,"")</x:f>
      </x:c>
      <x:c r="P1872" s="32" t="str">
        <x:f>IF(AND(P$8&lt;='Detalle'!$H910,P$9&gt;='Detalle'!$G910),1,"")</x:f>
      </x:c>
      <x:c r="Q1872" s="68"/>
      <x:c r="R1872" s="67" t="str">
        <x:f>IF('Detalle'!M910="","",'Detalle'!M910)</x:f>
      </x:c>
      <x:c r="S1872" s="67" t="str">
        <x:f>IF('Detalle'!N910="","",'Detalle'!N910)</x:f>
      </x:c>
    </x:row>
    <x:row r="1873" ht="16" customHeight="1">
      <x:c r="A1873" s="56" t="str">
        <x:v>QA03.001</x:v>
      </x:c>
      <x:c r="B1873" s="57" t="str">
        <x:v>Probar permiso push denegado físicamente</x:v>
      </x:c>
      <x:c r="C1873" s="63" t="str">
        <x:v>R</x:v>
      </x:c>
      <x:c r="D1873" s="65" t="str">
        <x:f>IF('Detalle'!L910="","",'Detalle'!L910)</x:f>
      </x:c>
      <x:c r="E1873" s="60" t="str"/>
      <x:c r="F1873" s="32" t="str">
        <x:f>IF(OR('Detalle'!$J910="",'Detalle'!$K910="",'Detalle'!$L910=""),"",IF(AND(F$8&lt;='Detalle'!$K910,F$9&gt;='Detalle'!$J910),1,""))</x:f>
      </x:c>
      <x:c r="G1873" s="32" t="str">
        <x:f>IF(OR('Detalle'!$J910="",'Detalle'!$K910="",'Detalle'!$L910=""),"",IF(AND(G$8&lt;='Detalle'!$K910,G$9&gt;='Detalle'!$J910),1,""))</x:f>
      </x:c>
      <x:c r="H1873" s="32" t="str">
        <x:f>IF(OR('Detalle'!$J910="",'Detalle'!$K910="",'Detalle'!$L910=""),"",IF(AND(H$8&lt;='Detalle'!$K910,H$9&gt;='Detalle'!$J910),1,""))</x:f>
      </x:c>
      <x:c r="I1873" s="32" t="str">
        <x:f>IF(OR('Detalle'!$J910="",'Detalle'!$K910="",'Detalle'!$L910=""),"",IF(AND(I$8&lt;='Detalle'!$K910,I$9&gt;='Detalle'!$J910),1,""))</x:f>
      </x:c>
      <x:c r="J1873" s="32" t="str">
        <x:f>IF(OR('Detalle'!$J910="",'Detalle'!$K910="",'Detalle'!$L910=""),"",IF(AND(J$8&lt;='Detalle'!$K910,J$9&gt;='Detalle'!$J910),1,""))</x:f>
      </x:c>
      <x:c r="K1873" s="32" t="str">
        <x:f>IF(OR('Detalle'!$J910="",'Detalle'!$K910="",'Detalle'!$L910=""),"",IF(AND(K$8&lt;='Detalle'!$K910,K$9&gt;='Detalle'!$J910),1,""))</x:f>
      </x:c>
      <x:c r="L1873" s="32" t="str">
        <x:f>IF(OR('Detalle'!$J910="",'Detalle'!$K910="",'Detalle'!$L910=""),"",IF(AND(L$8&lt;='Detalle'!$K910,L$9&gt;='Detalle'!$J910),1,""))</x:f>
      </x:c>
      <x:c r="M1873" s="32" t="str">
        <x:f>IF(OR('Detalle'!$J910="",'Detalle'!$K910="",'Detalle'!$L910=""),"",IF(AND(M$8&lt;='Detalle'!$K910,M$9&gt;='Detalle'!$J910),1,""))</x:f>
      </x:c>
      <x:c r="N1873" s="32" t="str">
        <x:f>IF(OR('Detalle'!$J910="",'Detalle'!$K910="",'Detalle'!$L910=""),"",IF(AND(N$8&lt;='Detalle'!$K910,N$9&gt;='Detalle'!$J910),1,""))</x:f>
      </x:c>
      <x:c r="O1873" s="32" t="str">
        <x:f>IF(OR('Detalle'!$J910="",'Detalle'!$K910="",'Detalle'!$L910=""),"",IF(AND(O$8&lt;='Detalle'!$K910,O$9&gt;='Detalle'!$J910),1,""))</x:f>
      </x:c>
      <x:c r="P1873" s="32" t="str">
        <x:f>IF(OR('Detalle'!$J910="",'Detalle'!$K910="",'Detalle'!$L910=""),"",IF(AND(P$8&lt;='Detalle'!$K910,P$9&gt;='Detalle'!$J910),1,""))</x:f>
      </x:c>
      <x:c r="Q1873" s="68"/>
      <x:c r="R1873" s="67" t="str"/>
      <x:c r="S1873" s="67" t="str"/>
    </x:row>
    <x:row r="1874" ht="16" customHeight="1">
      <x:c r="A1874" s="56" t="str">
        <x:v>QA03.002</x:v>
      </x:c>
      <x:c r="B1874" s="57" t="str">
        <x:v>Probar recuperación de permiso desde ajustes</x:v>
      </x:c>
      <x:c r="C1874" s="62" t="str">
        <x:v>E</x:v>
      </x:c>
      <x:c r="D1874" s="64" t="n">
        <x:f>'Detalle'!I911</x:f>
        <x:v>1</x:v>
      </x:c>
      <x:c r="E1874" s="60" t="str">
        <x:f>'Detalle'!F911</x:f>
        <x:v>Pendiente</x:v>
      </x:c>
      <x:c r="F1874" s="32" t="str">
        <x:f>IF(AND(F$8&lt;='Detalle'!$H911,F$9&gt;='Detalle'!$G911),1,"")</x:f>
      </x:c>
      <x:c r="G1874" s="32" t="str">
        <x:f>IF(AND(G$8&lt;='Detalle'!$H911,G$9&gt;='Detalle'!$G911),1,"")</x:f>
      </x:c>
      <x:c r="H1874" s="32" t="str">
        <x:f>IF(AND(H$8&lt;='Detalle'!$H911,H$9&gt;='Detalle'!$G911),1,"")</x:f>
      </x:c>
      <x:c r="I1874" s="32" t="str">
        <x:f>IF(AND(I$8&lt;='Detalle'!$H911,I$9&gt;='Detalle'!$G911),1,"")</x:f>
      </x:c>
      <x:c r="J1874" s="32" t="str">
        <x:f>IF(AND(J$8&lt;='Detalle'!$H911,J$9&gt;='Detalle'!$G911),1,"")</x:f>
      </x:c>
      <x:c r="K1874" s="32" t="str">
        <x:f>IF(AND(K$8&lt;='Detalle'!$H911,K$9&gt;='Detalle'!$G911),1,"")</x:f>
      </x:c>
      <x:c r="L1874" s="32" t="str">
        <x:f>IF(AND(L$8&lt;='Detalle'!$H911,L$9&gt;='Detalle'!$G911),1,"")</x:f>
      </x:c>
      <x:c r="M1874" s="32" t="str">
        <x:f>IF(AND(M$8&lt;='Detalle'!$H911,M$9&gt;='Detalle'!$G911),1,"")</x:f>
      </x:c>
      <x:c r="N1874" s="32" t="n">
        <x:f>IF(AND(N$8&lt;='Detalle'!$H911,N$9&gt;='Detalle'!$G911),1,"")</x:f>
        <x:v>1</x:v>
      </x:c>
      <x:c r="O1874" s="32" t="str">
        <x:f>IF(AND(O$8&lt;='Detalle'!$H911,O$9&gt;='Detalle'!$G911),1,"")</x:f>
      </x:c>
      <x:c r="P1874" s="32" t="str">
        <x:f>IF(AND(P$8&lt;='Detalle'!$H911,P$9&gt;='Detalle'!$G911),1,"")</x:f>
      </x:c>
      <x:c r="Q1874" s="68"/>
      <x:c r="R1874" s="67" t="str">
        <x:f>IF('Detalle'!M911="","",'Detalle'!M911)</x:f>
      </x:c>
      <x:c r="S1874" s="67" t="str">
        <x:f>IF('Detalle'!N911="","",'Detalle'!N911)</x:f>
      </x:c>
    </x:row>
    <x:row r="1875" ht="16" customHeight="1">
      <x:c r="A1875" s="56" t="str">
        <x:v>QA03.002</x:v>
      </x:c>
      <x:c r="B1875" s="57" t="str">
        <x:v>Probar recuperación de permiso desde ajustes</x:v>
      </x:c>
      <x:c r="C1875" s="63" t="str">
        <x:v>R</x:v>
      </x:c>
      <x:c r="D1875" s="65" t="str">
        <x:f>IF('Detalle'!L911="","",'Detalle'!L911)</x:f>
      </x:c>
      <x:c r="E1875" s="60" t="str"/>
      <x:c r="F1875" s="32" t="str">
        <x:f>IF(OR('Detalle'!$J911="",'Detalle'!$K911="",'Detalle'!$L911=""),"",IF(AND(F$8&lt;='Detalle'!$K911,F$9&gt;='Detalle'!$J911),1,""))</x:f>
      </x:c>
      <x:c r="G1875" s="32" t="str">
        <x:f>IF(OR('Detalle'!$J911="",'Detalle'!$K911="",'Detalle'!$L911=""),"",IF(AND(G$8&lt;='Detalle'!$K911,G$9&gt;='Detalle'!$J911),1,""))</x:f>
      </x:c>
      <x:c r="H1875" s="32" t="str">
        <x:f>IF(OR('Detalle'!$J911="",'Detalle'!$K911="",'Detalle'!$L911=""),"",IF(AND(H$8&lt;='Detalle'!$K911,H$9&gt;='Detalle'!$J911),1,""))</x:f>
      </x:c>
      <x:c r="I1875" s="32" t="str">
        <x:f>IF(OR('Detalle'!$J911="",'Detalle'!$K911="",'Detalle'!$L911=""),"",IF(AND(I$8&lt;='Detalle'!$K911,I$9&gt;='Detalle'!$J911),1,""))</x:f>
      </x:c>
      <x:c r="J1875" s="32" t="str">
        <x:f>IF(OR('Detalle'!$J911="",'Detalle'!$K911="",'Detalle'!$L911=""),"",IF(AND(J$8&lt;='Detalle'!$K911,J$9&gt;='Detalle'!$J911),1,""))</x:f>
      </x:c>
      <x:c r="K1875" s="32" t="str">
        <x:f>IF(OR('Detalle'!$J911="",'Detalle'!$K911="",'Detalle'!$L911=""),"",IF(AND(K$8&lt;='Detalle'!$K911,K$9&gt;='Detalle'!$J911),1,""))</x:f>
      </x:c>
      <x:c r="L1875" s="32" t="str">
        <x:f>IF(OR('Detalle'!$J911="",'Detalle'!$K911="",'Detalle'!$L911=""),"",IF(AND(L$8&lt;='Detalle'!$K911,L$9&gt;='Detalle'!$J911),1,""))</x:f>
      </x:c>
      <x:c r="M1875" s="32" t="str">
        <x:f>IF(OR('Detalle'!$J911="",'Detalle'!$K911="",'Detalle'!$L911=""),"",IF(AND(M$8&lt;='Detalle'!$K911,M$9&gt;='Detalle'!$J911),1,""))</x:f>
      </x:c>
      <x:c r="N1875" s="32" t="str">
        <x:f>IF(OR('Detalle'!$J911="",'Detalle'!$K911="",'Detalle'!$L911=""),"",IF(AND(N$8&lt;='Detalle'!$K911,N$9&gt;='Detalle'!$J911),1,""))</x:f>
      </x:c>
      <x:c r="O1875" s="32" t="str">
        <x:f>IF(OR('Detalle'!$J911="",'Detalle'!$K911="",'Detalle'!$L911=""),"",IF(AND(O$8&lt;='Detalle'!$K911,O$9&gt;='Detalle'!$J911),1,""))</x:f>
      </x:c>
      <x:c r="P1875" s="32" t="str">
        <x:f>IF(OR('Detalle'!$J911="",'Detalle'!$K911="",'Detalle'!$L911=""),"",IF(AND(P$8&lt;='Detalle'!$K911,P$9&gt;='Detalle'!$J911),1,""))</x:f>
      </x:c>
      <x:c r="Q1875" s="68"/>
      <x:c r="R1875" s="67" t="str"/>
      <x:c r="S1875" s="67" t="str"/>
    </x:row>
    <x:row r="1876" ht="16" customHeight="1">
      <x:c r="A1876" s="56" t="str">
        <x:v>QA03.003</x:v>
      </x:c>
      <x:c r="B1876" s="57" t="str">
        <x:v>Probar cambio de cuenta con push físico</x:v>
      </x:c>
      <x:c r="C1876" s="62" t="str">
        <x:v>E</x:v>
      </x:c>
      <x:c r="D1876" s="64" t="n">
        <x:f>'Detalle'!I912</x:f>
        <x:v>1</x:v>
      </x:c>
      <x:c r="E1876" s="60" t="str">
        <x:f>'Detalle'!F912</x:f>
        <x:v>Pendiente</x:v>
      </x:c>
      <x:c r="F1876" s="32" t="str">
        <x:f>IF(AND(F$8&lt;='Detalle'!$H912,F$9&gt;='Detalle'!$G912),1,"")</x:f>
      </x:c>
      <x:c r="G1876" s="32" t="str">
        <x:f>IF(AND(G$8&lt;='Detalle'!$H912,G$9&gt;='Detalle'!$G912),1,"")</x:f>
      </x:c>
      <x:c r="H1876" s="32" t="str">
        <x:f>IF(AND(H$8&lt;='Detalle'!$H912,H$9&gt;='Detalle'!$G912),1,"")</x:f>
      </x:c>
      <x:c r="I1876" s="32" t="str">
        <x:f>IF(AND(I$8&lt;='Detalle'!$H912,I$9&gt;='Detalle'!$G912),1,"")</x:f>
      </x:c>
      <x:c r="J1876" s="32" t="str">
        <x:f>IF(AND(J$8&lt;='Detalle'!$H912,J$9&gt;='Detalle'!$G912),1,"")</x:f>
      </x:c>
      <x:c r="K1876" s="32" t="str">
        <x:f>IF(AND(K$8&lt;='Detalle'!$H912,K$9&gt;='Detalle'!$G912),1,"")</x:f>
      </x:c>
      <x:c r="L1876" s="32" t="str">
        <x:f>IF(AND(L$8&lt;='Detalle'!$H912,L$9&gt;='Detalle'!$G912),1,"")</x:f>
      </x:c>
      <x:c r="M1876" s="32" t="str">
        <x:f>IF(AND(M$8&lt;='Detalle'!$H912,M$9&gt;='Detalle'!$G912),1,"")</x:f>
      </x:c>
      <x:c r="N1876" s="32" t="n">
        <x:f>IF(AND(N$8&lt;='Detalle'!$H912,N$9&gt;='Detalle'!$G912),1,"")</x:f>
        <x:v>1</x:v>
      </x:c>
      <x:c r="O1876" s="32" t="str">
        <x:f>IF(AND(O$8&lt;='Detalle'!$H912,O$9&gt;='Detalle'!$G912),1,"")</x:f>
      </x:c>
      <x:c r="P1876" s="32" t="str">
        <x:f>IF(AND(P$8&lt;='Detalle'!$H912,P$9&gt;='Detalle'!$G912),1,"")</x:f>
      </x:c>
      <x:c r="Q1876" s="68"/>
      <x:c r="R1876" s="67" t="str">
        <x:f>IF('Detalle'!M912="","",'Detalle'!M912)</x:f>
      </x:c>
      <x:c r="S1876" s="67" t="str">
        <x:f>IF('Detalle'!N912="","",'Detalle'!N912)</x:f>
      </x:c>
    </x:row>
    <x:row r="1877" ht="16" customHeight="1">
      <x:c r="A1877" s="56" t="str">
        <x:v>QA03.003</x:v>
      </x:c>
      <x:c r="B1877" s="57" t="str">
        <x:v>Probar cambio de cuenta con push físico</x:v>
      </x:c>
      <x:c r="C1877" s="63" t="str">
        <x:v>R</x:v>
      </x:c>
      <x:c r="D1877" s="65" t="str">
        <x:f>IF('Detalle'!L912="","",'Detalle'!L912)</x:f>
      </x:c>
      <x:c r="E1877" s="60" t="str"/>
      <x:c r="F1877" s="32" t="str">
        <x:f>IF(OR('Detalle'!$J912="",'Detalle'!$K912="",'Detalle'!$L912=""),"",IF(AND(F$8&lt;='Detalle'!$K912,F$9&gt;='Detalle'!$J912),1,""))</x:f>
      </x:c>
      <x:c r="G1877" s="32" t="str">
        <x:f>IF(OR('Detalle'!$J912="",'Detalle'!$K912="",'Detalle'!$L912=""),"",IF(AND(G$8&lt;='Detalle'!$K912,G$9&gt;='Detalle'!$J912),1,""))</x:f>
      </x:c>
      <x:c r="H1877" s="32" t="str">
        <x:f>IF(OR('Detalle'!$J912="",'Detalle'!$K912="",'Detalle'!$L912=""),"",IF(AND(H$8&lt;='Detalle'!$K912,H$9&gt;='Detalle'!$J912),1,""))</x:f>
      </x:c>
      <x:c r="I1877" s="32" t="str">
        <x:f>IF(OR('Detalle'!$J912="",'Detalle'!$K912="",'Detalle'!$L912=""),"",IF(AND(I$8&lt;='Detalle'!$K912,I$9&gt;='Detalle'!$J912),1,""))</x:f>
      </x:c>
      <x:c r="J1877" s="32" t="str">
        <x:f>IF(OR('Detalle'!$J912="",'Detalle'!$K912="",'Detalle'!$L912=""),"",IF(AND(J$8&lt;='Detalle'!$K912,J$9&gt;='Detalle'!$J912),1,""))</x:f>
      </x:c>
      <x:c r="K1877" s="32" t="str">
        <x:f>IF(OR('Detalle'!$J912="",'Detalle'!$K912="",'Detalle'!$L912=""),"",IF(AND(K$8&lt;='Detalle'!$K912,K$9&gt;='Detalle'!$J912),1,""))</x:f>
      </x:c>
      <x:c r="L1877" s="32" t="str">
        <x:f>IF(OR('Detalle'!$J912="",'Detalle'!$K912="",'Detalle'!$L912=""),"",IF(AND(L$8&lt;='Detalle'!$K912,L$9&gt;='Detalle'!$J912),1,""))</x:f>
      </x:c>
      <x:c r="M1877" s="32" t="str">
        <x:f>IF(OR('Detalle'!$J912="",'Detalle'!$K912="",'Detalle'!$L912=""),"",IF(AND(M$8&lt;='Detalle'!$K912,M$9&gt;='Detalle'!$J912),1,""))</x:f>
      </x:c>
      <x:c r="N1877" s="32" t="str">
        <x:f>IF(OR('Detalle'!$J912="",'Detalle'!$K912="",'Detalle'!$L912=""),"",IF(AND(N$8&lt;='Detalle'!$K912,N$9&gt;='Detalle'!$J912),1,""))</x:f>
      </x:c>
      <x:c r="O1877" s="32" t="str">
        <x:f>IF(OR('Detalle'!$J912="",'Detalle'!$K912="",'Detalle'!$L912=""),"",IF(AND(O$8&lt;='Detalle'!$K912,O$9&gt;='Detalle'!$J912),1,""))</x:f>
      </x:c>
      <x:c r="P1877" s="32" t="str">
        <x:f>IF(OR('Detalle'!$J912="",'Detalle'!$K912="",'Detalle'!$L912=""),"",IF(AND(P$8&lt;='Detalle'!$K912,P$9&gt;='Detalle'!$J912),1,""))</x:f>
      </x:c>
      <x:c r="Q1877" s="68"/>
      <x:c r="R1877" s="67" t="str"/>
      <x:c r="S1877" s="67" t="str"/>
    </x:row>
    <x:row r="1878" ht="16" customHeight="1">
      <x:c r="A1878" s="56" t="str">
        <x:v>QA03.004</x:v>
      </x:c>
      <x:c r="B1878" s="57" t="str">
        <x:v>Probar renovación real del token</x:v>
      </x:c>
      <x:c r="C1878" s="62" t="str">
        <x:v>E</x:v>
      </x:c>
      <x:c r="D1878" s="64" t="n">
        <x:f>'Detalle'!I913</x:f>
        <x:v>1</x:v>
      </x:c>
      <x:c r="E1878" s="60" t="str">
        <x:f>'Detalle'!F913</x:f>
        <x:v>Pendiente</x:v>
      </x:c>
      <x:c r="F1878" s="32" t="str">
        <x:f>IF(AND(F$8&lt;='Detalle'!$H913,F$9&gt;='Detalle'!$G913),1,"")</x:f>
      </x:c>
      <x:c r="G1878" s="32" t="str">
        <x:f>IF(AND(G$8&lt;='Detalle'!$H913,G$9&gt;='Detalle'!$G913),1,"")</x:f>
      </x:c>
      <x:c r="H1878" s="32" t="str">
        <x:f>IF(AND(H$8&lt;='Detalle'!$H913,H$9&gt;='Detalle'!$G913),1,"")</x:f>
      </x:c>
      <x:c r="I1878" s="32" t="str">
        <x:f>IF(AND(I$8&lt;='Detalle'!$H913,I$9&gt;='Detalle'!$G913),1,"")</x:f>
      </x:c>
      <x:c r="J1878" s="32" t="str">
        <x:f>IF(AND(J$8&lt;='Detalle'!$H913,J$9&gt;='Detalle'!$G913),1,"")</x:f>
      </x:c>
      <x:c r="K1878" s="32" t="str">
        <x:f>IF(AND(K$8&lt;='Detalle'!$H913,K$9&gt;='Detalle'!$G913),1,"")</x:f>
      </x:c>
      <x:c r="L1878" s="32" t="str">
        <x:f>IF(AND(L$8&lt;='Detalle'!$H913,L$9&gt;='Detalle'!$G913),1,"")</x:f>
      </x:c>
      <x:c r="M1878" s="32" t="str">
        <x:f>IF(AND(M$8&lt;='Detalle'!$H913,M$9&gt;='Detalle'!$G913),1,"")</x:f>
      </x:c>
      <x:c r="N1878" s="32" t="n">
        <x:f>IF(AND(N$8&lt;='Detalle'!$H913,N$9&gt;='Detalle'!$G913),1,"")</x:f>
        <x:v>1</x:v>
      </x:c>
      <x:c r="O1878" s="32" t="str">
        <x:f>IF(AND(O$8&lt;='Detalle'!$H913,O$9&gt;='Detalle'!$G913),1,"")</x:f>
      </x:c>
      <x:c r="P1878" s="32" t="str">
        <x:f>IF(AND(P$8&lt;='Detalle'!$H913,P$9&gt;='Detalle'!$G913),1,"")</x:f>
      </x:c>
      <x:c r="Q1878" s="68"/>
      <x:c r="R1878" s="67" t="str">
        <x:f>IF('Detalle'!M913="","",'Detalle'!M913)</x:f>
      </x:c>
      <x:c r="S1878" s="67" t="str">
        <x:f>IF('Detalle'!N913="","",'Detalle'!N913)</x:f>
      </x:c>
    </x:row>
    <x:row r="1879" ht="16" customHeight="1">
      <x:c r="A1879" s="56" t="str">
        <x:v>QA03.004</x:v>
      </x:c>
      <x:c r="B1879" s="57" t="str">
        <x:v>Probar renovación real del token</x:v>
      </x:c>
      <x:c r="C1879" s="63" t="str">
        <x:v>R</x:v>
      </x:c>
      <x:c r="D1879" s="65" t="str">
        <x:f>IF('Detalle'!L913="","",'Detalle'!L913)</x:f>
      </x:c>
      <x:c r="E1879" s="60" t="str"/>
      <x:c r="F1879" s="32" t="str">
        <x:f>IF(OR('Detalle'!$J913="",'Detalle'!$K913="",'Detalle'!$L913=""),"",IF(AND(F$8&lt;='Detalle'!$K913,F$9&gt;='Detalle'!$J913),1,""))</x:f>
      </x:c>
      <x:c r="G1879" s="32" t="str">
        <x:f>IF(OR('Detalle'!$J913="",'Detalle'!$K913="",'Detalle'!$L913=""),"",IF(AND(G$8&lt;='Detalle'!$K913,G$9&gt;='Detalle'!$J913),1,""))</x:f>
      </x:c>
      <x:c r="H1879" s="32" t="str">
        <x:f>IF(OR('Detalle'!$J913="",'Detalle'!$K913="",'Detalle'!$L913=""),"",IF(AND(H$8&lt;='Detalle'!$K913,H$9&gt;='Detalle'!$J913),1,""))</x:f>
      </x:c>
      <x:c r="I1879" s="32" t="str">
        <x:f>IF(OR('Detalle'!$J913="",'Detalle'!$K913="",'Detalle'!$L913=""),"",IF(AND(I$8&lt;='Detalle'!$K913,I$9&gt;='Detalle'!$J913),1,""))</x:f>
      </x:c>
      <x:c r="J1879" s="32" t="str">
        <x:f>IF(OR('Detalle'!$J913="",'Detalle'!$K913="",'Detalle'!$L913=""),"",IF(AND(J$8&lt;='Detalle'!$K913,J$9&gt;='Detalle'!$J913),1,""))</x:f>
      </x:c>
      <x:c r="K1879" s="32" t="str">
        <x:f>IF(OR('Detalle'!$J913="",'Detalle'!$K913="",'Detalle'!$L913=""),"",IF(AND(K$8&lt;='Detalle'!$K913,K$9&gt;='Detalle'!$J913),1,""))</x:f>
      </x:c>
      <x:c r="L1879" s="32" t="str">
        <x:f>IF(OR('Detalle'!$J913="",'Detalle'!$K913="",'Detalle'!$L913=""),"",IF(AND(L$8&lt;='Detalle'!$K913,L$9&gt;='Detalle'!$J913),1,""))</x:f>
      </x:c>
      <x:c r="M1879" s="32" t="str">
        <x:f>IF(OR('Detalle'!$J913="",'Detalle'!$K913="",'Detalle'!$L913=""),"",IF(AND(M$8&lt;='Detalle'!$K913,M$9&gt;='Detalle'!$J913),1,""))</x:f>
      </x:c>
      <x:c r="N1879" s="32" t="str">
        <x:f>IF(OR('Detalle'!$J913="",'Detalle'!$K913="",'Detalle'!$L913=""),"",IF(AND(N$8&lt;='Detalle'!$K913,N$9&gt;='Detalle'!$J913),1,""))</x:f>
      </x:c>
      <x:c r="O1879" s="32" t="str">
        <x:f>IF(OR('Detalle'!$J913="",'Detalle'!$K913="",'Detalle'!$L913=""),"",IF(AND(O$8&lt;='Detalle'!$K913,O$9&gt;='Detalle'!$J913),1,""))</x:f>
      </x:c>
      <x:c r="P1879" s="32" t="str">
        <x:f>IF(OR('Detalle'!$J913="",'Detalle'!$K913="",'Detalle'!$L913=""),"",IF(AND(P$8&lt;='Detalle'!$K913,P$9&gt;='Detalle'!$J913),1,""))</x:f>
      </x:c>
      <x:c r="Q1879" s="68"/>
      <x:c r="R1879" s="67" t="str"/>
      <x:c r="S1879" s="67" t="str"/>
    </x:row>
    <x:row r="1880" ht="16" customHeight="1">
      <x:c r="A1880" s="56" t="str">
        <x:v>QA03.005</x:v>
      </x:c>
      <x:c r="B1880" s="57" t="str">
        <x:v>Probar logout sin conexión en teléfono</x:v>
      </x:c>
      <x:c r="C1880" s="62" t="str">
        <x:v>E</x:v>
      </x:c>
      <x:c r="D1880" s="64" t="n">
        <x:f>'Detalle'!I914</x:f>
        <x:v>1</x:v>
      </x:c>
      <x:c r="E1880" s="60" t="str">
        <x:f>'Detalle'!F914</x:f>
        <x:v>Pendiente</x:v>
      </x:c>
      <x:c r="F1880" s="32" t="str">
        <x:f>IF(AND(F$8&lt;='Detalle'!$H914,F$9&gt;='Detalle'!$G914),1,"")</x:f>
      </x:c>
      <x:c r="G1880" s="32" t="str">
        <x:f>IF(AND(G$8&lt;='Detalle'!$H914,G$9&gt;='Detalle'!$G914),1,"")</x:f>
      </x:c>
      <x:c r="H1880" s="32" t="str">
        <x:f>IF(AND(H$8&lt;='Detalle'!$H914,H$9&gt;='Detalle'!$G914),1,"")</x:f>
      </x:c>
      <x:c r="I1880" s="32" t="str">
        <x:f>IF(AND(I$8&lt;='Detalle'!$H914,I$9&gt;='Detalle'!$G914),1,"")</x:f>
      </x:c>
      <x:c r="J1880" s="32" t="str">
        <x:f>IF(AND(J$8&lt;='Detalle'!$H914,J$9&gt;='Detalle'!$G914),1,"")</x:f>
      </x:c>
      <x:c r="K1880" s="32" t="str">
        <x:f>IF(AND(K$8&lt;='Detalle'!$H914,K$9&gt;='Detalle'!$G914),1,"")</x:f>
      </x:c>
      <x:c r="L1880" s="32" t="str">
        <x:f>IF(AND(L$8&lt;='Detalle'!$H914,L$9&gt;='Detalle'!$G914),1,"")</x:f>
      </x:c>
      <x:c r="M1880" s="32" t="str">
        <x:f>IF(AND(M$8&lt;='Detalle'!$H914,M$9&gt;='Detalle'!$G914),1,"")</x:f>
      </x:c>
      <x:c r="N1880" s="32" t="n">
        <x:f>IF(AND(N$8&lt;='Detalle'!$H914,N$9&gt;='Detalle'!$G914),1,"")</x:f>
        <x:v>1</x:v>
      </x:c>
      <x:c r="O1880" s="32" t="str">
        <x:f>IF(AND(O$8&lt;='Detalle'!$H914,O$9&gt;='Detalle'!$G914),1,"")</x:f>
      </x:c>
      <x:c r="P1880" s="32" t="str">
        <x:f>IF(AND(P$8&lt;='Detalle'!$H914,P$9&gt;='Detalle'!$G914),1,"")</x:f>
      </x:c>
      <x:c r="Q1880" s="68"/>
      <x:c r="R1880" s="67" t="str">
        <x:f>IF('Detalle'!M914="","",'Detalle'!M914)</x:f>
      </x:c>
      <x:c r="S1880" s="67" t="str">
        <x:f>IF('Detalle'!N914="","",'Detalle'!N914)</x:f>
      </x:c>
    </x:row>
    <x:row r="1881" ht="16" customHeight="1">
      <x:c r="A1881" s="56" t="str">
        <x:v>QA03.005</x:v>
      </x:c>
      <x:c r="B1881" s="57" t="str">
        <x:v>Probar logout sin conexión en teléfono</x:v>
      </x:c>
      <x:c r="C1881" s="63" t="str">
        <x:v>R</x:v>
      </x:c>
      <x:c r="D1881" s="65" t="str">
        <x:f>IF('Detalle'!L914="","",'Detalle'!L914)</x:f>
      </x:c>
      <x:c r="E1881" s="60" t="str"/>
      <x:c r="F1881" s="32" t="str">
        <x:f>IF(OR('Detalle'!$J914="",'Detalle'!$K914="",'Detalle'!$L914=""),"",IF(AND(F$8&lt;='Detalle'!$K914,F$9&gt;='Detalle'!$J914),1,""))</x:f>
      </x:c>
      <x:c r="G1881" s="32" t="str">
        <x:f>IF(OR('Detalle'!$J914="",'Detalle'!$K914="",'Detalle'!$L914=""),"",IF(AND(G$8&lt;='Detalle'!$K914,G$9&gt;='Detalle'!$J914),1,""))</x:f>
      </x:c>
      <x:c r="H1881" s="32" t="str">
        <x:f>IF(OR('Detalle'!$J914="",'Detalle'!$K914="",'Detalle'!$L914=""),"",IF(AND(H$8&lt;='Detalle'!$K914,H$9&gt;='Detalle'!$J914),1,""))</x:f>
      </x:c>
      <x:c r="I1881" s="32" t="str">
        <x:f>IF(OR('Detalle'!$J914="",'Detalle'!$K914="",'Detalle'!$L914=""),"",IF(AND(I$8&lt;='Detalle'!$K914,I$9&gt;='Detalle'!$J914),1,""))</x:f>
      </x:c>
      <x:c r="J1881" s="32" t="str">
        <x:f>IF(OR('Detalle'!$J914="",'Detalle'!$K914="",'Detalle'!$L914=""),"",IF(AND(J$8&lt;='Detalle'!$K914,J$9&gt;='Detalle'!$J914),1,""))</x:f>
      </x:c>
      <x:c r="K1881" s="32" t="str">
        <x:f>IF(OR('Detalle'!$J914="",'Detalle'!$K914="",'Detalle'!$L914=""),"",IF(AND(K$8&lt;='Detalle'!$K914,K$9&gt;='Detalle'!$J914),1,""))</x:f>
      </x:c>
      <x:c r="L1881" s="32" t="str">
        <x:f>IF(OR('Detalle'!$J914="",'Detalle'!$K914="",'Detalle'!$L914=""),"",IF(AND(L$8&lt;='Detalle'!$K914,L$9&gt;='Detalle'!$J914),1,""))</x:f>
      </x:c>
      <x:c r="M1881" s="32" t="str">
        <x:f>IF(OR('Detalle'!$J914="",'Detalle'!$K914="",'Detalle'!$L914=""),"",IF(AND(M$8&lt;='Detalle'!$K914,M$9&gt;='Detalle'!$J914),1,""))</x:f>
      </x:c>
      <x:c r="N1881" s="32" t="str">
        <x:f>IF(OR('Detalle'!$J914="",'Detalle'!$K914="",'Detalle'!$L914=""),"",IF(AND(N$8&lt;='Detalle'!$K914,N$9&gt;='Detalle'!$J914),1,""))</x:f>
      </x:c>
      <x:c r="O1881" s="32" t="str">
        <x:f>IF(OR('Detalle'!$J914="",'Detalle'!$K914="",'Detalle'!$L914=""),"",IF(AND(O$8&lt;='Detalle'!$K914,O$9&gt;='Detalle'!$J914),1,""))</x:f>
      </x:c>
      <x:c r="P1881" s="32" t="str">
        <x:f>IF(OR('Detalle'!$J914="",'Detalle'!$K914="",'Detalle'!$L914=""),"",IF(AND(P$8&lt;='Detalle'!$K914,P$9&gt;='Detalle'!$J914),1,""))</x:f>
      </x:c>
      <x:c r="Q1881" s="68"/>
      <x:c r="R1881" s="67" t="str"/>
      <x:c r="S1881" s="67" t="str"/>
    </x:row>
    <x:row r="1882" ht="16" customHeight="1">
      <x:c r="A1882" s="56" t="str">
        <x:v>QA03.006</x:v>
      </x:c>
      <x:c r="B1882" s="57" t="str">
        <x:v>Probar contenido eliminado desde aviso</x:v>
      </x:c>
      <x:c r="C1882" s="62" t="str">
        <x:v>E</x:v>
      </x:c>
      <x:c r="D1882" s="64" t="n">
        <x:f>'Detalle'!I915</x:f>
        <x:v>1</x:v>
      </x:c>
      <x:c r="E1882" s="60" t="str">
        <x:f>'Detalle'!F915</x:f>
        <x:v>Pendiente</x:v>
      </x:c>
      <x:c r="F1882" s="32" t="str">
        <x:f>IF(AND(F$8&lt;='Detalle'!$H915,F$9&gt;='Detalle'!$G915),1,"")</x:f>
      </x:c>
      <x:c r="G1882" s="32" t="str">
        <x:f>IF(AND(G$8&lt;='Detalle'!$H915,G$9&gt;='Detalle'!$G915),1,"")</x:f>
      </x:c>
      <x:c r="H1882" s="32" t="str">
        <x:f>IF(AND(H$8&lt;='Detalle'!$H915,H$9&gt;='Detalle'!$G915),1,"")</x:f>
      </x:c>
      <x:c r="I1882" s="32" t="str">
        <x:f>IF(AND(I$8&lt;='Detalle'!$H915,I$9&gt;='Detalle'!$G915),1,"")</x:f>
      </x:c>
      <x:c r="J1882" s="32" t="str">
        <x:f>IF(AND(J$8&lt;='Detalle'!$H915,J$9&gt;='Detalle'!$G915),1,"")</x:f>
      </x:c>
      <x:c r="K1882" s="32" t="str">
        <x:f>IF(AND(K$8&lt;='Detalle'!$H915,K$9&gt;='Detalle'!$G915),1,"")</x:f>
      </x:c>
      <x:c r="L1882" s="32" t="str">
        <x:f>IF(AND(L$8&lt;='Detalle'!$H915,L$9&gt;='Detalle'!$G915),1,"")</x:f>
      </x:c>
      <x:c r="M1882" s="32" t="str">
        <x:f>IF(AND(M$8&lt;='Detalle'!$H915,M$9&gt;='Detalle'!$G915),1,"")</x:f>
      </x:c>
      <x:c r="N1882" s="32" t="n">
        <x:f>IF(AND(N$8&lt;='Detalle'!$H915,N$9&gt;='Detalle'!$G915),1,"")</x:f>
        <x:v>1</x:v>
      </x:c>
      <x:c r="O1882" s="32" t="str">
        <x:f>IF(AND(O$8&lt;='Detalle'!$H915,O$9&gt;='Detalle'!$G915),1,"")</x:f>
      </x:c>
      <x:c r="P1882" s="32" t="str">
        <x:f>IF(AND(P$8&lt;='Detalle'!$H915,P$9&gt;='Detalle'!$G915),1,"")</x:f>
      </x:c>
      <x:c r="Q1882" s="68"/>
      <x:c r="R1882" s="67" t="str">
        <x:f>IF('Detalle'!M915="","",'Detalle'!M915)</x:f>
      </x:c>
      <x:c r="S1882" s="67" t="str">
        <x:f>IF('Detalle'!N915="","",'Detalle'!N915)</x:f>
      </x:c>
    </x:row>
    <x:row r="1883" ht="16" customHeight="1">
      <x:c r="A1883" s="56" t="str">
        <x:v>QA03.006</x:v>
      </x:c>
      <x:c r="B1883" s="57" t="str">
        <x:v>Probar contenido eliminado desde aviso</x:v>
      </x:c>
      <x:c r="C1883" s="63" t="str">
        <x:v>R</x:v>
      </x:c>
      <x:c r="D1883" s="65" t="str">
        <x:f>IF('Detalle'!L915="","",'Detalle'!L915)</x:f>
      </x:c>
      <x:c r="E1883" s="60" t="str"/>
      <x:c r="F1883" s="32" t="str">
        <x:f>IF(OR('Detalle'!$J915="",'Detalle'!$K915="",'Detalle'!$L915=""),"",IF(AND(F$8&lt;='Detalle'!$K915,F$9&gt;='Detalle'!$J915),1,""))</x:f>
      </x:c>
      <x:c r="G1883" s="32" t="str">
        <x:f>IF(OR('Detalle'!$J915="",'Detalle'!$K915="",'Detalle'!$L915=""),"",IF(AND(G$8&lt;='Detalle'!$K915,G$9&gt;='Detalle'!$J915),1,""))</x:f>
      </x:c>
      <x:c r="H1883" s="32" t="str">
        <x:f>IF(OR('Detalle'!$J915="",'Detalle'!$K915="",'Detalle'!$L915=""),"",IF(AND(H$8&lt;='Detalle'!$K915,H$9&gt;='Detalle'!$J915),1,""))</x:f>
      </x:c>
      <x:c r="I1883" s="32" t="str">
        <x:f>IF(OR('Detalle'!$J915="",'Detalle'!$K915="",'Detalle'!$L915=""),"",IF(AND(I$8&lt;='Detalle'!$K915,I$9&gt;='Detalle'!$J915),1,""))</x:f>
      </x:c>
      <x:c r="J1883" s="32" t="str">
        <x:f>IF(OR('Detalle'!$J915="",'Detalle'!$K915="",'Detalle'!$L915=""),"",IF(AND(J$8&lt;='Detalle'!$K915,J$9&gt;='Detalle'!$J915),1,""))</x:f>
      </x:c>
      <x:c r="K1883" s="32" t="str">
        <x:f>IF(OR('Detalle'!$J915="",'Detalle'!$K915="",'Detalle'!$L915=""),"",IF(AND(K$8&lt;='Detalle'!$K915,K$9&gt;='Detalle'!$J915),1,""))</x:f>
      </x:c>
      <x:c r="L1883" s="32" t="str">
        <x:f>IF(OR('Detalle'!$J915="",'Detalle'!$K915="",'Detalle'!$L915=""),"",IF(AND(L$8&lt;='Detalle'!$K915,L$9&gt;='Detalle'!$J915),1,""))</x:f>
      </x:c>
      <x:c r="M1883" s="32" t="str">
        <x:f>IF(OR('Detalle'!$J915="",'Detalle'!$K915="",'Detalle'!$L915=""),"",IF(AND(M$8&lt;='Detalle'!$K915,M$9&gt;='Detalle'!$J915),1,""))</x:f>
      </x:c>
      <x:c r="N1883" s="32" t="str">
        <x:f>IF(OR('Detalle'!$J915="",'Detalle'!$K915="",'Detalle'!$L915=""),"",IF(AND(N$8&lt;='Detalle'!$K915,N$9&gt;='Detalle'!$J915),1,""))</x:f>
      </x:c>
      <x:c r="O1883" s="32" t="str">
        <x:f>IF(OR('Detalle'!$J915="",'Detalle'!$K915="",'Detalle'!$L915=""),"",IF(AND(O$8&lt;='Detalle'!$K915,O$9&gt;='Detalle'!$J915),1,""))</x:f>
      </x:c>
      <x:c r="P1883" s="32" t="str">
        <x:f>IF(OR('Detalle'!$J915="",'Detalle'!$K915="",'Detalle'!$L915=""),"",IF(AND(P$8&lt;='Detalle'!$K915,P$9&gt;='Detalle'!$J915),1,""))</x:f>
      </x:c>
      <x:c r="Q1883" s="68"/>
      <x:c r="R1883" s="67" t="str"/>
      <x:c r="S1883" s="67" t="str"/>
    </x:row>
    <x:row r="1884" ht="16" customHeight="1">
      <x:c r="A1884" s="56" t="str">
        <x:v>QA03.007</x:v>
      </x:c>
      <x:c r="B1884" s="57" t="str">
        <x:v>Probar preferencias de mensajes ocasionales</x:v>
      </x:c>
      <x:c r="C1884" s="62" t="str">
        <x:v>E</x:v>
      </x:c>
      <x:c r="D1884" s="64" t="n">
        <x:f>'Detalle'!I916</x:f>
        <x:v>1</x:v>
      </x:c>
      <x:c r="E1884" s="60" t="str">
        <x:f>'Detalle'!F916</x:f>
        <x:v>Pendiente</x:v>
      </x:c>
      <x:c r="F1884" s="32" t="str">
        <x:f>IF(AND(F$8&lt;='Detalle'!$H916,F$9&gt;='Detalle'!$G916),1,"")</x:f>
      </x:c>
      <x:c r="G1884" s="32" t="str">
        <x:f>IF(AND(G$8&lt;='Detalle'!$H916,G$9&gt;='Detalle'!$G916),1,"")</x:f>
      </x:c>
      <x:c r="H1884" s="32" t="str">
        <x:f>IF(AND(H$8&lt;='Detalle'!$H916,H$9&gt;='Detalle'!$G916),1,"")</x:f>
      </x:c>
      <x:c r="I1884" s="32" t="str">
        <x:f>IF(AND(I$8&lt;='Detalle'!$H916,I$9&gt;='Detalle'!$G916),1,"")</x:f>
      </x:c>
      <x:c r="J1884" s="32" t="str">
        <x:f>IF(AND(J$8&lt;='Detalle'!$H916,J$9&gt;='Detalle'!$G916),1,"")</x:f>
      </x:c>
      <x:c r="K1884" s="32" t="str">
        <x:f>IF(AND(K$8&lt;='Detalle'!$H916,K$9&gt;='Detalle'!$G916),1,"")</x:f>
      </x:c>
      <x:c r="L1884" s="32" t="str">
        <x:f>IF(AND(L$8&lt;='Detalle'!$H916,L$9&gt;='Detalle'!$G916),1,"")</x:f>
      </x:c>
      <x:c r="M1884" s="32" t="str">
        <x:f>IF(AND(M$8&lt;='Detalle'!$H916,M$9&gt;='Detalle'!$G916),1,"")</x:f>
      </x:c>
      <x:c r="N1884" s="32" t="n">
        <x:f>IF(AND(N$8&lt;='Detalle'!$H916,N$9&gt;='Detalle'!$G916),1,"")</x:f>
        <x:v>1</x:v>
      </x:c>
      <x:c r="O1884" s="32" t="str">
        <x:f>IF(AND(O$8&lt;='Detalle'!$H916,O$9&gt;='Detalle'!$G916),1,"")</x:f>
      </x:c>
      <x:c r="P1884" s="32" t="str">
        <x:f>IF(AND(P$8&lt;='Detalle'!$H916,P$9&gt;='Detalle'!$G916),1,"")</x:f>
      </x:c>
      <x:c r="Q1884" s="68"/>
      <x:c r="R1884" s="67" t="str">
        <x:f>IF('Detalle'!M916="","",'Detalle'!M916)</x:f>
      </x:c>
      <x:c r="S1884" s="67" t="str">
        <x:f>IF('Detalle'!N916="","",'Detalle'!N916)</x:f>
      </x:c>
    </x:row>
    <x:row r="1885" ht="16" customHeight="1">
      <x:c r="A1885" s="56" t="str">
        <x:v>QA03.007</x:v>
      </x:c>
      <x:c r="B1885" s="57" t="str">
        <x:v>Probar preferencias de mensajes ocasionales</x:v>
      </x:c>
      <x:c r="C1885" s="63" t="str">
        <x:v>R</x:v>
      </x:c>
      <x:c r="D1885" s="65" t="str">
        <x:f>IF('Detalle'!L916="","",'Detalle'!L916)</x:f>
      </x:c>
      <x:c r="E1885" s="60" t="str"/>
      <x:c r="F1885" s="32" t="str">
        <x:f>IF(OR('Detalle'!$J916="",'Detalle'!$K916="",'Detalle'!$L916=""),"",IF(AND(F$8&lt;='Detalle'!$K916,F$9&gt;='Detalle'!$J916),1,""))</x:f>
      </x:c>
      <x:c r="G1885" s="32" t="str">
        <x:f>IF(OR('Detalle'!$J916="",'Detalle'!$K916="",'Detalle'!$L916=""),"",IF(AND(G$8&lt;='Detalle'!$K916,G$9&gt;='Detalle'!$J916),1,""))</x:f>
      </x:c>
      <x:c r="H1885" s="32" t="str">
        <x:f>IF(OR('Detalle'!$J916="",'Detalle'!$K916="",'Detalle'!$L916=""),"",IF(AND(H$8&lt;='Detalle'!$K916,H$9&gt;='Detalle'!$J916),1,""))</x:f>
      </x:c>
      <x:c r="I1885" s="32" t="str">
        <x:f>IF(OR('Detalle'!$J916="",'Detalle'!$K916="",'Detalle'!$L916=""),"",IF(AND(I$8&lt;='Detalle'!$K916,I$9&gt;='Detalle'!$J916),1,""))</x:f>
      </x:c>
      <x:c r="J1885" s="32" t="str">
        <x:f>IF(OR('Detalle'!$J916="",'Detalle'!$K916="",'Detalle'!$L916=""),"",IF(AND(J$8&lt;='Detalle'!$K916,J$9&gt;='Detalle'!$J916),1,""))</x:f>
      </x:c>
      <x:c r="K1885" s="32" t="str">
        <x:f>IF(OR('Detalle'!$J916="",'Detalle'!$K916="",'Detalle'!$L916=""),"",IF(AND(K$8&lt;='Detalle'!$K916,K$9&gt;='Detalle'!$J916),1,""))</x:f>
      </x:c>
      <x:c r="L1885" s="32" t="str">
        <x:f>IF(OR('Detalle'!$J916="",'Detalle'!$K916="",'Detalle'!$L916=""),"",IF(AND(L$8&lt;='Detalle'!$K916,L$9&gt;='Detalle'!$J916),1,""))</x:f>
      </x:c>
      <x:c r="M1885" s="32" t="str">
        <x:f>IF(OR('Detalle'!$J916="",'Detalle'!$K916="",'Detalle'!$L916=""),"",IF(AND(M$8&lt;='Detalle'!$K916,M$9&gt;='Detalle'!$J916),1,""))</x:f>
      </x:c>
      <x:c r="N1885" s="32" t="str">
        <x:f>IF(OR('Detalle'!$J916="",'Detalle'!$K916="",'Detalle'!$L916=""),"",IF(AND(N$8&lt;='Detalle'!$K916,N$9&gt;='Detalle'!$J916),1,""))</x:f>
      </x:c>
      <x:c r="O1885" s="32" t="str">
        <x:f>IF(OR('Detalle'!$J916="",'Detalle'!$K916="",'Detalle'!$L916=""),"",IF(AND(O$8&lt;='Detalle'!$K916,O$9&gt;='Detalle'!$J916),1,""))</x:f>
      </x:c>
      <x:c r="P1885" s="32" t="str">
        <x:f>IF(OR('Detalle'!$J916="",'Detalle'!$K916="",'Detalle'!$L916=""),"",IF(AND(P$8&lt;='Detalle'!$K916,P$9&gt;='Detalle'!$J916),1,""))</x:f>
      </x:c>
      <x:c r="Q1885" s="68"/>
      <x:c r="R1885" s="67" t="str"/>
      <x:c r="S1885" s="67" t="str"/>
    </x:row>
    <x:row r="1886" ht="16" customHeight="1">
      <x:c r="A1886" s="56" t="str">
        <x:v>QA03.008</x:v>
      </x:c>
      <x:c r="B1886" s="57" t="str">
        <x:v>Ejecutar regresión automática integrada</x:v>
      </x:c>
      <x:c r="C1886" s="62" t="str">
        <x:v>E</x:v>
      </x:c>
      <x:c r="D1886" s="64" t="n">
        <x:f>'Detalle'!I917</x:f>
        <x:v>1</x:v>
      </x:c>
      <x:c r="E1886" s="60" t="str">
        <x:f>'Detalle'!F917</x:f>
        <x:v>Pendiente</x:v>
      </x:c>
      <x:c r="F1886" s="32" t="str">
        <x:f>IF(AND(F$8&lt;='Detalle'!$H917,F$9&gt;='Detalle'!$G917),1,"")</x:f>
      </x:c>
      <x:c r="G1886" s="32" t="str">
        <x:f>IF(AND(G$8&lt;='Detalle'!$H917,G$9&gt;='Detalle'!$G917),1,"")</x:f>
      </x:c>
      <x:c r="H1886" s="32" t="str">
        <x:f>IF(AND(H$8&lt;='Detalle'!$H917,H$9&gt;='Detalle'!$G917),1,"")</x:f>
      </x:c>
      <x:c r="I1886" s="32" t="str">
        <x:f>IF(AND(I$8&lt;='Detalle'!$H917,I$9&gt;='Detalle'!$G917),1,"")</x:f>
      </x:c>
      <x:c r="J1886" s="32" t="str">
        <x:f>IF(AND(J$8&lt;='Detalle'!$H917,J$9&gt;='Detalle'!$G917),1,"")</x:f>
      </x:c>
      <x:c r="K1886" s="32" t="str">
        <x:f>IF(AND(K$8&lt;='Detalle'!$H917,K$9&gt;='Detalle'!$G917),1,"")</x:f>
      </x:c>
      <x:c r="L1886" s="32" t="str">
        <x:f>IF(AND(L$8&lt;='Detalle'!$H917,L$9&gt;='Detalle'!$G917),1,"")</x:f>
      </x:c>
      <x:c r="M1886" s="32" t="str">
        <x:f>IF(AND(M$8&lt;='Detalle'!$H917,M$9&gt;='Detalle'!$G917),1,"")</x:f>
      </x:c>
      <x:c r="N1886" s="32" t="n">
        <x:f>IF(AND(N$8&lt;='Detalle'!$H917,N$9&gt;='Detalle'!$G917),1,"")</x:f>
        <x:v>1</x:v>
      </x:c>
      <x:c r="O1886" s="32" t="str">
        <x:f>IF(AND(O$8&lt;='Detalle'!$H917,O$9&gt;='Detalle'!$G917),1,"")</x:f>
      </x:c>
      <x:c r="P1886" s="32" t="str">
        <x:f>IF(AND(P$8&lt;='Detalle'!$H917,P$9&gt;='Detalle'!$G917),1,"")</x:f>
      </x:c>
      <x:c r="Q1886" s="68"/>
      <x:c r="R1886" s="67" t="str">
        <x:f>IF('Detalle'!M917="","",'Detalle'!M917)</x:f>
      </x:c>
      <x:c r="S1886" s="67" t="str">
        <x:f>IF('Detalle'!N917="","",'Detalle'!N917)</x:f>
      </x:c>
    </x:row>
    <x:row r="1887" ht="16" customHeight="1">
      <x:c r="A1887" s="56" t="str">
        <x:v>QA03.008</x:v>
      </x:c>
      <x:c r="B1887" s="57" t="str">
        <x:v>Ejecutar regresión automática integrada</x:v>
      </x:c>
      <x:c r="C1887" s="63" t="str">
        <x:v>R</x:v>
      </x:c>
      <x:c r="D1887" s="65" t="str">
        <x:f>IF('Detalle'!L917="","",'Detalle'!L917)</x:f>
      </x:c>
      <x:c r="E1887" s="60" t="str"/>
      <x:c r="F1887" s="32" t="str">
        <x:f>IF(OR('Detalle'!$J917="",'Detalle'!$K917="",'Detalle'!$L917=""),"",IF(AND(F$8&lt;='Detalle'!$K917,F$9&gt;='Detalle'!$J917),1,""))</x:f>
      </x:c>
      <x:c r="G1887" s="32" t="str">
        <x:f>IF(OR('Detalle'!$J917="",'Detalle'!$K917="",'Detalle'!$L917=""),"",IF(AND(G$8&lt;='Detalle'!$K917,G$9&gt;='Detalle'!$J917),1,""))</x:f>
      </x:c>
      <x:c r="H1887" s="32" t="str">
        <x:f>IF(OR('Detalle'!$J917="",'Detalle'!$K917="",'Detalle'!$L917=""),"",IF(AND(H$8&lt;='Detalle'!$K917,H$9&gt;='Detalle'!$J917),1,""))</x:f>
      </x:c>
      <x:c r="I1887" s="32" t="str">
        <x:f>IF(OR('Detalle'!$J917="",'Detalle'!$K917="",'Detalle'!$L917=""),"",IF(AND(I$8&lt;='Detalle'!$K917,I$9&gt;='Detalle'!$J917),1,""))</x:f>
      </x:c>
      <x:c r="J1887" s="32" t="str">
        <x:f>IF(OR('Detalle'!$J917="",'Detalle'!$K917="",'Detalle'!$L917=""),"",IF(AND(J$8&lt;='Detalle'!$K917,J$9&gt;='Detalle'!$J917),1,""))</x:f>
      </x:c>
      <x:c r="K1887" s="32" t="str">
        <x:f>IF(OR('Detalle'!$J917="",'Detalle'!$K917="",'Detalle'!$L917=""),"",IF(AND(K$8&lt;='Detalle'!$K917,K$9&gt;='Detalle'!$J917),1,""))</x:f>
      </x:c>
      <x:c r="L1887" s="32" t="str">
        <x:f>IF(OR('Detalle'!$J917="",'Detalle'!$K917="",'Detalle'!$L917=""),"",IF(AND(L$8&lt;='Detalle'!$K917,L$9&gt;='Detalle'!$J917),1,""))</x:f>
      </x:c>
      <x:c r="M1887" s="32" t="str">
        <x:f>IF(OR('Detalle'!$J917="",'Detalle'!$K917="",'Detalle'!$L917=""),"",IF(AND(M$8&lt;='Detalle'!$K917,M$9&gt;='Detalle'!$J917),1,""))</x:f>
      </x:c>
      <x:c r="N1887" s="32" t="str">
        <x:f>IF(OR('Detalle'!$J917="",'Detalle'!$K917="",'Detalle'!$L917=""),"",IF(AND(N$8&lt;='Detalle'!$K917,N$9&gt;='Detalle'!$J917),1,""))</x:f>
      </x:c>
      <x:c r="O1887" s="32" t="str">
        <x:f>IF(OR('Detalle'!$J917="",'Detalle'!$K917="",'Detalle'!$L917=""),"",IF(AND(O$8&lt;='Detalle'!$K917,O$9&gt;='Detalle'!$J917),1,""))</x:f>
      </x:c>
      <x:c r="P1887" s="32" t="str">
        <x:f>IF(OR('Detalle'!$J917="",'Detalle'!$K917="",'Detalle'!$L917=""),"",IF(AND(P$8&lt;='Detalle'!$K917,P$9&gt;='Detalle'!$J917),1,""))</x:f>
      </x:c>
      <x:c r="Q1887" s="68"/>
      <x:c r="R1887" s="67" t="str"/>
      <x:c r="S1887" s="67" t="str"/>
    </x:row>
    <x:row r="1888" ht="16" customHeight="1">
      <x:c r="A1888" s="56" t="str">
        <x:v>QA03.009</x:v>
      </x:c>
      <x:c r="B1888" s="57" t="str">
        <x:v>Verificar contratos de backend al cierre</x:v>
      </x:c>
      <x:c r="C1888" s="62" t="str">
        <x:v>E</x:v>
      </x:c>
      <x:c r="D1888" s="64" t="n">
        <x:f>'Detalle'!I918</x:f>
        <x:v>1</x:v>
      </x:c>
      <x:c r="E1888" s="60" t="str">
        <x:f>'Detalle'!F918</x:f>
        <x:v>Pendiente</x:v>
      </x:c>
      <x:c r="F1888" s="32" t="str">
        <x:f>IF(AND(F$8&lt;='Detalle'!$H918,F$9&gt;='Detalle'!$G918),1,"")</x:f>
      </x:c>
      <x:c r="G1888" s="32" t="str">
        <x:f>IF(AND(G$8&lt;='Detalle'!$H918,G$9&gt;='Detalle'!$G918),1,"")</x:f>
      </x:c>
      <x:c r="H1888" s="32" t="str">
        <x:f>IF(AND(H$8&lt;='Detalle'!$H918,H$9&gt;='Detalle'!$G918),1,"")</x:f>
      </x:c>
      <x:c r="I1888" s="32" t="str">
        <x:f>IF(AND(I$8&lt;='Detalle'!$H918,I$9&gt;='Detalle'!$G918),1,"")</x:f>
      </x:c>
      <x:c r="J1888" s="32" t="str">
        <x:f>IF(AND(J$8&lt;='Detalle'!$H918,J$9&gt;='Detalle'!$G918),1,"")</x:f>
      </x:c>
      <x:c r="K1888" s="32" t="str">
        <x:f>IF(AND(K$8&lt;='Detalle'!$H918,K$9&gt;='Detalle'!$G918),1,"")</x:f>
      </x:c>
      <x:c r="L1888" s="32" t="str">
        <x:f>IF(AND(L$8&lt;='Detalle'!$H918,L$9&gt;='Detalle'!$G918),1,"")</x:f>
      </x:c>
      <x:c r="M1888" s="32" t="str">
        <x:f>IF(AND(M$8&lt;='Detalle'!$H918,M$9&gt;='Detalle'!$G918),1,"")</x:f>
      </x:c>
      <x:c r="N1888" s="32" t="n">
        <x:f>IF(AND(N$8&lt;='Detalle'!$H918,N$9&gt;='Detalle'!$G918),1,"")</x:f>
        <x:v>1</x:v>
      </x:c>
      <x:c r="O1888" s="32" t="str">
        <x:f>IF(AND(O$8&lt;='Detalle'!$H918,O$9&gt;='Detalle'!$G918),1,"")</x:f>
      </x:c>
      <x:c r="P1888" s="32" t="str">
        <x:f>IF(AND(P$8&lt;='Detalle'!$H918,P$9&gt;='Detalle'!$G918),1,"")</x:f>
      </x:c>
      <x:c r="Q1888" s="68"/>
      <x:c r="R1888" s="67" t="str">
        <x:f>IF('Detalle'!M918="","",'Detalle'!M918)</x:f>
      </x:c>
      <x:c r="S1888" s="67" t="str">
        <x:f>IF('Detalle'!N918="","",'Detalle'!N918)</x:f>
      </x:c>
    </x:row>
    <x:row r="1889" ht="16" customHeight="1">
      <x:c r="A1889" s="56" t="str">
        <x:v>QA03.009</x:v>
      </x:c>
      <x:c r="B1889" s="57" t="str">
        <x:v>Verificar contratos de backend al cierre</x:v>
      </x:c>
      <x:c r="C1889" s="63" t="str">
        <x:v>R</x:v>
      </x:c>
      <x:c r="D1889" s="65" t="str">
        <x:f>IF('Detalle'!L918="","",'Detalle'!L918)</x:f>
      </x:c>
      <x:c r="E1889" s="60" t="str"/>
      <x:c r="F1889" s="32" t="str">
        <x:f>IF(OR('Detalle'!$J918="",'Detalle'!$K918="",'Detalle'!$L918=""),"",IF(AND(F$8&lt;='Detalle'!$K918,F$9&gt;='Detalle'!$J918),1,""))</x:f>
      </x:c>
      <x:c r="G1889" s="32" t="str">
        <x:f>IF(OR('Detalle'!$J918="",'Detalle'!$K918="",'Detalle'!$L918=""),"",IF(AND(G$8&lt;='Detalle'!$K918,G$9&gt;='Detalle'!$J918),1,""))</x:f>
      </x:c>
      <x:c r="H1889" s="32" t="str">
        <x:f>IF(OR('Detalle'!$J918="",'Detalle'!$K918="",'Detalle'!$L918=""),"",IF(AND(H$8&lt;='Detalle'!$K918,H$9&gt;='Detalle'!$J918),1,""))</x:f>
      </x:c>
      <x:c r="I1889" s="32" t="str">
        <x:f>IF(OR('Detalle'!$J918="",'Detalle'!$K918="",'Detalle'!$L918=""),"",IF(AND(I$8&lt;='Detalle'!$K918,I$9&gt;='Detalle'!$J918),1,""))</x:f>
      </x:c>
      <x:c r="J1889" s="32" t="str">
        <x:f>IF(OR('Detalle'!$J918="",'Detalle'!$K918="",'Detalle'!$L918=""),"",IF(AND(J$8&lt;='Detalle'!$K918,J$9&gt;='Detalle'!$J918),1,""))</x:f>
      </x:c>
      <x:c r="K1889" s="32" t="str">
        <x:f>IF(OR('Detalle'!$J918="",'Detalle'!$K918="",'Detalle'!$L918=""),"",IF(AND(K$8&lt;='Detalle'!$K918,K$9&gt;='Detalle'!$J918),1,""))</x:f>
      </x:c>
      <x:c r="L1889" s="32" t="str">
        <x:f>IF(OR('Detalle'!$J918="",'Detalle'!$K918="",'Detalle'!$L918=""),"",IF(AND(L$8&lt;='Detalle'!$K918,L$9&gt;='Detalle'!$J918),1,""))</x:f>
      </x:c>
      <x:c r="M1889" s="32" t="str">
        <x:f>IF(OR('Detalle'!$J918="",'Detalle'!$K918="",'Detalle'!$L918=""),"",IF(AND(M$8&lt;='Detalle'!$K918,M$9&gt;='Detalle'!$J918),1,""))</x:f>
      </x:c>
      <x:c r="N1889" s="32" t="str">
        <x:f>IF(OR('Detalle'!$J918="",'Detalle'!$K918="",'Detalle'!$L918=""),"",IF(AND(N$8&lt;='Detalle'!$K918,N$9&gt;='Detalle'!$J918),1,""))</x:f>
      </x:c>
      <x:c r="O1889" s="32" t="str">
        <x:f>IF(OR('Detalle'!$J918="",'Detalle'!$K918="",'Detalle'!$L918=""),"",IF(AND(O$8&lt;='Detalle'!$K918,O$9&gt;='Detalle'!$J918),1,""))</x:f>
      </x:c>
      <x:c r="P1889" s="32" t="str">
        <x:f>IF(OR('Detalle'!$J918="",'Detalle'!$K918="",'Detalle'!$L918=""),"",IF(AND(P$8&lt;='Detalle'!$K918,P$9&gt;='Detalle'!$J918),1,""))</x:f>
      </x:c>
      <x:c r="Q1889" s="68"/>
      <x:c r="R1889" s="67" t="str"/>
      <x:c r="S1889" s="67" t="str"/>
    </x:row>
    <x:row r="1890" ht="16" customHeight="1">
      <x:c r="A1890" s="56" t="str">
        <x:v>QA03.010</x:v>
      </x:c>
      <x:c r="B1890" s="57" t="str">
        <x:v>Probar rutas directas del build final</x:v>
      </x:c>
      <x:c r="C1890" s="62" t="str">
        <x:v>E</x:v>
      </x:c>
      <x:c r="D1890" s="64" t="n">
        <x:f>'Detalle'!I919</x:f>
        <x:v>1</x:v>
      </x:c>
      <x:c r="E1890" s="60" t="str">
        <x:f>'Detalle'!F919</x:f>
        <x:v>Pendiente</x:v>
      </x:c>
      <x:c r="F1890" s="32" t="str">
        <x:f>IF(AND(F$8&lt;='Detalle'!$H919,F$9&gt;='Detalle'!$G919),1,"")</x:f>
      </x:c>
      <x:c r="G1890" s="32" t="str">
        <x:f>IF(AND(G$8&lt;='Detalle'!$H919,G$9&gt;='Detalle'!$G919),1,"")</x:f>
      </x:c>
      <x:c r="H1890" s="32" t="str">
        <x:f>IF(AND(H$8&lt;='Detalle'!$H919,H$9&gt;='Detalle'!$G919),1,"")</x:f>
      </x:c>
      <x:c r="I1890" s="32" t="str">
        <x:f>IF(AND(I$8&lt;='Detalle'!$H919,I$9&gt;='Detalle'!$G919),1,"")</x:f>
      </x:c>
      <x:c r="J1890" s="32" t="str">
        <x:f>IF(AND(J$8&lt;='Detalle'!$H919,J$9&gt;='Detalle'!$G919),1,"")</x:f>
      </x:c>
      <x:c r="K1890" s="32" t="str">
        <x:f>IF(AND(K$8&lt;='Detalle'!$H919,K$9&gt;='Detalle'!$G919),1,"")</x:f>
      </x:c>
      <x:c r="L1890" s="32" t="str">
        <x:f>IF(AND(L$8&lt;='Detalle'!$H919,L$9&gt;='Detalle'!$G919),1,"")</x:f>
      </x:c>
      <x:c r="M1890" s="32" t="str">
        <x:f>IF(AND(M$8&lt;='Detalle'!$H919,M$9&gt;='Detalle'!$G919),1,"")</x:f>
      </x:c>
      <x:c r="N1890" s="32" t="n">
        <x:f>IF(AND(N$8&lt;='Detalle'!$H919,N$9&gt;='Detalle'!$G919),1,"")</x:f>
        <x:v>1</x:v>
      </x:c>
      <x:c r="O1890" s="32" t="str">
        <x:f>IF(AND(O$8&lt;='Detalle'!$H919,O$9&gt;='Detalle'!$G919),1,"")</x:f>
      </x:c>
      <x:c r="P1890" s="32" t="str">
        <x:f>IF(AND(P$8&lt;='Detalle'!$H919,P$9&gt;='Detalle'!$G919),1,"")</x:f>
      </x:c>
      <x:c r="Q1890" s="68"/>
      <x:c r="R1890" s="67" t="str">
        <x:f>IF('Detalle'!M919="","",'Detalle'!M919)</x:f>
      </x:c>
      <x:c r="S1890" s="67" t="str">
        <x:f>IF('Detalle'!N919="","",'Detalle'!N919)</x:f>
      </x:c>
    </x:row>
    <x:row r="1891" ht="16" customHeight="1">
      <x:c r="A1891" s="56" t="str">
        <x:v>QA03.010</x:v>
      </x:c>
      <x:c r="B1891" s="57" t="str">
        <x:v>Probar rutas directas del build final</x:v>
      </x:c>
      <x:c r="C1891" s="63" t="str">
        <x:v>R</x:v>
      </x:c>
      <x:c r="D1891" s="65" t="str">
        <x:f>IF('Detalle'!L919="","",'Detalle'!L919)</x:f>
      </x:c>
      <x:c r="E1891" s="60" t="str"/>
      <x:c r="F1891" s="32" t="str">
        <x:f>IF(OR('Detalle'!$J919="",'Detalle'!$K919="",'Detalle'!$L919=""),"",IF(AND(F$8&lt;='Detalle'!$K919,F$9&gt;='Detalle'!$J919),1,""))</x:f>
      </x:c>
      <x:c r="G1891" s="32" t="str">
        <x:f>IF(OR('Detalle'!$J919="",'Detalle'!$K919="",'Detalle'!$L919=""),"",IF(AND(G$8&lt;='Detalle'!$K919,G$9&gt;='Detalle'!$J919),1,""))</x:f>
      </x:c>
      <x:c r="H1891" s="32" t="str">
        <x:f>IF(OR('Detalle'!$J919="",'Detalle'!$K919="",'Detalle'!$L919=""),"",IF(AND(H$8&lt;='Detalle'!$K919,H$9&gt;='Detalle'!$J919),1,""))</x:f>
      </x:c>
      <x:c r="I1891" s="32" t="str">
        <x:f>IF(OR('Detalle'!$J919="",'Detalle'!$K919="",'Detalle'!$L919=""),"",IF(AND(I$8&lt;='Detalle'!$K919,I$9&gt;='Detalle'!$J919),1,""))</x:f>
      </x:c>
      <x:c r="J1891" s="32" t="str">
        <x:f>IF(OR('Detalle'!$J919="",'Detalle'!$K919="",'Detalle'!$L919=""),"",IF(AND(J$8&lt;='Detalle'!$K919,J$9&gt;='Detalle'!$J919),1,""))</x:f>
      </x:c>
      <x:c r="K1891" s="32" t="str">
        <x:f>IF(OR('Detalle'!$J919="",'Detalle'!$K919="",'Detalle'!$L919=""),"",IF(AND(K$8&lt;='Detalle'!$K919,K$9&gt;='Detalle'!$J919),1,""))</x:f>
      </x:c>
      <x:c r="L1891" s="32" t="str">
        <x:f>IF(OR('Detalle'!$J919="",'Detalle'!$K919="",'Detalle'!$L919=""),"",IF(AND(L$8&lt;='Detalle'!$K919,L$9&gt;='Detalle'!$J919),1,""))</x:f>
      </x:c>
      <x:c r="M1891" s="32" t="str">
        <x:f>IF(OR('Detalle'!$J919="",'Detalle'!$K919="",'Detalle'!$L919=""),"",IF(AND(M$8&lt;='Detalle'!$K919,M$9&gt;='Detalle'!$J919),1,""))</x:f>
      </x:c>
      <x:c r="N1891" s="32" t="str">
        <x:f>IF(OR('Detalle'!$J919="",'Detalle'!$K919="",'Detalle'!$L919=""),"",IF(AND(N$8&lt;='Detalle'!$K919,N$9&gt;='Detalle'!$J919),1,""))</x:f>
      </x:c>
      <x:c r="O1891" s="32" t="str">
        <x:f>IF(OR('Detalle'!$J919="",'Detalle'!$K919="",'Detalle'!$L919=""),"",IF(AND(O$8&lt;='Detalle'!$K919,O$9&gt;='Detalle'!$J919),1,""))</x:f>
      </x:c>
      <x:c r="P1891" s="32" t="str">
        <x:f>IF(OR('Detalle'!$J919="",'Detalle'!$K919="",'Detalle'!$L919=""),"",IF(AND(P$8&lt;='Detalle'!$K919,P$9&gt;='Detalle'!$J919),1,""))</x:f>
      </x:c>
      <x:c r="Q1891" s="68"/>
      <x:c r="R1891" s="67" t="str"/>
      <x:c r="S1891" s="67" t="str"/>
    </x:row>
    <x:row r="1892" ht="16" customHeight="1">
      <x:c r="A1892" s="56" t="str">
        <x:v>QA03.011</x:v>
      </x:c>
      <x:c r="B1892" s="57" t="str">
        <x:v>Probar aislamiento entre dos cuentas reales</x:v>
      </x:c>
      <x:c r="C1892" s="62" t="str">
        <x:v>E</x:v>
      </x:c>
      <x:c r="D1892" s="64" t="n">
        <x:f>'Detalle'!I920</x:f>
        <x:v>1</x:v>
      </x:c>
      <x:c r="E1892" s="60" t="str">
        <x:f>'Detalle'!F920</x:f>
        <x:v>Pendiente</x:v>
      </x:c>
      <x:c r="F1892" s="32" t="str">
        <x:f>IF(AND(F$8&lt;='Detalle'!$H920,F$9&gt;='Detalle'!$G920),1,"")</x:f>
      </x:c>
      <x:c r="G1892" s="32" t="str">
        <x:f>IF(AND(G$8&lt;='Detalle'!$H920,G$9&gt;='Detalle'!$G920),1,"")</x:f>
      </x:c>
      <x:c r="H1892" s="32" t="str">
        <x:f>IF(AND(H$8&lt;='Detalle'!$H920,H$9&gt;='Detalle'!$G920),1,"")</x:f>
      </x:c>
      <x:c r="I1892" s="32" t="str">
        <x:f>IF(AND(I$8&lt;='Detalle'!$H920,I$9&gt;='Detalle'!$G920),1,"")</x:f>
      </x:c>
      <x:c r="J1892" s="32" t="str">
        <x:f>IF(AND(J$8&lt;='Detalle'!$H920,J$9&gt;='Detalle'!$G920),1,"")</x:f>
      </x:c>
      <x:c r="K1892" s="32" t="str">
        <x:f>IF(AND(K$8&lt;='Detalle'!$H920,K$9&gt;='Detalle'!$G920),1,"")</x:f>
      </x:c>
      <x:c r="L1892" s="32" t="str">
        <x:f>IF(AND(L$8&lt;='Detalle'!$H920,L$9&gt;='Detalle'!$G920),1,"")</x:f>
      </x:c>
      <x:c r="M1892" s="32" t="str">
        <x:f>IF(AND(M$8&lt;='Detalle'!$H920,M$9&gt;='Detalle'!$G920),1,"")</x:f>
      </x:c>
      <x:c r="N1892" s="32" t="n">
        <x:f>IF(AND(N$8&lt;='Detalle'!$H920,N$9&gt;='Detalle'!$G920),1,"")</x:f>
        <x:v>1</x:v>
      </x:c>
      <x:c r="O1892" s="32" t="str">
        <x:f>IF(AND(O$8&lt;='Detalle'!$H920,O$9&gt;='Detalle'!$G920),1,"")</x:f>
      </x:c>
      <x:c r="P1892" s="32" t="str">
        <x:f>IF(AND(P$8&lt;='Detalle'!$H920,P$9&gt;='Detalle'!$G920),1,"")</x:f>
      </x:c>
      <x:c r="Q1892" s="68"/>
      <x:c r="R1892" s="67" t="str">
        <x:f>IF('Detalle'!M920="","",'Detalle'!M920)</x:f>
      </x:c>
      <x:c r="S1892" s="67" t="str">
        <x:f>IF('Detalle'!N920="","",'Detalle'!N920)</x:f>
      </x:c>
    </x:row>
    <x:row r="1893" ht="16" customHeight="1">
      <x:c r="A1893" s="56" t="str">
        <x:v>QA03.011</x:v>
      </x:c>
      <x:c r="B1893" s="57" t="str">
        <x:v>Probar aislamiento entre dos cuentas reales</x:v>
      </x:c>
      <x:c r="C1893" s="63" t="str">
        <x:v>R</x:v>
      </x:c>
      <x:c r="D1893" s="65" t="str">
        <x:f>IF('Detalle'!L920="","",'Detalle'!L920)</x:f>
      </x:c>
      <x:c r="E1893" s="60" t="str"/>
      <x:c r="F1893" s="32" t="str">
        <x:f>IF(OR('Detalle'!$J920="",'Detalle'!$K920="",'Detalle'!$L920=""),"",IF(AND(F$8&lt;='Detalle'!$K920,F$9&gt;='Detalle'!$J920),1,""))</x:f>
      </x:c>
      <x:c r="G1893" s="32" t="str">
        <x:f>IF(OR('Detalle'!$J920="",'Detalle'!$K920="",'Detalle'!$L920=""),"",IF(AND(G$8&lt;='Detalle'!$K920,G$9&gt;='Detalle'!$J920),1,""))</x:f>
      </x:c>
      <x:c r="H1893" s="32" t="str">
        <x:f>IF(OR('Detalle'!$J920="",'Detalle'!$K920="",'Detalle'!$L920=""),"",IF(AND(H$8&lt;='Detalle'!$K920,H$9&gt;='Detalle'!$J920),1,""))</x:f>
      </x:c>
      <x:c r="I1893" s="32" t="str">
        <x:f>IF(OR('Detalle'!$J920="",'Detalle'!$K920="",'Detalle'!$L920=""),"",IF(AND(I$8&lt;='Detalle'!$K920,I$9&gt;='Detalle'!$J920),1,""))</x:f>
      </x:c>
      <x:c r="J1893" s="32" t="str">
        <x:f>IF(OR('Detalle'!$J920="",'Detalle'!$K920="",'Detalle'!$L920=""),"",IF(AND(J$8&lt;='Detalle'!$K920,J$9&gt;='Detalle'!$J920),1,""))</x:f>
      </x:c>
      <x:c r="K1893" s="32" t="str">
        <x:f>IF(OR('Detalle'!$J920="",'Detalle'!$K920="",'Detalle'!$L920=""),"",IF(AND(K$8&lt;='Detalle'!$K920,K$9&gt;='Detalle'!$J920),1,""))</x:f>
      </x:c>
      <x:c r="L1893" s="32" t="str">
        <x:f>IF(OR('Detalle'!$J920="",'Detalle'!$K920="",'Detalle'!$L920=""),"",IF(AND(L$8&lt;='Detalle'!$K920,L$9&gt;='Detalle'!$J920),1,""))</x:f>
      </x:c>
      <x:c r="M1893" s="32" t="str">
        <x:f>IF(OR('Detalle'!$J920="",'Detalle'!$K920="",'Detalle'!$L920=""),"",IF(AND(M$8&lt;='Detalle'!$K920,M$9&gt;='Detalle'!$J920),1,""))</x:f>
      </x:c>
      <x:c r="N1893" s="32" t="str">
        <x:f>IF(OR('Detalle'!$J920="",'Detalle'!$K920="",'Detalle'!$L920=""),"",IF(AND(N$8&lt;='Detalle'!$K920,N$9&gt;='Detalle'!$J920),1,""))</x:f>
      </x:c>
      <x:c r="O1893" s="32" t="str">
        <x:f>IF(OR('Detalle'!$J920="",'Detalle'!$K920="",'Detalle'!$L920=""),"",IF(AND(O$8&lt;='Detalle'!$K920,O$9&gt;='Detalle'!$J920),1,""))</x:f>
      </x:c>
      <x:c r="P1893" s="32" t="str">
        <x:f>IF(OR('Detalle'!$J920="",'Detalle'!$K920="",'Detalle'!$L920=""),"",IF(AND(P$8&lt;='Detalle'!$K920,P$9&gt;='Detalle'!$J920),1,""))</x:f>
      </x:c>
      <x:c r="Q1893" s="68"/>
      <x:c r="R1893" s="67" t="str"/>
      <x:c r="S1893" s="67" t="str"/>
    </x:row>
    <x:row r="1894" ht="16" customHeight="1">
      <x:c r="A1894" s="56" t="str">
        <x:v>QA03.012</x:v>
      </x:c>
      <x:c r="B1894" s="57" t="str">
        <x:v>Revisar interfaz móvil y escritorio final</x:v>
      </x:c>
      <x:c r="C1894" s="62" t="str">
        <x:v>E</x:v>
      </x:c>
      <x:c r="D1894" s="64" t="n">
        <x:f>'Detalle'!I921</x:f>
        <x:v>1</x:v>
      </x:c>
      <x:c r="E1894" s="60" t="str">
        <x:f>'Detalle'!F921</x:f>
        <x:v>Pendiente</x:v>
      </x:c>
      <x:c r="F1894" s="32" t="str">
        <x:f>IF(AND(F$8&lt;='Detalle'!$H921,F$9&gt;='Detalle'!$G921),1,"")</x:f>
      </x:c>
      <x:c r="G1894" s="32" t="str">
        <x:f>IF(AND(G$8&lt;='Detalle'!$H921,G$9&gt;='Detalle'!$G921),1,"")</x:f>
      </x:c>
      <x:c r="H1894" s="32" t="str">
        <x:f>IF(AND(H$8&lt;='Detalle'!$H921,H$9&gt;='Detalle'!$G921),1,"")</x:f>
      </x:c>
      <x:c r="I1894" s="32" t="str">
        <x:f>IF(AND(I$8&lt;='Detalle'!$H921,I$9&gt;='Detalle'!$G921),1,"")</x:f>
      </x:c>
      <x:c r="J1894" s="32" t="str">
        <x:f>IF(AND(J$8&lt;='Detalle'!$H921,J$9&gt;='Detalle'!$G921),1,"")</x:f>
      </x:c>
      <x:c r="K1894" s="32" t="str">
        <x:f>IF(AND(K$8&lt;='Detalle'!$H921,K$9&gt;='Detalle'!$G921),1,"")</x:f>
      </x:c>
      <x:c r="L1894" s="32" t="str">
        <x:f>IF(AND(L$8&lt;='Detalle'!$H921,L$9&gt;='Detalle'!$G921),1,"")</x:f>
      </x:c>
      <x:c r="M1894" s="32" t="str">
        <x:f>IF(AND(M$8&lt;='Detalle'!$H921,M$9&gt;='Detalle'!$G921),1,"")</x:f>
      </x:c>
      <x:c r="N1894" s="32" t="n">
        <x:f>IF(AND(N$8&lt;='Detalle'!$H921,N$9&gt;='Detalle'!$G921),1,"")</x:f>
        <x:v>1</x:v>
      </x:c>
      <x:c r="O1894" s="32" t="str">
        <x:f>IF(AND(O$8&lt;='Detalle'!$H921,O$9&gt;='Detalle'!$G921),1,"")</x:f>
      </x:c>
      <x:c r="P1894" s="32" t="str">
        <x:f>IF(AND(P$8&lt;='Detalle'!$H921,P$9&gt;='Detalle'!$G921),1,"")</x:f>
      </x:c>
      <x:c r="Q1894" s="68"/>
      <x:c r="R1894" s="67" t="str">
        <x:f>IF('Detalle'!M921="","",'Detalle'!M921)</x:f>
      </x:c>
      <x:c r="S1894" s="67" t="str">
        <x:f>IF('Detalle'!N921="","",'Detalle'!N921)</x:f>
      </x:c>
    </x:row>
    <x:row r="1895" ht="16" customHeight="1">
      <x:c r="A1895" s="56" t="str">
        <x:v>QA03.012</x:v>
      </x:c>
      <x:c r="B1895" s="57" t="str">
        <x:v>Revisar interfaz móvil y escritorio final</x:v>
      </x:c>
      <x:c r="C1895" s="63" t="str">
        <x:v>R</x:v>
      </x:c>
      <x:c r="D1895" s="65" t="str">
        <x:f>IF('Detalle'!L921="","",'Detalle'!L921)</x:f>
      </x:c>
      <x:c r="E1895" s="60" t="str"/>
      <x:c r="F1895" s="32" t="str">
        <x:f>IF(OR('Detalle'!$J921="",'Detalle'!$K921="",'Detalle'!$L921=""),"",IF(AND(F$8&lt;='Detalle'!$K921,F$9&gt;='Detalle'!$J921),1,""))</x:f>
      </x:c>
      <x:c r="G1895" s="32" t="str">
        <x:f>IF(OR('Detalle'!$J921="",'Detalle'!$K921="",'Detalle'!$L921=""),"",IF(AND(G$8&lt;='Detalle'!$K921,G$9&gt;='Detalle'!$J921),1,""))</x:f>
      </x:c>
      <x:c r="H1895" s="32" t="str">
        <x:f>IF(OR('Detalle'!$J921="",'Detalle'!$K921="",'Detalle'!$L921=""),"",IF(AND(H$8&lt;='Detalle'!$K921,H$9&gt;='Detalle'!$J921),1,""))</x:f>
      </x:c>
      <x:c r="I1895" s="32" t="str">
        <x:f>IF(OR('Detalle'!$J921="",'Detalle'!$K921="",'Detalle'!$L921=""),"",IF(AND(I$8&lt;='Detalle'!$K921,I$9&gt;='Detalle'!$J921),1,""))</x:f>
      </x:c>
      <x:c r="J1895" s="32" t="str">
        <x:f>IF(OR('Detalle'!$J921="",'Detalle'!$K921="",'Detalle'!$L921=""),"",IF(AND(J$8&lt;='Detalle'!$K921,J$9&gt;='Detalle'!$J921),1,""))</x:f>
      </x:c>
      <x:c r="K1895" s="32" t="str">
        <x:f>IF(OR('Detalle'!$J921="",'Detalle'!$K921="",'Detalle'!$L921=""),"",IF(AND(K$8&lt;='Detalle'!$K921,K$9&gt;='Detalle'!$J921),1,""))</x:f>
      </x:c>
      <x:c r="L1895" s="32" t="str">
        <x:f>IF(OR('Detalle'!$J921="",'Detalle'!$K921="",'Detalle'!$L921=""),"",IF(AND(L$8&lt;='Detalle'!$K921,L$9&gt;='Detalle'!$J921),1,""))</x:f>
      </x:c>
      <x:c r="M1895" s="32" t="str">
        <x:f>IF(OR('Detalle'!$J921="",'Detalle'!$K921="",'Detalle'!$L921=""),"",IF(AND(M$8&lt;='Detalle'!$K921,M$9&gt;='Detalle'!$J921),1,""))</x:f>
      </x:c>
      <x:c r="N1895" s="32" t="str">
        <x:f>IF(OR('Detalle'!$J921="",'Detalle'!$K921="",'Detalle'!$L921=""),"",IF(AND(N$8&lt;='Detalle'!$K921,N$9&gt;='Detalle'!$J921),1,""))</x:f>
      </x:c>
      <x:c r="O1895" s="32" t="str">
        <x:f>IF(OR('Detalle'!$J921="",'Detalle'!$K921="",'Detalle'!$L921=""),"",IF(AND(O$8&lt;='Detalle'!$K921,O$9&gt;='Detalle'!$J921),1,""))</x:f>
      </x:c>
      <x:c r="P1895" s="32" t="str">
        <x:f>IF(OR('Detalle'!$J921="",'Detalle'!$K921="",'Detalle'!$L921=""),"",IF(AND(P$8&lt;='Detalle'!$K921,P$9&gt;='Detalle'!$J921),1,""))</x:f>
      </x:c>
      <x:c r="Q1895" s="68"/>
      <x:c r="R1895" s="67" t="str"/>
      <x:c r="S1895" s="67" t="str"/>
    </x:row>
    <x:row r="1896" ht="20" customHeight="1">
      <x:c r="A1896" s="52" t="str">
        <x:v>PIL02 · Piloto de aceptación en un local real</x:v>
      </x:c>
      <x:c r="B1896" s="52" t="str">
        <x:v>PIL02 · Piloto de aceptación en un local real</x:v>
      </x:c>
      <x:c r="C1896" s="52" t="str">
        <x:v>PIL02 · Piloto de aceptación en un local real</x:v>
      </x:c>
      <x:c r="D1896" s="52" t="str">
        <x:v>PIL02 · Piloto de aceptación en un local real</x:v>
      </x:c>
      <x:c r="E1896" s="52" t="str">
        <x:v>PIL02 · Piloto de aceptación en un local real</x:v>
      </x:c>
      <x:c r="F1896" s="53" t="str">
        <x:v>PIL02 · Piloto de aceptación en un local real</x:v>
      </x:c>
      <x:c r="G1896" s="53" t="str">
        <x:v>PIL02 · Piloto de aceptación en un local real</x:v>
      </x:c>
      <x:c r="H1896" s="53" t="str">
        <x:v>PIL02 · Piloto de aceptación en un local real</x:v>
      </x:c>
      <x:c r="I1896" s="53" t="str">
        <x:v>PIL02 · Piloto de aceptación en un local real</x:v>
      </x:c>
      <x:c r="J1896" s="53" t="str">
        <x:v>PIL02 · Piloto de aceptación en un local real</x:v>
      </x:c>
      <x:c r="K1896" s="53" t="str">
        <x:v>PIL02 · Piloto de aceptación en un local real</x:v>
      </x:c>
      <x:c r="L1896" s="53" t="str">
        <x:v>PIL02 · Piloto de aceptación en un local real</x:v>
      </x:c>
      <x:c r="M1896" s="53" t="str">
        <x:v>PIL02 · Piloto de aceptación en un local real</x:v>
      </x:c>
      <x:c r="N1896" s="53" t="str">
        <x:v>PIL02 · Piloto de aceptación en un local real</x:v>
      </x:c>
      <x:c r="O1896" s="53" t="str">
        <x:v>PIL02 · Piloto de aceptación en un local real</x:v>
      </x:c>
      <x:c r="P1896" s="53" t="str">
        <x:v>PIL02 · Piloto de aceptación en un local real</x:v>
      </x:c>
      <x:c r="Q1896" s="52" t="str">
        <x:v>PIL02 · Piloto de aceptación en un local real</x:v>
      </x:c>
      <x:c r="R1896" s="52" t="str">
        <x:v>PIL02 · Piloto de aceptación en un local real</x:v>
      </x:c>
      <x:c r="S1896" s="52" t="str">
        <x:v>PIL02 · Piloto de aceptación en un local real</x:v>
      </x:c>
    </x:row>
    <x:row r="1897" ht="16" customHeight="1">
      <x:c r="A1897" s="56" t="str">
        <x:v>PIL02.001</x:v>
      </x:c>
      <x:c r="B1897" s="57" t="str">
        <x:v>Acreditar responsabilidad del local piloto</x:v>
      </x:c>
      <x:c r="C1897" s="62" t="str">
        <x:v>E</x:v>
      </x:c>
      <x:c r="D1897" s="64" t="n">
        <x:f>'Detalle'!I922</x:f>
        <x:v>1</x:v>
      </x:c>
      <x:c r="E1897" s="60" t="str">
        <x:f>'Detalle'!F922</x:f>
        <x:v>Pendiente</x:v>
      </x:c>
      <x:c r="F1897" s="32" t="str">
        <x:f>IF(AND(F$8&lt;='Detalle'!$H922,F$9&gt;='Detalle'!$G922),1,"")</x:f>
      </x:c>
      <x:c r="G1897" s="32" t="str">
        <x:f>IF(AND(G$8&lt;='Detalle'!$H922,G$9&gt;='Detalle'!$G922),1,"")</x:f>
      </x:c>
      <x:c r="H1897" s="32" t="str">
        <x:f>IF(AND(H$8&lt;='Detalle'!$H922,H$9&gt;='Detalle'!$G922),1,"")</x:f>
      </x:c>
      <x:c r="I1897" s="32" t="str">
        <x:f>IF(AND(I$8&lt;='Detalle'!$H922,I$9&gt;='Detalle'!$G922),1,"")</x:f>
      </x:c>
      <x:c r="J1897" s="32" t="str">
        <x:f>IF(AND(J$8&lt;='Detalle'!$H922,J$9&gt;='Detalle'!$G922),1,"")</x:f>
      </x:c>
      <x:c r="K1897" s="32" t="str">
        <x:f>IF(AND(K$8&lt;='Detalle'!$H922,K$9&gt;='Detalle'!$G922),1,"")</x:f>
      </x:c>
      <x:c r="L1897" s="32" t="str">
        <x:f>IF(AND(L$8&lt;='Detalle'!$H922,L$9&gt;='Detalle'!$G922),1,"")</x:f>
      </x:c>
      <x:c r="M1897" s="32" t="str">
        <x:f>IF(AND(M$8&lt;='Detalle'!$H922,M$9&gt;='Detalle'!$G922),1,"")</x:f>
      </x:c>
      <x:c r="N1897" s="32" t="str">
        <x:f>IF(AND(N$8&lt;='Detalle'!$H922,N$9&gt;='Detalle'!$G922),1,"")</x:f>
      </x:c>
      <x:c r="O1897" s="32" t="n">
        <x:f>IF(AND(O$8&lt;='Detalle'!$H922,O$9&gt;='Detalle'!$G922),1,"")</x:f>
        <x:v>1</x:v>
      </x:c>
      <x:c r="P1897" s="32" t="str">
        <x:f>IF(AND(P$8&lt;='Detalle'!$H922,P$9&gt;='Detalle'!$G922),1,"")</x:f>
      </x:c>
      <x:c r="Q1897" s="68"/>
      <x:c r="R1897" s="67" t="str">
        <x:f>IF('Detalle'!M922="","",'Detalle'!M922)</x:f>
      </x:c>
      <x:c r="S1897" s="67" t="str">
        <x:f>IF('Detalle'!N922="","",'Detalle'!N922)</x:f>
      </x:c>
    </x:row>
    <x:row r="1898" ht="16" customHeight="1">
      <x:c r="A1898" s="56" t="str">
        <x:v>PIL02.001</x:v>
      </x:c>
      <x:c r="B1898" s="57" t="str">
        <x:v>Acreditar responsabilidad del local piloto</x:v>
      </x:c>
      <x:c r="C1898" s="63" t="str">
        <x:v>R</x:v>
      </x:c>
      <x:c r="D1898" s="65" t="str">
        <x:f>IF('Detalle'!L922="","",'Detalle'!L922)</x:f>
      </x:c>
      <x:c r="E1898" s="60" t="str"/>
      <x:c r="F1898" s="32" t="str">
        <x:f>IF(OR('Detalle'!$J922="",'Detalle'!$K922="",'Detalle'!$L922=""),"",IF(AND(F$8&lt;='Detalle'!$K922,F$9&gt;='Detalle'!$J922),1,""))</x:f>
      </x:c>
      <x:c r="G1898" s="32" t="str">
        <x:f>IF(OR('Detalle'!$J922="",'Detalle'!$K922="",'Detalle'!$L922=""),"",IF(AND(G$8&lt;='Detalle'!$K922,G$9&gt;='Detalle'!$J922),1,""))</x:f>
      </x:c>
      <x:c r="H1898" s="32" t="str">
        <x:f>IF(OR('Detalle'!$J922="",'Detalle'!$K922="",'Detalle'!$L922=""),"",IF(AND(H$8&lt;='Detalle'!$K922,H$9&gt;='Detalle'!$J922),1,""))</x:f>
      </x:c>
      <x:c r="I1898" s="32" t="str">
        <x:f>IF(OR('Detalle'!$J922="",'Detalle'!$K922="",'Detalle'!$L922=""),"",IF(AND(I$8&lt;='Detalle'!$K922,I$9&gt;='Detalle'!$J922),1,""))</x:f>
      </x:c>
      <x:c r="J1898" s="32" t="str">
        <x:f>IF(OR('Detalle'!$J922="",'Detalle'!$K922="",'Detalle'!$L922=""),"",IF(AND(J$8&lt;='Detalle'!$K922,J$9&gt;='Detalle'!$J922),1,""))</x:f>
      </x:c>
      <x:c r="K1898" s="32" t="str">
        <x:f>IF(OR('Detalle'!$J922="",'Detalle'!$K922="",'Detalle'!$L922=""),"",IF(AND(K$8&lt;='Detalle'!$K922,K$9&gt;='Detalle'!$J922),1,""))</x:f>
      </x:c>
      <x:c r="L1898" s="32" t="str">
        <x:f>IF(OR('Detalle'!$J922="",'Detalle'!$K922="",'Detalle'!$L922=""),"",IF(AND(L$8&lt;='Detalle'!$K922,L$9&gt;='Detalle'!$J922),1,""))</x:f>
      </x:c>
      <x:c r="M1898" s="32" t="str">
        <x:f>IF(OR('Detalle'!$J922="",'Detalle'!$K922="",'Detalle'!$L922=""),"",IF(AND(M$8&lt;='Detalle'!$K922,M$9&gt;='Detalle'!$J922),1,""))</x:f>
      </x:c>
      <x:c r="N1898" s="32" t="str">
        <x:f>IF(OR('Detalle'!$J922="",'Detalle'!$K922="",'Detalle'!$L922=""),"",IF(AND(N$8&lt;='Detalle'!$K922,N$9&gt;='Detalle'!$J922),1,""))</x:f>
      </x:c>
      <x:c r="O1898" s="32" t="str">
        <x:f>IF(OR('Detalle'!$J922="",'Detalle'!$K922="",'Detalle'!$L922=""),"",IF(AND(O$8&lt;='Detalle'!$K922,O$9&gt;='Detalle'!$J922),1,""))</x:f>
      </x:c>
      <x:c r="P1898" s="32" t="str">
        <x:f>IF(OR('Detalle'!$J922="",'Detalle'!$K922="",'Detalle'!$L922=""),"",IF(AND(P$8&lt;='Detalle'!$K922,P$9&gt;='Detalle'!$J922),1,""))</x:f>
      </x:c>
      <x:c r="Q1898" s="68"/>
      <x:c r="R1898" s="67" t="str"/>
      <x:c r="S1898" s="67" t="str"/>
    </x:row>
    <x:row r="1899" ht="16" customHeight="1">
      <x:c r="A1899" s="56" t="str">
        <x:v>PIL02.002</x:v>
      </x:c>
      <x:c r="B1899" s="57" t="str">
        <x:v>Capturar varias posiciones del local</x:v>
      </x:c>
      <x:c r="C1899" s="62" t="str">
        <x:v>E</x:v>
      </x:c>
      <x:c r="D1899" s="64" t="n">
        <x:f>'Detalle'!I923</x:f>
        <x:v>1</x:v>
      </x:c>
      <x:c r="E1899" s="60" t="str">
        <x:f>'Detalle'!F923</x:f>
        <x:v>Pendiente</x:v>
      </x:c>
      <x:c r="F1899" s="32" t="str">
        <x:f>IF(AND(F$8&lt;='Detalle'!$H923,F$9&gt;='Detalle'!$G923),1,"")</x:f>
      </x:c>
      <x:c r="G1899" s="32" t="str">
        <x:f>IF(AND(G$8&lt;='Detalle'!$H923,G$9&gt;='Detalle'!$G923),1,"")</x:f>
      </x:c>
      <x:c r="H1899" s="32" t="str">
        <x:f>IF(AND(H$8&lt;='Detalle'!$H923,H$9&gt;='Detalle'!$G923),1,"")</x:f>
      </x:c>
      <x:c r="I1899" s="32" t="str">
        <x:f>IF(AND(I$8&lt;='Detalle'!$H923,I$9&gt;='Detalle'!$G923),1,"")</x:f>
      </x:c>
      <x:c r="J1899" s="32" t="str">
        <x:f>IF(AND(J$8&lt;='Detalle'!$H923,J$9&gt;='Detalle'!$G923),1,"")</x:f>
      </x:c>
      <x:c r="K1899" s="32" t="str">
        <x:f>IF(AND(K$8&lt;='Detalle'!$H923,K$9&gt;='Detalle'!$G923),1,"")</x:f>
      </x:c>
      <x:c r="L1899" s="32" t="str">
        <x:f>IF(AND(L$8&lt;='Detalle'!$H923,L$9&gt;='Detalle'!$G923),1,"")</x:f>
      </x:c>
      <x:c r="M1899" s="32" t="str">
        <x:f>IF(AND(M$8&lt;='Detalle'!$H923,M$9&gt;='Detalle'!$G923),1,"")</x:f>
      </x:c>
      <x:c r="N1899" s="32" t="str">
        <x:f>IF(AND(N$8&lt;='Detalle'!$H923,N$9&gt;='Detalle'!$G923),1,"")</x:f>
      </x:c>
      <x:c r="O1899" s="32" t="n">
        <x:f>IF(AND(O$8&lt;='Detalle'!$H923,O$9&gt;='Detalle'!$G923),1,"")</x:f>
        <x:v>1</x:v>
      </x:c>
      <x:c r="P1899" s="32" t="str">
        <x:f>IF(AND(P$8&lt;='Detalle'!$H923,P$9&gt;='Detalle'!$G923),1,"")</x:f>
      </x:c>
      <x:c r="Q1899" s="68"/>
      <x:c r="R1899" s="67" t="str">
        <x:f>IF('Detalle'!M923="","",'Detalle'!M923)</x:f>
      </x:c>
      <x:c r="S1899" s="67" t="str">
        <x:f>IF('Detalle'!N923="","",'Detalle'!N923)</x:f>
      </x:c>
    </x:row>
    <x:row r="1900" ht="16" customHeight="1">
      <x:c r="A1900" s="56" t="str">
        <x:v>PIL02.002</x:v>
      </x:c>
      <x:c r="B1900" s="57" t="str">
        <x:v>Capturar varias posiciones del local</x:v>
      </x:c>
      <x:c r="C1900" s="63" t="str">
        <x:v>R</x:v>
      </x:c>
      <x:c r="D1900" s="65" t="str">
        <x:f>IF('Detalle'!L923="","",'Detalle'!L923)</x:f>
      </x:c>
      <x:c r="E1900" s="60" t="str"/>
      <x:c r="F1900" s="32" t="str">
        <x:f>IF(OR('Detalle'!$J923="",'Detalle'!$K923="",'Detalle'!$L923=""),"",IF(AND(F$8&lt;='Detalle'!$K923,F$9&gt;='Detalle'!$J923),1,""))</x:f>
      </x:c>
      <x:c r="G1900" s="32" t="str">
        <x:f>IF(OR('Detalle'!$J923="",'Detalle'!$K923="",'Detalle'!$L923=""),"",IF(AND(G$8&lt;='Detalle'!$K923,G$9&gt;='Detalle'!$J923),1,""))</x:f>
      </x:c>
      <x:c r="H1900" s="32" t="str">
        <x:f>IF(OR('Detalle'!$J923="",'Detalle'!$K923="",'Detalle'!$L923=""),"",IF(AND(H$8&lt;='Detalle'!$K923,H$9&gt;='Detalle'!$J923),1,""))</x:f>
      </x:c>
      <x:c r="I1900" s="32" t="str">
        <x:f>IF(OR('Detalle'!$J923="",'Detalle'!$K923="",'Detalle'!$L923=""),"",IF(AND(I$8&lt;='Detalle'!$K923,I$9&gt;='Detalle'!$J923),1,""))</x:f>
      </x:c>
      <x:c r="J1900" s="32" t="str">
        <x:f>IF(OR('Detalle'!$J923="",'Detalle'!$K923="",'Detalle'!$L923=""),"",IF(AND(J$8&lt;='Detalle'!$K923,J$9&gt;='Detalle'!$J923),1,""))</x:f>
      </x:c>
      <x:c r="K1900" s="32" t="str">
        <x:f>IF(OR('Detalle'!$J923="",'Detalle'!$K923="",'Detalle'!$L923=""),"",IF(AND(K$8&lt;='Detalle'!$K923,K$9&gt;='Detalle'!$J923),1,""))</x:f>
      </x:c>
      <x:c r="L1900" s="32" t="str">
        <x:f>IF(OR('Detalle'!$J923="",'Detalle'!$K923="",'Detalle'!$L923=""),"",IF(AND(L$8&lt;='Detalle'!$K923,L$9&gt;='Detalle'!$J923),1,""))</x:f>
      </x:c>
      <x:c r="M1900" s="32" t="str">
        <x:f>IF(OR('Detalle'!$J923="",'Detalle'!$K923="",'Detalle'!$L923=""),"",IF(AND(M$8&lt;='Detalle'!$K923,M$9&gt;='Detalle'!$J923),1,""))</x:f>
      </x:c>
      <x:c r="N1900" s="32" t="str">
        <x:f>IF(OR('Detalle'!$J923="",'Detalle'!$K923="",'Detalle'!$L923=""),"",IF(AND(N$8&lt;='Detalle'!$K923,N$9&gt;='Detalle'!$J923),1,""))</x:f>
      </x:c>
      <x:c r="O1900" s="32" t="str">
        <x:f>IF(OR('Detalle'!$J923="",'Detalle'!$K923="",'Detalle'!$L923=""),"",IF(AND(O$8&lt;='Detalle'!$K923,O$9&gt;='Detalle'!$J923),1,""))</x:f>
      </x:c>
      <x:c r="P1900" s="32" t="str">
        <x:f>IF(OR('Detalle'!$J923="",'Detalle'!$K923="",'Detalle'!$L923=""),"",IF(AND(P$8&lt;='Detalle'!$K923,P$9&gt;='Detalle'!$J923),1,""))</x:f>
      </x:c>
      <x:c r="Q1900" s="68"/>
      <x:c r="R1900" s="67" t="str"/>
      <x:c r="S1900" s="67" t="str"/>
    </x:row>
    <x:row r="1901" ht="16" customHeight="1">
      <x:c r="A1901" s="56" t="str">
        <x:v>PIL02.003</x:v>
      </x:c>
      <x:c r="B1901" s="57" t="str">
        <x:v>Procesar y revisar panoramas del piloto</x:v>
      </x:c>
      <x:c r="C1901" s="62" t="str">
        <x:v>E</x:v>
      </x:c>
      <x:c r="D1901" s="64" t="n">
        <x:f>'Detalle'!I924</x:f>
        <x:v>1</x:v>
      </x:c>
      <x:c r="E1901" s="60" t="str">
        <x:f>'Detalle'!F924</x:f>
        <x:v>Pendiente</x:v>
      </x:c>
      <x:c r="F1901" s="32" t="str">
        <x:f>IF(AND(F$8&lt;='Detalle'!$H924,F$9&gt;='Detalle'!$G924),1,"")</x:f>
      </x:c>
      <x:c r="G1901" s="32" t="str">
        <x:f>IF(AND(G$8&lt;='Detalle'!$H924,G$9&gt;='Detalle'!$G924),1,"")</x:f>
      </x:c>
      <x:c r="H1901" s="32" t="str">
        <x:f>IF(AND(H$8&lt;='Detalle'!$H924,H$9&gt;='Detalle'!$G924),1,"")</x:f>
      </x:c>
      <x:c r="I1901" s="32" t="str">
        <x:f>IF(AND(I$8&lt;='Detalle'!$H924,I$9&gt;='Detalle'!$G924),1,"")</x:f>
      </x:c>
      <x:c r="J1901" s="32" t="str">
        <x:f>IF(AND(J$8&lt;='Detalle'!$H924,J$9&gt;='Detalle'!$G924),1,"")</x:f>
      </x:c>
      <x:c r="K1901" s="32" t="str">
        <x:f>IF(AND(K$8&lt;='Detalle'!$H924,K$9&gt;='Detalle'!$G924),1,"")</x:f>
      </x:c>
      <x:c r="L1901" s="32" t="str">
        <x:f>IF(AND(L$8&lt;='Detalle'!$H924,L$9&gt;='Detalle'!$G924),1,"")</x:f>
      </x:c>
      <x:c r="M1901" s="32" t="str">
        <x:f>IF(AND(M$8&lt;='Detalle'!$H924,M$9&gt;='Detalle'!$G924),1,"")</x:f>
      </x:c>
      <x:c r="N1901" s="32" t="str">
        <x:f>IF(AND(N$8&lt;='Detalle'!$H924,N$9&gt;='Detalle'!$G924),1,"")</x:f>
      </x:c>
      <x:c r="O1901" s="32" t="n">
        <x:f>IF(AND(O$8&lt;='Detalle'!$H924,O$9&gt;='Detalle'!$G924),1,"")</x:f>
        <x:v>1</x:v>
      </x:c>
      <x:c r="P1901" s="32" t="str">
        <x:f>IF(AND(P$8&lt;='Detalle'!$H924,P$9&gt;='Detalle'!$G924),1,"")</x:f>
      </x:c>
      <x:c r="Q1901" s="68"/>
      <x:c r="R1901" s="67" t="str">
        <x:f>IF('Detalle'!M924="","",'Detalle'!M924)</x:f>
      </x:c>
      <x:c r="S1901" s="67" t="str">
        <x:f>IF('Detalle'!N924="","",'Detalle'!N924)</x:f>
      </x:c>
    </x:row>
    <x:row r="1902" ht="16" customHeight="1">
      <x:c r="A1902" s="56" t="str">
        <x:v>PIL02.003</x:v>
      </x:c>
      <x:c r="B1902" s="57" t="str">
        <x:v>Procesar y revisar panoramas del piloto</x:v>
      </x:c>
      <x:c r="C1902" s="63" t="str">
        <x:v>R</x:v>
      </x:c>
      <x:c r="D1902" s="65" t="str">
        <x:f>IF('Detalle'!L924="","",'Detalle'!L924)</x:f>
      </x:c>
      <x:c r="E1902" s="60" t="str"/>
      <x:c r="F1902" s="32" t="str">
        <x:f>IF(OR('Detalle'!$J924="",'Detalle'!$K924="",'Detalle'!$L924=""),"",IF(AND(F$8&lt;='Detalle'!$K924,F$9&gt;='Detalle'!$J924),1,""))</x:f>
      </x:c>
      <x:c r="G1902" s="32" t="str">
        <x:f>IF(OR('Detalle'!$J924="",'Detalle'!$K924="",'Detalle'!$L924=""),"",IF(AND(G$8&lt;='Detalle'!$K924,G$9&gt;='Detalle'!$J924),1,""))</x:f>
      </x:c>
      <x:c r="H1902" s="32" t="str">
        <x:f>IF(OR('Detalle'!$J924="",'Detalle'!$K924="",'Detalle'!$L924=""),"",IF(AND(H$8&lt;='Detalle'!$K924,H$9&gt;='Detalle'!$J924),1,""))</x:f>
      </x:c>
      <x:c r="I1902" s="32" t="str">
        <x:f>IF(OR('Detalle'!$J924="",'Detalle'!$K924="",'Detalle'!$L924=""),"",IF(AND(I$8&lt;='Detalle'!$K924,I$9&gt;='Detalle'!$J924),1,""))</x:f>
      </x:c>
      <x:c r="J1902" s="32" t="str">
        <x:f>IF(OR('Detalle'!$J924="",'Detalle'!$K924="",'Detalle'!$L924=""),"",IF(AND(J$8&lt;='Detalle'!$K924,J$9&gt;='Detalle'!$J924),1,""))</x:f>
      </x:c>
      <x:c r="K1902" s="32" t="str">
        <x:f>IF(OR('Detalle'!$J924="",'Detalle'!$K924="",'Detalle'!$L924=""),"",IF(AND(K$8&lt;='Detalle'!$K924,K$9&gt;='Detalle'!$J924),1,""))</x:f>
      </x:c>
      <x:c r="L1902" s="32" t="str">
        <x:f>IF(OR('Detalle'!$J924="",'Detalle'!$K924="",'Detalle'!$L924=""),"",IF(AND(L$8&lt;='Detalle'!$K924,L$9&gt;='Detalle'!$J924),1,""))</x:f>
      </x:c>
      <x:c r="M1902" s="32" t="str">
        <x:f>IF(OR('Detalle'!$J924="",'Detalle'!$K924="",'Detalle'!$L924=""),"",IF(AND(M$8&lt;='Detalle'!$K924,M$9&gt;='Detalle'!$J924),1,""))</x:f>
      </x:c>
      <x:c r="N1902" s="32" t="str">
        <x:f>IF(OR('Detalle'!$J924="",'Detalle'!$K924="",'Detalle'!$L924=""),"",IF(AND(N$8&lt;='Detalle'!$K924,N$9&gt;='Detalle'!$J924),1,""))</x:f>
      </x:c>
      <x:c r="O1902" s="32" t="str">
        <x:f>IF(OR('Detalle'!$J924="",'Detalle'!$K924="",'Detalle'!$L924=""),"",IF(AND(O$8&lt;='Detalle'!$K924,O$9&gt;='Detalle'!$J924),1,""))</x:f>
      </x:c>
      <x:c r="P1902" s="32" t="str">
        <x:f>IF(OR('Detalle'!$J924="",'Detalle'!$K924="",'Detalle'!$L924=""),"",IF(AND(P$8&lt;='Detalle'!$K924,P$9&gt;='Detalle'!$J924),1,""))</x:f>
      </x:c>
      <x:c r="Q1902" s="68"/>
      <x:c r="R1902" s="67" t="str"/>
      <x:c r="S1902" s="67" t="str"/>
    </x:row>
    <x:row r="1903" ht="16" customHeight="1">
      <x:c r="A1903" s="56" t="str">
        <x:v>PIL02.004</x:v>
      </x:c>
      <x:c r="B1903" s="57" t="str">
        <x:v>Configurar puntos y conexiones reales</x:v>
      </x:c>
      <x:c r="C1903" s="62" t="str">
        <x:v>E</x:v>
      </x:c>
      <x:c r="D1903" s="64" t="n">
        <x:f>'Detalle'!I925</x:f>
        <x:v>1</x:v>
      </x:c>
      <x:c r="E1903" s="60" t="str">
        <x:f>'Detalle'!F925</x:f>
        <x:v>Pendiente</x:v>
      </x:c>
      <x:c r="F1903" s="32" t="str">
        <x:f>IF(AND(F$8&lt;='Detalle'!$H925,F$9&gt;='Detalle'!$G925),1,"")</x:f>
      </x:c>
      <x:c r="G1903" s="32" t="str">
        <x:f>IF(AND(G$8&lt;='Detalle'!$H925,G$9&gt;='Detalle'!$G925),1,"")</x:f>
      </x:c>
      <x:c r="H1903" s="32" t="str">
        <x:f>IF(AND(H$8&lt;='Detalle'!$H925,H$9&gt;='Detalle'!$G925),1,"")</x:f>
      </x:c>
      <x:c r="I1903" s="32" t="str">
        <x:f>IF(AND(I$8&lt;='Detalle'!$H925,I$9&gt;='Detalle'!$G925),1,"")</x:f>
      </x:c>
      <x:c r="J1903" s="32" t="str">
        <x:f>IF(AND(J$8&lt;='Detalle'!$H925,J$9&gt;='Detalle'!$G925),1,"")</x:f>
      </x:c>
      <x:c r="K1903" s="32" t="str">
        <x:f>IF(AND(K$8&lt;='Detalle'!$H925,K$9&gt;='Detalle'!$G925),1,"")</x:f>
      </x:c>
      <x:c r="L1903" s="32" t="str">
        <x:f>IF(AND(L$8&lt;='Detalle'!$H925,L$9&gt;='Detalle'!$G925),1,"")</x:f>
      </x:c>
      <x:c r="M1903" s="32" t="str">
        <x:f>IF(AND(M$8&lt;='Detalle'!$H925,M$9&gt;='Detalle'!$G925),1,"")</x:f>
      </x:c>
      <x:c r="N1903" s="32" t="str">
        <x:f>IF(AND(N$8&lt;='Detalle'!$H925,N$9&gt;='Detalle'!$G925),1,"")</x:f>
      </x:c>
      <x:c r="O1903" s="32" t="n">
        <x:f>IF(AND(O$8&lt;='Detalle'!$H925,O$9&gt;='Detalle'!$G925),1,"")</x:f>
        <x:v>1</x:v>
      </x:c>
      <x:c r="P1903" s="32" t="str">
        <x:f>IF(AND(P$8&lt;='Detalle'!$H925,P$9&gt;='Detalle'!$G925),1,"")</x:f>
      </x:c>
      <x:c r="Q1903" s="68"/>
      <x:c r="R1903" s="67" t="str">
        <x:f>IF('Detalle'!M925="","",'Detalle'!M925)</x:f>
      </x:c>
      <x:c r="S1903" s="67" t="str">
        <x:f>IF('Detalle'!N925="","",'Detalle'!N925)</x:f>
      </x:c>
    </x:row>
    <x:row r="1904" ht="16" customHeight="1">
      <x:c r="A1904" s="56" t="str">
        <x:v>PIL02.004</x:v>
      </x:c>
      <x:c r="B1904" s="57" t="str">
        <x:v>Configurar puntos y conexiones reales</x:v>
      </x:c>
      <x:c r="C1904" s="63" t="str">
        <x:v>R</x:v>
      </x:c>
      <x:c r="D1904" s="65" t="str">
        <x:f>IF('Detalle'!L925="","",'Detalle'!L925)</x:f>
      </x:c>
      <x:c r="E1904" s="60" t="str"/>
      <x:c r="F1904" s="32" t="str">
        <x:f>IF(OR('Detalle'!$J925="",'Detalle'!$K925="",'Detalle'!$L925=""),"",IF(AND(F$8&lt;='Detalle'!$K925,F$9&gt;='Detalle'!$J925),1,""))</x:f>
      </x:c>
      <x:c r="G1904" s="32" t="str">
        <x:f>IF(OR('Detalle'!$J925="",'Detalle'!$K925="",'Detalle'!$L925=""),"",IF(AND(G$8&lt;='Detalle'!$K925,G$9&gt;='Detalle'!$J925),1,""))</x:f>
      </x:c>
      <x:c r="H1904" s="32" t="str">
        <x:f>IF(OR('Detalle'!$J925="",'Detalle'!$K925="",'Detalle'!$L925=""),"",IF(AND(H$8&lt;='Detalle'!$K925,H$9&gt;='Detalle'!$J925),1,""))</x:f>
      </x:c>
      <x:c r="I1904" s="32" t="str">
        <x:f>IF(OR('Detalle'!$J925="",'Detalle'!$K925="",'Detalle'!$L925=""),"",IF(AND(I$8&lt;='Detalle'!$K925,I$9&gt;='Detalle'!$J925),1,""))</x:f>
      </x:c>
      <x:c r="J1904" s="32" t="str">
        <x:f>IF(OR('Detalle'!$J925="",'Detalle'!$K925="",'Detalle'!$L925=""),"",IF(AND(J$8&lt;='Detalle'!$K925,J$9&gt;='Detalle'!$J925),1,""))</x:f>
      </x:c>
      <x:c r="K1904" s="32" t="str">
        <x:f>IF(OR('Detalle'!$J925="",'Detalle'!$K925="",'Detalle'!$L925=""),"",IF(AND(K$8&lt;='Detalle'!$K925,K$9&gt;='Detalle'!$J925),1,""))</x:f>
      </x:c>
      <x:c r="L1904" s="32" t="str">
        <x:f>IF(OR('Detalle'!$J925="",'Detalle'!$K925="",'Detalle'!$L925=""),"",IF(AND(L$8&lt;='Detalle'!$K925,L$9&gt;='Detalle'!$J925),1,""))</x:f>
      </x:c>
      <x:c r="M1904" s="32" t="str">
        <x:f>IF(OR('Detalle'!$J925="",'Detalle'!$K925="",'Detalle'!$L925=""),"",IF(AND(M$8&lt;='Detalle'!$K925,M$9&gt;='Detalle'!$J925),1,""))</x:f>
      </x:c>
      <x:c r="N1904" s="32" t="str">
        <x:f>IF(OR('Detalle'!$J925="",'Detalle'!$K925="",'Detalle'!$L925=""),"",IF(AND(N$8&lt;='Detalle'!$K925,N$9&gt;='Detalle'!$J925),1,""))</x:f>
      </x:c>
      <x:c r="O1904" s="32" t="str">
        <x:f>IF(OR('Detalle'!$J925="",'Detalle'!$K925="",'Detalle'!$L925=""),"",IF(AND(O$8&lt;='Detalle'!$K925,O$9&gt;='Detalle'!$J925),1,""))</x:f>
      </x:c>
      <x:c r="P1904" s="32" t="str">
        <x:f>IF(OR('Detalle'!$J925="",'Detalle'!$K925="",'Detalle'!$L925=""),"",IF(AND(P$8&lt;='Detalle'!$K925,P$9&gt;='Detalle'!$J925),1,""))</x:f>
      </x:c>
      <x:c r="Q1904" s="68"/>
      <x:c r="R1904" s="67" t="str"/>
      <x:c r="S1904" s="67" t="str"/>
    </x:row>
    <x:row r="1905" ht="16" customHeight="1">
      <x:c r="A1905" s="56" t="str">
        <x:v>PIL02.005</x:v>
      </x:c>
      <x:c r="B1905" s="57" t="str">
        <x:v>Solicitar permisos de contenido vinculado</x:v>
      </x:c>
      <x:c r="C1905" s="62" t="str">
        <x:v>E</x:v>
      </x:c>
      <x:c r="D1905" s="64" t="n">
        <x:f>'Detalle'!I926</x:f>
        <x:v>1</x:v>
      </x:c>
      <x:c r="E1905" s="60" t="str">
        <x:f>'Detalle'!F926</x:f>
        <x:v>Pendiente</x:v>
      </x:c>
      <x:c r="F1905" s="32" t="str">
        <x:f>IF(AND(F$8&lt;='Detalle'!$H926,F$9&gt;='Detalle'!$G926),1,"")</x:f>
      </x:c>
      <x:c r="G1905" s="32" t="str">
        <x:f>IF(AND(G$8&lt;='Detalle'!$H926,G$9&gt;='Detalle'!$G926),1,"")</x:f>
      </x:c>
      <x:c r="H1905" s="32" t="str">
        <x:f>IF(AND(H$8&lt;='Detalle'!$H926,H$9&gt;='Detalle'!$G926),1,"")</x:f>
      </x:c>
      <x:c r="I1905" s="32" t="str">
        <x:f>IF(AND(I$8&lt;='Detalle'!$H926,I$9&gt;='Detalle'!$G926),1,"")</x:f>
      </x:c>
      <x:c r="J1905" s="32" t="str">
        <x:f>IF(AND(J$8&lt;='Detalle'!$H926,J$9&gt;='Detalle'!$G926),1,"")</x:f>
      </x:c>
      <x:c r="K1905" s="32" t="str">
        <x:f>IF(AND(K$8&lt;='Detalle'!$H926,K$9&gt;='Detalle'!$G926),1,"")</x:f>
      </x:c>
      <x:c r="L1905" s="32" t="str">
        <x:f>IF(AND(L$8&lt;='Detalle'!$H926,L$9&gt;='Detalle'!$G926),1,"")</x:f>
      </x:c>
      <x:c r="M1905" s="32" t="str">
        <x:f>IF(AND(M$8&lt;='Detalle'!$H926,M$9&gt;='Detalle'!$G926),1,"")</x:f>
      </x:c>
      <x:c r="N1905" s="32" t="str">
        <x:f>IF(AND(N$8&lt;='Detalle'!$H926,N$9&gt;='Detalle'!$G926),1,"")</x:f>
      </x:c>
      <x:c r="O1905" s="32" t="n">
        <x:f>IF(AND(O$8&lt;='Detalle'!$H926,O$9&gt;='Detalle'!$G926),1,"")</x:f>
        <x:v>1</x:v>
      </x:c>
      <x:c r="P1905" s="32" t="str">
        <x:f>IF(AND(P$8&lt;='Detalle'!$H926,P$9&gt;='Detalle'!$G926),1,"")</x:f>
      </x:c>
      <x:c r="Q1905" s="68"/>
      <x:c r="R1905" s="67" t="str">
        <x:f>IF('Detalle'!M926="","",'Detalle'!M926)</x:f>
      </x:c>
      <x:c r="S1905" s="67" t="str">
        <x:f>IF('Detalle'!N926="","",'Detalle'!N926)</x:f>
      </x:c>
    </x:row>
    <x:row r="1906" ht="16" customHeight="1">
      <x:c r="A1906" s="56" t="str">
        <x:v>PIL02.005</x:v>
      </x:c>
      <x:c r="B1906" s="57" t="str">
        <x:v>Solicitar permisos de contenido vinculado</x:v>
      </x:c>
      <x:c r="C1906" s="63" t="str">
        <x:v>R</x:v>
      </x:c>
      <x:c r="D1906" s="65" t="str">
        <x:f>IF('Detalle'!L926="","",'Detalle'!L926)</x:f>
      </x:c>
      <x:c r="E1906" s="60" t="str"/>
      <x:c r="F1906" s="32" t="str">
        <x:f>IF(OR('Detalle'!$J926="",'Detalle'!$K926="",'Detalle'!$L926=""),"",IF(AND(F$8&lt;='Detalle'!$K926,F$9&gt;='Detalle'!$J926),1,""))</x:f>
      </x:c>
      <x:c r="G1906" s="32" t="str">
        <x:f>IF(OR('Detalle'!$J926="",'Detalle'!$K926="",'Detalle'!$L926=""),"",IF(AND(G$8&lt;='Detalle'!$K926,G$9&gt;='Detalle'!$J926),1,""))</x:f>
      </x:c>
      <x:c r="H1906" s="32" t="str">
        <x:f>IF(OR('Detalle'!$J926="",'Detalle'!$K926="",'Detalle'!$L926=""),"",IF(AND(H$8&lt;='Detalle'!$K926,H$9&gt;='Detalle'!$J926),1,""))</x:f>
      </x:c>
      <x:c r="I1906" s="32" t="str">
        <x:f>IF(OR('Detalle'!$J926="",'Detalle'!$K926="",'Detalle'!$L926=""),"",IF(AND(I$8&lt;='Detalle'!$K926,I$9&gt;='Detalle'!$J926),1,""))</x:f>
      </x:c>
      <x:c r="J1906" s="32" t="str">
        <x:f>IF(OR('Detalle'!$J926="",'Detalle'!$K926="",'Detalle'!$L926=""),"",IF(AND(J$8&lt;='Detalle'!$K926,J$9&gt;='Detalle'!$J926),1,""))</x:f>
      </x:c>
      <x:c r="K1906" s="32" t="str">
        <x:f>IF(OR('Detalle'!$J926="",'Detalle'!$K926="",'Detalle'!$L926=""),"",IF(AND(K$8&lt;='Detalle'!$K926,K$9&gt;='Detalle'!$J926),1,""))</x:f>
      </x:c>
      <x:c r="L1906" s="32" t="str">
        <x:f>IF(OR('Detalle'!$J926="",'Detalle'!$K926="",'Detalle'!$L926=""),"",IF(AND(L$8&lt;='Detalle'!$K926,L$9&gt;='Detalle'!$J926),1,""))</x:f>
      </x:c>
      <x:c r="M1906" s="32" t="str">
        <x:f>IF(OR('Detalle'!$J926="",'Detalle'!$K926="",'Detalle'!$L926=""),"",IF(AND(M$8&lt;='Detalle'!$K926,M$9&gt;='Detalle'!$J926),1,""))</x:f>
      </x:c>
      <x:c r="N1906" s="32" t="str">
        <x:f>IF(OR('Detalle'!$J926="",'Detalle'!$K926="",'Detalle'!$L926=""),"",IF(AND(N$8&lt;='Detalle'!$K926,N$9&gt;='Detalle'!$J926),1,""))</x:f>
      </x:c>
      <x:c r="O1906" s="32" t="str">
        <x:f>IF(OR('Detalle'!$J926="",'Detalle'!$K926="",'Detalle'!$L926=""),"",IF(AND(O$8&lt;='Detalle'!$K926,O$9&gt;='Detalle'!$J926),1,""))</x:f>
      </x:c>
      <x:c r="P1906" s="32" t="str">
        <x:f>IF(OR('Detalle'!$J926="",'Detalle'!$K926="",'Detalle'!$L926=""),"",IF(AND(P$8&lt;='Detalle'!$K926,P$9&gt;='Detalle'!$J926),1,""))</x:f>
      </x:c>
      <x:c r="Q1906" s="68"/>
      <x:c r="R1906" s="67" t="str"/>
      <x:c r="S1906" s="67" t="str"/>
    </x:row>
    <x:row r="1907" ht="16" customHeight="1">
      <x:c r="A1907" s="56" t="str">
        <x:v>PIL02.006</x:v>
      </x:c>
      <x:c r="B1907" s="57" t="str">
        <x:v>Preparar y validar activadores reales</x:v>
      </x:c>
      <x:c r="C1907" s="62" t="str">
        <x:v>E</x:v>
      </x:c>
      <x:c r="D1907" s="64" t="n">
        <x:f>'Detalle'!I927</x:f>
        <x:v>1</x:v>
      </x:c>
      <x:c r="E1907" s="60" t="str">
        <x:f>'Detalle'!F927</x:f>
        <x:v>Pendiente</x:v>
      </x:c>
      <x:c r="F1907" s="32" t="str">
        <x:f>IF(AND(F$8&lt;='Detalle'!$H927,F$9&gt;='Detalle'!$G927),1,"")</x:f>
      </x:c>
      <x:c r="G1907" s="32" t="str">
        <x:f>IF(AND(G$8&lt;='Detalle'!$H927,G$9&gt;='Detalle'!$G927),1,"")</x:f>
      </x:c>
      <x:c r="H1907" s="32" t="str">
        <x:f>IF(AND(H$8&lt;='Detalle'!$H927,H$9&gt;='Detalle'!$G927),1,"")</x:f>
      </x:c>
      <x:c r="I1907" s="32" t="str">
        <x:f>IF(AND(I$8&lt;='Detalle'!$H927,I$9&gt;='Detalle'!$G927),1,"")</x:f>
      </x:c>
      <x:c r="J1907" s="32" t="str">
        <x:f>IF(AND(J$8&lt;='Detalle'!$H927,J$9&gt;='Detalle'!$G927),1,"")</x:f>
      </x:c>
      <x:c r="K1907" s="32" t="str">
        <x:f>IF(AND(K$8&lt;='Detalle'!$H927,K$9&gt;='Detalle'!$G927),1,"")</x:f>
      </x:c>
      <x:c r="L1907" s="32" t="str">
        <x:f>IF(AND(L$8&lt;='Detalle'!$H927,L$9&gt;='Detalle'!$G927),1,"")</x:f>
      </x:c>
      <x:c r="M1907" s="32" t="str">
        <x:f>IF(AND(M$8&lt;='Detalle'!$H927,M$9&gt;='Detalle'!$G927),1,"")</x:f>
      </x:c>
      <x:c r="N1907" s="32" t="str">
        <x:f>IF(AND(N$8&lt;='Detalle'!$H927,N$9&gt;='Detalle'!$G927),1,"")</x:f>
      </x:c>
      <x:c r="O1907" s="32" t="n">
        <x:f>IF(AND(O$8&lt;='Detalle'!$H927,O$9&gt;='Detalle'!$G927),1,"")</x:f>
        <x:v>1</x:v>
      </x:c>
      <x:c r="P1907" s="32" t="str">
        <x:f>IF(AND(P$8&lt;='Detalle'!$H927,P$9&gt;='Detalle'!$G927),1,"")</x:f>
      </x:c>
      <x:c r="Q1907" s="68"/>
      <x:c r="R1907" s="67" t="str">
        <x:f>IF('Detalle'!M927="","",'Detalle'!M927)</x:f>
      </x:c>
      <x:c r="S1907" s="67" t="str">
        <x:f>IF('Detalle'!N927="","",'Detalle'!N927)</x:f>
      </x:c>
    </x:row>
    <x:row r="1908" ht="16" customHeight="1">
      <x:c r="A1908" s="56" t="str">
        <x:v>PIL02.006</x:v>
      </x:c>
      <x:c r="B1908" s="57" t="str">
        <x:v>Preparar y validar activadores reales</x:v>
      </x:c>
      <x:c r="C1908" s="63" t="str">
        <x:v>R</x:v>
      </x:c>
      <x:c r="D1908" s="65" t="str">
        <x:f>IF('Detalle'!L927="","",'Detalle'!L927)</x:f>
      </x:c>
      <x:c r="E1908" s="60" t="str"/>
      <x:c r="F1908" s="32" t="str">
        <x:f>IF(OR('Detalle'!$J927="",'Detalle'!$K927="",'Detalle'!$L927=""),"",IF(AND(F$8&lt;='Detalle'!$K927,F$9&gt;='Detalle'!$J927),1,""))</x:f>
      </x:c>
      <x:c r="G1908" s="32" t="str">
        <x:f>IF(OR('Detalle'!$J927="",'Detalle'!$K927="",'Detalle'!$L927=""),"",IF(AND(G$8&lt;='Detalle'!$K927,G$9&gt;='Detalle'!$J927),1,""))</x:f>
      </x:c>
      <x:c r="H1908" s="32" t="str">
        <x:f>IF(OR('Detalle'!$J927="",'Detalle'!$K927="",'Detalle'!$L927=""),"",IF(AND(H$8&lt;='Detalle'!$K927,H$9&gt;='Detalle'!$J927),1,""))</x:f>
      </x:c>
      <x:c r="I1908" s="32" t="str">
        <x:f>IF(OR('Detalle'!$J927="",'Detalle'!$K927="",'Detalle'!$L927=""),"",IF(AND(I$8&lt;='Detalle'!$K927,I$9&gt;='Detalle'!$J927),1,""))</x:f>
      </x:c>
      <x:c r="J1908" s="32" t="str">
        <x:f>IF(OR('Detalle'!$J927="",'Detalle'!$K927="",'Detalle'!$L927=""),"",IF(AND(J$8&lt;='Detalle'!$K927,J$9&gt;='Detalle'!$J927),1,""))</x:f>
      </x:c>
      <x:c r="K1908" s="32" t="str">
        <x:f>IF(OR('Detalle'!$J927="",'Detalle'!$K927="",'Detalle'!$L927=""),"",IF(AND(K$8&lt;='Detalle'!$K927,K$9&gt;='Detalle'!$J927),1,""))</x:f>
      </x:c>
      <x:c r="L1908" s="32" t="str">
        <x:f>IF(OR('Detalle'!$J927="",'Detalle'!$K927="",'Detalle'!$L927=""),"",IF(AND(L$8&lt;='Detalle'!$K927,L$9&gt;='Detalle'!$J927),1,""))</x:f>
      </x:c>
      <x:c r="M1908" s="32" t="str">
        <x:f>IF(OR('Detalle'!$J927="",'Detalle'!$K927="",'Detalle'!$L927=""),"",IF(AND(M$8&lt;='Detalle'!$K927,M$9&gt;='Detalle'!$J927),1,""))</x:f>
      </x:c>
      <x:c r="N1908" s="32" t="str">
        <x:f>IF(OR('Detalle'!$J927="",'Detalle'!$K927="",'Detalle'!$L927=""),"",IF(AND(N$8&lt;='Detalle'!$K927,N$9&gt;='Detalle'!$J927),1,""))</x:f>
      </x:c>
      <x:c r="O1908" s="32" t="str">
        <x:f>IF(OR('Detalle'!$J927="",'Detalle'!$K927="",'Detalle'!$L927=""),"",IF(AND(O$8&lt;='Detalle'!$K927,O$9&gt;='Detalle'!$J927),1,""))</x:f>
      </x:c>
      <x:c r="P1908" s="32" t="str">
        <x:f>IF(OR('Detalle'!$J927="",'Detalle'!$K927="",'Detalle'!$L927=""),"",IF(AND(P$8&lt;='Detalle'!$K927,P$9&gt;='Detalle'!$J927),1,""))</x:f>
      </x:c>
      <x:c r="Q1908" s="68"/>
      <x:c r="R1908" s="67" t="str"/>
      <x:c r="S1908" s="67" t="str"/>
    </x:row>
    <x:row r="1909" ht="16" customHeight="1">
      <x:c r="A1909" s="56" t="str">
        <x:v>PIL02.007</x:v>
      </x:c>
      <x:c r="B1909" s="57" t="str">
        <x:v>Enviar snapshot del recorrido piloto</x:v>
      </x:c>
      <x:c r="C1909" s="62" t="str">
        <x:v>E</x:v>
      </x:c>
      <x:c r="D1909" s="64" t="n">
        <x:f>'Detalle'!I928</x:f>
        <x:v>1</x:v>
      </x:c>
      <x:c r="E1909" s="60" t="str">
        <x:f>'Detalle'!F928</x:f>
        <x:v>Pendiente</x:v>
      </x:c>
      <x:c r="F1909" s="32" t="str">
        <x:f>IF(AND(F$8&lt;='Detalle'!$H928,F$9&gt;='Detalle'!$G928),1,"")</x:f>
      </x:c>
      <x:c r="G1909" s="32" t="str">
        <x:f>IF(AND(G$8&lt;='Detalle'!$H928,G$9&gt;='Detalle'!$G928),1,"")</x:f>
      </x:c>
      <x:c r="H1909" s="32" t="str">
        <x:f>IF(AND(H$8&lt;='Detalle'!$H928,H$9&gt;='Detalle'!$G928),1,"")</x:f>
      </x:c>
      <x:c r="I1909" s="32" t="str">
        <x:f>IF(AND(I$8&lt;='Detalle'!$H928,I$9&gt;='Detalle'!$G928),1,"")</x:f>
      </x:c>
      <x:c r="J1909" s="32" t="str">
        <x:f>IF(AND(J$8&lt;='Detalle'!$H928,J$9&gt;='Detalle'!$G928),1,"")</x:f>
      </x:c>
      <x:c r="K1909" s="32" t="str">
        <x:f>IF(AND(K$8&lt;='Detalle'!$H928,K$9&gt;='Detalle'!$G928),1,"")</x:f>
      </x:c>
      <x:c r="L1909" s="32" t="str">
        <x:f>IF(AND(L$8&lt;='Detalle'!$H928,L$9&gt;='Detalle'!$G928),1,"")</x:f>
      </x:c>
      <x:c r="M1909" s="32" t="str">
        <x:f>IF(AND(M$8&lt;='Detalle'!$H928,M$9&gt;='Detalle'!$G928),1,"")</x:f>
      </x:c>
      <x:c r="N1909" s="32" t="str">
        <x:f>IF(AND(N$8&lt;='Detalle'!$H928,N$9&gt;='Detalle'!$G928),1,"")</x:f>
      </x:c>
      <x:c r="O1909" s="32" t="n">
        <x:f>IF(AND(O$8&lt;='Detalle'!$H928,O$9&gt;='Detalle'!$G928),1,"")</x:f>
        <x:v>1</x:v>
      </x:c>
      <x:c r="P1909" s="32" t="str">
        <x:f>IF(AND(P$8&lt;='Detalle'!$H928,P$9&gt;='Detalle'!$G928),1,"")</x:f>
      </x:c>
      <x:c r="Q1909" s="68"/>
      <x:c r="R1909" s="67" t="str">
        <x:f>IF('Detalle'!M928="","",'Detalle'!M928)</x:f>
      </x:c>
      <x:c r="S1909" s="67" t="str">
        <x:f>IF('Detalle'!N928="","",'Detalle'!N928)</x:f>
      </x:c>
    </x:row>
    <x:row r="1910" ht="16" customHeight="1">
      <x:c r="A1910" s="56" t="str">
        <x:v>PIL02.007</x:v>
      </x:c>
      <x:c r="B1910" s="57" t="str">
        <x:v>Enviar snapshot del recorrido piloto</x:v>
      </x:c>
      <x:c r="C1910" s="63" t="str">
        <x:v>R</x:v>
      </x:c>
      <x:c r="D1910" s="65" t="str">
        <x:f>IF('Detalle'!L928="","",'Detalle'!L928)</x:f>
      </x:c>
      <x:c r="E1910" s="60" t="str"/>
      <x:c r="F1910" s="32" t="str">
        <x:f>IF(OR('Detalle'!$J928="",'Detalle'!$K928="",'Detalle'!$L928=""),"",IF(AND(F$8&lt;='Detalle'!$K928,F$9&gt;='Detalle'!$J928),1,""))</x:f>
      </x:c>
      <x:c r="G1910" s="32" t="str">
        <x:f>IF(OR('Detalle'!$J928="",'Detalle'!$K928="",'Detalle'!$L928=""),"",IF(AND(G$8&lt;='Detalle'!$K928,G$9&gt;='Detalle'!$J928),1,""))</x:f>
      </x:c>
      <x:c r="H1910" s="32" t="str">
        <x:f>IF(OR('Detalle'!$J928="",'Detalle'!$K928="",'Detalle'!$L928=""),"",IF(AND(H$8&lt;='Detalle'!$K928,H$9&gt;='Detalle'!$J928),1,""))</x:f>
      </x:c>
      <x:c r="I1910" s="32" t="str">
        <x:f>IF(OR('Detalle'!$J928="",'Detalle'!$K928="",'Detalle'!$L928=""),"",IF(AND(I$8&lt;='Detalle'!$K928,I$9&gt;='Detalle'!$J928),1,""))</x:f>
      </x:c>
      <x:c r="J1910" s="32" t="str">
        <x:f>IF(OR('Detalle'!$J928="",'Detalle'!$K928="",'Detalle'!$L928=""),"",IF(AND(J$8&lt;='Detalle'!$K928,J$9&gt;='Detalle'!$J928),1,""))</x:f>
      </x:c>
      <x:c r="K1910" s="32" t="str">
        <x:f>IF(OR('Detalle'!$J928="",'Detalle'!$K928="",'Detalle'!$L928=""),"",IF(AND(K$8&lt;='Detalle'!$K928,K$9&gt;='Detalle'!$J928),1,""))</x:f>
      </x:c>
      <x:c r="L1910" s="32" t="str">
        <x:f>IF(OR('Detalle'!$J928="",'Detalle'!$K928="",'Detalle'!$L928=""),"",IF(AND(L$8&lt;='Detalle'!$K928,L$9&gt;='Detalle'!$J928),1,""))</x:f>
      </x:c>
      <x:c r="M1910" s="32" t="str">
        <x:f>IF(OR('Detalle'!$J928="",'Detalle'!$K928="",'Detalle'!$L928=""),"",IF(AND(M$8&lt;='Detalle'!$K928,M$9&gt;='Detalle'!$J928),1,""))</x:f>
      </x:c>
      <x:c r="N1910" s="32" t="str">
        <x:f>IF(OR('Detalle'!$J928="",'Detalle'!$K928="",'Detalle'!$L928=""),"",IF(AND(N$8&lt;='Detalle'!$K928,N$9&gt;='Detalle'!$J928),1,""))</x:f>
      </x:c>
      <x:c r="O1910" s="32" t="str">
        <x:f>IF(OR('Detalle'!$J928="",'Detalle'!$K928="",'Detalle'!$L928=""),"",IF(AND(O$8&lt;='Detalle'!$K928,O$9&gt;='Detalle'!$J928),1,""))</x:f>
      </x:c>
      <x:c r="P1910" s="32" t="str">
        <x:f>IF(OR('Detalle'!$J928="",'Detalle'!$K928="",'Detalle'!$L928=""),"",IF(AND(P$8&lt;='Detalle'!$K928,P$9&gt;='Detalle'!$J928),1,""))</x:f>
      </x:c>
      <x:c r="Q1910" s="68"/>
      <x:c r="R1910" s="67" t="str"/>
      <x:c r="S1910" s="67" t="str"/>
    </x:row>
    <x:row r="1911" ht="16" customHeight="1">
      <x:c r="A1911" s="56" t="str">
        <x:v>PIL02.008</x:v>
      </x:c>
      <x:c r="B1911" s="57" t="str">
        <x:v>Aprobar y publicar recorrido piloto</x:v>
      </x:c>
      <x:c r="C1911" s="62" t="str">
        <x:v>E</x:v>
      </x:c>
      <x:c r="D1911" s="64" t="n">
        <x:f>'Detalle'!I929</x:f>
        <x:v>1</x:v>
      </x:c>
      <x:c r="E1911" s="60" t="str">
        <x:f>'Detalle'!F929</x:f>
        <x:v>Pendiente</x:v>
      </x:c>
      <x:c r="F1911" s="32" t="str">
        <x:f>IF(AND(F$8&lt;='Detalle'!$H929,F$9&gt;='Detalle'!$G929),1,"")</x:f>
      </x:c>
      <x:c r="G1911" s="32" t="str">
        <x:f>IF(AND(G$8&lt;='Detalle'!$H929,G$9&gt;='Detalle'!$G929),1,"")</x:f>
      </x:c>
      <x:c r="H1911" s="32" t="str">
        <x:f>IF(AND(H$8&lt;='Detalle'!$H929,H$9&gt;='Detalle'!$G929),1,"")</x:f>
      </x:c>
      <x:c r="I1911" s="32" t="str">
        <x:f>IF(AND(I$8&lt;='Detalle'!$H929,I$9&gt;='Detalle'!$G929),1,"")</x:f>
      </x:c>
      <x:c r="J1911" s="32" t="str">
        <x:f>IF(AND(J$8&lt;='Detalle'!$H929,J$9&gt;='Detalle'!$G929),1,"")</x:f>
      </x:c>
      <x:c r="K1911" s="32" t="str">
        <x:f>IF(AND(K$8&lt;='Detalle'!$H929,K$9&gt;='Detalle'!$G929),1,"")</x:f>
      </x:c>
      <x:c r="L1911" s="32" t="str">
        <x:f>IF(AND(L$8&lt;='Detalle'!$H929,L$9&gt;='Detalle'!$G929),1,"")</x:f>
      </x:c>
      <x:c r="M1911" s="32" t="str">
        <x:f>IF(AND(M$8&lt;='Detalle'!$H929,M$9&gt;='Detalle'!$G929),1,"")</x:f>
      </x:c>
      <x:c r="N1911" s="32" t="str">
        <x:f>IF(AND(N$8&lt;='Detalle'!$H929,N$9&gt;='Detalle'!$G929),1,"")</x:f>
      </x:c>
      <x:c r="O1911" s="32" t="n">
        <x:f>IF(AND(O$8&lt;='Detalle'!$H929,O$9&gt;='Detalle'!$G929),1,"")</x:f>
        <x:v>1</x:v>
      </x:c>
      <x:c r="P1911" s="32" t="str">
        <x:f>IF(AND(P$8&lt;='Detalle'!$H929,P$9&gt;='Detalle'!$G929),1,"")</x:f>
      </x:c>
      <x:c r="Q1911" s="68"/>
      <x:c r="R1911" s="67" t="str">
        <x:f>IF('Detalle'!M929="","",'Detalle'!M929)</x:f>
      </x:c>
      <x:c r="S1911" s="67" t="str">
        <x:f>IF('Detalle'!N929="","",'Detalle'!N929)</x:f>
      </x:c>
    </x:row>
    <x:row r="1912" ht="16" customHeight="1">
      <x:c r="A1912" s="56" t="str">
        <x:v>PIL02.008</x:v>
      </x:c>
      <x:c r="B1912" s="57" t="str">
        <x:v>Aprobar y publicar recorrido piloto</x:v>
      </x:c>
      <x:c r="C1912" s="63" t="str">
        <x:v>R</x:v>
      </x:c>
      <x:c r="D1912" s="65" t="str">
        <x:f>IF('Detalle'!L929="","",'Detalle'!L929)</x:f>
      </x:c>
      <x:c r="E1912" s="60" t="str"/>
      <x:c r="F1912" s="32" t="str">
        <x:f>IF(OR('Detalle'!$J929="",'Detalle'!$K929="",'Detalle'!$L929=""),"",IF(AND(F$8&lt;='Detalle'!$K929,F$9&gt;='Detalle'!$J929),1,""))</x:f>
      </x:c>
      <x:c r="G1912" s="32" t="str">
        <x:f>IF(OR('Detalle'!$J929="",'Detalle'!$K929="",'Detalle'!$L929=""),"",IF(AND(G$8&lt;='Detalle'!$K929,G$9&gt;='Detalle'!$J929),1,""))</x:f>
      </x:c>
      <x:c r="H1912" s="32" t="str">
        <x:f>IF(OR('Detalle'!$J929="",'Detalle'!$K929="",'Detalle'!$L929=""),"",IF(AND(H$8&lt;='Detalle'!$K929,H$9&gt;='Detalle'!$J929),1,""))</x:f>
      </x:c>
      <x:c r="I1912" s="32" t="str">
        <x:f>IF(OR('Detalle'!$J929="",'Detalle'!$K929="",'Detalle'!$L929=""),"",IF(AND(I$8&lt;='Detalle'!$K929,I$9&gt;='Detalle'!$J929),1,""))</x:f>
      </x:c>
      <x:c r="J1912" s="32" t="str">
        <x:f>IF(OR('Detalle'!$J929="",'Detalle'!$K929="",'Detalle'!$L929=""),"",IF(AND(J$8&lt;='Detalle'!$K929,J$9&gt;='Detalle'!$J929),1,""))</x:f>
      </x:c>
      <x:c r="K1912" s="32" t="str">
        <x:f>IF(OR('Detalle'!$J929="",'Detalle'!$K929="",'Detalle'!$L929=""),"",IF(AND(K$8&lt;='Detalle'!$K929,K$9&gt;='Detalle'!$J929),1,""))</x:f>
      </x:c>
      <x:c r="L1912" s="32" t="str">
        <x:f>IF(OR('Detalle'!$J929="",'Detalle'!$K929="",'Detalle'!$L929=""),"",IF(AND(L$8&lt;='Detalle'!$K929,L$9&gt;='Detalle'!$J929),1,""))</x:f>
      </x:c>
      <x:c r="M1912" s="32" t="str">
        <x:f>IF(OR('Detalle'!$J929="",'Detalle'!$K929="",'Detalle'!$L929=""),"",IF(AND(M$8&lt;='Detalle'!$K929,M$9&gt;='Detalle'!$J929),1,""))</x:f>
      </x:c>
      <x:c r="N1912" s="32" t="str">
        <x:f>IF(OR('Detalle'!$J929="",'Detalle'!$K929="",'Detalle'!$L929=""),"",IF(AND(N$8&lt;='Detalle'!$K929,N$9&gt;='Detalle'!$J929),1,""))</x:f>
      </x:c>
      <x:c r="O1912" s="32" t="str">
        <x:f>IF(OR('Detalle'!$J929="",'Detalle'!$K929="",'Detalle'!$L929=""),"",IF(AND(O$8&lt;='Detalle'!$K929,O$9&gt;='Detalle'!$J929),1,""))</x:f>
      </x:c>
      <x:c r="P1912" s="32" t="str">
        <x:f>IF(OR('Detalle'!$J929="",'Detalle'!$K929="",'Detalle'!$L929=""),"",IF(AND(P$8&lt;='Detalle'!$K929,P$9&gt;='Detalle'!$J929),1,""))</x:f>
      </x:c>
      <x:c r="Q1912" s="68"/>
      <x:c r="R1912" s="67" t="str"/>
      <x:c r="S1912" s="67" t="str"/>
    </x:row>
    <x:row r="1913" ht="16" customHeight="1">
      <x:c r="A1913" s="56" t="str">
        <x:v>PIL02.009</x:v>
      </x:c>
      <x:c r="B1913" s="57" t="str">
        <x:v>Explorar recorrido desde otro usuario</x:v>
      </x:c>
      <x:c r="C1913" s="62" t="str">
        <x:v>E</x:v>
      </x:c>
      <x:c r="D1913" s="64" t="n">
        <x:f>'Detalle'!I930</x:f>
        <x:v>1</x:v>
      </x:c>
      <x:c r="E1913" s="60" t="str">
        <x:f>'Detalle'!F930</x:f>
        <x:v>Pendiente</x:v>
      </x:c>
      <x:c r="F1913" s="32" t="str">
        <x:f>IF(AND(F$8&lt;='Detalle'!$H930,F$9&gt;='Detalle'!$G930),1,"")</x:f>
      </x:c>
      <x:c r="G1913" s="32" t="str">
        <x:f>IF(AND(G$8&lt;='Detalle'!$H930,G$9&gt;='Detalle'!$G930),1,"")</x:f>
      </x:c>
      <x:c r="H1913" s="32" t="str">
        <x:f>IF(AND(H$8&lt;='Detalle'!$H930,H$9&gt;='Detalle'!$G930),1,"")</x:f>
      </x:c>
      <x:c r="I1913" s="32" t="str">
        <x:f>IF(AND(I$8&lt;='Detalle'!$H930,I$9&gt;='Detalle'!$G930),1,"")</x:f>
      </x:c>
      <x:c r="J1913" s="32" t="str">
        <x:f>IF(AND(J$8&lt;='Detalle'!$H930,J$9&gt;='Detalle'!$G930),1,"")</x:f>
      </x:c>
      <x:c r="K1913" s="32" t="str">
        <x:f>IF(AND(K$8&lt;='Detalle'!$H930,K$9&gt;='Detalle'!$G930),1,"")</x:f>
      </x:c>
      <x:c r="L1913" s="32" t="str">
        <x:f>IF(AND(L$8&lt;='Detalle'!$H930,L$9&gt;='Detalle'!$G930),1,"")</x:f>
      </x:c>
      <x:c r="M1913" s="32" t="str">
        <x:f>IF(AND(M$8&lt;='Detalle'!$H930,M$9&gt;='Detalle'!$G930),1,"")</x:f>
      </x:c>
      <x:c r="N1913" s="32" t="str">
        <x:f>IF(AND(N$8&lt;='Detalle'!$H930,N$9&gt;='Detalle'!$G930),1,"")</x:f>
      </x:c>
      <x:c r="O1913" s="32" t="n">
        <x:f>IF(AND(O$8&lt;='Detalle'!$H930,O$9&gt;='Detalle'!$G930),1,"")</x:f>
        <x:v>1</x:v>
      </x:c>
      <x:c r="P1913" s="32" t="str">
        <x:f>IF(AND(P$8&lt;='Detalle'!$H930,P$9&gt;='Detalle'!$G930),1,"")</x:f>
      </x:c>
      <x:c r="Q1913" s="68"/>
      <x:c r="R1913" s="67" t="str">
        <x:f>IF('Detalle'!M930="","",'Detalle'!M930)</x:f>
      </x:c>
      <x:c r="S1913" s="67" t="str">
        <x:f>IF('Detalle'!N930="","",'Detalle'!N930)</x:f>
      </x:c>
    </x:row>
    <x:row r="1914" ht="16" customHeight="1">
      <x:c r="A1914" s="56" t="str">
        <x:v>PIL02.009</x:v>
      </x:c>
      <x:c r="B1914" s="57" t="str">
        <x:v>Explorar recorrido desde otro usuario</x:v>
      </x:c>
      <x:c r="C1914" s="63" t="str">
        <x:v>R</x:v>
      </x:c>
      <x:c r="D1914" s="65" t="str">
        <x:f>IF('Detalle'!L930="","",'Detalle'!L930)</x:f>
      </x:c>
      <x:c r="E1914" s="60" t="str"/>
      <x:c r="F1914" s="32" t="str">
        <x:f>IF(OR('Detalle'!$J930="",'Detalle'!$K930="",'Detalle'!$L930=""),"",IF(AND(F$8&lt;='Detalle'!$K930,F$9&gt;='Detalle'!$J930),1,""))</x:f>
      </x:c>
      <x:c r="G1914" s="32" t="str">
        <x:f>IF(OR('Detalle'!$J930="",'Detalle'!$K930="",'Detalle'!$L930=""),"",IF(AND(G$8&lt;='Detalle'!$K930,G$9&gt;='Detalle'!$J930),1,""))</x:f>
      </x:c>
      <x:c r="H1914" s="32" t="str">
        <x:f>IF(OR('Detalle'!$J930="",'Detalle'!$K930="",'Detalle'!$L930=""),"",IF(AND(H$8&lt;='Detalle'!$K930,H$9&gt;='Detalle'!$J930),1,""))</x:f>
      </x:c>
      <x:c r="I1914" s="32" t="str">
        <x:f>IF(OR('Detalle'!$J930="",'Detalle'!$K930="",'Detalle'!$L930=""),"",IF(AND(I$8&lt;='Detalle'!$K930,I$9&gt;='Detalle'!$J930),1,""))</x:f>
      </x:c>
      <x:c r="J1914" s="32" t="str">
        <x:f>IF(OR('Detalle'!$J930="",'Detalle'!$K930="",'Detalle'!$L930=""),"",IF(AND(J$8&lt;='Detalle'!$K930,J$9&gt;='Detalle'!$J930),1,""))</x:f>
      </x:c>
      <x:c r="K1914" s="32" t="str">
        <x:f>IF(OR('Detalle'!$J930="",'Detalle'!$K930="",'Detalle'!$L930=""),"",IF(AND(K$8&lt;='Detalle'!$K930,K$9&gt;='Detalle'!$J930),1,""))</x:f>
      </x:c>
      <x:c r="L1914" s="32" t="str">
        <x:f>IF(OR('Detalle'!$J930="",'Detalle'!$K930="",'Detalle'!$L930=""),"",IF(AND(L$8&lt;='Detalle'!$K930,L$9&gt;='Detalle'!$J930),1,""))</x:f>
      </x:c>
      <x:c r="M1914" s="32" t="str">
        <x:f>IF(OR('Detalle'!$J930="",'Detalle'!$K930="",'Detalle'!$L930=""),"",IF(AND(M$8&lt;='Detalle'!$K930,M$9&gt;='Detalle'!$J930),1,""))</x:f>
      </x:c>
      <x:c r="N1914" s="32" t="str">
        <x:f>IF(OR('Detalle'!$J930="",'Detalle'!$K930="",'Detalle'!$L930=""),"",IF(AND(N$8&lt;='Detalle'!$K930,N$9&gt;='Detalle'!$J930),1,""))</x:f>
      </x:c>
      <x:c r="O1914" s="32" t="str">
        <x:f>IF(OR('Detalle'!$J930="",'Detalle'!$K930="",'Detalle'!$L930=""),"",IF(AND(O$8&lt;='Detalle'!$K930,O$9&gt;='Detalle'!$J930),1,""))</x:f>
      </x:c>
      <x:c r="P1914" s="32" t="str">
        <x:f>IF(OR('Detalle'!$J930="",'Detalle'!$K930="",'Detalle'!$L930=""),"",IF(AND(P$8&lt;='Detalle'!$K930,P$9&gt;='Detalle'!$J930),1,""))</x:f>
      </x:c>
      <x:c r="Q1914" s="68"/>
      <x:c r="R1914" s="67" t="str"/>
      <x:c r="S1914" s="67" t="str"/>
    </x:row>
    <x:row r="1915" ht="16" customHeight="1">
      <x:c r="A1915" s="56" t="str">
        <x:v>PIL02.010</x:v>
      </x:c>
      <x:c r="B1915" s="57" t="str">
        <x:v>Recorrer paradas físicamente con AR</x:v>
      </x:c>
      <x:c r="C1915" s="62" t="str">
        <x:v>E</x:v>
      </x:c>
      <x:c r="D1915" s="64" t="n">
        <x:f>'Detalle'!I931</x:f>
        <x:v>1</x:v>
      </x:c>
      <x:c r="E1915" s="60" t="str">
        <x:f>'Detalle'!F931</x:f>
        <x:v>Pendiente</x:v>
      </x:c>
      <x:c r="F1915" s="32" t="str">
        <x:f>IF(AND(F$8&lt;='Detalle'!$H931,F$9&gt;='Detalle'!$G931),1,"")</x:f>
      </x:c>
      <x:c r="G1915" s="32" t="str">
        <x:f>IF(AND(G$8&lt;='Detalle'!$H931,G$9&gt;='Detalle'!$G931),1,"")</x:f>
      </x:c>
      <x:c r="H1915" s="32" t="str">
        <x:f>IF(AND(H$8&lt;='Detalle'!$H931,H$9&gt;='Detalle'!$G931),1,"")</x:f>
      </x:c>
      <x:c r="I1915" s="32" t="str">
        <x:f>IF(AND(I$8&lt;='Detalle'!$H931,I$9&gt;='Detalle'!$G931),1,"")</x:f>
      </x:c>
      <x:c r="J1915" s="32" t="str">
        <x:f>IF(AND(J$8&lt;='Detalle'!$H931,J$9&gt;='Detalle'!$G931),1,"")</x:f>
      </x:c>
      <x:c r="K1915" s="32" t="str">
        <x:f>IF(AND(K$8&lt;='Detalle'!$H931,K$9&gt;='Detalle'!$G931),1,"")</x:f>
      </x:c>
      <x:c r="L1915" s="32" t="str">
        <x:f>IF(AND(L$8&lt;='Detalle'!$H931,L$9&gt;='Detalle'!$G931),1,"")</x:f>
      </x:c>
      <x:c r="M1915" s="32" t="str">
        <x:f>IF(AND(M$8&lt;='Detalle'!$H931,M$9&gt;='Detalle'!$G931),1,"")</x:f>
      </x:c>
      <x:c r="N1915" s="32" t="str">
        <x:f>IF(AND(N$8&lt;='Detalle'!$H931,N$9&gt;='Detalle'!$G931),1,"")</x:f>
      </x:c>
      <x:c r="O1915" s="32" t="n">
        <x:f>IF(AND(O$8&lt;='Detalle'!$H931,O$9&gt;='Detalle'!$G931),1,"")</x:f>
        <x:v>1</x:v>
      </x:c>
      <x:c r="P1915" s="32" t="str">
        <x:f>IF(AND(P$8&lt;='Detalle'!$H931,P$9&gt;='Detalle'!$G931),1,"")</x:f>
      </x:c>
      <x:c r="Q1915" s="68"/>
      <x:c r="R1915" s="67" t="str">
        <x:f>IF('Detalle'!M931="","",'Detalle'!M931)</x:f>
      </x:c>
      <x:c r="S1915" s="67" t="str">
        <x:f>IF('Detalle'!N931="","",'Detalle'!N931)</x:f>
      </x:c>
    </x:row>
    <x:row r="1916" ht="16" customHeight="1">
      <x:c r="A1916" s="56" t="str">
        <x:v>PIL02.010</x:v>
      </x:c>
      <x:c r="B1916" s="57" t="str">
        <x:v>Recorrer paradas físicamente con AR</x:v>
      </x:c>
      <x:c r="C1916" s="63" t="str">
        <x:v>R</x:v>
      </x:c>
      <x:c r="D1916" s="65" t="str">
        <x:f>IF('Detalle'!L931="","",'Detalle'!L931)</x:f>
      </x:c>
      <x:c r="E1916" s="60" t="str"/>
      <x:c r="F1916" s="32" t="str">
        <x:f>IF(OR('Detalle'!$J931="",'Detalle'!$K931="",'Detalle'!$L931=""),"",IF(AND(F$8&lt;='Detalle'!$K931,F$9&gt;='Detalle'!$J931),1,""))</x:f>
      </x:c>
      <x:c r="G1916" s="32" t="str">
        <x:f>IF(OR('Detalle'!$J931="",'Detalle'!$K931="",'Detalle'!$L931=""),"",IF(AND(G$8&lt;='Detalle'!$K931,G$9&gt;='Detalle'!$J931),1,""))</x:f>
      </x:c>
      <x:c r="H1916" s="32" t="str">
        <x:f>IF(OR('Detalle'!$J931="",'Detalle'!$K931="",'Detalle'!$L931=""),"",IF(AND(H$8&lt;='Detalle'!$K931,H$9&gt;='Detalle'!$J931),1,""))</x:f>
      </x:c>
      <x:c r="I1916" s="32" t="str">
        <x:f>IF(OR('Detalle'!$J931="",'Detalle'!$K931="",'Detalle'!$L931=""),"",IF(AND(I$8&lt;='Detalle'!$K931,I$9&gt;='Detalle'!$J931),1,""))</x:f>
      </x:c>
      <x:c r="J1916" s="32" t="str">
        <x:f>IF(OR('Detalle'!$J931="",'Detalle'!$K931="",'Detalle'!$L931=""),"",IF(AND(J$8&lt;='Detalle'!$K931,J$9&gt;='Detalle'!$J931),1,""))</x:f>
      </x:c>
      <x:c r="K1916" s="32" t="str">
        <x:f>IF(OR('Detalle'!$J931="",'Detalle'!$K931="",'Detalle'!$L931=""),"",IF(AND(K$8&lt;='Detalle'!$K931,K$9&gt;='Detalle'!$J931),1,""))</x:f>
      </x:c>
      <x:c r="L1916" s="32" t="str">
        <x:f>IF(OR('Detalle'!$J931="",'Detalle'!$K931="",'Detalle'!$L931=""),"",IF(AND(L$8&lt;='Detalle'!$K931,L$9&gt;='Detalle'!$J931),1,""))</x:f>
      </x:c>
      <x:c r="M1916" s="32" t="str">
        <x:f>IF(OR('Detalle'!$J931="",'Detalle'!$K931="",'Detalle'!$L931=""),"",IF(AND(M$8&lt;='Detalle'!$K931,M$9&gt;='Detalle'!$J931),1,""))</x:f>
      </x:c>
      <x:c r="N1916" s="32" t="str">
        <x:f>IF(OR('Detalle'!$J931="",'Detalle'!$K931="",'Detalle'!$L931=""),"",IF(AND(N$8&lt;='Detalle'!$K931,N$9&gt;='Detalle'!$J931),1,""))</x:f>
      </x:c>
      <x:c r="O1916" s="32" t="str">
        <x:f>IF(OR('Detalle'!$J931="",'Detalle'!$K931="",'Detalle'!$L931=""),"",IF(AND(O$8&lt;='Detalle'!$K931,O$9&gt;='Detalle'!$J931),1,""))</x:f>
      </x:c>
      <x:c r="P1916" s="32" t="str">
        <x:f>IF(OR('Detalle'!$J931="",'Detalle'!$K931="",'Detalle'!$L931=""),"",IF(AND(P$8&lt;='Detalle'!$K931,P$9&gt;='Detalle'!$J931),1,""))</x:f>
      </x:c>
      <x:c r="Q1916" s="68"/>
      <x:c r="R1916" s="67" t="str"/>
      <x:c r="S1916" s="67" t="str"/>
    </x:row>
    <x:row r="1917" ht="16" customHeight="1">
      <x:c r="A1917" s="56" t="str">
        <x:v>PIL02.011</x:v>
      </x:c>
      <x:c r="B1917" s="57" t="str">
        <x:v>Interrumpir subida y visita durante aceptación</x:v>
      </x:c>
      <x:c r="C1917" s="62" t="str">
        <x:v>E</x:v>
      </x:c>
      <x:c r="D1917" s="64" t="n">
        <x:f>'Detalle'!I932</x:f>
        <x:v>1</x:v>
      </x:c>
      <x:c r="E1917" s="60" t="str">
        <x:f>'Detalle'!F932</x:f>
        <x:v>Pendiente</x:v>
      </x:c>
      <x:c r="F1917" s="32" t="str">
        <x:f>IF(AND(F$8&lt;='Detalle'!$H932,F$9&gt;='Detalle'!$G932),1,"")</x:f>
      </x:c>
      <x:c r="G1917" s="32" t="str">
        <x:f>IF(AND(G$8&lt;='Detalle'!$H932,G$9&gt;='Detalle'!$G932),1,"")</x:f>
      </x:c>
      <x:c r="H1917" s="32" t="str">
        <x:f>IF(AND(H$8&lt;='Detalle'!$H932,H$9&gt;='Detalle'!$G932),1,"")</x:f>
      </x:c>
      <x:c r="I1917" s="32" t="str">
        <x:f>IF(AND(I$8&lt;='Detalle'!$H932,I$9&gt;='Detalle'!$G932),1,"")</x:f>
      </x:c>
      <x:c r="J1917" s="32" t="str">
        <x:f>IF(AND(J$8&lt;='Detalle'!$H932,J$9&gt;='Detalle'!$G932),1,"")</x:f>
      </x:c>
      <x:c r="K1917" s="32" t="str">
        <x:f>IF(AND(K$8&lt;='Detalle'!$H932,K$9&gt;='Detalle'!$G932),1,"")</x:f>
      </x:c>
      <x:c r="L1917" s="32" t="str">
        <x:f>IF(AND(L$8&lt;='Detalle'!$H932,L$9&gt;='Detalle'!$G932),1,"")</x:f>
      </x:c>
      <x:c r="M1917" s="32" t="str">
        <x:f>IF(AND(M$8&lt;='Detalle'!$H932,M$9&gt;='Detalle'!$G932),1,"")</x:f>
      </x:c>
      <x:c r="N1917" s="32" t="str">
        <x:f>IF(AND(N$8&lt;='Detalle'!$H932,N$9&gt;='Detalle'!$G932),1,"")</x:f>
      </x:c>
      <x:c r="O1917" s="32" t="n">
        <x:f>IF(AND(O$8&lt;='Detalle'!$H932,O$9&gt;='Detalle'!$G932),1,"")</x:f>
        <x:v>1</x:v>
      </x:c>
      <x:c r="P1917" s="32" t="str">
        <x:f>IF(AND(P$8&lt;='Detalle'!$H932,P$9&gt;='Detalle'!$G932),1,"")</x:f>
      </x:c>
      <x:c r="Q1917" s="68"/>
      <x:c r="R1917" s="67" t="str">
        <x:f>IF('Detalle'!M932="","",'Detalle'!M932)</x:f>
      </x:c>
      <x:c r="S1917" s="67" t="str">
        <x:f>IF('Detalle'!N932="","",'Detalle'!N932)</x:f>
      </x:c>
    </x:row>
    <x:row r="1918" ht="16" customHeight="1">
      <x:c r="A1918" s="56" t="str">
        <x:v>PIL02.011</x:v>
      </x:c>
      <x:c r="B1918" s="57" t="str">
        <x:v>Interrumpir subida y visita durante aceptación</x:v>
      </x:c>
      <x:c r="C1918" s="63" t="str">
        <x:v>R</x:v>
      </x:c>
      <x:c r="D1918" s="65" t="str">
        <x:f>IF('Detalle'!L932="","",'Detalle'!L932)</x:f>
      </x:c>
      <x:c r="E1918" s="60" t="str"/>
      <x:c r="F1918" s="32" t="str">
        <x:f>IF(OR('Detalle'!$J932="",'Detalle'!$K932="",'Detalle'!$L932=""),"",IF(AND(F$8&lt;='Detalle'!$K932,F$9&gt;='Detalle'!$J932),1,""))</x:f>
      </x:c>
      <x:c r="G1918" s="32" t="str">
        <x:f>IF(OR('Detalle'!$J932="",'Detalle'!$K932="",'Detalle'!$L932=""),"",IF(AND(G$8&lt;='Detalle'!$K932,G$9&gt;='Detalle'!$J932),1,""))</x:f>
      </x:c>
      <x:c r="H1918" s="32" t="str">
        <x:f>IF(OR('Detalle'!$J932="",'Detalle'!$K932="",'Detalle'!$L932=""),"",IF(AND(H$8&lt;='Detalle'!$K932,H$9&gt;='Detalle'!$J932),1,""))</x:f>
      </x:c>
      <x:c r="I1918" s="32" t="str">
        <x:f>IF(OR('Detalle'!$J932="",'Detalle'!$K932="",'Detalle'!$L932=""),"",IF(AND(I$8&lt;='Detalle'!$K932,I$9&gt;='Detalle'!$J932),1,""))</x:f>
      </x:c>
      <x:c r="J1918" s="32" t="str">
        <x:f>IF(OR('Detalle'!$J932="",'Detalle'!$K932="",'Detalle'!$L932=""),"",IF(AND(J$8&lt;='Detalle'!$K932,J$9&gt;='Detalle'!$J932),1,""))</x:f>
      </x:c>
      <x:c r="K1918" s="32" t="str">
        <x:f>IF(OR('Detalle'!$J932="",'Detalle'!$K932="",'Detalle'!$L932=""),"",IF(AND(K$8&lt;='Detalle'!$K932,K$9&gt;='Detalle'!$J932),1,""))</x:f>
      </x:c>
      <x:c r="L1918" s="32" t="str">
        <x:f>IF(OR('Detalle'!$J932="",'Detalle'!$K932="",'Detalle'!$L932=""),"",IF(AND(L$8&lt;='Detalle'!$K932,L$9&gt;='Detalle'!$J932),1,""))</x:f>
      </x:c>
      <x:c r="M1918" s="32" t="str">
        <x:f>IF(OR('Detalle'!$J932="",'Detalle'!$K932="",'Detalle'!$L932=""),"",IF(AND(M$8&lt;='Detalle'!$K932,M$9&gt;='Detalle'!$J932),1,""))</x:f>
      </x:c>
      <x:c r="N1918" s="32" t="str">
        <x:f>IF(OR('Detalle'!$J932="",'Detalle'!$K932="",'Detalle'!$L932=""),"",IF(AND(N$8&lt;='Detalle'!$K932,N$9&gt;='Detalle'!$J932),1,""))</x:f>
      </x:c>
      <x:c r="O1918" s="32" t="str">
        <x:f>IF(OR('Detalle'!$J932="",'Detalle'!$K932="",'Detalle'!$L932=""),"",IF(AND(O$8&lt;='Detalle'!$K932,O$9&gt;='Detalle'!$J932),1,""))</x:f>
      </x:c>
      <x:c r="P1918" s="32" t="str">
        <x:f>IF(OR('Detalle'!$J932="",'Detalle'!$K932="",'Detalle'!$L932=""),"",IF(AND(P$8&lt;='Detalle'!$K932,P$9&gt;='Detalle'!$J932),1,""))</x:f>
      </x:c>
      <x:c r="Q1918" s="68"/>
      <x:c r="R1918" s="67" t="str"/>
      <x:c r="S1918" s="67" t="str"/>
    </x:row>
    <x:row r="1919" ht="16" customHeight="1">
      <x:c r="A1919" s="56" t="str">
        <x:v>PIL02.012</x:v>
      </x:c>
      <x:c r="B1919" s="57" t="str">
        <x:v>Registrar fallos y resultados del piloto</x:v>
      </x:c>
      <x:c r="C1919" s="62" t="str">
        <x:v>E</x:v>
      </x:c>
      <x:c r="D1919" s="64" t="n">
        <x:f>'Detalle'!I933</x:f>
        <x:v>1</x:v>
      </x:c>
      <x:c r="E1919" s="60" t="str">
        <x:f>'Detalle'!F933</x:f>
        <x:v>Pendiente</x:v>
      </x:c>
      <x:c r="F1919" s="32" t="str">
        <x:f>IF(AND(F$8&lt;='Detalle'!$H933,F$9&gt;='Detalle'!$G933),1,"")</x:f>
      </x:c>
      <x:c r="G1919" s="32" t="str">
        <x:f>IF(AND(G$8&lt;='Detalle'!$H933,G$9&gt;='Detalle'!$G933),1,"")</x:f>
      </x:c>
      <x:c r="H1919" s="32" t="str">
        <x:f>IF(AND(H$8&lt;='Detalle'!$H933,H$9&gt;='Detalle'!$G933),1,"")</x:f>
      </x:c>
      <x:c r="I1919" s="32" t="str">
        <x:f>IF(AND(I$8&lt;='Detalle'!$H933,I$9&gt;='Detalle'!$G933),1,"")</x:f>
      </x:c>
      <x:c r="J1919" s="32" t="str">
        <x:f>IF(AND(J$8&lt;='Detalle'!$H933,J$9&gt;='Detalle'!$G933),1,"")</x:f>
      </x:c>
      <x:c r="K1919" s="32" t="str">
        <x:f>IF(AND(K$8&lt;='Detalle'!$H933,K$9&gt;='Detalle'!$G933),1,"")</x:f>
      </x:c>
      <x:c r="L1919" s="32" t="str">
        <x:f>IF(AND(L$8&lt;='Detalle'!$H933,L$9&gt;='Detalle'!$G933),1,"")</x:f>
      </x:c>
      <x:c r="M1919" s="32" t="str">
        <x:f>IF(AND(M$8&lt;='Detalle'!$H933,M$9&gt;='Detalle'!$G933),1,"")</x:f>
      </x:c>
      <x:c r="N1919" s="32" t="str">
        <x:f>IF(AND(N$8&lt;='Detalle'!$H933,N$9&gt;='Detalle'!$G933),1,"")</x:f>
      </x:c>
      <x:c r="O1919" s="32" t="n">
        <x:f>IF(AND(O$8&lt;='Detalle'!$H933,O$9&gt;='Detalle'!$G933),1,"")</x:f>
        <x:v>1</x:v>
      </x:c>
      <x:c r="P1919" s="32" t="str">
        <x:f>IF(AND(P$8&lt;='Detalle'!$H933,P$9&gt;='Detalle'!$G933),1,"")</x:f>
      </x:c>
      <x:c r="Q1919" s="68"/>
      <x:c r="R1919" s="67" t="str">
        <x:f>IF('Detalle'!M933="","",'Detalle'!M933)</x:f>
      </x:c>
      <x:c r="S1919" s="67" t="str">
        <x:f>IF('Detalle'!N933="","",'Detalle'!N933)</x:f>
      </x:c>
    </x:row>
    <x:row r="1920" ht="16" customHeight="1">
      <x:c r="A1920" s="56" t="str">
        <x:v>PIL02.012</x:v>
      </x:c>
      <x:c r="B1920" s="57" t="str">
        <x:v>Registrar fallos y resultados del piloto</x:v>
      </x:c>
      <x:c r="C1920" s="63" t="str">
        <x:v>R</x:v>
      </x:c>
      <x:c r="D1920" s="65" t="str">
        <x:f>IF('Detalle'!L933="","",'Detalle'!L933)</x:f>
      </x:c>
      <x:c r="E1920" s="60" t="str"/>
      <x:c r="F1920" s="32" t="str">
        <x:f>IF(OR('Detalle'!$J933="",'Detalle'!$K933="",'Detalle'!$L933=""),"",IF(AND(F$8&lt;='Detalle'!$K933,F$9&gt;='Detalle'!$J933),1,""))</x:f>
      </x:c>
      <x:c r="G1920" s="32" t="str">
        <x:f>IF(OR('Detalle'!$J933="",'Detalle'!$K933="",'Detalle'!$L933=""),"",IF(AND(G$8&lt;='Detalle'!$K933,G$9&gt;='Detalle'!$J933),1,""))</x:f>
      </x:c>
      <x:c r="H1920" s="32" t="str">
        <x:f>IF(OR('Detalle'!$J933="",'Detalle'!$K933="",'Detalle'!$L933=""),"",IF(AND(H$8&lt;='Detalle'!$K933,H$9&gt;='Detalle'!$J933),1,""))</x:f>
      </x:c>
      <x:c r="I1920" s="32" t="str">
        <x:f>IF(OR('Detalle'!$J933="",'Detalle'!$K933="",'Detalle'!$L933=""),"",IF(AND(I$8&lt;='Detalle'!$K933,I$9&gt;='Detalle'!$J933),1,""))</x:f>
      </x:c>
      <x:c r="J1920" s="32" t="str">
        <x:f>IF(OR('Detalle'!$J933="",'Detalle'!$K933="",'Detalle'!$L933=""),"",IF(AND(J$8&lt;='Detalle'!$K933,J$9&gt;='Detalle'!$J933),1,""))</x:f>
      </x:c>
      <x:c r="K1920" s="32" t="str">
        <x:f>IF(OR('Detalle'!$J933="",'Detalle'!$K933="",'Detalle'!$L933=""),"",IF(AND(K$8&lt;='Detalle'!$K933,K$9&gt;='Detalle'!$J933),1,""))</x:f>
      </x:c>
      <x:c r="L1920" s="32" t="str">
        <x:f>IF(OR('Detalle'!$J933="",'Detalle'!$K933="",'Detalle'!$L933=""),"",IF(AND(L$8&lt;='Detalle'!$K933,L$9&gt;='Detalle'!$J933),1,""))</x:f>
      </x:c>
      <x:c r="M1920" s="32" t="str">
        <x:f>IF(OR('Detalle'!$J933="",'Detalle'!$K933="",'Detalle'!$L933=""),"",IF(AND(M$8&lt;='Detalle'!$K933,M$9&gt;='Detalle'!$J933),1,""))</x:f>
      </x:c>
      <x:c r="N1920" s="32" t="str">
        <x:f>IF(OR('Detalle'!$J933="",'Detalle'!$K933="",'Detalle'!$L933=""),"",IF(AND(N$8&lt;='Detalle'!$K933,N$9&gt;='Detalle'!$J933),1,""))</x:f>
      </x:c>
      <x:c r="O1920" s="32" t="str">
        <x:f>IF(OR('Detalle'!$J933="",'Detalle'!$K933="",'Detalle'!$L933=""),"",IF(AND(O$8&lt;='Detalle'!$K933,O$9&gt;='Detalle'!$J933),1,""))</x:f>
      </x:c>
      <x:c r="P1920" s="32" t="str">
        <x:f>IF(OR('Detalle'!$J933="",'Detalle'!$K933="",'Detalle'!$L933=""),"",IF(AND(P$8&lt;='Detalle'!$K933,P$9&gt;='Detalle'!$J933),1,""))</x:f>
      </x:c>
      <x:c r="Q1920" s="68"/>
      <x:c r="R1920" s="67" t="str"/>
      <x:c r="S1920" s="67" t="str"/>
    </x:row>
    <x:row r="1921" ht="16" customHeight="1">
      <x:c r="A1921" s="56" t="str">
        <x:v>PIL02.013</x:v>
      </x:c>
      <x:c r="B1921" s="57" t="str">
        <x:v>Corregir incidencias del piloto si aparecen</x:v>
      </x:c>
      <x:c r="C1921" s="62" t="str">
        <x:v>E</x:v>
      </x:c>
      <x:c r="D1921" s="64" t="n">
        <x:f>'Detalle'!I934</x:f>
        <x:v>1</x:v>
      </x:c>
      <x:c r="E1921" s="60" t="str">
        <x:f>'Detalle'!F934</x:f>
        <x:v>Pendiente</x:v>
      </x:c>
      <x:c r="F1921" s="32" t="str">
        <x:f>IF(AND(F$8&lt;='Detalle'!$H934,F$9&gt;='Detalle'!$G934),1,"")</x:f>
      </x:c>
      <x:c r="G1921" s="32" t="str">
        <x:f>IF(AND(G$8&lt;='Detalle'!$H934,G$9&gt;='Detalle'!$G934),1,"")</x:f>
      </x:c>
      <x:c r="H1921" s="32" t="str">
        <x:f>IF(AND(H$8&lt;='Detalle'!$H934,H$9&gt;='Detalle'!$G934),1,"")</x:f>
      </x:c>
      <x:c r="I1921" s="32" t="str">
        <x:f>IF(AND(I$8&lt;='Detalle'!$H934,I$9&gt;='Detalle'!$G934),1,"")</x:f>
      </x:c>
      <x:c r="J1921" s="32" t="str">
        <x:f>IF(AND(J$8&lt;='Detalle'!$H934,J$9&gt;='Detalle'!$G934),1,"")</x:f>
      </x:c>
      <x:c r="K1921" s="32" t="str">
        <x:f>IF(AND(K$8&lt;='Detalle'!$H934,K$9&gt;='Detalle'!$G934),1,"")</x:f>
      </x:c>
      <x:c r="L1921" s="32" t="str">
        <x:f>IF(AND(L$8&lt;='Detalle'!$H934,L$9&gt;='Detalle'!$G934),1,"")</x:f>
      </x:c>
      <x:c r="M1921" s="32" t="str">
        <x:f>IF(AND(M$8&lt;='Detalle'!$H934,M$9&gt;='Detalle'!$G934),1,"")</x:f>
      </x:c>
      <x:c r="N1921" s="32" t="str">
        <x:f>IF(AND(N$8&lt;='Detalle'!$H934,N$9&gt;='Detalle'!$G934),1,"")</x:f>
      </x:c>
      <x:c r="O1921" s="32" t="n">
        <x:f>IF(AND(O$8&lt;='Detalle'!$H934,O$9&gt;='Detalle'!$G934),1,"")</x:f>
        <x:v>1</x:v>
      </x:c>
      <x:c r="P1921" s="32" t="str">
        <x:f>IF(AND(P$8&lt;='Detalle'!$H934,P$9&gt;='Detalle'!$G934),1,"")</x:f>
      </x:c>
      <x:c r="Q1921" s="68"/>
      <x:c r="R1921" s="67" t="str">
        <x:f>IF('Detalle'!M934="","",'Detalle'!M934)</x:f>
      </x:c>
      <x:c r="S1921" s="67" t="str">
        <x:f>IF('Detalle'!N934="","",'Detalle'!N934)</x:f>
      </x:c>
    </x:row>
    <x:row r="1922" ht="16" customHeight="1">
      <x:c r="A1922" s="56" t="str">
        <x:v>PIL02.013</x:v>
      </x:c>
      <x:c r="B1922" s="57" t="str">
        <x:v>Corregir incidencias del piloto si aparecen</x:v>
      </x:c>
      <x:c r="C1922" s="63" t="str">
        <x:v>R</x:v>
      </x:c>
      <x:c r="D1922" s="65" t="str">
        <x:f>IF('Detalle'!L934="","",'Detalle'!L934)</x:f>
      </x:c>
      <x:c r="E1922" s="60" t="str"/>
      <x:c r="F1922" s="32" t="str">
        <x:f>IF(OR('Detalle'!$J934="",'Detalle'!$K934="",'Detalle'!$L934=""),"",IF(AND(F$8&lt;='Detalle'!$K934,F$9&gt;='Detalle'!$J934),1,""))</x:f>
      </x:c>
      <x:c r="G1922" s="32" t="str">
        <x:f>IF(OR('Detalle'!$J934="",'Detalle'!$K934="",'Detalle'!$L934=""),"",IF(AND(G$8&lt;='Detalle'!$K934,G$9&gt;='Detalle'!$J934),1,""))</x:f>
      </x:c>
      <x:c r="H1922" s="32" t="str">
        <x:f>IF(OR('Detalle'!$J934="",'Detalle'!$K934="",'Detalle'!$L934=""),"",IF(AND(H$8&lt;='Detalle'!$K934,H$9&gt;='Detalle'!$J934),1,""))</x:f>
      </x:c>
      <x:c r="I1922" s="32" t="str">
        <x:f>IF(OR('Detalle'!$J934="",'Detalle'!$K934="",'Detalle'!$L934=""),"",IF(AND(I$8&lt;='Detalle'!$K934,I$9&gt;='Detalle'!$J934),1,""))</x:f>
      </x:c>
      <x:c r="J1922" s="32" t="str">
        <x:f>IF(OR('Detalle'!$J934="",'Detalle'!$K934="",'Detalle'!$L934=""),"",IF(AND(J$8&lt;='Detalle'!$K934,J$9&gt;='Detalle'!$J934),1,""))</x:f>
      </x:c>
      <x:c r="K1922" s="32" t="str">
        <x:f>IF(OR('Detalle'!$J934="",'Detalle'!$K934="",'Detalle'!$L934=""),"",IF(AND(K$8&lt;='Detalle'!$K934,K$9&gt;='Detalle'!$J934),1,""))</x:f>
      </x:c>
      <x:c r="L1922" s="32" t="str">
        <x:f>IF(OR('Detalle'!$J934="",'Detalle'!$K934="",'Detalle'!$L934=""),"",IF(AND(L$8&lt;='Detalle'!$K934,L$9&gt;='Detalle'!$J934),1,""))</x:f>
      </x:c>
      <x:c r="M1922" s="32" t="str">
        <x:f>IF(OR('Detalle'!$J934="",'Detalle'!$K934="",'Detalle'!$L934=""),"",IF(AND(M$8&lt;='Detalle'!$K934,M$9&gt;='Detalle'!$J934),1,""))</x:f>
      </x:c>
      <x:c r="N1922" s="32" t="str">
        <x:f>IF(OR('Detalle'!$J934="",'Detalle'!$K934="",'Detalle'!$L934=""),"",IF(AND(N$8&lt;='Detalle'!$K934,N$9&gt;='Detalle'!$J934),1,""))</x:f>
      </x:c>
      <x:c r="O1922" s="32" t="str">
        <x:f>IF(OR('Detalle'!$J934="",'Detalle'!$K934="",'Detalle'!$L934=""),"",IF(AND(O$8&lt;='Detalle'!$K934,O$9&gt;='Detalle'!$J934),1,""))</x:f>
      </x:c>
      <x:c r="P1922" s="32" t="str">
        <x:f>IF(OR('Detalle'!$J934="",'Detalle'!$K934="",'Detalle'!$L934=""),"",IF(AND(P$8&lt;='Detalle'!$K934,P$9&gt;='Detalle'!$J934),1,""))</x:f>
      </x:c>
      <x:c r="Q1922" s="68"/>
      <x:c r="R1922" s="67" t="str"/>
      <x:c r="S1922" s="67" t="str"/>
    </x:row>
    <x:row r="1923" ht="16" customHeight="1">
      <x:c r="A1923" s="56" t="str">
        <x:v>PIL02.014</x:v>
      </x:c>
      <x:c r="B1923" s="57" t="str">
        <x:v>Repetir criterios afectados</x:v>
      </x:c>
      <x:c r="C1923" s="62" t="str">
        <x:v>E</x:v>
      </x:c>
      <x:c r="D1923" s="64" t="n">
        <x:f>'Detalle'!I935</x:f>
        <x:v>1</x:v>
      </x:c>
      <x:c r="E1923" s="60" t="str">
        <x:f>'Detalle'!F935</x:f>
        <x:v>Pendiente</x:v>
      </x:c>
      <x:c r="F1923" s="32" t="str">
        <x:f>IF(AND(F$8&lt;='Detalle'!$H935,F$9&gt;='Detalle'!$G935),1,"")</x:f>
      </x:c>
      <x:c r="G1923" s="32" t="str">
        <x:f>IF(AND(G$8&lt;='Detalle'!$H935,G$9&gt;='Detalle'!$G935),1,"")</x:f>
      </x:c>
      <x:c r="H1923" s="32" t="str">
        <x:f>IF(AND(H$8&lt;='Detalle'!$H935,H$9&gt;='Detalle'!$G935),1,"")</x:f>
      </x:c>
      <x:c r="I1923" s="32" t="str">
        <x:f>IF(AND(I$8&lt;='Detalle'!$H935,I$9&gt;='Detalle'!$G935),1,"")</x:f>
      </x:c>
      <x:c r="J1923" s="32" t="str">
        <x:f>IF(AND(J$8&lt;='Detalle'!$H935,J$9&gt;='Detalle'!$G935),1,"")</x:f>
      </x:c>
      <x:c r="K1923" s="32" t="str">
        <x:f>IF(AND(K$8&lt;='Detalle'!$H935,K$9&gt;='Detalle'!$G935),1,"")</x:f>
      </x:c>
      <x:c r="L1923" s="32" t="str">
        <x:f>IF(AND(L$8&lt;='Detalle'!$H935,L$9&gt;='Detalle'!$G935),1,"")</x:f>
      </x:c>
      <x:c r="M1923" s="32" t="str">
        <x:f>IF(AND(M$8&lt;='Detalle'!$H935,M$9&gt;='Detalle'!$G935),1,"")</x:f>
      </x:c>
      <x:c r="N1923" s="32" t="str">
        <x:f>IF(AND(N$8&lt;='Detalle'!$H935,N$9&gt;='Detalle'!$G935),1,"")</x:f>
      </x:c>
      <x:c r="O1923" s="32" t="n">
        <x:f>IF(AND(O$8&lt;='Detalle'!$H935,O$9&gt;='Detalle'!$G935),1,"")</x:f>
        <x:v>1</x:v>
      </x:c>
      <x:c r="P1923" s="32" t="str">
        <x:f>IF(AND(P$8&lt;='Detalle'!$H935,P$9&gt;='Detalle'!$G935),1,"")</x:f>
      </x:c>
      <x:c r="Q1923" s="68"/>
      <x:c r="R1923" s="67" t="str">
        <x:f>IF('Detalle'!M935="","",'Detalle'!M935)</x:f>
      </x:c>
      <x:c r="S1923" s="67" t="str">
        <x:f>IF('Detalle'!N935="","",'Detalle'!N935)</x:f>
      </x:c>
    </x:row>
    <x:row r="1924" ht="16" customHeight="1">
      <x:c r="A1924" s="56" t="str">
        <x:v>PIL02.014</x:v>
      </x:c>
      <x:c r="B1924" s="57" t="str">
        <x:v>Repetir criterios afectados</x:v>
      </x:c>
      <x:c r="C1924" s="63" t="str">
        <x:v>R</x:v>
      </x:c>
      <x:c r="D1924" s="65" t="str">
        <x:f>IF('Detalle'!L935="","",'Detalle'!L935)</x:f>
      </x:c>
      <x:c r="E1924" s="60" t="str"/>
      <x:c r="F1924" s="32" t="str">
        <x:f>IF(OR('Detalle'!$J935="",'Detalle'!$K935="",'Detalle'!$L935=""),"",IF(AND(F$8&lt;='Detalle'!$K935,F$9&gt;='Detalle'!$J935),1,""))</x:f>
      </x:c>
      <x:c r="G1924" s="32" t="str">
        <x:f>IF(OR('Detalle'!$J935="",'Detalle'!$K935="",'Detalle'!$L935=""),"",IF(AND(G$8&lt;='Detalle'!$K935,G$9&gt;='Detalle'!$J935),1,""))</x:f>
      </x:c>
      <x:c r="H1924" s="32" t="str">
        <x:f>IF(OR('Detalle'!$J935="",'Detalle'!$K935="",'Detalle'!$L935=""),"",IF(AND(H$8&lt;='Detalle'!$K935,H$9&gt;='Detalle'!$J935),1,""))</x:f>
      </x:c>
      <x:c r="I1924" s="32" t="str">
        <x:f>IF(OR('Detalle'!$J935="",'Detalle'!$K935="",'Detalle'!$L935=""),"",IF(AND(I$8&lt;='Detalle'!$K935,I$9&gt;='Detalle'!$J935),1,""))</x:f>
      </x:c>
      <x:c r="J1924" s="32" t="str">
        <x:f>IF(OR('Detalle'!$J935="",'Detalle'!$K935="",'Detalle'!$L935=""),"",IF(AND(J$8&lt;='Detalle'!$K935,J$9&gt;='Detalle'!$J935),1,""))</x:f>
      </x:c>
      <x:c r="K1924" s="32" t="str">
        <x:f>IF(OR('Detalle'!$J935="",'Detalle'!$K935="",'Detalle'!$L935=""),"",IF(AND(K$8&lt;='Detalle'!$K935,K$9&gt;='Detalle'!$J935),1,""))</x:f>
      </x:c>
      <x:c r="L1924" s="32" t="str">
        <x:f>IF(OR('Detalle'!$J935="",'Detalle'!$K935="",'Detalle'!$L935=""),"",IF(AND(L$8&lt;='Detalle'!$K935,L$9&gt;='Detalle'!$J935),1,""))</x:f>
      </x:c>
      <x:c r="M1924" s="32" t="str">
        <x:f>IF(OR('Detalle'!$J935="",'Detalle'!$K935="",'Detalle'!$L935=""),"",IF(AND(M$8&lt;='Detalle'!$K935,M$9&gt;='Detalle'!$J935),1,""))</x:f>
      </x:c>
      <x:c r="N1924" s="32" t="str">
        <x:f>IF(OR('Detalle'!$J935="",'Detalle'!$K935="",'Detalle'!$L935=""),"",IF(AND(N$8&lt;='Detalle'!$K935,N$9&gt;='Detalle'!$J935),1,""))</x:f>
      </x:c>
      <x:c r="O1924" s="32" t="str">
        <x:f>IF(OR('Detalle'!$J935="",'Detalle'!$K935="",'Detalle'!$L935=""),"",IF(AND(O$8&lt;='Detalle'!$K935,O$9&gt;='Detalle'!$J935),1,""))</x:f>
      </x:c>
      <x:c r="P1924" s="32" t="str">
        <x:f>IF(OR('Detalle'!$J935="",'Detalle'!$K935="",'Detalle'!$L935=""),"",IF(AND(P$8&lt;='Detalle'!$K935,P$9&gt;='Detalle'!$J935),1,""))</x:f>
      </x:c>
      <x:c r="Q1924" s="68"/>
      <x:c r="R1924" s="67" t="str"/>
      <x:c r="S1924" s="67" t="str"/>
    </x:row>
    <x:row r="1925" ht="20" customHeight="1">
      <x:c r="A1925" s="52" t="str">
        <x:v>ENT01 · Estabilización y entrega técnica de la aplicación</x:v>
      </x:c>
      <x:c r="B1925" s="52" t="str">
        <x:v>ENT01 · Estabilización y entrega técnica de la aplicación</x:v>
      </x:c>
      <x:c r="C1925" s="52" t="str">
        <x:v>ENT01 · Estabilización y entrega técnica de la aplicación</x:v>
      </x:c>
      <x:c r="D1925" s="52" t="str">
        <x:v>ENT01 · Estabilización y entrega técnica de la aplicación</x:v>
      </x:c>
      <x:c r="E1925" s="52" t="str">
        <x:v>ENT01 · Estabilización y entrega técnica de la aplicación</x:v>
      </x:c>
      <x:c r="F1925" s="53" t="str">
        <x:v>ENT01 · Estabilización y entrega técnica de la aplicación</x:v>
      </x:c>
      <x:c r="G1925" s="53" t="str">
        <x:v>ENT01 · Estabilización y entrega técnica de la aplicación</x:v>
      </x:c>
      <x:c r="H1925" s="53" t="str">
        <x:v>ENT01 · Estabilización y entrega técnica de la aplicación</x:v>
      </x:c>
      <x:c r="I1925" s="53" t="str">
        <x:v>ENT01 · Estabilización y entrega técnica de la aplicación</x:v>
      </x:c>
      <x:c r="J1925" s="53" t="str">
        <x:v>ENT01 · Estabilización y entrega técnica de la aplicación</x:v>
      </x:c>
      <x:c r="K1925" s="53" t="str">
        <x:v>ENT01 · Estabilización y entrega técnica de la aplicación</x:v>
      </x:c>
      <x:c r="L1925" s="53" t="str">
        <x:v>ENT01 · Estabilización y entrega técnica de la aplicación</x:v>
      </x:c>
      <x:c r="M1925" s="53" t="str">
        <x:v>ENT01 · Estabilización y entrega técnica de la aplicación</x:v>
      </x:c>
      <x:c r="N1925" s="53" t="str">
        <x:v>ENT01 · Estabilización y entrega técnica de la aplicación</x:v>
      </x:c>
      <x:c r="O1925" s="53" t="str">
        <x:v>ENT01 · Estabilización y entrega técnica de la aplicación</x:v>
      </x:c>
      <x:c r="P1925" s="53" t="str">
        <x:v>ENT01 · Estabilización y entrega técnica de la aplicación</x:v>
      </x:c>
      <x:c r="Q1925" s="52" t="str">
        <x:v>ENT01 · Estabilización y entrega técnica de la aplicación</x:v>
      </x:c>
      <x:c r="R1925" s="52" t="str">
        <x:v>ENT01 · Estabilización y entrega técnica de la aplicación</x:v>
      </x:c>
      <x:c r="S1925" s="52" t="str">
        <x:v>ENT01 · Estabilización y entrega técnica de la aplicación</x:v>
      </x:c>
    </x:row>
    <x:row r="1926" ht="16" customHeight="1">
      <x:c r="A1926" s="56" t="str">
        <x:v>ENT01.001</x:v>
      </x:c>
      <x:c r="B1926" s="57" t="str">
        <x:v>Revisar pendientes antes de cierre</x:v>
      </x:c>
      <x:c r="C1926" s="62" t="str">
        <x:v>E</x:v>
      </x:c>
      <x:c r="D1926" s="64" t="n">
        <x:f>'Detalle'!I936</x:f>
        <x:v>1</x:v>
      </x:c>
      <x:c r="E1926" s="60" t="str">
        <x:f>'Detalle'!F936</x:f>
        <x:v>Pendiente</x:v>
      </x:c>
      <x:c r="F1926" s="32" t="str">
        <x:f>IF(AND(F$8&lt;='Detalle'!$H936,F$9&gt;='Detalle'!$G936),1,"")</x:f>
      </x:c>
      <x:c r="G1926" s="32" t="str">
        <x:f>IF(AND(G$8&lt;='Detalle'!$H936,G$9&gt;='Detalle'!$G936),1,"")</x:f>
      </x:c>
      <x:c r="H1926" s="32" t="str">
        <x:f>IF(AND(H$8&lt;='Detalle'!$H936,H$9&gt;='Detalle'!$G936),1,"")</x:f>
      </x:c>
      <x:c r="I1926" s="32" t="str">
        <x:f>IF(AND(I$8&lt;='Detalle'!$H936,I$9&gt;='Detalle'!$G936),1,"")</x:f>
      </x:c>
      <x:c r="J1926" s="32" t="str">
        <x:f>IF(AND(J$8&lt;='Detalle'!$H936,J$9&gt;='Detalle'!$G936),1,"")</x:f>
      </x:c>
      <x:c r="K1926" s="32" t="str">
        <x:f>IF(AND(K$8&lt;='Detalle'!$H936,K$9&gt;='Detalle'!$G936),1,"")</x:f>
      </x:c>
      <x:c r="L1926" s="32" t="str">
        <x:f>IF(AND(L$8&lt;='Detalle'!$H936,L$9&gt;='Detalle'!$G936),1,"")</x:f>
      </x:c>
      <x:c r="M1926" s="32" t="str">
        <x:f>IF(AND(M$8&lt;='Detalle'!$H936,M$9&gt;='Detalle'!$G936),1,"")</x:f>
      </x:c>
      <x:c r="N1926" s="32" t="str">
        <x:f>IF(AND(N$8&lt;='Detalle'!$H936,N$9&gt;='Detalle'!$G936),1,"")</x:f>
      </x:c>
      <x:c r="O1926" s="32" t="str">
        <x:f>IF(AND(O$8&lt;='Detalle'!$H936,O$9&gt;='Detalle'!$G936),1,"")</x:f>
      </x:c>
      <x:c r="P1926" s="32" t="n">
        <x:f>IF(AND(P$8&lt;='Detalle'!$H936,P$9&gt;='Detalle'!$G936),1,"")</x:f>
        <x:v>1</x:v>
      </x:c>
      <x:c r="Q1926" s="68"/>
      <x:c r="R1926" s="67" t="str">
        <x:f>IF('Detalle'!M936="","",'Detalle'!M936)</x:f>
      </x:c>
      <x:c r="S1926" s="67" t="str">
        <x:f>IF('Detalle'!N936="","",'Detalle'!N936)</x:f>
      </x:c>
    </x:row>
    <x:row r="1927" ht="16" customHeight="1">
      <x:c r="A1927" s="56" t="str">
        <x:v>ENT01.001</x:v>
      </x:c>
      <x:c r="B1927" s="57" t="str">
        <x:v>Revisar pendientes antes de cierre</x:v>
      </x:c>
      <x:c r="C1927" s="63" t="str">
        <x:v>R</x:v>
      </x:c>
      <x:c r="D1927" s="65" t="str">
        <x:f>IF('Detalle'!L936="","",'Detalle'!L936)</x:f>
      </x:c>
      <x:c r="E1927" s="60" t="str"/>
      <x:c r="F1927" s="32" t="str">
        <x:f>IF(OR('Detalle'!$J936="",'Detalle'!$K936="",'Detalle'!$L936=""),"",IF(AND(F$8&lt;='Detalle'!$K936,F$9&gt;='Detalle'!$J936),1,""))</x:f>
      </x:c>
      <x:c r="G1927" s="32" t="str">
        <x:f>IF(OR('Detalle'!$J936="",'Detalle'!$K936="",'Detalle'!$L936=""),"",IF(AND(G$8&lt;='Detalle'!$K936,G$9&gt;='Detalle'!$J936),1,""))</x:f>
      </x:c>
      <x:c r="H1927" s="32" t="str">
        <x:f>IF(OR('Detalle'!$J936="",'Detalle'!$K936="",'Detalle'!$L936=""),"",IF(AND(H$8&lt;='Detalle'!$K936,H$9&gt;='Detalle'!$J936),1,""))</x:f>
      </x:c>
      <x:c r="I1927" s="32" t="str">
        <x:f>IF(OR('Detalle'!$J936="",'Detalle'!$K936="",'Detalle'!$L936=""),"",IF(AND(I$8&lt;='Detalle'!$K936,I$9&gt;='Detalle'!$J936),1,""))</x:f>
      </x:c>
      <x:c r="J1927" s="32" t="str">
        <x:f>IF(OR('Detalle'!$J936="",'Detalle'!$K936="",'Detalle'!$L936=""),"",IF(AND(J$8&lt;='Detalle'!$K936,J$9&gt;='Detalle'!$J936),1,""))</x:f>
      </x:c>
      <x:c r="K1927" s="32" t="str">
        <x:f>IF(OR('Detalle'!$J936="",'Detalle'!$K936="",'Detalle'!$L936=""),"",IF(AND(K$8&lt;='Detalle'!$K936,K$9&gt;='Detalle'!$J936),1,""))</x:f>
      </x:c>
      <x:c r="L1927" s="32" t="str">
        <x:f>IF(OR('Detalle'!$J936="",'Detalle'!$K936="",'Detalle'!$L936=""),"",IF(AND(L$8&lt;='Detalle'!$K936,L$9&gt;='Detalle'!$J936),1,""))</x:f>
      </x:c>
      <x:c r="M1927" s="32" t="str">
        <x:f>IF(OR('Detalle'!$J936="",'Detalle'!$K936="",'Detalle'!$L936=""),"",IF(AND(M$8&lt;='Detalle'!$K936,M$9&gt;='Detalle'!$J936),1,""))</x:f>
      </x:c>
      <x:c r="N1927" s="32" t="str">
        <x:f>IF(OR('Detalle'!$J936="",'Detalle'!$K936="",'Detalle'!$L936=""),"",IF(AND(N$8&lt;='Detalle'!$K936,N$9&gt;='Detalle'!$J936),1,""))</x:f>
      </x:c>
      <x:c r="O1927" s="32" t="str">
        <x:f>IF(OR('Detalle'!$J936="",'Detalle'!$K936="",'Detalle'!$L936=""),"",IF(AND(O$8&lt;='Detalle'!$K936,O$9&gt;='Detalle'!$J936),1,""))</x:f>
      </x:c>
      <x:c r="P1927" s="32" t="str">
        <x:f>IF(OR('Detalle'!$J936="",'Detalle'!$K936="",'Detalle'!$L936=""),"",IF(AND(P$8&lt;='Detalle'!$K936,P$9&gt;='Detalle'!$J936),1,""))</x:f>
      </x:c>
      <x:c r="Q1927" s="68"/>
      <x:c r="R1927" s="67" t="str"/>
      <x:c r="S1927" s="67" t="str"/>
    </x:row>
    <x:row r="1928" ht="16" customHeight="1">
      <x:c r="A1928" s="56" t="str">
        <x:v>ENT01.002</x:v>
      </x:c>
      <x:c r="B1928" s="57" t="str">
        <x:v>Ejecutar análisis y pruebas finales</x:v>
      </x:c>
      <x:c r="C1928" s="62" t="str">
        <x:v>E</x:v>
      </x:c>
      <x:c r="D1928" s="64" t="n">
        <x:f>'Detalle'!I937</x:f>
        <x:v>1</x:v>
      </x:c>
      <x:c r="E1928" s="60" t="str">
        <x:f>'Detalle'!F937</x:f>
        <x:v>Pendiente</x:v>
      </x:c>
      <x:c r="F1928" s="32" t="str">
        <x:f>IF(AND(F$8&lt;='Detalle'!$H937,F$9&gt;='Detalle'!$G937),1,"")</x:f>
      </x:c>
      <x:c r="G1928" s="32" t="str">
        <x:f>IF(AND(G$8&lt;='Detalle'!$H937,G$9&gt;='Detalle'!$G937),1,"")</x:f>
      </x:c>
      <x:c r="H1928" s="32" t="str">
        <x:f>IF(AND(H$8&lt;='Detalle'!$H937,H$9&gt;='Detalle'!$G937),1,"")</x:f>
      </x:c>
      <x:c r="I1928" s="32" t="str">
        <x:f>IF(AND(I$8&lt;='Detalle'!$H937,I$9&gt;='Detalle'!$G937),1,"")</x:f>
      </x:c>
      <x:c r="J1928" s="32" t="str">
        <x:f>IF(AND(J$8&lt;='Detalle'!$H937,J$9&gt;='Detalle'!$G937),1,"")</x:f>
      </x:c>
      <x:c r="K1928" s="32" t="str">
        <x:f>IF(AND(K$8&lt;='Detalle'!$H937,K$9&gt;='Detalle'!$G937),1,"")</x:f>
      </x:c>
      <x:c r="L1928" s="32" t="str">
        <x:f>IF(AND(L$8&lt;='Detalle'!$H937,L$9&gt;='Detalle'!$G937),1,"")</x:f>
      </x:c>
      <x:c r="M1928" s="32" t="str">
        <x:f>IF(AND(M$8&lt;='Detalle'!$H937,M$9&gt;='Detalle'!$G937),1,"")</x:f>
      </x:c>
      <x:c r="N1928" s="32" t="str">
        <x:f>IF(AND(N$8&lt;='Detalle'!$H937,N$9&gt;='Detalle'!$G937),1,"")</x:f>
      </x:c>
      <x:c r="O1928" s="32" t="str">
        <x:f>IF(AND(O$8&lt;='Detalle'!$H937,O$9&gt;='Detalle'!$G937),1,"")</x:f>
      </x:c>
      <x:c r="P1928" s="32" t="n">
        <x:f>IF(AND(P$8&lt;='Detalle'!$H937,P$9&gt;='Detalle'!$G937),1,"")</x:f>
        <x:v>1</x:v>
      </x:c>
      <x:c r="Q1928" s="68"/>
      <x:c r="R1928" s="67" t="str">
        <x:f>IF('Detalle'!M937="","",'Detalle'!M937)</x:f>
      </x:c>
      <x:c r="S1928" s="67" t="str">
        <x:f>IF('Detalle'!N937="","",'Detalle'!N937)</x:f>
      </x:c>
    </x:row>
    <x:row r="1929" ht="16" customHeight="1">
      <x:c r="A1929" s="56" t="str">
        <x:v>ENT01.002</x:v>
      </x:c>
      <x:c r="B1929" s="57" t="str">
        <x:v>Ejecutar análisis y pruebas finales</x:v>
      </x:c>
      <x:c r="C1929" s="63" t="str">
        <x:v>R</x:v>
      </x:c>
      <x:c r="D1929" s="65" t="str">
        <x:f>IF('Detalle'!L937="","",'Detalle'!L937)</x:f>
      </x:c>
      <x:c r="E1929" s="60" t="str"/>
      <x:c r="F1929" s="32" t="str">
        <x:f>IF(OR('Detalle'!$J937="",'Detalle'!$K937="",'Detalle'!$L937=""),"",IF(AND(F$8&lt;='Detalle'!$K937,F$9&gt;='Detalle'!$J937),1,""))</x:f>
      </x:c>
      <x:c r="G1929" s="32" t="str">
        <x:f>IF(OR('Detalle'!$J937="",'Detalle'!$K937="",'Detalle'!$L937=""),"",IF(AND(G$8&lt;='Detalle'!$K937,G$9&gt;='Detalle'!$J937),1,""))</x:f>
      </x:c>
      <x:c r="H1929" s="32" t="str">
        <x:f>IF(OR('Detalle'!$J937="",'Detalle'!$K937="",'Detalle'!$L937=""),"",IF(AND(H$8&lt;='Detalle'!$K937,H$9&gt;='Detalle'!$J937),1,""))</x:f>
      </x:c>
      <x:c r="I1929" s="32" t="str">
        <x:f>IF(OR('Detalle'!$J937="",'Detalle'!$K937="",'Detalle'!$L937=""),"",IF(AND(I$8&lt;='Detalle'!$K937,I$9&gt;='Detalle'!$J937),1,""))</x:f>
      </x:c>
      <x:c r="J1929" s="32" t="str">
        <x:f>IF(OR('Detalle'!$J937="",'Detalle'!$K937="",'Detalle'!$L937=""),"",IF(AND(J$8&lt;='Detalle'!$K937,J$9&gt;='Detalle'!$J937),1,""))</x:f>
      </x:c>
      <x:c r="K1929" s="32" t="str">
        <x:f>IF(OR('Detalle'!$J937="",'Detalle'!$K937="",'Detalle'!$L937=""),"",IF(AND(K$8&lt;='Detalle'!$K937,K$9&gt;='Detalle'!$J937),1,""))</x:f>
      </x:c>
      <x:c r="L1929" s="32" t="str">
        <x:f>IF(OR('Detalle'!$J937="",'Detalle'!$K937="",'Detalle'!$L937=""),"",IF(AND(L$8&lt;='Detalle'!$K937,L$9&gt;='Detalle'!$J937),1,""))</x:f>
      </x:c>
      <x:c r="M1929" s="32" t="str">
        <x:f>IF(OR('Detalle'!$J937="",'Detalle'!$K937="",'Detalle'!$L937=""),"",IF(AND(M$8&lt;='Detalle'!$K937,M$9&gt;='Detalle'!$J937),1,""))</x:f>
      </x:c>
      <x:c r="N1929" s="32" t="str">
        <x:f>IF(OR('Detalle'!$J937="",'Detalle'!$K937="",'Detalle'!$L937=""),"",IF(AND(N$8&lt;='Detalle'!$K937,N$9&gt;='Detalle'!$J937),1,""))</x:f>
      </x:c>
      <x:c r="O1929" s="32" t="str">
        <x:f>IF(OR('Detalle'!$J937="",'Detalle'!$K937="",'Detalle'!$L937=""),"",IF(AND(O$8&lt;='Detalle'!$K937,O$9&gt;='Detalle'!$J937),1,""))</x:f>
      </x:c>
      <x:c r="P1929" s="32" t="str">
        <x:f>IF(OR('Detalle'!$J937="",'Detalle'!$K937="",'Detalle'!$L937=""),"",IF(AND(P$8&lt;='Detalle'!$K937,P$9&gt;='Detalle'!$J937),1,""))</x:f>
      </x:c>
      <x:c r="Q1929" s="68"/>
      <x:c r="R1929" s="67" t="str"/>
      <x:c r="S1929" s="67" t="str"/>
    </x:row>
    <x:row r="1930" ht="16" customHeight="1">
      <x:c r="A1930" s="56" t="str">
        <x:v>ENT01.003</x:v>
      </x:c>
      <x:c r="B1930" s="57" t="str">
        <x:v>Confirmar contrato del backend final</x:v>
      </x:c>
      <x:c r="C1930" s="62" t="str">
        <x:v>E</x:v>
      </x:c>
      <x:c r="D1930" s="64" t="n">
        <x:f>'Detalle'!I938</x:f>
        <x:v>1</x:v>
      </x:c>
      <x:c r="E1930" s="60" t="str">
        <x:f>'Detalle'!F938</x:f>
        <x:v>Pendiente</x:v>
      </x:c>
      <x:c r="F1930" s="32" t="str">
        <x:f>IF(AND(F$8&lt;='Detalle'!$H938,F$9&gt;='Detalle'!$G938),1,"")</x:f>
      </x:c>
      <x:c r="G1930" s="32" t="str">
        <x:f>IF(AND(G$8&lt;='Detalle'!$H938,G$9&gt;='Detalle'!$G938),1,"")</x:f>
      </x:c>
      <x:c r="H1930" s="32" t="str">
        <x:f>IF(AND(H$8&lt;='Detalle'!$H938,H$9&gt;='Detalle'!$G938),1,"")</x:f>
      </x:c>
      <x:c r="I1930" s="32" t="str">
        <x:f>IF(AND(I$8&lt;='Detalle'!$H938,I$9&gt;='Detalle'!$G938),1,"")</x:f>
      </x:c>
      <x:c r="J1930" s="32" t="str">
        <x:f>IF(AND(J$8&lt;='Detalle'!$H938,J$9&gt;='Detalle'!$G938),1,"")</x:f>
      </x:c>
      <x:c r="K1930" s="32" t="str">
        <x:f>IF(AND(K$8&lt;='Detalle'!$H938,K$9&gt;='Detalle'!$G938),1,"")</x:f>
      </x:c>
      <x:c r="L1930" s="32" t="str">
        <x:f>IF(AND(L$8&lt;='Detalle'!$H938,L$9&gt;='Detalle'!$G938),1,"")</x:f>
      </x:c>
      <x:c r="M1930" s="32" t="str">
        <x:f>IF(AND(M$8&lt;='Detalle'!$H938,M$9&gt;='Detalle'!$G938),1,"")</x:f>
      </x:c>
      <x:c r="N1930" s="32" t="str">
        <x:f>IF(AND(N$8&lt;='Detalle'!$H938,N$9&gt;='Detalle'!$G938),1,"")</x:f>
      </x:c>
      <x:c r="O1930" s="32" t="str">
        <x:f>IF(AND(O$8&lt;='Detalle'!$H938,O$9&gt;='Detalle'!$G938),1,"")</x:f>
      </x:c>
      <x:c r="P1930" s="32" t="n">
        <x:f>IF(AND(P$8&lt;='Detalle'!$H938,P$9&gt;='Detalle'!$G938),1,"")</x:f>
        <x:v>1</x:v>
      </x:c>
      <x:c r="Q1930" s="68"/>
      <x:c r="R1930" s="67" t="str">
        <x:f>IF('Detalle'!M938="","",'Detalle'!M938)</x:f>
      </x:c>
      <x:c r="S1930" s="67" t="str">
        <x:f>IF('Detalle'!N938="","",'Detalle'!N938)</x:f>
      </x:c>
    </x:row>
    <x:row r="1931" ht="16" customHeight="1">
      <x:c r="A1931" s="56" t="str">
        <x:v>ENT01.003</x:v>
      </x:c>
      <x:c r="B1931" s="57" t="str">
        <x:v>Confirmar contrato del backend final</x:v>
      </x:c>
      <x:c r="C1931" s="63" t="str">
        <x:v>R</x:v>
      </x:c>
      <x:c r="D1931" s="65" t="str">
        <x:f>IF('Detalle'!L938="","",'Detalle'!L938)</x:f>
      </x:c>
      <x:c r="E1931" s="60" t="str"/>
      <x:c r="F1931" s="32" t="str">
        <x:f>IF(OR('Detalle'!$J938="",'Detalle'!$K938="",'Detalle'!$L938=""),"",IF(AND(F$8&lt;='Detalle'!$K938,F$9&gt;='Detalle'!$J938),1,""))</x:f>
      </x:c>
      <x:c r="G1931" s="32" t="str">
        <x:f>IF(OR('Detalle'!$J938="",'Detalle'!$K938="",'Detalle'!$L938=""),"",IF(AND(G$8&lt;='Detalle'!$K938,G$9&gt;='Detalle'!$J938),1,""))</x:f>
      </x:c>
      <x:c r="H1931" s="32" t="str">
        <x:f>IF(OR('Detalle'!$J938="",'Detalle'!$K938="",'Detalle'!$L938=""),"",IF(AND(H$8&lt;='Detalle'!$K938,H$9&gt;='Detalle'!$J938),1,""))</x:f>
      </x:c>
      <x:c r="I1931" s="32" t="str">
        <x:f>IF(OR('Detalle'!$J938="",'Detalle'!$K938="",'Detalle'!$L938=""),"",IF(AND(I$8&lt;='Detalle'!$K938,I$9&gt;='Detalle'!$J938),1,""))</x:f>
      </x:c>
      <x:c r="J1931" s="32" t="str">
        <x:f>IF(OR('Detalle'!$J938="",'Detalle'!$K938="",'Detalle'!$L938=""),"",IF(AND(J$8&lt;='Detalle'!$K938,J$9&gt;='Detalle'!$J938),1,""))</x:f>
      </x:c>
      <x:c r="K1931" s="32" t="str">
        <x:f>IF(OR('Detalle'!$J938="",'Detalle'!$K938="",'Detalle'!$L938=""),"",IF(AND(K$8&lt;='Detalle'!$K938,K$9&gt;='Detalle'!$J938),1,""))</x:f>
      </x:c>
      <x:c r="L1931" s="32" t="str">
        <x:f>IF(OR('Detalle'!$J938="",'Detalle'!$K938="",'Detalle'!$L938=""),"",IF(AND(L$8&lt;='Detalle'!$K938,L$9&gt;='Detalle'!$J938),1,""))</x:f>
      </x:c>
      <x:c r="M1931" s="32" t="str">
        <x:f>IF(OR('Detalle'!$J938="",'Detalle'!$K938="",'Detalle'!$L938=""),"",IF(AND(M$8&lt;='Detalle'!$K938,M$9&gt;='Detalle'!$J938),1,""))</x:f>
      </x:c>
      <x:c r="N1931" s="32" t="str">
        <x:f>IF(OR('Detalle'!$J938="",'Detalle'!$K938="",'Detalle'!$L938=""),"",IF(AND(N$8&lt;='Detalle'!$K938,N$9&gt;='Detalle'!$J938),1,""))</x:f>
      </x:c>
      <x:c r="O1931" s="32" t="str">
        <x:f>IF(OR('Detalle'!$J938="",'Detalle'!$K938="",'Detalle'!$L938=""),"",IF(AND(O$8&lt;='Detalle'!$K938,O$9&gt;='Detalle'!$J938),1,""))</x:f>
      </x:c>
      <x:c r="P1931" s="32" t="str">
        <x:f>IF(OR('Detalle'!$J938="",'Detalle'!$K938="",'Detalle'!$L938=""),"",IF(AND(P$8&lt;='Detalle'!$K938,P$9&gt;='Detalle'!$J938),1,""))</x:f>
      </x:c>
      <x:c r="Q1931" s="68"/>
      <x:c r="R1931" s="67" t="str"/>
      <x:c r="S1931" s="67" t="str"/>
    </x:row>
    <x:row r="1932" ht="16" customHeight="1">
      <x:c r="A1932" s="56" t="str">
        <x:v>ENT01.004</x:v>
      </x:c>
      <x:c r="B1932" s="57" t="str">
        <x:v>Compilar Web de entrega</x:v>
      </x:c>
      <x:c r="C1932" s="62" t="str">
        <x:v>E</x:v>
      </x:c>
      <x:c r="D1932" s="64" t="n">
        <x:f>'Detalle'!I939</x:f>
        <x:v>1</x:v>
      </x:c>
      <x:c r="E1932" s="60" t="str">
        <x:f>'Detalle'!F939</x:f>
        <x:v>Pendiente</x:v>
      </x:c>
      <x:c r="F1932" s="32" t="str">
        <x:f>IF(AND(F$8&lt;='Detalle'!$H939,F$9&gt;='Detalle'!$G939),1,"")</x:f>
      </x:c>
      <x:c r="G1932" s="32" t="str">
        <x:f>IF(AND(G$8&lt;='Detalle'!$H939,G$9&gt;='Detalle'!$G939),1,"")</x:f>
      </x:c>
      <x:c r="H1932" s="32" t="str">
        <x:f>IF(AND(H$8&lt;='Detalle'!$H939,H$9&gt;='Detalle'!$G939),1,"")</x:f>
      </x:c>
      <x:c r="I1932" s="32" t="str">
        <x:f>IF(AND(I$8&lt;='Detalle'!$H939,I$9&gt;='Detalle'!$G939),1,"")</x:f>
      </x:c>
      <x:c r="J1932" s="32" t="str">
        <x:f>IF(AND(J$8&lt;='Detalle'!$H939,J$9&gt;='Detalle'!$G939),1,"")</x:f>
      </x:c>
      <x:c r="K1932" s="32" t="str">
        <x:f>IF(AND(K$8&lt;='Detalle'!$H939,K$9&gt;='Detalle'!$G939),1,"")</x:f>
      </x:c>
      <x:c r="L1932" s="32" t="str">
        <x:f>IF(AND(L$8&lt;='Detalle'!$H939,L$9&gt;='Detalle'!$G939),1,"")</x:f>
      </x:c>
      <x:c r="M1932" s="32" t="str">
        <x:f>IF(AND(M$8&lt;='Detalle'!$H939,M$9&gt;='Detalle'!$G939),1,"")</x:f>
      </x:c>
      <x:c r="N1932" s="32" t="str">
        <x:f>IF(AND(N$8&lt;='Detalle'!$H939,N$9&gt;='Detalle'!$G939),1,"")</x:f>
      </x:c>
      <x:c r="O1932" s="32" t="str">
        <x:f>IF(AND(O$8&lt;='Detalle'!$H939,O$9&gt;='Detalle'!$G939),1,"")</x:f>
      </x:c>
      <x:c r="P1932" s="32" t="n">
        <x:f>IF(AND(P$8&lt;='Detalle'!$H939,P$9&gt;='Detalle'!$G939),1,"")</x:f>
        <x:v>1</x:v>
      </x:c>
      <x:c r="Q1932" s="68"/>
      <x:c r="R1932" s="67" t="str">
        <x:f>IF('Detalle'!M939="","",'Detalle'!M939)</x:f>
      </x:c>
      <x:c r="S1932" s="67" t="str">
        <x:f>IF('Detalle'!N939="","",'Detalle'!N939)</x:f>
      </x:c>
    </x:row>
    <x:row r="1933" ht="16" customHeight="1">
      <x:c r="A1933" s="56" t="str">
        <x:v>ENT01.004</x:v>
      </x:c>
      <x:c r="B1933" s="57" t="str">
        <x:v>Compilar Web de entrega</x:v>
      </x:c>
      <x:c r="C1933" s="63" t="str">
        <x:v>R</x:v>
      </x:c>
      <x:c r="D1933" s="65" t="str">
        <x:f>IF('Detalle'!L939="","",'Detalle'!L939)</x:f>
      </x:c>
      <x:c r="E1933" s="60" t="str"/>
      <x:c r="F1933" s="32" t="str">
        <x:f>IF(OR('Detalle'!$J939="",'Detalle'!$K939="",'Detalle'!$L939=""),"",IF(AND(F$8&lt;='Detalle'!$K939,F$9&gt;='Detalle'!$J939),1,""))</x:f>
      </x:c>
      <x:c r="G1933" s="32" t="str">
        <x:f>IF(OR('Detalle'!$J939="",'Detalle'!$K939="",'Detalle'!$L939=""),"",IF(AND(G$8&lt;='Detalle'!$K939,G$9&gt;='Detalle'!$J939),1,""))</x:f>
      </x:c>
      <x:c r="H1933" s="32" t="str">
        <x:f>IF(OR('Detalle'!$J939="",'Detalle'!$K939="",'Detalle'!$L939=""),"",IF(AND(H$8&lt;='Detalle'!$K939,H$9&gt;='Detalle'!$J939),1,""))</x:f>
      </x:c>
      <x:c r="I1933" s="32" t="str">
        <x:f>IF(OR('Detalle'!$J939="",'Detalle'!$K939="",'Detalle'!$L939=""),"",IF(AND(I$8&lt;='Detalle'!$K939,I$9&gt;='Detalle'!$J939),1,""))</x:f>
      </x:c>
      <x:c r="J1933" s="32" t="str">
        <x:f>IF(OR('Detalle'!$J939="",'Detalle'!$K939="",'Detalle'!$L939=""),"",IF(AND(J$8&lt;='Detalle'!$K939,J$9&gt;='Detalle'!$J939),1,""))</x:f>
      </x:c>
      <x:c r="K1933" s="32" t="str">
        <x:f>IF(OR('Detalle'!$J939="",'Detalle'!$K939="",'Detalle'!$L939=""),"",IF(AND(K$8&lt;='Detalle'!$K939,K$9&gt;='Detalle'!$J939),1,""))</x:f>
      </x:c>
      <x:c r="L1933" s="32" t="str">
        <x:f>IF(OR('Detalle'!$J939="",'Detalle'!$K939="",'Detalle'!$L939=""),"",IF(AND(L$8&lt;='Detalle'!$K939,L$9&gt;='Detalle'!$J939),1,""))</x:f>
      </x:c>
      <x:c r="M1933" s="32" t="str">
        <x:f>IF(OR('Detalle'!$J939="",'Detalle'!$K939="",'Detalle'!$L939=""),"",IF(AND(M$8&lt;='Detalle'!$K939,M$9&gt;='Detalle'!$J939),1,""))</x:f>
      </x:c>
      <x:c r="N1933" s="32" t="str">
        <x:f>IF(OR('Detalle'!$J939="",'Detalle'!$K939="",'Detalle'!$L939=""),"",IF(AND(N$8&lt;='Detalle'!$K939,N$9&gt;='Detalle'!$J939),1,""))</x:f>
      </x:c>
      <x:c r="O1933" s="32" t="str">
        <x:f>IF(OR('Detalle'!$J939="",'Detalle'!$K939="",'Detalle'!$L939=""),"",IF(AND(O$8&lt;='Detalle'!$K939,O$9&gt;='Detalle'!$J939),1,""))</x:f>
      </x:c>
      <x:c r="P1933" s="32" t="str">
        <x:f>IF(OR('Detalle'!$J939="",'Detalle'!$K939="",'Detalle'!$L939=""),"",IF(AND(P$8&lt;='Detalle'!$K939,P$9&gt;='Detalle'!$J939),1,""))</x:f>
      </x:c>
      <x:c r="Q1933" s="68"/>
      <x:c r="R1933" s="67" t="str"/>
      <x:c r="S1933" s="67" t="str"/>
    </x:row>
    <x:row r="1934" ht="16" customHeight="1">
      <x:c r="A1934" s="56" t="str">
        <x:v>ENT01.005</x:v>
      </x:c>
      <x:c r="B1934" s="57" t="str">
        <x:v>Preparar APK de entrega</x:v>
      </x:c>
      <x:c r="C1934" s="62" t="str">
        <x:v>E</x:v>
      </x:c>
      <x:c r="D1934" s="64" t="n">
        <x:f>'Detalle'!I940</x:f>
        <x:v>1</x:v>
      </x:c>
      <x:c r="E1934" s="60" t="str">
        <x:f>'Detalle'!F940</x:f>
        <x:v>Pendiente</x:v>
      </x:c>
      <x:c r="F1934" s="32" t="str">
        <x:f>IF(AND(F$8&lt;='Detalle'!$H940,F$9&gt;='Detalle'!$G940),1,"")</x:f>
      </x:c>
      <x:c r="G1934" s="32" t="str">
        <x:f>IF(AND(G$8&lt;='Detalle'!$H940,G$9&gt;='Detalle'!$G940),1,"")</x:f>
      </x:c>
      <x:c r="H1934" s="32" t="str">
        <x:f>IF(AND(H$8&lt;='Detalle'!$H940,H$9&gt;='Detalle'!$G940),1,"")</x:f>
      </x:c>
      <x:c r="I1934" s="32" t="str">
        <x:f>IF(AND(I$8&lt;='Detalle'!$H940,I$9&gt;='Detalle'!$G940),1,"")</x:f>
      </x:c>
      <x:c r="J1934" s="32" t="str">
        <x:f>IF(AND(J$8&lt;='Detalle'!$H940,J$9&gt;='Detalle'!$G940),1,"")</x:f>
      </x:c>
      <x:c r="K1934" s="32" t="str">
        <x:f>IF(AND(K$8&lt;='Detalle'!$H940,K$9&gt;='Detalle'!$G940),1,"")</x:f>
      </x:c>
      <x:c r="L1934" s="32" t="str">
        <x:f>IF(AND(L$8&lt;='Detalle'!$H940,L$9&gt;='Detalle'!$G940),1,"")</x:f>
      </x:c>
      <x:c r="M1934" s="32" t="str">
        <x:f>IF(AND(M$8&lt;='Detalle'!$H940,M$9&gt;='Detalle'!$G940),1,"")</x:f>
      </x:c>
      <x:c r="N1934" s="32" t="str">
        <x:f>IF(AND(N$8&lt;='Detalle'!$H940,N$9&gt;='Detalle'!$G940),1,"")</x:f>
      </x:c>
      <x:c r="O1934" s="32" t="str">
        <x:f>IF(AND(O$8&lt;='Detalle'!$H940,O$9&gt;='Detalle'!$G940),1,"")</x:f>
      </x:c>
      <x:c r="P1934" s="32" t="n">
        <x:f>IF(AND(P$8&lt;='Detalle'!$H940,P$9&gt;='Detalle'!$G940),1,"")</x:f>
        <x:v>1</x:v>
      </x:c>
      <x:c r="Q1934" s="68"/>
      <x:c r="R1934" s="67" t="str">
        <x:f>IF('Detalle'!M940="","",'Detalle'!M940)</x:f>
      </x:c>
      <x:c r="S1934" s="67" t="str">
        <x:f>IF('Detalle'!N940="","",'Detalle'!N940)</x:f>
      </x:c>
    </x:row>
    <x:row r="1935" ht="16" customHeight="1">
      <x:c r="A1935" s="56" t="str">
        <x:v>ENT01.005</x:v>
      </x:c>
      <x:c r="B1935" s="57" t="str">
        <x:v>Preparar APK de entrega</x:v>
      </x:c>
      <x:c r="C1935" s="63" t="str">
        <x:v>R</x:v>
      </x:c>
      <x:c r="D1935" s="65" t="str">
        <x:f>IF('Detalle'!L940="","",'Detalle'!L940)</x:f>
      </x:c>
      <x:c r="E1935" s="60" t="str"/>
      <x:c r="F1935" s="32" t="str">
        <x:f>IF(OR('Detalle'!$J940="",'Detalle'!$K940="",'Detalle'!$L940=""),"",IF(AND(F$8&lt;='Detalle'!$K940,F$9&gt;='Detalle'!$J940),1,""))</x:f>
      </x:c>
      <x:c r="G1935" s="32" t="str">
        <x:f>IF(OR('Detalle'!$J940="",'Detalle'!$K940="",'Detalle'!$L940=""),"",IF(AND(G$8&lt;='Detalle'!$K940,G$9&gt;='Detalle'!$J940),1,""))</x:f>
      </x:c>
      <x:c r="H1935" s="32" t="str">
        <x:f>IF(OR('Detalle'!$J940="",'Detalle'!$K940="",'Detalle'!$L940=""),"",IF(AND(H$8&lt;='Detalle'!$K940,H$9&gt;='Detalle'!$J940),1,""))</x:f>
      </x:c>
      <x:c r="I1935" s="32" t="str">
        <x:f>IF(OR('Detalle'!$J940="",'Detalle'!$K940="",'Detalle'!$L940=""),"",IF(AND(I$8&lt;='Detalle'!$K940,I$9&gt;='Detalle'!$J940),1,""))</x:f>
      </x:c>
      <x:c r="J1935" s="32" t="str">
        <x:f>IF(OR('Detalle'!$J940="",'Detalle'!$K940="",'Detalle'!$L940=""),"",IF(AND(J$8&lt;='Detalle'!$K940,J$9&gt;='Detalle'!$J940),1,""))</x:f>
      </x:c>
      <x:c r="K1935" s="32" t="str">
        <x:f>IF(OR('Detalle'!$J940="",'Detalle'!$K940="",'Detalle'!$L940=""),"",IF(AND(K$8&lt;='Detalle'!$K940,K$9&gt;='Detalle'!$J940),1,""))</x:f>
      </x:c>
      <x:c r="L1935" s="32" t="str">
        <x:f>IF(OR('Detalle'!$J940="",'Detalle'!$K940="",'Detalle'!$L940=""),"",IF(AND(L$8&lt;='Detalle'!$K940,L$9&gt;='Detalle'!$J940),1,""))</x:f>
      </x:c>
      <x:c r="M1935" s="32" t="str">
        <x:f>IF(OR('Detalle'!$J940="",'Detalle'!$K940="",'Detalle'!$L940=""),"",IF(AND(M$8&lt;='Detalle'!$K940,M$9&gt;='Detalle'!$J940),1,""))</x:f>
      </x:c>
      <x:c r="N1935" s="32" t="str">
        <x:f>IF(OR('Detalle'!$J940="",'Detalle'!$K940="",'Detalle'!$L940=""),"",IF(AND(N$8&lt;='Detalle'!$K940,N$9&gt;='Detalle'!$J940),1,""))</x:f>
      </x:c>
      <x:c r="O1935" s="32" t="str">
        <x:f>IF(OR('Detalle'!$J940="",'Detalle'!$K940="",'Detalle'!$L940=""),"",IF(AND(O$8&lt;='Detalle'!$K940,O$9&gt;='Detalle'!$J940),1,""))</x:f>
      </x:c>
      <x:c r="P1935" s="32" t="str">
        <x:f>IF(OR('Detalle'!$J940="",'Detalle'!$K940="",'Detalle'!$L940=""),"",IF(AND(P$8&lt;='Detalle'!$K940,P$9&gt;='Detalle'!$J940),1,""))</x:f>
      </x:c>
      <x:c r="Q1935" s="68"/>
      <x:c r="R1935" s="67" t="str"/>
      <x:c r="S1935" s="67" t="str"/>
    </x:row>
    <x:row r="1936" ht="16" customHeight="1">
      <x:c r="A1936" s="56" t="str">
        <x:v>ENT01.006</x:v>
      </x:c>
      <x:c r="B1936" s="57" t="str">
        <x:v>Preparar iOS si existe firma y dispositivo</x:v>
      </x:c>
      <x:c r="C1936" s="62" t="str">
        <x:v>E</x:v>
      </x:c>
      <x:c r="D1936" s="64" t="n">
        <x:f>'Detalle'!I941</x:f>
        <x:v>1</x:v>
      </x:c>
      <x:c r="E1936" s="60" t="str">
        <x:f>'Detalle'!F941</x:f>
        <x:v>Bloqueado</x:v>
      </x:c>
      <x:c r="F1936" s="32" t="str">
        <x:f>IF(AND(F$8&lt;='Detalle'!$H941,F$9&gt;='Detalle'!$G941),1,"")</x:f>
      </x:c>
      <x:c r="G1936" s="32" t="str">
        <x:f>IF(AND(G$8&lt;='Detalle'!$H941,G$9&gt;='Detalle'!$G941),1,"")</x:f>
      </x:c>
      <x:c r="H1936" s="32" t="str">
        <x:f>IF(AND(H$8&lt;='Detalle'!$H941,H$9&gt;='Detalle'!$G941),1,"")</x:f>
      </x:c>
      <x:c r="I1936" s="32" t="str">
        <x:f>IF(AND(I$8&lt;='Detalle'!$H941,I$9&gt;='Detalle'!$G941),1,"")</x:f>
      </x:c>
      <x:c r="J1936" s="32" t="str">
        <x:f>IF(AND(J$8&lt;='Detalle'!$H941,J$9&gt;='Detalle'!$G941),1,"")</x:f>
      </x:c>
      <x:c r="K1936" s="32" t="str">
        <x:f>IF(AND(K$8&lt;='Detalle'!$H941,K$9&gt;='Detalle'!$G941),1,"")</x:f>
      </x:c>
      <x:c r="L1936" s="32" t="str">
        <x:f>IF(AND(L$8&lt;='Detalle'!$H941,L$9&gt;='Detalle'!$G941),1,"")</x:f>
      </x:c>
      <x:c r="M1936" s="32" t="str">
        <x:f>IF(AND(M$8&lt;='Detalle'!$H941,M$9&gt;='Detalle'!$G941),1,"")</x:f>
      </x:c>
      <x:c r="N1936" s="32" t="str">
        <x:f>IF(AND(N$8&lt;='Detalle'!$H941,N$9&gt;='Detalle'!$G941),1,"")</x:f>
      </x:c>
      <x:c r="O1936" s="32" t="str">
        <x:f>IF(AND(O$8&lt;='Detalle'!$H941,O$9&gt;='Detalle'!$G941),1,"")</x:f>
      </x:c>
      <x:c r="P1936" s="32" t="n">
        <x:f>IF(AND(P$8&lt;='Detalle'!$H941,P$9&gt;='Detalle'!$G941),1,"")</x:f>
        <x:v>1</x:v>
      </x:c>
      <x:c r="Q1936" s="68"/>
      <x:c r="R1936" s="67" t="str">
        <x:f>IF('Detalle'!M941="","",'Detalle'!M941)</x:f>
      </x:c>
      <x:c r="S1936" s="67" t="str">
        <x:f>IF('Detalle'!N941="","",'Detalle'!N941)</x:f>
      </x:c>
    </x:row>
    <x:row r="1937" ht="16" customHeight="1">
      <x:c r="A1937" s="56" t="str">
        <x:v>ENT01.006</x:v>
      </x:c>
      <x:c r="B1937" s="57" t="str">
        <x:v>Preparar iOS si existe firma y dispositivo</x:v>
      </x:c>
      <x:c r="C1937" s="63" t="str">
        <x:v>R</x:v>
      </x:c>
      <x:c r="D1937" s="65" t="str">
        <x:f>IF('Detalle'!L941="","",'Detalle'!L941)</x:f>
      </x:c>
      <x:c r="E1937" s="60" t="str"/>
      <x:c r="F1937" s="32" t="str">
        <x:f>IF(OR('Detalle'!$J941="",'Detalle'!$K941="",'Detalle'!$L941=""),"",IF(AND(F$8&lt;='Detalle'!$K941,F$9&gt;='Detalle'!$J941),1,""))</x:f>
      </x:c>
      <x:c r="G1937" s="32" t="str">
        <x:f>IF(OR('Detalle'!$J941="",'Detalle'!$K941="",'Detalle'!$L941=""),"",IF(AND(G$8&lt;='Detalle'!$K941,G$9&gt;='Detalle'!$J941),1,""))</x:f>
      </x:c>
      <x:c r="H1937" s="32" t="str">
        <x:f>IF(OR('Detalle'!$J941="",'Detalle'!$K941="",'Detalle'!$L941=""),"",IF(AND(H$8&lt;='Detalle'!$K941,H$9&gt;='Detalle'!$J941),1,""))</x:f>
      </x:c>
      <x:c r="I1937" s="32" t="str">
        <x:f>IF(OR('Detalle'!$J941="",'Detalle'!$K941="",'Detalle'!$L941=""),"",IF(AND(I$8&lt;='Detalle'!$K941,I$9&gt;='Detalle'!$J941),1,""))</x:f>
      </x:c>
      <x:c r="J1937" s="32" t="str">
        <x:f>IF(OR('Detalle'!$J941="",'Detalle'!$K941="",'Detalle'!$L941=""),"",IF(AND(J$8&lt;='Detalle'!$K941,J$9&gt;='Detalle'!$J941),1,""))</x:f>
      </x:c>
      <x:c r="K1937" s="32" t="str">
        <x:f>IF(OR('Detalle'!$J941="",'Detalle'!$K941="",'Detalle'!$L941=""),"",IF(AND(K$8&lt;='Detalle'!$K941,K$9&gt;='Detalle'!$J941),1,""))</x:f>
      </x:c>
      <x:c r="L1937" s="32" t="str">
        <x:f>IF(OR('Detalle'!$J941="",'Detalle'!$K941="",'Detalle'!$L941=""),"",IF(AND(L$8&lt;='Detalle'!$K941,L$9&gt;='Detalle'!$J941),1,""))</x:f>
      </x:c>
      <x:c r="M1937" s="32" t="str">
        <x:f>IF(OR('Detalle'!$J941="",'Detalle'!$K941="",'Detalle'!$L941=""),"",IF(AND(M$8&lt;='Detalle'!$K941,M$9&gt;='Detalle'!$J941),1,""))</x:f>
      </x:c>
      <x:c r="N1937" s="32" t="str">
        <x:f>IF(OR('Detalle'!$J941="",'Detalle'!$K941="",'Detalle'!$L941=""),"",IF(AND(N$8&lt;='Detalle'!$K941,N$9&gt;='Detalle'!$J941),1,""))</x:f>
      </x:c>
      <x:c r="O1937" s="32" t="str">
        <x:f>IF(OR('Detalle'!$J941="",'Detalle'!$K941="",'Detalle'!$L941=""),"",IF(AND(O$8&lt;='Detalle'!$K941,O$9&gt;='Detalle'!$J941),1,""))</x:f>
      </x:c>
      <x:c r="P1937" s="32" t="str">
        <x:f>IF(OR('Detalle'!$J941="",'Detalle'!$K941="",'Detalle'!$L941=""),"",IF(AND(P$8&lt;='Detalle'!$K941,P$9&gt;='Detalle'!$J941),1,""))</x:f>
      </x:c>
      <x:c r="Q1937" s="68"/>
      <x:c r="R1937" s="67" t="str"/>
      <x:c r="S1937" s="67" t="str"/>
    </x:row>
    <x:row r="1938" ht="16" customHeight="1">
      <x:c r="A1938" s="56" t="str">
        <x:v>ENT01.007</x:v>
      </x:c>
      <x:c r="B1938" s="57" t="str">
        <x:v>Publicar actualización Web acordada</x:v>
      </x:c>
      <x:c r="C1938" s="62" t="str">
        <x:v>E</x:v>
      </x:c>
      <x:c r="D1938" s="64" t="n">
        <x:f>'Detalle'!I942</x:f>
        <x:v>1</x:v>
      </x:c>
      <x:c r="E1938" s="60" t="str">
        <x:f>'Detalle'!F942</x:f>
        <x:v>Pendiente</x:v>
      </x:c>
      <x:c r="F1938" s="32" t="str">
        <x:f>IF(AND(F$8&lt;='Detalle'!$H942,F$9&gt;='Detalle'!$G942),1,"")</x:f>
      </x:c>
      <x:c r="G1938" s="32" t="str">
        <x:f>IF(AND(G$8&lt;='Detalle'!$H942,G$9&gt;='Detalle'!$G942),1,"")</x:f>
      </x:c>
      <x:c r="H1938" s="32" t="str">
        <x:f>IF(AND(H$8&lt;='Detalle'!$H942,H$9&gt;='Detalle'!$G942),1,"")</x:f>
      </x:c>
      <x:c r="I1938" s="32" t="str">
        <x:f>IF(AND(I$8&lt;='Detalle'!$H942,I$9&gt;='Detalle'!$G942),1,"")</x:f>
      </x:c>
      <x:c r="J1938" s="32" t="str">
        <x:f>IF(AND(J$8&lt;='Detalle'!$H942,J$9&gt;='Detalle'!$G942),1,"")</x:f>
      </x:c>
      <x:c r="K1938" s="32" t="str">
        <x:f>IF(AND(K$8&lt;='Detalle'!$H942,K$9&gt;='Detalle'!$G942),1,"")</x:f>
      </x:c>
      <x:c r="L1938" s="32" t="str">
        <x:f>IF(AND(L$8&lt;='Detalle'!$H942,L$9&gt;='Detalle'!$G942),1,"")</x:f>
      </x:c>
      <x:c r="M1938" s="32" t="str">
        <x:f>IF(AND(M$8&lt;='Detalle'!$H942,M$9&gt;='Detalle'!$G942),1,"")</x:f>
      </x:c>
      <x:c r="N1938" s="32" t="str">
        <x:f>IF(AND(N$8&lt;='Detalle'!$H942,N$9&gt;='Detalle'!$G942),1,"")</x:f>
      </x:c>
      <x:c r="O1938" s="32" t="str">
        <x:f>IF(AND(O$8&lt;='Detalle'!$H942,O$9&gt;='Detalle'!$G942),1,"")</x:f>
      </x:c>
      <x:c r="P1938" s="32" t="n">
        <x:f>IF(AND(P$8&lt;='Detalle'!$H942,P$9&gt;='Detalle'!$G942),1,"")</x:f>
        <x:v>1</x:v>
      </x:c>
      <x:c r="Q1938" s="68"/>
      <x:c r="R1938" s="67" t="str">
        <x:f>IF('Detalle'!M942="","",'Detalle'!M942)</x:f>
      </x:c>
      <x:c r="S1938" s="67" t="str">
        <x:f>IF('Detalle'!N942="","",'Detalle'!N942)</x:f>
      </x:c>
    </x:row>
    <x:row r="1939" ht="16" customHeight="1">
      <x:c r="A1939" s="56" t="str">
        <x:v>ENT01.007</x:v>
      </x:c>
      <x:c r="B1939" s="57" t="str">
        <x:v>Publicar actualización Web acordada</x:v>
      </x:c>
      <x:c r="C1939" s="63" t="str">
        <x:v>R</x:v>
      </x:c>
      <x:c r="D1939" s="65" t="str">
        <x:f>IF('Detalle'!L942="","",'Detalle'!L942)</x:f>
      </x:c>
      <x:c r="E1939" s="60" t="str"/>
      <x:c r="F1939" s="32" t="str">
        <x:f>IF(OR('Detalle'!$J942="",'Detalle'!$K942="",'Detalle'!$L942=""),"",IF(AND(F$8&lt;='Detalle'!$K942,F$9&gt;='Detalle'!$J942),1,""))</x:f>
      </x:c>
      <x:c r="G1939" s="32" t="str">
        <x:f>IF(OR('Detalle'!$J942="",'Detalle'!$K942="",'Detalle'!$L942=""),"",IF(AND(G$8&lt;='Detalle'!$K942,G$9&gt;='Detalle'!$J942),1,""))</x:f>
      </x:c>
      <x:c r="H1939" s="32" t="str">
        <x:f>IF(OR('Detalle'!$J942="",'Detalle'!$K942="",'Detalle'!$L942=""),"",IF(AND(H$8&lt;='Detalle'!$K942,H$9&gt;='Detalle'!$J942),1,""))</x:f>
      </x:c>
      <x:c r="I1939" s="32" t="str">
        <x:f>IF(OR('Detalle'!$J942="",'Detalle'!$K942="",'Detalle'!$L942=""),"",IF(AND(I$8&lt;='Detalle'!$K942,I$9&gt;='Detalle'!$J942),1,""))</x:f>
      </x:c>
      <x:c r="J1939" s="32" t="str">
        <x:f>IF(OR('Detalle'!$J942="",'Detalle'!$K942="",'Detalle'!$L942=""),"",IF(AND(J$8&lt;='Detalle'!$K942,J$9&gt;='Detalle'!$J942),1,""))</x:f>
      </x:c>
      <x:c r="K1939" s="32" t="str">
        <x:f>IF(OR('Detalle'!$J942="",'Detalle'!$K942="",'Detalle'!$L942=""),"",IF(AND(K$8&lt;='Detalle'!$K942,K$9&gt;='Detalle'!$J942),1,""))</x:f>
      </x:c>
      <x:c r="L1939" s="32" t="str">
        <x:f>IF(OR('Detalle'!$J942="",'Detalle'!$K942="",'Detalle'!$L942=""),"",IF(AND(L$8&lt;='Detalle'!$K942,L$9&gt;='Detalle'!$J942),1,""))</x:f>
      </x:c>
      <x:c r="M1939" s="32" t="str">
        <x:f>IF(OR('Detalle'!$J942="",'Detalle'!$K942="",'Detalle'!$L942=""),"",IF(AND(M$8&lt;='Detalle'!$K942,M$9&gt;='Detalle'!$J942),1,""))</x:f>
      </x:c>
      <x:c r="N1939" s="32" t="str">
        <x:f>IF(OR('Detalle'!$J942="",'Detalle'!$K942="",'Detalle'!$L942=""),"",IF(AND(N$8&lt;='Detalle'!$K942,N$9&gt;='Detalle'!$J942),1,""))</x:f>
      </x:c>
      <x:c r="O1939" s="32" t="str">
        <x:f>IF(OR('Detalle'!$J942="",'Detalle'!$K942="",'Detalle'!$L942=""),"",IF(AND(O$8&lt;='Detalle'!$K942,O$9&gt;='Detalle'!$J942),1,""))</x:f>
      </x:c>
      <x:c r="P1939" s="32" t="str">
        <x:f>IF(OR('Detalle'!$J942="",'Detalle'!$K942="",'Detalle'!$L942=""),"",IF(AND(P$8&lt;='Detalle'!$K942,P$9&gt;='Detalle'!$J942),1,""))</x:f>
      </x:c>
      <x:c r="Q1939" s="68"/>
      <x:c r="R1939" s="67" t="str"/>
      <x:c r="S1939" s="67" t="str"/>
    </x:row>
    <x:row r="1940" ht="16" customHeight="1">
      <x:c r="A1940" s="56" t="str">
        <x:v>ENT01.008</x:v>
      </x:c>
      <x:c r="B1940" s="57" t="str">
        <x:v>Verificar instalación y arranque Android</x:v>
      </x:c>
      <x:c r="C1940" s="62" t="str">
        <x:v>E</x:v>
      </x:c>
      <x:c r="D1940" s="64" t="n">
        <x:f>'Detalle'!I943</x:f>
        <x:v>1</x:v>
      </x:c>
      <x:c r="E1940" s="60" t="str">
        <x:f>'Detalle'!F943</x:f>
        <x:v>Pendiente</x:v>
      </x:c>
      <x:c r="F1940" s="32" t="str">
        <x:f>IF(AND(F$8&lt;='Detalle'!$H943,F$9&gt;='Detalle'!$G943),1,"")</x:f>
      </x:c>
      <x:c r="G1940" s="32" t="str">
        <x:f>IF(AND(G$8&lt;='Detalle'!$H943,G$9&gt;='Detalle'!$G943),1,"")</x:f>
      </x:c>
      <x:c r="H1940" s="32" t="str">
        <x:f>IF(AND(H$8&lt;='Detalle'!$H943,H$9&gt;='Detalle'!$G943),1,"")</x:f>
      </x:c>
      <x:c r="I1940" s="32" t="str">
        <x:f>IF(AND(I$8&lt;='Detalle'!$H943,I$9&gt;='Detalle'!$G943),1,"")</x:f>
      </x:c>
      <x:c r="J1940" s="32" t="str">
        <x:f>IF(AND(J$8&lt;='Detalle'!$H943,J$9&gt;='Detalle'!$G943),1,"")</x:f>
      </x:c>
      <x:c r="K1940" s="32" t="str">
        <x:f>IF(AND(K$8&lt;='Detalle'!$H943,K$9&gt;='Detalle'!$G943),1,"")</x:f>
      </x:c>
      <x:c r="L1940" s="32" t="str">
        <x:f>IF(AND(L$8&lt;='Detalle'!$H943,L$9&gt;='Detalle'!$G943),1,"")</x:f>
      </x:c>
      <x:c r="M1940" s="32" t="str">
        <x:f>IF(AND(M$8&lt;='Detalle'!$H943,M$9&gt;='Detalle'!$G943),1,"")</x:f>
      </x:c>
      <x:c r="N1940" s="32" t="str">
        <x:f>IF(AND(N$8&lt;='Detalle'!$H943,N$9&gt;='Detalle'!$G943),1,"")</x:f>
      </x:c>
      <x:c r="O1940" s="32" t="str">
        <x:f>IF(AND(O$8&lt;='Detalle'!$H943,O$9&gt;='Detalle'!$G943),1,"")</x:f>
      </x:c>
      <x:c r="P1940" s="32" t="n">
        <x:f>IF(AND(P$8&lt;='Detalle'!$H943,P$9&gt;='Detalle'!$G943),1,"")</x:f>
        <x:v>1</x:v>
      </x:c>
      <x:c r="Q1940" s="68"/>
      <x:c r="R1940" s="67" t="str">
        <x:f>IF('Detalle'!M943="","",'Detalle'!M943)</x:f>
      </x:c>
      <x:c r="S1940" s="67" t="str">
        <x:f>IF('Detalle'!N943="","",'Detalle'!N943)</x:f>
      </x:c>
    </x:row>
    <x:row r="1941" ht="16" customHeight="1">
      <x:c r="A1941" s="56" t="str">
        <x:v>ENT01.008</x:v>
      </x:c>
      <x:c r="B1941" s="57" t="str">
        <x:v>Verificar instalación y arranque Android</x:v>
      </x:c>
      <x:c r="C1941" s="63" t="str">
        <x:v>R</x:v>
      </x:c>
      <x:c r="D1941" s="65" t="str">
        <x:f>IF('Detalle'!L943="","",'Detalle'!L943)</x:f>
      </x:c>
      <x:c r="E1941" s="60" t="str"/>
      <x:c r="F1941" s="32" t="str">
        <x:f>IF(OR('Detalle'!$J943="",'Detalle'!$K943="",'Detalle'!$L943=""),"",IF(AND(F$8&lt;='Detalle'!$K943,F$9&gt;='Detalle'!$J943),1,""))</x:f>
      </x:c>
      <x:c r="G1941" s="32" t="str">
        <x:f>IF(OR('Detalle'!$J943="",'Detalle'!$K943="",'Detalle'!$L943=""),"",IF(AND(G$8&lt;='Detalle'!$K943,G$9&gt;='Detalle'!$J943),1,""))</x:f>
      </x:c>
      <x:c r="H1941" s="32" t="str">
        <x:f>IF(OR('Detalle'!$J943="",'Detalle'!$K943="",'Detalle'!$L943=""),"",IF(AND(H$8&lt;='Detalle'!$K943,H$9&gt;='Detalle'!$J943),1,""))</x:f>
      </x:c>
      <x:c r="I1941" s="32" t="str">
        <x:f>IF(OR('Detalle'!$J943="",'Detalle'!$K943="",'Detalle'!$L943=""),"",IF(AND(I$8&lt;='Detalle'!$K943,I$9&gt;='Detalle'!$J943),1,""))</x:f>
      </x:c>
      <x:c r="J1941" s="32" t="str">
        <x:f>IF(OR('Detalle'!$J943="",'Detalle'!$K943="",'Detalle'!$L943=""),"",IF(AND(J$8&lt;='Detalle'!$K943,J$9&gt;='Detalle'!$J943),1,""))</x:f>
      </x:c>
      <x:c r="K1941" s="32" t="str">
        <x:f>IF(OR('Detalle'!$J943="",'Detalle'!$K943="",'Detalle'!$L943=""),"",IF(AND(K$8&lt;='Detalle'!$K943,K$9&gt;='Detalle'!$J943),1,""))</x:f>
      </x:c>
      <x:c r="L1941" s="32" t="str">
        <x:f>IF(OR('Detalle'!$J943="",'Detalle'!$K943="",'Detalle'!$L943=""),"",IF(AND(L$8&lt;='Detalle'!$K943,L$9&gt;='Detalle'!$J943),1,""))</x:f>
      </x:c>
      <x:c r="M1941" s="32" t="str">
        <x:f>IF(OR('Detalle'!$J943="",'Detalle'!$K943="",'Detalle'!$L943=""),"",IF(AND(M$8&lt;='Detalle'!$K943,M$9&gt;='Detalle'!$J943),1,""))</x:f>
      </x:c>
      <x:c r="N1941" s="32" t="str">
        <x:f>IF(OR('Detalle'!$J943="",'Detalle'!$K943="",'Detalle'!$L943=""),"",IF(AND(N$8&lt;='Detalle'!$K943,N$9&gt;='Detalle'!$J943),1,""))</x:f>
      </x:c>
      <x:c r="O1941" s="32" t="str">
        <x:f>IF(OR('Detalle'!$J943="",'Detalle'!$K943="",'Detalle'!$L943=""),"",IF(AND(O$8&lt;='Detalle'!$K943,O$9&gt;='Detalle'!$J943),1,""))</x:f>
      </x:c>
      <x:c r="P1941" s="32" t="str">
        <x:f>IF(OR('Detalle'!$J943="",'Detalle'!$K943="",'Detalle'!$L943=""),"",IF(AND(P$8&lt;='Detalle'!$K943,P$9&gt;='Detalle'!$J943),1,""))</x:f>
      </x:c>
      <x:c r="Q1941" s="68"/>
      <x:c r="R1941" s="67" t="str"/>
      <x:c r="S1941" s="67" t="str"/>
    </x:row>
    <x:row r="1942" ht="16" customHeight="1">
      <x:c r="A1942" s="56" t="str">
        <x:v>ENT01.009</x:v>
      </x:c>
      <x:c r="B1942" s="57" t="str">
        <x:v>Verificar operación de push y tours</x:v>
      </x:c>
      <x:c r="C1942" s="62" t="str">
        <x:v>E</x:v>
      </x:c>
      <x:c r="D1942" s="64" t="n">
        <x:f>'Detalle'!I944</x:f>
        <x:v>1</x:v>
      </x:c>
      <x:c r="E1942" s="60" t="str">
        <x:f>'Detalle'!F944</x:f>
        <x:v>Pendiente</x:v>
      </x:c>
      <x:c r="F1942" s="32" t="str">
        <x:f>IF(AND(F$8&lt;='Detalle'!$H944,F$9&gt;='Detalle'!$G944),1,"")</x:f>
      </x:c>
      <x:c r="G1942" s="32" t="str">
        <x:f>IF(AND(G$8&lt;='Detalle'!$H944,G$9&gt;='Detalle'!$G944),1,"")</x:f>
      </x:c>
      <x:c r="H1942" s="32" t="str">
        <x:f>IF(AND(H$8&lt;='Detalle'!$H944,H$9&gt;='Detalle'!$G944),1,"")</x:f>
      </x:c>
      <x:c r="I1942" s="32" t="str">
        <x:f>IF(AND(I$8&lt;='Detalle'!$H944,I$9&gt;='Detalle'!$G944),1,"")</x:f>
      </x:c>
      <x:c r="J1942" s="32" t="str">
        <x:f>IF(AND(J$8&lt;='Detalle'!$H944,J$9&gt;='Detalle'!$G944),1,"")</x:f>
      </x:c>
      <x:c r="K1942" s="32" t="str">
        <x:f>IF(AND(K$8&lt;='Detalle'!$H944,K$9&gt;='Detalle'!$G944),1,"")</x:f>
      </x:c>
      <x:c r="L1942" s="32" t="str">
        <x:f>IF(AND(L$8&lt;='Detalle'!$H944,L$9&gt;='Detalle'!$G944),1,"")</x:f>
      </x:c>
      <x:c r="M1942" s="32" t="str">
        <x:f>IF(AND(M$8&lt;='Detalle'!$H944,M$9&gt;='Detalle'!$G944),1,"")</x:f>
      </x:c>
      <x:c r="N1942" s="32" t="str">
        <x:f>IF(AND(N$8&lt;='Detalle'!$H944,N$9&gt;='Detalle'!$G944),1,"")</x:f>
      </x:c>
      <x:c r="O1942" s="32" t="str">
        <x:f>IF(AND(O$8&lt;='Detalle'!$H944,O$9&gt;='Detalle'!$G944),1,"")</x:f>
      </x:c>
      <x:c r="P1942" s="32" t="n">
        <x:f>IF(AND(P$8&lt;='Detalle'!$H944,P$9&gt;='Detalle'!$G944),1,"")</x:f>
        <x:v>1</x:v>
      </x:c>
      <x:c r="Q1942" s="68"/>
      <x:c r="R1942" s="67" t="str">
        <x:f>IF('Detalle'!M944="","",'Detalle'!M944)</x:f>
      </x:c>
      <x:c r="S1942" s="67" t="str">
        <x:f>IF('Detalle'!N944="","",'Detalle'!N944)</x:f>
      </x:c>
    </x:row>
    <x:row r="1943" ht="16" customHeight="1">
      <x:c r="A1943" s="56" t="str">
        <x:v>ENT01.009</x:v>
      </x:c>
      <x:c r="B1943" s="57" t="str">
        <x:v>Verificar operación de push y tours</x:v>
      </x:c>
      <x:c r="C1943" s="63" t="str">
        <x:v>R</x:v>
      </x:c>
      <x:c r="D1943" s="65" t="str">
        <x:f>IF('Detalle'!L944="","",'Detalle'!L944)</x:f>
      </x:c>
      <x:c r="E1943" s="60" t="str"/>
      <x:c r="F1943" s="32" t="str">
        <x:f>IF(OR('Detalle'!$J944="",'Detalle'!$K944="",'Detalle'!$L944=""),"",IF(AND(F$8&lt;='Detalle'!$K944,F$9&gt;='Detalle'!$J944),1,""))</x:f>
      </x:c>
      <x:c r="G1943" s="32" t="str">
        <x:f>IF(OR('Detalle'!$J944="",'Detalle'!$K944="",'Detalle'!$L944=""),"",IF(AND(G$8&lt;='Detalle'!$K944,G$9&gt;='Detalle'!$J944),1,""))</x:f>
      </x:c>
      <x:c r="H1943" s="32" t="str">
        <x:f>IF(OR('Detalle'!$J944="",'Detalle'!$K944="",'Detalle'!$L944=""),"",IF(AND(H$8&lt;='Detalle'!$K944,H$9&gt;='Detalle'!$J944),1,""))</x:f>
      </x:c>
      <x:c r="I1943" s="32" t="str">
        <x:f>IF(OR('Detalle'!$J944="",'Detalle'!$K944="",'Detalle'!$L944=""),"",IF(AND(I$8&lt;='Detalle'!$K944,I$9&gt;='Detalle'!$J944),1,""))</x:f>
      </x:c>
      <x:c r="J1943" s="32" t="str">
        <x:f>IF(OR('Detalle'!$J944="",'Detalle'!$K944="",'Detalle'!$L944=""),"",IF(AND(J$8&lt;='Detalle'!$K944,J$9&gt;='Detalle'!$J944),1,""))</x:f>
      </x:c>
      <x:c r="K1943" s="32" t="str">
        <x:f>IF(OR('Detalle'!$J944="",'Detalle'!$K944="",'Detalle'!$L944=""),"",IF(AND(K$8&lt;='Detalle'!$K944,K$9&gt;='Detalle'!$J944),1,""))</x:f>
      </x:c>
      <x:c r="L1943" s="32" t="str">
        <x:f>IF(OR('Detalle'!$J944="",'Detalle'!$K944="",'Detalle'!$L944=""),"",IF(AND(L$8&lt;='Detalle'!$K944,L$9&gt;='Detalle'!$J944),1,""))</x:f>
      </x:c>
      <x:c r="M1943" s="32" t="str">
        <x:f>IF(OR('Detalle'!$J944="",'Detalle'!$K944="",'Detalle'!$L944=""),"",IF(AND(M$8&lt;='Detalle'!$K944,M$9&gt;='Detalle'!$J944),1,""))</x:f>
      </x:c>
      <x:c r="N1943" s="32" t="str">
        <x:f>IF(OR('Detalle'!$J944="",'Detalle'!$K944="",'Detalle'!$L944=""),"",IF(AND(N$8&lt;='Detalle'!$K944,N$9&gt;='Detalle'!$J944),1,""))</x:f>
      </x:c>
      <x:c r="O1943" s="32" t="str">
        <x:f>IF(OR('Detalle'!$J944="",'Detalle'!$K944="",'Detalle'!$L944=""),"",IF(AND(O$8&lt;='Detalle'!$K944,O$9&gt;='Detalle'!$J944),1,""))</x:f>
      </x:c>
      <x:c r="P1943" s="32" t="str">
        <x:f>IF(OR('Detalle'!$J944="",'Detalle'!$K944="",'Detalle'!$L944=""),"",IF(AND(P$8&lt;='Detalle'!$K944,P$9&gt;='Detalle'!$J944),1,""))</x:f>
      </x:c>
      <x:c r="Q1943" s="68"/>
      <x:c r="R1943" s="67" t="str"/>
      <x:c r="S1943" s="67" t="str"/>
    </x:row>
    <x:row r="1944" ht="16" customHeight="1">
      <x:c r="A1944" s="56" t="str">
        <x:v>ENT01.010</x:v>
      </x:c>
      <x:c r="B1944" s="57" t="str">
        <x:v>Actualizar instrucciones técnicas</x:v>
      </x:c>
      <x:c r="C1944" s="62" t="str">
        <x:v>E</x:v>
      </x:c>
      <x:c r="D1944" s="64" t="n">
        <x:f>'Detalle'!I945</x:f>
        <x:v>1</x:v>
      </x:c>
      <x:c r="E1944" s="60" t="str">
        <x:f>'Detalle'!F945</x:f>
        <x:v>Pendiente</x:v>
      </x:c>
      <x:c r="F1944" s="32" t="str">
        <x:f>IF(AND(F$8&lt;='Detalle'!$H945,F$9&gt;='Detalle'!$G945),1,"")</x:f>
      </x:c>
      <x:c r="G1944" s="32" t="str">
        <x:f>IF(AND(G$8&lt;='Detalle'!$H945,G$9&gt;='Detalle'!$G945),1,"")</x:f>
      </x:c>
      <x:c r="H1944" s="32" t="str">
        <x:f>IF(AND(H$8&lt;='Detalle'!$H945,H$9&gt;='Detalle'!$G945),1,"")</x:f>
      </x:c>
      <x:c r="I1944" s="32" t="str">
        <x:f>IF(AND(I$8&lt;='Detalle'!$H945,I$9&gt;='Detalle'!$G945),1,"")</x:f>
      </x:c>
      <x:c r="J1944" s="32" t="str">
        <x:f>IF(AND(J$8&lt;='Detalle'!$H945,J$9&gt;='Detalle'!$G945),1,"")</x:f>
      </x:c>
      <x:c r="K1944" s="32" t="str">
        <x:f>IF(AND(K$8&lt;='Detalle'!$H945,K$9&gt;='Detalle'!$G945),1,"")</x:f>
      </x:c>
      <x:c r="L1944" s="32" t="str">
        <x:f>IF(AND(L$8&lt;='Detalle'!$H945,L$9&gt;='Detalle'!$G945),1,"")</x:f>
      </x:c>
      <x:c r="M1944" s="32" t="str">
        <x:f>IF(AND(M$8&lt;='Detalle'!$H945,M$9&gt;='Detalle'!$G945),1,"")</x:f>
      </x:c>
      <x:c r="N1944" s="32" t="str">
        <x:f>IF(AND(N$8&lt;='Detalle'!$H945,N$9&gt;='Detalle'!$G945),1,"")</x:f>
      </x:c>
      <x:c r="O1944" s="32" t="str">
        <x:f>IF(AND(O$8&lt;='Detalle'!$H945,O$9&gt;='Detalle'!$G945),1,"")</x:f>
      </x:c>
      <x:c r="P1944" s="32" t="n">
        <x:f>IF(AND(P$8&lt;='Detalle'!$H945,P$9&gt;='Detalle'!$G945),1,"")</x:f>
        <x:v>1</x:v>
      </x:c>
      <x:c r="Q1944" s="68"/>
      <x:c r="R1944" s="67" t="str">
        <x:f>IF('Detalle'!M945="","",'Detalle'!M945)</x:f>
      </x:c>
      <x:c r="S1944" s="67" t="str">
        <x:f>IF('Detalle'!N945="","",'Detalle'!N945)</x:f>
      </x:c>
    </x:row>
    <x:row r="1945" ht="16" customHeight="1">
      <x:c r="A1945" s="56" t="str">
        <x:v>ENT01.010</x:v>
      </x:c>
      <x:c r="B1945" s="57" t="str">
        <x:v>Actualizar instrucciones técnicas</x:v>
      </x:c>
      <x:c r="C1945" s="63" t="str">
        <x:v>R</x:v>
      </x:c>
      <x:c r="D1945" s="65" t="str">
        <x:f>IF('Detalle'!L945="","",'Detalle'!L945)</x:f>
      </x:c>
      <x:c r="E1945" s="60" t="str"/>
      <x:c r="F1945" s="32" t="str">
        <x:f>IF(OR('Detalle'!$J945="",'Detalle'!$K945="",'Detalle'!$L945=""),"",IF(AND(F$8&lt;='Detalle'!$K945,F$9&gt;='Detalle'!$J945),1,""))</x:f>
      </x:c>
      <x:c r="G1945" s="32" t="str">
        <x:f>IF(OR('Detalle'!$J945="",'Detalle'!$K945="",'Detalle'!$L945=""),"",IF(AND(G$8&lt;='Detalle'!$K945,G$9&gt;='Detalle'!$J945),1,""))</x:f>
      </x:c>
      <x:c r="H1945" s="32" t="str">
        <x:f>IF(OR('Detalle'!$J945="",'Detalle'!$K945="",'Detalle'!$L945=""),"",IF(AND(H$8&lt;='Detalle'!$K945,H$9&gt;='Detalle'!$J945),1,""))</x:f>
      </x:c>
      <x:c r="I1945" s="32" t="str">
        <x:f>IF(OR('Detalle'!$J945="",'Detalle'!$K945="",'Detalle'!$L945=""),"",IF(AND(I$8&lt;='Detalle'!$K945,I$9&gt;='Detalle'!$J945),1,""))</x:f>
      </x:c>
      <x:c r="J1945" s="32" t="str">
        <x:f>IF(OR('Detalle'!$J945="",'Detalle'!$K945="",'Detalle'!$L945=""),"",IF(AND(J$8&lt;='Detalle'!$K945,J$9&gt;='Detalle'!$J945),1,""))</x:f>
      </x:c>
      <x:c r="K1945" s="32" t="str">
        <x:f>IF(OR('Detalle'!$J945="",'Detalle'!$K945="",'Detalle'!$L945=""),"",IF(AND(K$8&lt;='Detalle'!$K945,K$9&gt;='Detalle'!$J945),1,""))</x:f>
      </x:c>
      <x:c r="L1945" s="32" t="str">
        <x:f>IF(OR('Detalle'!$J945="",'Detalle'!$K945="",'Detalle'!$L945=""),"",IF(AND(L$8&lt;='Detalle'!$K945,L$9&gt;='Detalle'!$J945),1,""))</x:f>
      </x:c>
      <x:c r="M1945" s="32" t="str">
        <x:f>IF(OR('Detalle'!$J945="",'Detalle'!$K945="",'Detalle'!$L945=""),"",IF(AND(M$8&lt;='Detalle'!$K945,M$9&gt;='Detalle'!$J945),1,""))</x:f>
      </x:c>
      <x:c r="N1945" s="32" t="str">
        <x:f>IF(OR('Detalle'!$J945="",'Detalle'!$K945="",'Detalle'!$L945=""),"",IF(AND(N$8&lt;='Detalle'!$K945,N$9&gt;='Detalle'!$J945),1,""))</x:f>
      </x:c>
      <x:c r="O1945" s="32" t="str">
        <x:f>IF(OR('Detalle'!$J945="",'Detalle'!$K945="",'Detalle'!$L945=""),"",IF(AND(O$8&lt;='Detalle'!$K945,O$9&gt;='Detalle'!$J945),1,""))</x:f>
      </x:c>
      <x:c r="P1945" s="32" t="str">
        <x:f>IF(OR('Detalle'!$J945="",'Detalle'!$K945="",'Detalle'!$L945=""),"",IF(AND(P$8&lt;='Detalle'!$K945,P$9&gt;='Detalle'!$J945),1,""))</x:f>
      </x:c>
      <x:c r="Q1945" s="68"/>
      <x:c r="R1945" s="67" t="str"/>
      <x:c r="S1945" s="67" t="str"/>
    </x:row>
    <x:row r="1946" ht="16" customHeight="1">
      <x:c r="A1946" s="56" t="str">
        <x:v>ENT01.011</x:v>
      </x:c>
      <x:c r="B1946" s="57" t="str">
        <x:v>Registrar versión y archivos entregados</x:v>
      </x:c>
      <x:c r="C1946" s="62" t="str">
        <x:v>E</x:v>
      </x:c>
      <x:c r="D1946" s="64" t="n">
        <x:f>'Detalle'!I946</x:f>
        <x:v>1</x:v>
      </x:c>
      <x:c r="E1946" s="60" t="str">
        <x:f>'Detalle'!F946</x:f>
        <x:v>Pendiente</x:v>
      </x:c>
      <x:c r="F1946" s="32" t="str">
        <x:f>IF(AND(F$8&lt;='Detalle'!$H946,F$9&gt;='Detalle'!$G946),1,"")</x:f>
      </x:c>
      <x:c r="G1946" s="32" t="str">
        <x:f>IF(AND(G$8&lt;='Detalle'!$H946,G$9&gt;='Detalle'!$G946),1,"")</x:f>
      </x:c>
      <x:c r="H1946" s="32" t="str">
        <x:f>IF(AND(H$8&lt;='Detalle'!$H946,H$9&gt;='Detalle'!$G946),1,"")</x:f>
      </x:c>
      <x:c r="I1946" s="32" t="str">
        <x:f>IF(AND(I$8&lt;='Detalle'!$H946,I$9&gt;='Detalle'!$G946),1,"")</x:f>
      </x:c>
      <x:c r="J1946" s="32" t="str">
        <x:f>IF(AND(J$8&lt;='Detalle'!$H946,J$9&gt;='Detalle'!$G946),1,"")</x:f>
      </x:c>
      <x:c r="K1946" s="32" t="str">
        <x:f>IF(AND(K$8&lt;='Detalle'!$H946,K$9&gt;='Detalle'!$G946),1,"")</x:f>
      </x:c>
      <x:c r="L1946" s="32" t="str">
        <x:f>IF(AND(L$8&lt;='Detalle'!$H946,L$9&gt;='Detalle'!$G946),1,"")</x:f>
      </x:c>
      <x:c r="M1946" s="32" t="str">
        <x:f>IF(AND(M$8&lt;='Detalle'!$H946,M$9&gt;='Detalle'!$G946),1,"")</x:f>
      </x:c>
      <x:c r="N1946" s="32" t="str">
        <x:f>IF(AND(N$8&lt;='Detalle'!$H946,N$9&gt;='Detalle'!$G946),1,"")</x:f>
      </x:c>
      <x:c r="O1946" s="32" t="str">
        <x:f>IF(AND(O$8&lt;='Detalle'!$H946,O$9&gt;='Detalle'!$G946),1,"")</x:f>
      </x:c>
      <x:c r="P1946" s="32" t="n">
        <x:f>IF(AND(P$8&lt;='Detalle'!$H946,P$9&gt;='Detalle'!$G946),1,"")</x:f>
        <x:v>1</x:v>
      </x:c>
      <x:c r="Q1946" s="68"/>
      <x:c r="R1946" s="67" t="str">
        <x:f>IF('Detalle'!M946="","",'Detalle'!M946)</x:f>
      </x:c>
      <x:c r="S1946" s="67" t="str">
        <x:f>IF('Detalle'!N946="","",'Detalle'!N946)</x:f>
      </x:c>
    </x:row>
    <x:row r="1947" ht="16" customHeight="1">
      <x:c r="A1947" s="56" t="str">
        <x:v>ENT01.011</x:v>
      </x:c>
      <x:c r="B1947" s="57" t="str">
        <x:v>Registrar versión y archivos entregados</x:v>
      </x:c>
      <x:c r="C1947" s="63" t="str">
        <x:v>R</x:v>
      </x:c>
      <x:c r="D1947" s="65" t="str">
        <x:f>IF('Detalle'!L946="","",'Detalle'!L946)</x:f>
      </x:c>
      <x:c r="E1947" s="60" t="str"/>
      <x:c r="F1947" s="32" t="str">
        <x:f>IF(OR('Detalle'!$J946="",'Detalle'!$K946="",'Detalle'!$L946=""),"",IF(AND(F$8&lt;='Detalle'!$K946,F$9&gt;='Detalle'!$J946),1,""))</x:f>
      </x:c>
      <x:c r="G1947" s="32" t="str">
        <x:f>IF(OR('Detalle'!$J946="",'Detalle'!$K946="",'Detalle'!$L946=""),"",IF(AND(G$8&lt;='Detalle'!$K946,G$9&gt;='Detalle'!$J946),1,""))</x:f>
      </x:c>
      <x:c r="H1947" s="32" t="str">
        <x:f>IF(OR('Detalle'!$J946="",'Detalle'!$K946="",'Detalle'!$L946=""),"",IF(AND(H$8&lt;='Detalle'!$K946,H$9&gt;='Detalle'!$J946),1,""))</x:f>
      </x:c>
      <x:c r="I1947" s="32" t="str">
        <x:f>IF(OR('Detalle'!$J946="",'Detalle'!$K946="",'Detalle'!$L946=""),"",IF(AND(I$8&lt;='Detalle'!$K946,I$9&gt;='Detalle'!$J946),1,""))</x:f>
      </x:c>
      <x:c r="J1947" s="32" t="str">
        <x:f>IF(OR('Detalle'!$J946="",'Detalle'!$K946="",'Detalle'!$L946=""),"",IF(AND(J$8&lt;='Detalle'!$K946,J$9&gt;='Detalle'!$J946),1,""))</x:f>
      </x:c>
      <x:c r="K1947" s="32" t="str">
        <x:f>IF(OR('Detalle'!$J946="",'Detalle'!$K946="",'Detalle'!$L946=""),"",IF(AND(K$8&lt;='Detalle'!$K946,K$9&gt;='Detalle'!$J946),1,""))</x:f>
      </x:c>
      <x:c r="L1947" s="32" t="str">
        <x:f>IF(OR('Detalle'!$J946="",'Detalle'!$K946="",'Detalle'!$L946=""),"",IF(AND(L$8&lt;='Detalle'!$K946,L$9&gt;='Detalle'!$J946),1,""))</x:f>
      </x:c>
      <x:c r="M1947" s="32" t="str">
        <x:f>IF(OR('Detalle'!$J946="",'Detalle'!$K946="",'Detalle'!$L946=""),"",IF(AND(M$8&lt;='Detalle'!$K946,M$9&gt;='Detalle'!$J946),1,""))</x:f>
      </x:c>
      <x:c r="N1947" s="32" t="str">
        <x:f>IF(OR('Detalle'!$J946="",'Detalle'!$K946="",'Detalle'!$L946=""),"",IF(AND(N$8&lt;='Detalle'!$K946,N$9&gt;='Detalle'!$J946),1,""))</x:f>
      </x:c>
      <x:c r="O1947" s="32" t="str">
        <x:f>IF(OR('Detalle'!$J946="",'Detalle'!$K946="",'Detalle'!$L946=""),"",IF(AND(O$8&lt;='Detalle'!$K946,O$9&gt;='Detalle'!$J946),1,""))</x:f>
      </x:c>
      <x:c r="P1947" s="32" t="str">
        <x:f>IF(OR('Detalle'!$J946="",'Detalle'!$K946="",'Detalle'!$L946=""),"",IF(AND(P$8&lt;='Detalle'!$K946,P$9&gt;='Detalle'!$J946),1,""))</x:f>
      </x:c>
      <x:c r="Q1947" s="68"/>
      <x:c r="R1947" s="67" t="str"/>
      <x:c r="S1947" s="67" t="str"/>
    </x:row>
    <x:row r="1948" ht="16" customHeight="1">
      <x:c r="A1948" s="56" t="str">
        <x:v>ENT01.012</x:v>
      </x:c>
      <x:c r="B1948" s="57" t="str">
        <x:v>Cerrar aceptación técnica el 18 de noviembre</x:v>
      </x:c>
      <x:c r="C1948" s="62" t="str">
        <x:v>E</x:v>
      </x:c>
      <x:c r="D1948" s="64" t="n">
        <x:f>'Detalle'!I947</x:f>
        <x:v>1</x:v>
      </x:c>
      <x:c r="E1948" s="60" t="str">
        <x:f>'Detalle'!F947</x:f>
        <x:v>Pendiente</x:v>
      </x:c>
      <x:c r="F1948" s="32" t="str">
        <x:f>IF(AND(F$8&lt;='Detalle'!$H947,F$9&gt;='Detalle'!$G947),1,"")</x:f>
      </x:c>
      <x:c r="G1948" s="32" t="str">
        <x:f>IF(AND(G$8&lt;='Detalle'!$H947,G$9&gt;='Detalle'!$G947),1,"")</x:f>
      </x:c>
      <x:c r="H1948" s="32" t="str">
        <x:f>IF(AND(H$8&lt;='Detalle'!$H947,H$9&gt;='Detalle'!$G947),1,"")</x:f>
      </x:c>
      <x:c r="I1948" s="32" t="str">
        <x:f>IF(AND(I$8&lt;='Detalle'!$H947,I$9&gt;='Detalle'!$G947),1,"")</x:f>
      </x:c>
      <x:c r="J1948" s="32" t="str">
        <x:f>IF(AND(J$8&lt;='Detalle'!$H947,J$9&gt;='Detalle'!$G947),1,"")</x:f>
      </x:c>
      <x:c r="K1948" s="32" t="str">
        <x:f>IF(AND(K$8&lt;='Detalle'!$H947,K$9&gt;='Detalle'!$G947),1,"")</x:f>
      </x:c>
      <x:c r="L1948" s="32" t="str">
        <x:f>IF(AND(L$8&lt;='Detalle'!$H947,L$9&gt;='Detalle'!$G947),1,"")</x:f>
      </x:c>
      <x:c r="M1948" s="32" t="str">
        <x:f>IF(AND(M$8&lt;='Detalle'!$H947,M$9&gt;='Detalle'!$G947),1,"")</x:f>
      </x:c>
      <x:c r="N1948" s="32" t="str">
        <x:f>IF(AND(N$8&lt;='Detalle'!$H947,N$9&gt;='Detalle'!$G947),1,"")</x:f>
      </x:c>
      <x:c r="O1948" s="32" t="str">
        <x:f>IF(AND(O$8&lt;='Detalle'!$H947,O$9&gt;='Detalle'!$G947),1,"")</x:f>
      </x:c>
      <x:c r="P1948" s="32" t="n">
        <x:f>IF(AND(P$8&lt;='Detalle'!$H947,P$9&gt;='Detalle'!$G947),1,"")</x:f>
        <x:v>1</x:v>
      </x:c>
      <x:c r="Q1948" s="68"/>
      <x:c r="R1948" s="67" t="str">
        <x:f>IF('Detalle'!M947="","",'Detalle'!M947)</x:f>
      </x:c>
      <x:c r="S1948" s="67" t="str">
        <x:f>IF('Detalle'!N947="","",'Detalle'!N947)</x:f>
      </x:c>
    </x:row>
    <x:row r="1949" ht="16" customHeight="1">
      <x:c r="A1949" s="56" t="str">
        <x:v>ENT01.012</x:v>
      </x:c>
      <x:c r="B1949" s="57" t="str">
        <x:v>Cerrar aceptación técnica el 18 de noviembre</x:v>
      </x:c>
      <x:c r="C1949" s="63" t="str">
        <x:v>R</x:v>
      </x:c>
      <x:c r="D1949" s="65" t="str">
        <x:f>IF('Detalle'!L947="","",'Detalle'!L947)</x:f>
      </x:c>
      <x:c r="E1949" s="60" t="str"/>
      <x:c r="F1949" s="32" t="str">
        <x:f>IF(OR('Detalle'!$J947="",'Detalle'!$K947="",'Detalle'!$L947=""),"",IF(AND(F$8&lt;='Detalle'!$K947,F$9&gt;='Detalle'!$J947),1,""))</x:f>
      </x:c>
      <x:c r="G1949" s="32" t="str">
        <x:f>IF(OR('Detalle'!$J947="",'Detalle'!$K947="",'Detalle'!$L947=""),"",IF(AND(G$8&lt;='Detalle'!$K947,G$9&gt;='Detalle'!$J947),1,""))</x:f>
      </x:c>
      <x:c r="H1949" s="32" t="str">
        <x:f>IF(OR('Detalle'!$J947="",'Detalle'!$K947="",'Detalle'!$L947=""),"",IF(AND(H$8&lt;='Detalle'!$K947,H$9&gt;='Detalle'!$J947),1,""))</x:f>
      </x:c>
      <x:c r="I1949" s="32" t="str">
        <x:f>IF(OR('Detalle'!$J947="",'Detalle'!$K947="",'Detalle'!$L947=""),"",IF(AND(I$8&lt;='Detalle'!$K947,I$9&gt;='Detalle'!$J947),1,""))</x:f>
      </x:c>
      <x:c r="J1949" s="32" t="str">
        <x:f>IF(OR('Detalle'!$J947="",'Detalle'!$K947="",'Detalle'!$L947=""),"",IF(AND(J$8&lt;='Detalle'!$K947,J$9&gt;='Detalle'!$J947),1,""))</x:f>
      </x:c>
      <x:c r="K1949" s="32" t="str">
        <x:f>IF(OR('Detalle'!$J947="",'Detalle'!$K947="",'Detalle'!$L947=""),"",IF(AND(K$8&lt;='Detalle'!$K947,K$9&gt;='Detalle'!$J947),1,""))</x:f>
      </x:c>
      <x:c r="L1949" s="32" t="str">
        <x:f>IF(OR('Detalle'!$J947="",'Detalle'!$K947="",'Detalle'!$L947=""),"",IF(AND(L$8&lt;='Detalle'!$K947,L$9&gt;='Detalle'!$J947),1,""))</x:f>
      </x:c>
      <x:c r="M1949" s="32" t="str">
        <x:f>IF(OR('Detalle'!$J947="",'Detalle'!$K947="",'Detalle'!$L947=""),"",IF(AND(M$8&lt;='Detalle'!$K947,M$9&gt;='Detalle'!$J947),1,""))</x:f>
      </x:c>
      <x:c r="N1949" s="32" t="str">
        <x:f>IF(OR('Detalle'!$J947="",'Detalle'!$K947="",'Detalle'!$L947=""),"",IF(AND(N$8&lt;='Detalle'!$K947,N$9&gt;='Detalle'!$J947),1,""))</x:f>
      </x:c>
      <x:c r="O1949" s="32" t="str">
        <x:f>IF(OR('Detalle'!$J947="",'Detalle'!$K947="",'Detalle'!$L947=""),"",IF(AND(O$8&lt;='Detalle'!$K947,O$9&gt;='Detalle'!$J947),1,""))</x:f>
      </x:c>
      <x:c r="P1949" s="32" t="str">
        <x:f>IF(OR('Detalle'!$J947="",'Detalle'!$K947="",'Detalle'!$L947=""),"",IF(AND(P$8&lt;='Detalle'!$K947,P$9&gt;='Detalle'!$J947),1,""))</x:f>
      </x:c>
      <x:c r="Q1949" s="68"/>
      <x:c r="R1949" s="67" t="str"/>
      <x:c r="S1949" s="67" t="str"/>
    </x:row>
  </x:sheetData>
  <x:mergeCells>
    <x:mergeCell ref="A2:S2"/>
    <x:mergeCell ref="A3:S3"/>
    <x:mergeCell ref="A4:S4"/>
    <x:mergeCell ref="A5:E5"/>
    <x:mergeCell ref="F5:I5"/>
    <x:mergeCell ref="J5:M5"/>
    <x:mergeCell ref="N5:S5"/>
    <x:mergeCell ref="A6:A9"/>
    <x:mergeCell ref="B6:B9"/>
    <x:mergeCell ref="C6:C9"/>
    <x:mergeCell ref="D6:D9"/>
    <x:mergeCell ref="E6:E9"/>
    <x:mergeCell ref="R6:R9"/>
    <x:mergeCell ref="S6:S9"/>
    <x:mergeCell ref="F6:I6"/>
    <x:mergeCell ref="J6:M6"/>
    <x:mergeCell ref="N6:Q6"/>
    <x:mergeCell ref="A10:S10"/>
    <x:mergeCell ref="A11:A12"/>
    <x:mergeCell ref="B11:B12"/>
    <x:mergeCell ref="E11:E12"/>
    <x:mergeCell ref="R11:R12"/>
    <x:mergeCell ref="S11:S12"/>
    <x:mergeCell ref="A13:A14"/>
    <x:mergeCell ref="B13:B14"/>
    <x:mergeCell ref="E13:E14"/>
    <x:mergeCell ref="R13:R14"/>
    <x:mergeCell ref="S13:S14"/>
    <x:mergeCell ref="A15:A16"/>
    <x:mergeCell ref="B15:B16"/>
    <x:mergeCell ref="E15:E16"/>
    <x:mergeCell ref="R15:R16"/>
    <x:mergeCell ref="S15:S16"/>
    <x:mergeCell ref="A17:A18"/>
    <x:mergeCell ref="B17:B18"/>
    <x:mergeCell ref="E17:E18"/>
    <x:mergeCell ref="R17:R18"/>
    <x:mergeCell ref="S17:S18"/>
    <x:mergeCell ref="A19:A20"/>
    <x:mergeCell ref="B19:B20"/>
    <x:mergeCell ref="E19:E20"/>
    <x:mergeCell ref="R19:R20"/>
    <x:mergeCell ref="S19:S20"/>
    <x:mergeCell ref="A21:A22"/>
    <x:mergeCell ref="B21:B22"/>
    <x:mergeCell ref="E21:E22"/>
    <x:mergeCell ref="R21:R22"/>
    <x:mergeCell ref="S21:S22"/>
    <x:mergeCell ref="A23:A24"/>
    <x:mergeCell ref="B23:B24"/>
    <x:mergeCell ref="E23:E24"/>
    <x:mergeCell ref="R23:R24"/>
    <x:mergeCell ref="S23:S24"/>
    <x:mergeCell ref="A25:A26"/>
    <x:mergeCell ref="B25:B26"/>
    <x:mergeCell ref="E25:E26"/>
    <x:mergeCell ref="R25:R26"/>
    <x:mergeCell ref="S25:S26"/>
    <x:mergeCell ref="A27:A28"/>
    <x:mergeCell ref="B27:B28"/>
    <x:mergeCell ref="E27:E28"/>
    <x:mergeCell ref="R27:R28"/>
    <x:mergeCell ref="S27:S28"/>
    <x:mergeCell ref="A29:A30"/>
    <x:mergeCell ref="B29:B30"/>
    <x:mergeCell ref="E29:E30"/>
    <x:mergeCell ref="R29:R30"/>
    <x:mergeCell ref="S29:S30"/>
    <x:mergeCell ref="A31:A32"/>
    <x:mergeCell ref="B31:B32"/>
    <x:mergeCell ref="E31:E32"/>
    <x:mergeCell ref="R31:R32"/>
    <x:mergeCell ref="S31:S32"/>
    <x:mergeCell ref="A33:A34"/>
    <x:mergeCell ref="B33:B34"/>
    <x:mergeCell ref="E33:E34"/>
    <x:mergeCell ref="R33:R34"/>
    <x:mergeCell ref="S33:S34"/>
    <x:mergeCell ref="A35:S35"/>
    <x:mergeCell ref="A36:A37"/>
    <x:mergeCell ref="B36:B37"/>
    <x:mergeCell ref="E36:E37"/>
    <x:mergeCell ref="R36:R37"/>
    <x:mergeCell ref="S36:S37"/>
    <x:mergeCell ref="A38:A39"/>
    <x:mergeCell ref="B38:B39"/>
    <x:mergeCell ref="E38:E39"/>
    <x:mergeCell ref="R38:R39"/>
    <x:mergeCell ref="S38:S39"/>
    <x:mergeCell ref="A40:A41"/>
    <x:mergeCell ref="B40:B41"/>
    <x:mergeCell ref="E40:E41"/>
    <x:mergeCell ref="R40:R41"/>
    <x:mergeCell ref="S40:S41"/>
    <x:mergeCell ref="A42:A43"/>
    <x:mergeCell ref="B42:B43"/>
    <x:mergeCell ref="E42:E43"/>
    <x:mergeCell ref="R42:R43"/>
    <x:mergeCell ref="S42:S43"/>
    <x:mergeCell ref="A44:A45"/>
    <x:mergeCell ref="B44:B45"/>
    <x:mergeCell ref="E44:E45"/>
    <x:mergeCell ref="R44:R45"/>
    <x:mergeCell ref="S44:S45"/>
    <x:mergeCell ref="A46:A47"/>
    <x:mergeCell ref="B46:B47"/>
    <x:mergeCell ref="E46:E47"/>
    <x:mergeCell ref="R46:R47"/>
    <x:mergeCell ref="S46:S47"/>
    <x:mergeCell ref="A48:A49"/>
    <x:mergeCell ref="B48:B49"/>
    <x:mergeCell ref="E48:E49"/>
    <x:mergeCell ref="R48:R49"/>
    <x:mergeCell ref="S48:S49"/>
    <x:mergeCell ref="A50:A51"/>
    <x:mergeCell ref="B50:B51"/>
    <x:mergeCell ref="E50:E51"/>
    <x:mergeCell ref="R50:R51"/>
    <x:mergeCell ref="S50:S51"/>
    <x:mergeCell ref="A52:A53"/>
    <x:mergeCell ref="B52:B53"/>
    <x:mergeCell ref="E52:E53"/>
    <x:mergeCell ref="R52:R53"/>
    <x:mergeCell ref="S52:S53"/>
    <x:mergeCell ref="A54:A55"/>
    <x:mergeCell ref="B54:B55"/>
    <x:mergeCell ref="E54:E55"/>
    <x:mergeCell ref="R54:R55"/>
    <x:mergeCell ref="S54:S55"/>
    <x:mergeCell ref="A56:A57"/>
    <x:mergeCell ref="B56:B57"/>
    <x:mergeCell ref="E56:E57"/>
    <x:mergeCell ref="R56:R57"/>
    <x:mergeCell ref="S56:S57"/>
    <x:mergeCell ref="A58:A59"/>
    <x:mergeCell ref="B58:B59"/>
    <x:mergeCell ref="E58:E59"/>
    <x:mergeCell ref="R58:R59"/>
    <x:mergeCell ref="S58:S59"/>
    <x:mergeCell ref="A60:A61"/>
    <x:mergeCell ref="B60:B61"/>
    <x:mergeCell ref="E60:E61"/>
    <x:mergeCell ref="R60:R61"/>
    <x:mergeCell ref="S60:S61"/>
    <x:mergeCell ref="A62:A63"/>
    <x:mergeCell ref="B62:B63"/>
    <x:mergeCell ref="E62:E63"/>
    <x:mergeCell ref="R62:R63"/>
    <x:mergeCell ref="S62:S63"/>
    <x:mergeCell ref="A64:S64"/>
    <x:mergeCell ref="A65:A66"/>
    <x:mergeCell ref="B65:B66"/>
    <x:mergeCell ref="E65:E66"/>
    <x:mergeCell ref="R65:R66"/>
    <x:mergeCell ref="S65:S66"/>
    <x:mergeCell ref="A67:A68"/>
    <x:mergeCell ref="B67:B68"/>
    <x:mergeCell ref="E67:E68"/>
    <x:mergeCell ref="R67:R68"/>
    <x:mergeCell ref="S67:S68"/>
    <x:mergeCell ref="A69:A70"/>
    <x:mergeCell ref="B69:B70"/>
    <x:mergeCell ref="E69:E70"/>
    <x:mergeCell ref="R69:R70"/>
    <x:mergeCell ref="S69:S70"/>
    <x:mergeCell ref="A71:A72"/>
    <x:mergeCell ref="B71:B72"/>
    <x:mergeCell ref="E71:E72"/>
    <x:mergeCell ref="R71:R72"/>
    <x:mergeCell ref="S71:S72"/>
    <x:mergeCell ref="A73:A74"/>
    <x:mergeCell ref="B73:B74"/>
    <x:mergeCell ref="E73:E74"/>
    <x:mergeCell ref="R73:R74"/>
    <x:mergeCell ref="S73:S74"/>
    <x:mergeCell ref="A75:A76"/>
    <x:mergeCell ref="B75:B76"/>
    <x:mergeCell ref="E75:E76"/>
    <x:mergeCell ref="R75:R76"/>
    <x:mergeCell ref="S75:S76"/>
    <x:mergeCell ref="A77:A78"/>
    <x:mergeCell ref="B77:B78"/>
    <x:mergeCell ref="E77:E78"/>
    <x:mergeCell ref="R77:R78"/>
    <x:mergeCell ref="S77:S78"/>
    <x:mergeCell ref="A79:A80"/>
    <x:mergeCell ref="B79:B80"/>
    <x:mergeCell ref="E79:E80"/>
    <x:mergeCell ref="R79:R80"/>
    <x:mergeCell ref="S79:S80"/>
    <x:mergeCell ref="A81:A82"/>
    <x:mergeCell ref="B81:B82"/>
    <x:mergeCell ref="E81:E82"/>
    <x:mergeCell ref="R81:R82"/>
    <x:mergeCell ref="S81:S82"/>
    <x:mergeCell ref="A83:A84"/>
    <x:mergeCell ref="B83:B84"/>
    <x:mergeCell ref="E83:E84"/>
    <x:mergeCell ref="R83:R84"/>
    <x:mergeCell ref="S83:S84"/>
    <x:mergeCell ref="A85:A86"/>
    <x:mergeCell ref="B85:B86"/>
    <x:mergeCell ref="E85:E86"/>
    <x:mergeCell ref="R85:R86"/>
    <x:mergeCell ref="S85:S86"/>
    <x:mergeCell ref="A87:A88"/>
    <x:mergeCell ref="B87:B88"/>
    <x:mergeCell ref="E87:E88"/>
    <x:mergeCell ref="R87:R88"/>
    <x:mergeCell ref="S87:S88"/>
    <x:mergeCell ref="A89:S89"/>
    <x:mergeCell ref="A90:A91"/>
    <x:mergeCell ref="B90:B91"/>
    <x:mergeCell ref="E90:E91"/>
    <x:mergeCell ref="R90:R91"/>
    <x:mergeCell ref="S90:S91"/>
    <x:mergeCell ref="A92:A93"/>
    <x:mergeCell ref="B92:B93"/>
    <x:mergeCell ref="E92:E93"/>
    <x:mergeCell ref="R92:R93"/>
    <x:mergeCell ref="S92:S93"/>
    <x:mergeCell ref="A94:A95"/>
    <x:mergeCell ref="B94:B95"/>
    <x:mergeCell ref="E94:E95"/>
    <x:mergeCell ref="R94:R95"/>
    <x:mergeCell ref="S94:S95"/>
    <x:mergeCell ref="A96:A97"/>
    <x:mergeCell ref="B96:B97"/>
    <x:mergeCell ref="E96:E97"/>
    <x:mergeCell ref="R96:R97"/>
    <x:mergeCell ref="S96:S97"/>
    <x:mergeCell ref="A98:A99"/>
    <x:mergeCell ref="B98:B99"/>
    <x:mergeCell ref="E98:E99"/>
    <x:mergeCell ref="R98:R99"/>
    <x:mergeCell ref="S98:S99"/>
    <x:mergeCell ref="A100:A101"/>
    <x:mergeCell ref="B100:B101"/>
    <x:mergeCell ref="E100:E101"/>
    <x:mergeCell ref="R100:R101"/>
    <x:mergeCell ref="S100:S101"/>
    <x:mergeCell ref="A102:A103"/>
    <x:mergeCell ref="B102:B103"/>
    <x:mergeCell ref="E102:E103"/>
    <x:mergeCell ref="R102:R103"/>
    <x:mergeCell ref="S102:S103"/>
    <x:mergeCell ref="A104:A105"/>
    <x:mergeCell ref="B104:B105"/>
    <x:mergeCell ref="E104:E105"/>
    <x:mergeCell ref="R104:R105"/>
    <x:mergeCell ref="S104:S105"/>
    <x:mergeCell ref="A106:A107"/>
    <x:mergeCell ref="B106:B107"/>
    <x:mergeCell ref="E106:E107"/>
    <x:mergeCell ref="R106:R107"/>
    <x:mergeCell ref="S106:S107"/>
    <x:mergeCell ref="A108:A109"/>
    <x:mergeCell ref="B108:B109"/>
    <x:mergeCell ref="E108:E109"/>
    <x:mergeCell ref="R108:R109"/>
    <x:mergeCell ref="S108:S109"/>
    <x:mergeCell ref="A110:A111"/>
    <x:mergeCell ref="B110:B111"/>
    <x:mergeCell ref="E110:E111"/>
    <x:mergeCell ref="R110:R111"/>
    <x:mergeCell ref="S110:S111"/>
    <x:mergeCell ref="A112:A113"/>
    <x:mergeCell ref="B112:B113"/>
    <x:mergeCell ref="E112:E113"/>
    <x:mergeCell ref="R112:R113"/>
    <x:mergeCell ref="S112:S113"/>
    <x:mergeCell ref="A114:A115"/>
    <x:mergeCell ref="B114:B115"/>
    <x:mergeCell ref="E114:E115"/>
    <x:mergeCell ref="R114:R115"/>
    <x:mergeCell ref="S114:S115"/>
    <x:mergeCell ref="A116:A117"/>
    <x:mergeCell ref="B116:B117"/>
    <x:mergeCell ref="E116:E117"/>
    <x:mergeCell ref="R116:R117"/>
    <x:mergeCell ref="S116:S117"/>
    <x:mergeCell ref="A118:A119"/>
    <x:mergeCell ref="B118:B119"/>
    <x:mergeCell ref="E118:E119"/>
    <x:mergeCell ref="R118:R119"/>
    <x:mergeCell ref="S118:S119"/>
    <x:mergeCell ref="A120:S120"/>
    <x:mergeCell ref="A121:A122"/>
    <x:mergeCell ref="B121:B122"/>
    <x:mergeCell ref="E121:E122"/>
    <x:mergeCell ref="R121:R122"/>
    <x:mergeCell ref="S121:S122"/>
    <x:mergeCell ref="A123:A124"/>
    <x:mergeCell ref="B123:B124"/>
    <x:mergeCell ref="E123:E124"/>
    <x:mergeCell ref="R123:R124"/>
    <x:mergeCell ref="S123:S124"/>
    <x:mergeCell ref="A125:A126"/>
    <x:mergeCell ref="B125:B126"/>
    <x:mergeCell ref="E125:E126"/>
    <x:mergeCell ref="R125:R126"/>
    <x:mergeCell ref="S125:S126"/>
    <x:mergeCell ref="A127:A128"/>
    <x:mergeCell ref="B127:B128"/>
    <x:mergeCell ref="E127:E128"/>
    <x:mergeCell ref="R127:R128"/>
    <x:mergeCell ref="S127:S128"/>
    <x:mergeCell ref="A129:A130"/>
    <x:mergeCell ref="B129:B130"/>
    <x:mergeCell ref="E129:E130"/>
    <x:mergeCell ref="R129:R130"/>
    <x:mergeCell ref="S129:S130"/>
    <x:mergeCell ref="A131:A132"/>
    <x:mergeCell ref="B131:B132"/>
    <x:mergeCell ref="E131:E132"/>
    <x:mergeCell ref="R131:R132"/>
    <x:mergeCell ref="S131:S132"/>
    <x:mergeCell ref="A133:A134"/>
    <x:mergeCell ref="B133:B134"/>
    <x:mergeCell ref="E133:E134"/>
    <x:mergeCell ref="R133:R134"/>
    <x:mergeCell ref="S133:S134"/>
    <x:mergeCell ref="A135:A136"/>
    <x:mergeCell ref="B135:B136"/>
    <x:mergeCell ref="E135:E136"/>
    <x:mergeCell ref="R135:R136"/>
    <x:mergeCell ref="S135:S136"/>
    <x:mergeCell ref="A137:A138"/>
    <x:mergeCell ref="B137:B138"/>
    <x:mergeCell ref="E137:E138"/>
    <x:mergeCell ref="R137:R138"/>
    <x:mergeCell ref="S137:S138"/>
    <x:mergeCell ref="A139:A140"/>
    <x:mergeCell ref="B139:B140"/>
    <x:mergeCell ref="E139:E140"/>
    <x:mergeCell ref="R139:R140"/>
    <x:mergeCell ref="S139:S140"/>
    <x:mergeCell ref="A141:A142"/>
    <x:mergeCell ref="B141:B142"/>
    <x:mergeCell ref="E141:E142"/>
    <x:mergeCell ref="R141:R142"/>
    <x:mergeCell ref="S141:S142"/>
    <x:mergeCell ref="A143:A144"/>
    <x:mergeCell ref="B143:B144"/>
    <x:mergeCell ref="E143:E144"/>
    <x:mergeCell ref="R143:R144"/>
    <x:mergeCell ref="S143:S144"/>
    <x:mergeCell ref="A145:S145"/>
    <x:mergeCell ref="A146:A147"/>
    <x:mergeCell ref="B146:B147"/>
    <x:mergeCell ref="E146:E147"/>
    <x:mergeCell ref="R146:R147"/>
    <x:mergeCell ref="S146:S147"/>
    <x:mergeCell ref="A148:A149"/>
    <x:mergeCell ref="B148:B149"/>
    <x:mergeCell ref="E148:E149"/>
    <x:mergeCell ref="R148:R149"/>
    <x:mergeCell ref="S148:S149"/>
    <x:mergeCell ref="A150:A151"/>
    <x:mergeCell ref="B150:B151"/>
    <x:mergeCell ref="E150:E151"/>
    <x:mergeCell ref="R150:R151"/>
    <x:mergeCell ref="S150:S151"/>
    <x:mergeCell ref="A152:A153"/>
    <x:mergeCell ref="B152:B153"/>
    <x:mergeCell ref="E152:E153"/>
    <x:mergeCell ref="R152:R153"/>
    <x:mergeCell ref="S152:S153"/>
    <x:mergeCell ref="A154:A155"/>
    <x:mergeCell ref="B154:B155"/>
    <x:mergeCell ref="E154:E155"/>
    <x:mergeCell ref="R154:R155"/>
    <x:mergeCell ref="S154:S155"/>
    <x:mergeCell ref="A156:A157"/>
    <x:mergeCell ref="B156:B157"/>
    <x:mergeCell ref="E156:E157"/>
    <x:mergeCell ref="R156:R157"/>
    <x:mergeCell ref="S156:S157"/>
    <x:mergeCell ref="A158:A159"/>
    <x:mergeCell ref="B158:B159"/>
    <x:mergeCell ref="E158:E159"/>
    <x:mergeCell ref="R158:R159"/>
    <x:mergeCell ref="S158:S159"/>
    <x:mergeCell ref="A160:A161"/>
    <x:mergeCell ref="B160:B161"/>
    <x:mergeCell ref="E160:E161"/>
    <x:mergeCell ref="R160:R161"/>
    <x:mergeCell ref="S160:S161"/>
    <x:mergeCell ref="A162:A163"/>
    <x:mergeCell ref="B162:B163"/>
    <x:mergeCell ref="E162:E163"/>
    <x:mergeCell ref="R162:R163"/>
    <x:mergeCell ref="S162:S163"/>
    <x:mergeCell ref="A164:A165"/>
    <x:mergeCell ref="B164:B165"/>
    <x:mergeCell ref="E164:E165"/>
    <x:mergeCell ref="R164:R165"/>
    <x:mergeCell ref="S164:S165"/>
    <x:mergeCell ref="A166:A167"/>
    <x:mergeCell ref="B166:B167"/>
    <x:mergeCell ref="E166:E167"/>
    <x:mergeCell ref="R166:R167"/>
    <x:mergeCell ref="S166:S167"/>
    <x:mergeCell ref="A168:A169"/>
    <x:mergeCell ref="B168:B169"/>
    <x:mergeCell ref="E168:E169"/>
    <x:mergeCell ref="R168:R169"/>
    <x:mergeCell ref="S168:S169"/>
    <x:mergeCell ref="A170:A171"/>
    <x:mergeCell ref="B170:B171"/>
    <x:mergeCell ref="E170:E171"/>
    <x:mergeCell ref="R170:R171"/>
    <x:mergeCell ref="S170:S171"/>
    <x:mergeCell ref="A172:A173"/>
    <x:mergeCell ref="B172:B173"/>
    <x:mergeCell ref="E172:E173"/>
    <x:mergeCell ref="R172:R173"/>
    <x:mergeCell ref="S172:S173"/>
    <x:mergeCell ref="A174:A175"/>
    <x:mergeCell ref="B174:B175"/>
    <x:mergeCell ref="E174:E175"/>
    <x:mergeCell ref="R174:R175"/>
    <x:mergeCell ref="S174:S175"/>
    <x:mergeCell ref="A176:S176"/>
    <x:mergeCell ref="A177:A178"/>
    <x:mergeCell ref="B177:B178"/>
    <x:mergeCell ref="E177:E178"/>
    <x:mergeCell ref="R177:R178"/>
    <x:mergeCell ref="S177:S178"/>
    <x:mergeCell ref="A179:A180"/>
    <x:mergeCell ref="B179:B180"/>
    <x:mergeCell ref="E179:E180"/>
    <x:mergeCell ref="R179:R180"/>
    <x:mergeCell ref="S179:S180"/>
    <x:mergeCell ref="A181:A182"/>
    <x:mergeCell ref="B181:B182"/>
    <x:mergeCell ref="E181:E182"/>
    <x:mergeCell ref="R181:R182"/>
    <x:mergeCell ref="S181:S182"/>
    <x:mergeCell ref="A183:A184"/>
    <x:mergeCell ref="B183:B184"/>
    <x:mergeCell ref="E183:E184"/>
    <x:mergeCell ref="R183:R184"/>
    <x:mergeCell ref="S183:S184"/>
    <x:mergeCell ref="A185:A186"/>
    <x:mergeCell ref="B185:B186"/>
    <x:mergeCell ref="E185:E186"/>
    <x:mergeCell ref="R185:R186"/>
    <x:mergeCell ref="S185:S186"/>
    <x:mergeCell ref="A187:A188"/>
    <x:mergeCell ref="B187:B188"/>
    <x:mergeCell ref="E187:E188"/>
    <x:mergeCell ref="R187:R188"/>
    <x:mergeCell ref="S187:S188"/>
    <x:mergeCell ref="A189:A190"/>
    <x:mergeCell ref="B189:B190"/>
    <x:mergeCell ref="E189:E190"/>
    <x:mergeCell ref="R189:R190"/>
    <x:mergeCell ref="S189:S190"/>
    <x:mergeCell ref="A191:A192"/>
    <x:mergeCell ref="B191:B192"/>
    <x:mergeCell ref="E191:E192"/>
    <x:mergeCell ref="R191:R192"/>
    <x:mergeCell ref="S191:S192"/>
    <x:mergeCell ref="A193:A194"/>
    <x:mergeCell ref="B193:B194"/>
    <x:mergeCell ref="E193:E194"/>
    <x:mergeCell ref="R193:R194"/>
    <x:mergeCell ref="S193:S194"/>
    <x:mergeCell ref="A195:A196"/>
    <x:mergeCell ref="B195:B196"/>
    <x:mergeCell ref="E195:E196"/>
    <x:mergeCell ref="R195:R196"/>
    <x:mergeCell ref="S195:S196"/>
    <x:mergeCell ref="A197:A198"/>
    <x:mergeCell ref="B197:B198"/>
    <x:mergeCell ref="E197:E198"/>
    <x:mergeCell ref="R197:R198"/>
    <x:mergeCell ref="S197:S198"/>
    <x:mergeCell ref="A199:A200"/>
    <x:mergeCell ref="B199:B200"/>
    <x:mergeCell ref="E199:E200"/>
    <x:mergeCell ref="R199:R200"/>
    <x:mergeCell ref="S199:S200"/>
    <x:mergeCell ref="A201:A202"/>
    <x:mergeCell ref="B201:B202"/>
    <x:mergeCell ref="E201:E202"/>
    <x:mergeCell ref="R201:R202"/>
    <x:mergeCell ref="S201:S202"/>
    <x:mergeCell ref="A203:S203"/>
    <x:mergeCell ref="A204:A205"/>
    <x:mergeCell ref="B204:B205"/>
    <x:mergeCell ref="E204:E205"/>
    <x:mergeCell ref="R204:R205"/>
    <x:mergeCell ref="S204:S205"/>
    <x:mergeCell ref="A206:A207"/>
    <x:mergeCell ref="B206:B207"/>
    <x:mergeCell ref="E206:E207"/>
    <x:mergeCell ref="R206:R207"/>
    <x:mergeCell ref="S206:S207"/>
    <x:mergeCell ref="A208:A209"/>
    <x:mergeCell ref="B208:B209"/>
    <x:mergeCell ref="E208:E209"/>
    <x:mergeCell ref="R208:R209"/>
    <x:mergeCell ref="S208:S209"/>
    <x:mergeCell ref="A210:A211"/>
    <x:mergeCell ref="B210:B211"/>
    <x:mergeCell ref="E210:E211"/>
    <x:mergeCell ref="R210:R211"/>
    <x:mergeCell ref="S210:S211"/>
    <x:mergeCell ref="A212:A213"/>
    <x:mergeCell ref="B212:B213"/>
    <x:mergeCell ref="E212:E213"/>
    <x:mergeCell ref="R212:R213"/>
    <x:mergeCell ref="S212:S213"/>
    <x:mergeCell ref="A214:A215"/>
    <x:mergeCell ref="B214:B215"/>
    <x:mergeCell ref="E214:E215"/>
    <x:mergeCell ref="R214:R215"/>
    <x:mergeCell ref="S214:S215"/>
    <x:mergeCell ref="A216:A217"/>
    <x:mergeCell ref="B216:B217"/>
    <x:mergeCell ref="E216:E217"/>
    <x:mergeCell ref="R216:R217"/>
    <x:mergeCell ref="S216:S217"/>
    <x:mergeCell ref="A218:S218"/>
    <x:mergeCell ref="A219:A220"/>
    <x:mergeCell ref="B219:B220"/>
    <x:mergeCell ref="E219:E220"/>
    <x:mergeCell ref="R219:R220"/>
    <x:mergeCell ref="S219:S220"/>
    <x:mergeCell ref="A221:A222"/>
    <x:mergeCell ref="B221:B222"/>
    <x:mergeCell ref="E221:E222"/>
    <x:mergeCell ref="R221:R222"/>
    <x:mergeCell ref="S221:S222"/>
    <x:mergeCell ref="A223:A224"/>
    <x:mergeCell ref="B223:B224"/>
    <x:mergeCell ref="E223:E224"/>
    <x:mergeCell ref="R223:R224"/>
    <x:mergeCell ref="S223:S224"/>
    <x:mergeCell ref="A225:A226"/>
    <x:mergeCell ref="B225:B226"/>
    <x:mergeCell ref="E225:E226"/>
    <x:mergeCell ref="R225:R226"/>
    <x:mergeCell ref="S225:S226"/>
    <x:mergeCell ref="A227:A228"/>
    <x:mergeCell ref="B227:B228"/>
    <x:mergeCell ref="E227:E228"/>
    <x:mergeCell ref="R227:R228"/>
    <x:mergeCell ref="S227:S228"/>
    <x:mergeCell ref="A229:A230"/>
    <x:mergeCell ref="B229:B230"/>
    <x:mergeCell ref="E229:E230"/>
    <x:mergeCell ref="R229:R230"/>
    <x:mergeCell ref="S229:S230"/>
    <x:mergeCell ref="A231:A232"/>
    <x:mergeCell ref="B231:B232"/>
    <x:mergeCell ref="E231:E232"/>
    <x:mergeCell ref="R231:R232"/>
    <x:mergeCell ref="S231:S232"/>
    <x:mergeCell ref="A233:A234"/>
    <x:mergeCell ref="B233:B234"/>
    <x:mergeCell ref="E233:E234"/>
    <x:mergeCell ref="R233:R234"/>
    <x:mergeCell ref="S233:S234"/>
    <x:mergeCell ref="A235:A236"/>
    <x:mergeCell ref="B235:B236"/>
    <x:mergeCell ref="E235:E236"/>
    <x:mergeCell ref="R235:R236"/>
    <x:mergeCell ref="S235:S236"/>
    <x:mergeCell ref="A237:A238"/>
    <x:mergeCell ref="B237:B238"/>
    <x:mergeCell ref="E237:E238"/>
    <x:mergeCell ref="R237:R238"/>
    <x:mergeCell ref="S237:S238"/>
    <x:mergeCell ref="A239:A240"/>
    <x:mergeCell ref="B239:B240"/>
    <x:mergeCell ref="E239:E240"/>
    <x:mergeCell ref="R239:R240"/>
    <x:mergeCell ref="S239:S240"/>
    <x:mergeCell ref="A241:A242"/>
    <x:mergeCell ref="B241:B242"/>
    <x:mergeCell ref="E241:E242"/>
    <x:mergeCell ref="R241:R242"/>
    <x:mergeCell ref="S241:S242"/>
    <x:mergeCell ref="A243:A244"/>
    <x:mergeCell ref="B243:B244"/>
    <x:mergeCell ref="E243:E244"/>
    <x:mergeCell ref="R243:R244"/>
    <x:mergeCell ref="S243:S244"/>
    <x:mergeCell ref="A245:A246"/>
    <x:mergeCell ref="B245:B246"/>
    <x:mergeCell ref="E245:E246"/>
    <x:mergeCell ref="R245:R246"/>
    <x:mergeCell ref="S245:S246"/>
    <x:mergeCell ref="A247:A248"/>
    <x:mergeCell ref="B247:B248"/>
    <x:mergeCell ref="E247:E248"/>
    <x:mergeCell ref="R247:R248"/>
    <x:mergeCell ref="S247:S248"/>
    <x:mergeCell ref="A249:A250"/>
    <x:mergeCell ref="B249:B250"/>
    <x:mergeCell ref="E249:E250"/>
    <x:mergeCell ref="R249:R250"/>
    <x:mergeCell ref="S249:S250"/>
    <x:mergeCell ref="A251:A252"/>
    <x:mergeCell ref="B251:B252"/>
    <x:mergeCell ref="E251:E252"/>
    <x:mergeCell ref="R251:R252"/>
    <x:mergeCell ref="S251:S252"/>
    <x:mergeCell ref="A253:A254"/>
    <x:mergeCell ref="B253:B254"/>
    <x:mergeCell ref="E253:E254"/>
    <x:mergeCell ref="R253:R254"/>
    <x:mergeCell ref="S253:S254"/>
    <x:mergeCell ref="A255:A256"/>
    <x:mergeCell ref="B255:B256"/>
    <x:mergeCell ref="E255:E256"/>
    <x:mergeCell ref="R255:R256"/>
    <x:mergeCell ref="S255:S256"/>
    <x:mergeCell ref="A257:A258"/>
    <x:mergeCell ref="B257:B258"/>
    <x:mergeCell ref="E257:E258"/>
    <x:mergeCell ref="R257:R258"/>
    <x:mergeCell ref="S257:S258"/>
    <x:mergeCell ref="A259:S259"/>
    <x:mergeCell ref="A260:A261"/>
    <x:mergeCell ref="B260:B261"/>
    <x:mergeCell ref="E260:E261"/>
    <x:mergeCell ref="R260:R261"/>
    <x:mergeCell ref="S260:S261"/>
    <x:mergeCell ref="A262:A263"/>
    <x:mergeCell ref="B262:B263"/>
    <x:mergeCell ref="E262:E263"/>
    <x:mergeCell ref="R262:R263"/>
    <x:mergeCell ref="S262:S263"/>
    <x:mergeCell ref="A264:A265"/>
    <x:mergeCell ref="B264:B265"/>
    <x:mergeCell ref="E264:E265"/>
    <x:mergeCell ref="R264:R265"/>
    <x:mergeCell ref="S264:S265"/>
    <x:mergeCell ref="A266:A267"/>
    <x:mergeCell ref="B266:B267"/>
    <x:mergeCell ref="E266:E267"/>
    <x:mergeCell ref="R266:R267"/>
    <x:mergeCell ref="S266:S267"/>
    <x:mergeCell ref="A268:A269"/>
    <x:mergeCell ref="B268:B269"/>
    <x:mergeCell ref="E268:E269"/>
    <x:mergeCell ref="R268:R269"/>
    <x:mergeCell ref="S268:S269"/>
    <x:mergeCell ref="A270:A271"/>
    <x:mergeCell ref="B270:B271"/>
    <x:mergeCell ref="E270:E271"/>
    <x:mergeCell ref="R270:R271"/>
    <x:mergeCell ref="S270:S271"/>
    <x:mergeCell ref="A272:A273"/>
    <x:mergeCell ref="B272:B273"/>
    <x:mergeCell ref="E272:E273"/>
    <x:mergeCell ref="R272:R273"/>
    <x:mergeCell ref="S272:S273"/>
    <x:mergeCell ref="A274:A275"/>
    <x:mergeCell ref="B274:B275"/>
    <x:mergeCell ref="E274:E275"/>
    <x:mergeCell ref="R274:R275"/>
    <x:mergeCell ref="S274:S275"/>
    <x:mergeCell ref="A276:A277"/>
    <x:mergeCell ref="B276:B277"/>
    <x:mergeCell ref="E276:E277"/>
    <x:mergeCell ref="R276:R277"/>
    <x:mergeCell ref="S276:S277"/>
    <x:mergeCell ref="A278:A279"/>
    <x:mergeCell ref="B278:B279"/>
    <x:mergeCell ref="E278:E279"/>
    <x:mergeCell ref="R278:R279"/>
    <x:mergeCell ref="S278:S279"/>
    <x:mergeCell ref="A280:A281"/>
    <x:mergeCell ref="B280:B281"/>
    <x:mergeCell ref="E280:E281"/>
    <x:mergeCell ref="R280:R281"/>
    <x:mergeCell ref="S280:S281"/>
    <x:mergeCell ref="A282:A283"/>
    <x:mergeCell ref="B282:B283"/>
    <x:mergeCell ref="E282:E283"/>
    <x:mergeCell ref="R282:R283"/>
    <x:mergeCell ref="S282:S283"/>
    <x:mergeCell ref="A284:A285"/>
    <x:mergeCell ref="B284:B285"/>
    <x:mergeCell ref="E284:E285"/>
    <x:mergeCell ref="R284:R285"/>
    <x:mergeCell ref="S284:S285"/>
    <x:mergeCell ref="A286:A287"/>
    <x:mergeCell ref="B286:B287"/>
    <x:mergeCell ref="E286:E287"/>
    <x:mergeCell ref="R286:R287"/>
    <x:mergeCell ref="S286:S287"/>
    <x:mergeCell ref="A288:A289"/>
    <x:mergeCell ref="B288:B289"/>
    <x:mergeCell ref="E288:E289"/>
    <x:mergeCell ref="R288:R289"/>
    <x:mergeCell ref="S288:S289"/>
    <x:mergeCell ref="A290:A291"/>
    <x:mergeCell ref="B290:B291"/>
    <x:mergeCell ref="E290:E291"/>
    <x:mergeCell ref="R290:R291"/>
    <x:mergeCell ref="S290:S291"/>
    <x:mergeCell ref="A292:A293"/>
    <x:mergeCell ref="B292:B293"/>
    <x:mergeCell ref="E292:E293"/>
    <x:mergeCell ref="R292:R293"/>
    <x:mergeCell ref="S292:S293"/>
    <x:mergeCell ref="A294:A295"/>
    <x:mergeCell ref="B294:B295"/>
    <x:mergeCell ref="E294:E295"/>
    <x:mergeCell ref="R294:R295"/>
    <x:mergeCell ref="S294:S295"/>
    <x:mergeCell ref="A296:A297"/>
    <x:mergeCell ref="B296:B297"/>
    <x:mergeCell ref="E296:E297"/>
    <x:mergeCell ref="R296:R297"/>
    <x:mergeCell ref="S296:S297"/>
    <x:mergeCell ref="A298:S298"/>
    <x:mergeCell ref="A299:A300"/>
    <x:mergeCell ref="B299:B300"/>
    <x:mergeCell ref="E299:E300"/>
    <x:mergeCell ref="R299:R300"/>
    <x:mergeCell ref="S299:S300"/>
    <x:mergeCell ref="A301:A302"/>
    <x:mergeCell ref="B301:B302"/>
    <x:mergeCell ref="E301:E302"/>
    <x:mergeCell ref="R301:R302"/>
    <x:mergeCell ref="S301:S302"/>
    <x:mergeCell ref="A303:A304"/>
    <x:mergeCell ref="B303:B304"/>
    <x:mergeCell ref="E303:E304"/>
    <x:mergeCell ref="R303:R304"/>
    <x:mergeCell ref="S303:S304"/>
    <x:mergeCell ref="A305:A306"/>
    <x:mergeCell ref="B305:B306"/>
    <x:mergeCell ref="E305:E306"/>
    <x:mergeCell ref="R305:R306"/>
    <x:mergeCell ref="S305:S306"/>
    <x:mergeCell ref="A307:A308"/>
    <x:mergeCell ref="B307:B308"/>
    <x:mergeCell ref="E307:E308"/>
    <x:mergeCell ref="R307:R308"/>
    <x:mergeCell ref="S307:S308"/>
    <x:mergeCell ref="A309:A310"/>
    <x:mergeCell ref="B309:B310"/>
    <x:mergeCell ref="E309:E310"/>
    <x:mergeCell ref="R309:R310"/>
    <x:mergeCell ref="S309:S310"/>
    <x:mergeCell ref="A311:A312"/>
    <x:mergeCell ref="B311:B312"/>
    <x:mergeCell ref="E311:E312"/>
    <x:mergeCell ref="R311:R312"/>
    <x:mergeCell ref="S311:S312"/>
    <x:mergeCell ref="A313:A314"/>
    <x:mergeCell ref="B313:B314"/>
    <x:mergeCell ref="E313:E314"/>
    <x:mergeCell ref="R313:R314"/>
    <x:mergeCell ref="S313:S314"/>
    <x:mergeCell ref="A315:A316"/>
    <x:mergeCell ref="B315:B316"/>
    <x:mergeCell ref="E315:E316"/>
    <x:mergeCell ref="R315:R316"/>
    <x:mergeCell ref="S315:S316"/>
    <x:mergeCell ref="A317:A318"/>
    <x:mergeCell ref="B317:B318"/>
    <x:mergeCell ref="E317:E318"/>
    <x:mergeCell ref="R317:R318"/>
    <x:mergeCell ref="S317:S318"/>
    <x:mergeCell ref="A319:A320"/>
    <x:mergeCell ref="B319:B320"/>
    <x:mergeCell ref="E319:E320"/>
    <x:mergeCell ref="R319:R320"/>
    <x:mergeCell ref="S319:S320"/>
    <x:mergeCell ref="A321:A322"/>
    <x:mergeCell ref="B321:B322"/>
    <x:mergeCell ref="E321:E322"/>
    <x:mergeCell ref="R321:R322"/>
    <x:mergeCell ref="S321:S322"/>
    <x:mergeCell ref="A323:A324"/>
    <x:mergeCell ref="B323:B324"/>
    <x:mergeCell ref="E323:E324"/>
    <x:mergeCell ref="R323:R324"/>
    <x:mergeCell ref="S323:S324"/>
    <x:mergeCell ref="A325:A326"/>
    <x:mergeCell ref="B325:B326"/>
    <x:mergeCell ref="E325:E326"/>
    <x:mergeCell ref="R325:R326"/>
    <x:mergeCell ref="S325:S326"/>
    <x:mergeCell ref="A327:A328"/>
    <x:mergeCell ref="B327:B328"/>
    <x:mergeCell ref="E327:E328"/>
    <x:mergeCell ref="R327:R328"/>
    <x:mergeCell ref="S327:S328"/>
    <x:mergeCell ref="A329:A330"/>
    <x:mergeCell ref="B329:B330"/>
    <x:mergeCell ref="E329:E330"/>
    <x:mergeCell ref="R329:R330"/>
    <x:mergeCell ref="S329:S330"/>
    <x:mergeCell ref="A331:A332"/>
    <x:mergeCell ref="B331:B332"/>
    <x:mergeCell ref="E331:E332"/>
    <x:mergeCell ref="R331:R332"/>
    <x:mergeCell ref="S331:S332"/>
    <x:mergeCell ref="A333:A334"/>
    <x:mergeCell ref="B333:B334"/>
    <x:mergeCell ref="E333:E334"/>
    <x:mergeCell ref="R333:R334"/>
    <x:mergeCell ref="S333:S334"/>
    <x:mergeCell ref="A335:A336"/>
    <x:mergeCell ref="B335:B336"/>
    <x:mergeCell ref="E335:E336"/>
    <x:mergeCell ref="R335:R336"/>
    <x:mergeCell ref="S335:S336"/>
    <x:mergeCell ref="A337:A338"/>
    <x:mergeCell ref="B337:B338"/>
    <x:mergeCell ref="E337:E338"/>
    <x:mergeCell ref="R337:R338"/>
    <x:mergeCell ref="S337:S338"/>
    <x:mergeCell ref="A339:S339"/>
    <x:mergeCell ref="A340:A341"/>
    <x:mergeCell ref="B340:B341"/>
    <x:mergeCell ref="E340:E341"/>
    <x:mergeCell ref="R340:R341"/>
    <x:mergeCell ref="S340:S341"/>
    <x:mergeCell ref="A342:A343"/>
    <x:mergeCell ref="B342:B343"/>
    <x:mergeCell ref="E342:E343"/>
    <x:mergeCell ref="R342:R343"/>
    <x:mergeCell ref="S342:S343"/>
    <x:mergeCell ref="A344:A345"/>
    <x:mergeCell ref="B344:B345"/>
    <x:mergeCell ref="E344:E345"/>
    <x:mergeCell ref="R344:R345"/>
    <x:mergeCell ref="S344:S345"/>
    <x:mergeCell ref="A346:A347"/>
    <x:mergeCell ref="B346:B347"/>
    <x:mergeCell ref="E346:E347"/>
    <x:mergeCell ref="R346:R347"/>
    <x:mergeCell ref="S346:S347"/>
    <x:mergeCell ref="A348:A349"/>
    <x:mergeCell ref="B348:B349"/>
    <x:mergeCell ref="E348:E349"/>
    <x:mergeCell ref="R348:R349"/>
    <x:mergeCell ref="S348:S349"/>
    <x:mergeCell ref="A350:A351"/>
    <x:mergeCell ref="B350:B351"/>
    <x:mergeCell ref="E350:E351"/>
    <x:mergeCell ref="R350:R351"/>
    <x:mergeCell ref="S350:S351"/>
    <x:mergeCell ref="A352:A353"/>
    <x:mergeCell ref="B352:B353"/>
    <x:mergeCell ref="E352:E353"/>
    <x:mergeCell ref="R352:R353"/>
    <x:mergeCell ref="S352:S353"/>
    <x:mergeCell ref="A354:A355"/>
    <x:mergeCell ref="B354:B355"/>
    <x:mergeCell ref="E354:E355"/>
    <x:mergeCell ref="R354:R355"/>
    <x:mergeCell ref="S354:S355"/>
    <x:mergeCell ref="A356:A357"/>
    <x:mergeCell ref="B356:B357"/>
    <x:mergeCell ref="E356:E357"/>
    <x:mergeCell ref="R356:R357"/>
    <x:mergeCell ref="S356:S357"/>
    <x:mergeCell ref="A358:A359"/>
    <x:mergeCell ref="B358:B359"/>
    <x:mergeCell ref="E358:E359"/>
    <x:mergeCell ref="R358:R359"/>
    <x:mergeCell ref="S358:S359"/>
    <x:mergeCell ref="A360:A361"/>
    <x:mergeCell ref="B360:B361"/>
    <x:mergeCell ref="E360:E361"/>
    <x:mergeCell ref="R360:R361"/>
    <x:mergeCell ref="S360:S361"/>
    <x:mergeCell ref="A362:A363"/>
    <x:mergeCell ref="B362:B363"/>
    <x:mergeCell ref="E362:E363"/>
    <x:mergeCell ref="R362:R363"/>
    <x:mergeCell ref="S362:S363"/>
    <x:mergeCell ref="A364:A365"/>
    <x:mergeCell ref="B364:B365"/>
    <x:mergeCell ref="E364:E365"/>
    <x:mergeCell ref="R364:R365"/>
    <x:mergeCell ref="S364:S365"/>
    <x:mergeCell ref="A366:S366"/>
    <x:mergeCell ref="A367:A368"/>
    <x:mergeCell ref="B367:B368"/>
    <x:mergeCell ref="E367:E368"/>
    <x:mergeCell ref="R367:R368"/>
    <x:mergeCell ref="S367:S368"/>
    <x:mergeCell ref="A369:A370"/>
    <x:mergeCell ref="B369:B370"/>
    <x:mergeCell ref="E369:E370"/>
    <x:mergeCell ref="R369:R370"/>
    <x:mergeCell ref="S369:S370"/>
    <x:mergeCell ref="A371:A372"/>
    <x:mergeCell ref="B371:B372"/>
    <x:mergeCell ref="E371:E372"/>
    <x:mergeCell ref="R371:R372"/>
    <x:mergeCell ref="S371:S372"/>
    <x:mergeCell ref="A373:A374"/>
    <x:mergeCell ref="B373:B374"/>
    <x:mergeCell ref="E373:E374"/>
    <x:mergeCell ref="R373:R374"/>
    <x:mergeCell ref="S373:S374"/>
    <x:mergeCell ref="A375:A376"/>
    <x:mergeCell ref="B375:B376"/>
    <x:mergeCell ref="E375:E376"/>
    <x:mergeCell ref="R375:R376"/>
    <x:mergeCell ref="S375:S376"/>
    <x:mergeCell ref="A377:A378"/>
    <x:mergeCell ref="B377:B378"/>
    <x:mergeCell ref="E377:E378"/>
    <x:mergeCell ref="R377:R378"/>
    <x:mergeCell ref="S377:S378"/>
    <x:mergeCell ref="A379:A380"/>
    <x:mergeCell ref="B379:B380"/>
    <x:mergeCell ref="E379:E380"/>
    <x:mergeCell ref="R379:R380"/>
    <x:mergeCell ref="S379:S380"/>
    <x:mergeCell ref="A381:A382"/>
    <x:mergeCell ref="B381:B382"/>
    <x:mergeCell ref="E381:E382"/>
    <x:mergeCell ref="R381:R382"/>
    <x:mergeCell ref="S381:S382"/>
    <x:mergeCell ref="A383:A384"/>
    <x:mergeCell ref="B383:B384"/>
    <x:mergeCell ref="E383:E384"/>
    <x:mergeCell ref="R383:R384"/>
    <x:mergeCell ref="S383:S384"/>
    <x:mergeCell ref="A385:A386"/>
    <x:mergeCell ref="B385:B386"/>
    <x:mergeCell ref="E385:E386"/>
    <x:mergeCell ref="R385:R386"/>
    <x:mergeCell ref="S385:S386"/>
    <x:mergeCell ref="A387:A388"/>
    <x:mergeCell ref="B387:B388"/>
    <x:mergeCell ref="E387:E388"/>
    <x:mergeCell ref="R387:R388"/>
    <x:mergeCell ref="S387:S388"/>
    <x:mergeCell ref="A389:A390"/>
    <x:mergeCell ref="B389:B390"/>
    <x:mergeCell ref="E389:E390"/>
    <x:mergeCell ref="R389:R390"/>
    <x:mergeCell ref="S389:S390"/>
    <x:mergeCell ref="A391:S391"/>
    <x:mergeCell ref="A392:A393"/>
    <x:mergeCell ref="B392:B393"/>
    <x:mergeCell ref="E392:E393"/>
    <x:mergeCell ref="R392:R393"/>
    <x:mergeCell ref="S392:S393"/>
    <x:mergeCell ref="A394:A395"/>
    <x:mergeCell ref="B394:B395"/>
    <x:mergeCell ref="E394:E395"/>
    <x:mergeCell ref="R394:R395"/>
    <x:mergeCell ref="S394:S395"/>
    <x:mergeCell ref="A396:A397"/>
    <x:mergeCell ref="B396:B397"/>
    <x:mergeCell ref="E396:E397"/>
    <x:mergeCell ref="R396:R397"/>
    <x:mergeCell ref="S396:S397"/>
    <x:mergeCell ref="A398:A399"/>
    <x:mergeCell ref="B398:B399"/>
    <x:mergeCell ref="E398:E399"/>
    <x:mergeCell ref="R398:R399"/>
    <x:mergeCell ref="S398:S399"/>
    <x:mergeCell ref="A400:A401"/>
    <x:mergeCell ref="B400:B401"/>
    <x:mergeCell ref="E400:E401"/>
    <x:mergeCell ref="R400:R401"/>
    <x:mergeCell ref="S400:S401"/>
    <x:mergeCell ref="A402:A403"/>
    <x:mergeCell ref="B402:B403"/>
    <x:mergeCell ref="E402:E403"/>
    <x:mergeCell ref="R402:R403"/>
    <x:mergeCell ref="S402:S403"/>
    <x:mergeCell ref="A404:A405"/>
    <x:mergeCell ref="B404:B405"/>
    <x:mergeCell ref="E404:E405"/>
    <x:mergeCell ref="R404:R405"/>
    <x:mergeCell ref="S404:S405"/>
    <x:mergeCell ref="A406:A407"/>
    <x:mergeCell ref="B406:B407"/>
    <x:mergeCell ref="E406:E407"/>
    <x:mergeCell ref="R406:R407"/>
    <x:mergeCell ref="S406:S407"/>
    <x:mergeCell ref="A408:A409"/>
    <x:mergeCell ref="B408:B409"/>
    <x:mergeCell ref="E408:E409"/>
    <x:mergeCell ref="R408:R409"/>
    <x:mergeCell ref="S408:S409"/>
    <x:mergeCell ref="A410:A411"/>
    <x:mergeCell ref="B410:B411"/>
    <x:mergeCell ref="E410:E411"/>
    <x:mergeCell ref="R410:R411"/>
    <x:mergeCell ref="S410:S411"/>
    <x:mergeCell ref="A412:A413"/>
    <x:mergeCell ref="B412:B413"/>
    <x:mergeCell ref="E412:E413"/>
    <x:mergeCell ref="R412:R413"/>
    <x:mergeCell ref="S412:S413"/>
    <x:mergeCell ref="A414:A415"/>
    <x:mergeCell ref="B414:B415"/>
    <x:mergeCell ref="E414:E415"/>
    <x:mergeCell ref="R414:R415"/>
    <x:mergeCell ref="S414:S415"/>
    <x:mergeCell ref="A416:A417"/>
    <x:mergeCell ref="B416:B417"/>
    <x:mergeCell ref="E416:E417"/>
    <x:mergeCell ref="R416:R417"/>
    <x:mergeCell ref="S416:S417"/>
    <x:mergeCell ref="A418:A419"/>
    <x:mergeCell ref="B418:B419"/>
    <x:mergeCell ref="E418:E419"/>
    <x:mergeCell ref="R418:R419"/>
    <x:mergeCell ref="S418:S419"/>
    <x:mergeCell ref="A420:A421"/>
    <x:mergeCell ref="B420:B421"/>
    <x:mergeCell ref="E420:E421"/>
    <x:mergeCell ref="R420:R421"/>
    <x:mergeCell ref="S420:S421"/>
    <x:mergeCell ref="A422:A423"/>
    <x:mergeCell ref="B422:B423"/>
    <x:mergeCell ref="E422:E423"/>
    <x:mergeCell ref="R422:R423"/>
    <x:mergeCell ref="S422:S423"/>
    <x:mergeCell ref="A424:A425"/>
    <x:mergeCell ref="B424:B425"/>
    <x:mergeCell ref="E424:E425"/>
    <x:mergeCell ref="R424:R425"/>
    <x:mergeCell ref="S424:S425"/>
    <x:mergeCell ref="A426:A427"/>
    <x:mergeCell ref="B426:B427"/>
    <x:mergeCell ref="E426:E427"/>
    <x:mergeCell ref="R426:R427"/>
    <x:mergeCell ref="S426:S427"/>
    <x:mergeCell ref="A428:S428"/>
    <x:mergeCell ref="A429:A430"/>
    <x:mergeCell ref="B429:B430"/>
    <x:mergeCell ref="E429:E430"/>
    <x:mergeCell ref="R429:R430"/>
    <x:mergeCell ref="S429:S430"/>
    <x:mergeCell ref="A431:A432"/>
    <x:mergeCell ref="B431:B432"/>
    <x:mergeCell ref="E431:E432"/>
    <x:mergeCell ref="R431:R432"/>
    <x:mergeCell ref="S431:S432"/>
    <x:mergeCell ref="A433:A434"/>
    <x:mergeCell ref="B433:B434"/>
    <x:mergeCell ref="E433:E434"/>
    <x:mergeCell ref="R433:R434"/>
    <x:mergeCell ref="S433:S434"/>
    <x:mergeCell ref="A435:A436"/>
    <x:mergeCell ref="B435:B436"/>
    <x:mergeCell ref="E435:E436"/>
    <x:mergeCell ref="R435:R436"/>
    <x:mergeCell ref="S435:S436"/>
    <x:mergeCell ref="A437:A438"/>
    <x:mergeCell ref="B437:B438"/>
    <x:mergeCell ref="E437:E438"/>
    <x:mergeCell ref="R437:R438"/>
    <x:mergeCell ref="S437:S438"/>
    <x:mergeCell ref="A439:A440"/>
    <x:mergeCell ref="B439:B440"/>
    <x:mergeCell ref="E439:E440"/>
    <x:mergeCell ref="R439:R440"/>
    <x:mergeCell ref="S439:S440"/>
    <x:mergeCell ref="A441:A442"/>
    <x:mergeCell ref="B441:B442"/>
    <x:mergeCell ref="E441:E442"/>
    <x:mergeCell ref="R441:R442"/>
    <x:mergeCell ref="S441:S442"/>
    <x:mergeCell ref="A443:A444"/>
    <x:mergeCell ref="B443:B444"/>
    <x:mergeCell ref="E443:E444"/>
    <x:mergeCell ref="R443:R444"/>
    <x:mergeCell ref="S443:S444"/>
    <x:mergeCell ref="A445:A446"/>
    <x:mergeCell ref="B445:B446"/>
    <x:mergeCell ref="E445:E446"/>
    <x:mergeCell ref="R445:R446"/>
    <x:mergeCell ref="S445:S446"/>
    <x:mergeCell ref="A447:A448"/>
    <x:mergeCell ref="B447:B448"/>
    <x:mergeCell ref="E447:E448"/>
    <x:mergeCell ref="R447:R448"/>
    <x:mergeCell ref="S447:S448"/>
    <x:mergeCell ref="A449:A450"/>
    <x:mergeCell ref="B449:B450"/>
    <x:mergeCell ref="E449:E450"/>
    <x:mergeCell ref="R449:R450"/>
    <x:mergeCell ref="S449:S450"/>
    <x:mergeCell ref="A451:S451"/>
    <x:mergeCell ref="A452:A453"/>
    <x:mergeCell ref="B452:B453"/>
    <x:mergeCell ref="E452:E453"/>
    <x:mergeCell ref="R452:R453"/>
    <x:mergeCell ref="S452:S453"/>
    <x:mergeCell ref="A454:A455"/>
    <x:mergeCell ref="B454:B455"/>
    <x:mergeCell ref="E454:E455"/>
    <x:mergeCell ref="R454:R455"/>
    <x:mergeCell ref="S454:S455"/>
    <x:mergeCell ref="A456:A457"/>
    <x:mergeCell ref="B456:B457"/>
    <x:mergeCell ref="E456:E457"/>
    <x:mergeCell ref="R456:R457"/>
    <x:mergeCell ref="S456:S457"/>
    <x:mergeCell ref="A458:A459"/>
    <x:mergeCell ref="B458:B459"/>
    <x:mergeCell ref="E458:E459"/>
    <x:mergeCell ref="R458:R459"/>
    <x:mergeCell ref="S458:S459"/>
    <x:mergeCell ref="A460:A461"/>
    <x:mergeCell ref="B460:B461"/>
    <x:mergeCell ref="E460:E461"/>
    <x:mergeCell ref="R460:R461"/>
    <x:mergeCell ref="S460:S461"/>
    <x:mergeCell ref="A462:A463"/>
    <x:mergeCell ref="B462:B463"/>
    <x:mergeCell ref="E462:E463"/>
    <x:mergeCell ref="R462:R463"/>
    <x:mergeCell ref="S462:S463"/>
    <x:mergeCell ref="A464:S464"/>
    <x:mergeCell ref="A465:A466"/>
    <x:mergeCell ref="B465:B466"/>
    <x:mergeCell ref="E465:E466"/>
    <x:mergeCell ref="R465:R466"/>
    <x:mergeCell ref="S465:S466"/>
    <x:mergeCell ref="A467:A468"/>
    <x:mergeCell ref="B467:B468"/>
    <x:mergeCell ref="E467:E468"/>
    <x:mergeCell ref="R467:R468"/>
    <x:mergeCell ref="S467:S468"/>
    <x:mergeCell ref="A469:A470"/>
    <x:mergeCell ref="B469:B470"/>
    <x:mergeCell ref="E469:E470"/>
    <x:mergeCell ref="R469:R470"/>
    <x:mergeCell ref="S469:S470"/>
    <x:mergeCell ref="A471:A472"/>
    <x:mergeCell ref="B471:B472"/>
    <x:mergeCell ref="E471:E472"/>
    <x:mergeCell ref="R471:R472"/>
    <x:mergeCell ref="S471:S472"/>
    <x:mergeCell ref="A473:A474"/>
    <x:mergeCell ref="B473:B474"/>
    <x:mergeCell ref="E473:E474"/>
    <x:mergeCell ref="R473:R474"/>
    <x:mergeCell ref="S473:S474"/>
    <x:mergeCell ref="A475:A476"/>
    <x:mergeCell ref="B475:B476"/>
    <x:mergeCell ref="E475:E476"/>
    <x:mergeCell ref="R475:R476"/>
    <x:mergeCell ref="S475:S476"/>
    <x:mergeCell ref="A477:A478"/>
    <x:mergeCell ref="B477:B478"/>
    <x:mergeCell ref="E477:E478"/>
    <x:mergeCell ref="R477:R478"/>
    <x:mergeCell ref="S477:S478"/>
    <x:mergeCell ref="A479:A480"/>
    <x:mergeCell ref="B479:B480"/>
    <x:mergeCell ref="E479:E480"/>
    <x:mergeCell ref="R479:R480"/>
    <x:mergeCell ref="S479:S480"/>
    <x:mergeCell ref="A481:A482"/>
    <x:mergeCell ref="B481:B482"/>
    <x:mergeCell ref="E481:E482"/>
    <x:mergeCell ref="R481:R482"/>
    <x:mergeCell ref="S481:S482"/>
    <x:mergeCell ref="A483:A484"/>
    <x:mergeCell ref="B483:B484"/>
    <x:mergeCell ref="E483:E484"/>
    <x:mergeCell ref="R483:R484"/>
    <x:mergeCell ref="S483:S484"/>
    <x:mergeCell ref="A485:A486"/>
    <x:mergeCell ref="B485:B486"/>
    <x:mergeCell ref="E485:E486"/>
    <x:mergeCell ref="R485:R486"/>
    <x:mergeCell ref="S485:S486"/>
    <x:mergeCell ref="A487:A488"/>
    <x:mergeCell ref="B487:B488"/>
    <x:mergeCell ref="E487:E488"/>
    <x:mergeCell ref="R487:R488"/>
    <x:mergeCell ref="S487:S488"/>
    <x:mergeCell ref="A489:A490"/>
    <x:mergeCell ref="B489:B490"/>
    <x:mergeCell ref="E489:E490"/>
    <x:mergeCell ref="R489:R490"/>
    <x:mergeCell ref="S489:S490"/>
    <x:mergeCell ref="A491:A492"/>
    <x:mergeCell ref="B491:B492"/>
    <x:mergeCell ref="E491:E492"/>
    <x:mergeCell ref="R491:R492"/>
    <x:mergeCell ref="S491:S492"/>
    <x:mergeCell ref="A493:A494"/>
    <x:mergeCell ref="B493:B494"/>
    <x:mergeCell ref="E493:E494"/>
    <x:mergeCell ref="R493:R494"/>
    <x:mergeCell ref="S493:S494"/>
    <x:mergeCell ref="A495:A496"/>
    <x:mergeCell ref="B495:B496"/>
    <x:mergeCell ref="E495:E496"/>
    <x:mergeCell ref="R495:R496"/>
    <x:mergeCell ref="S495:S496"/>
    <x:mergeCell ref="A497:S497"/>
    <x:mergeCell ref="A498:A499"/>
    <x:mergeCell ref="B498:B499"/>
    <x:mergeCell ref="E498:E499"/>
    <x:mergeCell ref="R498:R499"/>
    <x:mergeCell ref="S498:S499"/>
    <x:mergeCell ref="A500:A501"/>
    <x:mergeCell ref="B500:B501"/>
    <x:mergeCell ref="E500:E501"/>
    <x:mergeCell ref="R500:R501"/>
    <x:mergeCell ref="S500:S501"/>
    <x:mergeCell ref="A502:A503"/>
    <x:mergeCell ref="B502:B503"/>
    <x:mergeCell ref="E502:E503"/>
    <x:mergeCell ref="R502:R503"/>
    <x:mergeCell ref="S502:S503"/>
    <x:mergeCell ref="A504:A505"/>
    <x:mergeCell ref="B504:B505"/>
    <x:mergeCell ref="E504:E505"/>
    <x:mergeCell ref="R504:R505"/>
    <x:mergeCell ref="S504:S505"/>
    <x:mergeCell ref="A506:A507"/>
    <x:mergeCell ref="B506:B507"/>
    <x:mergeCell ref="E506:E507"/>
    <x:mergeCell ref="R506:R507"/>
    <x:mergeCell ref="S506:S507"/>
    <x:mergeCell ref="A508:A509"/>
    <x:mergeCell ref="B508:B509"/>
    <x:mergeCell ref="E508:E509"/>
    <x:mergeCell ref="R508:R509"/>
    <x:mergeCell ref="S508:S509"/>
    <x:mergeCell ref="A510:A511"/>
    <x:mergeCell ref="B510:B511"/>
    <x:mergeCell ref="E510:E511"/>
    <x:mergeCell ref="R510:R511"/>
    <x:mergeCell ref="S510:S511"/>
    <x:mergeCell ref="A512:A513"/>
    <x:mergeCell ref="B512:B513"/>
    <x:mergeCell ref="E512:E513"/>
    <x:mergeCell ref="R512:R513"/>
    <x:mergeCell ref="S512:S513"/>
    <x:mergeCell ref="A514:A515"/>
    <x:mergeCell ref="B514:B515"/>
    <x:mergeCell ref="E514:E515"/>
    <x:mergeCell ref="R514:R515"/>
    <x:mergeCell ref="S514:S515"/>
    <x:mergeCell ref="A516:A517"/>
    <x:mergeCell ref="B516:B517"/>
    <x:mergeCell ref="E516:E517"/>
    <x:mergeCell ref="R516:R517"/>
    <x:mergeCell ref="S516:S517"/>
    <x:mergeCell ref="A518:A519"/>
    <x:mergeCell ref="B518:B519"/>
    <x:mergeCell ref="E518:E519"/>
    <x:mergeCell ref="R518:R519"/>
    <x:mergeCell ref="S518:S519"/>
    <x:mergeCell ref="A520:A521"/>
    <x:mergeCell ref="B520:B521"/>
    <x:mergeCell ref="E520:E521"/>
    <x:mergeCell ref="R520:R521"/>
    <x:mergeCell ref="S520:S521"/>
    <x:mergeCell ref="A522:A523"/>
    <x:mergeCell ref="B522:B523"/>
    <x:mergeCell ref="E522:E523"/>
    <x:mergeCell ref="R522:R523"/>
    <x:mergeCell ref="S522:S523"/>
    <x:mergeCell ref="A524:A525"/>
    <x:mergeCell ref="B524:B525"/>
    <x:mergeCell ref="E524:E525"/>
    <x:mergeCell ref="R524:R525"/>
    <x:mergeCell ref="S524:S525"/>
    <x:mergeCell ref="A526:A527"/>
    <x:mergeCell ref="B526:B527"/>
    <x:mergeCell ref="E526:E527"/>
    <x:mergeCell ref="R526:R527"/>
    <x:mergeCell ref="S526:S527"/>
    <x:mergeCell ref="A528:A529"/>
    <x:mergeCell ref="B528:B529"/>
    <x:mergeCell ref="E528:E529"/>
    <x:mergeCell ref="R528:R529"/>
    <x:mergeCell ref="S528:S529"/>
    <x:mergeCell ref="A530:A531"/>
    <x:mergeCell ref="B530:B531"/>
    <x:mergeCell ref="E530:E531"/>
    <x:mergeCell ref="R530:R531"/>
    <x:mergeCell ref="S530:S531"/>
    <x:mergeCell ref="A532:A533"/>
    <x:mergeCell ref="B532:B533"/>
    <x:mergeCell ref="E532:E533"/>
    <x:mergeCell ref="R532:R533"/>
    <x:mergeCell ref="S532:S533"/>
    <x:mergeCell ref="A534:A535"/>
    <x:mergeCell ref="B534:B535"/>
    <x:mergeCell ref="E534:E535"/>
    <x:mergeCell ref="R534:R535"/>
    <x:mergeCell ref="S534:S535"/>
    <x:mergeCell ref="A536:A537"/>
    <x:mergeCell ref="B536:B537"/>
    <x:mergeCell ref="E536:E537"/>
    <x:mergeCell ref="R536:R537"/>
    <x:mergeCell ref="S536:S537"/>
    <x:mergeCell ref="A538:A539"/>
    <x:mergeCell ref="B538:B539"/>
    <x:mergeCell ref="E538:E539"/>
    <x:mergeCell ref="R538:R539"/>
    <x:mergeCell ref="S538:S539"/>
    <x:mergeCell ref="A540:A541"/>
    <x:mergeCell ref="B540:B541"/>
    <x:mergeCell ref="E540:E541"/>
    <x:mergeCell ref="R540:R541"/>
    <x:mergeCell ref="S540:S541"/>
    <x:mergeCell ref="A542:A543"/>
    <x:mergeCell ref="B542:B543"/>
    <x:mergeCell ref="E542:E543"/>
    <x:mergeCell ref="R542:R543"/>
    <x:mergeCell ref="S542:S543"/>
    <x:mergeCell ref="A544:A545"/>
    <x:mergeCell ref="B544:B545"/>
    <x:mergeCell ref="E544:E545"/>
    <x:mergeCell ref="R544:R545"/>
    <x:mergeCell ref="S544:S545"/>
    <x:mergeCell ref="A546:A547"/>
    <x:mergeCell ref="B546:B547"/>
    <x:mergeCell ref="E546:E547"/>
    <x:mergeCell ref="R546:R547"/>
    <x:mergeCell ref="S546:S547"/>
    <x:mergeCell ref="A548:S548"/>
    <x:mergeCell ref="A549:A550"/>
    <x:mergeCell ref="B549:B550"/>
    <x:mergeCell ref="E549:E550"/>
    <x:mergeCell ref="R549:R550"/>
    <x:mergeCell ref="S549:S550"/>
    <x:mergeCell ref="A551:A552"/>
    <x:mergeCell ref="B551:B552"/>
    <x:mergeCell ref="E551:E552"/>
    <x:mergeCell ref="R551:R552"/>
    <x:mergeCell ref="S551:S552"/>
    <x:mergeCell ref="A553:A554"/>
    <x:mergeCell ref="B553:B554"/>
    <x:mergeCell ref="E553:E554"/>
    <x:mergeCell ref="R553:R554"/>
    <x:mergeCell ref="S553:S554"/>
    <x:mergeCell ref="A555:A556"/>
    <x:mergeCell ref="B555:B556"/>
    <x:mergeCell ref="E555:E556"/>
    <x:mergeCell ref="R555:R556"/>
    <x:mergeCell ref="S555:S556"/>
    <x:mergeCell ref="A557:A558"/>
    <x:mergeCell ref="B557:B558"/>
    <x:mergeCell ref="E557:E558"/>
    <x:mergeCell ref="R557:R558"/>
    <x:mergeCell ref="S557:S558"/>
    <x:mergeCell ref="A559:A560"/>
    <x:mergeCell ref="B559:B560"/>
    <x:mergeCell ref="E559:E560"/>
    <x:mergeCell ref="R559:R560"/>
    <x:mergeCell ref="S559:S560"/>
    <x:mergeCell ref="A561:A562"/>
    <x:mergeCell ref="B561:B562"/>
    <x:mergeCell ref="E561:E562"/>
    <x:mergeCell ref="R561:R562"/>
    <x:mergeCell ref="S561:S562"/>
    <x:mergeCell ref="A563:A564"/>
    <x:mergeCell ref="B563:B564"/>
    <x:mergeCell ref="E563:E564"/>
    <x:mergeCell ref="R563:R564"/>
    <x:mergeCell ref="S563:S564"/>
    <x:mergeCell ref="A565:A566"/>
    <x:mergeCell ref="B565:B566"/>
    <x:mergeCell ref="E565:E566"/>
    <x:mergeCell ref="R565:R566"/>
    <x:mergeCell ref="S565:S566"/>
    <x:mergeCell ref="A567:A568"/>
    <x:mergeCell ref="B567:B568"/>
    <x:mergeCell ref="E567:E568"/>
    <x:mergeCell ref="R567:R568"/>
    <x:mergeCell ref="S567:S568"/>
    <x:mergeCell ref="A569:A570"/>
    <x:mergeCell ref="B569:B570"/>
    <x:mergeCell ref="E569:E570"/>
    <x:mergeCell ref="R569:R570"/>
    <x:mergeCell ref="S569:S570"/>
    <x:mergeCell ref="A571:A572"/>
    <x:mergeCell ref="B571:B572"/>
    <x:mergeCell ref="E571:E572"/>
    <x:mergeCell ref="R571:R572"/>
    <x:mergeCell ref="S571:S572"/>
    <x:mergeCell ref="A573:A574"/>
    <x:mergeCell ref="B573:B574"/>
    <x:mergeCell ref="E573:E574"/>
    <x:mergeCell ref="R573:R574"/>
    <x:mergeCell ref="S573:S574"/>
    <x:mergeCell ref="A575:A576"/>
    <x:mergeCell ref="B575:B576"/>
    <x:mergeCell ref="E575:E576"/>
    <x:mergeCell ref="R575:R576"/>
    <x:mergeCell ref="S575:S576"/>
    <x:mergeCell ref="A577:A578"/>
    <x:mergeCell ref="B577:B578"/>
    <x:mergeCell ref="E577:E578"/>
    <x:mergeCell ref="R577:R578"/>
    <x:mergeCell ref="S577:S578"/>
    <x:mergeCell ref="A579:A580"/>
    <x:mergeCell ref="B579:B580"/>
    <x:mergeCell ref="E579:E580"/>
    <x:mergeCell ref="R579:R580"/>
    <x:mergeCell ref="S579:S580"/>
    <x:mergeCell ref="A581:A582"/>
    <x:mergeCell ref="B581:B582"/>
    <x:mergeCell ref="E581:E582"/>
    <x:mergeCell ref="R581:R582"/>
    <x:mergeCell ref="S581:S582"/>
    <x:mergeCell ref="A583:A584"/>
    <x:mergeCell ref="B583:B584"/>
    <x:mergeCell ref="E583:E584"/>
    <x:mergeCell ref="R583:R584"/>
    <x:mergeCell ref="S583:S584"/>
    <x:mergeCell ref="A585:A586"/>
    <x:mergeCell ref="B585:B586"/>
    <x:mergeCell ref="E585:E586"/>
    <x:mergeCell ref="R585:R586"/>
    <x:mergeCell ref="S585:S586"/>
    <x:mergeCell ref="A587:S587"/>
    <x:mergeCell ref="A588:A589"/>
    <x:mergeCell ref="B588:B589"/>
    <x:mergeCell ref="E588:E589"/>
    <x:mergeCell ref="R588:R589"/>
    <x:mergeCell ref="S588:S589"/>
    <x:mergeCell ref="A590:A591"/>
    <x:mergeCell ref="B590:B591"/>
    <x:mergeCell ref="E590:E591"/>
    <x:mergeCell ref="R590:R591"/>
    <x:mergeCell ref="S590:S591"/>
    <x:mergeCell ref="A592:A593"/>
    <x:mergeCell ref="B592:B593"/>
    <x:mergeCell ref="E592:E593"/>
    <x:mergeCell ref="R592:R593"/>
    <x:mergeCell ref="S592:S593"/>
    <x:mergeCell ref="A594:A595"/>
    <x:mergeCell ref="B594:B595"/>
    <x:mergeCell ref="E594:E595"/>
    <x:mergeCell ref="R594:R595"/>
    <x:mergeCell ref="S594:S595"/>
    <x:mergeCell ref="A596:A597"/>
    <x:mergeCell ref="B596:B597"/>
    <x:mergeCell ref="E596:E597"/>
    <x:mergeCell ref="R596:R597"/>
    <x:mergeCell ref="S596:S597"/>
    <x:mergeCell ref="A598:A599"/>
    <x:mergeCell ref="B598:B599"/>
    <x:mergeCell ref="E598:E599"/>
    <x:mergeCell ref="R598:R599"/>
    <x:mergeCell ref="S598:S599"/>
    <x:mergeCell ref="A600:A601"/>
    <x:mergeCell ref="B600:B601"/>
    <x:mergeCell ref="E600:E601"/>
    <x:mergeCell ref="R600:R601"/>
    <x:mergeCell ref="S600:S601"/>
    <x:mergeCell ref="A602:A603"/>
    <x:mergeCell ref="B602:B603"/>
    <x:mergeCell ref="E602:E603"/>
    <x:mergeCell ref="R602:R603"/>
    <x:mergeCell ref="S602:S603"/>
    <x:mergeCell ref="A604:A605"/>
    <x:mergeCell ref="B604:B605"/>
    <x:mergeCell ref="E604:E605"/>
    <x:mergeCell ref="R604:R605"/>
    <x:mergeCell ref="S604:S605"/>
    <x:mergeCell ref="A606:A607"/>
    <x:mergeCell ref="B606:B607"/>
    <x:mergeCell ref="E606:E607"/>
    <x:mergeCell ref="R606:R607"/>
    <x:mergeCell ref="S606:S607"/>
    <x:mergeCell ref="A608:A609"/>
    <x:mergeCell ref="B608:B609"/>
    <x:mergeCell ref="E608:E609"/>
    <x:mergeCell ref="R608:R609"/>
    <x:mergeCell ref="S608:S609"/>
    <x:mergeCell ref="A610:A611"/>
    <x:mergeCell ref="B610:B611"/>
    <x:mergeCell ref="E610:E611"/>
    <x:mergeCell ref="R610:R611"/>
    <x:mergeCell ref="S610:S611"/>
    <x:mergeCell ref="A612:A613"/>
    <x:mergeCell ref="B612:B613"/>
    <x:mergeCell ref="E612:E613"/>
    <x:mergeCell ref="R612:R613"/>
    <x:mergeCell ref="S612:S613"/>
    <x:mergeCell ref="A614:A615"/>
    <x:mergeCell ref="B614:B615"/>
    <x:mergeCell ref="E614:E615"/>
    <x:mergeCell ref="R614:R615"/>
    <x:mergeCell ref="S614:S615"/>
    <x:mergeCell ref="A616:A617"/>
    <x:mergeCell ref="B616:B617"/>
    <x:mergeCell ref="E616:E617"/>
    <x:mergeCell ref="R616:R617"/>
    <x:mergeCell ref="S616:S617"/>
    <x:mergeCell ref="A618:S618"/>
    <x:mergeCell ref="A619:A620"/>
    <x:mergeCell ref="B619:B620"/>
    <x:mergeCell ref="E619:E620"/>
    <x:mergeCell ref="R619:R620"/>
    <x:mergeCell ref="S619:S620"/>
    <x:mergeCell ref="A621:A622"/>
    <x:mergeCell ref="B621:B622"/>
    <x:mergeCell ref="E621:E622"/>
    <x:mergeCell ref="R621:R622"/>
    <x:mergeCell ref="S621:S622"/>
    <x:mergeCell ref="A623:A624"/>
    <x:mergeCell ref="B623:B624"/>
    <x:mergeCell ref="E623:E624"/>
    <x:mergeCell ref="R623:R624"/>
    <x:mergeCell ref="S623:S624"/>
    <x:mergeCell ref="A625:A626"/>
    <x:mergeCell ref="B625:B626"/>
    <x:mergeCell ref="E625:E626"/>
    <x:mergeCell ref="R625:R626"/>
    <x:mergeCell ref="S625:S626"/>
    <x:mergeCell ref="A627:A628"/>
    <x:mergeCell ref="B627:B628"/>
    <x:mergeCell ref="E627:E628"/>
    <x:mergeCell ref="R627:R628"/>
    <x:mergeCell ref="S627:S628"/>
    <x:mergeCell ref="A629:A630"/>
    <x:mergeCell ref="B629:B630"/>
    <x:mergeCell ref="E629:E630"/>
    <x:mergeCell ref="R629:R630"/>
    <x:mergeCell ref="S629:S630"/>
    <x:mergeCell ref="A631:A632"/>
    <x:mergeCell ref="B631:B632"/>
    <x:mergeCell ref="E631:E632"/>
    <x:mergeCell ref="R631:R632"/>
    <x:mergeCell ref="S631:S632"/>
    <x:mergeCell ref="A633:A634"/>
    <x:mergeCell ref="B633:B634"/>
    <x:mergeCell ref="E633:E634"/>
    <x:mergeCell ref="R633:R634"/>
    <x:mergeCell ref="S633:S634"/>
    <x:mergeCell ref="A635:A636"/>
    <x:mergeCell ref="B635:B636"/>
    <x:mergeCell ref="E635:E636"/>
    <x:mergeCell ref="R635:R636"/>
    <x:mergeCell ref="S635:S636"/>
    <x:mergeCell ref="A637:A638"/>
    <x:mergeCell ref="B637:B638"/>
    <x:mergeCell ref="E637:E638"/>
    <x:mergeCell ref="R637:R638"/>
    <x:mergeCell ref="S637:S638"/>
    <x:mergeCell ref="A639:A640"/>
    <x:mergeCell ref="B639:B640"/>
    <x:mergeCell ref="E639:E640"/>
    <x:mergeCell ref="R639:R640"/>
    <x:mergeCell ref="S639:S640"/>
    <x:mergeCell ref="A641:A642"/>
    <x:mergeCell ref="B641:B642"/>
    <x:mergeCell ref="E641:E642"/>
    <x:mergeCell ref="R641:R642"/>
    <x:mergeCell ref="S641:S642"/>
    <x:mergeCell ref="A643:S643"/>
    <x:mergeCell ref="A644:A645"/>
    <x:mergeCell ref="B644:B645"/>
    <x:mergeCell ref="E644:E645"/>
    <x:mergeCell ref="R644:R645"/>
    <x:mergeCell ref="S644:S645"/>
    <x:mergeCell ref="A646:A647"/>
    <x:mergeCell ref="B646:B647"/>
    <x:mergeCell ref="E646:E647"/>
    <x:mergeCell ref="R646:R647"/>
    <x:mergeCell ref="S646:S647"/>
    <x:mergeCell ref="A648:A649"/>
    <x:mergeCell ref="B648:B649"/>
    <x:mergeCell ref="E648:E649"/>
    <x:mergeCell ref="R648:R649"/>
    <x:mergeCell ref="S648:S649"/>
    <x:mergeCell ref="A650:A651"/>
    <x:mergeCell ref="B650:B651"/>
    <x:mergeCell ref="E650:E651"/>
    <x:mergeCell ref="R650:R651"/>
    <x:mergeCell ref="S650:S651"/>
    <x:mergeCell ref="A652:A653"/>
    <x:mergeCell ref="B652:B653"/>
    <x:mergeCell ref="E652:E653"/>
    <x:mergeCell ref="R652:R653"/>
    <x:mergeCell ref="S652:S653"/>
    <x:mergeCell ref="A654:A655"/>
    <x:mergeCell ref="B654:B655"/>
    <x:mergeCell ref="E654:E655"/>
    <x:mergeCell ref="R654:R655"/>
    <x:mergeCell ref="S654:S655"/>
    <x:mergeCell ref="A656:A657"/>
    <x:mergeCell ref="B656:B657"/>
    <x:mergeCell ref="E656:E657"/>
    <x:mergeCell ref="R656:R657"/>
    <x:mergeCell ref="S656:S657"/>
    <x:mergeCell ref="A658:A659"/>
    <x:mergeCell ref="B658:B659"/>
    <x:mergeCell ref="E658:E659"/>
    <x:mergeCell ref="R658:R659"/>
    <x:mergeCell ref="S658:S659"/>
    <x:mergeCell ref="A660:A661"/>
    <x:mergeCell ref="B660:B661"/>
    <x:mergeCell ref="E660:E661"/>
    <x:mergeCell ref="R660:R661"/>
    <x:mergeCell ref="S660:S661"/>
    <x:mergeCell ref="A662:A663"/>
    <x:mergeCell ref="B662:B663"/>
    <x:mergeCell ref="E662:E663"/>
    <x:mergeCell ref="R662:R663"/>
    <x:mergeCell ref="S662:S663"/>
    <x:mergeCell ref="A664:A665"/>
    <x:mergeCell ref="B664:B665"/>
    <x:mergeCell ref="E664:E665"/>
    <x:mergeCell ref="R664:R665"/>
    <x:mergeCell ref="S664:S665"/>
    <x:mergeCell ref="A666:A667"/>
    <x:mergeCell ref="B666:B667"/>
    <x:mergeCell ref="E666:E667"/>
    <x:mergeCell ref="R666:R667"/>
    <x:mergeCell ref="S666:S667"/>
    <x:mergeCell ref="A668:A669"/>
    <x:mergeCell ref="B668:B669"/>
    <x:mergeCell ref="E668:E669"/>
    <x:mergeCell ref="R668:R669"/>
    <x:mergeCell ref="S668:S669"/>
    <x:mergeCell ref="A670:A671"/>
    <x:mergeCell ref="B670:B671"/>
    <x:mergeCell ref="E670:E671"/>
    <x:mergeCell ref="R670:R671"/>
    <x:mergeCell ref="S670:S671"/>
    <x:mergeCell ref="A672:A673"/>
    <x:mergeCell ref="B672:B673"/>
    <x:mergeCell ref="E672:E673"/>
    <x:mergeCell ref="R672:R673"/>
    <x:mergeCell ref="S672:S673"/>
    <x:mergeCell ref="A674:A675"/>
    <x:mergeCell ref="B674:B675"/>
    <x:mergeCell ref="E674:E675"/>
    <x:mergeCell ref="R674:R675"/>
    <x:mergeCell ref="S674:S675"/>
    <x:mergeCell ref="A676:S676"/>
    <x:mergeCell ref="A677:A678"/>
    <x:mergeCell ref="B677:B678"/>
    <x:mergeCell ref="E677:E678"/>
    <x:mergeCell ref="R677:R678"/>
    <x:mergeCell ref="S677:S678"/>
    <x:mergeCell ref="A679:A680"/>
    <x:mergeCell ref="B679:B680"/>
    <x:mergeCell ref="E679:E680"/>
    <x:mergeCell ref="R679:R680"/>
    <x:mergeCell ref="S679:S680"/>
    <x:mergeCell ref="A681:A682"/>
    <x:mergeCell ref="B681:B682"/>
    <x:mergeCell ref="E681:E682"/>
    <x:mergeCell ref="R681:R682"/>
    <x:mergeCell ref="S681:S682"/>
    <x:mergeCell ref="A683:A684"/>
    <x:mergeCell ref="B683:B684"/>
    <x:mergeCell ref="E683:E684"/>
    <x:mergeCell ref="R683:R684"/>
    <x:mergeCell ref="S683:S684"/>
    <x:mergeCell ref="A685:A686"/>
    <x:mergeCell ref="B685:B686"/>
    <x:mergeCell ref="E685:E686"/>
    <x:mergeCell ref="R685:R686"/>
    <x:mergeCell ref="S685:S686"/>
    <x:mergeCell ref="A687:A688"/>
    <x:mergeCell ref="B687:B688"/>
    <x:mergeCell ref="E687:E688"/>
    <x:mergeCell ref="R687:R688"/>
    <x:mergeCell ref="S687:S688"/>
    <x:mergeCell ref="A689:A690"/>
    <x:mergeCell ref="B689:B690"/>
    <x:mergeCell ref="E689:E690"/>
    <x:mergeCell ref="R689:R690"/>
    <x:mergeCell ref="S689:S690"/>
    <x:mergeCell ref="A691:A692"/>
    <x:mergeCell ref="B691:B692"/>
    <x:mergeCell ref="E691:E692"/>
    <x:mergeCell ref="R691:R692"/>
    <x:mergeCell ref="S691:S692"/>
    <x:mergeCell ref="A693:A694"/>
    <x:mergeCell ref="B693:B694"/>
    <x:mergeCell ref="E693:E694"/>
    <x:mergeCell ref="R693:R694"/>
    <x:mergeCell ref="S693:S694"/>
    <x:mergeCell ref="A695:A696"/>
    <x:mergeCell ref="B695:B696"/>
    <x:mergeCell ref="E695:E696"/>
    <x:mergeCell ref="R695:R696"/>
    <x:mergeCell ref="S695:S696"/>
    <x:mergeCell ref="A697:A698"/>
    <x:mergeCell ref="B697:B698"/>
    <x:mergeCell ref="E697:E698"/>
    <x:mergeCell ref="R697:R698"/>
    <x:mergeCell ref="S697:S698"/>
    <x:mergeCell ref="A699:A700"/>
    <x:mergeCell ref="B699:B700"/>
    <x:mergeCell ref="E699:E700"/>
    <x:mergeCell ref="R699:R700"/>
    <x:mergeCell ref="S699:S700"/>
    <x:mergeCell ref="A701:A702"/>
    <x:mergeCell ref="B701:B702"/>
    <x:mergeCell ref="E701:E702"/>
    <x:mergeCell ref="R701:R702"/>
    <x:mergeCell ref="S701:S702"/>
    <x:mergeCell ref="A703:A704"/>
    <x:mergeCell ref="B703:B704"/>
    <x:mergeCell ref="E703:E704"/>
    <x:mergeCell ref="R703:R704"/>
    <x:mergeCell ref="S703:S704"/>
    <x:mergeCell ref="A705:A706"/>
    <x:mergeCell ref="B705:B706"/>
    <x:mergeCell ref="E705:E706"/>
    <x:mergeCell ref="R705:R706"/>
    <x:mergeCell ref="S705:S706"/>
    <x:mergeCell ref="A707:A708"/>
    <x:mergeCell ref="B707:B708"/>
    <x:mergeCell ref="E707:E708"/>
    <x:mergeCell ref="R707:R708"/>
    <x:mergeCell ref="S707:S708"/>
    <x:mergeCell ref="A709:S709"/>
    <x:mergeCell ref="A710:A711"/>
    <x:mergeCell ref="B710:B711"/>
    <x:mergeCell ref="E710:E711"/>
    <x:mergeCell ref="R710:R711"/>
    <x:mergeCell ref="S710:S711"/>
    <x:mergeCell ref="A712:A713"/>
    <x:mergeCell ref="B712:B713"/>
    <x:mergeCell ref="E712:E713"/>
    <x:mergeCell ref="R712:R713"/>
    <x:mergeCell ref="S712:S713"/>
    <x:mergeCell ref="A714:A715"/>
    <x:mergeCell ref="B714:B715"/>
    <x:mergeCell ref="E714:E715"/>
    <x:mergeCell ref="R714:R715"/>
    <x:mergeCell ref="S714:S715"/>
    <x:mergeCell ref="A716:A717"/>
    <x:mergeCell ref="B716:B717"/>
    <x:mergeCell ref="E716:E717"/>
    <x:mergeCell ref="R716:R717"/>
    <x:mergeCell ref="S716:S717"/>
    <x:mergeCell ref="A718:A719"/>
    <x:mergeCell ref="B718:B719"/>
    <x:mergeCell ref="E718:E719"/>
    <x:mergeCell ref="R718:R719"/>
    <x:mergeCell ref="S718:S719"/>
    <x:mergeCell ref="A720:A721"/>
    <x:mergeCell ref="B720:B721"/>
    <x:mergeCell ref="E720:E721"/>
    <x:mergeCell ref="R720:R721"/>
    <x:mergeCell ref="S720:S721"/>
    <x:mergeCell ref="A722:A723"/>
    <x:mergeCell ref="B722:B723"/>
    <x:mergeCell ref="E722:E723"/>
    <x:mergeCell ref="R722:R723"/>
    <x:mergeCell ref="S722:S723"/>
    <x:mergeCell ref="A724:A725"/>
    <x:mergeCell ref="B724:B725"/>
    <x:mergeCell ref="E724:E725"/>
    <x:mergeCell ref="R724:R725"/>
    <x:mergeCell ref="S724:S725"/>
    <x:mergeCell ref="A726:S726"/>
    <x:mergeCell ref="A727:A728"/>
    <x:mergeCell ref="B727:B728"/>
    <x:mergeCell ref="E727:E728"/>
    <x:mergeCell ref="R727:R728"/>
    <x:mergeCell ref="S727:S728"/>
    <x:mergeCell ref="A729:A730"/>
    <x:mergeCell ref="B729:B730"/>
    <x:mergeCell ref="E729:E730"/>
    <x:mergeCell ref="R729:R730"/>
    <x:mergeCell ref="S729:S730"/>
    <x:mergeCell ref="A731:A732"/>
    <x:mergeCell ref="B731:B732"/>
    <x:mergeCell ref="E731:E732"/>
    <x:mergeCell ref="R731:R732"/>
    <x:mergeCell ref="S731:S732"/>
    <x:mergeCell ref="A733:A734"/>
    <x:mergeCell ref="B733:B734"/>
    <x:mergeCell ref="E733:E734"/>
    <x:mergeCell ref="R733:R734"/>
    <x:mergeCell ref="S733:S734"/>
    <x:mergeCell ref="A735:A736"/>
    <x:mergeCell ref="B735:B736"/>
    <x:mergeCell ref="E735:E736"/>
    <x:mergeCell ref="R735:R736"/>
    <x:mergeCell ref="S735:S736"/>
    <x:mergeCell ref="A737:A738"/>
    <x:mergeCell ref="B737:B738"/>
    <x:mergeCell ref="E737:E738"/>
    <x:mergeCell ref="R737:R738"/>
    <x:mergeCell ref="S737:S738"/>
    <x:mergeCell ref="A739:A740"/>
    <x:mergeCell ref="B739:B740"/>
    <x:mergeCell ref="E739:E740"/>
    <x:mergeCell ref="R739:R740"/>
    <x:mergeCell ref="S739:S740"/>
    <x:mergeCell ref="A741:A742"/>
    <x:mergeCell ref="B741:B742"/>
    <x:mergeCell ref="E741:E742"/>
    <x:mergeCell ref="R741:R742"/>
    <x:mergeCell ref="S741:S742"/>
    <x:mergeCell ref="A743:A744"/>
    <x:mergeCell ref="B743:B744"/>
    <x:mergeCell ref="E743:E744"/>
    <x:mergeCell ref="R743:R744"/>
    <x:mergeCell ref="S743:S744"/>
    <x:mergeCell ref="A745:A746"/>
    <x:mergeCell ref="B745:B746"/>
    <x:mergeCell ref="E745:E746"/>
    <x:mergeCell ref="R745:R746"/>
    <x:mergeCell ref="S745:S746"/>
    <x:mergeCell ref="A747:A748"/>
    <x:mergeCell ref="B747:B748"/>
    <x:mergeCell ref="E747:E748"/>
    <x:mergeCell ref="R747:R748"/>
    <x:mergeCell ref="S747:S748"/>
    <x:mergeCell ref="A749:A750"/>
    <x:mergeCell ref="B749:B750"/>
    <x:mergeCell ref="E749:E750"/>
    <x:mergeCell ref="R749:R750"/>
    <x:mergeCell ref="S749:S750"/>
    <x:mergeCell ref="A751:A752"/>
    <x:mergeCell ref="B751:B752"/>
    <x:mergeCell ref="E751:E752"/>
    <x:mergeCell ref="R751:R752"/>
    <x:mergeCell ref="S751:S752"/>
    <x:mergeCell ref="A753:A754"/>
    <x:mergeCell ref="B753:B754"/>
    <x:mergeCell ref="E753:E754"/>
    <x:mergeCell ref="R753:R754"/>
    <x:mergeCell ref="S753:S754"/>
    <x:mergeCell ref="A755:A756"/>
    <x:mergeCell ref="B755:B756"/>
    <x:mergeCell ref="E755:E756"/>
    <x:mergeCell ref="R755:R756"/>
    <x:mergeCell ref="S755:S756"/>
    <x:mergeCell ref="A757:S757"/>
    <x:mergeCell ref="A758:A759"/>
    <x:mergeCell ref="B758:B759"/>
    <x:mergeCell ref="E758:E759"/>
    <x:mergeCell ref="R758:R759"/>
    <x:mergeCell ref="S758:S759"/>
    <x:mergeCell ref="A760:A761"/>
    <x:mergeCell ref="B760:B761"/>
    <x:mergeCell ref="E760:E761"/>
    <x:mergeCell ref="R760:R761"/>
    <x:mergeCell ref="S760:S761"/>
    <x:mergeCell ref="A762:A763"/>
    <x:mergeCell ref="B762:B763"/>
    <x:mergeCell ref="E762:E763"/>
    <x:mergeCell ref="R762:R763"/>
    <x:mergeCell ref="S762:S763"/>
    <x:mergeCell ref="A764:A765"/>
    <x:mergeCell ref="B764:B765"/>
    <x:mergeCell ref="E764:E765"/>
    <x:mergeCell ref="R764:R765"/>
    <x:mergeCell ref="S764:S765"/>
    <x:mergeCell ref="A766:A767"/>
    <x:mergeCell ref="B766:B767"/>
    <x:mergeCell ref="E766:E767"/>
    <x:mergeCell ref="R766:R767"/>
    <x:mergeCell ref="S766:S767"/>
    <x:mergeCell ref="A768:A769"/>
    <x:mergeCell ref="B768:B769"/>
    <x:mergeCell ref="E768:E769"/>
    <x:mergeCell ref="R768:R769"/>
    <x:mergeCell ref="S768:S769"/>
    <x:mergeCell ref="A770:A771"/>
    <x:mergeCell ref="B770:B771"/>
    <x:mergeCell ref="E770:E771"/>
    <x:mergeCell ref="R770:R771"/>
    <x:mergeCell ref="S770:S771"/>
    <x:mergeCell ref="A772:A773"/>
    <x:mergeCell ref="B772:B773"/>
    <x:mergeCell ref="E772:E773"/>
    <x:mergeCell ref="R772:R773"/>
    <x:mergeCell ref="S772:S773"/>
    <x:mergeCell ref="A774:A775"/>
    <x:mergeCell ref="B774:B775"/>
    <x:mergeCell ref="E774:E775"/>
    <x:mergeCell ref="R774:R775"/>
    <x:mergeCell ref="S774:S775"/>
    <x:mergeCell ref="A776:A777"/>
    <x:mergeCell ref="B776:B777"/>
    <x:mergeCell ref="E776:E777"/>
    <x:mergeCell ref="R776:R777"/>
    <x:mergeCell ref="S776:S777"/>
    <x:mergeCell ref="A778:A779"/>
    <x:mergeCell ref="B778:B779"/>
    <x:mergeCell ref="E778:E779"/>
    <x:mergeCell ref="R778:R779"/>
    <x:mergeCell ref="S778:S779"/>
    <x:mergeCell ref="A780:A781"/>
    <x:mergeCell ref="B780:B781"/>
    <x:mergeCell ref="E780:E781"/>
    <x:mergeCell ref="R780:R781"/>
    <x:mergeCell ref="S780:S781"/>
    <x:mergeCell ref="A782:A783"/>
    <x:mergeCell ref="B782:B783"/>
    <x:mergeCell ref="E782:E783"/>
    <x:mergeCell ref="R782:R783"/>
    <x:mergeCell ref="S782:S783"/>
    <x:mergeCell ref="A784:A785"/>
    <x:mergeCell ref="B784:B785"/>
    <x:mergeCell ref="E784:E785"/>
    <x:mergeCell ref="R784:R785"/>
    <x:mergeCell ref="S784:S785"/>
    <x:mergeCell ref="A786:A787"/>
    <x:mergeCell ref="B786:B787"/>
    <x:mergeCell ref="E786:E787"/>
    <x:mergeCell ref="R786:R787"/>
    <x:mergeCell ref="S786:S787"/>
    <x:mergeCell ref="A788:A789"/>
    <x:mergeCell ref="B788:B789"/>
    <x:mergeCell ref="E788:E789"/>
    <x:mergeCell ref="R788:R789"/>
    <x:mergeCell ref="S788:S789"/>
    <x:mergeCell ref="A790:A791"/>
    <x:mergeCell ref="B790:B791"/>
    <x:mergeCell ref="E790:E791"/>
    <x:mergeCell ref="R790:R791"/>
    <x:mergeCell ref="S790:S791"/>
    <x:mergeCell ref="A792:A793"/>
    <x:mergeCell ref="B792:B793"/>
    <x:mergeCell ref="E792:E793"/>
    <x:mergeCell ref="R792:R793"/>
    <x:mergeCell ref="S792:S793"/>
    <x:mergeCell ref="A794:S794"/>
    <x:mergeCell ref="A795:A796"/>
    <x:mergeCell ref="B795:B796"/>
    <x:mergeCell ref="E795:E796"/>
    <x:mergeCell ref="R795:R796"/>
    <x:mergeCell ref="S795:S796"/>
    <x:mergeCell ref="A797:A798"/>
    <x:mergeCell ref="B797:B798"/>
    <x:mergeCell ref="E797:E798"/>
    <x:mergeCell ref="R797:R798"/>
    <x:mergeCell ref="S797:S798"/>
    <x:mergeCell ref="A799:A800"/>
    <x:mergeCell ref="B799:B800"/>
    <x:mergeCell ref="E799:E800"/>
    <x:mergeCell ref="R799:R800"/>
    <x:mergeCell ref="S799:S800"/>
    <x:mergeCell ref="A801:A802"/>
    <x:mergeCell ref="B801:B802"/>
    <x:mergeCell ref="E801:E802"/>
    <x:mergeCell ref="R801:R802"/>
    <x:mergeCell ref="S801:S802"/>
    <x:mergeCell ref="A803:A804"/>
    <x:mergeCell ref="B803:B804"/>
    <x:mergeCell ref="E803:E804"/>
    <x:mergeCell ref="R803:R804"/>
    <x:mergeCell ref="S803:S804"/>
    <x:mergeCell ref="A805:A806"/>
    <x:mergeCell ref="B805:B806"/>
    <x:mergeCell ref="E805:E806"/>
    <x:mergeCell ref="R805:R806"/>
    <x:mergeCell ref="S805:S806"/>
    <x:mergeCell ref="A807:A808"/>
    <x:mergeCell ref="B807:B808"/>
    <x:mergeCell ref="E807:E808"/>
    <x:mergeCell ref="R807:R808"/>
    <x:mergeCell ref="S807:S808"/>
    <x:mergeCell ref="A809:A810"/>
    <x:mergeCell ref="B809:B810"/>
    <x:mergeCell ref="E809:E810"/>
    <x:mergeCell ref="R809:R810"/>
    <x:mergeCell ref="S809:S810"/>
    <x:mergeCell ref="A811:A812"/>
    <x:mergeCell ref="B811:B812"/>
    <x:mergeCell ref="E811:E812"/>
    <x:mergeCell ref="R811:R812"/>
    <x:mergeCell ref="S811:S812"/>
    <x:mergeCell ref="A813:A814"/>
    <x:mergeCell ref="B813:B814"/>
    <x:mergeCell ref="E813:E814"/>
    <x:mergeCell ref="R813:R814"/>
    <x:mergeCell ref="S813:S814"/>
    <x:mergeCell ref="A815:A816"/>
    <x:mergeCell ref="B815:B816"/>
    <x:mergeCell ref="E815:E816"/>
    <x:mergeCell ref="R815:R816"/>
    <x:mergeCell ref="S815:S816"/>
    <x:mergeCell ref="A817:A818"/>
    <x:mergeCell ref="B817:B818"/>
    <x:mergeCell ref="E817:E818"/>
    <x:mergeCell ref="R817:R818"/>
    <x:mergeCell ref="S817:S818"/>
    <x:mergeCell ref="A819:S819"/>
    <x:mergeCell ref="A820:A821"/>
    <x:mergeCell ref="B820:B821"/>
    <x:mergeCell ref="E820:E821"/>
    <x:mergeCell ref="R820:R821"/>
    <x:mergeCell ref="S820:S821"/>
    <x:mergeCell ref="A822:A823"/>
    <x:mergeCell ref="B822:B823"/>
    <x:mergeCell ref="E822:E823"/>
    <x:mergeCell ref="R822:R823"/>
    <x:mergeCell ref="S822:S823"/>
    <x:mergeCell ref="A824:A825"/>
    <x:mergeCell ref="B824:B825"/>
    <x:mergeCell ref="E824:E825"/>
    <x:mergeCell ref="R824:R825"/>
    <x:mergeCell ref="S824:S825"/>
    <x:mergeCell ref="A826:A827"/>
    <x:mergeCell ref="B826:B827"/>
    <x:mergeCell ref="E826:E827"/>
    <x:mergeCell ref="R826:R827"/>
    <x:mergeCell ref="S826:S827"/>
    <x:mergeCell ref="A828:A829"/>
    <x:mergeCell ref="B828:B829"/>
    <x:mergeCell ref="E828:E829"/>
    <x:mergeCell ref="R828:R829"/>
    <x:mergeCell ref="S828:S829"/>
    <x:mergeCell ref="A830:A831"/>
    <x:mergeCell ref="B830:B831"/>
    <x:mergeCell ref="E830:E831"/>
    <x:mergeCell ref="R830:R831"/>
    <x:mergeCell ref="S830:S831"/>
    <x:mergeCell ref="A832:A833"/>
    <x:mergeCell ref="B832:B833"/>
    <x:mergeCell ref="E832:E833"/>
    <x:mergeCell ref="R832:R833"/>
    <x:mergeCell ref="S832:S833"/>
    <x:mergeCell ref="A834:A835"/>
    <x:mergeCell ref="B834:B835"/>
    <x:mergeCell ref="E834:E835"/>
    <x:mergeCell ref="R834:R835"/>
    <x:mergeCell ref="S834:S835"/>
    <x:mergeCell ref="A836:A837"/>
    <x:mergeCell ref="B836:B837"/>
    <x:mergeCell ref="E836:E837"/>
    <x:mergeCell ref="R836:R837"/>
    <x:mergeCell ref="S836:S837"/>
    <x:mergeCell ref="A838:A839"/>
    <x:mergeCell ref="B838:B839"/>
    <x:mergeCell ref="E838:E839"/>
    <x:mergeCell ref="R838:R839"/>
    <x:mergeCell ref="S838:S839"/>
    <x:mergeCell ref="A840:A841"/>
    <x:mergeCell ref="B840:B841"/>
    <x:mergeCell ref="E840:E841"/>
    <x:mergeCell ref="R840:R841"/>
    <x:mergeCell ref="S840:S841"/>
    <x:mergeCell ref="A842:A843"/>
    <x:mergeCell ref="B842:B843"/>
    <x:mergeCell ref="E842:E843"/>
    <x:mergeCell ref="R842:R843"/>
    <x:mergeCell ref="S842:S843"/>
    <x:mergeCell ref="A844:A845"/>
    <x:mergeCell ref="B844:B845"/>
    <x:mergeCell ref="E844:E845"/>
    <x:mergeCell ref="R844:R845"/>
    <x:mergeCell ref="S844:S845"/>
    <x:mergeCell ref="A846:A847"/>
    <x:mergeCell ref="B846:B847"/>
    <x:mergeCell ref="E846:E847"/>
    <x:mergeCell ref="R846:R847"/>
    <x:mergeCell ref="S846:S847"/>
    <x:mergeCell ref="A848:A849"/>
    <x:mergeCell ref="B848:B849"/>
    <x:mergeCell ref="E848:E849"/>
    <x:mergeCell ref="R848:R849"/>
    <x:mergeCell ref="S848:S849"/>
    <x:mergeCell ref="A850:S850"/>
    <x:mergeCell ref="A851:A852"/>
    <x:mergeCell ref="B851:B852"/>
    <x:mergeCell ref="E851:E852"/>
    <x:mergeCell ref="R851:R852"/>
    <x:mergeCell ref="S851:S852"/>
    <x:mergeCell ref="A853:A854"/>
    <x:mergeCell ref="B853:B854"/>
    <x:mergeCell ref="E853:E854"/>
    <x:mergeCell ref="R853:R854"/>
    <x:mergeCell ref="S853:S854"/>
    <x:mergeCell ref="A855:A856"/>
    <x:mergeCell ref="B855:B856"/>
    <x:mergeCell ref="E855:E856"/>
    <x:mergeCell ref="R855:R856"/>
    <x:mergeCell ref="S855:S856"/>
    <x:mergeCell ref="A857:A858"/>
    <x:mergeCell ref="B857:B858"/>
    <x:mergeCell ref="E857:E858"/>
    <x:mergeCell ref="R857:R858"/>
    <x:mergeCell ref="S857:S858"/>
    <x:mergeCell ref="A859:A860"/>
    <x:mergeCell ref="B859:B860"/>
    <x:mergeCell ref="E859:E860"/>
    <x:mergeCell ref="R859:R860"/>
    <x:mergeCell ref="S859:S860"/>
    <x:mergeCell ref="A861:A862"/>
    <x:mergeCell ref="B861:B862"/>
    <x:mergeCell ref="E861:E862"/>
    <x:mergeCell ref="R861:R862"/>
    <x:mergeCell ref="S861:S862"/>
    <x:mergeCell ref="A863:A864"/>
    <x:mergeCell ref="B863:B864"/>
    <x:mergeCell ref="E863:E864"/>
    <x:mergeCell ref="R863:R864"/>
    <x:mergeCell ref="S863:S864"/>
    <x:mergeCell ref="A865:A866"/>
    <x:mergeCell ref="B865:B866"/>
    <x:mergeCell ref="E865:E866"/>
    <x:mergeCell ref="R865:R866"/>
    <x:mergeCell ref="S865:S866"/>
    <x:mergeCell ref="A867:A868"/>
    <x:mergeCell ref="B867:B868"/>
    <x:mergeCell ref="E867:E868"/>
    <x:mergeCell ref="R867:R868"/>
    <x:mergeCell ref="S867:S868"/>
    <x:mergeCell ref="A869:A870"/>
    <x:mergeCell ref="B869:B870"/>
    <x:mergeCell ref="E869:E870"/>
    <x:mergeCell ref="R869:R870"/>
    <x:mergeCell ref="S869:S870"/>
    <x:mergeCell ref="A871:A872"/>
    <x:mergeCell ref="B871:B872"/>
    <x:mergeCell ref="E871:E872"/>
    <x:mergeCell ref="R871:R872"/>
    <x:mergeCell ref="S871:S872"/>
    <x:mergeCell ref="A873:A874"/>
    <x:mergeCell ref="B873:B874"/>
    <x:mergeCell ref="E873:E874"/>
    <x:mergeCell ref="R873:R874"/>
    <x:mergeCell ref="S873:S874"/>
    <x:mergeCell ref="A875:A876"/>
    <x:mergeCell ref="B875:B876"/>
    <x:mergeCell ref="E875:E876"/>
    <x:mergeCell ref="R875:R876"/>
    <x:mergeCell ref="S875:S876"/>
    <x:mergeCell ref="A877:A878"/>
    <x:mergeCell ref="B877:B878"/>
    <x:mergeCell ref="E877:E878"/>
    <x:mergeCell ref="R877:R878"/>
    <x:mergeCell ref="S877:S878"/>
    <x:mergeCell ref="A879:S879"/>
    <x:mergeCell ref="A880:A881"/>
    <x:mergeCell ref="B880:B881"/>
    <x:mergeCell ref="E880:E881"/>
    <x:mergeCell ref="R880:R881"/>
    <x:mergeCell ref="S880:S881"/>
    <x:mergeCell ref="A882:A883"/>
    <x:mergeCell ref="B882:B883"/>
    <x:mergeCell ref="E882:E883"/>
    <x:mergeCell ref="R882:R883"/>
    <x:mergeCell ref="S882:S883"/>
    <x:mergeCell ref="A884:A885"/>
    <x:mergeCell ref="B884:B885"/>
    <x:mergeCell ref="E884:E885"/>
    <x:mergeCell ref="R884:R885"/>
    <x:mergeCell ref="S884:S885"/>
    <x:mergeCell ref="A886:A887"/>
    <x:mergeCell ref="B886:B887"/>
    <x:mergeCell ref="E886:E887"/>
    <x:mergeCell ref="R886:R887"/>
    <x:mergeCell ref="S886:S887"/>
    <x:mergeCell ref="A888:A889"/>
    <x:mergeCell ref="B888:B889"/>
    <x:mergeCell ref="E888:E889"/>
    <x:mergeCell ref="R888:R889"/>
    <x:mergeCell ref="S888:S889"/>
    <x:mergeCell ref="A890:A891"/>
    <x:mergeCell ref="B890:B891"/>
    <x:mergeCell ref="E890:E891"/>
    <x:mergeCell ref="R890:R891"/>
    <x:mergeCell ref="S890:S891"/>
    <x:mergeCell ref="A892:A893"/>
    <x:mergeCell ref="B892:B893"/>
    <x:mergeCell ref="E892:E893"/>
    <x:mergeCell ref="R892:R893"/>
    <x:mergeCell ref="S892:S893"/>
    <x:mergeCell ref="A894:S894"/>
    <x:mergeCell ref="A895:A896"/>
    <x:mergeCell ref="B895:B896"/>
    <x:mergeCell ref="E895:E896"/>
    <x:mergeCell ref="R895:R896"/>
    <x:mergeCell ref="S895:S896"/>
    <x:mergeCell ref="A897:A898"/>
    <x:mergeCell ref="B897:B898"/>
    <x:mergeCell ref="E897:E898"/>
    <x:mergeCell ref="R897:R898"/>
    <x:mergeCell ref="S897:S898"/>
    <x:mergeCell ref="A899:A900"/>
    <x:mergeCell ref="B899:B900"/>
    <x:mergeCell ref="E899:E900"/>
    <x:mergeCell ref="R899:R900"/>
    <x:mergeCell ref="S899:S900"/>
    <x:mergeCell ref="A901:A902"/>
    <x:mergeCell ref="B901:B902"/>
    <x:mergeCell ref="E901:E902"/>
    <x:mergeCell ref="R901:R902"/>
    <x:mergeCell ref="S901:S902"/>
    <x:mergeCell ref="A903:A904"/>
    <x:mergeCell ref="B903:B904"/>
    <x:mergeCell ref="E903:E904"/>
    <x:mergeCell ref="R903:R904"/>
    <x:mergeCell ref="S903:S904"/>
    <x:mergeCell ref="A905:A906"/>
    <x:mergeCell ref="B905:B906"/>
    <x:mergeCell ref="E905:E906"/>
    <x:mergeCell ref="R905:R906"/>
    <x:mergeCell ref="S905:S906"/>
    <x:mergeCell ref="A907:A908"/>
    <x:mergeCell ref="B907:B908"/>
    <x:mergeCell ref="E907:E908"/>
    <x:mergeCell ref="R907:R908"/>
    <x:mergeCell ref="S907:S908"/>
    <x:mergeCell ref="A909:A910"/>
    <x:mergeCell ref="B909:B910"/>
    <x:mergeCell ref="E909:E910"/>
    <x:mergeCell ref="R909:R910"/>
    <x:mergeCell ref="S909:S910"/>
    <x:mergeCell ref="A911:A912"/>
    <x:mergeCell ref="B911:B912"/>
    <x:mergeCell ref="E911:E912"/>
    <x:mergeCell ref="R911:R912"/>
    <x:mergeCell ref="S911:S912"/>
    <x:mergeCell ref="A913:A914"/>
    <x:mergeCell ref="B913:B914"/>
    <x:mergeCell ref="E913:E914"/>
    <x:mergeCell ref="R913:R914"/>
    <x:mergeCell ref="S913:S914"/>
    <x:mergeCell ref="A915:A916"/>
    <x:mergeCell ref="B915:B916"/>
    <x:mergeCell ref="E915:E916"/>
    <x:mergeCell ref="R915:R916"/>
    <x:mergeCell ref="S915:S916"/>
    <x:mergeCell ref="A917:A918"/>
    <x:mergeCell ref="B917:B918"/>
    <x:mergeCell ref="E917:E918"/>
    <x:mergeCell ref="R917:R918"/>
    <x:mergeCell ref="S917:S918"/>
    <x:mergeCell ref="A919:A920"/>
    <x:mergeCell ref="B919:B920"/>
    <x:mergeCell ref="E919:E920"/>
    <x:mergeCell ref="R919:R920"/>
    <x:mergeCell ref="S919:S920"/>
    <x:mergeCell ref="A921:A922"/>
    <x:mergeCell ref="B921:B922"/>
    <x:mergeCell ref="E921:E922"/>
    <x:mergeCell ref="R921:R922"/>
    <x:mergeCell ref="S921:S922"/>
    <x:mergeCell ref="A923:A924"/>
    <x:mergeCell ref="B923:B924"/>
    <x:mergeCell ref="E923:E924"/>
    <x:mergeCell ref="R923:R924"/>
    <x:mergeCell ref="S923:S924"/>
    <x:mergeCell ref="A925:A926"/>
    <x:mergeCell ref="B925:B926"/>
    <x:mergeCell ref="E925:E926"/>
    <x:mergeCell ref="R925:R926"/>
    <x:mergeCell ref="S925:S926"/>
    <x:mergeCell ref="A927:A928"/>
    <x:mergeCell ref="B927:B928"/>
    <x:mergeCell ref="E927:E928"/>
    <x:mergeCell ref="R927:R928"/>
    <x:mergeCell ref="S927:S928"/>
    <x:mergeCell ref="A929:A930"/>
    <x:mergeCell ref="B929:B930"/>
    <x:mergeCell ref="E929:E930"/>
    <x:mergeCell ref="R929:R930"/>
    <x:mergeCell ref="S929:S930"/>
    <x:mergeCell ref="A931:S931"/>
    <x:mergeCell ref="A932:A933"/>
    <x:mergeCell ref="B932:B933"/>
    <x:mergeCell ref="E932:E933"/>
    <x:mergeCell ref="R932:R933"/>
    <x:mergeCell ref="S932:S933"/>
    <x:mergeCell ref="A934:A935"/>
    <x:mergeCell ref="B934:B935"/>
    <x:mergeCell ref="E934:E935"/>
    <x:mergeCell ref="R934:R935"/>
    <x:mergeCell ref="S934:S935"/>
    <x:mergeCell ref="A936:A937"/>
    <x:mergeCell ref="B936:B937"/>
    <x:mergeCell ref="E936:E937"/>
    <x:mergeCell ref="R936:R937"/>
    <x:mergeCell ref="S936:S937"/>
    <x:mergeCell ref="A938:A939"/>
    <x:mergeCell ref="B938:B939"/>
    <x:mergeCell ref="E938:E939"/>
    <x:mergeCell ref="R938:R939"/>
    <x:mergeCell ref="S938:S939"/>
    <x:mergeCell ref="A940:A941"/>
    <x:mergeCell ref="B940:B941"/>
    <x:mergeCell ref="E940:E941"/>
    <x:mergeCell ref="R940:R941"/>
    <x:mergeCell ref="S940:S941"/>
    <x:mergeCell ref="A942:A943"/>
    <x:mergeCell ref="B942:B943"/>
    <x:mergeCell ref="E942:E943"/>
    <x:mergeCell ref="R942:R943"/>
    <x:mergeCell ref="S942:S943"/>
    <x:mergeCell ref="A944:A945"/>
    <x:mergeCell ref="B944:B945"/>
    <x:mergeCell ref="E944:E945"/>
    <x:mergeCell ref="R944:R945"/>
    <x:mergeCell ref="S944:S945"/>
    <x:mergeCell ref="A946:A947"/>
    <x:mergeCell ref="B946:B947"/>
    <x:mergeCell ref="E946:E947"/>
    <x:mergeCell ref="R946:R947"/>
    <x:mergeCell ref="S946:S947"/>
    <x:mergeCell ref="A948:A949"/>
    <x:mergeCell ref="B948:B949"/>
    <x:mergeCell ref="E948:E949"/>
    <x:mergeCell ref="R948:R949"/>
    <x:mergeCell ref="S948:S949"/>
    <x:mergeCell ref="A950:A951"/>
    <x:mergeCell ref="B950:B951"/>
    <x:mergeCell ref="E950:E951"/>
    <x:mergeCell ref="R950:R951"/>
    <x:mergeCell ref="S950:S951"/>
    <x:mergeCell ref="A952:A953"/>
    <x:mergeCell ref="B952:B953"/>
    <x:mergeCell ref="E952:E953"/>
    <x:mergeCell ref="R952:R953"/>
    <x:mergeCell ref="S952:S953"/>
    <x:mergeCell ref="A954:A955"/>
    <x:mergeCell ref="B954:B955"/>
    <x:mergeCell ref="E954:E955"/>
    <x:mergeCell ref="R954:R955"/>
    <x:mergeCell ref="S954:S955"/>
    <x:mergeCell ref="A956:A957"/>
    <x:mergeCell ref="B956:B957"/>
    <x:mergeCell ref="E956:E957"/>
    <x:mergeCell ref="R956:R957"/>
    <x:mergeCell ref="S956:S957"/>
    <x:mergeCell ref="A958:A959"/>
    <x:mergeCell ref="B958:B959"/>
    <x:mergeCell ref="E958:E959"/>
    <x:mergeCell ref="R958:R959"/>
    <x:mergeCell ref="S958:S959"/>
    <x:mergeCell ref="A960:A961"/>
    <x:mergeCell ref="B960:B961"/>
    <x:mergeCell ref="E960:E961"/>
    <x:mergeCell ref="R960:R961"/>
    <x:mergeCell ref="S960:S961"/>
    <x:mergeCell ref="A962:A963"/>
    <x:mergeCell ref="B962:B963"/>
    <x:mergeCell ref="E962:E963"/>
    <x:mergeCell ref="R962:R963"/>
    <x:mergeCell ref="S962:S963"/>
    <x:mergeCell ref="A964:S964"/>
    <x:mergeCell ref="A965:A966"/>
    <x:mergeCell ref="B965:B966"/>
    <x:mergeCell ref="E965:E966"/>
    <x:mergeCell ref="R965:R966"/>
    <x:mergeCell ref="S965:S966"/>
    <x:mergeCell ref="A967:A968"/>
    <x:mergeCell ref="B967:B968"/>
    <x:mergeCell ref="E967:E968"/>
    <x:mergeCell ref="R967:R968"/>
    <x:mergeCell ref="S967:S968"/>
    <x:mergeCell ref="A969:A970"/>
    <x:mergeCell ref="B969:B970"/>
    <x:mergeCell ref="E969:E970"/>
    <x:mergeCell ref="R969:R970"/>
    <x:mergeCell ref="S969:S970"/>
    <x:mergeCell ref="A971:A972"/>
    <x:mergeCell ref="B971:B972"/>
    <x:mergeCell ref="E971:E972"/>
    <x:mergeCell ref="R971:R972"/>
    <x:mergeCell ref="S971:S972"/>
    <x:mergeCell ref="A973:A974"/>
    <x:mergeCell ref="B973:B974"/>
    <x:mergeCell ref="E973:E974"/>
    <x:mergeCell ref="R973:R974"/>
    <x:mergeCell ref="S973:S974"/>
    <x:mergeCell ref="A975:A976"/>
    <x:mergeCell ref="B975:B976"/>
    <x:mergeCell ref="E975:E976"/>
    <x:mergeCell ref="R975:R976"/>
    <x:mergeCell ref="S975:S976"/>
    <x:mergeCell ref="A977:A978"/>
    <x:mergeCell ref="B977:B978"/>
    <x:mergeCell ref="E977:E978"/>
    <x:mergeCell ref="R977:R978"/>
    <x:mergeCell ref="S977:S978"/>
    <x:mergeCell ref="A979:A980"/>
    <x:mergeCell ref="B979:B980"/>
    <x:mergeCell ref="E979:E980"/>
    <x:mergeCell ref="R979:R980"/>
    <x:mergeCell ref="S979:S980"/>
    <x:mergeCell ref="A981:A982"/>
    <x:mergeCell ref="B981:B982"/>
    <x:mergeCell ref="E981:E982"/>
    <x:mergeCell ref="R981:R982"/>
    <x:mergeCell ref="S981:S982"/>
    <x:mergeCell ref="A983:A984"/>
    <x:mergeCell ref="B983:B984"/>
    <x:mergeCell ref="E983:E984"/>
    <x:mergeCell ref="R983:R984"/>
    <x:mergeCell ref="S983:S984"/>
    <x:mergeCell ref="A985:A986"/>
    <x:mergeCell ref="B985:B986"/>
    <x:mergeCell ref="E985:E986"/>
    <x:mergeCell ref="R985:R986"/>
    <x:mergeCell ref="S985:S986"/>
    <x:mergeCell ref="A987:A988"/>
    <x:mergeCell ref="B987:B988"/>
    <x:mergeCell ref="E987:E988"/>
    <x:mergeCell ref="R987:R988"/>
    <x:mergeCell ref="S987:S988"/>
    <x:mergeCell ref="A989:A990"/>
    <x:mergeCell ref="B989:B990"/>
    <x:mergeCell ref="E989:E990"/>
    <x:mergeCell ref="R989:R990"/>
    <x:mergeCell ref="S989:S990"/>
    <x:mergeCell ref="A991:A992"/>
    <x:mergeCell ref="B991:B992"/>
    <x:mergeCell ref="E991:E992"/>
    <x:mergeCell ref="R991:R992"/>
    <x:mergeCell ref="S991:S992"/>
    <x:mergeCell ref="A993:A994"/>
    <x:mergeCell ref="B993:B994"/>
    <x:mergeCell ref="E993:E994"/>
    <x:mergeCell ref="R993:R994"/>
    <x:mergeCell ref="S993:S994"/>
    <x:mergeCell ref="A995:A996"/>
    <x:mergeCell ref="B995:B996"/>
    <x:mergeCell ref="E995:E996"/>
    <x:mergeCell ref="R995:R996"/>
    <x:mergeCell ref="S995:S996"/>
    <x:mergeCell ref="A997:A998"/>
    <x:mergeCell ref="B997:B998"/>
    <x:mergeCell ref="E997:E998"/>
    <x:mergeCell ref="R997:R998"/>
    <x:mergeCell ref="S997:S998"/>
    <x:mergeCell ref="A999:A1000"/>
    <x:mergeCell ref="B999:B1000"/>
    <x:mergeCell ref="E999:E1000"/>
    <x:mergeCell ref="R999:R1000"/>
    <x:mergeCell ref="S999:S1000"/>
    <x:mergeCell ref="A1001:S1001"/>
    <x:mergeCell ref="A1002:A1003"/>
    <x:mergeCell ref="B1002:B1003"/>
    <x:mergeCell ref="E1002:E1003"/>
    <x:mergeCell ref="R1002:R1003"/>
    <x:mergeCell ref="S1002:S1003"/>
    <x:mergeCell ref="A1004:A1005"/>
    <x:mergeCell ref="B1004:B1005"/>
    <x:mergeCell ref="E1004:E1005"/>
    <x:mergeCell ref="R1004:R1005"/>
    <x:mergeCell ref="S1004:S1005"/>
    <x:mergeCell ref="A1006:A1007"/>
    <x:mergeCell ref="B1006:B1007"/>
    <x:mergeCell ref="E1006:E1007"/>
    <x:mergeCell ref="R1006:R1007"/>
    <x:mergeCell ref="S1006:S1007"/>
    <x:mergeCell ref="A1008:A1009"/>
    <x:mergeCell ref="B1008:B1009"/>
    <x:mergeCell ref="E1008:E1009"/>
    <x:mergeCell ref="R1008:R1009"/>
    <x:mergeCell ref="S1008:S1009"/>
    <x:mergeCell ref="A1010:A1011"/>
    <x:mergeCell ref="B1010:B1011"/>
    <x:mergeCell ref="E1010:E1011"/>
    <x:mergeCell ref="R1010:R1011"/>
    <x:mergeCell ref="S1010:S1011"/>
    <x:mergeCell ref="A1012:A1013"/>
    <x:mergeCell ref="B1012:B1013"/>
    <x:mergeCell ref="E1012:E1013"/>
    <x:mergeCell ref="R1012:R1013"/>
    <x:mergeCell ref="S1012:S1013"/>
    <x:mergeCell ref="A1014:A1015"/>
    <x:mergeCell ref="B1014:B1015"/>
    <x:mergeCell ref="E1014:E1015"/>
    <x:mergeCell ref="R1014:R1015"/>
    <x:mergeCell ref="S1014:S1015"/>
    <x:mergeCell ref="A1016:A1017"/>
    <x:mergeCell ref="B1016:B1017"/>
    <x:mergeCell ref="E1016:E1017"/>
    <x:mergeCell ref="R1016:R1017"/>
    <x:mergeCell ref="S1016:S1017"/>
    <x:mergeCell ref="A1018:A1019"/>
    <x:mergeCell ref="B1018:B1019"/>
    <x:mergeCell ref="E1018:E1019"/>
    <x:mergeCell ref="R1018:R1019"/>
    <x:mergeCell ref="S1018:S1019"/>
    <x:mergeCell ref="A1020:A1021"/>
    <x:mergeCell ref="B1020:B1021"/>
    <x:mergeCell ref="E1020:E1021"/>
    <x:mergeCell ref="R1020:R1021"/>
    <x:mergeCell ref="S1020:S1021"/>
    <x:mergeCell ref="A1022:A1023"/>
    <x:mergeCell ref="B1022:B1023"/>
    <x:mergeCell ref="E1022:E1023"/>
    <x:mergeCell ref="R1022:R1023"/>
    <x:mergeCell ref="S1022:S1023"/>
    <x:mergeCell ref="A1024:A1025"/>
    <x:mergeCell ref="B1024:B1025"/>
    <x:mergeCell ref="E1024:E1025"/>
    <x:mergeCell ref="R1024:R1025"/>
    <x:mergeCell ref="S1024:S1025"/>
    <x:mergeCell ref="A1026:A1027"/>
    <x:mergeCell ref="B1026:B1027"/>
    <x:mergeCell ref="E1026:E1027"/>
    <x:mergeCell ref="R1026:R1027"/>
    <x:mergeCell ref="S1026:S1027"/>
    <x:mergeCell ref="A1028:A1029"/>
    <x:mergeCell ref="B1028:B1029"/>
    <x:mergeCell ref="E1028:E1029"/>
    <x:mergeCell ref="R1028:R1029"/>
    <x:mergeCell ref="S1028:S1029"/>
    <x:mergeCell ref="A1030:S1030"/>
    <x:mergeCell ref="A1031:A1032"/>
    <x:mergeCell ref="B1031:B1032"/>
    <x:mergeCell ref="E1031:E1032"/>
    <x:mergeCell ref="R1031:R1032"/>
    <x:mergeCell ref="S1031:S1032"/>
    <x:mergeCell ref="A1033:A1034"/>
    <x:mergeCell ref="B1033:B1034"/>
    <x:mergeCell ref="E1033:E1034"/>
    <x:mergeCell ref="R1033:R1034"/>
    <x:mergeCell ref="S1033:S1034"/>
    <x:mergeCell ref="A1035:A1036"/>
    <x:mergeCell ref="B1035:B1036"/>
    <x:mergeCell ref="E1035:E1036"/>
    <x:mergeCell ref="R1035:R1036"/>
    <x:mergeCell ref="S1035:S1036"/>
    <x:mergeCell ref="A1037:A1038"/>
    <x:mergeCell ref="B1037:B1038"/>
    <x:mergeCell ref="E1037:E1038"/>
    <x:mergeCell ref="R1037:R1038"/>
    <x:mergeCell ref="S1037:S1038"/>
    <x:mergeCell ref="A1039:A1040"/>
    <x:mergeCell ref="B1039:B1040"/>
    <x:mergeCell ref="E1039:E1040"/>
    <x:mergeCell ref="R1039:R1040"/>
    <x:mergeCell ref="S1039:S1040"/>
    <x:mergeCell ref="A1041:A1042"/>
    <x:mergeCell ref="B1041:B1042"/>
    <x:mergeCell ref="E1041:E1042"/>
    <x:mergeCell ref="R1041:R1042"/>
    <x:mergeCell ref="S1041:S1042"/>
    <x:mergeCell ref="A1043:A1044"/>
    <x:mergeCell ref="B1043:B1044"/>
    <x:mergeCell ref="E1043:E1044"/>
    <x:mergeCell ref="R1043:R1044"/>
    <x:mergeCell ref="S1043:S1044"/>
    <x:mergeCell ref="A1045:A1046"/>
    <x:mergeCell ref="B1045:B1046"/>
    <x:mergeCell ref="E1045:E1046"/>
    <x:mergeCell ref="R1045:R1046"/>
    <x:mergeCell ref="S1045:S1046"/>
    <x:mergeCell ref="A1047:A1048"/>
    <x:mergeCell ref="B1047:B1048"/>
    <x:mergeCell ref="E1047:E1048"/>
    <x:mergeCell ref="R1047:R1048"/>
    <x:mergeCell ref="S1047:S1048"/>
    <x:mergeCell ref="A1049:A1050"/>
    <x:mergeCell ref="B1049:B1050"/>
    <x:mergeCell ref="E1049:E1050"/>
    <x:mergeCell ref="R1049:R1050"/>
    <x:mergeCell ref="S1049:S1050"/>
    <x:mergeCell ref="A1051:A1052"/>
    <x:mergeCell ref="B1051:B1052"/>
    <x:mergeCell ref="E1051:E1052"/>
    <x:mergeCell ref="R1051:R1052"/>
    <x:mergeCell ref="S1051:S1052"/>
    <x:mergeCell ref="A1053:A1054"/>
    <x:mergeCell ref="B1053:B1054"/>
    <x:mergeCell ref="E1053:E1054"/>
    <x:mergeCell ref="R1053:R1054"/>
    <x:mergeCell ref="S1053:S1054"/>
    <x:mergeCell ref="A1055:A1056"/>
    <x:mergeCell ref="B1055:B1056"/>
    <x:mergeCell ref="E1055:E1056"/>
    <x:mergeCell ref="R1055:R1056"/>
    <x:mergeCell ref="S1055:S1056"/>
    <x:mergeCell ref="A1057:A1058"/>
    <x:mergeCell ref="B1057:B1058"/>
    <x:mergeCell ref="E1057:E1058"/>
    <x:mergeCell ref="R1057:R1058"/>
    <x:mergeCell ref="S1057:S1058"/>
    <x:mergeCell ref="A1059:A1060"/>
    <x:mergeCell ref="B1059:B1060"/>
    <x:mergeCell ref="E1059:E1060"/>
    <x:mergeCell ref="R1059:R1060"/>
    <x:mergeCell ref="S1059:S1060"/>
    <x:mergeCell ref="A1061:A1062"/>
    <x:mergeCell ref="B1061:B1062"/>
    <x:mergeCell ref="E1061:E1062"/>
    <x:mergeCell ref="R1061:R1062"/>
    <x:mergeCell ref="S1061:S1062"/>
    <x:mergeCell ref="A1063:A1064"/>
    <x:mergeCell ref="B1063:B1064"/>
    <x:mergeCell ref="E1063:E1064"/>
    <x:mergeCell ref="R1063:R1064"/>
    <x:mergeCell ref="S1063:S1064"/>
    <x:mergeCell ref="A1065:A1066"/>
    <x:mergeCell ref="B1065:B1066"/>
    <x:mergeCell ref="E1065:E1066"/>
    <x:mergeCell ref="R1065:R1066"/>
    <x:mergeCell ref="S1065:S1066"/>
    <x:mergeCell ref="A1067:A1068"/>
    <x:mergeCell ref="B1067:B1068"/>
    <x:mergeCell ref="E1067:E1068"/>
    <x:mergeCell ref="R1067:R1068"/>
    <x:mergeCell ref="S1067:S1068"/>
    <x:mergeCell ref="A1069:A1070"/>
    <x:mergeCell ref="B1069:B1070"/>
    <x:mergeCell ref="E1069:E1070"/>
    <x:mergeCell ref="R1069:R1070"/>
    <x:mergeCell ref="S1069:S1070"/>
    <x:mergeCell ref="A1071:A1072"/>
    <x:mergeCell ref="B1071:B1072"/>
    <x:mergeCell ref="E1071:E1072"/>
    <x:mergeCell ref="R1071:R1072"/>
    <x:mergeCell ref="S1071:S1072"/>
    <x:mergeCell ref="A1073:A1074"/>
    <x:mergeCell ref="B1073:B1074"/>
    <x:mergeCell ref="E1073:E1074"/>
    <x:mergeCell ref="R1073:R1074"/>
    <x:mergeCell ref="S1073:S1074"/>
    <x:mergeCell ref="A1075:A1076"/>
    <x:mergeCell ref="B1075:B1076"/>
    <x:mergeCell ref="E1075:E1076"/>
    <x:mergeCell ref="R1075:R1076"/>
    <x:mergeCell ref="S1075:S1076"/>
    <x:mergeCell ref="A1077:A1078"/>
    <x:mergeCell ref="B1077:B1078"/>
    <x:mergeCell ref="E1077:E1078"/>
    <x:mergeCell ref="R1077:R1078"/>
    <x:mergeCell ref="S1077:S1078"/>
    <x:mergeCell ref="A1079:A1080"/>
    <x:mergeCell ref="B1079:B1080"/>
    <x:mergeCell ref="E1079:E1080"/>
    <x:mergeCell ref="R1079:R1080"/>
    <x:mergeCell ref="S1079:S1080"/>
    <x:mergeCell ref="A1081:A1082"/>
    <x:mergeCell ref="B1081:B1082"/>
    <x:mergeCell ref="E1081:E1082"/>
    <x:mergeCell ref="R1081:R1082"/>
    <x:mergeCell ref="S1081:S1082"/>
    <x:mergeCell ref="A1083:A1084"/>
    <x:mergeCell ref="B1083:B1084"/>
    <x:mergeCell ref="E1083:E1084"/>
    <x:mergeCell ref="R1083:R1084"/>
    <x:mergeCell ref="S1083:S1084"/>
    <x:mergeCell ref="A1085:A1086"/>
    <x:mergeCell ref="B1085:B1086"/>
    <x:mergeCell ref="E1085:E1086"/>
    <x:mergeCell ref="R1085:R1086"/>
    <x:mergeCell ref="S1085:S1086"/>
    <x:mergeCell ref="A1087:A1088"/>
    <x:mergeCell ref="B1087:B1088"/>
    <x:mergeCell ref="E1087:E1088"/>
    <x:mergeCell ref="R1087:R1088"/>
    <x:mergeCell ref="S1087:S1088"/>
    <x:mergeCell ref="A1089:S1089"/>
    <x:mergeCell ref="A1090:A1091"/>
    <x:mergeCell ref="B1090:B1091"/>
    <x:mergeCell ref="E1090:E1091"/>
    <x:mergeCell ref="R1090:R1091"/>
    <x:mergeCell ref="S1090:S1091"/>
    <x:mergeCell ref="A1092:A1093"/>
    <x:mergeCell ref="B1092:B1093"/>
    <x:mergeCell ref="E1092:E1093"/>
    <x:mergeCell ref="R1092:R1093"/>
    <x:mergeCell ref="S1092:S1093"/>
    <x:mergeCell ref="A1094:A1095"/>
    <x:mergeCell ref="B1094:B1095"/>
    <x:mergeCell ref="E1094:E1095"/>
    <x:mergeCell ref="R1094:R1095"/>
    <x:mergeCell ref="S1094:S1095"/>
    <x:mergeCell ref="A1096:A1097"/>
    <x:mergeCell ref="B1096:B1097"/>
    <x:mergeCell ref="E1096:E1097"/>
    <x:mergeCell ref="R1096:R1097"/>
    <x:mergeCell ref="S1096:S1097"/>
    <x:mergeCell ref="A1098:A1099"/>
    <x:mergeCell ref="B1098:B1099"/>
    <x:mergeCell ref="E1098:E1099"/>
    <x:mergeCell ref="R1098:R1099"/>
    <x:mergeCell ref="S1098:S1099"/>
    <x:mergeCell ref="A1100:A1101"/>
    <x:mergeCell ref="B1100:B1101"/>
    <x:mergeCell ref="E1100:E1101"/>
    <x:mergeCell ref="R1100:R1101"/>
    <x:mergeCell ref="S1100:S1101"/>
    <x:mergeCell ref="A1102:S1102"/>
    <x:mergeCell ref="A1103:A1104"/>
    <x:mergeCell ref="B1103:B1104"/>
    <x:mergeCell ref="E1103:E1104"/>
    <x:mergeCell ref="R1103:R1104"/>
    <x:mergeCell ref="S1103:S1104"/>
    <x:mergeCell ref="A1105:A1106"/>
    <x:mergeCell ref="B1105:B1106"/>
    <x:mergeCell ref="E1105:E1106"/>
    <x:mergeCell ref="R1105:R1106"/>
    <x:mergeCell ref="S1105:S1106"/>
    <x:mergeCell ref="A1107:A1108"/>
    <x:mergeCell ref="B1107:B1108"/>
    <x:mergeCell ref="E1107:E1108"/>
    <x:mergeCell ref="R1107:R1108"/>
    <x:mergeCell ref="S1107:S1108"/>
    <x:mergeCell ref="A1109:A1110"/>
    <x:mergeCell ref="B1109:B1110"/>
    <x:mergeCell ref="E1109:E1110"/>
    <x:mergeCell ref="R1109:R1110"/>
    <x:mergeCell ref="S1109:S1110"/>
    <x:mergeCell ref="A1111:A1112"/>
    <x:mergeCell ref="B1111:B1112"/>
    <x:mergeCell ref="E1111:E1112"/>
    <x:mergeCell ref="R1111:R1112"/>
    <x:mergeCell ref="S1111:S1112"/>
    <x:mergeCell ref="A1113:A1114"/>
    <x:mergeCell ref="B1113:B1114"/>
    <x:mergeCell ref="E1113:E1114"/>
    <x:mergeCell ref="R1113:R1114"/>
    <x:mergeCell ref="S1113:S1114"/>
    <x:mergeCell ref="A1115:A1116"/>
    <x:mergeCell ref="B1115:B1116"/>
    <x:mergeCell ref="E1115:E1116"/>
    <x:mergeCell ref="R1115:R1116"/>
    <x:mergeCell ref="S1115:S1116"/>
    <x:mergeCell ref="A1117:A1118"/>
    <x:mergeCell ref="B1117:B1118"/>
    <x:mergeCell ref="E1117:E1118"/>
    <x:mergeCell ref="R1117:R1118"/>
    <x:mergeCell ref="S1117:S1118"/>
    <x:mergeCell ref="A1119:A1120"/>
    <x:mergeCell ref="B1119:B1120"/>
    <x:mergeCell ref="E1119:E1120"/>
    <x:mergeCell ref="R1119:R1120"/>
    <x:mergeCell ref="S1119:S1120"/>
    <x:mergeCell ref="A1121:A1122"/>
    <x:mergeCell ref="B1121:B1122"/>
    <x:mergeCell ref="E1121:E1122"/>
    <x:mergeCell ref="R1121:R1122"/>
    <x:mergeCell ref="S1121:S1122"/>
    <x:mergeCell ref="A1123:A1124"/>
    <x:mergeCell ref="B1123:B1124"/>
    <x:mergeCell ref="E1123:E1124"/>
    <x:mergeCell ref="R1123:R1124"/>
    <x:mergeCell ref="S1123:S1124"/>
    <x:mergeCell ref="A1125:A1126"/>
    <x:mergeCell ref="B1125:B1126"/>
    <x:mergeCell ref="E1125:E1126"/>
    <x:mergeCell ref="R1125:R1126"/>
    <x:mergeCell ref="S1125:S1126"/>
    <x:mergeCell ref="A1127:A1128"/>
    <x:mergeCell ref="B1127:B1128"/>
    <x:mergeCell ref="E1127:E1128"/>
    <x:mergeCell ref="R1127:R1128"/>
    <x:mergeCell ref="S1127:S1128"/>
    <x:mergeCell ref="A1129:A1130"/>
    <x:mergeCell ref="B1129:B1130"/>
    <x:mergeCell ref="E1129:E1130"/>
    <x:mergeCell ref="R1129:R1130"/>
    <x:mergeCell ref="S1129:S1130"/>
    <x:mergeCell ref="A1131:S1131"/>
    <x:mergeCell ref="A1132:A1133"/>
    <x:mergeCell ref="B1132:B1133"/>
    <x:mergeCell ref="E1132:E1133"/>
    <x:mergeCell ref="R1132:R1133"/>
    <x:mergeCell ref="S1132:S1133"/>
    <x:mergeCell ref="A1134:A1135"/>
    <x:mergeCell ref="B1134:B1135"/>
    <x:mergeCell ref="E1134:E1135"/>
    <x:mergeCell ref="R1134:R1135"/>
    <x:mergeCell ref="S1134:S1135"/>
    <x:mergeCell ref="A1136:A1137"/>
    <x:mergeCell ref="B1136:B1137"/>
    <x:mergeCell ref="E1136:E1137"/>
    <x:mergeCell ref="R1136:R1137"/>
    <x:mergeCell ref="S1136:S1137"/>
    <x:mergeCell ref="A1138:A1139"/>
    <x:mergeCell ref="B1138:B1139"/>
    <x:mergeCell ref="E1138:E1139"/>
    <x:mergeCell ref="R1138:R1139"/>
    <x:mergeCell ref="S1138:S1139"/>
    <x:mergeCell ref="A1140:A1141"/>
    <x:mergeCell ref="B1140:B1141"/>
    <x:mergeCell ref="E1140:E1141"/>
    <x:mergeCell ref="R1140:R1141"/>
    <x:mergeCell ref="S1140:S1141"/>
    <x:mergeCell ref="A1142:A1143"/>
    <x:mergeCell ref="B1142:B1143"/>
    <x:mergeCell ref="E1142:E1143"/>
    <x:mergeCell ref="R1142:R1143"/>
    <x:mergeCell ref="S1142:S1143"/>
    <x:mergeCell ref="A1144:A1145"/>
    <x:mergeCell ref="B1144:B1145"/>
    <x:mergeCell ref="E1144:E1145"/>
    <x:mergeCell ref="R1144:R1145"/>
    <x:mergeCell ref="S1144:S1145"/>
    <x:mergeCell ref="A1146:A1147"/>
    <x:mergeCell ref="B1146:B1147"/>
    <x:mergeCell ref="E1146:E1147"/>
    <x:mergeCell ref="R1146:R1147"/>
    <x:mergeCell ref="S1146:S1147"/>
    <x:mergeCell ref="A1148:A1149"/>
    <x:mergeCell ref="B1148:B1149"/>
    <x:mergeCell ref="E1148:E1149"/>
    <x:mergeCell ref="R1148:R1149"/>
    <x:mergeCell ref="S1148:S1149"/>
    <x:mergeCell ref="A1150:A1151"/>
    <x:mergeCell ref="B1150:B1151"/>
    <x:mergeCell ref="E1150:E1151"/>
    <x:mergeCell ref="R1150:R1151"/>
    <x:mergeCell ref="S1150:S1151"/>
    <x:mergeCell ref="A1152:A1153"/>
    <x:mergeCell ref="B1152:B1153"/>
    <x:mergeCell ref="E1152:E1153"/>
    <x:mergeCell ref="R1152:R1153"/>
    <x:mergeCell ref="S1152:S1153"/>
    <x:mergeCell ref="A1154:A1155"/>
    <x:mergeCell ref="B1154:B1155"/>
    <x:mergeCell ref="E1154:E1155"/>
    <x:mergeCell ref="R1154:R1155"/>
    <x:mergeCell ref="S1154:S1155"/>
    <x:mergeCell ref="A1156:A1157"/>
    <x:mergeCell ref="B1156:B1157"/>
    <x:mergeCell ref="E1156:E1157"/>
    <x:mergeCell ref="R1156:R1157"/>
    <x:mergeCell ref="S1156:S1157"/>
    <x:mergeCell ref="A1158:S1158"/>
    <x:mergeCell ref="A1159:A1160"/>
    <x:mergeCell ref="B1159:B1160"/>
    <x:mergeCell ref="E1159:E1160"/>
    <x:mergeCell ref="R1159:R1160"/>
    <x:mergeCell ref="S1159:S1160"/>
    <x:mergeCell ref="A1161:A1162"/>
    <x:mergeCell ref="B1161:B1162"/>
    <x:mergeCell ref="E1161:E1162"/>
    <x:mergeCell ref="R1161:R1162"/>
    <x:mergeCell ref="S1161:S1162"/>
    <x:mergeCell ref="A1163:A1164"/>
    <x:mergeCell ref="B1163:B1164"/>
    <x:mergeCell ref="E1163:E1164"/>
    <x:mergeCell ref="R1163:R1164"/>
    <x:mergeCell ref="S1163:S1164"/>
    <x:mergeCell ref="A1165:A1166"/>
    <x:mergeCell ref="B1165:B1166"/>
    <x:mergeCell ref="E1165:E1166"/>
    <x:mergeCell ref="R1165:R1166"/>
    <x:mergeCell ref="S1165:S1166"/>
    <x:mergeCell ref="A1167:A1168"/>
    <x:mergeCell ref="B1167:B1168"/>
    <x:mergeCell ref="E1167:E1168"/>
    <x:mergeCell ref="R1167:R1168"/>
    <x:mergeCell ref="S1167:S1168"/>
    <x:mergeCell ref="A1169:A1170"/>
    <x:mergeCell ref="B1169:B1170"/>
    <x:mergeCell ref="E1169:E1170"/>
    <x:mergeCell ref="R1169:R1170"/>
    <x:mergeCell ref="S1169:S1170"/>
    <x:mergeCell ref="A1171:A1172"/>
    <x:mergeCell ref="B1171:B1172"/>
    <x:mergeCell ref="E1171:E1172"/>
    <x:mergeCell ref="R1171:R1172"/>
    <x:mergeCell ref="S1171:S1172"/>
    <x:mergeCell ref="A1173:A1174"/>
    <x:mergeCell ref="B1173:B1174"/>
    <x:mergeCell ref="E1173:E1174"/>
    <x:mergeCell ref="R1173:R1174"/>
    <x:mergeCell ref="S1173:S1174"/>
    <x:mergeCell ref="A1175:A1176"/>
    <x:mergeCell ref="B1175:B1176"/>
    <x:mergeCell ref="E1175:E1176"/>
    <x:mergeCell ref="R1175:R1176"/>
    <x:mergeCell ref="S1175:S1176"/>
    <x:mergeCell ref="A1177:A1178"/>
    <x:mergeCell ref="B1177:B1178"/>
    <x:mergeCell ref="E1177:E1178"/>
    <x:mergeCell ref="R1177:R1178"/>
    <x:mergeCell ref="S1177:S1178"/>
    <x:mergeCell ref="A1179:A1180"/>
    <x:mergeCell ref="B1179:B1180"/>
    <x:mergeCell ref="E1179:E1180"/>
    <x:mergeCell ref="R1179:R1180"/>
    <x:mergeCell ref="S1179:S1180"/>
    <x:mergeCell ref="A1181:A1182"/>
    <x:mergeCell ref="B1181:B1182"/>
    <x:mergeCell ref="E1181:E1182"/>
    <x:mergeCell ref="R1181:R1182"/>
    <x:mergeCell ref="S1181:S1182"/>
    <x:mergeCell ref="A1183:A1184"/>
    <x:mergeCell ref="B1183:B1184"/>
    <x:mergeCell ref="E1183:E1184"/>
    <x:mergeCell ref="R1183:R1184"/>
    <x:mergeCell ref="S1183:S1184"/>
    <x:mergeCell ref="A1185:A1186"/>
    <x:mergeCell ref="B1185:B1186"/>
    <x:mergeCell ref="E1185:E1186"/>
    <x:mergeCell ref="R1185:R1186"/>
    <x:mergeCell ref="S1185:S1186"/>
    <x:mergeCell ref="A1187:A1188"/>
    <x:mergeCell ref="B1187:B1188"/>
    <x:mergeCell ref="E1187:E1188"/>
    <x:mergeCell ref="R1187:R1188"/>
    <x:mergeCell ref="S1187:S1188"/>
    <x:mergeCell ref="A1189:A1190"/>
    <x:mergeCell ref="B1189:B1190"/>
    <x:mergeCell ref="E1189:E1190"/>
    <x:mergeCell ref="R1189:R1190"/>
    <x:mergeCell ref="S1189:S1190"/>
    <x:mergeCell ref="A1191:A1192"/>
    <x:mergeCell ref="B1191:B1192"/>
    <x:mergeCell ref="E1191:E1192"/>
    <x:mergeCell ref="R1191:R1192"/>
    <x:mergeCell ref="S1191:S1192"/>
    <x:mergeCell ref="A1193:S1193"/>
    <x:mergeCell ref="A1194:A1195"/>
    <x:mergeCell ref="B1194:B1195"/>
    <x:mergeCell ref="E1194:E1195"/>
    <x:mergeCell ref="R1194:R1195"/>
    <x:mergeCell ref="S1194:S1195"/>
    <x:mergeCell ref="A1196:A1197"/>
    <x:mergeCell ref="B1196:B1197"/>
    <x:mergeCell ref="E1196:E1197"/>
    <x:mergeCell ref="R1196:R1197"/>
    <x:mergeCell ref="S1196:S1197"/>
    <x:mergeCell ref="A1198:A1199"/>
    <x:mergeCell ref="B1198:B1199"/>
    <x:mergeCell ref="E1198:E1199"/>
    <x:mergeCell ref="R1198:R1199"/>
    <x:mergeCell ref="S1198:S1199"/>
    <x:mergeCell ref="A1200:A1201"/>
    <x:mergeCell ref="B1200:B1201"/>
    <x:mergeCell ref="E1200:E1201"/>
    <x:mergeCell ref="R1200:R1201"/>
    <x:mergeCell ref="S1200:S1201"/>
    <x:mergeCell ref="A1202:A1203"/>
    <x:mergeCell ref="B1202:B1203"/>
    <x:mergeCell ref="E1202:E1203"/>
    <x:mergeCell ref="R1202:R1203"/>
    <x:mergeCell ref="S1202:S1203"/>
    <x:mergeCell ref="A1204:A1205"/>
    <x:mergeCell ref="B1204:B1205"/>
    <x:mergeCell ref="E1204:E1205"/>
    <x:mergeCell ref="R1204:R1205"/>
    <x:mergeCell ref="S1204:S1205"/>
    <x:mergeCell ref="A1206:A1207"/>
    <x:mergeCell ref="B1206:B1207"/>
    <x:mergeCell ref="E1206:E1207"/>
    <x:mergeCell ref="R1206:R1207"/>
    <x:mergeCell ref="S1206:S1207"/>
    <x:mergeCell ref="A1208:A1209"/>
    <x:mergeCell ref="B1208:B1209"/>
    <x:mergeCell ref="E1208:E1209"/>
    <x:mergeCell ref="R1208:R1209"/>
    <x:mergeCell ref="S1208:S1209"/>
    <x:mergeCell ref="A1210:A1211"/>
    <x:mergeCell ref="B1210:B1211"/>
    <x:mergeCell ref="E1210:E1211"/>
    <x:mergeCell ref="R1210:R1211"/>
    <x:mergeCell ref="S1210:S1211"/>
    <x:mergeCell ref="A1212:A1213"/>
    <x:mergeCell ref="B1212:B1213"/>
    <x:mergeCell ref="E1212:E1213"/>
    <x:mergeCell ref="R1212:R1213"/>
    <x:mergeCell ref="S1212:S1213"/>
    <x:mergeCell ref="A1214:A1215"/>
    <x:mergeCell ref="B1214:B1215"/>
    <x:mergeCell ref="E1214:E1215"/>
    <x:mergeCell ref="R1214:R1215"/>
    <x:mergeCell ref="S1214:S1215"/>
    <x:mergeCell ref="A1216:A1217"/>
    <x:mergeCell ref="B1216:B1217"/>
    <x:mergeCell ref="E1216:E1217"/>
    <x:mergeCell ref="R1216:R1217"/>
    <x:mergeCell ref="S1216:S1217"/>
    <x:mergeCell ref="A1218:A1219"/>
    <x:mergeCell ref="B1218:B1219"/>
    <x:mergeCell ref="E1218:E1219"/>
    <x:mergeCell ref="R1218:R1219"/>
    <x:mergeCell ref="S1218:S1219"/>
    <x:mergeCell ref="A1220:A1221"/>
    <x:mergeCell ref="B1220:B1221"/>
    <x:mergeCell ref="E1220:E1221"/>
    <x:mergeCell ref="R1220:R1221"/>
    <x:mergeCell ref="S1220:S1221"/>
    <x:mergeCell ref="A1222:A1223"/>
    <x:mergeCell ref="B1222:B1223"/>
    <x:mergeCell ref="E1222:E1223"/>
    <x:mergeCell ref="R1222:R1223"/>
    <x:mergeCell ref="S1222:S1223"/>
    <x:mergeCell ref="A1224:A1225"/>
    <x:mergeCell ref="B1224:B1225"/>
    <x:mergeCell ref="E1224:E1225"/>
    <x:mergeCell ref="R1224:R1225"/>
    <x:mergeCell ref="S1224:S1225"/>
    <x:mergeCell ref="A1226:A1227"/>
    <x:mergeCell ref="B1226:B1227"/>
    <x:mergeCell ref="E1226:E1227"/>
    <x:mergeCell ref="R1226:R1227"/>
    <x:mergeCell ref="S1226:S1227"/>
    <x:mergeCell ref="A1228:S1228"/>
    <x:mergeCell ref="A1229:A1230"/>
    <x:mergeCell ref="B1229:B1230"/>
    <x:mergeCell ref="E1229:E1230"/>
    <x:mergeCell ref="R1229:R1230"/>
    <x:mergeCell ref="S1229:S1230"/>
    <x:mergeCell ref="A1231:A1232"/>
    <x:mergeCell ref="B1231:B1232"/>
    <x:mergeCell ref="E1231:E1232"/>
    <x:mergeCell ref="R1231:R1232"/>
    <x:mergeCell ref="S1231:S1232"/>
    <x:mergeCell ref="A1233:A1234"/>
    <x:mergeCell ref="B1233:B1234"/>
    <x:mergeCell ref="E1233:E1234"/>
    <x:mergeCell ref="R1233:R1234"/>
    <x:mergeCell ref="S1233:S1234"/>
    <x:mergeCell ref="A1235:A1236"/>
    <x:mergeCell ref="B1235:B1236"/>
    <x:mergeCell ref="E1235:E1236"/>
    <x:mergeCell ref="R1235:R1236"/>
    <x:mergeCell ref="S1235:S1236"/>
    <x:mergeCell ref="A1237:A1238"/>
    <x:mergeCell ref="B1237:B1238"/>
    <x:mergeCell ref="E1237:E1238"/>
    <x:mergeCell ref="R1237:R1238"/>
    <x:mergeCell ref="S1237:S1238"/>
    <x:mergeCell ref="A1239:A1240"/>
    <x:mergeCell ref="B1239:B1240"/>
    <x:mergeCell ref="E1239:E1240"/>
    <x:mergeCell ref="R1239:R1240"/>
    <x:mergeCell ref="S1239:S1240"/>
    <x:mergeCell ref="A1241:A1242"/>
    <x:mergeCell ref="B1241:B1242"/>
    <x:mergeCell ref="E1241:E1242"/>
    <x:mergeCell ref="R1241:R1242"/>
    <x:mergeCell ref="S1241:S1242"/>
    <x:mergeCell ref="A1243:A1244"/>
    <x:mergeCell ref="B1243:B1244"/>
    <x:mergeCell ref="E1243:E1244"/>
    <x:mergeCell ref="R1243:R1244"/>
    <x:mergeCell ref="S1243:S1244"/>
    <x:mergeCell ref="A1245:A1246"/>
    <x:mergeCell ref="B1245:B1246"/>
    <x:mergeCell ref="E1245:E1246"/>
    <x:mergeCell ref="R1245:R1246"/>
    <x:mergeCell ref="S1245:S1246"/>
    <x:mergeCell ref="A1247:A1248"/>
    <x:mergeCell ref="B1247:B1248"/>
    <x:mergeCell ref="E1247:E1248"/>
    <x:mergeCell ref="R1247:R1248"/>
    <x:mergeCell ref="S1247:S1248"/>
    <x:mergeCell ref="A1249:A1250"/>
    <x:mergeCell ref="B1249:B1250"/>
    <x:mergeCell ref="E1249:E1250"/>
    <x:mergeCell ref="R1249:R1250"/>
    <x:mergeCell ref="S1249:S1250"/>
    <x:mergeCell ref="A1251:A1252"/>
    <x:mergeCell ref="B1251:B1252"/>
    <x:mergeCell ref="E1251:E1252"/>
    <x:mergeCell ref="R1251:R1252"/>
    <x:mergeCell ref="S1251:S1252"/>
    <x:mergeCell ref="A1253:A1254"/>
    <x:mergeCell ref="B1253:B1254"/>
    <x:mergeCell ref="E1253:E1254"/>
    <x:mergeCell ref="R1253:R1254"/>
    <x:mergeCell ref="S1253:S1254"/>
    <x:mergeCell ref="A1255:A1256"/>
    <x:mergeCell ref="B1255:B1256"/>
    <x:mergeCell ref="E1255:E1256"/>
    <x:mergeCell ref="R1255:R1256"/>
    <x:mergeCell ref="S1255:S1256"/>
    <x:mergeCell ref="A1257:A1258"/>
    <x:mergeCell ref="B1257:B1258"/>
    <x:mergeCell ref="E1257:E1258"/>
    <x:mergeCell ref="R1257:R1258"/>
    <x:mergeCell ref="S1257:S1258"/>
    <x:mergeCell ref="A1259:A1260"/>
    <x:mergeCell ref="B1259:B1260"/>
    <x:mergeCell ref="E1259:E1260"/>
    <x:mergeCell ref="R1259:R1260"/>
    <x:mergeCell ref="S1259:S1260"/>
    <x:mergeCell ref="A1261:A1262"/>
    <x:mergeCell ref="B1261:B1262"/>
    <x:mergeCell ref="E1261:E1262"/>
    <x:mergeCell ref="R1261:R1262"/>
    <x:mergeCell ref="S1261:S1262"/>
    <x:mergeCell ref="A1263:A1264"/>
    <x:mergeCell ref="B1263:B1264"/>
    <x:mergeCell ref="E1263:E1264"/>
    <x:mergeCell ref="R1263:R1264"/>
    <x:mergeCell ref="S1263:S1264"/>
    <x:mergeCell ref="A1265:A1266"/>
    <x:mergeCell ref="B1265:B1266"/>
    <x:mergeCell ref="E1265:E1266"/>
    <x:mergeCell ref="R1265:R1266"/>
    <x:mergeCell ref="S1265:S1266"/>
    <x:mergeCell ref="A1267:A1268"/>
    <x:mergeCell ref="B1267:B1268"/>
    <x:mergeCell ref="E1267:E1268"/>
    <x:mergeCell ref="R1267:R1268"/>
    <x:mergeCell ref="S1267:S1268"/>
    <x:mergeCell ref="A1269:S1269"/>
    <x:mergeCell ref="A1270:A1271"/>
    <x:mergeCell ref="B1270:B1271"/>
    <x:mergeCell ref="E1270:E1271"/>
    <x:mergeCell ref="R1270:R1271"/>
    <x:mergeCell ref="S1270:S1271"/>
    <x:mergeCell ref="A1272:A1273"/>
    <x:mergeCell ref="B1272:B1273"/>
    <x:mergeCell ref="E1272:E1273"/>
    <x:mergeCell ref="R1272:R1273"/>
    <x:mergeCell ref="S1272:S1273"/>
    <x:mergeCell ref="A1274:A1275"/>
    <x:mergeCell ref="B1274:B1275"/>
    <x:mergeCell ref="E1274:E1275"/>
    <x:mergeCell ref="R1274:R1275"/>
    <x:mergeCell ref="S1274:S1275"/>
    <x:mergeCell ref="A1276:A1277"/>
    <x:mergeCell ref="B1276:B1277"/>
    <x:mergeCell ref="E1276:E1277"/>
    <x:mergeCell ref="R1276:R1277"/>
    <x:mergeCell ref="S1276:S1277"/>
    <x:mergeCell ref="A1278:A1279"/>
    <x:mergeCell ref="B1278:B1279"/>
    <x:mergeCell ref="E1278:E1279"/>
    <x:mergeCell ref="R1278:R1279"/>
    <x:mergeCell ref="S1278:S1279"/>
    <x:mergeCell ref="A1280:A1281"/>
    <x:mergeCell ref="B1280:B1281"/>
    <x:mergeCell ref="E1280:E1281"/>
    <x:mergeCell ref="R1280:R1281"/>
    <x:mergeCell ref="S1280:S1281"/>
    <x:mergeCell ref="A1282:A1283"/>
    <x:mergeCell ref="B1282:B1283"/>
    <x:mergeCell ref="E1282:E1283"/>
    <x:mergeCell ref="R1282:R1283"/>
    <x:mergeCell ref="S1282:S1283"/>
    <x:mergeCell ref="A1284:A1285"/>
    <x:mergeCell ref="B1284:B1285"/>
    <x:mergeCell ref="E1284:E1285"/>
    <x:mergeCell ref="R1284:R1285"/>
    <x:mergeCell ref="S1284:S1285"/>
    <x:mergeCell ref="A1286:A1287"/>
    <x:mergeCell ref="B1286:B1287"/>
    <x:mergeCell ref="E1286:E1287"/>
    <x:mergeCell ref="R1286:R1287"/>
    <x:mergeCell ref="S1286:S1287"/>
    <x:mergeCell ref="A1288:A1289"/>
    <x:mergeCell ref="B1288:B1289"/>
    <x:mergeCell ref="E1288:E1289"/>
    <x:mergeCell ref="R1288:R1289"/>
    <x:mergeCell ref="S1288:S1289"/>
    <x:mergeCell ref="A1290:A1291"/>
    <x:mergeCell ref="B1290:B1291"/>
    <x:mergeCell ref="E1290:E1291"/>
    <x:mergeCell ref="R1290:R1291"/>
    <x:mergeCell ref="S1290:S1291"/>
    <x:mergeCell ref="A1292:A1293"/>
    <x:mergeCell ref="B1292:B1293"/>
    <x:mergeCell ref="E1292:E1293"/>
    <x:mergeCell ref="R1292:R1293"/>
    <x:mergeCell ref="S1292:S1293"/>
    <x:mergeCell ref="A1294:A1295"/>
    <x:mergeCell ref="B1294:B1295"/>
    <x:mergeCell ref="E1294:E1295"/>
    <x:mergeCell ref="R1294:R1295"/>
    <x:mergeCell ref="S1294:S1295"/>
    <x:mergeCell ref="A1296:A1297"/>
    <x:mergeCell ref="B1296:B1297"/>
    <x:mergeCell ref="E1296:E1297"/>
    <x:mergeCell ref="R1296:R1297"/>
    <x:mergeCell ref="S1296:S1297"/>
    <x:mergeCell ref="A1298:S1298"/>
    <x:mergeCell ref="A1299:A1300"/>
    <x:mergeCell ref="B1299:B1300"/>
    <x:mergeCell ref="E1299:E1300"/>
    <x:mergeCell ref="R1299:R1300"/>
    <x:mergeCell ref="S1299:S1300"/>
    <x:mergeCell ref="A1301:A1302"/>
    <x:mergeCell ref="B1301:B1302"/>
    <x:mergeCell ref="E1301:E1302"/>
    <x:mergeCell ref="R1301:R1302"/>
    <x:mergeCell ref="S1301:S1302"/>
    <x:mergeCell ref="A1303:A1304"/>
    <x:mergeCell ref="B1303:B1304"/>
    <x:mergeCell ref="E1303:E1304"/>
    <x:mergeCell ref="R1303:R1304"/>
    <x:mergeCell ref="S1303:S1304"/>
    <x:mergeCell ref="A1305:A1306"/>
    <x:mergeCell ref="B1305:B1306"/>
    <x:mergeCell ref="E1305:E1306"/>
    <x:mergeCell ref="R1305:R1306"/>
    <x:mergeCell ref="S1305:S1306"/>
    <x:mergeCell ref="A1307:A1308"/>
    <x:mergeCell ref="B1307:B1308"/>
    <x:mergeCell ref="E1307:E1308"/>
    <x:mergeCell ref="R1307:R1308"/>
    <x:mergeCell ref="S1307:S1308"/>
    <x:mergeCell ref="A1309:A1310"/>
    <x:mergeCell ref="B1309:B1310"/>
    <x:mergeCell ref="E1309:E1310"/>
    <x:mergeCell ref="R1309:R1310"/>
    <x:mergeCell ref="S1309:S1310"/>
    <x:mergeCell ref="A1311:A1312"/>
    <x:mergeCell ref="B1311:B1312"/>
    <x:mergeCell ref="E1311:E1312"/>
    <x:mergeCell ref="R1311:R1312"/>
    <x:mergeCell ref="S1311:S1312"/>
    <x:mergeCell ref="A1313:A1314"/>
    <x:mergeCell ref="B1313:B1314"/>
    <x:mergeCell ref="E1313:E1314"/>
    <x:mergeCell ref="R1313:R1314"/>
    <x:mergeCell ref="S1313:S1314"/>
    <x:mergeCell ref="A1315:A1316"/>
    <x:mergeCell ref="B1315:B1316"/>
    <x:mergeCell ref="E1315:E1316"/>
    <x:mergeCell ref="R1315:R1316"/>
    <x:mergeCell ref="S1315:S1316"/>
    <x:mergeCell ref="A1317:A1318"/>
    <x:mergeCell ref="B1317:B1318"/>
    <x:mergeCell ref="E1317:E1318"/>
    <x:mergeCell ref="R1317:R1318"/>
    <x:mergeCell ref="S1317:S1318"/>
    <x:mergeCell ref="A1319:A1320"/>
    <x:mergeCell ref="B1319:B1320"/>
    <x:mergeCell ref="E1319:E1320"/>
    <x:mergeCell ref="R1319:R1320"/>
    <x:mergeCell ref="S1319:S1320"/>
    <x:mergeCell ref="A1321:A1322"/>
    <x:mergeCell ref="B1321:B1322"/>
    <x:mergeCell ref="E1321:E1322"/>
    <x:mergeCell ref="R1321:R1322"/>
    <x:mergeCell ref="S1321:S1322"/>
    <x:mergeCell ref="A1323:S1323"/>
    <x:mergeCell ref="A1324:A1325"/>
    <x:mergeCell ref="B1324:B1325"/>
    <x:mergeCell ref="E1324:E1325"/>
    <x:mergeCell ref="R1324:R1325"/>
    <x:mergeCell ref="S1324:S1325"/>
    <x:mergeCell ref="A1326:A1327"/>
    <x:mergeCell ref="B1326:B1327"/>
    <x:mergeCell ref="E1326:E1327"/>
    <x:mergeCell ref="R1326:R1327"/>
    <x:mergeCell ref="S1326:S1327"/>
    <x:mergeCell ref="A1328:A1329"/>
    <x:mergeCell ref="B1328:B1329"/>
    <x:mergeCell ref="E1328:E1329"/>
    <x:mergeCell ref="R1328:R1329"/>
    <x:mergeCell ref="S1328:S1329"/>
    <x:mergeCell ref="A1330:A1331"/>
    <x:mergeCell ref="B1330:B1331"/>
    <x:mergeCell ref="E1330:E1331"/>
    <x:mergeCell ref="R1330:R1331"/>
    <x:mergeCell ref="S1330:S1331"/>
    <x:mergeCell ref="A1332:A1333"/>
    <x:mergeCell ref="B1332:B1333"/>
    <x:mergeCell ref="E1332:E1333"/>
    <x:mergeCell ref="R1332:R1333"/>
    <x:mergeCell ref="S1332:S1333"/>
    <x:mergeCell ref="A1334:A1335"/>
    <x:mergeCell ref="B1334:B1335"/>
    <x:mergeCell ref="E1334:E1335"/>
    <x:mergeCell ref="R1334:R1335"/>
    <x:mergeCell ref="S1334:S1335"/>
    <x:mergeCell ref="A1336:A1337"/>
    <x:mergeCell ref="B1336:B1337"/>
    <x:mergeCell ref="E1336:E1337"/>
    <x:mergeCell ref="R1336:R1337"/>
    <x:mergeCell ref="S1336:S1337"/>
    <x:mergeCell ref="A1338:A1339"/>
    <x:mergeCell ref="B1338:B1339"/>
    <x:mergeCell ref="E1338:E1339"/>
    <x:mergeCell ref="R1338:R1339"/>
    <x:mergeCell ref="S1338:S1339"/>
    <x:mergeCell ref="A1340:A1341"/>
    <x:mergeCell ref="B1340:B1341"/>
    <x:mergeCell ref="E1340:E1341"/>
    <x:mergeCell ref="R1340:R1341"/>
    <x:mergeCell ref="S1340:S1341"/>
    <x:mergeCell ref="A1342:A1343"/>
    <x:mergeCell ref="B1342:B1343"/>
    <x:mergeCell ref="E1342:E1343"/>
    <x:mergeCell ref="R1342:R1343"/>
    <x:mergeCell ref="S1342:S1343"/>
    <x:mergeCell ref="A1344:A1345"/>
    <x:mergeCell ref="B1344:B1345"/>
    <x:mergeCell ref="E1344:E1345"/>
    <x:mergeCell ref="R1344:R1345"/>
    <x:mergeCell ref="S1344:S1345"/>
    <x:mergeCell ref="A1346:A1347"/>
    <x:mergeCell ref="B1346:B1347"/>
    <x:mergeCell ref="E1346:E1347"/>
    <x:mergeCell ref="R1346:R1347"/>
    <x:mergeCell ref="S1346:S1347"/>
    <x:mergeCell ref="A1348:A1349"/>
    <x:mergeCell ref="B1348:B1349"/>
    <x:mergeCell ref="E1348:E1349"/>
    <x:mergeCell ref="R1348:R1349"/>
    <x:mergeCell ref="S1348:S1349"/>
    <x:mergeCell ref="A1350:A1351"/>
    <x:mergeCell ref="B1350:B1351"/>
    <x:mergeCell ref="E1350:E1351"/>
    <x:mergeCell ref="R1350:R1351"/>
    <x:mergeCell ref="S1350:S1351"/>
    <x:mergeCell ref="A1352:A1353"/>
    <x:mergeCell ref="B1352:B1353"/>
    <x:mergeCell ref="E1352:E1353"/>
    <x:mergeCell ref="R1352:R1353"/>
    <x:mergeCell ref="S1352:S1353"/>
    <x:mergeCell ref="A1354:A1355"/>
    <x:mergeCell ref="B1354:B1355"/>
    <x:mergeCell ref="E1354:E1355"/>
    <x:mergeCell ref="R1354:R1355"/>
    <x:mergeCell ref="S1354:S1355"/>
    <x:mergeCell ref="A1356:A1357"/>
    <x:mergeCell ref="B1356:B1357"/>
    <x:mergeCell ref="E1356:E1357"/>
    <x:mergeCell ref="R1356:R1357"/>
    <x:mergeCell ref="S1356:S1357"/>
    <x:mergeCell ref="A1358:A1359"/>
    <x:mergeCell ref="B1358:B1359"/>
    <x:mergeCell ref="E1358:E1359"/>
    <x:mergeCell ref="R1358:R1359"/>
    <x:mergeCell ref="S1358:S1359"/>
    <x:mergeCell ref="A1360:A1361"/>
    <x:mergeCell ref="B1360:B1361"/>
    <x:mergeCell ref="E1360:E1361"/>
    <x:mergeCell ref="R1360:R1361"/>
    <x:mergeCell ref="S1360:S1361"/>
    <x:mergeCell ref="A1362:A1363"/>
    <x:mergeCell ref="B1362:B1363"/>
    <x:mergeCell ref="E1362:E1363"/>
    <x:mergeCell ref="R1362:R1363"/>
    <x:mergeCell ref="S1362:S1363"/>
    <x:mergeCell ref="A1364:A1365"/>
    <x:mergeCell ref="B1364:B1365"/>
    <x:mergeCell ref="E1364:E1365"/>
    <x:mergeCell ref="R1364:R1365"/>
    <x:mergeCell ref="S1364:S1365"/>
    <x:mergeCell ref="A1366:A1367"/>
    <x:mergeCell ref="B1366:B1367"/>
    <x:mergeCell ref="E1366:E1367"/>
    <x:mergeCell ref="R1366:R1367"/>
    <x:mergeCell ref="S1366:S1367"/>
    <x:mergeCell ref="A1368:A1369"/>
    <x:mergeCell ref="B1368:B1369"/>
    <x:mergeCell ref="E1368:E1369"/>
    <x:mergeCell ref="R1368:R1369"/>
    <x:mergeCell ref="S1368:S1369"/>
    <x:mergeCell ref="A1370:A1371"/>
    <x:mergeCell ref="B1370:B1371"/>
    <x:mergeCell ref="E1370:E1371"/>
    <x:mergeCell ref="R1370:R1371"/>
    <x:mergeCell ref="S1370:S1371"/>
    <x:mergeCell ref="A1372:S1372"/>
    <x:mergeCell ref="A1373:A1374"/>
    <x:mergeCell ref="B1373:B1374"/>
    <x:mergeCell ref="E1373:E1374"/>
    <x:mergeCell ref="R1373:R1374"/>
    <x:mergeCell ref="S1373:S1374"/>
    <x:mergeCell ref="A1375:A1376"/>
    <x:mergeCell ref="B1375:B1376"/>
    <x:mergeCell ref="E1375:E1376"/>
    <x:mergeCell ref="R1375:R1376"/>
    <x:mergeCell ref="S1375:S1376"/>
    <x:mergeCell ref="A1377:A1378"/>
    <x:mergeCell ref="B1377:B1378"/>
    <x:mergeCell ref="E1377:E1378"/>
    <x:mergeCell ref="R1377:R1378"/>
    <x:mergeCell ref="S1377:S1378"/>
    <x:mergeCell ref="A1379:A1380"/>
    <x:mergeCell ref="B1379:B1380"/>
    <x:mergeCell ref="E1379:E1380"/>
    <x:mergeCell ref="R1379:R1380"/>
    <x:mergeCell ref="S1379:S1380"/>
    <x:mergeCell ref="A1381:A1382"/>
    <x:mergeCell ref="B1381:B1382"/>
    <x:mergeCell ref="E1381:E1382"/>
    <x:mergeCell ref="R1381:R1382"/>
    <x:mergeCell ref="S1381:S1382"/>
    <x:mergeCell ref="A1383:A1384"/>
    <x:mergeCell ref="B1383:B1384"/>
    <x:mergeCell ref="E1383:E1384"/>
    <x:mergeCell ref="R1383:R1384"/>
    <x:mergeCell ref="S1383:S1384"/>
    <x:mergeCell ref="A1385:A1386"/>
    <x:mergeCell ref="B1385:B1386"/>
    <x:mergeCell ref="E1385:E1386"/>
    <x:mergeCell ref="R1385:R1386"/>
    <x:mergeCell ref="S1385:S1386"/>
    <x:mergeCell ref="A1387:A1388"/>
    <x:mergeCell ref="B1387:B1388"/>
    <x:mergeCell ref="E1387:E1388"/>
    <x:mergeCell ref="R1387:R1388"/>
    <x:mergeCell ref="S1387:S1388"/>
    <x:mergeCell ref="A1389:A1390"/>
    <x:mergeCell ref="B1389:B1390"/>
    <x:mergeCell ref="E1389:E1390"/>
    <x:mergeCell ref="R1389:R1390"/>
    <x:mergeCell ref="S1389:S1390"/>
    <x:mergeCell ref="A1391:A1392"/>
    <x:mergeCell ref="B1391:B1392"/>
    <x:mergeCell ref="E1391:E1392"/>
    <x:mergeCell ref="R1391:R1392"/>
    <x:mergeCell ref="S1391:S1392"/>
    <x:mergeCell ref="A1393:A1394"/>
    <x:mergeCell ref="B1393:B1394"/>
    <x:mergeCell ref="E1393:E1394"/>
    <x:mergeCell ref="R1393:R1394"/>
    <x:mergeCell ref="S1393:S1394"/>
    <x:mergeCell ref="A1395:A1396"/>
    <x:mergeCell ref="B1395:B1396"/>
    <x:mergeCell ref="E1395:E1396"/>
    <x:mergeCell ref="R1395:R1396"/>
    <x:mergeCell ref="S1395:S1396"/>
    <x:mergeCell ref="A1397:A1398"/>
    <x:mergeCell ref="B1397:B1398"/>
    <x:mergeCell ref="E1397:E1398"/>
    <x:mergeCell ref="R1397:R1398"/>
    <x:mergeCell ref="S1397:S1398"/>
    <x:mergeCell ref="A1399:A1400"/>
    <x:mergeCell ref="B1399:B1400"/>
    <x:mergeCell ref="E1399:E1400"/>
    <x:mergeCell ref="R1399:R1400"/>
    <x:mergeCell ref="S1399:S1400"/>
    <x:mergeCell ref="A1401:A1402"/>
    <x:mergeCell ref="B1401:B1402"/>
    <x:mergeCell ref="E1401:E1402"/>
    <x:mergeCell ref="R1401:R1402"/>
    <x:mergeCell ref="S1401:S1402"/>
    <x:mergeCell ref="A1403:A1404"/>
    <x:mergeCell ref="B1403:B1404"/>
    <x:mergeCell ref="E1403:E1404"/>
    <x:mergeCell ref="R1403:R1404"/>
    <x:mergeCell ref="S1403:S1404"/>
    <x:mergeCell ref="A1405:A1406"/>
    <x:mergeCell ref="B1405:B1406"/>
    <x:mergeCell ref="E1405:E1406"/>
    <x:mergeCell ref="R1405:R1406"/>
    <x:mergeCell ref="S1405:S1406"/>
    <x:mergeCell ref="A1407:A1408"/>
    <x:mergeCell ref="B1407:B1408"/>
    <x:mergeCell ref="E1407:E1408"/>
    <x:mergeCell ref="R1407:R1408"/>
    <x:mergeCell ref="S1407:S1408"/>
    <x:mergeCell ref="A1409:S1409"/>
    <x:mergeCell ref="A1410:A1411"/>
    <x:mergeCell ref="B1410:B1411"/>
    <x:mergeCell ref="E1410:E1411"/>
    <x:mergeCell ref="R1410:R1411"/>
    <x:mergeCell ref="S1410:S1411"/>
    <x:mergeCell ref="A1412:A1413"/>
    <x:mergeCell ref="B1412:B1413"/>
    <x:mergeCell ref="E1412:E1413"/>
    <x:mergeCell ref="R1412:R1413"/>
    <x:mergeCell ref="S1412:S1413"/>
    <x:mergeCell ref="A1414:A1415"/>
    <x:mergeCell ref="B1414:B1415"/>
    <x:mergeCell ref="E1414:E1415"/>
    <x:mergeCell ref="R1414:R1415"/>
    <x:mergeCell ref="S1414:S1415"/>
    <x:mergeCell ref="A1416:A1417"/>
    <x:mergeCell ref="B1416:B1417"/>
    <x:mergeCell ref="E1416:E1417"/>
    <x:mergeCell ref="R1416:R1417"/>
    <x:mergeCell ref="S1416:S1417"/>
    <x:mergeCell ref="A1418:A1419"/>
    <x:mergeCell ref="B1418:B1419"/>
    <x:mergeCell ref="E1418:E1419"/>
    <x:mergeCell ref="R1418:R1419"/>
    <x:mergeCell ref="S1418:S1419"/>
    <x:mergeCell ref="A1420:A1421"/>
    <x:mergeCell ref="B1420:B1421"/>
    <x:mergeCell ref="E1420:E1421"/>
    <x:mergeCell ref="R1420:R1421"/>
    <x:mergeCell ref="S1420:S1421"/>
    <x:mergeCell ref="A1422:A1423"/>
    <x:mergeCell ref="B1422:B1423"/>
    <x:mergeCell ref="E1422:E1423"/>
    <x:mergeCell ref="R1422:R1423"/>
    <x:mergeCell ref="S1422:S1423"/>
    <x:mergeCell ref="A1424:A1425"/>
    <x:mergeCell ref="B1424:B1425"/>
    <x:mergeCell ref="E1424:E1425"/>
    <x:mergeCell ref="R1424:R1425"/>
    <x:mergeCell ref="S1424:S1425"/>
    <x:mergeCell ref="A1426:A1427"/>
    <x:mergeCell ref="B1426:B1427"/>
    <x:mergeCell ref="E1426:E1427"/>
    <x:mergeCell ref="R1426:R1427"/>
    <x:mergeCell ref="S1426:S1427"/>
    <x:mergeCell ref="A1428:A1429"/>
    <x:mergeCell ref="B1428:B1429"/>
    <x:mergeCell ref="E1428:E1429"/>
    <x:mergeCell ref="R1428:R1429"/>
    <x:mergeCell ref="S1428:S1429"/>
    <x:mergeCell ref="A1430:A1431"/>
    <x:mergeCell ref="B1430:B1431"/>
    <x:mergeCell ref="E1430:E1431"/>
    <x:mergeCell ref="R1430:R1431"/>
    <x:mergeCell ref="S1430:S1431"/>
    <x:mergeCell ref="A1432:A1433"/>
    <x:mergeCell ref="B1432:B1433"/>
    <x:mergeCell ref="E1432:E1433"/>
    <x:mergeCell ref="R1432:R1433"/>
    <x:mergeCell ref="S1432:S1433"/>
    <x:mergeCell ref="A1434:S1434"/>
    <x:mergeCell ref="A1435:A1436"/>
    <x:mergeCell ref="B1435:B1436"/>
    <x:mergeCell ref="E1435:E1436"/>
    <x:mergeCell ref="R1435:R1436"/>
    <x:mergeCell ref="S1435:S1436"/>
    <x:mergeCell ref="A1437:A1438"/>
    <x:mergeCell ref="B1437:B1438"/>
    <x:mergeCell ref="E1437:E1438"/>
    <x:mergeCell ref="R1437:R1438"/>
    <x:mergeCell ref="S1437:S1438"/>
    <x:mergeCell ref="A1439:A1440"/>
    <x:mergeCell ref="B1439:B1440"/>
    <x:mergeCell ref="E1439:E1440"/>
    <x:mergeCell ref="R1439:R1440"/>
    <x:mergeCell ref="S1439:S1440"/>
    <x:mergeCell ref="A1441:A1442"/>
    <x:mergeCell ref="B1441:B1442"/>
    <x:mergeCell ref="E1441:E1442"/>
    <x:mergeCell ref="R1441:R1442"/>
    <x:mergeCell ref="S1441:S1442"/>
    <x:mergeCell ref="A1443:A1444"/>
    <x:mergeCell ref="B1443:B1444"/>
    <x:mergeCell ref="E1443:E1444"/>
    <x:mergeCell ref="R1443:R1444"/>
    <x:mergeCell ref="S1443:S1444"/>
    <x:mergeCell ref="A1445:A1446"/>
    <x:mergeCell ref="B1445:B1446"/>
    <x:mergeCell ref="E1445:E1446"/>
    <x:mergeCell ref="R1445:R1446"/>
    <x:mergeCell ref="S1445:S1446"/>
    <x:mergeCell ref="A1447:A1448"/>
    <x:mergeCell ref="B1447:B1448"/>
    <x:mergeCell ref="E1447:E1448"/>
    <x:mergeCell ref="R1447:R1448"/>
    <x:mergeCell ref="S1447:S1448"/>
    <x:mergeCell ref="A1449:A1450"/>
    <x:mergeCell ref="B1449:B1450"/>
    <x:mergeCell ref="E1449:E1450"/>
    <x:mergeCell ref="R1449:R1450"/>
    <x:mergeCell ref="S1449:S1450"/>
    <x:mergeCell ref="A1451:A1452"/>
    <x:mergeCell ref="B1451:B1452"/>
    <x:mergeCell ref="E1451:E1452"/>
    <x:mergeCell ref="R1451:R1452"/>
    <x:mergeCell ref="S1451:S1452"/>
    <x:mergeCell ref="A1453:A1454"/>
    <x:mergeCell ref="B1453:B1454"/>
    <x:mergeCell ref="E1453:E1454"/>
    <x:mergeCell ref="R1453:R1454"/>
    <x:mergeCell ref="S1453:S1454"/>
    <x:mergeCell ref="A1455:A1456"/>
    <x:mergeCell ref="B1455:B1456"/>
    <x:mergeCell ref="E1455:E1456"/>
    <x:mergeCell ref="R1455:R1456"/>
    <x:mergeCell ref="S1455:S1456"/>
    <x:mergeCell ref="A1457:A1458"/>
    <x:mergeCell ref="B1457:B1458"/>
    <x:mergeCell ref="E1457:E1458"/>
    <x:mergeCell ref="R1457:R1458"/>
    <x:mergeCell ref="S1457:S1458"/>
    <x:mergeCell ref="A1459:A1460"/>
    <x:mergeCell ref="B1459:B1460"/>
    <x:mergeCell ref="E1459:E1460"/>
    <x:mergeCell ref="R1459:R1460"/>
    <x:mergeCell ref="S1459:S1460"/>
    <x:mergeCell ref="A1461:A1462"/>
    <x:mergeCell ref="B1461:B1462"/>
    <x:mergeCell ref="E1461:E1462"/>
    <x:mergeCell ref="R1461:R1462"/>
    <x:mergeCell ref="S1461:S1462"/>
    <x:mergeCell ref="A1463:S1463"/>
    <x:mergeCell ref="A1464:A1465"/>
    <x:mergeCell ref="B1464:B1465"/>
    <x:mergeCell ref="E1464:E1465"/>
    <x:mergeCell ref="R1464:R1465"/>
    <x:mergeCell ref="S1464:S1465"/>
    <x:mergeCell ref="A1466:A1467"/>
    <x:mergeCell ref="B1466:B1467"/>
    <x:mergeCell ref="E1466:E1467"/>
    <x:mergeCell ref="R1466:R1467"/>
    <x:mergeCell ref="S1466:S1467"/>
    <x:mergeCell ref="A1468:A1469"/>
    <x:mergeCell ref="B1468:B1469"/>
    <x:mergeCell ref="E1468:E1469"/>
    <x:mergeCell ref="R1468:R1469"/>
    <x:mergeCell ref="S1468:S1469"/>
    <x:mergeCell ref="A1470:A1471"/>
    <x:mergeCell ref="B1470:B1471"/>
    <x:mergeCell ref="E1470:E1471"/>
    <x:mergeCell ref="R1470:R1471"/>
    <x:mergeCell ref="S1470:S1471"/>
    <x:mergeCell ref="A1472:A1473"/>
    <x:mergeCell ref="B1472:B1473"/>
    <x:mergeCell ref="E1472:E1473"/>
    <x:mergeCell ref="R1472:R1473"/>
    <x:mergeCell ref="S1472:S1473"/>
    <x:mergeCell ref="A1474:A1475"/>
    <x:mergeCell ref="B1474:B1475"/>
    <x:mergeCell ref="E1474:E1475"/>
    <x:mergeCell ref="R1474:R1475"/>
    <x:mergeCell ref="S1474:S1475"/>
    <x:mergeCell ref="A1476:A1477"/>
    <x:mergeCell ref="B1476:B1477"/>
    <x:mergeCell ref="E1476:E1477"/>
    <x:mergeCell ref="R1476:R1477"/>
    <x:mergeCell ref="S1476:S1477"/>
    <x:mergeCell ref="A1478:A1479"/>
    <x:mergeCell ref="B1478:B1479"/>
    <x:mergeCell ref="E1478:E1479"/>
    <x:mergeCell ref="R1478:R1479"/>
    <x:mergeCell ref="S1478:S1479"/>
    <x:mergeCell ref="A1480:A1481"/>
    <x:mergeCell ref="B1480:B1481"/>
    <x:mergeCell ref="E1480:E1481"/>
    <x:mergeCell ref="R1480:R1481"/>
    <x:mergeCell ref="S1480:S1481"/>
    <x:mergeCell ref="A1482:A1483"/>
    <x:mergeCell ref="B1482:B1483"/>
    <x:mergeCell ref="E1482:E1483"/>
    <x:mergeCell ref="R1482:R1483"/>
    <x:mergeCell ref="S1482:S1483"/>
    <x:mergeCell ref="A1484:A1485"/>
    <x:mergeCell ref="B1484:B1485"/>
    <x:mergeCell ref="E1484:E1485"/>
    <x:mergeCell ref="R1484:R1485"/>
    <x:mergeCell ref="S1484:S1485"/>
    <x:mergeCell ref="A1486:A1487"/>
    <x:mergeCell ref="B1486:B1487"/>
    <x:mergeCell ref="E1486:E1487"/>
    <x:mergeCell ref="R1486:R1487"/>
    <x:mergeCell ref="S1486:S1487"/>
    <x:mergeCell ref="A1488:A1489"/>
    <x:mergeCell ref="B1488:B1489"/>
    <x:mergeCell ref="E1488:E1489"/>
    <x:mergeCell ref="R1488:R1489"/>
    <x:mergeCell ref="S1488:S1489"/>
    <x:mergeCell ref="A1490:A1491"/>
    <x:mergeCell ref="B1490:B1491"/>
    <x:mergeCell ref="E1490:E1491"/>
    <x:mergeCell ref="R1490:R1491"/>
    <x:mergeCell ref="S1490:S1491"/>
    <x:mergeCell ref="A1492:A1493"/>
    <x:mergeCell ref="B1492:B1493"/>
    <x:mergeCell ref="E1492:E1493"/>
    <x:mergeCell ref="R1492:R1493"/>
    <x:mergeCell ref="S1492:S1493"/>
    <x:mergeCell ref="A1494:A1495"/>
    <x:mergeCell ref="B1494:B1495"/>
    <x:mergeCell ref="E1494:E1495"/>
    <x:mergeCell ref="R1494:R1495"/>
    <x:mergeCell ref="S1494:S1495"/>
    <x:mergeCell ref="A1496:A1497"/>
    <x:mergeCell ref="B1496:B1497"/>
    <x:mergeCell ref="E1496:E1497"/>
    <x:mergeCell ref="R1496:R1497"/>
    <x:mergeCell ref="S1496:S1497"/>
    <x:mergeCell ref="A1498:A1499"/>
    <x:mergeCell ref="B1498:B1499"/>
    <x:mergeCell ref="E1498:E1499"/>
    <x:mergeCell ref="R1498:R1499"/>
    <x:mergeCell ref="S1498:S1499"/>
    <x:mergeCell ref="A1500:A1501"/>
    <x:mergeCell ref="B1500:B1501"/>
    <x:mergeCell ref="E1500:E1501"/>
    <x:mergeCell ref="R1500:R1501"/>
    <x:mergeCell ref="S1500:S1501"/>
    <x:mergeCell ref="A1502:A1503"/>
    <x:mergeCell ref="B1502:B1503"/>
    <x:mergeCell ref="E1502:E1503"/>
    <x:mergeCell ref="R1502:R1503"/>
    <x:mergeCell ref="S1502:S1503"/>
    <x:mergeCell ref="A1504:S1504"/>
    <x:mergeCell ref="A1505:A1506"/>
    <x:mergeCell ref="B1505:B1506"/>
    <x:mergeCell ref="E1505:E1506"/>
    <x:mergeCell ref="R1505:R1506"/>
    <x:mergeCell ref="S1505:S1506"/>
    <x:mergeCell ref="A1507:A1508"/>
    <x:mergeCell ref="B1507:B1508"/>
    <x:mergeCell ref="E1507:E1508"/>
    <x:mergeCell ref="R1507:R1508"/>
    <x:mergeCell ref="S1507:S1508"/>
    <x:mergeCell ref="A1509:A1510"/>
    <x:mergeCell ref="B1509:B1510"/>
    <x:mergeCell ref="E1509:E1510"/>
    <x:mergeCell ref="R1509:R1510"/>
    <x:mergeCell ref="S1509:S1510"/>
    <x:mergeCell ref="A1511:A1512"/>
    <x:mergeCell ref="B1511:B1512"/>
    <x:mergeCell ref="E1511:E1512"/>
    <x:mergeCell ref="R1511:R1512"/>
    <x:mergeCell ref="S1511:S1512"/>
    <x:mergeCell ref="A1513:A1514"/>
    <x:mergeCell ref="B1513:B1514"/>
    <x:mergeCell ref="E1513:E1514"/>
    <x:mergeCell ref="R1513:R1514"/>
    <x:mergeCell ref="S1513:S1514"/>
    <x:mergeCell ref="A1515:A1516"/>
    <x:mergeCell ref="B1515:B1516"/>
    <x:mergeCell ref="E1515:E1516"/>
    <x:mergeCell ref="R1515:R1516"/>
    <x:mergeCell ref="S1515:S1516"/>
    <x:mergeCell ref="A1517:A1518"/>
    <x:mergeCell ref="B1517:B1518"/>
    <x:mergeCell ref="E1517:E1518"/>
    <x:mergeCell ref="R1517:R1518"/>
    <x:mergeCell ref="S1517:S1518"/>
    <x:mergeCell ref="A1519:A1520"/>
    <x:mergeCell ref="B1519:B1520"/>
    <x:mergeCell ref="E1519:E1520"/>
    <x:mergeCell ref="R1519:R1520"/>
    <x:mergeCell ref="S1519:S1520"/>
    <x:mergeCell ref="A1521:A1522"/>
    <x:mergeCell ref="B1521:B1522"/>
    <x:mergeCell ref="E1521:E1522"/>
    <x:mergeCell ref="R1521:R1522"/>
    <x:mergeCell ref="S1521:S1522"/>
    <x:mergeCell ref="A1523:A1524"/>
    <x:mergeCell ref="B1523:B1524"/>
    <x:mergeCell ref="E1523:E1524"/>
    <x:mergeCell ref="R1523:R1524"/>
    <x:mergeCell ref="S1523:S1524"/>
    <x:mergeCell ref="A1525:A1526"/>
    <x:mergeCell ref="B1525:B1526"/>
    <x:mergeCell ref="E1525:E1526"/>
    <x:mergeCell ref="R1525:R1526"/>
    <x:mergeCell ref="S1525:S1526"/>
    <x:mergeCell ref="A1527:A1528"/>
    <x:mergeCell ref="B1527:B1528"/>
    <x:mergeCell ref="E1527:E1528"/>
    <x:mergeCell ref="R1527:R1528"/>
    <x:mergeCell ref="S1527:S1528"/>
    <x:mergeCell ref="A1529:A1530"/>
    <x:mergeCell ref="B1529:B1530"/>
    <x:mergeCell ref="E1529:E1530"/>
    <x:mergeCell ref="R1529:R1530"/>
    <x:mergeCell ref="S1529:S1530"/>
    <x:mergeCell ref="A1531:A1532"/>
    <x:mergeCell ref="B1531:B1532"/>
    <x:mergeCell ref="E1531:E1532"/>
    <x:mergeCell ref="R1531:R1532"/>
    <x:mergeCell ref="S1531:S1532"/>
    <x:mergeCell ref="A1533:A1534"/>
    <x:mergeCell ref="B1533:B1534"/>
    <x:mergeCell ref="E1533:E1534"/>
    <x:mergeCell ref="R1533:R1534"/>
    <x:mergeCell ref="S1533:S1534"/>
    <x:mergeCell ref="A1535:A1536"/>
    <x:mergeCell ref="B1535:B1536"/>
    <x:mergeCell ref="E1535:E1536"/>
    <x:mergeCell ref="R1535:R1536"/>
    <x:mergeCell ref="S1535:S1536"/>
    <x:mergeCell ref="A1537:A1538"/>
    <x:mergeCell ref="B1537:B1538"/>
    <x:mergeCell ref="E1537:E1538"/>
    <x:mergeCell ref="R1537:R1538"/>
    <x:mergeCell ref="S1537:S1538"/>
    <x:mergeCell ref="A1539:A1540"/>
    <x:mergeCell ref="B1539:B1540"/>
    <x:mergeCell ref="E1539:E1540"/>
    <x:mergeCell ref="R1539:R1540"/>
    <x:mergeCell ref="S1539:S1540"/>
    <x:mergeCell ref="A1541:A1542"/>
    <x:mergeCell ref="B1541:B1542"/>
    <x:mergeCell ref="E1541:E1542"/>
    <x:mergeCell ref="R1541:R1542"/>
    <x:mergeCell ref="S1541:S1542"/>
    <x:mergeCell ref="A1543:S1543"/>
    <x:mergeCell ref="A1544:A1545"/>
    <x:mergeCell ref="B1544:B1545"/>
    <x:mergeCell ref="E1544:E1545"/>
    <x:mergeCell ref="R1544:R1545"/>
    <x:mergeCell ref="S1544:S1545"/>
    <x:mergeCell ref="A1546:A1547"/>
    <x:mergeCell ref="B1546:B1547"/>
    <x:mergeCell ref="E1546:E1547"/>
    <x:mergeCell ref="R1546:R1547"/>
    <x:mergeCell ref="S1546:S1547"/>
    <x:mergeCell ref="A1548:A1549"/>
    <x:mergeCell ref="B1548:B1549"/>
    <x:mergeCell ref="E1548:E1549"/>
    <x:mergeCell ref="R1548:R1549"/>
    <x:mergeCell ref="S1548:S1549"/>
    <x:mergeCell ref="A1550:A1551"/>
    <x:mergeCell ref="B1550:B1551"/>
    <x:mergeCell ref="E1550:E1551"/>
    <x:mergeCell ref="R1550:R1551"/>
    <x:mergeCell ref="S1550:S1551"/>
    <x:mergeCell ref="A1552:A1553"/>
    <x:mergeCell ref="B1552:B1553"/>
    <x:mergeCell ref="E1552:E1553"/>
    <x:mergeCell ref="R1552:R1553"/>
    <x:mergeCell ref="S1552:S1553"/>
    <x:mergeCell ref="A1554:A1555"/>
    <x:mergeCell ref="B1554:B1555"/>
    <x:mergeCell ref="E1554:E1555"/>
    <x:mergeCell ref="R1554:R1555"/>
    <x:mergeCell ref="S1554:S1555"/>
    <x:mergeCell ref="A1556:A1557"/>
    <x:mergeCell ref="B1556:B1557"/>
    <x:mergeCell ref="E1556:E1557"/>
    <x:mergeCell ref="R1556:R1557"/>
    <x:mergeCell ref="S1556:S1557"/>
    <x:mergeCell ref="A1558:A1559"/>
    <x:mergeCell ref="B1558:B1559"/>
    <x:mergeCell ref="E1558:E1559"/>
    <x:mergeCell ref="R1558:R1559"/>
    <x:mergeCell ref="S1558:S1559"/>
    <x:mergeCell ref="A1560:A1561"/>
    <x:mergeCell ref="B1560:B1561"/>
    <x:mergeCell ref="E1560:E1561"/>
    <x:mergeCell ref="R1560:R1561"/>
    <x:mergeCell ref="S1560:S1561"/>
    <x:mergeCell ref="A1562:A1563"/>
    <x:mergeCell ref="B1562:B1563"/>
    <x:mergeCell ref="E1562:E1563"/>
    <x:mergeCell ref="R1562:R1563"/>
    <x:mergeCell ref="S1562:S1563"/>
    <x:mergeCell ref="A1564:A1565"/>
    <x:mergeCell ref="B1564:B1565"/>
    <x:mergeCell ref="E1564:E1565"/>
    <x:mergeCell ref="R1564:R1565"/>
    <x:mergeCell ref="S1564:S1565"/>
    <x:mergeCell ref="A1566:A1567"/>
    <x:mergeCell ref="B1566:B1567"/>
    <x:mergeCell ref="E1566:E1567"/>
    <x:mergeCell ref="R1566:R1567"/>
    <x:mergeCell ref="S1566:S1567"/>
    <x:mergeCell ref="A1568:A1569"/>
    <x:mergeCell ref="B1568:B1569"/>
    <x:mergeCell ref="E1568:E1569"/>
    <x:mergeCell ref="R1568:R1569"/>
    <x:mergeCell ref="S1568:S1569"/>
    <x:mergeCell ref="A1570:S1570"/>
    <x:mergeCell ref="A1571:A1572"/>
    <x:mergeCell ref="B1571:B1572"/>
    <x:mergeCell ref="E1571:E1572"/>
    <x:mergeCell ref="R1571:R1572"/>
    <x:mergeCell ref="S1571:S1572"/>
    <x:mergeCell ref="A1573:A1574"/>
    <x:mergeCell ref="B1573:B1574"/>
    <x:mergeCell ref="E1573:E1574"/>
    <x:mergeCell ref="R1573:R1574"/>
    <x:mergeCell ref="S1573:S1574"/>
    <x:mergeCell ref="A1575:A1576"/>
    <x:mergeCell ref="B1575:B1576"/>
    <x:mergeCell ref="E1575:E1576"/>
    <x:mergeCell ref="R1575:R1576"/>
    <x:mergeCell ref="S1575:S1576"/>
    <x:mergeCell ref="A1577:A1578"/>
    <x:mergeCell ref="B1577:B1578"/>
    <x:mergeCell ref="E1577:E1578"/>
    <x:mergeCell ref="R1577:R1578"/>
    <x:mergeCell ref="S1577:S1578"/>
    <x:mergeCell ref="A1579:A1580"/>
    <x:mergeCell ref="B1579:B1580"/>
    <x:mergeCell ref="E1579:E1580"/>
    <x:mergeCell ref="R1579:R1580"/>
    <x:mergeCell ref="S1579:S1580"/>
    <x:mergeCell ref="A1581:A1582"/>
    <x:mergeCell ref="B1581:B1582"/>
    <x:mergeCell ref="E1581:E1582"/>
    <x:mergeCell ref="R1581:R1582"/>
    <x:mergeCell ref="S1581:S1582"/>
    <x:mergeCell ref="A1583:A1584"/>
    <x:mergeCell ref="B1583:B1584"/>
    <x:mergeCell ref="E1583:E1584"/>
    <x:mergeCell ref="R1583:R1584"/>
    <x:mergeCell ref="S1583:S1584"/>
    <x:mergeCell ref="A1585:A1586"/>
    <x:mergeCell ref="B1585:B1586"/>
    <x:mergeCell ref="E1585:E1586"/>
    <x:mergeCell ref="R1585:R1586"/>
    <x:mergeCell ref="S1585:S1586"/>
    <x:mergeCell ref="A1587:A1588"/>
    <x:mergeCell ref="B1587:B1588"/>
    <x:mergeCell ref="E1587:E1588"/>
    <x:mergeCell ref="R1587:R1588"/>
    <x:mergeCell ref="S1587:S1588"/>
    <x:mergeCell ref="A1589:A1590"/>
    <x:mergeCell ref="B1589:B1590"/>
    <x:mergeCell ref="E1589:E1590"/>
    <x:mergeCell ref="R1589:R1590"/>
    <x:mergeCell ref="S1589:S1590"/>
    <x:mergeCell ref="A1591:A1592"/>
    <x:mergeCell ref="B1591:B1592"/>
    <x:mergeCell ref="E1591:E1592"/>
    <x:mergeCell ref="R1591:R1592"/>
    <x:mergeCell ref="S1591:S1592"/>
    <x:mergeCell ref="A1593:A1594"/>
    <x:mergeCell ref="B1593:B1594"/>
    <x:mergeCell ref="E1593:E1594"/>
    <x:mergeCell ref="R1593:R1594"/>
    <x:mergeCell ref="S1593:S1594"/>
    <x:mergeCell ref="A1595:A1596"/>
    <x:mergeCell ref="B1595:B1596"/>
    <x:mergeCell ref="E1595:E1596"/>
    <x:mergeCell ref="R1595:R1596"/>
    <x:mergeCell ref="S1595:S1596"/>
    <x:mergeCell ref="A1597:A1598"/>
    <x:mergeCell ref="B1597:B1598"/>
    <x:mergeCell ref="E1597:E1598"/>
    <x:mergeCell ref="R1597:R1598"/>
    <x:mergeCell ref="S1597:S1598"/>
    <x:mergeCell ref="A1599:A1600"/>
    <x:mergeCell ref="B1599:B1600"/>
    <x:mergeCell ref="E1599:E1600"/>
    <x:mergeCell ref="R1599:R1600"/>
    <x:mergeCell ref="S1599:S1600"/>
    <x:mergeCell ref="A1601:A1602"/>
    <x:mergeCell ref="B1601:B1602"/>
    <x:mergeCell ref="E1601:E1602"/>
    <x:mergeCell ref="R1601:R1602"/>
    <x:mergeCell ref="S1601:S1602"/>
    <x:mergeCell ref="A1603:A1604"/>
    <x:mergeCell ref="B1603:B1604"/>
    <x:mergeCell ref="E1603:E1604"/>
    <x:mergeCell ref="R1603:R1604"/>
    <x:mergeCell ref="S1603:S1604"/>
    <x:mergeCell ref="A1605:A1606"/>
    <x:mergeCell ref="B1605:B1606"/>
    <x:mergeCell ref="E1605:E1606"/>
    <x:mergeCell ref="R1605:R1606"/>
    <x:mergeCell ref="S1605:S1606"/>
    <x:mergeCell ref="A1607:A1608"/>
    <x:mergeCell ref="B1607:B1608"/>
    <x:mergeCell ref="E1607:E1608"/>
    <x:mergeCell ref="R1607:R1608"/>
    <x:mergeCell ref="S1607:S1608"/>
    <x:mergeCell ref="A1609:A1610"/>
    <x:mergeCell ref="B1609:B1610"/>
    <x:mergeCell ref="E1609:E1610"/>
    <x:mergeCell ref="R1609:R1610"/>
    <x:mergeCell ref="S1609:S1610"/>
    <x:mergeCell ref="A1611:A1612"/>
    <x:mergeCell ref="B1611:B1612"/>
    <x:mergeCell ref="E1611:E1612"/>
    <x:mergeCell ref="R1611:R1612"/>
    <x:mergeCell ref="S1611:S1612"/>
    <x:mergeCell ref="A1613:A1614"/>
    <x:mergeCell ref="B1613:B1614"/>
    <x:mergeCell ref="E1613:E1614"/>
    <x:mergeCell ref="R1613:R1614"/>
    <x:mergeCell ref="S1613:S1614"/>
    <x:mergeCell ref="A1615:S1615"/>
    <x:mergeCell ref="A1616:A1617"/>
    <x:mergeCell ref="B1616:B1617"/>
    <x:mergeCell ref="E1616:E1617"/>
    <x:mergeCell ref="R1616:R1617"/>
    <x:mergeCell ref="S1616:S1617"/>
    <x:mergeCell ref="A1618:A1619"/>
    <x:mergeCell ref="B1618:B1619"/>
    <x:mergeCell ref="E1618:E1619"/>
    <x:mergeCell ref="R1618:R1619"/>
    <x:mergeCell ref="S1618:S1619"/>
    <x:mergeCell ref="A1620:A1621"/>
    <x:mergeCell ref="B1620:B1621"/>
    <x:mergeCell ref="E1620:E1621"/>
    <x:mergeCell ref="R1620:R1621"/>
    <x:mergeCell ref="S1620:S1621"/>
    <x:mergeCell ref="A1622:A1623"/>
    <x:mergeCell ref="B1622:B1623"/>
    <x:mergeCell ref="E1622:E1623"/>
    <x:mergeCell ref="R1622:R1623"/>
    <x:mergeCell ref="S1622:S1623"/>
    <x:mergeCell ref="A1624:A1625"/>
    <x:mergeCell ref="B1624:B1625"/>
    <x:mergeCell ref="E1624:E1625"/>
    <x:mergeCell ref="R1624:R1625"/>
    <x:mergeCell ref="S1624:S1625"/>
    <x:mergeCell ref="A1626:A1627"/>
    <x:mergeCell ref="B1626:B1627"/>
    <x:mergeCell ref="E1626:E1627"/>
    <x:mergeCell ref="R1626:R1627"/>
    <x:mergeCell ref="S1626:S1627"/>
    <x:mergeCell ref="A1628:A1629"/>
    <x:mergeCell ref="B1628:B1629"/>
    <x:mergeCell ref="E1628:E1629"/>
    <x:mergeCell ref="R1628:R1629"/>
    <x:mergeCell ref="S1628:S1629"/>
    <x:mergeCell ref="A1630:A1631"/>
    <x:mergeCell ref="B1630:B1631"/>
    <x:mergeCell ref="E1630:E1631"/>
    <x:mergeCell ref="R1630:R1631"/>
    <x:mergeCell ref="S1630:S1631"/>
    <x:mergeCell ref="A1632:A1633"/>
    <x:mergeCell ref="B1632:B1633"/>
    <x:mergeCell ref="E1632:E1633"/>
    <x:mergeCell ref="R1632:R1633"/>
    <x:mergeCell ref="S1632:S1633"/>
    <x:mergeCell ref="A1634:A1635"/>
    <x:mergeCell ref="B1634:B1635"/>
    <x:mergeCell ref="E1634:E1635"/>
    <x:mergeCell ref="R1634:R1635"/>
    <x:mergeCell ref="S1634:S1635"/>
    <x:mergeCell ref="A1636:A1637"/>
    <x:mergeCell ref="B1636:B1637"/>
    <x:mergeCell ref="E1636:E1637"/>
    <x:mergeCell ref="R1636:R1637"/>
    <x:mergeCell ref="S1636:S1637"/>
    <x:mergeCell ref="A1638:A1639"/>
    <x:mergeCell ref="B1638:B1639"/>
    <x:mergeCell ref="E1638:E1639"/>
    <x:mergeCell ref="R1638:R1639"/>
    <x:mergeCell ref="S1638:S1639"/>
    <x:mergeCell ref="A1640:A1641"/>
    <x:mergeCell ref="B1640:B1641"/>
    <x:mergeCell ref="E1640:E1641"/>
    <x:mergeCell ref="R1640:R1641"/>
    <x:mergeCell ref="S1640:S1641"/>
    <x:mergeCell ref="A1642:S1642"/>
    <x:mergeCell ref="A1643:A1644"/>
    <x:mergeCell ref="B1643:B1644"/>
    <x:mergeCell ref="E1643:E1644"/>
    <x:mergeCell ref="R1643:R1644"/>
    <x:mergeCell ref="S1643:S1644"/>
    <x:mergeCell ref="A1645:A1646"/>
    <x:mergeCell ref="B1645:B1646"/>
    <x:mergeCell ref="E1645:E1646"/>
    <x:mergeCell ref="R1645:R1646"/>
    <x:mergeCell ref="S1645:S1646"/>
    <x:mergeCell ref="A1647:A1648"/>
    <x:mergeCell ref="B1647:B1648"/>
    <x:mergeCell ref="E1647:E1648"/>
    <x:mergeCell ref="R1647:R1648"/>
    <x:mergeCell ref="S1647:S1648"/>
    <x:mergeCell ref="A1649:A1650"/>
    <x:mergeCell ref="B1649:B1650"/>
    <x:mergeCell ref="E1649:E1650"/>
    <x:mergeCell ref="R1649:R1650"/>
    <x:mergeCell ref="S1649:S1650"/>
    <x:mergeCell ref="A1651:A1652"/>
    <x:mergeCell ref="B1651:B1652"/>
    <x:mergeCell ref="E1651:E1652"/>
    <x:mergeCell ref="R1651:R1652"/>
    <x:mergeCell ref="S1651:S1652"/>
    <x:mergeCell ref="A1653:A1654"/>
    <x:mergeCell ref="B1653:B1654"/>
    <x:mergeCell ref="E1653:E1654"/>
    <x:mergeCell ref="R1653:R1654"/>
    <x:mergeCell ref="S1653:S1654"/>
    <x:mergeCell ref="A1655:A1656"/>
    <x:mergeCell ref="B1655:B1656"/>
    <x:mergeCell ref="E1655:E1656"/>
    <x:mergeCell ref="R1655:R1656"/>
    <x:mergeCell ref="S1655:S1656"/>
    <x:mergeCell ref="A1657:A1658"/>
    <x:mergeCell ref="B1657:B1658"/>
    <x:mergeCell ref="E1657:E1658"/>
    <x:mergeCell ref="R1657:R1658"/>
    <x:mergeCell ref="S1657:S1658"/>
    <x:mergeCell ref="A1659:A1660"/>
    <x:mergeCell ref="B1659:B1660"/>
    <x:mergeCell ref="E1659:E1660"/>
    <x:mergeCell ref="R1659:R1660"/>
    <x:mergeCell ref="S1659:S1660"/>
    <x:mergeCell ref="A1661:A1662"/>
    <x:mergeCell ref="B1661:B1662"/>
    <x:mergeCell ref="E1661:E1662"/>
    <x:mergeCell ref="R1661:R1662"/>
    <x:mergeCell ref="S1661:S1662"/>
    <x:mergeCell ref="A1663:A1664"/>
    <x:mergeCell ref="B1663:B1664"/>
    <x:mergeCell ref="E1663:E1664"/>
    <x:mergeCell ref="R1663:R1664"/>
    <x:mergeCell ref="S1663:S1664"/>
    <x:mergeCell ref="A1665:A1666"/>
    <x:mergeCell ref="B1665:B1666"/>
    <x:mergeCell ref="E1665:E1666"/>
    <x:mergeCell ref="R1665:R1666"/>
    <x:mergeCell ref="S1665:S1666"/>
    <x:mergeCell ref="A1667:A1668"/>
    <x:mergeCell ref="B1667:B1668"/>
    <x:mergeCell ref="E1667:E1668"/>
    <x:mergeCell ref="R1667:R1668"/>
    <x:mergeCell ref="S1667:S1668"/>
    <x:mergeCell ref="A1669:A1670"/>
    <x:mergeCell ref="B1669:B1670"/>
    <x:mergeCell ref="E1669:E1670"/>
    <x:mergeCell ref="R1669:R1670"/>
    <x:mergeCell ref="S1669:S1670"/>
    <x:mergeCell ref="A1671:A1672"/>
    <x:mergeCell ref="B1671:B1672"/>
    <x:mergeCell ref="E1671:E1672"/>
    <x:mergeCell ref="R1671:R1672"/>
    <x:mergeCell ref="S1671:S1672"/>
    <x:mergeCell ref="A1673:A1674"/>
    <x:mergeCell ref="B1673:B1674"/>
    <x:mergeCell ref="E1673:E1674"/>
    <x:mergeCell ref="R1673:R1674"/>
    <x:mergeCell ref="S1673:S1674"/>
    <x:mergeCell ref="A1675:A1676"/>
    <x:mergeCell ref="B1675:B1676"/>
    <x:mergeCell ref="E1675:E1676"/>
    <x:mergeCell ref="R1675:R1676"/>
    <x:mergeCell ref="S1675:S1676"/>
    <x:mergeCell ref="A1677:A1678"/>
    <x:mergeCell ref="B1677:B1678"/>
    <x:mergeCell ref="E1677:E1678"/>
    <x:mergeCell ref="R1677:R1678"/>
    <x:mergeCell ref="S1677:S1678"/>
    <x:mergeCell ref="A1679:A1680"/>
    <x:mergeCell ref="B1679:B1680"/>
    <x:mergeCell ref="E1679:E1680"/>
    <x:mergeCell ref="R1679:R1680"/>
    <x:mergeCell ref="S1679:S1680"/>
    <x:mergeCell ref="A1681:A1682"/>
    <x:mergeCell ref="B1681:B1682"/>
    <x:mergeCell ref="E1681:E1682"/>
    <x:mergeCell ref="R1681:R1682"/>
    <x:mergeCell ref="S1681:S1682"/>
    <x:mergeCell ref="A1683:A1684"/>
    <x:mergeCell ref="B1683:B1684"/>
    <x:mergeCell ref="E1683:E1684"/>
    <x:mergeCell ref="R1683:R1684"/>
    <x:mergeCell ref="S1683:S1684"/>
    <x:mergeCell ref="A1685:A1686"/>
    <x:mergeCell ref="B1685:B1686"/>
    <x:mergeCell ref="E1685:E1686"/>
    <x:mergeCell ref="R1685:R1686"/>
    <x:mergeCell ref="S1685:S1686"/>
    <x:mergeCell ref="A1687:A1688"/>
    <x:mergeCell ref="B1687:B1688"/>
    <x:mergeCell ref="E1687:E1688"/>
    <x:mergeCell ref="R1687:R1688"/>
    <x:mergeCell ref="S1687:S1688"/>
    <x:mergeCell ref="A1689:A1690"/>
    <x:mergeCell ref="B1689:B1690"/>
    <x:mergeCell ref="E1689:E1690"/>
    <x:mergeCell ref="R1689:R1690"/>
    <x:mergeCell ref="S1689:S1690"/>
    <x:mergeCell ref="A1691:A1692"/>
    <x:mergeCell ref="B1691:B1692"/>
    <x:mergeCell ref="E1691:E1692"/>
    <x:mergeCell ref="R1691:R1692"/>
    <x:mergeCell ref="S1691:S1692"/>
    <x:mergeCell ref="A1693:S1693"/>
    <x:mergeCell ref="A1694:A1695"/>
    <x:mergeCell ref="B1694:B1695"/>
    <x:mergeCell ref="E1694:E1695"/>
    <x:mergeCell ref="R1694:R1695"/>
    <x:mergeCell ref="S1694:S1695"/>
    <x:mergeCell ref="A1696:A1697"/>
    <x:mergeCell ref="B1696:B1697"/>
    <x:mergeCell ref="E1696:E1697"/>
    <x:mergeCell ref="R1696:R1697"/>
    <x:mergeCell ref="S1696:S1697"/>
    <x:mergeCell ref="A1698:A1699"/>
    <x:mergeCell ref="B1698:B1699"/>
    <x:mergeCell ref="E1698:E1699"/>
    <x:mergeCell ref="R1698:R1699"/>
    <x:mergeCell ref="S1698:S1699"/>
    <x:mergeCell ref="A1700:A1701"/>
    <x:mergeCell ref="B1700:B1701"/>
    <x:mergeCell ref="E1700:E1701"/>
    <x:mergeCell ref="R1700:R1701"/>
    <x:mergeCell ref="S1700:S1701"/>
    <x:mergeCell ref="A1702:A1703"/>
    <x:mergeCell ref="B1702:B1703"/>
    <x:mergeCell ref="E1702:E1703"/>
    <x:mergeCell ref="R1702:R1703"/>
    <x:mergeCell ref="S1702:S1703"/>
    <x:mergeCell ref="A1704:A1705"/>
    <x:mergeCell ref="B1704:B1705"/>
    <x:mergeCell ref="E1704:E1705"/>
    <x:mergeCell ref="R1704:R1705"/>
    <x:mergeCell ref="S1704:S1705"/>
    <x:mergeCell ref="A1706:A1707"/>
    <x:mergeCell ref="B1706:B1707"/>
    <x:mergeCell ref="E1706:E1707"/>
    <x:mergeCell ref="R1706:R1707"/>
    <x:mergeCell ref="S1706:S1707"/>
    <x:mergeCell ref="A1708:A1709"/>
    <x:mergeCell ref="B1708:B1709"/>
    <x:mergeCell ref="E1708:E1709"/>
    <x:mergeCell ref="R1708:R1709"/>
    <x:mergeCell ref="S1708:S1709"/>
    <x:mergeCell ref="A1710:A1711"/>
    <x:mergeCell ref="B1710:B1711"/>
    <x:mergeCell ref="E1710:E1711"/>
    <x:mergeCell ref="R1710:R1711"/>
    <x:mergeCell ref="S1710:S1711"/>
    <x:mergeCell ref="A1712:A1713"/>
    <x:mergeCell ref="B1712:B1713"/>
    <x:mergeCell ref="E1712:E1713"/>
    <x:mergeCell ref="R1712:R1713"/>
    <x:mergeCell ref="S1712:S1713"/>
    <x:mergeCell ref="A1714:A1715"/>
    <x:mergeCell ref="B1714:B1715"/>
    <x:mergeCell ref="E1714:E1715"/>
    <x:mergeCell ref="R1714:R1715"/>
    <x:mergeCell ref="S1714:S1715"/>
    <x:mergeCell ref="A1716:A1717"/>
    <x:mergeCell ref="B1716:B1717"/>
    <x:mergeCell ref="E1716:E1717"/>
    <x:mergeCell ref="R1716:R1717"/>
    <x:mergeCell ref="S1716:S1717"/>
    <x:mergeCell ref="A1718:S1718"/>
    <x:mergeCell ref="A1719:A1720"/>
    <x:mergeCell ref="B1719:B1720"/>
    <x:mergeCell ref="E1719:E1720"/>
    <x:mergeCell ref="R1719:R1720"/>
    <x:mergeCell ref="S1719:S1720"/>
    <x:mergeCell ref="A1721:A1722"/>
    <x:mergeCell ref="B1721:B1722"/>
    <x:mergeCell ref="E1721:E1722"/>
    <x:mergeCell ref="R1721:R1722"/>
    <x:mergeCell ref="S1721:S1722"/>
    <x:mergeCell ref="A1723:A1724"/>
    <x:mergeCell ref="B1723:B1724"/>
    <x:mergeCell ref="E1723:E1724"/>
    <x:mergeCell ref="R1723:R1724"/>
    <x:mergeCell ref="S1723:S1724"/>
    <x:mergeCell ref="A1725:A1726"/>
    <x:mergeCell ref="B1725:B1726"/>
    <x:mergeCell ref="E1725:E1726"/>
    <x:mergeCell ref="R1725:R1726"/>
    <x:mergeCell ref="S1725:S1726"/>
    <x:mergeCell ref="A1727:A1728"/>
    <x:mergeCell ref="B1727:B1728"/>
    <x:mergeCell ref="E1727:E1728"/>
    <x:mergeCell ref="R1727:R1728"/>
    <x:mergeCell ref="S1727:S1728"/>
    <x:mergeCell ref="A1729:A1730"/>
    <x:mergeCell ref="B1729:B1730"/>
    <x:mergeCell ref="E1729:E1730"/>
    <x:mergeCell ref="R1729:R1730"/>
    <x:mergeCell ref="S1729:S1730"/>
    <x:mergeCell ref="A1731:A1732"/>
    <x:mergeCell ref="B1731:B1732"/>
    <x:mergeCell ref="E1731:E1732"/>
    <x:mergeCell ref="R1731:R1732"/>
    <x:mergeCell ref="S1731:S1732"/>
    <x:mergeCell ref="A1733:A1734"/>
    <x:mergeCell ref="B1733:B1734"/>
    <x:mergeCell ref="E1733:E1734"/>
    <x:mergeCell ref="R1733:R1734"/>
    <x:mergeCell ref="S1733:S1734"/>
    <x:mergeCell ref="A1735:A1736"/>
    <x:mergeCell ref="B1735:B1736"/>
    <x:mergeCell ref="E1735:E1736"/>
    <x:mergeCell ref="R1735:R1736"/>
    <x:mergeCell ref="S1735:S1736"/>
    <x:mergeCell ref="A1737:A1738"/>
    <x:mergeCell ref="B1737:B1738"/>
    <x:mergeCell ref="E1737:E1738"/>
    <x:mergeCell ref="R1737:R1738"/>
    <x:mergeCell ref="S1737:S1738"/>
    <x:mergeCell ref="A1739:A1740"/>
    <x:mergeCell ref="B1739:B1740"/>
    <x:mergeCell ref="E1739:E1740"/>
    <x:mergeCell ref="R1739:R1740"/>
    <x:mergeCell ref="S1739:S1740"/>
    <x:mergeCell ref="A1741:A1742"/>
    <x:mergeCell ref="B1741:B1742"/>
    <x:mergeCell ref="E1741:E1742"/>
    <x:mergeCell ref="R1741:R1742"/>
    <x:mergeCell ref="S1741:S1742"/>
    <x:mergeCell ref="A1743:A1744"/>
    <x:mergeCell ref="B1743:B1744"/>
    <x:mergeCell ref="E1743:E1744"/>
    <x:mergeCell ref="R1743:R1744"/>
    <x:mergeCell ref="S1743:S1744"/>
    <x:mergeCell ref="A1745:A1746"/>
    <x:mergeCell ref="B1745:B1746"/>
    <x:mergeCell ref="E1745:E1746"/>
    <x:mergeCell ref="R1745:R1746"/>
    <x:mergeCell ref="S1745:S1746"/>
    <x:mergeCell ref="A1747:A1748"/>
    <x:mergeCell ref="B1747:B1748"/>
    <x:mergeCell ref="E1747:E1748"/>
    <x:mergeCell ref="R1747:R1748"/>
    <x:mergeCell ref="S1747:S1748"/>
    <x:mergeCell ref="A1749:A1750"/>
    <x:mergeCell ref="B1749:B1750"/>
    <x:mergeCell ref="E1749:E1750"/>
    <x:mergeCell ref="R1749:R1750"/>
    <x:mergeCell ref="S1749:S1750"/>
    <x:mergeCell ref="A1751:A1752"/>
    <x:mergeCell ref="B1751:B1752"/>
    <x:mergeCell ref="E1751:E1752"/>
    <x:mergeCell ref="R1751:R1752"/>
    <x:mergeCell ref="S1751:S1752"/>
    <x:mergeCell ref="A1753:A1754"/>
    <x:mergeCell ref="B1753:B1754"/>
    <x:mergeCell ref="E1753:E1754"/>
    <x:mergeCell ref="R1753:R1754"/>
    <x:mergeCell ref="S1753:S1754"/>
    <x:mergeCell ref="A1755:A1756"/>
    <x:mergeCell ref="B1755:B1756"/>
    <x:mergeCell ref="E1755:E1756"/>
    <x:mergeCell ref="R1755:R1756"/>
    <x:mergeCell ref="S1755:S1756"/>
    <x:mergeCell ref="A1757:S1757"/>
    <x:mergeCell ref="A1758:A1759"/>
    <x:mergeCell ref="B1758:B1759"/>
    <x:mergeCell ref="E1758:E1759"/>
    <x:mergeCell ref="R1758:R1759"/>
    <x:mergeCell ref="S1758:S1759"/>
    <x:mergeCell ref="A1760:A1761"/>
    <x:mergeCell ref="B1760:B1761"/>
    <x:mergeCell ref="E1760:E1761"/>
    <x:mergeCell ref="R1760:R1761"/>
    <x:mergeCell ref="S1760:S1761"/>
    <x:mergeCell ref="A1762:A1763"/>
    <x:mergeCell ref="B1762:B1763"/>
    <x:mergeCell ref="E1762:E1763"/>
    <x:mergeCell ref="R1762:R1763"/>
    <x:mergeCell ref="S1762:S1763"/>
    <x:mergeCell ref="A1764:A1765"/>
    <x:mergeCell ref="B1764:B1765"/>
    <x:mergeCell ref="E1764:E1765"/>
    <x:mergeCell ref="R1764:R1765"/>
    <x:mergeCell ref="S1764:S1765"/>
    <x:mergeCell ref="A1766:A1767"/>
    <x:mergeCell ref="B1766:B1767"/>
    <x:mergeCell ref="E1766:E1767"/>
    <x:mergeCell ref="R1766:R1767"/>
    <x:mergeCell ref="S1766:S1767"/>
    <x:mergeCell ref="A1768:A1769"/>
    <x:mergeCell ref="B1768:B1769"/>
    <x:mergeCell ref="E1768:E1769"/>
    <x:mergeCell ref="R1768:R1769"/>
    <x:mergeCell ref="S1768:S1769"/>
    <x:mergeCell ref="A1770:A1771"/>
    <x:mergeCell ref="B1770:B1771"/>
    <x:mergeCell ref="E1770:E1771"/>
    <x:mergeCell ref="R1770:R1771"/>
    <x:mergeCell ref="S1770:S1771"/>
    <x:mergeCell ref="A1772:A1773"/>
    <x:mergeCell ref="B1772:B1773"/>
    <x:mergeCell ref="E1772:E1773"/>
    <x:mergeCell ref="R1772:R1773"/>
    <x:mergeCell ref="S1772:S1773"/>
    <x:mergeCell ref="A1774:A1775"/>
    <x:mergeCell ref="B1774:B1775"/>
    <x:mergeCell ref="E1774:E1775"/>
    <x:mergeCell ref="R1774:R1775"/>
    <x:mergeCell ref="S1774:S1775"/>
    <x:mergeCell ref="A1776:A1777"/>
    <x:mergeCell ref="B1776:B1777"/>
    <x:mergeCell ref="E1776:E1777"/>
    <x:mergeCell ref="R1776:R1777"/>
    <x:mergeCell ref="S1776:S1777"/>
    <x:mergeCell ref="A1778:A1779"/>
    <x:mergeCell ref="B1778:B1779"/>
    <x:mergeCell ref="E1778:E1779"/>
    <x:mergeCell ref="R1778:R1779"/>
    <x:mergeCell ref="S1778:S1779"/>
    <x:mergeCell ref="A1780:A1781"/>
    <x:mergeCell ref="B1780:B1781"/>
    <x:mergeCell ref="E1780:E1781"/>
    <x:mergeCell ref="R1780:R1781"/>
    <x:mergeCell ref="S1780:S1781"/>
    <x:mergeCell ref="A1782:A1783"/>
    <x:mergeCell ref="B1782:B1783"/>
    <x:mergeCell ref="E1782:E1783"/>
    <x:mergeCell ref="R1782:R1783"/>
    <x:mergeCell ref="S1782:S1783"/>
    <x:mergeCell ref="A1784:A1785"/>
    <x:mergeCell ref="B1784:B1785"/>
    <x:mergeCell ref="E1784:E1785"/>
    <x:mergeCell ref="R1784:R1785"/>
    <x:mergeCell ref="S1784:S1785"/>
    <x:mergeCell ref="A1786:A1787"/>
    <x:mergeCell ref="B1786:B1787"/>
    <x:mergeCell ref="E1786:E1787"/>
    <x:mergeCell ref="R1786:R1787"/>
    <x:mergeCell ref="S1786:S1787"/>
    <x:mergeCell ref="A1788:A1789"/>
    <x:mergeCell ref="B1788:B1789"/>
    <x:mergeCell ref="E1788:E1789"/>
    <x:mergeCell ref="R1788:R1789"/>
    <x:mergeCell ref="S1788:S1789"/>
    <x:mergeCell ref="A1790:A1791"/>
    <x:mergeCell ref="B1790:B1791"/>
    <x:mergeCell ref="E1790:E1791"/>
    <x:mergeCell ref="R1790:R1791"/>
    <x:mergeCell ref="S1790:S1791"/>
    <x:mergeCell ref="A1792:A1793"/>
    <x:mergeCell ref="B1792:B1793"/>
    <x:mergeCell ref="E1792:E1793"/>
    <x:mergeCell ref="R1792:R1793"/>
    <x:mergeCell ref="S1792:S1793"/>
    <x:mergeCell ref="A1794:S1794"/>
    <x:mergeCell ref="A1795:A1796"/>
    <x:mergeCell ref="B1795:B1796"/>
    <x:mergeCell ref="E1795:E1796"/>
    <x:mergeCell ref="R1795:R1796"/>
    <x:mergeCell ref="S1795:S1796"/>
    <x:mergeCell ref="A1797:A1798"/>
    <x:mergeCell ref="B1797:B1798"/>
    <x:mergeCell ref="E1797:E1798"/>
    <x:mergeCell ref="R1797:R1798"/>
    <x:mergeCell ref="S1797:S1798"/>
    <x:mergeCell ref="A1799:A1800"/>
    <x:mergeCell ref="B1799:B1800"/>
    <x:mergeCell ref="E1799:E1800"/>
    <x:mergeCell ref="R1799:R1800"/>
    <x:mergeCell ref="S1799:S1800"/>
    <x:mergeCell ref="A1801:A1802"/>
    <x:mergeCell ref="B1801:B1802"/>
    <x:mergeCell ref="E1801:E1802"/>
    <x:mergeCell ref="R1801:R1802"/>
    <x:mergeCell ref="S1801:S1802"/>
    <x:mergeCell ref="A1803:A1804"/>
    <x:mergeCell ref="B1803:B1804"/>
    <x:mergeCell ref="E1803:E1804"/>
    <x:mergeCell ref="R1803:R1804"/>
    <x:mergeCell ref="S1803:S1804"/>
    <x:mergeCell ref="A1805:A1806"/>
    <x:mergeCell ref="B1805:B1806"/>
    <x:mergeCell ref="E1805:E1806"/>
    <x:mergeCell ref="R1805:R1806"/>
    <x:mergeCell ref="S1805:S1806"/>
    <x:mergeCell ref="A1807:A1808"/>
    <x:mergeCell ref="B1807:B1808"/>
    <x:mergeCell ref="E1807:E1808"/>
    <x:mergeCell ref="R1807:R1808"/>
    <x:mergeCell ref="S1807:S1808"/>
    <x:mergeCell ref="A1809:A1810"/>
    <x:mergeCell ref="B1809:B1810"/>
    <x:mergeCell ref="E1809:E1810"/>
    <x:mergeCell ref="R1809:R1810"/>
    <x:mergeCell ref="S1809:S1810"/>
    <x:mergeCell ref="A1811:A1812"/>
    <x:mergeCell ref="B1811:B1812"/>
    <x:mergeCell ref="E1811:E1812"/>
    <x:mergeCell ref="R1811:R1812"/>
    <x:mergeCell ref="S1811:S1812"/>
    <x:mergeCell ref="A1813:S1813"/>
    <x:mergeCell ref="A1814:A1815"/>
    <x:mergeCell ref="B1814:B1815"/>
    <x:mergeCell ref="E1814:E1815"/>
    <x:mergeCell ref="R1814:R1815"/>
    <x:mergeCell ref="S1814:S1815"/>
    <x:mergeCell ref="A1816:A1817"/>
    <x:mergeCell ref="B1816:B1817"/>
    <x:mergeCell ref="E1816:E1817"/>
    <x:mergeCell ref="R1816:R1817"/>
    <x:mergeCell ref="S1816:S1817"/>
    <x:mergeCell ref="A1818:A1819"/>
    <x:mergeCell ref="B1818:B1819"/>
    <x:mergeCell ref="E1818:E1819"/>
    <x:mergeCell ref="R1818:R1819"/>
    <x:mergeCell ref="S1818:S1819"/>
    <x:mergeCell ref="A1820:A1821"/>
    <x:mergeCell ref="B1820:B1821"/>
    <x:mergeCell ref="E1820:E1821"/>
    <x:mergeCell ref="R1820:R1821"/>
    <x:mergeCell ref="S1820:S1821"/>
    <x:mergeCell ref="A1822:A1823"/>
    <x:mergeCell ref="B1822:B1823"/>
    <x:mergeCell ref="E1822:E1823"/>
    <x:mergeCell ref="R1822:R1823"/>
    <x:mergeCell ref="S1822:S1823"/>
    <x:mergeCell ref="A1824:A1825"/>
    <x:mergeCell ref="B1824:B1825"/>
    <x:mergeCell ref="E1824:E1825"/>
    <x:mergeCell ref="R1824:R1825"/>
    <x:mergeCell ref="S1824:S1825"/>
    <x:mergeCell ref="A1826:A1827"/>
    <x:mergeCell ref="B1826:B1827"/>
    <x:mergeCell ref="E1826:E1827"/>
    <x:mergeCell ref="R1826:R1827"/>
    <x:mergeCell ref="S1826:S1827"/>
    <x:mergeCell ref="A1828:A1829"/>
    <x:mergeCell ref="B1828:B1829"/>
    <x:mergeCell ref="E1828:E1829"/>
    <x:mergeCell ref="R1828:R1829"/>
    <x:mergeCell ref="S1828:S1829"/>
    <x:mergeCell ref="A1830:A1831"/>
    <x:mergeCell ref="B1830:B1831"/>
    <x:mergeCell ref="E1830:E1831"/>
    <x:mergeCell ref="R1830:R1831"/>
    <x:mergeCell ref="S1830:S1831"/>
    <x:mergeCell ref="A1832:A1833"/>
    <x:mergeCell ref="B1832:B1833"/>
    <x:mergeCell ref="E1832:E1833"/>
    <x:mergeCell ref="R1832:R1833"/>
    <x:mergeCell ref="S1832:S1833"/>
    <x:mergeCell ref="A1834:A1835"/>
    <x:mergeCell ref="B1834:B1835"/>
    <x:mergeCell ref="E1834:E1835"/>
    <x:mergeCell ref="R1834:R1835"/>
    <x:mergeCell ref="S1834:S1835"/>
    <x:mergeCell ref="A1836:A1837"/>
    <x:mergeCell ref="B1836:B1837"/>
    <x:mergeCell ref="E1836:E1837"/>
    <x:mergeCell ref="R1836:R1837"/>
    <x:mergeCell ref="S1836:S1837"/>
    <x:mergeCell ref="A1838:A1839"/>
    <x:mergeCell ref="B1838:B1839"/>
    <x:mergeCell ref="E1838:E1839"/>
    <x:mergeCell ref="R1838:R1839"/>
    <x:mergeCell ref="S1838:S1839"/>
    <x:mergeCell ref="A1840:A1841"/>
    <x:mergeCell ref="B1840:B1841"/>
    <x:mergeCell ref="E1840:E1841"/>
    <x:mergeCell ref="R1840:R1841"/>
    <x:mergeCell ref="S1840:S1841"/>
    <x:mergeCell ref="A1842:A1843"/>
    <x:mergeCell ref="B1842:B1843"/>
    <x:mergeCell ref="E1842:E1843"/>
    <x:mergeCell ref="R1842:R1843"/>
    <x:mergeCell ref="S1842:S1843"/>
    <x:mergeCell ref="A1844:A1845"/>
    <x:mergeCell ref="B1844:B1845"/>
    <x:mergeCell ref="E1844:E1845"/>
    <x:mergeCell ref="R1844:R1845"/>
    <x:mergeCell ref="S1844:S1845"/>
    <x:mergeCell ref="A1846:A1847"/>
    <x:mergeCell ref="B1846:B1847"/>
    <x:mergeCell ref="E1846:E1847"/>
    <x:mergeCell ref="R1846:R1847"/>
    <x:mergeCell ref="S1846:S1847"/>
    <x:mergeCell ref="A1848:A1849"/>
    <x:mergeCell ref="B1848:B1849"/>
    <x:mergeCell ref="E1848:E1849"/>
    <x:mergeCell ref="R1848:R1849"/>
    <x:mergeCell ref="S1848:S1849"/>
    <x:mergeCell ref="A1850:S1850"/>
    <x:mergeCell ref="A1851:A1852"/>
    <x:mergeCell ref="B1851:B1852"/>
    <x:mergeCell ref="E1851:E1852"/>
    <x:mergeCell ref="R1851:R1852"/>
    <x:mergeCell ref="S1851:S1852"/>
    <x:mergeCell ref="A1853:A1854"/>
    <x:mergeCell ref="B1853:B1854"/>
    <x:mergeCell ref="E1853:E1854"/>
    <x:mergeCell ref="R1853:R1854"/>
    <x:mergeCell ref="S1853:S1854"/>
    <x:mergeCell ref="A1855:A1856"/>
    <x:mergeCell ref="B1855:B1856"/>
    <x:mergeCell ref="E1855:E1856"/>
    <x:mergeCell ref="R1855:R1856"/>
    <x:mergeCell ref="S1855:S1856"/>
    <x:mergeCell ref="A1857:A1858"/>
    <x:mergeCell ref="B1857:B1858"/>
    <x:mergeCell ref="E1857:E1858"/>
    <x:mergeCell ref="R1857:R1858"/>
    <x:mergeCell ref="S1857:S1858"/>
    <x:mergeCell ref="A1859:A1860"/>
    <x:mergeCell ref="B1859:B1860"/>
    <x:mergeCell ref="E1859:E1860"/>
    <x:mergeCell ref="R1859:R1860"/>
    <x:mergeCell ref="S1859:S1860"/>
    <x:mergeCell ref="A1861:A1862"/>
    <x:mergeCell ref="B1861:B1862"/>
    <x:mergeCell ref="E1861:E1862"/>
    <x:mergeCell ref="R1861:R1862"/>
    <x:mergeCell ref="S1861:S1862"/>
    <x:mergeCell ref="A1863:A1864"/>
    <x:mergeCell ref="B1863:B1864"/>
    <x:mergeCell ref="E1863:E1864"/>
    <x:mergeCell ref="R1863:R1864"/>
    <x:mergeCell ref="S1863:S1864"/>
    <x:mergeCell ref="A1865:A1866"/>
    <x:mergeCell ref="B1865:B1866"/>
    <x:mergeCell ref="E1865:E1866"/>
    <x:mergeCell ref="R1865:R1866"/>
    <x:mergeCell ref="S1865:S1866"/>
    <x:mergeCell ref="A1867:A1868"/>
    <x:mergeCell ref="B1867:B1868"/>
    <x:mergeCell ref="E1867:E1868"/>
    <x:mergeCell ref="R1867:R1868"/>
    <x:mergeCell ref="S1867:S1868"/>
    <x:mergeCell ref="A1869:A1870"/>
    <x:mergeCell ref="B1869:B1870"/>
    <x:mergeCell ref="E1869:E1870"/>
    <x:mergeCell ref="R1869:R1870"/>
    <x:mergeCell ref="S1869:S1870"/>
    <x:mergeCell ref="A1871:S1871"/>
    <x:mergeCell ref="A1872:A1873"/>
    <x:mergeCell ref="B1872:B1873"/>
    <x:mergeCell ref="E1872:E1873"/>
    <x:mergeCell ref="R1872:R1873"/>
    <x:mergeCell ref="S1872:S1873"/>
    <x:mergeCell ref="A1874:A1875"/>
    <x:mergeCell ref="B1874:B1875"/>
    <x:mergeCell ref="E1874:E1875"/>
    <x:mergeCell ref="R1874:R1875"/>
    <x:mergeCell ref="S1874:S1875"/>
    <x:mergeCell ref="A1876:A1877"/>
    <x:mergeCell ref="B1876:B1877"/>
    <x:mergeCell ref="E1876:E1877"/>
    <x:mergeCell ref="R1876:R1877"/>
    <x:mergeCell ref="S1876:S1877"/>
    <x:mergeCell ref="A1878:A1879"/>
    <x:mergeCell ref="B1878:B1879"/>
    <x:mergeCell ref="E1878:E1879"/>
    <x:mergeCell ref="R1878:R1879"/>
    <x:mergeCell ref="S1878:S1879"/>
    <x:mergeCell ref="A1880:A1881"/>
    <x:mergeCell ref="B1880:B1881"/>
    <x:mergeCell ref="E1880:E1881"/>
    <x:mergeCell ref="R1880:R1881"/>
    <x:mergeCell ref="S1880:S1881"/>
    <x:mergeCell ref="A1882:A1883"/>
    <x:mergeCell ref="B1882:B1883"/>
    <x:mergeCell ref="E1882:E1883"/>
    <x:mergeCell ref="R1882:R1883"/>
    <x:mergeCell ref="S1882:S1883"/>
    <x:mergeCell ref="A1884:A1885"/>
    <x:mergeCell ref="B1884:B1885"/>
    <x:mergeCell ref="E1884:E1885"/>
    <x:mergeCell ref="R1884:R1885"/>
    <x:mergeCell ref="S1884:S1885"/>
    <x:mergeCell ref="A1886:A1887"/>
    <x:mergeCell ref="B1886:B1887"/>
    <x:mergeCell ref="E1886:E1887"/>
    <x:mergeCell ref="R1886:R1887"/>
    <x:mergeCell ref="S1886:S1887"/>
    <x:mergeCell ref="A1888:A1889"/>
    <x:mergeCell ref="B1888:B1889"/>
    <x:mergeCell ref="E1888:E1889"/>
    <x:mergeCell ref="R1888:R1889"/>
    <x:mergeCell ref="S1888:S1889"/>
    <x:mergeCell ref="A1890:A1891"/>
    <x:mergeCell ref="B1890:B1891"/>
    <x:mergeCell ref="E1890:E1891"/>
    <x:mergeCell ref="R1890:R1891"/>
    <x:mergeCell ref="S1890:S1891"/>
    <x:mergeCell ref="A1892:A1893"/>
    <x:mergeCell ref="B1892:B1893"/>
    <x:mergeCell ref="E1892:E1893"/>
    <x:mergeCell ref="R1892:R1893"/>
    <x:mergeCell ref="S1892:S1893"/>
    <x:mergeCell ref="A1894:A1895"/>
    <x:mergeCell ref="B1894:B1895"/>
    <x:mergeCell ref="E1894:E1895"/>
    <x:mergeCell ref="R1894:R1895"/>
    <x:mergeCell ref="S1894:S1895"/>
    <x:mergeCell ref="A1896:S1896"/>
    <x:mergeCell ref="A1897:A1898"/>
    <x:mergeCell ref="B1897:B1898"/>
    <x:mergeCell ref="E1897:E1898"/>
    <x:mergeCell ref="R1897:R1898"/>
    <x:mergeCell ref="S1897:S1898"/>
    <x:mergeCell ref="A1899:A1900"/>
    <x:mergeCell ref="B1899:B1900"/>
    <x:mergeCell ref="E1899:E1900"/>
    <x:mergeCell ref="R1899:R1900"/>
    <x:mergeCell ref="S1899:S1900"/>
    <x:mergeCell ref="A1901:A1902"/>
    <x:mergeCell ref="B1901:B1902"/>
    <x:mergeCell ref="E1901:E1902"/>
    <x:mergeCell ref="R1901:R1902"/>
    <x:mergeCell ref="S1901:S1902"/>
    <x:mergeCell ref="A1903:A1904"/>
    <x:mergeCell ref="B1903:B1904"/>
    <x:mergeCell ref="E1903:E1904"/>
    <x:mergeCell ref="R1903:R1904"/>
    <x:mergeCell ref="S1903:S1904"/>
    <x:mergeCell ref="A1905:A1906"/>
    <x:mergeCell ref="B1905:B1906"/>
    <x:mergeCell ref="E1905:E1906"/>
    <x:mergeCell ref="R1905:R1906"/>
    <x:mergeCell ref="S1905:S1906"/>
    <x:mergeCell ref="A1907:A1908"/>
    <x:mergeCell ref="B1907:B1908"/>
    <x:mergeCell ref="E1907:E1908"/>
    <x:mergeCell ref="R1907:R1908"/>
    <x:mergeCell ref="S1907:S1908"/>
    <x:mergeCell ref="A1909:A1910"/>
    <x:mergeCell ref="B1909:B1910"/>
    <x:mergeCell ref="E1909:E1910"/>
    <x:mergeCell ref="R1909:R1910"/>
    <x:mergeCell ref="S1909:S1910"/>
    <x:mergeCell ref="A1911:A1912"/>
    <x:mergeCell ref="B1911:B1912"/>
    <x:mergeCell ref="E1911:E1912"/>
    <x:mergeCell ref="R1911:R1912"/>
    <x:mergeCell ref="S1911:S1912"/>
    <x:mergeCell ref="A1913:A1914"/>
    <x:mergeCell ref="B1913:B1914"/>
    <x:mergeCell ref="E1913:E1914"/>
    <x:mergeCell ref="R1913:R1914"/>
    <x:mergeCell ref="S1913:S1914"/>
    <x:mergeCell ref="A1915:A1916"/>
    <x:mergeCell ref="B1915:B1916"/>
    <x:mergeCell ref="E1915:E1916"/>
    <x:mergeCell ref="R1915:R1916"/>
    <x:mergeCell ref="S1915:S1916"/>
    <x:mergeCell ref="A1917:A1918"/>
    <x:mergeCell ref="B1917:B1918"/>
    <x:mergeCell ref="E1917:E1918"/>
    <x:mergeCell ref="R1917:R1918"/>
    <x:mergeCell ref="S1917:S1918"/>
    <x:mergeCell ref="A1919:A1920"/>
    <x:mergeCell ref="B1919:B1920"/>
    <x:mergeCell ref="E1919:E1920"/>
    <x:mergeCell ref="R1919:R1920"/>
    <x:mergeCell ref="S1919:S1920"/>
    <x:mergeCell ref="A1921:A1922"/>
    <x:mergeCell ref="B1921:B1922"/>
    <x:mergeCell ref="E1921:E1922"/>
    <x:mergeCell ref="R1921:R1922"/>
    <x:mergeCell ref="S1921:S1922"/>
    <x:mergeCell ref="A1923:A1924"/>
    <x:mergeCell ref="B1923:B1924"/>
    <x:mergeCell ref="E1923:E1924"/>
    <x:mergeCell ref="R1923:R1924"/>
    <x:mergeCell ref="S1923:S1924"/>
    <x:mergeCell ref="A1925:S1925"/>
    <x:mergeCell ref="A1926:A1927"/>
    <x:mergeCell ref="B1926:B1927"/>
    <x:mergeCell ref="E1926:E1927"/>
    <x:mergeCell ref="R1926:R1927"/>
    <x:mergeCell ref="S1926:S1927"/>
    <x:mergeCell ref="A1928:A1929"/>
    <x:mergeCell ref="B1928:B1929"/>
    <x:mergeCell ref="E1928:E1929"/>
    <x:mergeCell ref="R1928:R1929"/>
    <x:mergeCell ref="S1928:S1929"/>
    <x:mergeCell ref="A1930:A1931"/>
    <x:mergeCell ref="B1930:B1931"/>
    <x:mergeCell ref="E1930:E1931"/>
    <x:mergeCell ref="R1930:R1931"/>
    <x:mergeCell ref="S1930:S1931"/>
    <x:mergeCell ref="A1932:A1933"/>
    <x:mergeCell ref="B1932:B1933"/>
    <x:mergeCell ref="E1932:E1933"/>
    <x:mergeCell ref="R1932:R1933"/>
    <x:mergeCell ref="S1932:S1933"/>
    <x:mergeCell ref="A1934:A1935"/>
    <x:mergeCell ref="B1934:B1935"/>
    <x:mergeCell ref="E1934:E1935"/>
    <x:mergeCell ref="R1934:R1935"/>
    <x:mergeCell ref="S1934:S1935"/>
    <x:mergeCell ref="A1936:A1937"/>
    <x:mergeCell ref="B1936:B1937"/>
    <x:mergeCell ref="E1936:E1937"/>
    <x:mergeCell ref="R1936:R1937"/>
    <x:mergeCell ref="S1936:S1937"/>
    <x:mergeCell ref="A1938:A1939"/>
    <x:mergeCell ref="B1938:B1939"/>
    <x:mergeCell ref="E1938:E1939"/>
    <x:mergeCell ref="R1938:R1939"/>
    <x:mergeCell ref="S1938:S1939"/>
    <x:mergeCell ref="A1940:A1941"/>
    <x:mergeCell ref="B1940:B1941"/>
    <x:mergeCell ref="E1940:E1941"/>
    <x:mergeCell ref="R1940:R1941"/>
    <x:mergeCell ref="S1940:S1941"/>
    <x:mergeCell ref="A1942:A1943"/>
    <x:mergeCell ref="B1942:B1943"/>
    <x:mergeCell ref="E1942:E1943"/>
    <x:mergeCell ref="R1942:R1943"/>
    <x:mergeCell ref="S1942:S1943"/>
    <x:mergeCell ref="A1944:A1945"/>
    <x:mergeCell ref="B1944:B1945"/>
    <x:mergeCell ref="E1944:E1945"/>
    <x:mergeCell ref="R1944:R1945"/>
    <x:mergeCell ref="S1944:S1945"/>
    <x:mergeCell ref="A1946:A1947"/>
    <x:mergeCell ref="B1946:B1947"/>
    <x:mergeCell ref="E1946:E1947"/>
    <x:mergeCell ref="R1946:R1947"/>
    <x:mergeCell ref="S1946:S1947"/>
    <x:mergeCell ref="A1948:A1949"/>
    <x:mergeCell ref="B1948:B1949"/>
    <x:mergeCell ref="E1948:E1949"/>
    <x:mergeCell ref="R1948:R1949"/>
    <x:mergeCell ref="S1948:S1949"/>
  </x:mergeCells>
  <x:conditionalFormatting sqref="F10:P1949">
    <x:cfRule type="expression" dxfId="0" priority="1">
      <x:formula>AND($C10="E",F10=1)</x:formula>
    </x:cfRule>
    <x:cfRule type="expression" dxfId="1" priority="2">
      <x:formula>AND($C10="R",F10=1)</x:formula>
    </x:cfRule>
  </x:conditionalFormatting>
  <x:printOptions gridLines="0" headings="0"/>
  <x:pageMargins left="0.25" right="0.25" top="0.35" bottom="0.35" header="0.15" footer="0.15"/>
  <x:pageSetup paperSize="8" orientation="landscape" fitToWidth="1" fitToHeight="0"/>
  <x:headerFooter>
    <x:oddFooter>&amp;LMAREA&amp;C&amp;P / &amp;N&amp;R01 sep–18 nov 2026</x:oddFooter>
  </x:headerFooter>
  <x:rowBreaks count="58" manualBreakCount="58">
    <x:brk id="43" min="0" max="16383" man="1"/>
    <x:brk id="76" min="0" max="16383" man="1"/>
    <x:brk id="109" min="0" max="16383" man="1"/>
    <x:brk id="142" min="0" max="16383" man="1"/>
    <x:brk id="175" min="0" max="16383" man="1"/>
    <x:brk id="209" min="0" max="16383" man="1"/>
    <x:brk id="242" min="0" max="16383" man="1"/>
    <x:brk id="275" min="0" max="16383" man="1"/>
    <x:brk id="308" min="0" max="16383" man="1"/>
    <x:brk id="341" min="0" max="16383" man="1"/>
    <x:brk id="374" min="0" max="16383" man="1"/>
    <x:brk id="407" min="0" max="16383" man="1"/>
    <x:brk id="440" min="0" max="16383" man="1"/>
    <x:brk id="474" min="0" max="16383" man="1"/>
    <x:brk id="507" min="0" max="16383" man="1"/>
    <x:brk id="541" min="0" max="16383" man="1"/>
    <x:brk id="574" min="0" max="16383" man="1"/>
    <x:brk id="607" min="0" max="16383" man="1"/>
    <x:brk id="640" min="0" max="16383" man="1"/>
    <x:brk id="673" min="0" max="16383" man="1"/>
    <x:brk id="706" min="0" max="16383" man="1"/>
    <x:brk id="740" min="0" max="16383" man="1"/>
    <x:brk id="773" min="0" max="16383" man="1"/>
    <x:brk id="806" min="0" max="16383" man="1"/>
    <x:brk id="839" min="0" max="16383" man="1"/>
    <x:brk id="872" min="0" max="16383" man="1"/>
    <x:brk id="906" min="0" max="16383" man="1"/>
    <x:brk id="939" min="0" max="16383" man="1"/>
    <x:brk id="972" min="0" max="16383" man="1"/>
    <x:brk id="1005" min="0" max="16383" man="1"/>
    <x:brk id="1038" min="0" max="16383" man="1"/>
    <x:brk id="1072" min="0" max="16383" man="1"/>
    <x:brk id="1106" min="0" max="16383" man="1"/>
    <x:brk id="1139" min="0" max="16383" man="1"/>
    <x:brk id="1172" min="0" max="16383" man="1"/>
    <x:brk id="1205" min="0" max="16383" man="1"/>
    <x:brk id="1238" min="0" max="16383" man="1"/>
    <x:brk id="1271" min="0" max="16383" man="1"/>
    <x:brk id="1304" min="0" max="16383" man="1"/>
    <x:brk id="1337" min="0" max="16383" man="1"/>
    <x:brk id="1371" min="0" max="16383" man="1"/>
    <x:brk id="1404" min="0" max="16383" man="1"/>
    <x:brk id="1438" min="0" max="16383" man="1"/>
    <x:brk id="1471" min="0" max="16383" man="1"/>
    <x:brk id="1503" min="0" max="16383" man="1"/>
    <x:brk id="1536" min="0" max="16383" man="1"/>
    <x:brk id="1569" min="0" max="16383" man="1"/>
    <x:brk id="1602" min="0" max="16383" man="1"/>
    <x:brk id="1635" min="0" max="16383" man="1"/>
    <x:brk id="1668" min="0" max="16383" man="1"/>
    <x:brk id="1701" min="0" max="16383" man="1"/>
    <x:brk id="1734" min="0" max="16383" man="1"/>
    <x:brk id="1767" min="0" max="16383" man="1"/>
    <x:brk id="1800" min="0" max="16383" man="1"/>
    <x:brk id="1833" min="0" max="16383" man="1"/>
    <x:brk id="1866" min="0" max="16383" man="1"/>
    <x:brk id="1900" min="0" max="16383" man="1"/>
    <x:brk id="1933" min="0" max="16383" man="1"/>
  </x:rowBreak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rgb="FF0D4397"/>
    <x:pageSetUpPr fitToPage="0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55" hidden="0" customWidth="1"/>
    <x:col min="5" max="5" width="75" hidden="0" customWidth="1"/>
    <x:col min="6" max="6" width="15" hidden="0" customWidth="1"/>
    <x:col min="7" max="7" width="13" hidden="0" customWidth="1"/>
    <x:col min="8" max="8" width="13" hidden="0" customWidth="1"/>
    <x:col min="9" max="9" width="12" hidden="0" customWidth="1"/>
    <x:col min="10" max="10" width="13" hidden="0" customWidth="1"/>
    <x:col min="11" max="11" width="13" hidden="0" customWidth="1"/>
    <x:col min="12" max="12" width="12" hidden="0" customWidth="1"/>
    <x:col min="13" max="13" width="23" hidden="0" customWidth="1"/>
    <x:col min="14" max="14" width="23" hidden="0" customWidth="1"/>
    <x:col min="15" max="15" width="16" hidden="0" customWidth="1"/>
    <x:col min="16" max="16" width="44" hidden="0" customWidth="1"/>
    <x:col min="17" max="17" width="38" hidden="0" customWidth="1"/>
    <x:col min="18" max="18" width="64" hidden="0" customWidth="1"/>
    <x:col min="19" max="19" width="95" hidden="0" customWidth="1"/>
    <x:col min="20" max="20" width="24" hidden="0" customWidth="1"/>
    <x:col min="21" max="21" width="100" hidden="0" customWidth="1"/>
  </x:cols>
  <x:sheetData>
    <x:row r="1" ht="1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6" customHeight="1">
      <x:c r="A2" s="4" t="str">
        <x:v>MAREA · Detalle de actividades y evidencia</x:v>
      </x:c>
      <x:c r="B2" s="4" t="str">
        <x:v>MAREA · Detalle de actividades y evidencia</x:v>
      </x:c>
      <x:c r="C2" s="4" t="str">
        <x:v>MAREA · Detalle de actividades y evidencia</x:v>
      </x:c>
      <x:c r="D2" s="4" t="str">
        <x:v>MAREA · Detalle de actividades y evidencia</x:v>
      </x:c>
      <x:c r="E2" s="4" t="str">
        <x:v>MAREA · Detalle de actividades y evidencia</x:v>
      </x:c>
      <x:c r="F2" s="4" t="str">
        <x:v>MAREA · Detalle de actividades y evidencia</x:v>
      </x:c>
      <x:c r="G2" s="4" t="str">
        <x:v>MAREA · Detalle de actividades y evidencia</x:v>
      </x:c>
      <x:c r="H2" s="4" t="str">
        <x:v>MAREA · Detalle de actividades y evidencia</x:v>
      </x:c>
      <x:c r="I2" s="4" t="str">
        <x:v>MAREA · Detalle de actividades y evidencia</x:v>
      </x:c>
      <x:c r="J2" s="4" t="str">
        <x:v>MAREA · Detalle de actividades y evidencia</x:v>
      </x:c>
      <x:c r="K2" s="4" t="str">
        <x:v>MAREA · Detalle de actividades y evidencia</x:v>
      </x:c>
      <x:c r="L2" s="4" t="str">
        <x:v>MAREA · Detalle de actividades y evidencia</x:v>
      </x:c>
      <x:c r="M2" s="4" t="str">
        <x:v>MAREA · Detalle de actividades y evidencia</x:v>
      </x:c>
      <x:c r="N2" s="4" t="str">
        <x:v>MAREA · Detalle de actividades y evidencia</x:v>
      </x:c>
      <x:c r="O2" s="4" t="str">
        <x:v>MAREA · Detalle de actividades y evidencia</x:v>
      </x:c>
      <x:c r="P2" s="4" t="str">
        <x:v>MAREA · Detalle de actividades y evidencia</x:v>
      </x:c>
      <x:c r="Q2" s="4" t="str">
        <x:v>MAREA · Detalle de actividades y evidencia</x:v>
      </x:c>
      <x:c r="R2" s="4" t="str">
        <x:v>MAREA · Detalle de actividades y evidencia</x:v>
      </x:c>
      <x:c r="S2" s="4" t="str">
        <x:v>MAREA · Detalle de actividades y evidencia</x:v>
      </x:c>
      <x:c r="T2" s="4" t="str">
        <x:v>MAREA · Detalle de actividades y evidencia</x:v>
      </x:c>
      <x:c r="U2" s="4" t="str">
        <x:v>MAREA · Detalle de actividades y evidencia</x:v>
      </x:c>
    </x:row>
    <x:row r="3" ht="20" customHeight="1">
      <x:c r="A3" s="5" t="str">
        <x:v>939 registros. Fecha de evidencia acredita avance; no determina duración real. Estados con pruebas citadas son reportados, no reejecutados.</x:v>
      </x:c>
      <x:c r="B3" s="5" t="str">
        <x:v>939 registros. Fecha de evidencia acredita avance; no determina duración real. Estados con pruebas citadas son reportados, no reejecutados.</x:v>
      </x:c>
      <x:c r="C3" s="5" t="str">
        <x:v>939 registros. Fecha de evidencia acredita avance; no determina duración real. Estados con pruebas citadas son reportados, no reejecutados.</x:v>
      </x:c>
      <x:c r="D3" s="5" t="str">
        <x:v>939 registros. Fecha de evidencia acredita avance; no determina duración real. Estados con pruebas citadas son reportados, no reejecutados.</x:v>
      </x:c>
      <x:c r="E3" s="5" t="str">
        <x:v>939 registros. Fecha de evidencia acredita avance; no determina duración real. Estados con pruebas citadas son reportados, no reejecutados.</x:v>
      </x:c>
      <x:c r="F3" s="5" t="str">
        <x:v>939 registros. Fecha de evidencia acredita avance; no determina duración real. Estados con pruebas citadas son reportados, no reejecutados.</x:v>
      </x:c>
      <x:c r="G3" s="5" t="str">
        <x:v>939 registros. Fecha de evidencia acredita avance; no determina duración real. Estados con pruebas citadas son reportados, no reejecutados.</x:v>
      </x:c>
      <x:c r="H3" s="5" t="str">
        <x:v>939 registros. Fecha de evidencia acredita avance; no determina duración real. Estados con pruebas citadas son reportados, no reejecutados.</x:v>
      </x:c>
      <x:c r="I3" s="5" t="str">
        <x:v>939 registros. Fecha de evidencia acredita avance; no determina duración real. Estados con pruebas citadas son reportados, no reejecutados.</x:v>
      </x:c>
      <x:c r="J3" s="5" t="str">
        <x:v>939 registros. Fecha de evidencia acredita avance; no determina duración real. Estados con pruebas citadas son reportados, no reejecutados.</x:v>
      </x:c>
      <x:c r="K3" s="5" t="str">
        <x:v>939 registros. Fecha de evidencia acredita avance; no determina duración real. Estados con pruebas citadas son reportados, no reejecutados.</x:v>
      </x:c>
      <x:c r="L3" s="5" t="str">
        <x:v>939 registros. Fecha de evidencia acredita avance; no determina duración real. Estados con pruebas citadas son reportados, no reejecutados.</x:v>
      </x:c>
      <x:c r="M3" s="5" t="str">
        <x:v>939 registros. Fecha de evidencia acredita avance; no determina duración real. Estados con pruebas citadas son reportados, no reejecutados.</x:v>
      </x:c>
      <x:c r="N3" s="5" t="str">
        <x:v>939 registros. Fecha de evidencia acredita avance; no determina duración real. Estados con pruebas citadas son reportados, no reejecutados.</x:v>
      </x:c>
      <x:c r="O3" s="5" t="str">
        <x:v>939 registros. Fecha de evidencia acredita avance; no determina duración real. Estados con pruebas citadas son reportados, no reejecutados.</x:v>
      </x:c>
      <x:c r="P3" s="5" t="str">
        <x:v>939 registros. Fecha de evidencia acredita avance; no determina duración real. Estados con pruebas citadas son reportados, no reejecutados.</x:v>
      </x:c>
      <x:c r="Q3" s="5" t="str">
        <x:v>939 registros. Fecha de evidencia acredita avance; no determina duración real. Estados con pruebas citadas son reportados, no reejecutados.</x:v>
      </x:c>
      <x:c r="R3" s="5" t="str">
        <x:v>939 registros. Fecha de evidencia acredita avance; no determina duración real. Estados con pruebas citadas son reportados, no reejecutados.</x:v>
      </x:c>
      <x:c r="S3" s="5" t="str">
        <x:v>939 registros. Fecha de evidencia acredita avance; no determina duración real. Estados con pruebas citadas son reportados, no reejecutados.</x:v>
      </x:c>
      <x:c r="T3" s="5" t="str">
        <x:v>939 registros. Fecha de evidencia acredita avance; no determina duración real. Estados con pruebas citadas son reportados, no reejecutados.</x:v>
      </x:c>
      <x:c r="U3" s="5" t="str">
        <x:v>939 registros. Fecha de evidencia acredita avance; no determina duración real. Estados con pruebas citadas son reportados, no reejecutados.</x:v>
      </x:c>
    </x:row>
    <x:row r="4" ht="20" customHeight="1">
      <x:c r="A4" s="3" t="str">
        <x:v>Editar fechas E, fechas R, duración R y nombres aquí. Las barras R requieren inicio, fin y duración efectiva registrados.</x:v>
      </x:c>
      <x:c r="B4" s="3" t="str">
        <x:v>Editar fechas E, fechas R, duración R y nombres aquí. Las barras R requieren inicio, fin y duración efectiva registrados.</x:v>
      </x:c>
      <x:c r="C4" s="3" t="str">
        <x:v>Editar fechas E, fechas R, duración R y nombres aquí. Las barras R requieren inicio, fin y duración efectiva registrados.</x:v>
      </x:c>
      <x:c r="D4" s="3" t="str">
        <x:v>Editar fechas E, fechas R, duración R y nombres aquí. Las barras R requieren inicio, fin y duración efectiva registrados.</x:v>
      </x:c>
      <x:c r="E4" s="3" t="str">
        <x:v>Editar fechas E, fechas R, duración R y nombres aquí. Las barras R requieren inicio, fin y duración efectiva registrados.</x:v>
      </x:c>
      <x:c r="F4" s="3" t="str">
        <x:v>Editar fechas E, fechas R, duración R y nombres aquí. Las barras R requieren inicio, fin y duración efectiva registrados.</x:v>
      </x:c>
      <x:c r="G4" s="3" t="str">
        <x:v>Editar fechas E, fechas R, duración R y nombres aquí. Las barras R requieren inicio, fin y duración efectiva registrados.</x:v>
      </x:c>
      <x:c r="H4" s="3" t="str">
        <x:v>Editar fechas E, fechas R, duración R y nombres aquí. Las barras R requieren inicio, fin y duración efectiva registrados.</x:v>
      </x:c>
      <x:c r="I4" s="3" t="str">
        <x:v>Editar fechas E, fechas R, duración R y nombres aquí. Las barras R requieren inicio, fin y duración efectiva registrados.</x:v>
      </x:c>
      <x:c r="J4" s="3" t="str">
        <x:v>Editar fechas E, fechas R, duración R y nombres aquí. Las barras R requieren inicio, fin y duración efectiva registrados.</x:v>
      </x:c>
      <x:c r="K4" s="3" t="str">
        <x:v>Editar fechas E, fechas R, duración R y nombres aquí. Las barras R requieren inicio, fin y duración efectiva registrados.</x:v>
      </x:c>
      <x:c r="L4" s="3" t="str">
        <x:v>Editar fechas E, fechas R, duración R y nombres aquí. Las barras R requieren inicio, fin y duración efectiva registrados.</x:v>
      </x:c>
      <x:c r="M4" s="3" t="str">
        <x:v>Editar fechas E, fechas R, duración R y nombres aquí. Las barras R requieren inicio, fin y duración efectiva registrados.</x:v>
      </x:c>
      <x:c r="N4" s="3" t="str">
        <x:v>Editar fechas E, fechas R, duración R y nombres aquí. Las barras R requieren inicio, fin y duración efectiva registrados.</x:v>
      </x:c>
      <x:c r="O4" s="3" t="str">
        <x:v>Editar fechas E, fechas R, duración R y nombres aquí. Las barras R requieren inicio, fin y duración efectiva registrados.</x:v>
      </x:c>
      <x:c r="P4" s="3" t="str">
        <x:v>Editar fechas E, fechas R, duración R y nombres aquí. Las barras R requieren inicio, fin y duración efectiva registrados.</x:v>
      </x:c>
      <x:c r="Q4" s="3" t="str">
        <x:v>Editar fechas E, fechas R, duración R y nombres aquí. Las barras R requieren inicio, fin y duración efectiva registrados.</x:v>
      </x:c>
      <x:c r="R4" s="3" t="str">
        <x:v>Editar fechas E, fechas R, duración R y nombres aquí. Las barras R requieren inicio, fin y duración efectiva registrados.</x:v>
      </x:c>
      <x:c r="S4" s="3" t="str">
        <x:v>Editar fechas E, fechas R, duración R y nombres aquí. Las barras R requieren inicio, fin y duración efectiva registrados.</x:v>
      </x:c>
      <x:c r="T4" s="3" t="str">
        <x:v>Editar fechas E, fechas R, duración R y nombres aquí. Las barras R requieren inicio, fin y duración efectiva registrados.</x:v>
      </x:c>
      <x:c r="U4" s="3" t="str">
        <x:v>Editar fechas E, fechas R, duración R y nombres aquí. Las barras R requieren inicio, fin y duración efectiva registrados.</x:v>
      </x:c>
    </x:row>
    <x:row r="5" ht="20" customHeight="1">
      <x:c r="A5" s="3" t="str">
        <x:v>E es propuesta retrospectiva/futura. Investigación realizada según confirmación general del usuario; el desglose temático individual requiere confirmación.</x:v>
      </x:c>
      <x:c r="B5" s="3" t="str">
        <x:v>E es propuesta retrospectiva/futura. Investigación realizada según confirmación general del usuario; el desglose temático individual requiere confirmación.</x:v>
      </x:c>
      <x:c r="C5" s="3" t="str">
        <x:v>E es propuesta retrospectiva/futura. Investigación realizada según confirmación general del usuario; el desglose temático individual requiere confirmación.</x:v>
      </x:c>
      <x:c r="D5" s="3" t="str">
        <x:v>E es propuesta retrospectiva/futura. Investigación realizada según confirmación general del usuario; el desglose temático individual requiere confirmación.</x:v>
      </x:c>
      <x:c r="E5" s="3" t="str">
        <x:v>E es propuesta retrospectiva/futura. Investigación realizada según confirmación general del usuario; el desglose temático individual requiere confirmación.</x:v>
      </x:c>
      <x:c r="F5" s="3" t="str">
        <x:v>E es propuesta retrospectiva/futura. Investigación realizada según confirmación general del usuario; el desglose temático individual requiere confirmación.</x:v>
      </x:c>
      <x:c r="G5" s="3" t="str">
        <x:v>E es propuesta retrospectiva/futura. Investigación realizada según confirmación general del usuario; el desglose temático individual requiere confirmación.</x:v>
      </x:c>
      <x:c r="H5" s="3" t="str">
        <x:v>E es propuesta retrospectiva/futura. Investigación realizada según confirmación general del usuario; el desglose temático individual requiere confirmación.</x:v>
      </x:c>
      <x:c r="I5" s="3" t="str">
        <x:v>E es propuesta retrospectiva/futura. Investigación realizada según confirmación general del usuario; el desglose temático individual requiere confirmación.</x:v>
      </x:c>
      <x:c r="J5" s="3" t="str">
        <x:v>E es propuesta retrospectiva/futura. Investigación realizada según confirmación general del usuario; el desglose temático individual requiere confirmación.</x:v>
      </x:c>
      <x:c r="K5" s="3" t="str">
        <x:v>E es propuesta retrospectiva/futura. Investigación realizada según confirmación general del usuario; el desglose temático individual requiere confirmación.</x:v>
      </x:c>
      <x:c r="L5" s="3" t="str">
        <x:v>E es propuesta retrospectiva/futura. Investigación realizada según confirmación general del usuario; el desglose temático individual requiere confirmación.</x:v>
      </x:c>
      <x:c r="M5" s="3" t="str">
        <x:v>E es propuesta retrospectiva/futura. Investigación realizada según confirmación general del usuario; el desglose temático individual requiere confirmación.</x:v>
      </x:c>
      <x:c r="N5" s="3" t="str">
        <x:v>E es propuesta retrospectiva/futura. Investigación realizada según confirmación general del usuario; el desglose temático individual requiere confirmación.</x:v>
      </x:c>
      <x:c r="O5" s="3" t="str">
        <x:v>E es propuesta retrospectiva/futura. Investigación realizada según confirmación general del usuario; el desglose temático individual requiere confirmación.</x:v>
      </x:c>
      <x:c r="P5" s="3" t="str">
        <x:v>E es propuesta retrospectiva/futura. Investigación realizada según confirmación general del usuario; el desglose temático individual requiere confirmación.</x:v>
      </x:c>
      <x:c r="Q5" s="3" t="str">
        <x:v>E es propuesta retrospectiva/futura. Investigación realizada según confirmación general del usuario; el desglose temático individual requiere confirmación.</x:v>
      </x:c>
      <x:c r="R5" s="3" t="str">
        <x:v>E es propuesta retrospectiva/futura. Investigación realizada según confirmación general del usuario; el desglose temático individual requiere confirmación.</x:v>
      </x:c>
      <x:c r="S5" s="3" t="str">
        <x:v>E es propuesta retrospectiva/futura. Investigación realizada según confirmación general del usuario; el desglose temático individual requiere confirmación.</x:v>
      </x:c>
      <x:c r="T5" s="3" t="str">
        <x:v>E es propuesta retrospectiva/futura. Investigación realizada según confirmación general del usuario; el desglose temático individual requiere confirmación.</x:v>
      </x:c>
      <x:c r="U5" s="3" t="str">
        <x:v>E es propuesta retrospectiva/futura. Investigación realizada según confirmación general del usuario; el desglose temático individual requiere confirmación.</x:v>
      </x:c>
    </x:row>
    <x:row r="6" ht="20" customHeight="1">
      <x:c r="A6" s="3" t="str">
        <x:v>No sumar bloques de tareas paralelas como duración del proyecto. Las correcciones futuras solo se ejecutan si las pruebas revelan fallos.</x:v>
      </x:c>
      <x:c r="B6" s="3" t="str">
        <x:v>No sumar bloques de tareas paralelas como duración del proyecto. Las correcciones futuras solo se ejecutan si las pruebas revelan fallos.</x:v>
      </x:c>
      <x:c r="C6" s="3" t="str">
        <x:v>No sumar bloques de tareas paralelas como duración del proyecto. Las correcciones futuras solo se ejecutan si las pruebas revelan fallos.</x:v>
      </x:c>
      <x:c r="D6" s="3" t="str">
        <x:v>No sumar bloques de tareas paralelas como duración del proyecto. Las correcciones futuras solo se ejecutan si las pruebas revelan fallos.</x:v>
      </x:c>
      <x:c r="E6" s="3" t="str">
        <x:v>No sumar bloques de tareas paralelas como duración del proyecto. Las correcciones futuras solo se ejecutan si las pruebas revelan fallos.</x:v>
      </x:c>
      <x:c r="F6" s="3" t="str">
        <x:v>No sumar bloques de tareas paralelas como duración del proyecto. Las correcciones futuras solo se ejecutan si las pruebas revelan fallos.</x:v>
      </x:c>
      <x:c r="G6" s="3" t="str">
        <x:v>No sumar bloques de tareas paralelas como duración del proyecto. Las correcciones futuras solo se ejecutan si las pruebas revelan fallos.</x:v>
      </x:c>
      <x:c r="H6" s="3" t="str">
        <x:v>No sumar bloques de tareas paralelas como duración del proyecto. Las correcciones futuras solo se ejecutan si las pruebas revelan fallos.</x:v>
      </x:c>
      <x:c r="I6" s="3" t="str">
        <x:v>No sumar bloques de tareas paralelas como duración del proyecto. Las correcciones futuras solo se ejecutan si las pruebas revelan fallos.</x:v>
      </x:c>
      <x:c r="J6" s="3" t="str">
        <x:v>No sumar bloques de tareas paralelas como duración del proyecto. Las correcciones futuras solo se ejecutan si las pruebas revelan fallos.</x:v>
      </x:c>
      <x:c r="K6" s="3" t="str">
        <x:v>No sumar bloques de tareas paralelas como duración del proyecto. Las correcciones futuras solo se ejecutan si las pruebas revelan fallos.</x:v>
      </x:c>
      <x:c r="L6" s="3" t="str">
        <x:v>No sumar bloques de tareas paralelas como duración del proyecto. Las correcciones futuras solo se ejecutan si las pruebas revelan fallos.</x:v>
      </x:c>
      <x:c r="M6" s="3" t="str">
        <x:v>No sumar bloques de tareas paralelas como duración del proyecto. Las correcciones futuras solo se ejecutan si las pruebas revelan fallos.</x:v>
      </x:c>
      <x:c r="N6" s="3" t="str">
        <x:v>No sumar bloques de tareas paralelas como duración del proyecto. Las correcciones futuras solo se ejecutan si las pruebas revelan fallos.</x:v>
      </x:c>
      <x:c r="O6" s="3" t="str">
        <x:v>No sumar bloques de tareas paralelas como duración del proyecto. Las correcciones futuras solo se ejecutan si las pruebas revelan fallos.</x:v>
      </x:c>
      <x:c r="P6" s="3" t="str">
        <x:v>No sumar bloques de tareas paralelas como duración del proyecto. Las correcciones futuras solo se ejecutan si las pruebas revelan fallos.</x:v>
      </x:c>
      <x:c r="Q6" s="3" t="str">
        <x:v>No sumar bloques de tareas paralelas como duración del proyecto. Las correcciones futuras solo se ejecutan si las pruebas revelan fallos.</x:v>
      </x:c>
      <x:c r="R6" s="3" t="str">
        <x:v>No sumar bloques de tareas paralelas como duración del proyecto. Las correcciones futuras solo se ejecutan si las pruebas revelan fallos.</x:v>
      </x:c>
      <x:c r="S6" s="3" t="str">
        <x:v>No sumar bloques de tareas paralelas como duración del proyecto. Las correcciones futuras solo se ejecutan si las pruebas revelan fallos.</x:v>
      </x:c>
      <x:c r="T6" s="3" t="str">
        <x:v>No sumar bloques de tareas paralelas como duración del proyecto. Las correcciones futuras solo se ejecutan si las pruebas revelan fallos.</x:v>
      </x:c>
      <x:c r="U6" s="3" t="str">
        <x:v>No sumar bloques de tareas paralelas como duración del proyecto. Las correcciones futuras solo se ejecutan si las pruebas revelan fallos.</x:v>
      </x:c>
    </x:row>
    <x:row r="7" ht="8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34" customHeight="1">
      <x:c r="A8" s="26" t="str">
        <x:v>ID</x:v>
      </x:c>
      <x:c r="B8" s="26" t="str">
        <x:v>Etapa / módulo</x:v>
      </x:c>
      <x:c r="C8" s="26" t="str">
        <x:v>Tarea superior</x:v>
      </x:c>
      <x:c r="D8" s="26" t="str">
        <x:v>Actividad</x:v>
      </x:c>
      <x:c r="E8" s="26" t="str">
        <x:v>Resultado / entregable</x:v>
      </x:c>
      <x:c r="F8" s="26" t="str">
        <x:v>Estado al corte</x:v>
      </x:c>
      <x:c r="G8" s="26" t="str">
        <x:v>E inicio</x:v>
      </x:c>
      <x:c r="H8" s="26" t="str">
        <x:v>E fin</x:v>
      </x:c>
      <x:c r="I8" s="26" t="str">
        <x:v>E bloques</x:v>
      </x:c>
      <x:c r="J8" s="26" t="str">
        <x:v>R inicio</x:v>
      </x:c>
      <x:c r="K8" s="26" t="str">
        <x:v>R fin</x:v>
      </x:c>
      <x:c r="L8" s="26" t="str">
        <x:v>R bloques</x:v>
      </x:c>
      <x:c r="M8" s="26" t="str">
        <x:v>Responsable asignado</x:v>
      </x:c>
      <x:c r="N8" s="26" t="str">
        <x:v>Realizado por</x:v>
      </x:c>
      <x:c r="O8" s="26" t="str">
        <x:v>Fecha de evidencia</x:v>
      </x:c>
      <x:c r="P8" s="26" t="str">
        <x:v>Tipo de evidencia</x:v>
      </x:c>
      <x:c r="Q8" s="26" t="str">
        <x:v>Dependencias técnicas</x:v>
      </x:c>
      <x:c r="R8" s="26" t="str">
        <x:v>Para cerrar / completar</x:v>
      </x:c>
      <x:c r="S8" s="26" t="str">
        <x:v>Observaciones</x:v>
      </x:c>
      <x:c r="T8" s="26" t="str">
        <x:v>Fuentes ID</x:v>
      </x:c>
      <x:c r="U8" s="26" t="str">
        <x:v>Referencias verificables</x:v>
      </x:c>
    </x:row>
    <x:row r="9" ht="44" customHeight="1">
      <x:c r="A9" s="42" t="str">
        <x:v>INV01.001</x:v>
      </x:c>
      <x:c r="B9" s="42" t="str">
        <x:v>Investigación del problema y requisitos</x:v>
      </x:c>
      <x:c r="C9" s="42" t="str">
        <x:v>INV01</x:v>
      </x:c>
      <x:c r="D9" s="43" t="str">
        <x:v>Delimitar el problema de conexión comunitaria</x:v>
      </x:c>
      <x:c r="E9" s="43" t="str">
        <x:v>Definir la necesidad de descubrir personas, proyectos y oportunidades locales.</x:v>
      </x:c>
      <x:c r="F9" s="43" t="str">
        <x:v>Completado</x:v>
      </x:c>
      <x:c r="G9" s="44" t="n">
        <x:v>46266</x:v>
      </x:c>
      <x:c r="H9" s="44" t="n">
        <x:v>46272</x:v>
      </x:c>
      <x:c r="I9" s="45" t="n">
        <x:f>IF(OR(G9="",H9=""),"",SUMPRODUCT(('Cronograma'!$F$8:$P$8&lt;=H9)*('Cronograma'!$F$9:$P$9&gt;=G9)))</x:f>
        <x:v>1</x:v>
      </x:c>
      <x:c r="J9" s="46"/>
      <x:c r="K9" s="46"/>
      <x:c r="L9" s="47"/>
      <x:c r="M9" s="48" t="str"/>
      <x:c r="N9" s="48" t="str"/>
      <x:c r="O9" s="49"/>
      <x:c r="P9" s="43" t="str">
        <x:v>Confirmación general del usuario; desglose por confirmar</x:v>
      </x:c>
      <x:c r="Q9" s="43" t="str">
        <x:v>Sin dependencia identificada</x:v>
      </x:c>
      <x:c r="R9" s="43" t="str">
        <x:v>Confirmar el detalle del tema estudiado y capturar su duración real.</x:v>
      </x:c>
      <x:c r="S9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9" s="43" t="str">
        <x:v>S001, S002, S003</x:v>
      </x:c>
      <x:c r="U9" s="43" t="str">
        <x:v>README.md
docs/design-experiments/mobile-social-ui-product.md
docs/design-experiments/social-mobile-redesign-product.md</x:v>
      </x:c>
    </x:row>
    <x:row r="10" ht="44" customHeight="1">
      <x:c r="A10" s="42" t="str">
        <x:v>INV01.002</x:v>
      </x:c>
      <x:c r="B10" s="42" t="str">
        <x:v>Investigación del problema y requisitos</x:v>
      </x:c>
      <x:c r="C10" s="42" t="str">
        <x:v>INV01</x:v>
      </x:c>
      <x:c r="D10" s="43" t="str">
        <x:v>Identificar al usuario general</x:v>
      </x:c>
      <x:c r="E10" s="43" t="str">
        <x:v>Describir su participación mediante publicaciones, búsqueda, guardados y misiones.</x:v>
      </x:c>
      <x:c r="F10" s="43" t="str">
        <x:v>Completado</x:v>
      </x:c>
      <x:c r="G10" s="44" t="n">
        <x:v>46266</x:v>
      </x:c>
      <x:c r="H10" s="44" t="n">
        <x:v>46272</x:v>
      </x:c>
      <x:c r="I10" s="45" t="n">
        <x:f>IF(OR(G10="",H10=""),"",SUMPRODUCT(('Cronograma'!$F$8:$P$8&lt;=H10)*('Cronograma'!$F$9:$P$9&gt;=G10)))</x:f>
        <x:v>1</x:v>
      </x:c>
      <x:c r="J10" s="46"/>
      <x:c r="K10" s="46"/>
      <x:c r="L10" s="47"/>
      <x:c r="M10" s="48" t="str"/>
      <x:c r="N10" s="48" t="str"/>
      <x:c r="O10" s="49"/>
      <x:c r="P10" s="43" t="str">
        <x:v>Confirmación general del usuario; desglose por confirmar</x:v>
      </x:c>
      <x:c r="Q10" s="43" t="str">
        <x:v>Sin dependencia identificada</x:v>
      </x:c>
      <x:c r="R10" s="43" t="str">
        <x:v>Confirmar el detalle del tema estudiado y capturar su duración real.</x:v>
      </x:c>
      <x:c r="S10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0" s="43" t="str">
        <x:v>S001, S002, S003</x:v>
      </x:c>
      <x:c r="U10" s="43" t="str">
        <x:v>README.md
docs/design-experiments/mobile-social-ui-product.md
docs/design-experiments/social-mobile-redesign-product.md</x:v>
      </x:c>
    </x:row>
    <x:row r="11" ht="44" customHeight="1">
      <x:c r="A11" s="42" t="str">
        <x:v>INV01.003</x:v>
      </x:c>
      <x:c r="B11" s="42" t="str">
        <x:v>Investigación del problema y requisitos</x:v>
      </x:c>
      <x:c r="C11" s="42" t="str">
        <x:v>INV01</x:v>
      </x:c>
      <x:c r="D11" s="43" t="str">
        <x:v>Identificar necesidades de artistas y creadores</x:v>
      </x:c>
      <x:c r="E11" s="43" t="str">
        <x:v>Separar exposición de obras, portafolio y colaboración.</x:v>
      </x:c>
      <x:c r="F11" s="43" t="str">
        <x:v>Completado</x:v>
      </x:c>
      <x:c r="G11" s="44" t="n">
        <x:v>46266</x:v>
      </x:c>
      <x:c r="H11" s="44" t="n">
        <x:v>46272</x:v>
      </x:c>
      <x:c r="I11" s="45" t="n">
        <x:f>IF(OR(G11="",H11=""),"",SUMPRODUCT(('Cronograma'!$F$8:$P$8&lt;=H11)*('Cronograma'!$F$9:$P$9&gt;=G11)))</x:f>
        <x:v>1</x:v>
      </x:c>
      <x:c r="J11" s="46"/>
      <x:c r="K11" s="46"/>
      <x:c r="L11" s="47"/>
      <x:c r="M11" s="48" t="str"/>
      <x:c r="N11" s="48" t="str"/>
      <x:c r="O11" s="49"/>
      <x:c r="P11" s="43" t="str">
        <x:v>Confirmación general del usuario; desglose por confirmar</x:v>
      </x:c>
      <x:c r="Q11" s="43" t="str">
        <x:v>Sin dependencia identificada</x:v>
      </x:c>
      <x:c r="R11" s="43" t="str">
        <x:v>Confirmar el detalle del tema estudiado y capturar su duración real.</x:v>
      </x:c>
      <x:c r="S11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1" s="43" t="str">
        <x:v>S001, S002, S003</x:v>
      </x:c>
      <x:c r="U11" s="43" t="str">
        <x:v>README.md
docs/design-experiments/mobile-social-ui-product.md
docs/design-experiments/social-mobile-redesign-product.md</x:v>
      </x:c>
    </x:row>
    <x:row r="12" ht="44" customHeight="1">
      <x:c r="A12" s="42" t="str">
        <x:v>INV01.004</x:v>
      </x:c>
      <x:c r="B12" s="42" t="str">
        <x:v>Investigación del problema y requisitos</x:v>
      </x:c>
      <x:c r="C12" s="42" t="str">
        <x:v>INV01</x:v>
      </x:c>
      <x:c r="D12" s="43" t="str">
        <x:v>Identificar necesidades de emprendimientos</x:v>
      </x:c>
      <x:c r="E12" s="43" t="str">
        <x:v>Distinguir catálogo, productos, servicios y contacto.</x:v>
      </x:c>
      <x:c r="F12" s="43" t="str">
        <x:v>Completado</x:v>
      </x:c>
      <x:c r="G12" s="44" t="n">
        <x:v>46266</x:v>
      </x:c>
      <x:c r="H12" s="44" t="n">
        <x:v>46272</x:v>
      </x:c>
      <x:c r="I12" s="45" t="n">
        <x:f>IF(OR(G12="",H12=""),"",SUMPRODUCT(('Cronograma'!$F$8:$P$8&lt;=H12)*('Cronograma'!$F$9:$P$9&gt;=G12)))</x:f>
        <x:v>1</x:v>
      </x:c>
      <x:c r="J12" s="46"/>
      <x:c r="K12" s="46"/>
      <x:c r="L12" s="47"/>
      <x:c r="M12" s="48" t="str"/>
      <x:c r="N12" s="48" t="str"/>
      <x:c r="O12" s="49"/>
      <x:c r="P12" s="43" t="str">
        <x:v>Confirmación general del usuario; desglose por confirmar</x:v>
      </x:c>
      <x:c r="Q12" s="43" t="str">
        <x:v>Sin dependencia identificada</x:v>
      </x:c>
      <x:c r="R12" s="43" t="str">
        <x:v>Confirmar el detalle del tema estudiado y capturar su duración real.</x:v>
      </x:c>
      <x:c r="S12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2" s="43" t="str">
        <x:v>S001, S002, S003</x:v>
      </x:c>
      <x:c r="U12" s="43" t="str">
        <x:v>README.md
docs/design-experiments/mobile-social-ui-product.md
docs/design-experiments/social-mobile-redesign-product.md</x:v>
      </x:c>
    </x:row>
    <x:row r="13" ht="44" customHeight="1">
      <x:c r="A13" s="42" t="str">
        <x:v>INV01.005</x:v>
      </x:c>
      <x:c r="B13" s="42" t="str">
        <x:v>Investigación del problema y requisitos</x:v>
      </x:c>
      <x:c r="C13" s="42" t="str">
        <x:v>INV01</x:v>
      </x:c>
      <x:c r="D13" s="43" t="str">
        <x:v>Identificar necesidades de negocios</x:v>
      </x:c>
      <x:c r="E13" s="43" t="str">
        <x:v>Distinguir servicios, espacios, horarios, ubicación y recorridos.</x:v>
      </x:c>
      <x:c r="F13" s="43" t="str">
        <x:v>Completado</x:v>
      </x:c>
      <x:c r="G13" s="44" t="n">
        <x:v>46266</x:v>
      </x:c>
      <x:c r="H13" s="44" t="n">
        <x:v>46272</x:v>
      </x:c>
      <x:c r="I13" s="45" t="n">
        <x:f>IF(OR(G13="",H13=""),"",SUMPRODUCT(('Cronograma'!$F$8:$P$8&lt;=H13)*('Cronograma'!$F$9:$P$9&gt;=G13)))</x:f>
        <x:v>1</x:v>
      </x:c>
      <x:c r="J13" s="46"/>
      <x:c r="K13" s="46"/>
      <x:c r="L13" s="47"/>
      <x:c r="M13" s="48" t="str"/>
      <x:c r="N13" s="48" t="str"/>
      <x:c r="O13" s="49"/>
      <x:c r="P13" s="43" t="str">
        <x:v>Confirmación general del usuario; desglose por confirmar</x:v>
      </x:c>
      <x:c r="Q13" s="43" t="str">
        <x:v>Sin dependencia identificada</x:v>
      </x:c>
      <x:c r="R13" s="43" t="str">
        <x:v>Confirmar el detalle del tema estudiado y capturar su duración real.</x:v>
      </x:c>
      <x:c r="S13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3" s="43" t="str">
        <x:v>S001, S002, S003</x:v>
      </x:c>
      <x:c r="U13" s="43" t="str">
        <x:v>README.md
docs/design-experiments/mobile-social-ui-product.md
docs/design-experiments/social-mobile-redesign-product.md</x:v>
      </x:c>
    </x:row>
    <x:row r="14" ht="44" customHeight="1">
      <x:c r="A14" s="42" t="str">
        <x:v>INV01.006</x:v>
      </x:c>
      <x:c r="B14" s="42" t="str">
        <x:v>Investigación del problema y requisitos</x:v>
      </x:c>
      <x:c r="C14" s="42" t="str">
        <x:v>INV01</x:v>
      </x:c>
      <x:c r="D14" s="43" t="str">
        <x:v>Definir funciones de administración</x:v>
      </x:c>
      <x:c r="E14" s="43" t="str">
        <x:v>Separar moderación y acreditación del tipo de perfil.</x:v>
      </x:c>
      <x:c r="F14" s="43" t="str">
        <x:v>Completado</x:v>
      </x:c>
      <x:c r="G14" s="44" t="n">
        <x:v>46266</x:v>
      </x:c>
      <x:c r="H14" s="44" t="n">
        <x:v>46272</x:v>
      </x:c>
      <x:c r="I14" s="45" t="n">
        <x:f>IF(OR(G14="",H14=""),"",SUMPRODUCT(('Cronograma'!$F$8:$P$8&lt;=H14)*('Cronograma'!$F$9:$P$9&gt;=G14)))</x:f>
        <x:v>1</x:v>
      </x:c>
      <x:c r="J14" s="46"/>
      <x:c r="K14" s="46"/>
      <x:c r="L14" s="47"/>
      <x:c r="M14" s="48" t="str"/>
      <x:c r="N14" s="48" t="str"/>
      <x:c r="O14" s="49"/>
      <x:c r="P14" s="43" t="str">
        <x:v>Confirmación general del usuario; desglose por confirmar</x:v>
      </x:c>
      <x:c r="Q14" s="43" t="str">
        <x:v>Sin dependencia identificada</x:v>
      </x:c>
      <x:c r="R14" s="43" t="str">
        <x:v>Confirmar el detalle del tema estudiado y capturar su duración real.</x:v>
      </x:c>
      <x:c r="S14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4" s="43" t="str">
        <x:v>S001, S002, S003</x:v>
      </x:c>
      <x:c r="U14" s="43" t="str">
        <x:v>README.md
docs/design-experiments/mobile-social-ui-product.md
docs/design-experiments/social-mobile-redesign-product.md</x:v>
      </x:c>
    </x:row>
    <x:row r="15" ht="44" customHeight="1">
      <x:c r="A15" s="42" t="str">
        <x:v>INV01.007</x:v>
      </x:c>
      <x:c r="B15" s="42" t="str">
        <x:v>Investigación del problema y requisitos</x:v>
      </x:c>
      <x:c r="C15" s="42" t="str">
        <x:v>INV01</x:v>
      </x:c>
      <x:c r="D15" s="43" t="str">
        <x:v>Inventariar requisitos funcionales</x:v>
      </x:c>
      <x:c r="E15" s="43" t="str">
        <x:v>Organizar acceso, identidad, contenido, participación y recorridos.</x:v>
      </x:c>
      <x:c r="F15" s="43" t="str">
        <x:v>Completado</x:v>
      </x:c>
      <x:c r="G15" s="44" t="n">
        <x:v>46266</x:v>
      </x:c>
      <x:c r="H15" s="44" t="n">
        <x:v>46272</x:v>
      </x:c>
      <x:c r="I15" s="45" t="n">
        <x:f>IF(OR(G15="",H15=""),"",SUMPRODUCT(('Cronograma'!$F$8:$P$8&lt;=H15)*('Cronograma'!$F$9:$P$9&gt;=G15)))</x:f>
        <x:v>1</x:v>
      </x:c>
      <x:c r="J15" s="46"/>
      <x:c r="K15" s="46"/>
      <x:c r="L15" s="47"/>
      <x:c r="M15" s="48" t="str"/>
      <x:c r="N15" s="48" t="str"/>
      <x:c r="O15" s="49"/>
      <x:c r="P15" s="43" t="str">
        <x:v>Confirmación general del usuario; desglose por confirmar</x:v>
      </x:c>
      <x:c r="Q15" s="43" t="str">
        <x:v>Sin dependencia identificada</x:v>
      </x:c>
      <x:c r="R15" s="43" t="str">
        <x:v>Confirmar el detalle del tema estudiado y capturar su duración real.</x:v>
      </x:c>
      <x:c r="S15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5" s="43" t="str">
        <x:v>S001, S002, S003</x:v>
      </x:c>
      <x:c r="U15" s="43" t="str">
        <x:v>README.md
docs/design-experiments/mobile-social-ui-product.md
docs/design-experiments/social-mobile-redesign-product.md</x:v>
      </x:c>
    </x:row>
    <x:row r="16" ht="44" customHeight="1">
      <x:c r="A16" s="42" t="str">
        <x:v>INV01.008</x:v>
      </x:c>
      <x:c r="B16" s="42" t="str">
        <x:v>Investigación del problema y requisitos</x:v>
      </x:c>
      <x:c r="C16" s="42" t="str">
        <x:v>INV01</x:v>
      </x:c>
      <x:c r="D16" s="43" t="str">
        <x:v>Inventariar requisitos no funcionales</x:v>
      </x:c>
      <x:c r="E16" s="43" t="str">
        <x:v>Considerar privacidad, persistencia, compatibilidad y accesibilidad.</x:v>
      </x:c>
      <x:c r="F16" s="43" t="str">
        <x:v>Completado</x:v>
      </x:c>
      <x:c r="G16" s="44" t="n">
        <x:v>46266</x:v>
      </x:c>
      <x:c r="H16" s="44" t="n">
        <x:v>46272</x:v>
      </x:c>
      <x:c r="I16" s="45" t="n">
        <x:f>IF(OR(G16="",H16=""),"",SUMPRODUCT(('Cronograma'!$F$8:$P$8&lt;=H16)*('Cronograma'!$F$9:$P$9&gt;=G16)))</x:f>
        <x:v>1</x:v>
      </x:c>
      <x:c r="J16" s="46"/>
      <x:c r="K16" s="46"/>
      <x:c r="L16" s="47"/>
      <x:c r="M16" s="48" t="str"/>
      <x:c r="N16" s="48" t="str"/>
      <x:c r="O16" s="49"/>
      <x:c r="P16" s="43" t="str">
        <x:v>Confirmación general del usuario; desglose por confirmar</x:v>
      </x:c>
      <x:c r="Q16" s="43" t="str">
        <x:v>Sin dependencia identificada</x:v>
      </x:c>
      <x:c r="R16" s="43" t="str">
        <x:v>Confirmar el detalle del tema estudiado y capturar su duración real.</x:v>
      </x:c>
      <x:c r="S16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6" s="43" t="str">
        <x:v>S001, S002, S003</x:v>
      </x:c>
      <x:c r="U16" s="43" t="str">
        <x:v>README.md
docs/design-experiments/mobile-social-ui-product.md
docs/design-experiments/social-mobile-redesign-product.md</x:v>
      </x:c>
    </x:row>
    <x:row r="17" ht="44" customHeight="1">
      <x:c r="A17" s="42" t="str">
        <x:v>INV01.009</x:v>
      </x:c>
      <x:c r="B17" s="42" t="str">
        <x:v>Investigación del problema y requisitos</x:v>
      </x:c>
      <x:c r="C17" s="42" t="str">
        <x:v>INV01</x:v>
      </x:c>
      <x:c r="D17" s="43" t="str">
        <x:v>Delimitar el primer MVP</x:v>
      </x:c>
      <x:c r="E17" s="43" t="str">
        <x:v>Priorizar cuenta, sesión y perfil antes de la comunidad completa.</x:v>
      </x:c>
      <x:c r="F17" s="43" t="str">
        <x:v>Completado</x:v>
      </x:c>
      <x:c r="G17" s="44" t="n">
        <x:v>46266</x:v>
      </x:c>
      <x:c r="H17" s="44" t="n">
        <x:v>46272</x:v>
      </x:c>
      <x:c r="I17" s="45" t="n">
        <x:f>IF(OR(G17="",H17=""),"",SUMPRODUCT(('Cronograma'!$F$8:$P$8&lt;=H17)*('Cronograma'!$F$9:$P$9&gt;=G17)))</x:f>
        <x:v>1</x:v>
      </x:c>
      <x:c r="J17" s="46"/>
      <x:c r="K17" s="46"/>
      <x:c r="L17" s="47"/>
      <x:c r="M17" s="48" t="str"/>
      <x:c r="N17" s="48" t="str"/>
      <x:c r="O17" s="49"/>
      <x:c r="P17" s="43" t="str">
        <x:v>Confirmación general del usuario; desglose por confirmar</x:v>
      </x:c>
      <x:c r="Q17" s="43" t="str">
        <x:v>Sin dependencia identificada</x:v>
      </x:c>
      <x:c r="R17" s="43" t="str">
        <x:v>Confirmar el detalle del tema estudiado y capturar su duración real.</x:v>
      </x:c>
      <x:c r="S17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7" s="43" t="str">
        <x:v>S001, S002, S003</x:v>
      </x:c>
      <x:c r="U17" s="43" t="str">
        <x:v>README.md
docs/design-experiments/mobile-social-ui-product.md
docs/design-experiments/social-mobile-redesign-product.md</x:v>
      </x:c>
    </x:row>
    <x:row r="18" ht="44" customHeight="1">
      <x:c r="A18" s="42" t="str">
        <x:v>INV01.010</x:v>
      </x:c>
      <x:c r="B18" s="42" t="str">
        <x:v>Investigación del problema y requisitos</x:v>
      </x:c>
      <x:c r="C18" s="42" t="str">
        <x:v>INV01</x:v>
      </x:c>
      <x:c r="D18" s="43" t="str">
        <x:v>Definir límites de alcance</x:v>
      </x:c>
      <x:c r="E18" s="43" t="str">
        <x:v>Separar la aplicación de pagos, chat y reconstrucción 3D no implementados.</x:v>
      </x:c>
      <x:c r="F18" s="43" t="str">
        <x:v>Completado</x:v>
      </x:c>
      <x:c r="G18" s="44" t="n">
        <x:v>46266</x:v>
      </x:c>
      <x:c r="H18" s="44" t="n">
        <x:v>46272</x:v>
      </x:c>
      <x:c r="I18" s="45" t="n">
        <x:f>IF(OR(G18="",H18=""),"",SUMPRODUCT(('Cronograma'!$F$8:$P$8&lt;=H18)*('Cronograma'!$F$9:$P$9&gt;=G18)))</x:f>
        <x:v>1</x:v>
      </x:c>
      <x:c r="J18" s="46"/>
      <x:c r="K18" s="46"/>
      <x:c r="L18" s="47"/>
      <x:c r="M18" s="48" t="str"/>
      <x:c r="N18" s="48" t="str"/>
      <x:c r="O18" s="49"/>
      <x:c r="P18" s="43" t="str">
        <x:v>Confirmación general del usuario; desglose por confirmar</x:v>
      </x:c>
      <x:c r="Q18" s="43" t="str">
        <x:v>Sin dependencia identificada</x:v>
      </x:c>
      <x:c r="R18" s="43" t="str">
        <x:v>Confirmar el detalle del tema estudiado y capturar su duración real.</x:v>
      </x:c>
      <x:c r="S18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8" s="43" t="str">
        <x:v>S001, S002, S003</x:v>
      </x:c>
      <x:c r="U18" s="43" t="str">
        <x:v>README.md
docs/design-experiments/mobile-social-ui-product.md
docs/design-experiments/social-mobile-redesign-product.md</x:v>
      </x:c>
    </x:row>
    <x:row r="19" ht="44" customHeight="1">
      <x:c r="A19" s="42" t="str">
        <x:v>INV01.011</x:v>
      </x:c>
      <x:c r="B19" s="42" t="str">
        <x:v>Investigación del problema y requisitos</x:v>
      </x:c>
      <x:c r="C19" s="42" t="str">
        <x:v>INV01</x:v>
      </x:c>
      <x:c r="D19" s="43" t="str">
        <x:v>Definir criterios de aceptación por módulo</x:v>
      </x:c>
      <x:c r="E19" s="43" t="str">
        <x:v>Vincular cada capacidad con un resultado comprobable.</x:v>
      </x:c>
      <x:c r="F19" s="43" t="str">
        <x:v>Completado</x:v>
      </x:c>
      <x:c r="G19" s="44" t="n">
        <x:v>46266</x:v>
      </x:c>
      <x:c r="H19" s="44" t="n">
        <x:v>46272</x:v>
      </x:c>
      <x:c r="I19" s="45" t="n">
        <x:f>IF(OR(G19="",H19=""),"",SUMPRODUCT(('Cronograma'!$F$8:$P$8&lt;=H19)*('Cronograma'!$F$9:$P$9&gt;=G19)))</x:f>
        <x:v>1</x:v>
      </x:c>
      <x:c r="J19" s="46"/>
      <x:c r="K19" s="46"/>
      <x:c r="L19" s="47"/>
      <x:c r="M19" s="48" t="str"/>
      <x:c r="N19" s="48" t="str"/>
      <x:c r="O19" s="49"/>
      <x:c r="P19" s="43" t="str">
        <x:v>Confirmación general del usuario; desglose por confirmar</x:v>
      </x:c>
      <x:c r="Q19" s="43" t="str">
        <x:v>Sin dependencia identificada</x:v>
      </x:c>
      <x:c r="R19" s="43" t="str">
        <x:v>Confirmar el detalle del tema estudiado y capturar su duración real.</x:v>
      </x:c>
      <x:c r="S19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19" s="43" t="str">
        <x:v>S001, S002, S003</x:v>
      </x:c>
      <x:c r="U19" s="43" t="str">
        <x:v>README.md
docs/design-experiments/mobile-social-ui-product.md
docs/design-experiments/social-mobile-redesign-product.md</x:v>
      </x:c>
    </x:row>
    <x:row r="20" ht="44" customHeight="1">
      <x:c r="A20" s="42" t="str">
        <x:v>INV01.012</x:v>
      </x:c>
      <x:c r="B20" s="42" t="str">
        <x:v>Investigación del problema y requisitos</x:v>
      </x:c>
      <x:c r="C20" s="42" t="str">
        <x:v>INV01</x:v>
      </x:c>
      <x:c r="D20" s="43" t="str">
        <x:v>Estudiar navegación social móvil y web</x:v>
      </x:c>
      <x:c r="E20" s="43" t="str">
        <x:v>Revisar jerarquía de Inicio, Explorar, Crear, Misiones y Perfil.</x:v>
      </x:c>
      <x:c r="F20" s="43" t="str">
        <x:v>Completado</x:v>
      </x:c>
      <x:c r="G20" s="44" t="n">
        <x:v>46266</x:v>
      </x:c>
      <x:c r="H20" s="44" t="n">
        <x:v>46272</x:v>
      </x:c>
      <x:c r="I20" s="45" t="n">
        <x:f>IF(OR(G20="",H20=""),"",SUMPRODUCT(('Cronograma'!$F$8:$P$8&lt;=H20)*('Cronograma'!$F$9:$P$9&gt;=G20)))</x:f>
        <x:v>1</x:v>
      </x:c>
      <x:c r="J20" s="46"/>
      <x:c r="K20" s="46"/>
      <x:c r="L20" s="47"/>
      <x:c r="M20" s="48" t="str"/>
      <x:c r="N20" s="48" t="str"/>
      <x:c r="O20" s="49"/>
      <x:c r="P20" s="43" t="str">
        <x:v>Confirmación general del usuario; desglose por confirmar</x:v>
      </x:c>
      <x:c r="Q20" s="43" t="str">
        <x:v>Sin dependencia identificada</x:v>
      </x:c>
      <x:c r="R20" s="43" t="str">
        <x:v>Confirmar el detalle del tema estudiado y capturar su duración real.</x:v>
      </x:c>
      <x:c r="S20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0" s="43" t="str">
        <x:v>S001, S002, S003</x:v>
      </x:c>
      <x:c r="U20" s="43" t="str">
        <x:v>README.md
docs/design-experiments/mobile-social-ui-product.md
docs/design-experiments/social-mobile-redesign-product.md</x:v>
      </x:c>
    </x:row>
    <x:row r="21" ht="56" customHeight="1">
      <x:c r="A21" s="42" t="str">
        <x:v>INV02.001</x:v>
      </x:c>
      <x:c r="B21" s="42" t="str">
        <x:v>Fundamentos de arquitectura, datos y seguridad</x:v>
      </x:c>
      <x:c r="C21" s="42" t="str">
        <x:v>INV02</x:v>
      </x:c>
      <x:c r="D21" s="43" t="str">
        <x:v>Estudiar Flutter y Dart para el cliente</x:v>
      </x:c>
      <x:c r="E21" s="43" t="str">
        <x:v>Fundamentar la aplicación compartida para Android, web e iOS.</x:v>
      </x:c>
      <x:c r="F21" s="43" t="str">
        <x:v>Completado</x:v>
      </x:c>
      <x:c r="G21" s="44" t="n">
        <x:v>46266</x:v>
      </x:c>
      <x:c r="H21" s="44" t="n">
        <x:v>46272</x:v>
      </x:c>
      <x:c r="I21" s="45" t="n">
        <x:f>IF(OR(G21="",H21=""),"",SUMPRODUCT(('Cronograma'!$F$8:$P$8&lt;=H21)*('Cronograma'!$F$9:$P$9&gt;=G21)))</x:f>
        <x:v>1</x:v>
      </x:c>
      <x:c r="J21" s="46"/>
      <x:c r="K21" s="46"/>
      <x:c r="L21" s="47"/>
      <x:c r="M21" s="48" t="str"/>
      <x:c r="N21" s="48" t="str"/>
      <x:c r="O21" s="49"/>
      <x:c r="P21" s="43" t="str">
        <x:v>Confirmación general del usuario; desglose por confirmar</x:v>
      </x:c>
      <x:c r="Q21" s="43" t="str">
        <x:v>INV01</x:v>
      </x:c>
      <x:c r="R21" s="43" t="str">
        <x:v>Confirmar el detalle del tema estudiado y capturar su duración real.</x:v>
      </x:c>
      <x:c r="S21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1" s="43" t="str">
        <x:v>S001, S004, S005, S006</x:v>
      </x:c>
      <x:c r="U21" s="43" t="str">
        <x:v>README.md
docs/design-system.md
docs/account-completion.md
supabase/migrations/001_initial_schema.sql</x:v>
      </x:c>
    </x:row>
    <x:row r="22" ht="56" customHeight="1">
      <x:c r="A22" s="42" t="str">
        <x:v>INV02.002</x:v>
      </x:c>
      <x:c r="B22" s="42" t="str">
        <x:v>Fundamentos de arquitectura, datos y seguridad</x:v>
      </x:c>
      <x:c r="C22" s="42" t="str">
        <x:v>INV02</x:v>
      </x:c>
      <x:c r="D22" s="43" t="str">
        <x:v>Estudiar integración nativa móvil</x:v>
      </x:c>
      <x:c r="E22" s="43" t="str">
        <x:v>Separar responsabilidades Flutter, Kotlin y Swift.</x:v>
      </x:c>
      <x:c r="F22" s="43" t="str">
        <x:v>Completado</x:v>
      </x:c>
      <x:c r="G22" s="44" t="n">
        <x:v>46266</x:v>
      </x:c>
      <x:c r="H22" s="44" t="n">
        <x:v>46272</x:v>
      </x:c>
      <x:c r="I22" s="45" t="n">
        <x:f>IF(OR(G22="",H22=""),"",SUMPRODUCT(('Cronograma'!$F$8:$P$8&lt;=H22)*('Cronograma'!$F$9:$P$9&gt;=G22)))</x:f>
        <x:v>1</x:v>
      </x:c>
      <x:c r="J22" s="46"/>
      <x:c r="K22" s="46"/>
      <x:c r="L22" s="47"/>
      <x:c r="M22" s="48" t="str"/>
      <x:c r="N22" s="48" t="str"/>
      <x:c r="O22" s="49"/>
      <x:c r="P22" s="43" t="str">
        <x:v>Confirmación general del usuario; desglose por confirmar</x:v>
      </x:c>
      <x:c r="Q22" s="43" t="str">
        <x:v>INV01</x:v>
      </x:c>
      <x:c r="R22" s="43" t="str">
        <x:v>Confirmar el detalle del tema estudiado y capturar su duración real.</x:v>
      </x:c>
      <x:c r="S22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2" s="43" t="str">
        <x:v>S001, S004, S005, S006</x:v>
      </x:c>
      <x:c r="U22" s="43" t="str">
        <x:v>README.md
docs/design-system.md
docs/account-completion.md
supabase/migrations/001_initial_schema.sql</x:v>
      </x:c>
    </x:row>
    <x:row r="23" ht="56" customHeight="1">
      <x:c r="A23" s="42" t="str">
        <x:v>INV02.003</x:v>
      </x:c>
      <x:c r="B23" s="42" t="str">
        <x:v>Fundamentos de arquitectura, datos y seguridad</x:v>
      </x:c>
      <x:c r="C23" s="42" t="str">
        <x:v>INV02</x:v>
      </x:c>
      <x:c r="D23" s="43" t="str">
        <x:v>Estudiar Supabase como backend</x:v>
      </x:c>
      <x:c r="E23" s="43" t="str">
        <x:v>Relacionar Auth, PostgreSQL, Storage y Edge Functions.</x:v>
      </x:c>
      <x:c r="F23" s="43" t="str">
        <x:v>Completado</x:v>
      </x:c>
      <x:c r="G23" s="44" t="n">
        <x:v>46266</x:v>
      </x:c>
      <x:c r="H23" s="44" t="n">
        <x:v>46272</x:v>
      </x:c>
      <x:c r="I23" s="45" t="n">
        <x:f>IF(OR(G23="",H23=""),"",SUMPRODUCT(('Cronograma'!$F$8:$P$8&lt;=H23)*('Cronograma'!$F$9:$P$9&gt;=G23)))</x:f>
        <x:v>1</x:v>
      </x:c>
      <x:c r="J23" s="46"/>
      <x:c r="K23" s="46"/>
      <x:c r="L23" s="47"/>
      <x:c r="M23" s="48" t="str"/>
      <x:c r="N23" s="48" t="str"/>
      <x:c r="O23" s="49"/>
      <x:c r="P23" s="43" t="str">
        <x:v>Confirmación general del usuario; desglose por confirmar</x:v>
      </x:c>
      <x:c r="Q23" s="43" t="str">
        <x:v>INV01</x:v>
      </x:c>
      <x:c r="R23" s="43" t="str">
        <x:v>Confirmar el detalle del tema estudiado y capturar su duración real.</x:v>
      </x:c>
      <x:c r="S23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3" s="43" t="str">
        <x:v>S001, S004, S005, S006</x:v>
      </x:c>
      <x:c r="U23" s="43" t="str">
        <x:v>README.md
docs/design-system.md
docs/account-completion.md
supabase/migrations/001_initial_schema.sql</x:v>
      </x:c>
    </x:row>
    <x:row r="24" ht="56" customHeight="1">
      <x:c r="A24" s="42" t="str">
        <x:v>INV02.004</x:v>
      </x:c>
      <x:c r="B24" s="42" t="str">
        <x:v>Fundamentos de arquitectura, datos y seguridad</x:v>
      </x:c>
      <x:c r="C24" s="42" t="str">
        <x:v>INV02</x:v>
      </x:c>
      <x:c r="D24" s="43" t="str">
        <x:v>Estudiar arquitectura por funcionalidades</x:v>
      </x:c>
      <x:c r="E24" s="43" t="str">
        <x:v>Separar presentación, modelos, repositorios y servicios compartidos.</x:v>
      </x:c>
      <x:c r="F24" s="43" t="str">
        <x:v>Completado</x:v>
      </x:c>
      <x:c r="G24" s="44" t="n">
        <x:v>46266</x:v>
      </x:c>
      <x:c r="H24" s="44" t="n">
        <x:v>46272</x:v>
      </x:c>
      <x:c r="I24" s="45" t="n">
        <x:f>IF(OR(G24="",H24=""),"",SUMPRODUCT(('Cronograma'!$F$8:$P$8&lt;=H24)*('Cronograma'!$F$9:$P$9&gt;=G24)))</x:f>
        <x:v>1</x:v>
      </x:c>
      <x:c r="J24" s="46"/>
      <x:c r="K24" s="46"/>
      <x:c r="L24" s="47"/>
      <x:c r="M24" s="48" t="str"/>
      <x:c r="N24" s="48" t="str"/>
      <x:c r="O24" s="49"/>
      <x:c r="P24" s="43" t="str">
        <x:v>Confirmación general del usuario; desglose por confirmar</x:v>
      </x:c>
      <x:c r="Q24" s="43" t="str">
        <x:v>INV01</x:v>
      </x:c>
      <x:c r="R24" s="43" t="str">
        <x:v>Confirmar el detalle del tema estudiado y capturar su duración real.</x:v>
      </x:c>
      <x:c r="S24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4" s="43" t="str">
        <x:v>S001, S004, S005, S006</x:v>
      </x:c>
      <x:c r="U24" s="43" t="str">
        <x:v>README.md
docs/design-system.md
docs/account-completion.md
supabase/migrations/001_initial_schema.sql</x:v>
      </x:c>
    </x:row>
    <x:row r="25" ht="56" customHeight="1">
      <x:c r="A25" s="42" t="str">
        <x:v>INV02.005</x:v>
      </x:c>
      <x:c r="B25" s="42" t="str">
        <x:v>Fundamentos de arquitectura, datos y seguridad</x:v>
      </x:c>
      <x:c r="C25" s="42" t="str">
        <x:v>INV02</x:v>
      </x:c>
      <x:c r="D25" s="43" t="str">
        <x:v>Estudiar navegación y guards</x:v>
      </x:c>
      <x:c r="E25" s="43" t="str">
        <x:v>Fundamentar protección de rutas y continuidad del destino interno.</x:v>
      </x:c>
      <x:c r="F25" s="43" t="str">
        <x:v>Completado</x:v>
      </x:c>
      <x:c r="G25" s="44" t="n">
        <x:v>46266</x:v>
      </x:c>
      <x:c r="H25" s="44" t="n">
        <x:v>46272</x:v>
      </x:c>
      <x:c r="I25" s="45" t="n">
        <x:f>IF(OR(G25="",H25=""),"",SUMPRODUCT(('Cronograma'!$F$8:$P$8&lt;=H25)*('Cronograma'!$F$9:$P$9&gt;=G25)))</x:f>
        <x:v>1</x:v>
      </x:c>
      <x:c r="J25" s="46"/>
      <x:c r="K25" s="46"/>
      <x:c r="L25" s="47"/>
      <x:c r="M25" s="48" t="str"/>
      <x:c r="N25" s="48" t="str"/>
      <x:c r="O25" s="49"/>
      <x:c r="P25" s="43" t="str">
        <x:v>Confirmación general del usuario; desglose por confirmar</x:v>
      </x:c>
      <x:c r="Q25" s="43" t="str">
        <x:v>INV01</x:v>
      </x:c>
      <x:c r="R25" s="43" t="str">
        <x:v>Confirmar el detalle del tema estudiado y capturar su duración real.</x:v>
      </x:c>
      <x:c r="S25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5" s="43" t="str">
        <x:v>S001, S004, S005, S006</x:v>
      </x:c>
      <x:c r="U25" s="43" t="str">
        <x:v>README.md
docs/design-system.md
docs/account-completion.md
supabase/migrations/001_initial_schema.sql</x:v>
      </x:c>
    </x:row>
    <x:row r="26" ht="56" customHeight="1">
      <x:c r="A26" s="42" t="str">
        <x:v>INV02.006</x:v>
      </x:c>
      <x:c r="B26" s="42" t="str">
        <x:v>Fundamentos de arquitectura, datos y seguridad</x:v>
      </x:c>
      <x:c r="C26" s="42" t="str">
        <x:v>INV02</x:v>
      </x:c>
      <x:c r="D26" s="43" t="str">
        <x:v>Estudiar ciclo de sesión</x:v>
      </x:c>
      <x:c r="E26" s="43" t="str">
        <x:v>Considerar persistencia, renovación, cierre y cambio de cuenta.</x:v>
      </x:c>
      <x:c r="F26" s="43" t="str">
        <x:v>Completado</x:v>
      </x:c>
      <x:c r="G26" s="44" t="n">
        <x:v>46266</x:v>
      </x:c>
      <x:c r="H26" s="44" t="n">
        <x:v>46272</x:v>
      </x:c>
      <x:c r="I26" s="45" t="n">
        <x:f>IF(OR(G26="",H26=""),"",SUMPRODUCT(('Cronograma'!$F$8:$P$8&lt;=H26)*('Cronograma'!$F$9:$P$9&gt;=G26)))</x:f>
        <x:v>1</x:v>
      </x:c>
      <x:c r="J26" s="46"/>
      <x:c r="K26" s="46"/>
      <x:c r="L26" s="47"/>
      <x:c r="M26" s="48" t="str"/>
      <x:c r="N26" s="48" t="str"/>
      <x:c r="O26" s="49"/>
      <x:c r="P26" s="43" t="str">
        <x:v>Confirmación general del usuario; desglose por confirmar</x:v>
      </x:c>
      <x:c r="Q26" s="43" t="str">
        <x:v>INV01</x:v>
      </x:c>
      <x:c r="R26" s="43" t="str">
        <x:v>Confirmar el detalle del tema estudiado y capturar su duración real.</x:v>
      </x:c>
      <x:c r="S26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6" s="43" t="str">
        <x:v>S001, S004, S005, S006</x:v>
      </x:c>
      <x:c r="U26" s="43" t="str">
        <x:v>README.md
docs/design-system.md
docs/account-completion.md
supabase/migrations/001_initial_schema.sql</x:v>
      </x:c>
    </x:row>
    <x:row r="27" ht="56" customHeight="1">
      <x:c r="A27" s="42" t="str">
        <x:v>INV02.007</x:v>
      </x:c>
      <x:c r="B27" s="42" t="str">
        <x:v>Fundamentos de arquitectura, datos y seguridad</x:v>
      </x:c>
      <x:c r="C27" s="42" t="str">
        <x:v>INV02</x:v>
      </x:c>
      <x:c r="D27" s="43" t="str">
        <x:v>Estudiar modelado relacional</x:v>
      </x:c>
      <x:c r="E27" s="43" t="str">
        <x:v>Relacionar perfiles, contenido, misiones y participación.</x:v>
      </x:c>
      <x:c r="F27" s="43" t="str">
        <x:v>Completado</x:v>
      </x:c>
      <x:c r="G27" s="44" t="n">
        <x:v>46266</x:v>
      </x:c>
      <x:c r="H27" s="44" t="n">
        <x:v>46272</x:v>
      </x:c>
      <x:c r="I27" s="45" t="n">
        <x:f>IF(OR(G27="",H27=""),"",SUMPRODUCT(('Cronograma'!$F$8:$P$8&lt;=H27)*('Cronograma'!$F$9:$P$9&gt;=G27)))</x:f>
        <x:v>1</x:v>
      </x:c>
      <x:c r="J27" s="46"/>
      <x:c r="K27" s="46"/>
      <x:c r="L27" s="47"/>
      <x:c r="M27" s="48" t="str"/>
      <x:c r="N27" s="48" t="str"/>
      <x:c r="O27" s="49"/>
      <x:c r="P27" s="43" t="str">
        <x:v>Confirmación general del usuario; desglose por confirmar</x:v>
      </x:c>
      <x:c r="Q27" s="43" t="str">
        <x:v>INV01</x:v>
      </x:c>
      <x:c r="R27" s="43" t="str">
        <x:v>Confirmar el detalle del tema estudiado y capturar su duración real.</x:v>
      </x:c>
      <x:c r="S27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7" s="43" t="str">
        <x:v>S001, S004, S005, S006</x:v>
      </x:c>
      <x:c r="U27" s="43" t="str">
        <x:v>README.md
docs/design-system.md
docs/account-completion.md
supabase/migrations/001_initial_schema.sql</x:v>
      </x:c>
    </x:row>
    <x:row r="28" ht="56" customHeight="1">
      <x:c r="A28" s="42" t="str">
        <x:v>INV02.008</x:v>
      </x:c>
      <x:c r="B28" s="42" t="str">
        <x:v>Fundamentos de arquitectura, datos y seguridad</x:v>
      </x:c>
      <x:c r="C28" s="42" t="str">
        <x:v>INV02</x:v>
      </x:c>
      <x:c r="D28" s="43" t="str">
        <x:v>Estudiar RLS y permisos por columna</x:v>
      </x:c>
      <x:c r="E28" s="43" t="str">
        <x:v>Fundamentar aislamiento de filas y protección de campos internos.</x:v>
      </x:c>
      <x:c r="F28" s="43" t="str">
        <x:v>Completado</x:v>
      </x:c>
      <x:c r="G28" s="44" t="n">
        <x:v>46266</x:v>
      </x:c>
      <x:c r="H28" s="44" t="n">
        <x:v>46272</x:v>
      </x:c>
      <x:c r="I28" s="45" t="n">
        <x:f>IF(OR(G28="",H28=""),"",SUMPRODUCT(('Cronograma'!$F$8:$P$8&lt;=H28)*('Cronograma'!$F$9:$P$9&gt;=G28)))</x:f>
        <x:v>1</x:v>
      </x:c>
      <x:c r="J28" s="46"/>
      <x:c r="K28" s="46"/>
      <x:c r="L28" s="47"/>
      <x:c r="M28" s="48" t="str"/>
      <x:c r="N28" s="48" t="str"/>
      <x:c r="O28" s="49"/>
      <x:c r="P28" s="43" t="str">
        <x:v>Confirmación general del usuario; desglose por confirmar</x:v>
      </x:c>
      <x:c r="Q28" s="43" t="str">
        <x:v>INV01</x:v>
      </x:c>
      <x:c r="R28" s="43" t="str">
        <x:v>Confirmar el detalle del tema estudiado y capturar su duración real.</x:v>
      </x:c>
      <x:c r="S28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8" s="43" t="str">
        <x:v>S001, S004, S005, S006</x:v>
      </x:c>
      <x:c r="U28" s="43" t="str">
        <x:v>README.md
docs/design-system.md
docs/account-completion.md
supabase/migrations/001_initial_schema.sql</x:v>
      </x:c>
    </x:row>
    <x:row r="29" ht="56" customHeight="1">
      <x:c r="A29" s="42" t="str">
        <x:v>INV02.009</x:v>
      </x:c>
      <x:c r="B29" s="42" t="str">
        <x:v>Fundamentos de arquitectura, datos y seguridad</x:v>
      </x:c>
      <x:c r="C29" s="42" t="str">
        <x:v>INV02</x:v>
      </x:c>
      <x:c r="D29" s="43" t="str">
        <x:v>Estudiar operaciones atómicas</x:v>
      </x:c>
      <x:c r="E29" s="43" t="str">
        <x:v>Considerar cupos, publicación, confirmaciones y cambios coordinados.</x:v>
      </x:c>
      <x:c r="F29" s="43" t="str">
        <x:v>Completado</x:v>
      </x:c>
      <x:c r="G29" s="44" t="n">
        <x:v>46266</x:v>
      </x:c>
      <x:c r="H29" s="44" t="n">
        <x:v>46272</x:v>
      </x:c>
      <x:c r="I29" s="45" t="n">
        <x:f>IF(OR(G29="",H29=""),"",SUMPRODUCT(('Cronograma'!$F$8:$P$8&lt;=H29)*('Cronograma'!$F$9:$P$9&gt;=G29)))</x:f>
        <x:v>1</x:v>
      </x:c>
      <x:c r="J29" s="46"/>
      <x:c r="K29" s="46"/>
      <x:c r="L29" s="47"/>
      <x:c r="M29" s="48" t="str"/>
      <x:c r="N29" s="48" t="str"/>
      <x:c r="O29" s="49"/>
      <x:c r="P29" s="43" t="str">
        <x:v>Confirmación general del usuario; desglose por confirmar</x:v>
      </x:c>
      <x:c r="Q29" s="43" t="str">
        <x:v>INV01</x:v>
      </x:c>
      <x:c r="R29" s="43" t="str">
        <x:v>Confirmar el detalle del tema estudiado y capturar su duración real.</x:v>
      </x:c>
      <x:c r="S29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29" s="43" t="str">
        <x:v>S001, S004, S005, S006</x:v>
      </x:c>
      <x:c r="U29" s="43" t="str">
        <x:v>README.md
docs/design-system.md
docs/account-completion.md
supabase/migrations/001_initial_schema.sql</x:v>
      </x:c>
    </x:row>
    <x:row r="30" ht="56" customHeight="1">
      <x:c r="A30" s="42" t="str">
        <x:v>INV02.010</x:v>
      </x:c>
      <x:c r="B30" s="42" t="str">
        <x:v>Fundamentos de arquitectura, datos y seguridad</x:v>
      </x:c>
      <x:c r="C30" s="42" t="str">
        <x:v>INV02</x:v>
      </x:c>
      <x:c r="D30" s="43" t="str">
        <x:v>Estudiar idempotencia de operaciones</x:v>
      </x:c>
      <x:c r="E30" s="43" t="str">
        <x:v>Prevenir duplicados por reintentos y respuestas perdidas.</x:v>
      </x:c>
      <x:c r="F30" s="43" t="str">
        <x:v>Completado</x:v>
      </x:c>
      <x:c r="G30" s="44" t="n">
        <x:v>46266</x:v>
      </x:c>
      <x:c r="H30" s="44" t="n">
        <x:v>46272</x:v>
      </x:c>
      <x:c r="I30" s="45" t="n">
        <x:f>IF(OR(G30="",H30=""),"",SUMPRODUCT(('Cronograma'!$F$8:$P$8&lt;=H30)*('Cronograma'!$F$9:$P$9&gt;=G30)))</x:f>
        <x:v>1</x:v>
      </x:c>
      <x:c r="J30" s="46"/>
      <x:c r="K30" s="46"/>
      <x:c r="L30" s="47"/>
      <x:c r="M30" s="48" t="str"/>
      <x:c r="N30" s="48" t="str"/>
      <x:c r="O30" s="49"/>
      <x:c r="P30" s="43" t="str">
        <x:v>Confirmación general del usuario; desglose por confirmar</x:v>
      </x:c>
      <x:c r="Q30" s="43" t="str">
        <x:v>INV01</x:v>
      </x:c>
      <x:c r="R30" s="43" t="str">
        <x:v>Confirmar el detalle del tema estudiado y capturar su duración real.</x:v>
      </x:c>
      <x:c r="S30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0" s="43" t="str">
        <x:v>S001, S004, S005, S006</x:v>
      </x:c>
      <x:c r="U30" s="43" t="str">
        <x:v>README.md
docs/design-system.md
docs/account-completion.md
supabase/migrations/001_initial_schema.sql</x:v>
      </x:c>
    </x:row>
    <x:row r="31" ht="56" customHeight="1">
      <x:c r="A31" s="42" t="str">
        <x:v>INV02.011</x:v>
      </x:c>
      <x:c r="B31" s="42" t="str">
        <x:v>Fundamentos de arquitectura, datos y seguridad</x:v>
      </x:c>
      <x:c r="C31" s="42" t="str">
        <x:v>INV02</x:v>
      </x:c>
      <x:c r="D31" s="43" t="str">
        <x:v>Estudiar almacenamiento privado</x:v>
      </x:c>
      <x:c r="E31" s="43" t="str">
        <x:v>Diferenciar originales privados, recursos visibles y URLs firmadas.</x:v>
      </x:c>
      <x:c r="F31" s="43" t="str">
        <x:v>Completado</x:v>
      </x:c>
      <x:c r="G31" s="44" t="n">
        <x:v>46266</x:v>
      </x:c>
      <x:c r="H31" s="44" t="n">
        <x:v>46272</x:v>
      </x:c>
      <x:c r="I31" s="45" t="n">
        <x:f>IF(OR(G31="",H31=""),"",SUMPRODUCT(('Cronograma'!$F$8:$P$8&lt;=H31)*('Cronograma'!$F$9:$P$9&gt;=G31)))</x:f>
        <x:v>1</x:v>
      </x:c>
      <x:c r="J31" s="46"/>
      <x:c r="K31" s="46"/>
      <x:c r="L31" s="47"/>
      <x:c r="M31" s="48" t="str"/>
      <x:c r="N31" s="48" t="str"/>
      <x:c r="O31" s="49"/>
      <x:c r="P31" s="43" t="str">
        <x:v>Confirmación general del usuario; desglose por confirmar</x:v>
      </x:c>
      <x:c r="Q31" s="43" t="str">
        <x:v>INV01</x:v>
      </x:c>
      <x:c r="R31" s="43" t="str">
        <x:v>Confirmar el detalle del tema estudiado y capturar su duración real.</x:v>
      </x:c>
      <x:c r="S31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1" s="43" t="str">
        <x:v>S001, S004, S005, S006</x:v>
      </x:c>
      <x:c r="U31" s="43" t="str">
        <x:v>README.md
docs/design-system.md
docs/account-completion.md
supabase/migrations/001_initial_schema.sql</x:v>
      </x:c>
    </x:row>
    <x:row r="32" ht="56" customHeight="1">
      <x:c r="A32" s="42" t="str">
        <x:v>INV02.012</x:v>
      </x:c>
      <x:c r="B32" s="42" t="str">
        <x:v>Fundamentos de arquitectura, datos y seguridad</x:v>
      </x:c>
      <x:c r="C32" s="42" t="str">
        <x:v>INV02</x:v>
      </x:c>
      <x:c r="D32" s="43" t="str">
        <x:v>Estudiar privacidad de identidad y preferencias</x:v>
      </x:c>
      <x:c r="E32" s="43" t="str">
        <x:v>Separar datos de acceso de la presentación pública.</x:v>
      </x:c>
      <x:c r="F32" s="43" t="str">
        <x:v>Completado</x:v>
      </x:c>
      <x:c r="G32" s="44" t="n">
        <x:v>46266</x:v>
      </x:c>
      <x:c r="H32" s="44" t="n">
        <x:v>46272</x:v>
      </x:c>
      <x:c r="I32" s="45" t="n">
        <x:f>IF(OR(G32="",H32=""),"",SUMPRODUCT(('Cronograma'!$F$8:$P$8&lt;=H32)*('Cronograma'!$F$9:$P$9&gt;=G32)))</x:f>
        <x:v>1</x:v>
      </x:c>
      <x:c r="J32" s="46"/>
      <x:c r="K32" s="46"/>
      <x:c r="L32" s="47"/>
      <x:c r="M32" s="48" t="str"/>
      <x:c r="N32" s="48" t="str"/>
      <x:c r="O32" s="49"/>
      <x:c r="P32" s="43" t="str">
        <x:v>Confirmación general del usuario; desglose por confirmar</x:v>
      </x:c>
      <x:c r="Q32" s="43" t="str">
        <x:v>INV01</x:v>
      </x:c>
      <x:c r="R32" s="43" t="str">
        <x:v>Confirmar el detalle del tema estudiado y capturar su duración real.</x:v>
      </x:c>
      <x:c r="S32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2" s="43" t="str">
        <x:v>S001, S004, S005, S006</x:v>
      </x:c>
      <x:c r="U32" s="43" t="str">
        <x:v>README.md
docs/design-system.md
docs/account-completion.md
supabase/migrations/001_initial_schema.sql</x:v>
      </x:c>
    </x:row>
    <x:row r="33" ht="56" customHeight="1">
      <x:c r="A33" s="42" t="str">
        <x:v>INV02.013</x:v>
      </x:c>
      <x:c r="B33" s="42" t="str">
        <x:v>Fundamentos de arquitectura, datos y seguridad</x:v>
      </x:c>
      <x:c r="C33" s="42" t="str">
        <x:v>INV02</x:v>
      </x:c>
      <x:c r="D33" s="43" t="str">
        <x:v>Estudiar diseño accesible</x:v>
      </x:c>
      <x:c r="E33" s="43" t="str">
        <x:v>Considerar contraste, controles de 48 px, teclado y texto ampliado.</x:v>
      </x:c>
      <x:c r="F33" s="43" t="str">
        <x:v>Completado</x:v>
      </x:c>
      <x:c r="G33" s="44" t="n">
        <x:v>46266</x:v>
      </x:c>
      <x:c r="H33" s="44" t="n">
        <x:v>46272</x:v>
      </x:c>
      <x:c r="I33" s="45" t="n">
        <x:f>IF(OR(G33="",H33=""),"",SUMPRODUCT(('Cronograma'!$F$8:$P$8&lt;=H33)*('Cronograma'!$F$9:$P$9&gt;=G33)))</x:f>
        <x:v>1</x:v>
      </x:c>
      <x:c r="J33" s="46"/>
      <x:c r="K33" s="46"/>
      <x:c r="L33" s="47"/>
      <x:c r="M33" s="48" t="str"/>
      <x:c r="N33" s="48" t="str"/>
      <x:c r="O33" s="49"/>
      <x:c r="P33" s="43" t="str">
        <x:v>Confirmación general del usuario; desglose por confirmar</x:v>
      </x:c>
      <x:c r="Q33" s="43" t="str">
        <x:v>INV01</x:v>
      </x:c>
      <x:c r="R33" s="43" t="str">
        <x:v>Confirmar el detalle del tema estudiado y capturar su duración real.</x:v>
      </x:c>
      <x:c r="S33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3" s="43" t="str">
        <x:v>S001, S004, S005, S006</x:v>
      </x:c>
      <x:c r="U33" s="43" t="str">
        <x:v>README.md
docs/design-system.md
docs/account-completion.md
supabase/migrations/001_initial_schema.sql</x:v>
      </x:c>
    </x:row>
    <x:row r="34" ht="56" customHeight="1">
      <x:c r="A34" s="42" t="str">
        <x:v>INV02.014</x:v>
      </x:c>
      <x:c r="B34" s="42" t="str">
        <x:v>Fundamentos de arquitectura, datos y seguridad</x:v>
      </x:c>
      <x:c r="C34" s="42" t="str">
        <x:v>INV02</x:v>
      </x:c>
      <x:c r="D34" s="43" t="str">
        <x:v>Estudiar pruebas por capas</x:v>
      </x:c>
      <x:c r="E34" s="43" t="str">
        <x:v>Distinguir unidades, widgets, SQL aislado y servicios reales.</x:v>
      </x:c>
      <x:c r="F34" s="43" t="str">
        <x:v>Completado</x:v>
      </x:c>
      <x:c r="G34" s="44" t="n">
        <x:v>46266</x:v>
      </x:c>
      <x:c r="H34" s="44" t="n">
        <x:v>46272</x:v>
      </x:c>
      <x:c r="I34" s="45" t="n">
        <x:f>IF(OR(G34="",H34=""),"",SUMPRODUCT(('Cronograma'!$F$8:$P$8&lt;=H34)*('Cronograma'!$F$9:$P$9&gt;=G34)))</x:f>
        <x:v>1</x:v>
      </x:c>
      <x:c r="J34" s="46"/>
      <x:c r="K34" s="46"/>
      <x:c r="L34" s="47"/>
      <x:c r="M34" s="48" t="str"/>
      <x:c r="N34" s="48" t="str"/>
      <x:c r="O34" s="49"/>
      <x:c r="P34" s="43" t="str">
        <x:v>Confirmación general del usuario; desglose por confirmar</x:v>
      </x:c>
      <x:c r="Q34" s="43" t="str">
        <x:v>INV01</x:v>
      </x:c>
      <x:c r="R34" s="43" t="str">
        <x:v>Confirmar el detalle del tema estudiado y capturar su duración real.</x:v>
      </x:c>
      <x:c r="S34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4" s="43" t="str">
        <x:v>S001, S004, S005, S006</x:v>
      </x:c>
      <x:c r="U34" s="43" t="str">
        <x:v>README.md
docs/design-system.md
docs/account-completion.md
supabase/migrations/001_initial_schema.sql</x:v>
      </x:c>
    </x:row>
    <x:row r="35" ht="56" customHeight="1">
      <x:c r="A35" s="42" t="str">
        <x:v>INV03.001</x:v>
      </x:c>
      <x:c r="B35" s="42" t="str">
        <x:v>Fundamentos de mapas, panoramas y AR</x:v>
      </x:c>
      <x:c r="C35" s="42" t="str">
        <x:v>INV03</x:v>
      </x:c>
      <x:c r="D35" s="43" t="str">
        <x:v>Estudiar coordenadas y precisión de ubicación</x:v>
      </x:c>
      <x:c r="E35" s="43" t="str">
        <x:v>Diferenciar posición exacta, aproximada y ubicación textual.</x:v>
      </x:c>
      <x:c r="F35" s="43" t="str">
        <x:v>Completado</x:v>
      </x:c>
      <x:c r="G35" s="44" t="n">
        <x:v>46266</x:v>
      </x:c>
      <x:c r="H35" s="44" t="n">
        <x:v>46272</x:v>
      </x:c>
      <x:c r="I35" s="45" t="n">
        <x:f>IF(OR(G35="",H35=""),"",SUMPRODUCT(('Cronograma'!$F$8:$P$8&lt;=H35)*('Cronograma'!$F$9:$P$9&gt;=G35)))</x:f>
        <x:v>1</x:v>
      </x:c>
      <x:c r="J35" s="46"/>
      <x:c r="K35" s="46"/>
      <x:c r="L35" s="47"/>
      <x:c r="M35" s="48" t="str"/>
      <x:c r="N35" s="48" t="str"/>
      <x:c r="O35" s="49"/>
      <x:c r="P35" s="43" t="str">
        <x:v>Confirmación general del usuario; desglose por confirmar</x:v>
      </x:c>
      <x:c r="Q35" s="43" t="str">
        <x:v>INV01, INV02</x:v>
      </x:c>
      <x:c r="R35" s="43" t="str">
        <x:v>Confirmar el detalle del tema estudiado y capturar su duración real.</x:v>
      </x:c>
      <x:c r="S35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5" s="43" t="str">
        <x:v>S007, S008, S009, S010</x:v>
      </x:c>
      <x:c r="U35" s="43" t="str">
        <x:v>docs/map.md
docs/ar-experience-design.md
docs/implementation/tours-native.md
processing/tours/README.md</x:v>
      </x:c>
    </x:row>
    <x:row r="36" ht="56" customHeight="1">
      <x:c r="A36" s="42" t="str">
        <x:v>INV03.002</x:v>
      </x:c>
      <x:c r="B36" s="42" t="str">
        <x:v>Fundamentos de mapas, panoramas y AR</x:v>
      </x:c>
      <x:c r="C36" s="42" t="str">
        <x:v>INV03</x:v>
      </x:c>
      <x:c r="D36" s="43" t="str">
        <x:v>Estudiar cartografía OpenStreetMap</x:v>
      </x:c>
      <x:c r="E36" s="43" t="str">
        <x:v>Considerar teselas, atribución y consulta por área visible.</x:v>
      </x:c>
      <x:c r="F36" s="43" t="str">
        <x:v>Completado</x:v>
      </x:c>
      <x:c r="G36" s="44" t="n">
        <x:v>46266</x:v>
      </x:c>
      <x:c r="H36" s="44" t="n">
        <x:v>46272</x:v>
      </x:c>
      <x:c r="I36" s="45" t="n">
        <x:f>IF(OR(G36="",H36=""),"",SUMPRODUCT(('Cronograma'!$F$8:$P$8&lt;=H36)*('Cronograma'!$F$9:$P$9&gt;=G36)))</x:f>
        <x:v>1</x:v>
      </x:c>
      <x:c r="J36" s="46"/>
      <x:c r="K36" s="46"/>
      <x:c r="L36" s="47"/>
      <x:c r="M36" s="48" t="str"/>
      <x:c r="N36" s="48" t="str"/>
      <x:c r="O36" s="49"/>
      <x:c r="P36" s="43" t="str">
        <x:v>Confirmación general del usuario; desglose por confirmar</x:v>
      </x:c>
      <x:c r="Q36" s="43" t="str">
        <x:v>INV01, INV02</x:v>
      </x:c>
      <x:c r="R36" s="43" t="str">
        <x:v>Confirmar el detalle del tema estudiado y capturar su duración real.</x:v>
      </x:c>
      <x:c r="S36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6" s="43" t="str">
        <x:v>S007, S008, S009, S010</x:v>
      </x:c>
      <x:c r="U36" s="43" t="str">
        <x:v>docs/map.md
docs/ar-experience-design.md
docs/implementation/tours-native.md
processing/tours/README.md</x:v>
      </x:c>
    </x:row>
    <x:row r="37" ht="56" customHeight="1">
      <x:c r="A37" s="42" t="str">
        <x:v>INV03.003</x:v>
      </x:c>
      <x:c r="B37" s="42" t="str">
        <x:v>Fundamentos de mapas, panoramas y AR</x:v>
      </x:c>
      <x:c r="C37" s="42" t="str">
        <x:v>INV03</x:v>
      </x:c>
      <x:c r="D37" s="43" t="str">
        <x:v>Estudiar permisos de geolocalización</x:v>
      </x:c>
      <x:c r="E37" s="43" t="str">
        <x:v>Distinguir solicitud explícita y exploración sin GPS.</x:v>
      </x:c>
      <x:c r="F37" s="43" t="str">
        <x:v>Completado</x:v>
      </x:c>
      <x:c r="G37" s="44" t="n">
        <x:v>46266</x:v>
      </x:c>
      <x:c r="H37" s="44" t="n">
        <x:v>46272</x:v>
      </x:c>
      <x:c r="I37" s="45" t="n">
        <x:f>IF(OR(G37="",H37=""),"",SUMPRODUCT(('Cronograma'!$F$8:$P$8&lt;=H37)*('Cronograma'!$F$9:$P$9&gt;=G37)))</x:f>
        <x:v>1</x:v>
      </x:c>
      <x:c r="J37" s="46"/>
      <x:c r="K37" s="46"/>
      <x:c r="L37" s="47"/>
      <x:c r="M37" s="48" t="str"/>
      <x:c r="N37" s="48" t="str"/>
      <x:c r="O37" s="49"/>
      <x:c r="P37" s="43" t="str">
        <x:v>Confirmación general del usuario; desglose por confirmar</x:v>
      </x:c>
      <x:c r="Q37" s="43" t="str">
        <x:v>INV01, INV02</x:v>
      </x:c>
      <x:c r="R37" s="43" t="str">
        <x:v>Confirmar el detalle del tema estudiado y capturar su duración real.</x:v>
      </x:c>
      <x:c r="S37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7" s="43" t="str">
        <x:v>S007, S008, S009, S010</x:v>
      </x:c>
      <x:c r="U37" s="43" t="str">
        <x:v>docs/map.md
docs/ar-experience-design.md
docs/implementation/tours-native.md
processing/tours/README.md</x:v>
      </x:c>
    </x:row>
    <x:row r="38" ht="56" customHeight="1">
      <x:c r="A38" s="42" t="str">
        <x:v>INV03.004</x:v>
      </x:c>
      <x:c r="B38" s="42" t="str">
        <x:v>Fundamentos de mapas, panoramas y AR</x:v>
      </x:c>
      <x:c r="C38" s="42" t="str">
        <x:v>INV03</x:v>
      </x:c>
      <x:c r="D38" s="43" t="str">
        <x:v>Estudiar panoramas equirectangulares</x:v>
      </x:c>
      <x:c r="E38" s="43" t="str">
        <x:v>Distinguir una esfera 360°×180° de una imagen horizontal común.</x:v>
      </x:c>
      <x:c r="F38" s="43" t="str">
        <x:v>Completado</x:v>
      </x:c>
      <x:c r="G38" s="44" t="n">
        <x:v>46266</x:v>
      </x:c>
      <x:c r="H38" s="44" t="n">
        <x:v>46272</x:v>
      </x:c>
      <x:c r="I38" s="45" t="n">
        <x:f>IF(OR(G38="",H38=""),"",SUMPRODUCT(('Cronograma'!$F$8:$P$8&lt;=H38)*('Cronograma'!$F$9:$P$9&gt;=G38)))</x:f>
        <x:v>1</x:v>
      </x:c>
      <x:c r="J38" s="46"/>
      <x:c r="K38" s="46"/>
      <x:c r="L38" s="47"/>
      <x:c r="M38" s="48" t="str"/>
      <x:c r="N38" s="48" t="str"/>
      <x:c r="O38" s="49"/>
      <x:c r="P38" s="43" t="str">
        <x:v>Confirmación general del usuario; desglose por confirmar</x:v>
      </x:c>
      <x:c r="Q38" s="43" t="str">
        <x:v>INV01, INV02</x:v>
      </x:c>
      <x:c r="R38" s="43" t="str">
        <x:v>Confirmar el detalle del tema estudiado y capturar su duración real.</x:v>
      </x:c>
      <x:c r="S38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8" s="43" t="str">
        <x:v>S007, S008, S009, S010</x:v>
      </x:c>
      <x:c r="U38" s="43" t="str">
        <x:v>docs/map.md
docs/ar-experience-design.md
docs/implementation/tours-native.md
processing/tours/README.md</x:v>
      </x:c>
    </x:row>
    <x:row r="39" ht="56" customHeight="1">
      <x:c r="A39" s="42" t="str">
        <x:v>INV03.005</x:v>
      </x:c>
      <x:c r="B39" s="42" t="str">
        <x:v>Fundamentos de mapas, panoramas y AR</x:v>
      </x:c>
      <x:c r="C39" s="42" t="str">
        <x:v>INV03</x:v>
      </x:c>
      <x:c r="D39" s="43" t="str">
        <x:v>Estudiar metadatos GPano</x:v>
      </x:c>
      <x:c r="E39" s="43" t="str">
        <x:v>Relacionar proyección, dimensiones y cobertura de esfera completa.</x:v>
      </x:c>
      <x:c r="F39" s="43" t="str">
        <x:v>Completado</x:v>
      </x:c>
      <x:c r="G39" s="44" t="n">
        <x:v>46266</x:v>
      </x:c>
      <x:c r="H39" s="44" t="n">
        <x:v>46272</x:v>
      </x:c>
      <x:c r="I39" s="45" t="n">
        <x:f>IF(OR(G39="",H39=""),"",SUMPRODUCT(('Cronograma'!$F$8:$P$8&lt;=H39)*('Cronograma'!$F$9:$P$9&gt;=G39)))</x:f>
        <x:v>1</x:v>
      </x:c>
      <x:c r="J39" s="46"/>
      <x:c r="K39" s="46"/>
      <x:c r="L39" s="47"/>
      <x:c r="M39" s="48" t="str"/>
      <x:c r="N39" s="48" t="str"/>
      <x:c r="O39" s="49"/>
      <x:c r="P39" s="43" t="str">
        <x:v>Confirmación general del usuario; desglose por confirmar</x:v>
      </x:c>
      <x:c r="Q39" s="43" t="str">
        <x:v>INV01, INV02</x:v>
      </x:c>
      <x:c r="R39" s="43" t="str">
        <x:v>Confirmar el detalle del tema estudiado y capturar su duración real.</x:v>
      </x:c>
      <x:c r="S39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39" s="43" t="str">
        <x:v>S007, S008, S009, S010</x:v>
      </x:c>
      <x:c r="U39" s="43" t="str">
        <x:v>docs/map.md
docs/ar-experience-design.md
docs/implementation/tours-native.md
processing/tours/README.md</x:v>
      </x:c>
    </x:row>
    <x:row r="40" ht="56" customHeight="1">
      <x:c r="A40" s="42" t="str">
        <x:v>INV03.006</x:v>
      </x:c>
      <x:c r="B40" s="42" t="str">
        <x:v>Fundamentos de mapas, panoramas y AR</x:v>
      </x:c>
      <x:c r="C40" s="42" t="str">
        <x:v>INV03</x:v>
      </x:c>
      <x:c r="D40" s="43" t="str">
        <x:v>Estudiar campo de visión y solapamiento</x:v>
      </x:c>
      <x:c r="E40" s="43" t="str">
        <x:v>Fundamentar anillos, techo, piso y tomas desde una posición fija.</x:v>
      </x:c>
      <x:c r="F40" s="43" t="str">
        <x:v>Completado</x:v>
      </x:c>
      <x:c r="G40" s="44" t="n">
        <x:v>46266</x:v>
      </x:c>
      <x:c r="H40" s="44" t="n">
        <x:v>46272</x:v>
      </x:c>
      <x:c r="I40" s="45" t="n">
        <x:f>IF(OR(G40="",H40=""),"",SUMPRODUCT(('Cronograma'!$F$8:$P$8&lt;=H40)*('Cronograma'!$F$9:$P$9&gt;=G40)))</x:f>
        <x:v>1</x:v>
      </x:c>
      <x:c r="J40" s="46"/>
      <x:c r="K40" s="46"/>
      <x:c r="L40" s="47"/>
      <x:c r="M40" s="48" t="str"/>
      <x:c r="N40" s="48" t="str"/>
      <x:c r="O40" s="49"/>
      <x:c r="P40" s="43" t="str">
        <x:v>Confirmación general del usuario; desglose por confirmar</x:v>
      </x:c>
      <x:c r="Q40" s="43" t="str">
        <x:v>INV01, INV02</x:v>
      </x:c>
      <x:c r="R40" s="43" t="str">
        <x:v>Confirmar el detalle del tema estudiado y capturar su duración real.</x:v>
      </x:c>
      <x:c r="S40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0" s="43" t="str">
        <x:v>S007, S008, S009, S010</x:v>
      </x:c>
      <x:c r="U40" s="43" t="str">
        <x:v>docs/map.md
docs/ar-experience-design.md
docs/implementation/tours-native.md
processing/tours/README.md</x:v>
      </x:c>
    </x:row>
    <x:row r="41" ht="56" customHeight="1">
      <x:c r="A41" s="42" t="str">
        <x:v>INV03.007</x:v>
      </x:c>
      <x:c r="B41" s="42" t="str">
        <x:v>Fundamentos de mapas, panoramas y AR</x:v>
      </x:c>
      <x:c r="C41" s="42" t="str">
        <x:v>INV03</x:v>
      </x:c>
      <x:c r="D41" s="43" t="str">
        <x:v>Estudiar cosido Hugin y mezcla Enblend</x:v>
      </x:c>
      <x:c r="E41" s="43" t="str">
        <x:v>Separar coincidencias, optimización, remapeo y mezcla.</x:v>
      </x:c>
      <x:c r="F41" s="43" t="str">
        <x:v>Completado</x:v>
      </x:c>
      <x:c r="G41" s="44" t="n">
        <x:v>46266</x:v>
      </x:c>
      <x:c r="H41" s="44" t="n">
        <x:v>46272</x:v>
      </x:c>
      <x:c r="I41" s="45" t="n">
        <x:f>IF(OR(G41="",H41=""),"",SUMPRODUCT(('Cronograma'!$F$8:$P$8&lt;=H41)*('Cronograma'!$F$9:$P$9&gt;=G41)))</x:f>
        <x:v>1</x:v>
      </x:c>
      <x:c r="J41" s="46"/>
      <x:c r="K41" s="46"/>
      <x:c r="L41" s="47"/>
      <x:c r="M41" s="48" t="str"/>
      <x:c r="N41" s="48" t="str"/>
      <x:c r="O41" s="49"/>
      <x:c r="P41" s="43" t="str">
        <x:v>Confirmación general del usuario; desglose por confirmar</x:v>
      </x:c>
      <x:c r="Q41" s="43" t="str">
        <x:v>INV01, INV02</x:v>
      </x:c>
      <x:c r="R41" s="43" t="str">
        <x:v>Confirmar el detalle del tema estudiado y capturar su duración real.</x:v>
      </x:c>
      <x:c r="S41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1" s="43" t="str">
        <x:v>S007, S008, S009, S010</x:v>
      </x:c>
      <x:c r="U41" s="43" t="str">
        <x:v>docs/map.md
docs/ar-experience-design.md
docs/implementation/tours-native.md
processing/tours/README.md</x:v>
      </x:c>
    </x:row>
    <x:row r="42" ht="56" customHeight="1">
      <x:c r="A42" s="42" t="str">
        <x:v>INV03.008</x:v>
      </x:c>
      <x:c r="B42" s="42" t="str">
        <x:v>Fundamentos de mapas, panoramas y AR</x:v>
      </x:c>
      <x:c r="C42" s="42" t="str">
        <x:v>INV03</x:v>
      </x:c>
      <x:c r="D42" s="43" t="str">
        <x:v>Estudiar reconocimiento de imágenes AR</x:v>
      </x:c>
      <x:c r="E42" s="43" t="str">
        <x:v>Diferenciar reconocimiento físico de un QR o coordenada GPS.</x:v>
      </x:c>
      <x:c r="F42" s="43" t="str">
        <x:v>Completado</x:v>
      </x:c>
      <x:c r="G42" s="44" t="n">
        <x:v>46266</x:v>
      </x:c>
      <x:c r="H42" s="44" t="n">
        <x:v>46272</x:v>
      </x:c>
      <x:c r="I42" s="45" t="n">
        <x:f>IF(OR(G42="",H42=""),"",SUMPRODUCT(('Cronograma'!$F$8:$P$8&lt;=H42)*('Cronograma'!$F$9:$P$9&gt;=G42)))</x:f>
        <x:v>1</x:v>
      </x:c>
      <x:c r="J42" s="46"/>
      <x:c r="K42" s="46"/>
      <x:c r="L42" s="47"/>
      <x:c r="M42" s="48" t="str"/>
      <x:c r="N42" s="48" t="str"/>
      <x:c r="O42" s="49"/>
      <x:c r="P42" s="43" t="str">
        <x:v>Confirmación general del usuario; desglose por confirmar</x:v>
      </x:c>
      <x:c r="Q42" s="43" t="str">
        <x:v>INV01, INV02</x:v>
      </x:c>
      <x:c r="R42" s="43" t="str">
        <x:v>Confirmar el detalle del tema estudiado y capturar su duración real.</x:v>
      </x:c>
      <x:c r="S42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2" s="43" t="str">
        <x:v>S007, S008, S009, S010</x:v>
      </x:c>
      <x:c r="U42" s="43" t="str">
        <x:v>docs/map.md
docs/ar-experience-design.md
docs/implementation/tours-native.md
processing/tours/README.md</x:v>
      </x:c>
    </x:row>
    <x:row r="43" ht="56" customHeight="1">
      <x:c r="A43" s="42" t="str">
        <x:v>INV03.009</x:v>
      </x:c>
      <x:c r="B43" s="42" t="str">
        <x:v>Fundamentos de mapas, panoramas y AR</x:v>
      </x:c>
      <x:c r="C43" s="42" t="str">
        <x:v>INV03</x:v>
      </x:c>
      <x:c r="D43" s="43" t="str">
        <x:v>Estudiar ARCore y ARKit</x:v>
      </x:c>
      <x:c r="E43" s="43" t="str">
        <x:v>Considerar soporte nativo, ancho físico de referencia y tracking.</x:v>
      </x:c>
      <x:c r="F43" s="43" t="str">
        <x:v>Completado</x:v>
      </x:c>
      <x:c r="G43" s="44" t="n">
        <x:v>46266</x:v>
      </x:c>
      <x:c r="H43" s="44" t="n">
        <x:v>46272</x:v>
      </x:c>
      <x:c r="I43" s="45" t="n">
        <x:f>IF(OR(G43="",H43=""),"",SUMPRODUCT(('Cronograma'!$F$8:$P$8&lt;=H43)*('Cronograma'!$F$9:$P$9&gt;=G43)))</x:f>
        <x:v>1</x:v>
      </x:c>
      <x:c r="J43" s="46"/>
      <x:c r="K43" s="46"/>
      <x:c r="L43" s="47"/>
      <x:c r="M43" s="48" t="str"/>
      <x:c r="N43" s="48" t="str"/>
      <x:c r="O43" s="49"/>
      <x:c r="P43" s="43" t="str">
        <x:v>Confirmación general del usuario; desglose por confirmar</x:v>
      </x:c>
      <x:c r="Q43" s="43" t="str">
        <x:v>INV01, INV02</x:v>
      </x:c>
      <x:c r="R43" s="43" t="str">
        <x:v>Confirmar el detalle del tema estudiado y capturar su duración real.</x:v>
      </x:c>
      <x:c r="S43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3" s="43" t="str">
        <x:v>S007, S008, S009, S010</x:v>
      </x:c>
      <x:c r="U43" s="43" t="str">
        <x:v>docs/map.md
docs/ar-experience-design.md
docs/implementation/tours-native.md
processing/tours/README.md</x:v>
      </x:c>
    </x:row>
    <x:row r="44" ht="56" customHeight="1">
      <x:c r="A44" s="42" t="str">
        <x:v>INV03.010</x:v>
      </x:c>
      <x:c r="B44" s="42" t="str">
        <x:v>Fundamentos de mapas, panoramas y AR</x:v>
      </x:c>
      <x:c r="C44" s="42" t="str">
        <x:v>INV03</x:v>
      </x:c>
      <x:c r="D44" s="43" t="str">
        <x:v>Estudiar orientación yaw, pitch y roll</x:v>
      </x:c>
      <x:c r="E44" s="43" t="str">
        <x:v>Considerar ejes ópticos, horizonte, polos y costura angular.</x:v>
      </x:c>
      <x:c r="F44" s="43" t="str">
        <x:v>Completado</x:v>
      </x:c>
      <x:c r="G44" s="44" t="n">
        <x:v>46266</x:v>
      </x:c>
      <x:c r="H44" s="44" t="n">
        <x:v>46272</x:v>
      </x:c>
      <x:c r="I44" s="45" t="n">
        <x:f>IF(OR(G44="",H44=""),"",SUMPRODUCT(('Cronograma'!$F$8:$P$8&lt;=H44)*('Cronograma'!$F$9:$P$9&gt;=G44)))</x:f>
        <x:v>1</x:v>
      </x:c>
      <x:c r="J44" s="46"/>
      <x:c r="K44" s="46"/>
      <x:c r="L44" s="47"/>
      <x:c r="M44" s="48" t="str"/>
      <x:c r="N44" s="48" t="str"/>
      <x:c r="O44" s="49"/>
      <x:c r="P44" s="43" t="str">
        <x:v>Confirmación general del usuario; desglose por confirmar</x:v>
      </x:c>
      <x:c r="Q44" s="43" t="str">
        <x:v>INV01, INV02</x:v>
      </x:c>
      <x:c r="R44" s="43" t="str">
        <x:v>Confirmar el detalle del tema estudiado y capturar su duración real.</x:v>
      </x:c>
      <x:c r="S44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4" s="43" t="str">
        <x:v>S007, S008, S009, S010</x:v>
      </x:c>
      <x:c r="U44" s="43" t="str">
        <x:v>docs/map.md
docs/ar-experience-design.md
docs/implementation/tours-native.md
processing/tours/README.md</x:v>
      </x:c>
    </x:row>
    <x:row r="45" ht="56" customHeight="1">
      <x:c r="A45" s="42" t="str">
        <x:v>INV03.011</x:v>
      </x:c>
      <x:c r="B45" s="42" t="str">
        <x:v>Fundamentos de mapas, panoramas y AR</x:v>
      </x:c>
      <x:c r="C45" s="42" t="str">
        <x:v>INV03</x:v>
      </x:c>
      <x:c r="D45" s="43" t="str">
        <x:v>Estudiar cargas reanudables TUS</x:v>
      </x:c>
      <x:c r="E45" s="43" t="str">
        <x:v>Fundamentar checkpoints, offsets y recuperación por HEAD.</x:v>
      </x:c>
      <x:c r="F45" s="43" t="str">
        <x:v>Completado</x:v>
      </x:c>
      <x:c r="G45" s="44" t="n">
        <x:v>46266</x:v>
      </x:c>
      <x:c r="H45" s="44" t="n">
        <x:v>46272</x:v>
      </x:c>
      <x:c r="I45" s="45" t="n">
        <x:f>IF(OR(G45="",H45=""),"",SUMPRODUCT(('Cronograma'!$F$8:$P$8&lt;=H45)*('Cronograma'!$F$9:$P$9&gt;=G45)))</x:f>
        <x:v>1</x:v>
      </x:c>
      <x:c r="J45" s="46"/>
      <x:c r="K45" s="46"/>
      <x:c r="L45" s="47"/>
      <x:c r="M45" s="48" t="str"/>
      <x:c r="N45" s="48" t="str"/>
      <x:c r="O45" s="49"/>
      <x:c r="P45" s="43" t="str">
        <x:v>Confirmación general del usuario; desglose por confirmar</x:v>
      </x:c>
      <x:c r="Q45" s="43" t="str">
        <x:v>INV01, INV02</x:v>
      </x:c>
      <x:c r="R45" s="43" t="str">
        <x:v>Confirmar el detalle del tema estudiado y capturar su duración real.</x:v>
      </x:c>
      <x:c r="S45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5" s="43" t="str">
        <x:v>S007, S008, S009, S010</x:v>
      </x:c>
      <x:c r="U45" s="43" t="str">
        <x:v>docs/map.md
docs/ar-experience-design.md
docs/implementation/tours-native.md
processing/tours/README.md</x:v>
      </x:c>
    </x:row>
    <x:row r="46" ht="56" customHeight="1">
      <x:c r="A46" s="42" t="str">
        <x:v>INV03.012</x:v>
      </x:c>
      <x:c r="B46" s="42" t="str">
        <x:v>Fundamentos de mapas, panoramas y AR</x:v>
      </x:c>
      <x:c r="C46" s="42" t="str">
        <x:v>INV03</x:v>
      </x:c>
      <x:c r="D46" s="43" t="str">
        <x:v>Estudiar colas y leases de procesamiento</x:v>
      </x:c>
      <x:c r="E46" s="43" t="str">
        <x:v>Considerar concurrencia, cancelación, reintentos y limpieza.</x:v>
      </x:c>
      <x:c r="F46" s="43" t="str">
        <x:v>Completado</x:v>
      </x:c>
      <x:c r="G46" s="44" t="n">
        <x:v>46266</x:v>
      </x:c>
      <x:c r="H46" s="44" t="n">
        <x:v>46272</x:v>
      </x:c>
      <x:c r="I46" s="45" t="n">
        <x:f>IF(OR(G46="",H46=""),"",SUMPRODUCT(('Cronograma'!$F$8:$P$8&lt;=H46)*('Cronograma'!$F$9:$P$9&gt;=G46)))</x:f>
        <x:v>1</x:v>
      </x:c>
      <x:c r="J46" s="46"/>
      <x:c r="K46" s="46"/>
      <x:c r="L46" s="47"/>
      <x:c r="M46" s="48" t="str"/>
      <x:c r="N46" s="48" t="str"/>
      <x:c r="O46" s="49"/>
      <x:c r="P46" s="43" t="str">
        <x:v>Confirmación general del usuario; desglose por confirmar</x:v>
      </x:c>
      <x:c r="Q46" s="43" t="str">
        <x:v>INV01, INV02</x:v>
      </x:c>
      <x:c r="R46" s="43" t="str">
        <x:v>Confirmar el detalle del tema estudiado y capturar su duración real.</x:v>
      </x:c>
      <x:c r="S46" s="43" t="str">
        <x:v>Realización de investigación confirmada por el usuario en este chat; desglose temático reconstruido desde los requisitos y la arquitectura del repositorio. No acredita fechas ni el estudio individual de cada tema.</x:v>
      </x:c>
      <x:c r="T46" s="43" t="str">
        <x:v>S007, S008, S009, S010</x:v>
      </x:c>
      <x:c r="U46" s="43" t="str">
        <x:v>docs/map.md
docs/ar-experience-design.md
docs/implementation/tours-native.md
processing/tours/README.md</x:v>
      </x:c>
    </x:row>
    <x:row r="47" ht="56" customHeight="1">
      <x:c r="A47" s="42" t="str">
        <x:v>MVP01.001</x:v>
      </x:c>
      <x:c r="B47" s="42" t="str">
        <x:v>Base técnica y arquitectura inicial</x:v>
      </x:c>
      <x:c r="C47" s="42" t="str">
        <x:v>MVP01</x:v>
      </x:c>
      <x:c r="D47" s="43" t="str">
        <x:v>Crear el proyecto Flutter</x:v>
      </x:c>
      <x:c r="E47" s="43" t="str">
        <x:v>Preparar la estructura ejecutable inicial de MAREA.</x:v>
      </x:c>
      <x:c r="F47" s="43" t="str">
        <x:v>Completado</x:v>
      </x:c>
      <x:c r="G47" s="44" t="n">
        <x:v>46273</x:v>
      </x:c>
      <x:c r="H47" s="44" t="n">
        <x:v>46279</x:v>
      </x:c>
      <x:c r="I47" s="45" t="n">
        <x:f>IF(OR(G47="",H47=""),"",SUMPRODUCT(('Cronograma'!$F$8:$P$8&lt;=H47)*('Cronograma'!$F$9:$P$9&gt;=G47)))</x:f>
        <x:v>1</x:v>
      </x:c>
      <x:c r="J47" s="46"/>
      <x:c r="K47" s="46"/>
      <x:c r="L47" s="47"/>
      <x:c r="M47" s="48" t="str"/>
      <x:c r="N47" s="48" t="str"/>
      <x:c r="O47" s="49" t="n">
        <x:v>46276</x:v>
      </x:c>
      <x:c r="P47" s="43" t="str">
        <x:v>Commit de integración y documentos</x:v>
      </x:c>
      <x:c r="Q47" s="43" t="str">
        <x:v>INV02</x:v>
      </x:c>
      <x:c r="R47" s="43" t="str"/>
      <x:c r="S47" s="43" t="str">
        <x:v>La fecha corresponde al primer commit conservado; no identifica inicio ni duración de cada subtarea.</x:v>
      </x:c>
      <x:c r="T47" s="43" t="str">
        <x:v>S011, S012, S013, S014</x:v>
      </x:c>
      <x:c r="U47" s="43" t="str">
        <x:v>git:b92a237:README.md
git:b92a237:pubspec.yaml
git:b92a237:lib/main.dart
git:b92a237:lib/core/config/app_config.dart</x:v>
      </x:c>
    </x:row>
    <x:row r="48" ht="56" customHeight="1">
      <x:c r="A48" s="42" t="str">
        <x:v>MVP01.002</x:v>
      </x:c>
      <x:c r="B48" s="42" t="str">
        <x:v>Base técnica y arquitectura inicial</x:v>
      </x:c>
      <x:c r="C48" s="42" t="str">
        <x:v>MVP01</x:v>
      </x:c>
      <x:c r="D48" s="43" t="str">
        <x:v>Configurar dependencias del MVP</x:v>
      </x:c>
      <x:c r="E48" s="43" t="str">
        <x:v>Integrar go_router y supabase_flutter en el manifiesto.</x:v>
      </x:c>
      <x:c r="F48" s="43" t="str">
        <x:v>Completado</x:v>
      </x:c>
      <x:c r="G48" s="44" t="n">
        <x:v>46273</x:v>
      </x:c>
      <x:c r="H48" s="44" t="n">
        <x:v>46279</x:v>
      </x:c>
      <x:c r="I48" s="45" t="n">
        <x:f>IF(OR(G48="",H48=""),"",SUMPRODUCT(('Cronograma'!$F$8:$P$8&lt;=H48)*('Cronograma'!$F$9:$P$9&gt;=G48)))</x:f>
        <x:v>1</x:v>
      </x:c>
      <x:c r="J48" s="46"/>
      <x:c r="K48" s="46"/>
      <x:c r="L48" s="47"/>
      <x:c r="M48" s="48" t="str"/>
      <x:c r="N48" s="48" t="str"/>
      <x:c r="O48" s="49" t="n">
        <x:v>46276</x:v>
      </x:c>
      <x:c r="P48" s="43" t="str">
        <x:v>Commit de integración y documentos</x:v>
      </x:c>
      <x:c r="Q48" s="43" t="str">
        <x:v>INV02</x:v>
      </x:c>
      <x:c r="R48" s="43" t="str"/>
      <x:c r="S48" s="43" t="str">
        <x:v>La fecha corresponde al primer commit conservado; no identifica inicio ni duración de cada subtarea.</x:v>
      </x:c>
      <x:c r="T48" s="43" t="str">
        <x:v>S011, S012, S013, S014</x:v>
      </x:c>
      <x:c r="U48" s="43" t="str">
        <x:v>git:b92a237:README.md
git:b92a237:pubspec.yaml
git:b92a237:lib/main.dart
git:b92a237:lib/core/config/app_config.dart</x:v>
      </x:c>
    </x:row>
    <x:row r="49" ht="56" customHeight="1">
      <x:c r="A49" s="42" t="str">
        <x:v>MVP01.003</x:v>
      </x:c>
      <x:c r="B49" s="42" t="str">
        <x:v>Base técnica y arquitectura inicial</x:v>
      </x:c>
      <x:c r="C49" s="42" t="str">
        <x:v>MVP01</x:v>
      </x:c>
      <x:c r="D49" s="43" t="str">
        <x:v>Crear la entrada main.dart</x:v>
      </x:c>
      <x:c r="E49" s="43" t="str">
        <x:v>Inicializar Flutter y la configuración del cliente.</x:v>
      </x:c>
      <x:c r="F49" s="43" t="str">
        <x:v>Completado</x:v>
      </x:c>
      <x:c r="G49" s="44" t="n">
        <x:v>46273</x:v>
      </x:c>
      <x:c r="H49" s="44" t="n">
        <x:v>46279</x:v>
      </x:c>
      <x:c r="I49" s="45" t="n">
        <x:f>IF(OR(G49="",H49=""),"",SUMPRODUCT(('Cronograma'!$F$8:$P$8&lt;=H49)*('Cronograma'!$F$9:$P$9&gt;=G49)))</x:f>
        <x:v>1</x:v>
      </x:c>
      <x:c r="J49" s="46"/>
      <x:c r="K49" s="46"/>
      <x:c r="L49" s="47"/>
      <x:c r="M49" s="48" t="str"/>
      <x:c r="N49" s="48" t="str"/>
      <x:c r="O49" s="49" t="n">
        <x:v>46276</x:v>
      </x:c>
      <x:c r="P49" s="43" t="str">
        <x:v>Commit de integración y documentos</x:v>
      </x:c>
      <x:c r="Q49" s="43" t="str">
        <x:v>INV02</x:v>
      </x:c>
      <x:c r="R49" s="43" t="str"/>
      <x:c r="S49" s="43" t="str">
        <x:v>La fecha corresponde al primer commit conservado; no identifica inicio ni duración de cada subtarea.</x:v>
      </x:c>
      <x:c r="T49" s="43" t="str">
        <x:v>S011, S012, S013, S014</x:v>
      </x:c>
      <x:c r="U49" s="43" t="str">
        <x:v>git:b92a237:README.md
git:b92a237:pubspec.yaml
git:b92a237:lib/main.dart
git:b92a237:lib/core/config/app_config.dart</x:v>
      </x:c>
    </x:row>
    <x:row r="50" ht="56" customHeight="1">
      <x:c r="A50" s="42" t="str">
        <x:v>MVP01.004</x:v>
      </x:c>
      <x:c r="B50" s="42" t="str">
        <x:v>Base técnica y arquitectura inicial</x:v>
      </x:c>
      <x:c r="C50" s="42" t="str">
        <x:v>MVP01</x:v>
      </x:c>
      <x:c r="D50" s="43" t="str">
        <x:v>Leer configuración pública de Supabase</x:v>
      </x:c>
      <x:c r="E50" s="43" t="str">
        <x:v>Obtener URL y clave publicable mediante defines.</x:v>
      </x:c>
      <x:c r="F50" s="43" t="str">
        <x:v>Completado</x:v>
      </x:c>
      <x:c r="G50" s="44" t="n">
        <x:v>46273</x:v>
      </x:c>
      <x:c r="H50" s="44" t="n">
        <x:v>46279</x:v>
      </x:c>
      <x:c r="I50" s="45" t="n">
        <x:f>IF(OR(G50="",H50=""),"",SUMPRODUCT(('Cronograma'!$F$8:$P$8&lt;=H50)*('Cronograma'!$F$9:$P$9&gt;=G50)))</x:f>
        <x:v>1</x:v>
      </x:c>
      <x:c r="J50" s="46"/>
      <x:c r="K50" s="46"/>
      <x:c r="L50" s="47"/>
      <x:c r="M50" s="48" t="str"/>
      <x:c r="N50" s="48" t="str"/>
      <x:c r="O50" s="49" t="n">
        <x:v>46276</x:v>
      </x:c>
      <x:c r="P50" s="43" t="str">
        <x:v>Commit de integración y documentos</x:v>
      </x:c>
      <x:c r="Q50" s="43" t="str">
        <x:v>INV02</x:v>
      </x:c>
      <x:c r="R50" s="43" t="str"/>
      <x:c r="S50" s="43" t="str">
        <x:v>La fecha corresponde al primer commit conservado; no identifica inicio ni duración de cada subtarea.</x:v>
      </x:c>
      <x:c r="T50" s="43" t="str">
        <x:v>S011, S012, S013, S014</x:v>
      </x:c>
      <x:c r="U50" s="43" t="str">
        <x:v>git:b92a237:README.md
git:b92a237:pubspec.yaml
git:b92a237:lib/main.dart
git:b92a237:lib/core/config/app_config.dart</x:v>
      </x:c>
    </x:row>
    <x:row r="51" ht="56" customHeight="1">
      <x:c r="A51" s="42" t="str">
        <x:v>MVP01.005</x:v>
      </x:c>
      <x:c r="B51" s="42" t="str">
        <x:v>Base técnica y arquitectura inicial</x:v>
      </x:c>
      <x:c r="C51" s="42" t="str">
        <x:v>MVP01</x:v>
      </x:c>
      <x:c r="D51" s="43" t="str">
        <x:v>Mostrar error de configuración faltante</x:v>
      </x:c>
      <x:c r="E51" s="43" t="str">
        <x:v>Evitar inicializar Supabase sin valores necesarios.</x:v>
      </x:c>
      <x:c r="F51" s="43" t="str">
        <x:v>Completado</x:v>
      </x:c>
      <x:c r="G51" s="44" t="n">
        <x:v>46273</x:v>
      </x:c>
      <x:c r="H51" s="44" t="n">
        <x:v>46279</x:v>
      </x:c>
      <x:c r="I51" s="45" t="n">
        <x:f>IF(OR(G51="",H51=""),"",SUMPRODUCT(('Cronograma'!$F$8:$P$8&lt;=H51)*('Cronograma'!$F$9:$P$9&gt;=G51)))</x:f>
        <x:v>1</x:v>
      </x:c>
      <x:c r="J51" s="46"/>
      <x:c r="K51" s="46"/>
      <x:c r="L51" s="47"/>
      <x:c r="M51" s="48" t="str"/>
      <x:c r="N51" s="48" t="str"/>
      <x:c r="O51" s="49" t="n">
        <x:v>46276</x:v>
      </x:c>
      <x:c r="P51" s="43" t="str">
        <x:v>Commit de integración y documentos</x:v>
      </x:c>
      <x:c r="Q51" s="43" t="str">
        <x:v>INV02</x:v>
      </x:c>
      <x:c r="R51" s="43" t="str"/>
      <x:c r="S51" s="43" t="str">
        <x:v>La fecha corresponde al primer commit conservado; no identifica inicio ni duración de cada subtarea.</x:v>
      </x:c>
      <x:c r="T51" s="43" t="str">
        <x:v>S011, S012, S013, S014</x:v>
      </x:c>
      <x:c r="U51" s="43" t="str">
        <x:v>git:b92a237:README.md
git:b92a237:pubspec.yaml
git:b92a237:lib/main.dart
git:b92a237:lib/core/config/app_config.dart</x:v>
      </x:c>
    </x:row>
    <x:row r="52" ht="56" customHeight="1">
      <x:c r="A52" s="42" t="str">
        <x:v>MVP01.006</x:v>
      </x:c>
      <x:c r="B52" s="42" t="str">
        <x:v>Base técnica y arquitectura inicial</x:v>
      </x:c>
      <x:c r="C52" s="42" t="str">
        <x:v>MVP01</x:v>
      </x:c>
      <x:c r="D52" s="43" t="str">
        <x:v>Crear AppSessionController</x:v>
      </x:c>
      <x:c r="E52" s="43" t="str">
        <x:v>Centralizar estado de sesión y carga del perfil.</x:v>
      </x:c>
      <x:c r="F52" s="43" t="str">
        <x:v>Completado</x:v>
      </x:c>
      <x:c r="G52" s="44" t="n">
        <x:v>46273</x:v>
      </x:c>
      <x:c r="H52" s="44" t="n">
        <x:v>46279</x:v>
      </x:c>
      <x:c r="I52" s="45" t="n">
        <x:f>IF(OR(G52="",H52=""),"",SUMPRODUCT(('Cronograma'!$F$8:$P$8&lt;=H52)*('Cronograma'!$F$9:$P$9&gt;=G52)))</x:f>
        <x:v>1</x:v>
      </x:c>
      <x:c r="J52" s="46"/>
      <x:c r="K52" s="46"/>
      <x:c r="L52" s="47"/>
      <x:c r="M52" s="48" t="str"/>
      <x:c r="N52" s="48" t="str"/>
      <x:c r="O52" s="49" t="n">
        <x:v>46276</x:v>
      </x:c>
      <x:c r="P52" s="43" t="str">
        <x:v>Commit de integración y documentos</x:v>
      </x:c>
      <x:c r="Q52" s="43" t="str">
        <x:v>INV02</x:v>
      </x:c>
      <x:c r="R52" s="43" t="str"/>
      <x:c r="S52" s="43" t="str">
        <x:v>La fecha corresponde al primer commit conservado; no identifica inicio ni duración de cada subtarea.</x:v>
      </x:c>
      <x:c r="T52" s="43" t="str">
        <x:v>S011, S012, S013, S014</x:v>
      </x:c>
      <x:c r="U52" s="43" t="str">
        <x:v>git:b92a237:README.md
git:b92a237:pubspec.yaml
git:b92a237:lib/main.dart
git:b92a237:lib/core/config/app_config.dart</x:v>
      </x:c>
    </x:row>
    <x:row r="53" ht="56" customHeight="1">
      <x:c r="A53" s="42" t="str">
        <x:v>MVP01.007</x:v>
      </x:c>
      <x:c r="B53" s="42" t="str">
        <x:v>Base técnica y arquitectura inicial</x:v>
      </x:c>
      <x:c r="C53" s="42" t="str">
        <x:v>MVP01</x:v>
      </x:c>
      <x:c r="D53" s="43" t="str">
        <x:v>Crear el enrutador de la aplicación</x:v>
      </x:c>
      <x:c r="E53" s="43" t="str">
        <x:v>Definir destinos y redirecciones por sesión.</x:v>
      </x:c>
      <x:c r="F53" s="43" t="str">
        <x:v>Completado</x:v>
      </x:c>
      <x:c r="G53" s="44" t="n">
        <x:v>46273</x:v>
      </x:c>
      <x:c r="H53" s="44" t="n">
        <x:v>46279</x:v>
      </x:c>
      <x:c r="I53" s="45" t="n">
        <x:f>IF(OR(G53="",H53=""),"",SUMPRODUCT(('Cronograma'!$F$8:$P$8&lt;=H53)*('Cronograma'!$F$9:$P$9&gt;=G53)))</x:f>
        <x:v>1</x:v>
      </x:c>
      <x:c r="J53" s="46"/>
      <x:c r="K53" s="46"/>
      <x:c r="L53" s="47"/>
      <x:c r="M53" s="48" t="str"/>
      <x:c r="N53" s="48" t="str"/>
      <x:c r="O53" s="49" t="n">
        <x:v>46276</x:v>
      </x:c>
      <x:c r="P53" s="43" t="str">
        <x:v>Commit de integración y documentos</x:v>
      </x:c>
      <x:c r="Q53" s="43" t="str">
        <x:v>INV02</x:v>
      </x:c>
      <x:c r="R53" s="43" t="str"/>
      <x:c r="S53" s="43" t="str">
        <x:v>La fecha corresponde al primer commit conservado; no identifica inicio ni duración de cada subtarea.</x:v>
      </x:c>
      <x:c r="T53" s="43" t="str">
        <x:v>S011, S012, S013, S014</x:v>
      </x:c>
      <x:c r="U53" s="43" t="str">
        <x:v>git:b92a237:README.md
git:b92a237:pubspec.yaml
git:b92a237:lib/main.dart
git:b92a237:lib/core/config/app_config.dart</x:v>
      </x:c>
    </x:row>
    <x:row r="54" ht="56" customHeight="1">
      <x:c r="A54" s="42" t="str">
        <x:v>MVP01.008</x:v>
      </x:c>
      <x:c r="B54" s="42" t="str">
        <x:v>Base técnica y arquitectura inicial</x:v>
      </x:c>
      <x:c r="C54" s="42" t="str">
        <x:v>MVP01</x:v>
      </x:c>
      <x:c r="D54" s="43" t="str">
        <x:v>Crear estados de error comunes</x:v>
      </x:c>
      <x:c r="E54" s="43" t="str">
        <x:v>Traducir fallos técnicos a mensajes de la aplicación.</x:v>
      </x:c>
      <x:c r="F54" s="43" t="str">
        <x:v>Completado</x:v>
      </x:c>
      <x:c r="G54" s="44" t="n">
        <x:v>46273</x:v>
      </x:c>
      <x:c r="H54" s="44" t="n">
        <x:v>46279</x:v>
      </x:c>
      <x:c r="I54" s="45" t="n">
        <x:f>IF(OR(G54="",H54=""),"",SUMPRODUCT(('Cronograma'!$F$8:$P$8&lt;=H54)*('Cronograma'!$F$9:$P$9&gt;=G54)))</x:f>
        <x:v>1</x:v>
      </x:c>
      <x:c r="J54" s="46"/>
      <x:c r="K54" s="46"/>
      <x:c r="L54" s="47"/>
      <x:c r="M54" s="48" t="str"/>
      <x:c r="N54" s="48" t="str"/>
      <x:c r="O54" s="49" t="n">
        <x:v>46276</x:v>
      </x:c>
      <x:c r="P54" s="43" t="str">
        <x:v>Commit de integración y documentos</x:v>
      </x:c>
      <x:c r="Q54" s="43" t="str">
        <x:v>INV02</x:v>
      </x:c>
      <x:c r="R54" s="43" t="str"/>
      <x:c r="S54" s="43" t="str">
        <x:v>La fecha corresponde al primer commit conservado; no identifica inicio ni duración de cada subtarea.</x:v>
      </x:c>
      <x:c r="T54" s="43" t="str">
        <x:v>S011, S012, S013, S014</x:v>
      </x:c>
      <x:c r="U54" s="43" t="str">
        <x:v>git:b92a237:README.md
git:b92a237:pubspec.yaml
git:b92a237:lib/main.dart
git:b92a237:lib/core/config/app_config.dart</x:v>
      </x:c>
    </x:row>
    <x:row r="55" ht="56" customHeight="1">
      <x:c r="A55" s="42" t="str">
        <x:v>MVP01.009</x:v>
      </x:c>
      <x:c r="B55" s="42" t="str">
        <x:v>Base técnica y arquitectura inicial</x:v>
      </x:c>
      <x:c r="C55" s="42" t="str">
        <x:v>MVP01</x:v>
      </x:c>
      <x:c r="D55" s="43" t="str">
        <x:v>Definir validadores de formularios</x:v>
      </x:c>
      <x:c r="E55" s="43" t="str">
        <x:v>Validar nombre, usuario, correo y contraseña.</x:v>
      </x:c>
      <x:c r="F55" s="43" t="str">
        <x:v>Completado</x:v>
      </x:c>
      <x:c r="G55" s="44" t="n">
        <x:v>46273</x:v>
      </x:c>
      <x:c r="H55" s="44" t="n">
        <x:v>46279</x:v>
      </x:c>
      <x:c r="I55" s="45" t="n">
        <x:f>IF(OR(G55="",H55=""),"",SUMPRODUCT(('Cronograma'!$F$8:$P$8&lt;=H55)*('Cronograma'!$F$9:$P$9&gt;=G55)))</x:f>
        <x:v>1</x:v>
      </x:c>
      <x:c r="J55" s="46"/>
      <x:c r="K55" s="46"/>
      <x:c r="L55" s="47"/>
      <x:c r="M55" s="48" t="str"/>
      <x:c r="N55" s="48" t="str"/>
      <x:c r="O55" s="49" t="n">
        <x:v>46276</x:v>
      </x:c>
      <x:c r="P55" s="43" t="str">
        <x:v>Commit de integración y documentos</x:v>
      </x:c>
      <x:c r="Q55" s="43" t="str">
        <x:v>INV02</x:v>
      </x:c>
      <x:c r="R55" s="43" t="str"/>
      <x:c r="S55" s="43" t="str">
        <x:v>La fecha corresponde al primer commit conservado; no identifica inicio ni duración de cada subtarea.</x:v>
      </x:c>
      <x:c r="T55" s="43" t="str">
        <x:v>S011, S012, S013, S014</x:v>
      </x:c>
      <x:c r="U55" s="43" t="str">
        <x:v>git:b92a237:README.md
git:b92a237:pubspec.yaml
git:b92a237:lib/main.dart
git:b92a237:lib/core/config/app_config.dart</x:v>
      </x:c>
    </x:row>
    <x:row r="56" ht="56" customHeight="1">
      <x:c r="A56" s="42" t="str">
        <x:v>MVP01.010</x:v>
      </x:c>
      <x:c r="B56" s="42" t="str">
        <x:v>Base técnica y arquitectura inicial</x:v>
      </x:c>
      <x:c r="C56" s="42" t="str">
        <x:v>MVP01</x:v>
      </x:c>
      <x:c r="D56" s="43" t="str">
        <x:v>Configurar Android com.marea.app</x:v>
      </x:c>
      <x:c r="E56" s="43" t="str">
        <x:v>Preparar identificador y minSdk 24 del MVP.</x:v>
      </x:c>
      <x:c r="F56" s="43" t="str">
        <x:v>Completado</x:v>
      </x:c>
      <x:c r="G56" s="44" t="n">
        <x:v>46273</x:v>
      </x:c>
      <x:c r="H56" s="44" t="n">
        <x:v>46279</x:v>
      </x:c>
      <x:c r="I56" s="45" t="n">
        <x:f>IF(OR(G56="",H56=""),"",SUMPRODUCT(('Cronograma'!$F$8:$P$8&lt;=H56)*('Cronograma'!$F$9:$P$9&gt;=G56)))</x:f>
        <x:v>1</x:v>
      </x:c>
      <x:c r="J56" s="46"/>
      <x:c r="K56" s="46"/>
      <x:c r="L56" s="47"/>
      <x:c r="M56" s="48" t="str"/>
      <x:c r="N56" s="48" t="str"/>
      <x:c r="O56" s="49" t="n">
        <x:v>46276</x:v>
      </x:c>
      <x:c r="P56" s="43" t="str">
        <x:v>Commit de integración y documentos</x:v>
      </x:c>
      <x:c r="Q56" s="43" t="str">
        <x:v>INV02</x:v>
      </x:c>
      <x:c r="R56" s="43" t="str"/>
      <x:c r="S56" s="43" t="str">
        <x:v>La fecha corresponde al primer commit conservado; no identifica inicio ni duración de cada subtarea.</x:v>
      </x:c>
      <x:c r="T56" s="43" t="str">
        <x:v>S011, S012, S013, S014</x:v>
      </x:c>
      <x:c r="U56" s="43" t="str">
        <x:v>git:b92a237:README.md
git:b92a237:pubspec.yaml
git:b92a237:lib/main.dart
git:b92a237:lib/core/config/app_config.dart</x:v>
      </x:c>
    </x:row>
    <x:row r="57" ht="56" customHeight="1">
      <x:c r="A57" s="42" t="str">
        <x:v>MVP01.011</x:v>
      </x:c>
      <x:c r="B57" s="42" t="str">
        <x:v>Base técnica y arquitectura inicial</x:v>
      </x:c>
      <x:c r="C57" s="42" t="str">
        <x:v>MVP01</x:v>
      </x:c>
      <x:c r="D57" s="43" t="str">
        <x:v>Preparar el proyecto iOS</x:v>
      </x:c>
      <x:c r="E57" s="43" t="str">
        <x:v>Conservar Runner, configuración Flutter y esquema de ejecución.</x:v>
      </x:c>
      <x:c r="F57" s="43" t="str">
        <x:v>Completado</x:v>
      </x:c>
      <x:c r="G57" s="44" t="n">
        <x:v>46273</x:v>
      </x:c>
      <x:c r="H57" s="44" t="n">
        <x:v>46279</x:v>
      </x:c>
      <x:c r="I57" s="45" t="n">
        <x:f>IF(OR(G57="",H57=""),"",SUMPRODUCT(('Cronograma'!$F$8:$P$8&lt;=H57)*('Cronograma'!$F$9:$P$9&gt;=G57)))</x:f>
        <x:v>1</x:v>
      </x:c>
      <x:c r="J57" s="46"/>
      <x:c r="K57" s="46"/>
      <x:c r="L57" s="47"/>
      <x:c r="M57" s="48" t="str"/>
      <x:c r="N57" s="48" t="str"/>
      <x:c r="O57" s="49" t="n">
        <x:v>46276</x:v>
      </x:c>
      <x:c r="P57" s="43" t="str">
        <x:v>Commit de integración y documentos</x:v>
      </x:c>
      <x:c r="Q57" s="43" t="str">
        <x:v>INV02</x:v>
      </x:c>
      <x:c r="R57" s="43" t="str"/>
      <x:c r="S57" s="43" t="str">
        <x:v>La fecha corresponde al primer commit conservado; no identifica inicio ni duración de cada subtarea.</x:v>
      </x:c>
      <x:c r="T57" s="43" t="str">
        <x:v>S011, S012, S013, S014</x:v>
      </x:c>
      <x:c r="U57" s="43" t="str">
        <x:v>git:b92a237:README.md
git:b92a237:pubspec.yaml
git:b92a237:lib/main.dart
git:b92a237:lib/core/config/app_config.dart</x:v>
      </x:c>
    </x:row>
    <x:row r="58" ht="56" customHeight="1">
      <x:c r="A58" s="42" t="str">
        <x:v>MVP01.012</x:v>
      </x:c>
      <x:c r="B58" s="42" t="str">
        <x:v>Base técnica y arquitectura inicial</x:v>
      </x:c>
      <x:c r="C58" s="42" t="str">
        <x:v>MVP01</x:v>
      </x:c>
      <x:c r="D58" s="43" t="str">
        <x:v>Preparar el cliente web</x:v>
      </x:c>
      <x:c r="E58" s="43" t="str">
        <x:v>Crear index, manifiesto e iconos iniciales.</x:v>
      </x:c>
      <x:c r="F58" s="43" t="str">
        <x:v>Completado</x:v>
      </x:c>
      <x:c r="G58" s="44" t="n">
        <x:v>46273</x:v>
      </x:c>
      <x:c r="H58" s="44" t="n">
        <x:v>46279</x:v>
      </x:c>
      <x:c r="I58" s="45" t="n">
        <x:f>IF(OR(G58="",H58=""),"",SUMPRODUCT(('Cronograma'!$F$8:$P$8&lt;=H58)*('Cronograma'!$F$9:$P$9&gt;=G58)))</x:f>
        <x:v>1</x:v>
      </x:c>
      <x:c r="J58" s="46"/>
      <x:c r="K58" s="46"/>
      <x:c r="L58" s="47"/>
      <x:c r="M58" s="48" t="str"/>
      <x:c r="N58" s="48" t="str"/>
      <x:c r="O58" s="49" t="n">
        <x:v>46276</x:v>
      </x:c>
      <x:c r="P58" s="43" t="str">
        <x:v>Commit de integración y documentos</x:v>
      </x:c>
      <x:c r="Q58" s="43" t="str">
        <x:v>INV02</x:v>
      </x:c>
      <x:c r="R58" s="43" t="str"/>
      <x:c r="S58" s="43" t="str">
        <x:v>La fecha corresponde al primer commit conservado; no identifica inicio ni duración de cada subtarea.</x:v>
      </x:c>
      <x:c r="T58" s="43" t="str">
        <x:v>S011, S012, S013, S014</x:v>
      </x:c>
      <x:c r="U58" s="43" t="str">
        <x:v>git:b92a237:README.md
git:b92a237:pubspec.yaml
git:b92a237:lib/main.dart
git:b92a237:lib/core/config/app_config.dart</x:v>
      </x:c>
    </x:row>
    <x:row r="59" ht="56" customHeight="1">
      <x:c r="A59" s="42" t="str">
        <x:v>MVP01.013</x:v>
      </x:c>
      <x:c r="B59" s="42" t="str">
        <x:v>Base técnica y arquitectura inicial</x:v>
      </x:c>
      <x:c r="C59" s="42" t="str">
        <x:v>MVP01</x:v>
      </x:c>
      <x:c r="D59" s="43" t="str">
        <x:v>Configurar exclusiones de archivos locales</x:v>
      </x:c>
      <x:c r="E59" s="43" t="str">
        <x:v>Separar configuración y artefactos del código compartido.</x:v>
      </x:c>
      <x:c r="F59" s="43" t="str">
        <x:v>Completado</x:v>
      </x:c>
      <x:c r="G59" s="44" t="n">
        <x:v>46273</x:v>
      </x:c>
      <x:c r="H59" s="44" t="n">
        <x:v>46279</x:v>
      </x:c>
      <x:c r="I59" s="45" t="n">
        <x:f>IF(OR(G59="",H59=""),"",SUMPRODUCT(('Cronograma'!$F$8:$P$8&lt;=H59)*('Cronograma'!$F$9:$P$9&gt;=G59)))</x:f>
        <x:v>1</x:v>
      </x:c>
      <x:c r="J59" s="46"/>
      <x:c r="K59" s="46"/>
      <x:c r="L59" s="47"/>
      <x:c r="M59" s="48" t="str"/>
      <x:c r="N59" s="48" t="str"/>
      <x:c r="O59" s="49" t="n">
        <x:v>46276</x:v>
      </x:c>
      <x:c r="P59" s="43" t="str">
        <x:v>Commit de integración y documentos</x:v>
      </x:c>
      <x:c r="Q59" s="43" t="str">
        <x:v>INV02</x:v>
      </x:c>
      <x:c r="R59" s="43" t="str"/>
      <x:c r="S59" s="43" t="str">
        <x:v>La fecha corresponde al primer commit conservado; no identifica inicio ni duración de cada subtarea.</x:v>
      </x:c>
      <x:c r="T59" s="43" t="str">
        <x:v>S011, S012, S013, S014</x:v>
      </x:c>
      <x:c r="U59" s="43" t="str">
        <x:v>git:b92a237:README.md
git:b92a237:pubspec.yaml
git:b92a237:lib/main.dart
git:b92a237:lib/core/config/app_config.dart</x:v>
      </x:c>
    </x:row>
    <x:row r="60" ht="56" customHeight="1">
      <x:c r="A60" s="42" t="str">
        <x:v>MVP01.014</x:v>
      </x:c>
      <x:c r="B60" s="42" t="str">
        <x:v>Base técnica y arquitectura inicial</x:v>
      </x:c>
      <x:c r="C60" s="42" t="str">
        <x:v>MVP01</x:v>
      </x:c>
      <x:c r="D60" s="43" t="str">
        <x:v>Configurar análisis estático</x:v>
      </x:c>
      <x:c r="E60" s="43" t="str">
        <x:v>Definir reglas Dart y análisis del proyecto.</x:v>
      </x:c>
      <x:c r="F60" s="43" t="str">
        <x:v>Completado</x:v>
      </x:c>
      <x:c r="G60" s="44" t="n">
        <x:v>46273</x:v>
      </x:c>
      <x:c r="H60" s="44" t="n">
        <x:v>46279</x:v>
      </x:c>
      <x:c r="I60" s="45" t="n">
        <x:f>IF(OR(G60="",H60=""),"",SUMPRODUCT(('Cronograma'!$F$8:$P$8&lt;=H60)*('Cronograma'!$F$9:$P$9&gt;=G60)))</x:f>
        <x:v>1</x:v>
      </x:c>
      <x:c r="J60" s="46"/>
      <x:c r="K60" s="46"/>
      <x:c r="L60" s="47"/>
      <x:c r="M60" s="48" t="str"/>
      <x:c r="N60" s="48" t="str"/>
      <x:c r="O60" s="49" t="n">
        <x:v>46276</x:v>
      </x:c>
      <x:c r="P60" s="43" t="str">
        <x:v>Commit de integración y documentos</x:v>
      </x:c>
      <x:c r="Q60" s="43" t="str">
        <x:v>INV02</x:v>
      </x:c>
      <x:c r="R60" s="43" t="str"/>
      <x:c r="S60" s="43" t="str">
        <x:v>La fecha corresponde al primer commit conservado; no identifica inicio ni duración de cada subtarea.</x:v>
      </x:c>
      <x:c r="T60" s="43" t="str">
        <x:v>S011, S012, S013, S014</x:v>
      </x:c>
      <x:c r="U60" s="43" t="str">
        <x:v>git:b92a237:README.md
git:b92a237:pubspec.yaml
git:b92a237:lib/main.dart
git:b92a237:lib/core/config/app_config.dart</x:v>
      </x:c>
    </x:row>
    <x:row r="61" ht="56" customHeight="1">
      <x:c r="A61" s="42" t="str">
        <x:v>MVP01.015</x:v>
      </x:c>
      <x:c r="B61" s="42" t="str">
        <x:v>Base técnica y arquitectura inicial</x:v>
      </x:c>
      <x:c r="C61" s="42" t="str">
        <x:v>MVP01</x:v>
      </x:c>
      <x:c r="D61" s="43" t="str">
        <x:v>Documentar configuración y ejecución</x:v>
      </x:c>
      <x:c r="E61" s="43" t="str">
        <x:v>Explicar cómo conectar y ejecutar el primer MVP.</x:v>
      </x:c>
      <x:c r="F61" s="43" t="str">
        <x:v>Completado</x:v>
      </x:c>
      <x:c r="G61" s="44" t="n">
        <x:v>46273</x:v>
      </x:c>
      <x:c r="H61" s="44" t="n">
        <x:v>46279</x:v>
      </x:c>
      <x:c r="I61" s="45" t="n">
        <x:f>IF(OR(G61="",H61=""),"",SUMPRODUCT(('Cronograma'!$F$8:$P$8&lt;=H61)*('Cronograma'!$F$9:$P$9&gt;=G61)))</x:f>
        <x:v>1</x:v>
      </x:c>
      <x:c r="J61" s="46"/>
      <x:c r="K61" s="46"/>
      <x:c r="L61" s="47"/>
      <x:c r="M61" s="48" t="str"/>
      <x:c r="N61" s="48" t="str"/>
      <x:c r="O61" s="49" t="n">
        <x:v>46276</x:v>
      </x:c>
      <x:c r="P61" s="43" t="str">
        <x:v>Commit de integración y documentos</x:v>
      </x:c>
      <x:c r="Q61" s="43" t="str">
        <x:v>INV02</x:v>
      </x:c>
      <x:c r="R61" s="43" t="str"/>
      <x:c r="S61" s="43" t="str">
        <x:v>La fecha corresponde al primer commit conservado; no identifica inicio ni duración de cada subtarea.</x:v>
      </x:c>
      <x:c r="T61" s="43" t="str">
        <x:v>S011, S012, S013, S014</x:v>
      </x:c>
      <x:c r="U61" s="43" t="str">
        <x:v>git:b92a237:README.md
git:b92a237:pubspec.yaml
git:b92a237:lib/main.dart
git:b92a237:lib/core/config/app_config.dart</x:v>
      </x:c>
    </x:row>
    <x:row r="62" ht="44" customHeight="1">
      <x:c r="A62" s="42" t="str">
        <x:v>MVP02.001</x:v>
      </x:c>
      <x:c r="B62" s="42" t="str">
        <x:v>Diseño y navegación del primer MVP</x:v>
      </x:c>
      <x:c r="C62" s="42" t="str">
        <x:v>MVP02</x:v>
      </x:c>
      <x:c r="D62" s="43" t="str">
        <x:v>Definir la paleta inicial MAREA</x:v>
      </x:c>
      <x:c r="E62" s="43" t="str">
        <x:v>Crear tokens navy, azul, aqua y superficies claras.</x:v>
      </x:c>
      <x:c r="F62" s="43" t="str">
        <x:v>Completado</x:v>
      </x:c>
      <x:c r="G62" s="44" t="n">
        <x:v>46273</x:v>
      </x:c>
      <x:c r="H62" s="44" t="n">
        <x:v>46279</x:v>
      </x:c>
      <x:c r="I62" s="45" t="n">
        <x:f>IF(OR(G62="",H62=""),"",SUMPRODUCT(('Cronograma'!$F$8:$P$8&lt;=H62)*('Cronograma'!$F$9:$P$9&gt;=G62)))</x:f>
        <x:v>1</x:v>
      </x:c>
      <x:c r="J62" s="46"/>
      <x:c r="K62" s="46"/>
      <x:c r="L62" s="47"/>
      <x:c r="M62" s="48" t="str"/>
      <x:c r="N62" s="48" t="str"/>
      <x:c r="O62" s="49" t="n">
        <x:v>46276</x:v>
      </x:c>
      <x:c r="P62" s="43" t="str">
        <x:v>Commit de integración y documentos</x:v>
      </x:c>
      <x:c r="Q62" s="43" t="str">
        <x:v>MVP01</x:v>
      </x:c>
      <x:c r="R62" s="43" t="str"/>
      <x:c r="S62" s="43" t="str"/>
      <x:c r="T62" s="43" t="str">
        <x:v>S015, S016, S017</x:v>
      </x:c>
      <x:c r="U62" s="43" t="str">
        <x:v>git:b92a237:docs/design-system.md
git:b92a237:lib/core/theme/app_theme.dart
git:b92a237:lib/features/shell/presentation/app_shell.dart</x:v>
      </x:c>
    </x:row>
    <x:row r="63" ht="44" customHeight="1">
      <x:c r="A63" s="42" t="str">
        <x:v>MVP02.002</x:v>
      </x:c>
      <x:c r="B63" s="42" t="str">
        <x:v>Diseño y navegación del primer MVP</x:v>
      </x:c>
      <x:c r="C63" s="42" t="str">
        <x:v>MVP02</x:v>
      </x:c>
      <x:c r="D63" s="43" t="str">
        <x:v>Instalar Nunito Sans local</x:v>
      </x:c>
      <x:c r="E63" s="43" t="str">
        <x:v>Incorporar pesos y licencia de la tipografía.</x:v>
      </x:c>
      <x:c r="F63" s="43" t="str">
        <x:v>Completado</x:v>
      </x:c>
      <x:c r="G63" s="44" t="n">
        <x:v>46273</x:v>
      </x:c>
      <x:c r="H63" s="44" t="n">
        <x:v>46279</x:v>
      </x:c>
      <x:c r="I63" s="45" t="n">
        <x:f>IF(OR(G63="",H63=""),"",SUMPRODUCT(('Cronograma'!$F$8:$P$8&lt;=H63)*('Cronograma'!$F$9:$P$9&gt;=G63)))</x:f>
        <x:v>1</x:v>
      </x:c>
      <x:c r="J63" s="46"/>
      <x:c r="K63" s="46"/>
      <x:c r="L63" s="47"/>
      <x:c r="M63" s="48" t="str"/>
      <x:c r="N63" s="48" t="str"/>
      <x:c r="O63" s="49" t="n">
        <x:v>46276</x:v>
      </x:c>
      <x:c r="P63" s="43" t="str">
        <x:v>Commit de integración y documentos</x:v>
      </x:c>
      <x:c r="Q63" s="43" t="str">
        <x:v>MVP01</x:v>
      </x:c>
      <x:c r="R63" s="43" t="str"/>
      <x:c r="S63" s="43" t="str"/>
      <x:c r="T63" s="43" t="str">
        <x:v>S015, S016, S017</x:v>
      </x:c>
      <x:c r="U63" s="43" t="str">
        <x:v>git:b92a237:docs/design-system.md
git:b92a237:lib/core/theme/app_theme.dart
git:b92a237:lib/features/shell/presentation/app_shell.dart</x:v>
      </x:c>
    </x:row>
    <x:row r="64" ht="44" customHeight="1">
      <x:c r="A64" s="42" t="str">
        <x:v>MVP02.003</x:v>
      </x:c>
      <x:c r="B64" s="42" t="str">
        <x:v>Diseño y navegación del primer MVP</x:v>
      </x:c>
      <x:c r="C64" s="42" t="str">
        <x:v>MVP02</x:v>
      </x:c>
      <x:c r="D64" s="43" t="str">
        <x:v>Definir espaciados y radios</x:v>
      </x:c>
      <x:c r="E64" s="43" t="str">
        <x:v>Uniformar formularios, tarjetas y controles.</x:v>
      </x:c>
      <x:c r="F64" s="43" t="str">
        <x:v>Completado</x:v>
      </x:c>
      <x:c r="G64" s="44" t="n">
        <x:v>46273</x:v>
      </x:c>
      <x:c r="H64" s="44" t="n">
        <x:v>46279</x:v>
      </x:c>
      <x:c r="I64" s="45" t="n">
        <x:f>IF(OR(G64="",H64=""),"",SUMPRODUCT(('Cronograma'!$F$8:$P$8&lt;=H64)*('Cronograma'!$F$9:$P$9&gt;=G64)))</x:f>
        <x:v>1</x:v>
      </x:c>
      <x:c r="J64" s="46"/>
      <x:c r="K64" s="46"/>
      <x:c r="L64" s="47"/>
      <x:c r="M64" s="48" t="str"/>
      <x:c r="N64" s="48" t="str"/>
      <x:c r="O64" s="49" t="n">
        <x:v>46276</x:v>
      </x:c>
      <x:c r="P64" s="43" t="str">
        <x:v>Commit de integración y documentos</x:v>
      </x:c>
      <x:c r="Q64" s="43" t="str">
        <x:v>MVP01</x:v>
      </x:c>
      <x:c r="R64" s="43" t="str"/>
      <x:c r="S64" s="43" t="str"/>
      <x:c r="T64" s="43" t="str">
        <x:v>S015, S016, S017</x:v>
      </x:c>
      <x:c r="U64" s="43" t="str">
        <x:v>git:b92a237:docs/design-system.md
git:b92a237:lib/core/theme/app_theme.dart
git:b92a237:lib/features/shell/presentation/app_shell.dart</x:v>
      </x:c>
    </x:row>
    <x:row r="65" ht="44" customHeight="1">
      <x:c r="A65" s="42" t="str">
        <x:v>MVP02.004</x:v>
      </x:c>
      <x:c r="B65" s="42" t="str">
        <x:v>Diseño y navegación del primer MVP</x:v>
      </x:c>
      <x:c r="C65" s="42" t="str">
        <x:v>MVP02</x:v>
      </x:c>
      <x:c r="D65" s="43" t="str">
        <x:v>Personalizar Material 3</x:v>
      </x:c>
      <x:c r="E65" s="43" t="str">
        <x:v>Aplicar tema compartido a pantallas del MVP.</x:v>
      </x:c>
      <x:c r="F65" s="43" t="str">
        <x:v>Completado</x:v>
      </x:c>
      <x:c r="G65" s="44" t="n">
        <x:v>46273</x:v>
      </x:c>
      <x:c r="H65" s="44" t="n">
        <x:v>46279</x:v>
      </x:c>
      <x:c r="I65" s="45" t="n">
        <x:f>IF(OR(G65="",H65=""),"",SUMPRODUCT(('Cronograma'!$F$8:$P$8&lt;=H65)*('Cronograma'!$F$9:$P$9&gt;=G65)))</x:f>
        <x:v>1</x:v>
      </x:c>
      <x:c r="J65" s="46"/>
      <x:c r="K65" s="46"/>
      <x:c r="L65" s="47"/>
      <x:c r="M65" s="48" t="str"/>
      <x:c r="N65" s="48" t="str"/>
      <x:c r="O65" s="49" t="n">
        <x:v>46276</x:v>
      </x:c>
      <x:c r="P65" s="43" t="str">
        <x:v>Commit de integración y documentos</x:v>
      </x:c>
      <x:c r="Q65" s="43" t="str">
        <x:v>MVP01</x:v>
      </x:c>
      <x:c r="R65" s="43" t="str"/>
      <x:c r="S65" s="43" t="str"/>
      <x:c r="T65" s="43" t="str">
        <x:v>S015, S016, S017</x:v>
      </x:c>
      <x:c r="U65" s="43" t="str">
        <x:v>git:b92a237:docs/design-system.md
git:b92a237:lib/core/theme/app_theme.dart
git:b92a237:lib/features/shell/presentation/app_shell.dart</x:v>
      </x:c>
    </x:row>
    <x:row r="66" ht="44" customHeight="1">
      <x:c r="A66" s="42" t="str">
        <x:v>MVP02.005</x:v>
      </x:c>
      <x:c r="B66" s="42" t="str">
        <x:v>Diseño y navegación del primer MVP</x:v>
      </x:c>
      <x:c r="C66" s="42" t="str">
        <x:v>MVP02</x:v>
      </x:c>
      <x:c r="D66" s="43" t="str">
        <x:v>Crear el logotipo provisional en código</x:v>
      </x:c>
      <x:c r="E66" s="43" t="str">
        <x:v>Mostrar identidad inicial antes de integrar archivos oficiales.</x:v>
      </x:c>
      <x:c r="F66" s="43" t="str">
        <x:v>Completado</x:v>
      </x:c>
      <x:c r="G66" s="44" t="n">
        <x:v>46273</x:v>
      </x:c>
      <x:c r="H66" s="44" t="n">
        <x:v>46279</x:v>
      </x:c>
      <x:c r="I66" s="45" t="n">
        <x:f>IF(OR(G66="",H66=""),"",SUMPRODUCT(('Cronograma'!$F$8:$P$8&lt;=H66)*('Cronograma'!$F$9:$P$9&gt;=G66)))</x:f>
        <x:v>1</x:v>
      </x:c>
      <x:c r="J66" s="46"/>
      <x:c r="K66" s="46"/>
      <x:c r="L66" s="47"/>
      <x:c r="M66" s="48" t="str"/>
      <x:c r="N66" s="48" t="str"/>
      <x:c r="O66" s="49" t="n">
        <x:v>46276</x:v>
      </x:c>
      <x:c r="P66" s="43" t="str">
        <x:v>Commit de integración y documentos</x:v>
      </x:c>
      <x:c r="Q66" s="43" t="str">
        <x:v>MVP01</x:v>
      </x:c>
      <x:c r="R66" s="43" t="str"/>
      <x:c r="S66" s="43" t="str"/>
      <x:c r="T66" s="43" t="str">
        <x:v>S015, S016, S017</x:v>
      </x:c>
      <x:c r="U66" s="43" t="str">
        <x:v>git:b92a237:docs/design-system.md
git:b92a237:lib/core/theme/app_theme.dart
git:b92a237:lib/features/shell/presentation/app_shell.dart</x:v>
      </x:c>
    </x:row>
    <x:row r="67" ht="44" customHeight="1">
      <x:c r="A67" s="42" t="str">
        <x:v>MVP02.006</x:v>
      </x:c>
      <x:c r="B67" s="42" t="str">
        <x:v>Diseño y navegación del primer MVP</x:v>
      </x:c>
      <x:c r="C67" s="42" t="str">
        <x:v>MVP02</x:v>
      </x:c>
      <x:c r="D67" s="43" t="str">
        <x:v>Crear el campo de texto compartido</x:v>
      </x:c>
      <x:c r="E67" s="43" t="str">
        <x:v>Reutilizar etiquetas, errores y entrada de datos.</x:v>
      </x:c>
      <x:c r="F67" s="43" t="str">
        <x:v>Completado</x:v>
      </x:c>
      <x:c r="G67" s="44" t="n">
        <x:v>46273</x:v>
      </x:c>
      <x:c r="H67" s="44" t="n">
        <x:v>46279</x:v>
      </x:c>
      <x:c r="I67" s="45" t="n">
        <x:f>IF(OR(G67="",H67=""),"",SUMPRODUCT(('Cronograma'!$F$8:$P$8&lt;=H67)*('Cronograma'!$F$9:$P$9&gt;=G67)))</x:f>
        <x:v>1</x:v>
      </x:c>
      <x:c r="J67" s="46"/>
      <x:c r="K67" s="46"/>
      <x:c r="L67" s="47"/>
      <x:c r="M67" s="48" t="str"/>
      <x:c r="N67" s="48" t="str"/>
      <x:c r="O67" s="49" t="n">
        <x:v>46276</x:v>
      </x:c>
      <x:c r="P67" s="43" t="str">
        <x:v>Commit de integración y documentos</x:v>
      </x:c>
      <x:c r="Q67" s="43" t="str">
        <x:v>MVP01</x:v>
      </x:c>
      <x:c r="R67" s="43" t="str"/>
      <x:c r="S67" s="43" t="str"/>
      <x:c r="T67" s="43" t="str">
        <x:v>S015, S016, S017</x:v>
      </x:c>
      <x:c r="U67" s="43" t="str">
        <x:v>git:b92a237:docs/design-system.md
git:b92a237:lib/core/theme/app_theme.dart
git:b92a237:lib/features/shell/presentation/app_shell.dart</x:v>
      </x:c>
    </x:row>
    <x:row r="68" ht="44" customHeight="1">
      <x:c r="A68" s="42" t="str">
        <x:v>MVP02.007</x:v>
      </x:c>
      <x:c r="B68" s="42" t="str">
        <x:v>Diseño y navegación del primer MVP</x:v>
      </x:c>
      <x:c r="C68" s="42" t="str">
        <x:v>MVP02</x:v>
      </x:c>
      <x:c r="D68" s="43" t="str">
        <x:v>Crear el botón primario</x:v>
      </x:c>
      <x:c r="E68" s="43" t="str">
        <x:v>Unificar acción principal y estado de envío.</x:v>
      </x:c>
      <x:c r="F68" s="43" t="str">
        <x:v>Completado</x:v>
      </x:c>
      <x:c r="G68" s="44" t="n">
        <x:v>46273</x:v>
      </x:c>
      <x:c r="H68" s="44" t="n">
        <x:v>46279</x:v>
      </x:c>
      <x:c r="I68" s="45" t="n">
        <x:f>IF(OR(G68="",H68=""),"",SUMPRODUCT(('Cronograma'!$F$8:$P$8&lt;=H68)*('Cronograma'!$F$9:$P$9&gt;=G68)))</x:f>
        <x:v>1</x:v>
      </x:c>
      <x:c r="J68" s="46"/>
      <x:c r="K68" s="46"/>
      <x:c r="L68" s="47"/>
      <x:c r="M68" s="48" t="str"/>
      <x:c r="N68" s="48" t="str"/>
      <x:c r="O68" s="49" t="n">
        <x:v>46276</x:v>
      </x:c>
      <x:c r="P68" s="43" t="str">
        <x:v>Commit de integración y documentos</x:v>
      </x:c>
      <x:c r="Q68" s="43" t="str">
        <x:v>MVP01</x:v>
      </x:c>
      <x:c r="R68" s="43" t="str"/>
      <x:c r="S68" s="43" t="str"/>
      <x:c r="T68" s="43" t="str">
        <x:v>S015, S016, S017</x:v>
      </x:c>
      <x:c r="U68" s="43" t="str">
        <x:v>git:b92a237:docs/design-system.md
git:b92a237:lib/core/theme/app_theme.dart
git:b92a237:lib/features/shell/presentation/app_shell.dart</x:v>
      </x:c>
    </x:row>
    <x:row r="69" ht="44" customHeight="1">
      <x:c r="A69" s="42" t="str">
        <x:v>MVP02.008</x:v>
      </x:c>
      <x:c r="B69" s="42" t="str">
        <x:v>Diseño y navegación del primer MVP</x:v>
      </x:c>
      <x:c r="C69" s="42" t="str">
        <x:v>MVP02</x:v>
      </x:c>
      <x:c r="D69" s="43" t="str">
        <x:v>Crear layout de autenticación</x:v>
      </x:c>
      <x:c r="E69" s="43" t="str">
        <x:v>Adaptar formularios a móvil y escritorio.</x:v>
      </x:c>
      <x:c r="F69" s="43" t="str">
        <x:v>Completado</x:v>
      </x:c>
      <x:c r="G69" s="44" t="n">
        <x:v>46273</x:v>
      </x:c>
      <x:c r="H69" s="44" t="n">
        <x:v>46279</x:v>
      </x:c>
      <x:c r="I69" s="45" t="n">
        <x:f>IF(OR(G69="",H69=""),"",SUMPRODUCT(('Cronograma'!$F$8:$P$8&lt;=H69)*('Cronograma'!$F$9:$P$9&gt;=G69)))</x:f>
        <x:v>1</x:v>
      </x:c>
      <x:c r="J69" s="46"/>
      <x:c r="K69" s="46"/>
      <x:c r="L69" s="47"/>
      <x:c r="M69" s="48" t="str"/>
      <x:c r="N69" s="48" t="str"/>
      <x:c r="O69" s="49" t="n">
        <x:v>46276</x:v>
      </x:c>
      <x:c r="P69" s="43" t="str">
        <x:v>Commit de integración y documentos</x:v>
      </x:c>
      <x:c r="Q69" s="43" t="str">
        <x:v>MVP01</x:v>
      </x:c>
      <x:c r="R69" s="43" t="str"/>
      <x:c r="S69" s="43" t="str"/>
      <x:c r="T69" s="43" t="str">
        <x:v>S015, S016, S017</x:v>
      </x:c>
      <x:c r="U69" s="43" t="str">
        <x:v>git:b92a237:docs/design-system.md
git:b92a237:lib/core/theme/app_theme.dart
git:b92a237:lib/features/shell/presentation/app_shell.dart</x:v>
      </x:c>
    </x:row>
    <x:row r="70" ht="44" customHeight="1">
      <x:c r="A70" s="42" t="str">
        <x:v>MVP02.009</x:v>
      </x:c>
      <x:c r="B70" s="42" t="str">
        <x:v>Diseño y navegación del primer MVP</x:v>
      </x:c>
      <x:c r="C70" s="42" t="str">
        <x:v>MVP02</x:v>
      </x:c>
      <x:c r="D70" s="43" t="str">
        <x:v>Crear shell de navegación</x:v>
      </x:c>
      <x:c r="E70" s="43" t="str">
        <x:v>Presentar Inicio, Explorar, Crear, Misiones y Perfil.</x:v>
      </x:c>
      <x:c r="F70" s="43" t="str">
        <x:v>Completado</x:v>
      </x:c>
      <x:c r="G70" s="44" t="n">
        <x:v>46273</x:v>
      </x:c>
      <x:c r="H70" s="44" t="n">
        <x:v>46279</x:v>
      </x:c>
      <x:c r="I70" s="45" t="n">
        <x:f>IF(OR(G70="",H70=""),"",SUMPRODUCT(('Cronograma'!$F$8:$P$8&lt;=H70)*('Cronograma'!$F$9:$P$9&gt;=G70)))</x:f>
        <x:v>1</x:v>
      </x:c>
      <x:c r="J70" s="46"/>
      <x:c r="K70" s="46"/>
      <x:c r="L70" s="47"/>
      <x:c r="M70" s="48" t="str"/>
      <x:c r="N70" s="48" t="str"/>
      <x:c r="O70" s="49" t="n">
        <x:v>46276</x:v>
      </x:c>
      <x:c r="P70" s="43" t="str">
        <x:v>Commit de integración y documentos</x:v>
      </x:c>
      <x:c r="Q70" s="43" t="str">
        <x:v>MVP01</x:v>
      </x:c>
      <x:c r="R70" s="43" t="str"/>
      <x:c r="S70" s="43" t="str"/>
      <x:c r="T70" s="43" t="str">
        <x:v>S015, S016, S017</x:v>
      </x:c>
      <x:c r="U70" s="43" t="str">
        <x:v>git:b92a237:docs/design-system.md
git:b92a237:lib/core/theme/app_theme.dart
git:b92a237:lib/features/shell/presentation/app_shell.dart</x:v>
      </x:c>
    </x:row>
    <x:row r="71" ht="44" customHeight="1">
      <x:c r="A71" s="42" t="str">
        <x:v>MVP02.010</x:v>
      </x:c>
      <x:c r="B71" s="42" t="str">
        <x:v>Diseño y navegación del primer MVP</x:v>
      </x:c>
      <x:c r="C71" s="42" t="str">
        <x:v>MVP02</x:v>
      </x:c>
      <x:c r="D71" s="43" t="str">
        <x:v>Adaptar navegación al ancho de pantalla</x:v>
      </x:c>
      <x:c r="E71" s="43" t="str">
        <x:v>Separar presentación móvil y escritorio.</x:v>
      </x:c>
      <x:c r="F71" s="43" t="str">
        <x:v>Completado</x:v>
      </x:c>
      <x:c r="G71" s="44" t="n">
        <x:v>46273</x:v>
      </x:c>
      <x:c r="H71" s="44" t="n">
        <x:v>46279</x:v>
      </x:c>
      <x:c r="I71" s="45" t="n">
        <x:f>IF(OR(G71="",H71=""),"",SUMPRODUCT(('Cronograma'!$F$8:$P$8&lt;=H71)*('Cronograma'!$F$9:$P$9&gt;=G71)))</x:f>
        <x:v>1</x:v>
      </x:c>
      <x:c r="J71" s="46"/>
      <x:c r="K71" s="46"/>
      <x:c r="L71" s="47"/>
      <x:c r="M71" s="48" t="str"/>
      <x:c r="N71" s="48" t="str"/>
      <x:c r="O71" s="49" t="n">
        <x:v>46276</x:v>
      </x:c>
      <x:c r="P71" s="43" t="str">
        <x:v>Commit de integración y documentos</x:v>
      </x:c>
      <x:c r="Q71" s="43" t="str">
        <x:v>MVP01</x:v>
      </x:c>
      <x:c r="R71" s="43" t="str"/>
      <x:c r="S71" s="43" t="str"/>
      <x:c r="T71" s="43" t="str">
        <x:v>S015, S016, S017</x:v>
      </x:c>
      <x:c r="U71" s="43" t="str">
        <x:v>git:b92a237:docs/design-system.md
git:b92a237:lib/core/theme/app_theme.dart
git:b92a237:lib/features/shell/presentation/app_shell.dart</x:v>
      </x:c>
    </x:row>
    <x:row r="72" ht="44" customHeight="1">
      <x:c r="A72" s="42" t="str">
        <x:v>MVP02.011</x:v>
      </x:c>
      <x:c r="B72" s="42" t="str">
        <x:v>Diseño y navegación del primer MVP</x:v>
      </x:c>
      <x:c r="C72" s="42" t="str">
        <x:v>MVP02</x:v>
      </x:c>
      <x:c r="D72" s="43" t="str">
        <x:v>Mostrar secciones próximas del MVP</x:v>
      </x:c>
      <x:c r="E72" s="43" t="str">
        <x:v>Explicar módulos aún no implementados sin datos falsos.</x:v>
      </x:c>
      <x:c r="F72" s="43" t="str">
        <x:v>Completado</x:v>
      </x:c>
      <x:c r="G72" s="44" t="n">
        <x:v>46273</x:v>
      </x:c>
      <x:c r="H72" s="44" t="n">
        <x:v>46279</x:v>
      </x:c>
      <x:c r="I72" s="45" t="n">
        <x:f>IF(OR(G72="",H72=""),"",SUMPRODUCT(('Cronograma'!$F$8:$P$8&lt;=H72)*('Cronograma'!$F$9:$P$9&gt;=G72)))</x:f>
        <x:v>1</x:v>
      </x:c>
      <x:c r="J72" s="46"/>
      <x:c r="K72" s="46"/>
      <x:c r="L72" s="47"/>
      <x:c r="M72" s="48" t="str"/>
      <x:c r="N72" s="48" t="str"/>
      <x:c r="O72" s="49" t="n">
        <x:v>46276</x:v>
      </x:c>
      <x:c r="P72" s="43" t="str">
        <x:v>Commit de integración y documentos</x:v>
      </x:c>
      <x:c r="Q72" s="43" t="str">
        <x:v>MVP01</x:v>
      </x:c>
      <x:c r="R72" s="43" t="str"/>
      <x:c r="S72" s="43" t="str"/>
      <x:c r="T72" s="43" t="str">
        <x:v>S015, S016, S017</x:v>
      </x:c>
      <x:c r="U72" s="43" t="str">
        <x:v>git:b92a237:docs/design-system.md
git:b92a237:lib/core/theme/app_theme.dart
git:b92a237:lib/features/shell/presentation/app_shell.dart</x:v>
      </x:c>
    </x:row>
    <x:row r="73" ht="44" customHeight="1">
      <x:c r="A73" s="42" t="str">
        <x:v>MVP02.012</x:v>
      </x:c>
      <x:c r="B73" s="42" t="str">
        <x:v>Diseño y navegación del primer MVP</x:v>
      </x:c>
      <x:c r="C73" s="42" t="str">
        <x:v>MVP02</x:v>
      </x:c>
      <x:c r="D73" s="43" t="str">
        <x:v>Crear indicador inicial de avatar</x:v>
      </x:c>
      <x:c r="E73" s="43" t="str">
        <x:v>Mostrar iniciales o presentación disponible del perfil.</x:v>
      </x:c>
      <x:c r="F73" s="43" t="str">
        <x:v>Completado</x:v>
      </x:c>
      <x:c r="G73" s="44" t="n">
        <x:v>46273</x:v>
      </x:c>
      <x:c r="H73" s="44" t="n">
        <x:v>46279</x:v>
      </x:c>
      <x:c r="I73" s="45" t="n">
        <x:f>IF(OR(G73="",H73=""),"",SUMPRODUCT(('Cronograma'!$F$8:$P$8&lt;=H73)*('Cronograma'!$F$9:$P$9&gt;=G73)))</x:f>
        <x:v>1</x:v>
      </x:c>
      <x:c r="J73" s="46"/>
      <x:c r="K73" s="46"/>
      <x:c r="L73" s="47"/>
      <x:c r="M73" s="48" t="str"/>
      <x:c r="N73" s="48" t="str"/>
      <x:c r="O73" s="49" t="n">
        <x:v>46276</x:v>
      </x:c>
      <x:c r="P73" s="43" t="str">
        <x:v>Commit de integración y documentos</x:v>
      </x:c>
      <x:c r="Q73" s="43" t="str">
        <x:v>MVP01</x:v>
      </x:c>
      <x:c r="R73" s="43" t="str"/>
      <x:c r="S73" s="43" t="str"/>
      <x:c r="T73" s="43" t="str">
        <x:v>S015, S016, S017</x:v>
      </x:c>
      <x:c r="U73" s="43" t="str">
        <x:v>git:b92a237:docs/design-system.md
git:b92a237:lib/core/theme/app_theme.dart
git:b92a237:lib/features/shell/presentation/app_shell.dart</x:v>
      </x:c>
    </x:row>
    <x:row r="74" ht="44" customHeight="1">
      <x:c r="A74" s="42" t="str">
        <x:v>MVP03.001</x:v>
      </x:c>
      <x:c r="B74" s="42" t="str">
        <x:v>Autenticación del primer MVP</x:v>
      </x:c>
      <x:c r="C74" s="42" t="str">
        <x:v>MVP03</x:v>
      </x:c>
      <x:c r="D74" s="43" t="str">
        <x:v>Crear pantalla de carga inicial</x:v>
      </x:c>
      <x:c r="E74" s="43" t="str">
        <x:v>Resolver sesión antes de mostrar el destino.</x:v>
      </x:c>
      <x:c r="F74" s="43" t="str">
        <x:v>Completado</x:v>
      </x:c>
      <x:c r="G74" s="44" t="n">
        <x:v>46273</x:v>
      </x:c>
      <x:c r="H74" s="44" t="n">
        <x:v>46279</x:v>
      </x:c>
      <x:c r="I74" s="45" t="n">
        <x:f>IF(OR(G74="",H74=""),"",SUMPRODUCT(('Cronograma'!$F$8:$P$8&lt;=H74)*('Cronograma'!$F$9:$P$9&gt;=G74)))</x:f>
        <x:v>1</x:v>
      </x:c>
      <x:c r="J74" s="46"/>
      <x:c r="K74" s="46"/>
      <x:c r="L74" s="47"/>
      <x:c r="M74" s="48" t="str"/>
      <x:c r="N74" s="48" t="str"/>
      <x:c r="O74" s="49" t="n">
        <x:v>46276</x:v>
      </x:c>
      <x:c r="P74" s="43" t="str">
        <x:v>Commit de integración y documentos</x:v>
      </x:c>
      <x:c r="Q74" s="43" t="str">
        <x:v>MVP01</x:v>
      </x:c>
      <x:c r="R74" s="43" t="str"/>
      <x:c r="S74" s="43" t="str"/>
      <x:c r="T74" s="43" t="str">
        <x:v>S018, S019, S020</x:v>
      </x:c>
      <x:c r="U74" s="43" t="str">
        <x:v>git:b92a237:lib/features/auth/data/auth_repository.dart
git:b92a237:lib/features/auth/presentation/register_screen.dart
git:b92a237:lib/core/session/app_session_controller.dart</x:v>
      </x:c>
    </x:row>
    <x:row r="75" ht="44" customHeight="1">
      <x:c r="A75" s="42" t="str">
        <x:v>MVP03.002</x:v>
      </x:c>
      <x:c r="B75" s="42" t="str">
        <x:v>Autenticación del primer MVP</x:v>
      </x:c>
      <x:c r="C75" s="42" t="str">
        <x:v>MVP03</x:v>
      </x:c>
      <x:c r="D75" s="43" t="str">
        <x:v>Crear formulario inicial de registro</x:v>
      </x:c>
      <x:c r="E75" s="43" t="str">
        <x:v>Capturar identidad y credenciales del MVP.</x:v>
      </x:c>
      <x:c r="F75" s="43" t="str">
        <x:v>Completado</x:v>
      </x:c>
      <x:c r="G75" s="44" t="n">
        <x:v>46273</x:v>
      </x:c>
      <x:c r="H75" s="44" t="n">
        <x:v>46279</x:v>
      </x:c>
      <x:c r="I75" s="45" t="n">
        <x:f>IF(OR(G75="",H75=""),"",SUMPRODUCT(('Cronograma'!$F$8:$P$8&lt;=H75)*('Cronograma'!$F$9:$P$9&gt;=G75)))</x:f>
        <x:v>1</x:v>
      </x:c>
      <x:c r="J75" s="46"/>
      <x:c r="K75" s="46"/>
      <x:c r="L75" s="47"/>
      <x:c r="M75" s="48" t="str"/>
      <x:c r="N75" s="48" t="str"/>
      <x:c r="O75" s="49" t="n">
        <x:v>46276</x:v>
      </x:c>
      <x:c r="P75" s="43" t="str">
        <x:v>Commit de integración y documentos</x:v>
      </x:c>
      <x:c r="Q75" s="43" t="str">
        <x:v>MVP01</x:v>
      </x:c>
      <x:c r="R75" s="43" t="str"/>
      <x:c r="S75" s="43" t="str"/>
      <x:c r="T75" s="43" t="str">
        <x:v>S018, S019, S020</x:v>
      </x:c>
      <x:c r="U75" s="43" t="str">
        <x:v>git:b92a237:lib/features/auth/data/auth_repository.dart
git:b92a237:lib/features/auth/presentation/register_screen.dart
git:b92a237:lib/core/session/app_session_controller.dart</x:v>
      </x:c>
    </x:row>
    <x:row r="76" ht="44" customHeight="1">
      <x:c r="A76" s="42" t="str">
        <x:v>MVP03.003</x:v>
      </x:c>
      <x:c r="B76" s="42" t="str">
        <x:v>Autenticación del primer MVP</x:v>
      </x:c>
      <x:c r="C76" s="42" t="str">
        <x:v>MVP03</x:v>
      </x:c>
      <x:c r="D76" s="43" t="str">
        <x:v>Validar campos obligatorios de registro</x:v>
      </x:c>
      <x:c r="E76" s="43" t="str">
        <x:v>Impedir envío de datos incompletos.</x:v>
      </x:c>
      <x:c r="F76" s="43" t="str">
        <x:v>Completado</x:v>
      </x:c>
      <x:c r="G76" s="44" t="n">
        <x:v>46273</x:v>
      </x:c>
      <x:c r="H76" s="44" t="n">
        <x:v>46279</x:v>
      </x:c>
      <x:c r="I76" s="45" t="n">
        <x:f>IF(OR(G76="",H76=""),"",SUMPRODUCT(('Cronograma'!$F$8:$P$8&lt;=H76)*('Cronograma'!$F$9:$P$9&gt;=G76)))</x:f>
        <x:v>1</x:v>
      </x:c>
      <x:c r="J76" s="46"/>
      <x:c r="K76" s="46"/>
      <x:c r="L76" s="47"/>
      <x:c r="M76" s="48" t="str"/>
      <x:c r="N76" s="48" t="str"/>
      <x:c r="O76" s="49" t="n">
        <x:v>46276</x:v>
      </x:c>
      <x:c r="P76" s="43" t="str">
        <x:v>Commit de integración y documentos</x:v>
      </x:c>
      <x:c r="Q76" s="43" t="str">
        <x:v>MVP01</x:v>
      </x:c>
      <x:c r="R76" s="43" t="str"/>
      <x:c r="S76" s="43" t="str"/>
      <x:c r="T76" s="43" t="str">
        <x:v>S018, S019, S020</x:v>
      </x:c>
      <x:c r="U76" s="43" t="str">
        <x:v>git:b92a237:lib/features/auth/data/auth_repository.dart
git:b92a237:lib/features/auth/presentation/register_screen.dart
git:b92a237:lib/core/session/app_session_controller.dart</x:v>
      </x:c>
    </x:row>
    <x:row r="77" ht="44" customHeight="1">
      <x:c r="A77" s="42" t="str">
        <x:v>MVP03.004</x:v>
      </x:c>
      <x:c r="B77" s="42" t="str">
        <x:v>Autenticación del primer MVP</x:v>
      </x:c>
      <x:c r="C77" s="42" t="str">
        <x:v>MVP03</x:v>
      </x:c>
      <x:c r="D77" s="43" t="str">
        <x:v>Validar formato de correo</x:v>
      </x:c>
      <x:c r="E77" s="43" t="str">
        <x:v>Mostrar errores antes de enviar el formulario.</x:v>
      </x:c>
      <x:c r="F77" s="43" t="str">
        <x:v>Completado</x:v>
      </x:c>
      <x:c r="G77" s="44" t="n">
        <x:v>46273</x:v>
      </x:c>
      <x:c r="H77" s="44" t="n">
        <x:v>46279</x:v>
      </x:c>
      <x:c r="I77" s="45" t="n">
        <x:f>IF(OR(G77="",H77=""),"",SUMPRODUCT(('Cronograma'!$F$8:$P$8&lt;=H77)*('Cronograma'!$F$9:$P$9&gt;=G77)))</x:f>
        <x:v>1</x:v>
      </x:c>
      <x:c r="J77" s="46"/>
      <x:c r="K77" s="46"/>
      <x:c r="L77" s="47"/>
      <x:c r="M77" s="48" t="str"/>
      <x:c r="N77" s="48" t="str"/>
      <x:c r="O77" s="49" t="n">
        <x:v>46276</x:v>
      </x:c>
      <x:c r="P77" s="43" t="str">
        <x:v>Commit de integración y documentos</x:v>
      </x:c>
      <x:c r="Q77" s="43" t="str">
        <x:v>MVP01</x:v>
      </x:c>
      <x:c r="R77" s="43" t="str"/>
      <x:c r="S77" s="43" t="str"/>
      <x:c r="T77" s="43" t="str">
        <x:v>S018, S019, S020</x:v>
      </x:c>
      <x:c r="U77" s="43" t="str">
        <x:v>git:b92a237:lib/features/auth/data/auth_repository.dart
git:b92a237:lib/features/auth/presentation/register_screen.dart
git:b92a237:lib/core/session/app_session_controller.dart</x:v>
      </x:c>
    </x:row>
    <x:row r="78" ht="44" customHeight="1">
      <x:c r="A78" s="42" t="str">
        <x:v>MVP03.005</x:v>
      </x:c>
      <x:c r="B78" s="42" t="str">
        <x:v>Autenticación del primer MVP</x:v>
      </x:c>
      <x:c r="C78" s="42" t="str">
        <x:v>MVP03</x:v>
      </x:c>
      <x:c r="D78" s="43" t="str">
        <x:v>Validar contraseña mínima</x:v>
      </x:c>
      <x:c r="E78" s="43" t="str">
        <x:v>Aplicar el requisito de acceso establecido.</x:v>
      </x:c>
      <x:c r="F78" s="43" t="str">
        <x:v>Completado</x:v>
      </x:c>
      <x:c r="G78" s="44" t="n">
        <x:v>46273</x:v>
      </x:c>
      <x:c r="H78" s="44" t="n">
        <x:v>46279</x:v>
      </x:c>
      <x:c r="I78" s="45" t="n">
        <x:f>IF(OR(G78="",H78=""),"",SUMPRODUCT(('Cronograma'!$F$8:$P$8&lt;=H78)*('Cronograma'!$F$9:$P$9&gt;=G78)))</x:f>
        <x:v>1</x:v>
      </x:c>
      <x:c r="J78" s="46"/>
      <x:c r="K78" s="46"/>
      <x:c r="L78" s="47"/>
      <x:c r="M78" s="48" t="str"/>
      <x:c r="N78" s="48" t="str"/>
      <x:c r="O78" s="49" t="n">
        <x:v>46276</x:v>
      </x:c>
      <x:c r="P78" s="43" t="str">
        <x:v>Commit de integración y documentos</x:v>
      </x:c>
      <x:c r="Q78" s="43" t="str">
        <x:v>MVP01</x:v>
      </x:c>
      <x:c r="R78" s="43" t="str"/>
      <x:c r="S78" s="43" t="str"/>
      <x:c r="T78" s="43" t="str">
        <x:v>S018, S019, S020</x:v>
      </x:c>
      <x:c r="U78" s="43" t="str">
        <x:v>git:b92a237:lib/features/auth/data/auth_repository.dart
git:b92a237:lib/features/auth/presentation/register_screen.dart
git:b92a237:lib/core/session/app_session_controller.dart</x:v>
      </x:c>
    </x:row>
    <x:row r="79" ht="44" customHeight="1">
      <x:c r="A79" s="42" t="str">
        <x:v>MVP03.006</x:v>
      </x:c>
      <x:c r="B79" s="42" t="str">
        <x:v>Autenticación del primer MVP</x:v>
      </x:c>
      <x:c r="C79" s="42" t="str">
        <x:v>MVP03</x:v>
      </x:c>
      <x:c r="D79" s="43" t="str">
        <x:v>Consultar disponibilidad del username</x:v>
      </x:c>
      <x:c r="E79" s="43" t="str">
        <x:v>Detectar colisiones sin exponer perfiles.</x:v>
      </x:c>
      <x:c r="F79" s="43" t="str">
        <x:v>Completado</x:v>
      </x:c>
      <x:c r="G79" s="44" t="n">
        <x:v>46273</x:v>
      </x:c>
      <x:c r="H79" s="44" t="n">
        <x:v>46279</x:v>
      </x:c>
      <x:c r="I79" s="45" t="n">
        <x:f>IF(OR(G79="",H79=""),"",SUMPRODUCT(('Cronograma'!$F$8:$P$8&lt;=H79)*('Cronograma'!$F$9:$P$9&gt;=G79)))</x:f>
        <x:v>1</x:v>
      </x:c>
      <x:c r="J79" s="46"/>
      <x:c r="K79" s="46"/>
      <x:c r="L79" s="47"/>
      <x:c r="M79" s="48" t="str"/>
      <x:c r="N79" s="48" t="str"/>
      <x:c r="O79" s="49" t="n">
        <x:v>46276</x:v>
      </x:c>
      <x:c r="P79" s="43" t="str">
        <x:v>Commit de integración y documentos</x:v>
      </x:c>
      <x:c r="Q79" s="43" t="str">
        <x:v>MVP01</x:v>
      </x:c>
      <x:c r="R79" s="43" t="str"/>
      <x:c r="S79" s="43" t="str"/>
      <x:c r="T79" s="43" t="str">
        <x:v>S018, S019, S020</x:v>
      </x:c>
      <x:c r="U79" s="43" t="str">
        <x:v>git:b92a237:lib/features/auth/data/auth_repository.dart
git:b92a237:lib/features/auth/presentation/register_screen.dart
git:b92a237:lib/core/session/app_session_controller.dart</x:v>
      </x:c>
    </x:row>
    <x:row r="80" ht="44" customHeight="1">
      <x:c r="A80" s="42" t="str">
        <x:v>MVP03.007</x:v>
      </x:c>
      <x:c r="B80" s="42" t="str">
        <x:v>Autenticación del primer MVP</x:v>
      </x:c>
      <x:c r="C80" s="42" t="str">
        <x:v>MVP03</x:v>
      </x:c>
      <x:c r="D80" s="43" t="str">
        <x:v>Registrar usuario en Supabase Auth</x:v>
      </x:c>
      <x:c r="E80" s="43" t="str">
        <x:v>Crear cuenta usando el repositorio de autenticación.</x:v>
      </x:c>
      <x:c r="F80" s="43" t="str">
        <x:v>Completado</x:v>
      </x:c>
      <x:c r="G80" s="44" t="n">
        <x:v>46273</x:v>
      </x:c>
      <x:c r="H80" s="44" t="n">
        <x:v>46279</x:v>
      </x:c>
      <x:c r="I80" s="45" t="n">
        <x:f>IF(OR(G80="",H80=""),"",SUMPRODUCT(('Cronograma'!$F$8:$P$8&lt;=H80)*('Cronograma'!$F$9:$P$9&gt;=G80)))</x:f>
        <x:v>1</x:v>
      </x:c>
      <x:c r="J80" s="46"/>
      <x:c r="K80" s="46"/>
      <x:c r="L80" s="47"/>
      <x:c r="M80" s="48" t="str"/>
      <x:c r="N80" s="48" t="str"/>
      <x:c r="O80" s="49" t="n">
        <x:v>46276</x:v>
      </x:c>
      <x:c r="P80" s="43" t="str">
        <x:v>Commit de integración y documentos</x:v>
      </x:c>
      <x:c r="Q80" s="43" t="str">
        <x:v>MVP01</x:v>
      </x:c>
      <x:c r="R80" s="43" t="str"/>
      <x:c r="S80" s="43" t="str"/>
      <x:c r="T80" s="43" t="str">
        <x:v>S018, S019, S020</x:v>
      </x:c>
      <x:c r="U80" s="43" t="str">
        <x:v>git:b92a237:lib/features/auth/data/auth_repository.dart
git:b92a237:lib/features/auth/presentation/register_screen.dart
git:b92a237:lib/core/session/app_session_controller.dart</x:v>
      </x:c>
    </x:row>
    <x:row r="81" ht="44" customHeight="1">
      <x:c r="A81" s="42" t="str">
        <x:v>MVP03.008</x:v>
      </x:c>
      <x:c r="B81" s="42" t="str">
        <x:v>Autenticación del primer MVP</x:v>
      </x:c>
      <x:c r="C81" s="42" t="str">
        <x:v>MVP03</x:v>
      </x:c>
      <x:c r="D81" s="43" t="str">
        <x:v>Mostrar instrucción de confirmación de correo</x:v>
      </x:c>
      <x:c r="E81" s="43" t="str">
        <x:v>Presentar el siguiente paso tras registrar.</x:v>
      </x:c>
      <x:c r="F81" s="43" t="str">
        <x:v>Completado</x:v>
      </x:c>
      <x:c r="G81" s="44" t="n">
        <x:v>46273</x:v>
      </x:c>
      <x:c r="H81" s="44" t="n">
        <x:v>46279</x:v>
      </x:c>
      <x:c r="I81" s="45" t="n">
        <x:f>IF(OR(G81="",H81=""),"",SUMPRODUCT(('Cronograma'!$F$8:$P$8&lt;=H81)*('Cronograma'!$F$9:$P$9&gt;=G81)))</x:f>
        <x:v>1</x:v>
      </x:c>
      <x:c r="J81" s="46"/>
      <x:c r="K81" s="46"/>
      <x:c r="L81" s="47"/>
      <x:c r="M81" s="48" t="str"/>
      <x:c r="N81" s="48" t="str"/>
      <x:c r="O81" s="49" t="n">
        <x:v>46276</x:v>
      </x:c>
      <x:c r="P81" s="43" t="str">
        <x:v>Commit de integración y documentos</x:v>
      </x:c>
      <x:c r="Q81" s="43" t="str">
        <x:v>MVP01</x:v>
      </x:c>
      <x:c r="R81" s="43" t="str"/>
      <x:c r="S81" s="43" t="str"/>
      <x:c r="T81" s="43" t="str">
        <x:v>S018, S019, S020</x:v>
      </x:c>
      <x:c r="U81" s="43" t="str">
        <x:v>git:b92a237:lib/features/auth/data/auth_repository.dart
git:b92a237:lib/features/auth/presentation/register_screen.dart
git:b92a237:lib/core/session/app_session_controller.dart</x:v>
      </x:c>
    </x:row>
    <x:row r="82" ht="44" customHeight="1">
      <x:c r="A82" s="42" t="str">
        <x:v>MVP03.009</x:v>
      </x:c>
      <x:c r="B82" s="42" t="str">
        <x:v>Autenticación del primer MVP</x:v>
      </x:c>
      <x:c r="C82" s="42" t="str">
        <x:v>MVP03</x:v>
      </x:c>
      <x:c r="D82" s="43" t="str">
        <x:v>Crear formulario de inicio de sesión</x:v>
      </x:c>
      <x:c r="E82" s="43" t="str">
        <x:v>Permitir acceso con correo y contraseña.</x:v>
      </x:c>
      <x:c r="F82" s="43" t="str">
        <x:v>Completado</x:v>
      </x:c>
      <x:c r="G82" s="44" t="n">
        <x:v>46273</x:v>
      </x:c>
      <x:c r="H82" s="44" t="n">
        <x:v>46279</x:v>
      </x:c>
      <x:c r="I82" s="45" t="n">
        <x:f>IF(OR(G82="",H82=""),"",SUMPRODUCT(('Cronograma'!$F$8:$P$8&lt;=H82)*('Cronograma'!$F$9:$P$9&gt;=G82)))</x:f>
        <x:v>1</x:v>
      </x:c>
      <x:c r="J82" s="46"/>
      <x:c r="K82" s="46"/>
      <x:c r="L82" s="47"/>
      <x:c r="M82" s="48" t="str"/>
      <x:c r="N82" s="48" t="str"/>
      <x:c r="O82" s="49" t="n">
        <x:v>46276</x:v>
      </x:c>
      <x:c r="P82" s="43" t="str">
        <x:v>Commit de integración y documentos</x:v>
      </x:c>
      <x:c r="Q82" s="43" t="str">
        <x:v>MVP01</x:v>
      </x:c>
      <x:c r="R82" s="43" t="str"/>
      <x:c r="S82" s="43" t="str"/>
      <x:c r="T82" s="43" t="str">
        <x:v>S018, S019, S020</x:v>
      </x:c>
      <x:c r="U82" s="43" t="str">
        <x:v>git:b92a237:lib/features/auth/data/auth_repository.dart
git:b92a237:lib/features/auth/presentation/register_screen.dart
git:b92a237:lib/core/session/app_session_controller.dart</x:v>
      </x:c>
    </x:row>
    <x:row r="83" ht="44" customHeight="1">
      <x:c r="A83" s="42" t="str">
        <x:v>MVP03.010</x:v>
      </x:c>
      <x:c r="B83" s="42" t="str">
        <x:v>Autenticación del primer MVP</x:v>
      </x:c>
      <x:c r="C83" s="42" t="str">
        <x:v>MVP03</x:v>
      </x:c>
      <x:c r="D83" s="43" t="str">
        <x:v>Mostrar fallos de autenticación</x:v>
      </x:c>
      <x:c r="E83" s="43" t="str">
        <x:v>Presentar error y permitir reintento.</x:v>
      </x:c>
      <x:c r="F83" s="43" t="str">
        <x:v>Completado</x:v>
      </x:c>
      <x:c r="G83" s="44" t="n">
        <x:v>46273</x:v>
      </x:c>
      <x:c r="H83" s="44" t="n">
        <x:v>46279</x:v>
      </x:c>
      <x:c r="I83" s="45" t="n">
        <x:f>IF(OR(G83="",H83=""),"",SUMPRODUCT(('Cronograma'!$F$8:$P$8&lt;=H83)*('Cronograma'!$F$9:$P$9&gt;=G83)))</x:f>
        <x:v>1</x:v>
      </x:c>
      <x:c r="J83" s="46"/>
      <x:c r="K83" s="46"/>
      <x:c r="L83" s="47"/>
      <x:c r="M83" s="48" t="str"/>
      <x:c r="N83" s="48" t="str"/>
      <x:c r="O83" s="49" t="n">
        <x:v>46276</x:v>
      </x:c>
      <x:c r="P83" s="43" t="str">
        <x:v>Commit de integración y documentos</x:v>
      </x:c>
      <x:c r="Q83" s="43" t="str">
        <x:v>MVP01</x:v>
      </x:c>
      <x:c r="R83" s="43" t="str"/>
      <x:c r="S83" s="43" t="str"/>
      <x:c r="T83" s="43" t="str">
        <x:v>S018, S019, S020</x:v>
      </x:c>
      <x:c r="U83" s="43" t="str">
        <x:v>git:b92a237:lib/features/auth/data/auth_repository.dart
git:b92a237:lib/features/auth/presentation/register_screen.dart
git:b92a237:lib/core/session/app_session_controller.dart</x:v>
      </x:c>
    </x:row>
    <x:row r="84" ht="44" customHeight="1">
      <x:c r="A84" s="42" t="str">
        <x:v>MVP03.011</x:v>
      </x:c>
      <x:c r="B84" s="42" t="str">
        <x:v>Autenticación del primer MVP</x:v>
      </x:c>
      <x:c r="C84" s="42" t="str">
        <x:v>MVP03</x:v>
      </x:c>
      <x:c r="D84" s="43" t="str">
        <x:v>Persistir sesión entre aperturas</x:v>
      </x:c>
      <x:c r="E84" s="43" t="str">
        <x:v>Restaurar estado de acceso desde Supabase.</x:v>
      </x:c>
      <x:c r="F84" s="43" t="str">
        <x:v>Completado</x:v>
      </x:c>
      <x:c r="G84" s="44" t="n">
        <x:v>46273</x:v>
      </x:c>
      <x:c r="H84" s="44" t="n">
        <x:v>46279</x:v>
      </x:c>
      <x:c r="I84" s="45" t="n">
        <x:f>IF(OR(G84="",H84=""),"",SUMPRODUCT(('Cronograma'!$F$8:$P$8&lt;=H84)*('Cronograma'!$F$9:$P$9&gt;=G84)))</x:f>
        <x:v>1</x:v>
      </x:c>
      <x:c r="J84" s="46"/>
      <x:c r="K84" s="46"/>
      <x:c r="L84" s="47"/>
      <x:c r="M84" s="48" t="str"/>
      <x:c r="N84" s="48" t="str"/>
      <x:c r="O84" s="49" t="n">
        <x:v>46276</x:v>
      </x:c>
      <x:c r="P84" s="43" t="str">
        <x:v>Commit de integración y documentos</x:v>
      </x:c>
      <x:c r="Q84" s="43" t="str">
        <x:v>MVP01</x:v>
      </x:c>
      <x:c r="R84" s="43" t="str"/>
      <x:c r="S84" s="43" t="str"/>
      <x:c r="T84" s="43" t="str">
        <x:v>S018, S019, S020</x:v>
      </x:c>
      <x:c r="U84" s="43" t="str">
        <x:v>git:b92a237:lib/features/auth/data/auth_repository.dart
git:b92a237:lib/features/auth/presentation/register_screen.dart
git:b92a237:lib/core/session/app_session_controller.dart</x:v>
      </x:c>
    </x:row>
    <x:row r="85" ht="44" customHeight="1">
      <x:c r="A85" s="42" t="str">
        <x:v>MVP03.012</x:v>
      </x:c>
      <x:c r="B85" s="42" t="str">
        <x:v>Autenticación del primer MVP</x:v>
      </x:c>
      <x:c r="C85" s="42" t="str">
        <x:v>MVP03</x:v>
      </x:c>
      <x:c r="D85" s="43" t="str">
        <x:v>Cargar perfil después de autenticar</x:v>
      </x:c>
      <x:c r="E85" s="43" t="str">
        <x:v>Sincronizar identidad con la sesión.</x:v>
      </x:c>
      <x:c r="F85" s="43" t="str">
        <x:v>Completado</x:v>
      </x:c>
      <x:c r="G85" s="44" t="n">
        <x:v>46273</x:v>
      </x:c>
      <x:c r="H85" s="44" t="n">
        <x:v>46279</x:v>
      </x:c>
      <x:c r="I85" s="45" t="n">
        <x:f>IF(OR(G85="",H85=""),"",SUMPRODUCT(('Cronograma'!$F$8:$P$8&lt;=H85)*('Cronograma'!$F$9:$P$9&gt;=G85)))</x:f>
        <x:v>1</x:v>
      </x:c>
      <x:c r="J85" s="46"/>
      <x:c r="K85" s="46"/>
      <x:c r="L85" s="47"/>
      <x:c r="M85" s="48" t="str"/>
      <x:c r="N85" s="48" t="str"/>
      <x:c r="O85" s="49" t="n">
        <x:v>46276</x:v>
      </x:c>
      <x:c r="P85" s="43" t="str">
        <x:v>Commit de integración y documentos</x:v>
      </x:c>
      <x:c r="Q85" s="43" t="str">
        <x:v>MVP01</x:v>
      </x:c>
      <x:c r="R85" s="43" t="str"/>
      <x:c r="S85" s="43" t="str"/>
      <x:c r="T85" s="43" t="str">
        <x:v>S018, S019, S020</x:v>
      </x:c>
      <x:c r="U85" s="43" t="str">
        <x:v>git:b92a237:lib/features/auth/data/auth_repository.dart
git:b92a237:lib/features/auth/presentation/register_screen.dart
git:b92a237:lib/core/session/app_session_controller.dart</x:v>
      </x:c>
    </x:row>
    <x:row r="86" ht="44" customHeight="1">
      <x:c r="A86" s="42" t="str">
        <x:v>MVP03.013</x:v>
      </x:c>
      <x:c r="B86" s="42" t="str">
        <x:v>Autenticación del primer MVP</x:v>
      </x:c>
      <x:c r="C86" s="42" t="str">
        <x:v>MVP03</x:v>
      </x:c>
      <x:c r="D86" s="43" t="str">
        <x:v>Proteger destinos privados</x:v>
      </x:c>
      <x:c r="E86" s="43" t="str">
        <x:v>Redirigir a acceso cuando no existe sesión.</x:v>
      </x:c>
      <x:c r="F86" s="43" t="str">
        <x:v>Completado</x:v>
      </x:c>
      <x:c r="G86" s="44" t="n">
        <x:v>46273</x:v>
      </x:c>
      <x:c r="H86" s="44" t="n">
        <x:v>46279</x:v>
      </x:c>
      <x:c r="I86" s="45" t="n">
        <x:f>IF(OR(G86="",H86=""),"",SUMPRODUCT(('Cronograma'!$F$8:$P$8&lt;=H86)*('Cronograma'!$F$9:$P$9&gt;=G86)))</x:f>
        <x:v>1</x:v>
      </x:c>
      <x:c r="J86" s="46"/>
      <x:c r="K86" s="46"/>
      <x:c r="L86" s="47"/>
      <x:c r="M86" s="48" t="str"/>
      <x:c r="N86" s="48" t="str"/>
      <x:c r="O86" s="49" t="n">
        <x:v>46276</x:v>
      </x:c>
      <x:c r="P86" s="43" t="str">
        <x:v>Commit de integración y documentos</x:v>
      </x:c>
      <x:c r="Q86" s="43" t="str">
        <x:v>MVP01</x:v>
      </x:c>
      <x:c r="R86" s="43" t="str"/>
      <x:c r="S86" s="43" t="str"/>
      <x:c r="T86" s="43" t="str">
        <x:v>S018, S019, S020</x:v>
      </x:c>
      <x:c r="U86" s="43" t="str">
        <x:v>git:b92a237:lib/features/auth/data/auth_repository.dart
git:b92a237:lib/features/auth/presentation/register_screen.dart
git:b92a237:lib/core/session/app_session_controller.dart</x:v>
      </x:c>
    </x:row>
    <x:row r="87" ht="44" customHeight="1">
      <x:c r="A87" s="42" t="str">
        <x:v>MVP03.014</x:v>
      </x:c>
      <x:c r="B87" s="42" t="str">
        <x:v>Autenticación del primer MVP</x:v>
      </x:c>
      <x:c r="C87" s="42" t="str">
        <x:v>MVP03</x:v>
      </x:c>
      <x:c r="D87" s="43" t="str">
        <x:v>Cerrar sesión desde configuración</x:v>
      </x:c>
      <x:c r="E87" s="43" t="str">
        <x:v>Limpiar estado y regresar al acceso.</x:v>
      </x:c>
      <x:c r="F87" s="43" t="str">
        <x:v>Completado</x:v>
      </x:c>
      <x:c r="G87" s="44" t="n">
        <x:v>46273</x:v>
      </x:c>
      <x:c r="H87" s="44" t="n">
        <x:v>46279</x:v>
      </x:c>
      <x:c r="I87" s="45" t="n">
        <x:f>IF(OR(G87="",H87=""),"",SUMPRODUCT(('Cronograma'!$F$8:$P$8&lt;=H87)*('Cronograma'!$F$9:$P$9&gt;=G87)))</x:f>
        <x:v>1</x:v>
      </x:c>
      <x:c r="J87" s="46"/>
      <x:c r="K87" s="46"/>
      <x:c r="L87" s="47"/>
      <x:c r="M87" s="48" t="str"/>
      <x:c r="N87" s="48" t="str"/>
      <x:c r="O87" s="49" t="n">
        <x:v>46276</x:v>
      </x:c>
      <x:c r="P87" s="43" t="str">
        <x:v>Commit de integración y documentos</x:v>
      </x:c>
      <x:c r="Q87" s="43" t="str">
        <x:v>MVP01</x:v>
      </x:c>
      <x:c r="R87" s="43" t="str"/>
      <x:c r="S87" s="43" t="str"/>
      <x:c r="T87" s="43" t="str">
        <x:v>S018, S019, S020</x:v>
      </x:c>
      <x:c r="U87" s="43" t="str">
        <x:v>git:b92a237:lib/features/auth/data/auth_repository.dart
git:b92a237:lib/features/auth/presentation/register_screen.dart
git:b92a237:lib/core/session/app_session_controller.dart</x:v>
      </x:c>
    </x:row>
    <x:row r="88" ht="44" customHeight="1">
      <x:c r="A88" s="42" t="str">
        <x:v>MVP03.015</x:v>
      </x:c>
      <x:c r="B88" s="42" t="str">
        <x:v>Autenticación del primer MVP</x:v>
      </x:c>
      <x:c r="C88" s="42" t="str">
        <x:v>MVP03</x:v>
      </x:c>
      <x:c r="D88" s="43" t="str">
        <x:v>Bloquear envíos repetidos</x:v>
      </x:c>
      <x:c r="E88" s="43" t="str">
        <x:v>Evitar solicitudes paralelas desde los botones.</x:v>
      </x:c>
      <x:c r="F88" s="43" t="str">
        <x:v>Completado</x:v>
      </x:c>
      <x:c r="G88" s="44" t="n">
        <x:v>46273</x:v>
      </x:c>
      <x:c r="H88" s="44" t="n">
        <x:v>46279</x:v>
      </x:c>
      <x:c r="I88" s="45" t="n">
        <x:f>IF(OR(G88="",H88=""),"",SUMPRODUCT(('Cronograma'!$F$8:$P$8&lt;=H88)*('Cronograma'!$F$9:$P$9&gt;=G88)))</x:f>
        <x:v>1</x:v>
      </x:c>
      <x:c r="J88" s="46"/>
      <x:c r="K88" s="46"/>
      <x:c r="L88" s="47"/>
      <x:c r="M88" s="48" t="str"/>
      <x:c r="N88" s="48" t="str"/>
      <x:c r="O88" s="49" t="n">
        <x:v>46276</x:v>
      </x:c>
      <x:c r="P88" s="43" t="str">
        <x:v>Commit de integración y documentos</x:v>
      </x:c>
      <x:c r="Q88" s="43" t="str">
        <x:v>MVP01</x:v>
      </x:c>
      <x:c r="R88" s="43" t="str"/>
      <x:c r="S88" s="43" t="str"/>
      <x:c r="T88" s="43" t="str">
        <x:v>S018, S019, S020</x:v>
      </x:c>
      <x:c r="U88" s="43" t="str">
        <x:v>git:b92a237:lib/features/auth/data/auth_repository.dart
git:b92a237:lib/features/auth/presentation/register_screen.dart
git:b92a237:lib/core/session/app_session_controller.dart</x:v>
      </x:c>
    </x:row>
    <x:row r="89" ht="44" customHeight="1">
      <x:c r="A89" s="42" t="str">
        <x:v>MVP04.001</x:v>
      </x:c>
      <x:c r="B89" s="42" t="str">
        <x:v>Base de datos y cuenta del primer MVP</x:v>
      </x:c>
      <x:c r="C89" s="42" t="str">
        <x:v>MVP04</x:v>
      </x:c>
      <x:c r="D89" s="43" t="str">
        <x:v>Crear migración 001 de perfiles</x:v>
      </x:c>
      <x:c r="E89" s="43" t="str">
        <x:v>Definir perfil relacionado con auth.users.</x:v>
      </x:c>
      <x:c r="F89" s="43" t="str">
        <x:v>Completado</x:v>
      </x:c>
      <x:c r="G89" s="44" t="n">
        <x:v>46273</x:v>
      </x:c>
      <x:c r="H89" s="44" t="n">
        <x:v>46279</x:v>
      </x:c>
      <x:c r="I89" s="45" t="n">
        <x:f>IF(OR(G89="",H89=""),"",SUMPRODUCT(('Cronograma'!$F$8:$P$8&lt;=H89)*('Cronograma'!$F$9:$P$9&gt;=G89)))</x:f>
        <x:v>1</x:v>
      </x:c>
      <x:c r="J89" s="46"/>
      <x:c r="K89" s="46"/>
      <x:c r="L89" s="47"/>
      <x:c r="M89" s="48" t="str"/>
      <x:c r="N89" s="48" t="str"/>
      <x:c r="O89" s="49" t="n">
        <x:v>46276</x:v>
      </x:c>
      <x:c r="P89" s="43" t="str">
        <x:v>Commit de integración y documentos</x:v>
      </x:c>
      <x:c r="Q89" s="43" t="str">
        <x:v>MVP01</x:v>
      </x:c>
      <x:c r="R89" s="43" t="str"/>
      <x:c r="S89" s="43" t="str"/>
      <x:c r="T89" s="43" t="str">
        <x:v>S021, S022, S023</x:v>
      </x:c>
      <x:c r="U89" s="43" t="str">
        <x:v>git:b92a237:supabase/migrations/001_initial_schema.sql
git:b92a237:supabase/functions/delete-account/index.ts
git:b92a237:lib/features/profile/data/profile_repository.dart</x:v>
      </x:c>
    </x:row>
    <x:row r="90" ht="44" customHeight="1">
      <x:c r="A90" s="42" t="str">
        <x:v>MVP04.002</x:v>
      </x:c>
      <x:c r="B90" s="42" t="str">
        <x:v>Base de datos y cuenta del primer MVP</x:v>
      </x:c>
      <x:c r="C90" s="42" t="str">
        <x:v>MVP04</x:v>
      </x:c>
      <x:c r="D90" s="43" t="str">
        <x:v>Crear perfil mediante trigger de Auth</x:v>
      </x:c>
      <x:c r="E90" s="43" t="str">
        <x:v>Asignar identidad y rol desde servidor.</x:v>
      </x:c>
      <x:c r="F90" s="43" t="str">
        <x:v>Completado</x:v>
      </x:c>
      <x:c r="G90" s="44" t="n">
        <x:v>46273</x:v>
      </x:c>
      <x:c r="H90" s="44" t="n">
        <x:v>46279</x:v>
      </x:c>
      <x:c r="I90" s="45" t="n">
        <x:f>IF(OR(G90="",H90=""),"",SUMPRODUCT(('Cronograma'!$F$8:$P$8&lt;=H90)*('Cronograma'!$F$9:$P$9&gt;=G90)))</x:f>
        <x:v>1</x:v>
      </x:c>
      <x:c r="J90" s="46"/>
      <x:c r="K90" s="46"/>
      <x:c r="L90" s="47"/>
      <x:c r="M90" s="48" t="str"/>
      <x:c r="N90" s="48" t="str"/>
      <x:c r="O90" s="49" t="n">
        <x:v>46276</x:v>
      </x:c>
      <x:c r="P90" s="43" t="str">
        <x:v>Commit de integración y documentos</x:v>
      </x:c>
      <x:c r="Q90" s="43" t="str">
        <x:v>MVP01</x:v>
      </x:c>
      <x:c r="R90" s="43" t="str"/>
      <x:c r="S90" s="43" t="str"/>
      <x:c r="T90" s="43" t="str">
        <x:v>S021, S022, S023</x:v>
      </x:c>
      <x:c r="U90" s="43" t="str">
        <x:v>git:b92a237:supabase/migrations/001_initial_schema.sql
git:b92a237:supabase/functions/delete-account/index.ts
git:b92a237:lib/features/profile/data/profile_repository.dart</x:v>
      </x:c>
    </x:row>
    <x:row r="91" ht="44" customHeight="1">
      <x:c r="A91" s="42" t="str">
        <x:v>MVP04.003</x:v>
      </x:c>
      <x:c r="B91" s="42" t="str">
        <x:v>Base de datos y cuenta del primer MVP</x:v>
      </x:c>
      <x:c r="C91" s="42" t="str">
        <x:v>MVP04</x:v>
      </x:c>
      <x:c r="D91" s="43" t="str">
        <x:v>Habilitar RLS en perfiles</x:v>
      </x:c>
      <x:c r="E91" s="43" t="str">
        <x:v>Restringir lectura y actualización a la cuenta autorizada.</x:v>
      </x:c>
      <x:c r="F91" s="43" t="str">
        <x:v>Completado</x:v>
      </x:c>
      <x:c r="G91" s="44" t="n">
        <x:v>46273</x:v>
      </x:c>
      <x:c r="H91" s="44" t="n">
        <x:v>46279</x:v>
      </x:c>
      <x:c r="I91" s="45" t="n">
        <x:f>IF(OR(G91="",H91=""),"",SUMPRODUCT(('Cronograma'!$F$8:$P$8&lt;=H91)*('Cronograma'!$F$9:$P$9&gt;=G91)))</x:f>
        <x:v>1</x:v>
      </x:c>
      <x:c r="J91" s="46"/>
      <x:c r="K91" s="46"/>
      <x:c r="L91" s="47"/>
      <x:c r="M91" s="48" t="str"/>
      <x:c r="N91" s="48" t="str"/>
      <x:c r="O91" s="49" t="n">
        <x:v>46276</x:v>
      </x:c>
      <x:c r="P91" s="43" t="str">
        <x:v>Commit de integración y documentos</x:v>
      </x:c>
      <x:c r="Q91" s="43" t="str">
        <x:v>MVP01</x:v>
      </x:c>
      <x:c r="R91" s="43" t="str"/>
      <x:c r="S91" s="43" t="str"/>
      <x:c r="T91" s="43" t="str">
        <x:v>S021, S022, S023</x:v>
      </x:c>
      <x:c r="U91" s="43" t="str">
        <x:v>git:b92a237:supabase/migrations/001_initial_schema.sql
git:b92a237:supabase/functions/delete-account/index.ts
git:b92a237:lib/features/profile/data/profile_repository.dart</x:v>
      </x:c>
    </x:row>
    <x:row r="92" ht="44" customHeight="1">
      <x:c r="A92" s="42" t="str">
        <x:v>MVP04.004</x:v>
      </x:c>
      <x:c r="B92" s="42" t="str">
        <x:v>Base de datos y cuenta del primer MVP</x:v>
      </x:c>
      <x:c r="C92" s="42" t="str">
        <x:v>MVP04</x:v>
      </x:c>
      <x:c r="D92" s="43" t="str">
        <x:v>Proteger rol y timestamps</x:v>
      </x:c>
      <x:c r="E92" s="43" t="str">
        <x:v>Impedir escritura cliente de campos internos.</x:v>
      </x:c>
      <x:c r="F92" s="43" t="str">
        <x:v>Completado</x:v>
      </x:c>
      <x:c r="G92" s="44" t="n">
        <x:v>46273</x:v>
      </x:c>
      <x:c r="H92" s="44" t="n">
        <x:v>46279</x:v>
      </x:c>
      <x:c r="I92" s="45" t="n">
        <x:f>IF(OR(G92="",H92=""),"",SUMPRODUCT(('Cronograma'!$F$8:$P$8&lt;=H92)*('Cronograma'!$F$9:$P$9&gt;=G92)))</x:f>
        <x:v>1</x:v>
      </x:c>
      <x:c r="J92" s="46"/>
      <x:c r="K92" s="46"/>
      <x:c r="L92" s="47"/>
      <x:c r="M92" s="48" t="str"/>
      <x:c r="N92" s="48" t="str"/>
      <x:c r="O92" s="49" t="n">
        <x:v>46276</x:v>
      </x:c>
      <x:c r="P92" s="43" t="str">
        <x:v>Commit de integración y documentos</x:v>
      </x:c>
      <x:c r="Q92" s="43" t="str">
        <x:v>MVP01</x:v>
      </x:c>
      <x:c r="R92" s="43" t="str"/>
      <x:c r="S92" s="43" t="str"/>
      <x:c r="T92" s="43" t="str">
        <x:v>S021, S022, S023</x:v>
      </x:c>
      <x:c r="U92" s="43" t="str">
        <x:v>git:b92a237:supabase/migrations/001_initial_schema.sql
git:b92a237:supabase/functions/delete-account/index.ts
git:b92a237:lib/features/profile/data/profile_repository.dart</x:v>
      </x:c>
    </x:row>
    <x:row r="93" ht="44" customHeight="1">
      <x:c r="A93" s="42" t="str">
        <x:v>MVP04.005</x:v>
      </x:c>
      <x:c r="B93" s="42" t="str">
        <x:v>Base de datos y cuenta del primer MVP</x:v>
      </x:c>
      <x:c r="C93" s="42" t="str">
        <x:v>MVP04</x:v>
      </x:c>
      <x:c r="D93" s="43" t="str">
        <x:v>Crear consulta segura de username</x:v>
      </x:c>
      <x:c r="E93" s="43" t="str">
        <x:v>Devolver disponibilidad sin publicar datos privados.</x:v>
      </x:c>
      <x:c r="F93" s="43" t="str">
        <x:v>Completado</x:v>
      </x:c>
      <x:c r="G93" s="44" t="n">
        <x:v>46273</x:v>
      </x:c>
      <x:c r="H93" s="44" t="n">
        <x:v>46279</x:v>
      </x:c>
      <x:c r="I93" s="45" t="n">
        <x:f>IF(OR(G93="",H93=""),"",SUMPRODUCT(('Cronograma'!$F$8:$P$8&lt;=H93)*('Cronograma'!$F$9:$P$9&gt;=G93)))</x:f>
        <x:v>1</x:v>
      </x:c>
      <x:c r="J93" s="46"/>
      <x:c r="K93" s="46"/>
      <x:c r="L93" s="47"/>
      <x:c r="M93" s="48" t="str"/>
      <x:c r="N93" s="48" t="str"/>
      <x:c r="O93" s="49" t="n">
        <x:v>46276</x:v>
      </x:c>
      <x:c r="P93" s="43" t="str">
        <x:v>Commit de integración y documentos</x:v>
      </x:c>
      <x:c r="Q93" s="43" t="str">
        <x:v>MVP01</x:v>
      </x:c>
      <x:c r="R93" s="43" t="str"/>
      <x:c r="S93" s="43" t="str"/>
      <x:c r="T93" s="43" t="str">
        <x:v>S021, S022, S023</x:v>
      </x:c>
      <x:c r="U93" s="43" t="str">
        <x:v>git:b92a237:supabase/migrations/001_initial_schema.sql
git:b92a237:supabase/functions/delete-account/index.ts
git:b92a237:lib/features/profile/data/profile_repository.dart</x:v>
      </x:c>
    </x:row>
    <x:row r="94" ht="44" customHeight="1">
      <x:c r="A94" s="42" t="str">
        <x:v>MVP04.006</x:v>
      </x:c>
      <x:c r="B94" s="42" t="str">
        <x:v>Base de datos y cuenta del primer MVP</x:v>
      </x:c>
      <x:c r="C94" s="42" t="str">
        <x:v>MVP04</x:v>
      </x:c>
      <x:c r="D94" s="43" t="str">
        <x:v>Crear modelo Profile inicial</x:v>
      </x:c>
      <x:c r="E94" s="43" t="str">
        <x:v>Representar nombre, usuario y presentación.</x:v>
      </x:c>
      <x:c r="F94" s="43" t="str">
        <x:v>Completado</x:v>
      </x:c>
      <x:c r="G94" s="44" t="n">
        <x:v>46273</x:v>
      </x:c>
      <x:c r="H94" s="44" t="n">
        <x:v>46279</x:v>
      </x:c>
      <x:c r="I94" s="45" t="n">
        <x:f>IF(OR(G94="",H94=""),"",SUMPRODUCT(('Cronograma'!$F$8:$P$8&lt;=H94)*('Cronograma'!$F$9:$P$9&gt;=G94)))</x:f>
        <x:v>1</x:v>
      </x:c>
      <x:c r="J94" s="46"/>
      <x:c r="K94" s="46"/>
      <x:c r="L94" s="47"/>
      <x:c r="M94" s="48" t="str"/>
      <x:c r="N94" s="48" t="str"/>
      <x:c r="O94" s="49" t="n">
        <x:v>46276</x:v>
      </x:c>
      <x:c r="P94" s="43" t="str">
        <x:v>Commit de integración y documentos</x:v>
      </x:c>
      <x:c r="Q94" s="43" t="str">
        <x:v>MVP01</x:v>
      </x:c>
      <x:c r="R94" s="43" t="str"/>
      <x:c r="S94" s="43" t="str"/>
      <x:c r="T94" s="43" t="str">
        <x:v>S021, S022, S023</x:v>
      </x:c>
      <x:c r="U94" s="43" t="str">
        <x:v>git:b92a237:supabase/migrations/001_initial_schema.sql
git:b92a237:supabase/functions/delete-account/index.ts
git:b92a237:lib/features/profile/data/profile_repository.dart</x:v>
      </x:c>
    </x:row>
    <x:row r="95" ht="44" customHeight="1">
      <x:c r="A95" s="42" t="str">
        <x:v>MVP04.007</x:v>
      </x:c>
      <x:c r="B95" s="42" t="str">
        <x:v>Base de datos y cuenta del primer MVP</x:v>
      </x:c>
      <x:c r="C95" s="42" t="str">
        <x:v>MVP04</x:v>
      </x:c>
      <x:c r="D95" s="43" t="str">
        <x:v>Crear repositorio de perfil</x:v>
      </x:c>
      <x:c r="E95" s="43" t="str">
        <x:v>Leer y actualizar los campos autorizados.</x:v>
      </x:c>
      <x:c r="F95" s="43" t="str">
        <x:v>Completado</x:v>
      </x:c>
      <x:c r="G95" s="44" t="n">
        <x:v>46273</x:v>
      </x:c>
      <x:c r="H95" s="44" t="n">
        <x:v>46279</x:v>
      </x:c>
      <x:c r="I95" s="45" t="n">
        <x:f>IF(OR(G95="",H95=""),"",SUMPRODUCT(('Cronograma'!$F$8:$P$8&lt;=H95)*('Cronograma'!$F$9:$P$9&gt;=G95)))</x:f>
        <x:v>1</x:v>
      </x:c>
      <x:c r="J95" s="46"/>
      <x:c r="K95" s="46"/>
      <x:c r="L95" s="47"/>
      <x:c r="M95" s="48" t="str"/>
      <x:c r="N95" s="48" t="str"/>
      <x:c r="O95" s="49" t="n">
        <x:v>46276</x:v>
      </x:c>
      <x:c r="P95" s="43" t="str">
        <x:v>Commit de integración y documentos</x:v>
      </x:c>
      <x:c r="Q95" s="43" t="str">
        <x:v>MVP01</x:v>
      </x:c>
      <x:c r="R95" s="43" t="str"/>
      <x:c r="S95" s="43" t="str"/>
      <x:c r="T95" s="43" t="str">
        <x:v>S021, S022, S023</x:v>
      </x:c>
      <x:c r="U95" s="43" t="str">
        <x:v>git:b92a237:supabase/migrations/001_initial_schema.sql
git:b92a237:supabase/functions/delete-account/index.ts
git:b92a237:lib/features/profile/data/profile_repository.dart</x:v>
      </x:c>
    </x:row>
    <x:row r="96" ht="44" customHeight="1">
      <x:c r="A96" s="42" t="str">
        <x:v>MVP04.008</x:v>
      </x:c>
      <x:c r="B96" s="42" t="str">
        <x:v>Base de datos y cuenta del primer MVP</x:v>
      </x:c>
      <x:c r="C96" s="42" t="str">
        <x:v>MVP04</x:v>
      </x:c>
      <x:c r="D96" s="43" t="str">
        <x:v>Crear pantalla de perfil inicial</x:v>
      </x:c>
      <x:c r="E96" s="43" t="str">
        <x:v>Mostrar la identidad persistida.</x:v>
      </x:c>
      <x:c r="F96" s="43" t="str">
        <x:v>Completado</x:v>
      </x:c>
      <x:c r="G96" s="44" t="n">
        <x:v>46273</x:v>
      </x:c>
      <x:c r="H96" s="44" t="n">
        <x:v>46279</x:v>
      </x:c>
      <x:c r="I96" s="45" t="n">
        <x:f>IF(OR(G96="",H96=""),"",SUMPRODUCT(('Cronograma'!$F$8:$P$8&lt;=H96)*('Cronograma'!$F$9:$P$9&gt;=G96)))</x:f>
        <x:v>1</x:v>
      </x:c>
      <x:c r="J96" s="46"/>
      <x:c r="K96" s="46"/>
      <x:c r="L96" s="47"/>
      <x:c r="M96" s="48" t="str"/>
      <x:c r="N96" s="48" t="str"/>
      <x:c r="O96" s="49" t="n">
        <x:v>46276</x:v>
      </x:c>
      <x:c r="P96" s="43" t="str">
        <x:v>Commit de integración y documentos</x:v>
      </x:c>
      <x:c r="Q96" s="43" t="str">
        <x:v>MVP01</x:v>
      </x:c>
      <x:c r="R96" s="43" t="str"/>
      <x:c r="S96" s="43" t="str"/>
      <x:c r="T96" s="43" t="str">
        <x:v>S021, S022, S023</x:v>
      </x:c>
      <x:c r="U96" s="43" t="str">
        <x:v>git:b92a237:supabase/migrations/001_initial_schema.sql
git:b92a237:supabase/functions/delete-account/index.ts
git:b92a237:lib/features/profile/data/profile_repository.dart</x:v>
      </x:c>
    </x:row>
    <x:row r="97" ht="44" customHeight="1">
      <x:c r="A97" s="42" t="str">
        <x:v>MVP04.009</x:v>
      </x:c>
      <x:c r="B97" s="42" t="str">
        <x:v>Base de datos y cuenta del primer MVP</x:v>
      </x:c>
      <x:c r="C97" s="42" t="str">
        <x:v>MVP04</x:v>
      </x:c>
      <x:c r="D97" s="43" t="str">
        <x:v>Crear editor de identidad inicial</x:v>
      </x:c>
      <x:c r="E97" s="43" t="str">
        <x:v>Editar nombre, username y bio.</x:v>
      </x:c>
      <x:c r="F97" s="43" t="str">
        <x:v>Completado</x:v>
      </x:c>
      <x:c r="G97" s="44" t="n">
        <x:v>46273</x:v>
      </x:c>
      <x:c r="H97" s="44" t="n">
        <x:v>46279</x:v>
      </x:c>
      <x:c r="I97" s="45" t="n">
        <x:f>IF(OR(G97="",H97=""),"",SUMPRODUCT(('Cronograma'!$F$8:$P$8&lt;=H97)*('Cronograma'!$F$9:$P$9&gt;=G97)))</x:f>
        <x:v>1</x:v>
      </x:c>
      <x:c r="J97" s="46"/>
      <x:c r="K97" s="46"/>
      <x:c r="L97" s="47"/>
      <x:c r="M97" s="48" t="str"/>
      <x:c r="N97" s="48" t="str"/>
      <x:c r="O97" s="49" t="n">
        <x:v>46276</x:v>
      </x:c>
      <x:c r="P97" s="43" t="str">
        <x:v>Commit de integración y documentos</x:v>
      </x:c>
      <x:c r="Q97" s="43" t="str">
        <x:v>MVP01</x:v>
      </x:c>
      <x:c r="R97" s="43" t="str"/>
      <x:c r="S97" s="43" t="str"/>
      <x:c r="T97" s="43" t="str">
        <x:v>S021, S022, S023</x:v>
      </x:c>
      <x:c r="U97" s="43" t="str">
        <x:v>git:b92a237:supabase/migrations/001_initial_schema.sql
git:b92a237:supabase/functions/delete-account/index.ts
git:b92a237:lib/features/profile/data/profile_repository.dart</x:v>
      </x:c>
    </x:row>
    <x:row r="98" ht="44" customHeight="1">
      <x:c r="A98" s="42" t="str">
        <x:v>MVP04.010</x:v>
      </x:c>
      <x:c r="B98" s="42" t="str">
        <x:v>Base de datos y cuenta del primer MVP</x:v>
      </x:c>
      <x:c r="C98" s="42" t="str">
        <x:v>MVP04</x:v>
      </x:c>
      <x:c r="D98" s="43" t="str">
        <x:v>Crear pantalla de configuración</x:v>
      </x:c>
      <x:c r="E98" s="43" t="str">
        <x:v>Reunir sesión y acciones de cuenta.</x:v>
      </x:c>
      <x:c r="F98" s="43" t="str">
        <x:v>Completado</x:v>
      </x:c>
      <x:c r="G98" s="44" t="n">
        <x:v>46273</x:v>
      </x:c>
      <x:c r="H98" s="44" t="n">
        <x:v>46279</x:v>
      </x:c>
      <x:c r="I98" s="45" t="n">
        <x:f>IF(OR(G98="",H98=""),"",SUMPRODUCT(('Cronograma'!$F$8:$P$8&lt;=H98)*('Cronograma'!$F$9:$P$9&gt;=G98)))</x:f>
        <x:v>1</x:v>
      </x:c>
      <x:c r="J98" s="46"/>
      <x:c r="K98" s="46"/>
      <x:c r="L98" s="47"/>
      <x:c r="M98" s="48" t="str"/>
      <x:c r="N98" s="48" t="str"/>
      <x:c r="O98" s="49" t="n">
        <x:v>46276</x:v>
      </x:c>
      <x:c r="P98" s="43" t="str">
        <x:v>Commit de integración y documentos</x:v>
      </x:c>
      <x:c r="Q98" s="43" t="str">
        <x:v>MVP01</x:v>
      </x:c>
      <x:c r="R98" s="43" t="str"/>
      <x:c r="S98" s="43" t="str"/>
      <x:c r="T98" s="43" t="str">
        <x:v>S021, S022, S023</x:v>
      </x:c>
      <x:c r="U98" s="43" t="str">
        <x:v>git:b92a237:supabase/migrations/001_initial_schema.sql
git:b92a237:supabase/functions/delete-account/index.ts
git:b92a237:lib/features/profile/data/profile_repository.dart</x:v>
      </x:c>
    </x:row>
    <x:row r="99" ht="44" customHeight="1">
      <x:c r="A99" s="42" t="str">
        <x:v>MVP04.011</x:v>
      </x:c>
      <x:c r="B99" s="42" t="str">
        <x:v>Base de datos y cuenta del primer MVP</x:v>
      </x:c>
      <x:c r="C99" s="42" t="str">
        <x:v>MVP04</x:v>
      </x:c>
      <x:c r="D99" s="43" t="str">
        <x:v>Implementar eliminación autenticada de cuenta</x:v>
      </x:c>
      <x:c r="E99" s="43" t="str">
        <x:v>Obtener identidad del JWT antes del borrado.</x:v>
      </x:c>
      <x:c r="F99" s="43" t="str">
        <x:v>Completado</x:v>
      </x:c>
      <x:c r="G99" s="44" t="n">
        <x:v>46273</x:v>
      </x:c>
      <x:c r="H99" s="44" t="n">
        <x:v>46279</x:v>
      </x:c>
      <x:c r="I99" s="45" t="n">
        <x:f>IF(OR(G99="",H99=""),"",SUMPRODUCT(('Cronograma'!$F$8:$P$8&lt;=H99)*('Cronograma'!$F$9:$P$9&gt;=G99)))</x:f>
        <x:v>1</x:v>
      </x:c>
      <x:c r="J99" s="46"/>
      <x:c r="K99" s="46"/>
      <x:c r="L99" s="47"/>
      <x:c r="M99" s="48" t="str"/>
      <x:c r="N99" s="48" t="str"/>
      <x:c r="O99" s="49" t="n">
        <x:v>46276</x:v>
      </x:c>
      <x:c r="P99" s="43" t="str">
        <x:v>Commit de integración y documentos</x:v>
      </x:c>
      <x:c r="Q99" s="43" t="str">
        <x:v>MVP01</x:v>
      </x:c>
      <x:c r="R99" s="43" t="str"/>
      <x:c r="S99" s="43" t="str"/>
      <x:c r="T99" s="43" t="str">
        <x:v>S021, S022, S023</x:v>
      </x:c>
      <x:c r="U99" s="43" t="str">
        <x:v>git:b92a237:supabase/migrations/001_initial_schema.sql
git:b92a237:supabase/functions/delete-account/index.ts
git:b92a237:lib/features/profile/data/profile_repository.dart</x:v>
      </x:c>
    </x:row>
    <x:row r="100" ht="44" customHeight="1">
      <x:c r="A100" s="42" t="str">
        <x:v>MVP04.012</x:v>
      </x:c>
      <x:c r="B100" s="42" t="str">
        <x:v>Base de datos y cuenta del primer MVP</x:v>
      </x:c>
      <x:c r="C100" s="42" t="str">
        <x:v>MVP04</x:v>
      </x:c>
      <x:c r="D100" s="43" t="str">
        <x:v>Eliminar perfil mediante cascade</x:v>
      </x:c>
      <x:c r="E100" s="43" t="str">
        <x:v>Coordinar borrado de Auth y datos asociados del MVP.</x:v>
      </x:c>
      <x:c r="F100" s="43" t="str">
        <x:v>Completado</x:v>
      </x:c>
      <x:c r="G100" s="44" t="n">
        <x:v>46273</x:v>
      </x:c>
      <x:c r="H100" s="44" t="n">
        <x:v>46279</x:v>
      </x:c>
      <x:c r="I100" s="45" t="n">
        <x:f>IF(OR(G100="",H100=""),"",SUMPRODUCT(('Cronograma'!$F$8:$P$8&lt;=H100)*('Cronograma'!$F$9:$P$9&gt;=G100)))</x:f>
        <x:v>1</x:v>
      </x:c>
      <x:c r="J100" s="46"/>
      <x:c r="K100" s="46"/>
      <x:c r="L100" s="47"/>
      <x:c r="M100" s="48" t="str"/>
      <x:c r="N100" s="48" t="str"/>
      <x:c r="O100" s="49" t="n">
        <x:v>46276</x:v>
      </x:c>
      <x:c r="P100" s="43" t="str">
        <x:v>Commit de integración y documentos</x:v>
      </x:c>
      <x:c r="Q100" s="43" t="str">
        <x:v>MVP01</x:v>
      </x:c>
      <x:c r="R100" s="43" t="str"/>
      <x:c r="S100" s="43" t="str"/>
      <x:c r="T100" s="43" t="str">
        <x:v>S021, S022, S023</x:v>
      </x:c>
      <x:c r="U100" s="43" t="str">
        <x:v>git:b92a237:supabase/migrations/001_initial_schema.sql
git:b92a237:supabase/functions/delete-account/index.ts
git:b92a237:lib/features/profile/data/profile_repository.dart</x:v>
      </x:c>
    </x:row>
    <x:row r="101" ht="44" customHeight="1">
      <x:c r="A101" s="42" t="str">
        <x:v>MVP04.013</x:v>
      </x:c>
      <x:c r="B101" s="42" t="str">
        <x:v>Base de datos y cuenta del primer MVP</x:v>
      </x:c>
      <x:c r="C101" s="42" t="str">
        <x:v>MVP04</x:v>
      </x:c>
      <x:c r="D101" s="43" t="str">
        <x:v>Confirmar borrado desde el cliente</x:v>
      </x:c>
      <x:c r="E101" s="43" t="str">
        <x:v>Solicitar confirmación antes de ejecutar la acción.</x:v>
      </x:c>
      <x:c r="F101" s="43" t="str">
        <x:v>Completado</x:v>
      </x:c>
      <x:c r="G101" s="44" t="n">
        <x:v>46273</x:v>
      </x:c>
      <x:c r="H101" s="44" t="n">
        <x:v>46279</x:v>
      </x:c>
      <x:c r="I101" s="45" t="n">
        <x:f>IF(OR(G101="",H101=""),"",SUMPRODUCT(('Cronograma'!$F$8:$P$8&lt;=H101)*('Cronograma'!$F$9:$P$9&gt;=G101)))</x:f>
        <x:v>1</x:v>
      </x:c>
      <x:c r="J101" s="46"/>
      <x:c r="K101" s="46"/>
      <x:c r="L101" s="47"/>
      <x:c r="M101" s="48" t="str"/>
      <x:c r="N101" s="48" t="str"/>
      <x:c r="O101" s="49" t="n">
        <x:v>46276</x:v>
      </x:c>
      <x:c r="P101" s="43" t="str">
        <x:v>Commit de integración y documentos</x:v>
      </x:c>
      <x:c r="Q101" s="43" t="str">
        <x:v>MVP01</x:v>
      </x:c>
      <x:c r="R101" s="43" t="str"/>
      <x:c r="S101" s="43" t="str"/>
      <x:c r="T101" s="43" t="str">
        <x:v>S021, S022, S023</x:v>
      </x:c>
      <x:c r="U101" s="43" t="str">
        <x:v>git:b92a237:supabase/migrations/001_initial_schema.sql
git:b92a237:supabase/functions/delete-account/index.ts
git:b92a237:lib/features/profile/data/profile_repository.dart</x:v>
      </x:c>
    </x:row>
    <x:row r="102" ht="44" customHeight="1">
      <x:c r="A102" s="42" t="str">
        <x:v>MVP05.001</x:v>
      </x:c>
      <x:c r="B102" s="42" t="str">
        <x:v>Verificación del MVP</x:v>
      </x:c>
      <x:c r="C102" s="42" t="str">
        <x:v>MVP05</x:v>
      </x:c>
      <x:c r="D102" s="43" t="str">
        <x:v>Probar configuración de la aplicación</x:v>
      </x:c>
      <x:c r="E102" s="43" t="str">
        <x:v>Cubrir valores disponibles y configuración faltante.</x:v>
      </x:c>
      <x:c r="F102" s="43" t="str">
        <x:v>Completado</x:v>
      </x:c>
      <x:c r="G102" s="44" t="n">
        <x:v>46273</x:v>
      </x:c>
      <x:c r="H102" s="44" t="n">
        <x:v>46279</x:v>
      </x:c>
      <x:c r="I102" s="45" t="n">
        <x:f>IF(OR(G102="",H102=""),"",SUMPRODUCT(('Cronograma'!$F$8:$P$8&lt;=H102)*('Cronograma'!$F$9:$P$9&gt;=G102)))</x:f>
        <x:v>1</x:v>
      </x:c>
      <x:c r="J102" s="46"/>
      <x:c r="K102" s="46"/>
      <x:c r="L102" s="47"/>
      <x:c r="M102" s="48" t="str"/>
      <x:c r="N102" s="48" t="str"/>
      <x:c r="O102" s="49" t="n">
        <x:v>46276</x:v>
      </x:c>
      <x:c r="P102" s="43" t="str">
        <x:v>Commit de integración y documentos</x:v>
      </x:c>
      <x:c r="Q102" s="43" t="str">
        <x:v>MVP02, MVP03, MVP04</x:v>
      </x:c>
      <x:c r="R102" s="43" t="str"/>
      <x:c r="S102" s="43" t="str">
        <x:v>Los archivos de pruebas acreditan su implementación; los comandos de README no se toman como prueba de ejecución.</x:v>
      </x:c>
      <x:c r="T102" s="43" t="str">
        <x:v>S011, S024, S025</x:v>
      </x:c>
      <x:c r="U102" s="43" t="str">
        <x:v>git:b92a237:README.md
git:b92a237:test/core/session/app_session_controller_test.dart
git:b92a237:test/features/presentation/screens_test.dart</x:v>
      </x:c>
    </x:row>
    <x:row r="103" ht="44" customHeight="1">
      <x:c r="A103" s="42" t="str">
        <x:v>MVP05.002</x:v>
      </x:c>
      <x:c r="B103" s="42" t="str">
        <x:v>Verificación del MVP</x:v>
      </x:c>
      <x:c r="C103" s="42" t="str">
        <x:v>MVP05</x:v>
      </x:c>
      <x:c r="D103" s="43" t="str">
        <x:v>Probar validadores iniciales</x:v>
      </x:c>
      <x:c r="E103" s="43" t="str">
        <x:v>Cubrir entradas válidas y mensajes de error.</x:v>
      </x:c>
      <x:c r="F103" s="43" t="str">
        <x:v>Completado</x:v>
      </x:c>
      <x:c r="G103" s="44" t="n">
        <x:v>46273</x:v>
      </x:c>
      <x:c r="H103" s="44" t="n">
        <x:v>46279</x:v>
      </x:c>
      <x:c r="I103" s="45" t="n">
        <x:f>IF(OR(G103="",H103=""),"",SUMPRODUCT(('Cronograma'!$F$8:$P$8&lt;=H103)*('Cronograma'!$F$9:$P$9&gt;=G103)))</x:f>
        <x:v>1</x:v>
      </x:c>
      <x:c r="J103" s="46"/>
      <x:c r="K103" s="46"/>
      <x:c r="L103" s="47"/>
      <x:c r="M103" s="48" t="str"/>
      <x:c r="N103" s="48" t="str"/>
      <x:c r="O103" s="49" t="n">
        <x:v>46276</x:v>
      </x:c>
      <x:c r="P103" s="43" t="str">
        <x:v>Commit de integración y documentos</x:v>
      </x:c>
      <x:c r="Q103" s="43" t="str">
        <x:v>MVP02, MVP03, MVP04</x:v>
      </x:c>
      <x:c r="R103" s="43" t="str"/>
      <x:c r="S103" s="43" t="str">
        <x:v>Los archivos de pruebas acreditan su implementación; los comandos de README no se toman como prueba de ejecución.</x:v>
      </x:c>
      <x:c r="T103" s="43" t="str">
        <x:v>S011, S024, S025</x:v>
      </x:c>
      <x:c r="U103" s="43" t="str">
        <x:v>git:b92a237:README.md
git:b92a237:test/core/session/app_session_controller_test.dart
git:b92a237:test/features/presentation/screens_test.dart</x:v>
      </x:c>
    </x:row>
    <x:row r="104" ht="44" customHeight="1">
      <x:c r="A104" s="42" t="str">
        <x:v>MVP05.003</x:v>
      </x:c>
      <x:c r="B104" s="42" t="str">
        <x:v>Verificación del MVP</x:v>
      </x:c>
      <x:c r="C104" s="42" t="str">
        <x:v>MVP05</x:v>
      </x:c>
      <x:c r="D104" s="43" t="str">
        <x:v>Probar estados de sesión</x:v>
      </x:c>
      <x:c r="E104" s="43" t="str">
        <x:v>Cubrir acceso, carga de perfil y cierre.</x:v>
      </x:c>
      <x:c r="F104" s="43" t="str">
        <x:v>Completado</x:v>
      </x:c>
      <x:c r="G104" s="44" t="n">
        <x:v>46273</x:v>
      </x:c>
      <x:c r="H104" s="44" t="n">
        <x:v>46279</x:v>
      </x:c>
      <x:c r="I104" s="45" t="n">
        <x:f>IF(OR(G104="",H104=""),"",SUMPRODUCT(('Cronograma'!$F$8:$P$8&lt;=H104)*('Cronograma'!$F$9:$P$9&gt;=G104)))</x:f>
        <x:v>1</x:v>
      </x:c>
      <x:c r="J104" s="46"/>
      <x:c r="K104" s="46"/>
      <x:c r="L104" s="47"/>
      <x:c r="M104" s="48" t="str"/>
      <x:c r="N104" s="48" t="str"/>
      <x:c r="O104" s="49" t="n">
        <x:v>46276</x:v>
      </x:c>
      <x:c r="P104" s="43" t="str">
        <x:v>Commit de integración y documentos</x:v>
      </x:c>
      <x:c r="Q104" s="43" t="str">
        <x:v>MVP02, MVP03, MVP04</x:v>
      </x:c>
      <x:c r="R104" s="43" t="str"/>
      <x:c r="S104" s="43" t="str">
        <x:v>Los archivos de pruebas acreditan su implementación; los comandos de README no se toman como prueba de ejecución.</x:v>
      </x:c>
      <x:c r="T104" s="43" t="str">
        <x:v>S011, S024, S025</x:v>
      </x:c>
      <x:c r="U104" s="43" t="str">
        <x:v>git:b92a237:README.md
git:b92a237:test/core/session/app_session_controller_test.dart
git:b92a237:test/features/presentation/screens_test.dart</x:v>
      </x:c>
    </x:row>
    <x:row r="105" ht="44" customHeight="1">
      <x:c r="A105" s="42" t="str">
        <x:v>MVP05.004</x:v>
      </x:c>
      <x:c r="B105" s="42" t="str">
        <x:v>Verificación del MVP</x:v>
      </x:c>
      <x:c r="C105" s="42" t="str">
        <x:v>MVP05</x:v>
      </x:c>
      <x:c r="D105" s="43" t="str">
        <x:v>Probar redirecciones de rutas</x:v>
      </x:c>
      <x:c r="E105" s="43" t="str">
        <x:v>Verificar guards para destinos privados.</x:v>
      </x:c>
      <x:c r="F105" s="43" t="str">
        <x:v>Completado</x:v>
      </x:c>
      <x:c r="G105" s="44" t="n">
        <x:v>46273</x:v>
      </x:c>
      <x:c r="H105" s="44" t="n">
        <x:v>46279</x:v>
      </x:c>
      <x:c r="I105" s="45" t="n">
        <x:f>IF(OR(G105="",H105=""),"",SUMPRODUCT(('Cronograma'!$F$8:$P$8&lt;=H105)*('Cronograma'!$F$9:$P$9&gt;=G105)))</x:f>
        <x:v>1</x:v>
      </x:c>
      <x:c r="J105" s="46"/>
      <x:c r="K105" s="46"/>
      <x:c r="L105" s="47"/>
      <x:c r="M105" s="48" t="str"/>
      <x:c r="N105" s="48" t="str"/>
      <x:c r="O105" s="49" t="n">
        <x:v>46276</x:v>
      </x:c>
      <x:c r="P105" s="43" t="str">
        <x:v>Commit de integración y documentos</x:v>
      </x:c>
      <x:c r="Q105" s="43" t="str">
        <x:v>MVP02, MVP03, MVP04</x:v>
      </x:c>
      <x:c r="R105" s="43" t="str"/>
      <x:c r="S105" s="43" t="str">
        <x:v>Los archivos de pruebas acreditan su implementación; los comandos de README no se toman como prueba de ejecución.</x:v>
      </x:c>
      <x:c r="T105" s="43" t="str">
        <x:v>S011, S024, S025</x:v>
      </x:c>
      <x:c r="U105" s="43" t="str">
        <x:v>git:b92a237:README.md
git:b92a237:test/core/session/app_session_controller_test.dart
git:b92a237:test/features/presentation/screens_test.dart</x:v>
      </x:c>
    </x:row>
    <x:row r="106" ht="44" customHeight="1">
      <x:c r="A106" s="42" t="str">
        <x:v>MVP05.005</x:v>
      </x:c>
      <x:c r="B106" s="42" t="str">
        <x:v>Verificación del MVP</x:v>
      </x:c>
      <x:c r="C106" s="42" t="str">
        <x:v>MVP05</x:v>
      </x:c>
      <x:c r="D106" s="43" t="str">
        <x:v>Probar modelo inicial de perfil</x:v>
      </x:c>
      <x:c r="E106" s="43" t="str">
        <x:v>Verificar lectura de los campos del backend.</x:v>
      </x:c>
      <x:c r="F106" s="43" t="str">
        <x:v>Completado</x:v>
      </x:c>
      <x:c r="G106" s="44" t="n">
        <x:v>46273</x:v>
      </x:c>
      <x:c r="H106" s="44" t="n">
        <x:v>46279</x:v>
      </x:c>
      <x:c r="I106" s="45" t="n">
        <x:f>IF(OR(G106="",H106=""),"",SUMPRODUCT(('Cronograma'!$F$8:$P$8&lt;=H106)*('Cronograma'!$F$9:$P$9&gt;=G106)))</x:f>
        <x:v>1</x:v>
      </x:c>
      <x:c r="J106" s="46"/>
      <x:c r="K106" s="46"/>
      <x:c r="L106" s="47"/>
      <x:c r="M106" s="48" t="str"/>
      <x:c r="N106" s="48" t="str"/>
      <x:c r="O106" s="49" t="n">
        <x:v>46276</x:v>
      </x:c>
      <x:c r="P106" s="43" t="str">
        <x:v>Commit de integración y documentos</x:v>
      </x:c>
      <x:c r="Q106" s="43" t="str">
        <x:v>MVP02, MVP03, MVP04</x:v>
      </x:c>
      <x:c r="R106" s="43" t="str"/>
      <x:c r="S106" s="43" t="str">
        <x:v>Los archivos de pruebas acreditan su implementación; los comandos de README no se toman como prueba de ejecución.</x:v>
      </x:c>
      <x:c r="T106" s="43" t="str">
        <x:v>S011, S024, S025</x:v>
      </x:c>
      <x:c r="U106" s="43" t="str">
        <x:v>git:b92a237:README.md
git:b92a237:test/core/session/app_session_controller_test.dart
git:b92a237:test/features/presentation/screens_test.dart</x:v>
      </x:c>
    </x:row>
    <x:row r="107" ht="44" customHeight="1">
      <x:c r="A107" s="42" t="str">
        <x:v>MVP05.006</x:v>
      </x:c>
      <x:c r="B107" s="42" t="str">
        <x:v>Verificación del MVP</x:v>
      </x:c>
      <x:c r="C107" s="42" t="str">
        <x:v>MVP05</x:v>
      </x:c>
      <x:c r="D107" s="43" t="str">
        <x:v>Probar pantallas y formularios</x:v>
      </x:c>
      <x:c r="E107" s="43" t="str">
        <x:v>Cubrir acciones visibles y errores del MVP.</x:v>
      </x:c>
      <x:c r="F107" s="43" t="str">
        <x:v>Completado</x:v>
      </x:c>
      <x:c r="G107" s="44" t="n">
        <x:v>46273</x:v>
      </x:c>
      <x:c r="H107" s="44" t="n">
        <x:v>46279</x:v>
      </x:c>
      <x:c r="I107" s="45" t="n">
        <x:f>IF(OR(G107="",H107=""),"",SUMPRODUCT(('Cronograma'!$F$8:$P$8&lt;=H107)*('Cronograma'!$F$9:$P$9&gt;=G107)))</x:f>
        <x:v>1</x:v>
      </x:c>
      <x:c r="J107" s="46"/>
      <x:c r="K107" s="46"/>
      <x:c r="L107" s="47"/>
      <x:c r="M107" s="48" t="str"/>
      <x:c r="N107" s="48" t="str"/>
      <x:c r="O107" s="49" t="n">
        <x:v>46276</x:v>
      </x:c>
      <x:c r="P107" s="43" t="str">
        <x:v>Commit de integración y documentos</x:v>
      </x:c>
      <x:c r="Q107" s="43" t="str">
        <x:v>MVP02, MVP03, MVP04</x:v>
      </x:c>
      <x:c r="R107" s="43" t="str"/>
      <x:c r="S107" s="43" t="str">
        <x:v>Los archivos de pruebas acreditan su implementación; los comandos de README no se toman como prueba de ejecución.</x:v>
      </x:c>
      <x:c r="T107" s="43" t="str">
        <x:v>S011, S024, S025</x:v>
      </x:c>
      <x:c r="U107" s="43" t="str">
        <x:v>git:b92a237:README.md
git:b92a237:test/core/session/app_session_controller_test.dart
git:b92a237:test/features/presentation/screens_test.dart</x:v>
      </x:c>
    </x:row>
    <x:row r="108" ht="44" customHeight="1">
      <x:c r="A108" s="42" t="str">
        <x:v>MVP05.007</x:v>
      </x:c>
      <x:c r="B108" s="42" t="str">
        <x:v>Verificación del MVP</x:v>
      </x:c>
      <x:c r="C108" s="42" t="str">
        <x:v>MVP05</x:v>
      </x:c>
      <x:c r="D108" s="43" t="str">
        <x:v>Documentar comprobaciones remotas del MVP</x:v>
      </x:c>
      <x:c r="E108" s="43" t="str">
        <x:v>Separar instrucciones de pruebas de evidencia de ejecución.</x:v>
      </x:c>
      <x:c r="F108" s="43" t="str">
        <x:v>Completado</x:v>
      </x:c>
      <x:c r="G108" s="44" t="n">
        <x:v>46273</x:v>
      </x:c>
      <x:c r="H108" s="44" t="n">
        <x:v>46279</x:v>
      </x:c>
      <x:c r="I108" s="45" t="n">
        <x:f>IF(OR(G108="",H108=""),"",SUMPRODUCT(('Cronograma'!$F$8:$P$8&lt;=H108)*('Cronograma'!$F$9:$P$9&gt;=G108)))</x:f>
        <x:v>1</x:v>
      </x:c>
      <x:c r="J108" s="46"/>
      <x:c r="K108" s="46"/>
      <x:c r="L108" s="47"/>
      <x:c r="M108" s="48" t="str"/>
      <x:c r="N108" s="48" t="str"/>
      <x:c r="O108" s="49" t="n">
        <x:v>46276</x:v>
      </x:c>
      <x:c r="P108" s="43" t="str">
        <x:v>Commit de integración y documentos</x:v>
      </x:c>
      <x:c r="Q108" s="43" t="str">
        <x:v>MVP02, MVP03, MVP04</x:v>
      </x:c>
      <x:c r="R108" s="43" t="str"/>
      <x:c r="S108" s="43" t="str">
        <x:v>Los archivos de pruebas acreditan su implementación; los comandos de README no se toman como prueba de ejecución.</x:v>
      </x:c>
      <x:c r="T108" s="43" t="str">
        <x:v>S011, S024, S025</x:v>
      </x:c>
      <x:c r="U108" s="43" t="str">
        <x:v>git:b92a237:README.md
git:b92a237:test/core/session/app_session_controller_test.dart
git:b92a237:test/features/presentation/screens_test.dart</x:v>
      </x:c>
    </x:row>
    <x:row r="109" ht="56" customHeight="1">
      <x:c r="A109" s="42" t="str">
        <x:v>ACC01.001</x:v>
      </x:c>
      <x:c r="B109" s="42" t="str">
        <x:v>Ampliación de acceso, seguridad y consentimientos</x:v>
      </x:c>
      <x:c r="C109" s="42" t="str">
        <x:v>ACC01</x:v>
      </x:c>
      <x:c r="D109" s="43" t="str">
        <x:v>Crear bienvenida pública</x:v>
      </x:c>
      <x:c r="E109" s="43" t="str">
        <x:v>Ofrecer Crear cuenta e Iniciar sesión sin autenticar.</x:v>
      </x:c>
      <x:c r="F109" s="43" t="str">
        <x:v>Completado</x:v>
      </x:c>
      <x:c r="G109" s="44" t="n">
        <x:v>46273</x:v>
      </x:c>
      <x:c r="H109" s="44" t="n">
        <x:v>46279</x:v>
      </x:c>
      <x:c r="I109" s="45" t="n">
        <x:f>IF(OR(G109="",H109=""),"",SUMPRODUCT(('Cronograma'!$F$8:$P$8&lt;=H109)*('Cronograma'!$F$9:$P$9&gt;=G109)))</x:f>
        <x:v>1</x:v>
      </x:c>
      <x:c r="J109" s="46"/>
      <x:c r="K109" s="46"/>
      <x:c r="L109" s="47"/>
      <x:c r="M109" s="48" t="str"/>
      <x:c r="N109" s="48" t="str"/>
      <x:c r="O109" s="49" t="n">
        <x:v>46279</x:v>
      </x:c>
      <x:c r="P109" s="43" t="str">
        <x:v>Reporte fechado y código asociado</x:v>
      </x:c>
      <x:c r="Q109" s="43" t="str">
        <x:v>MVP03, MVP04</x:v>
      </x:c>
      <x:c r="R109" s="43" t="str"/>
      <x:c r="S109" s="43" t="str">
        <x:v>Fecha de evidencia del reporte de cuenta; las actualizaciones posteriores se desglosan en sus propias etapas.</x:v>
      </x:c>
      <x:c r="T109" s="43" t="str">
        <x:v>S005, S026, S027, S028</x:v>
      </x:c>
      <x:c r="U109" s="43" t="str">
        <x:v>docs/account-completion.md
docs/deployment-status.md
docs/superpowers/plans/2026-09-14-account-completion.md
supabase/migrations/002_account_completion.sql</x:v>
      </x:c>
    </x:row>
    <x:row r="110" ht="56" customHeight="1">
      <x:c r="A110" s="42" t="str">
        <x:v>ACC01.002</x:v>
      </x:c>
      <x:c r="B110" s="42" t="str">
        <x:v>Ampliación de acceso, seguridad y consentimientos</x:v>
      </x:c>
      <x:c r="C110" s="42" t="str">
        <x:v>ACC01</x:v>
      </x:c>
      <x:c r="D110" s="43" t="str">
        <x:v>Publicar rutas de términos y privacidad</x:v>
      </x:c>
      <x:c r="E110" s="43" t="str">
        <x:v>Permitir lectura de documentos sin sesión.</x:v>
      </x:c>
      <x:c r="F110" s="43" t="str">
        <x:v>Completado</x:v>
      </x:c>
      <x:c r="G110" s="44" t="n">
        <x:v>46273</x:v>
      </x:c>
      <x:c r="H110" s="44" t="n">
        <x:v>46279</x:v>
      </x:c>
      <x:c r="I110" s="45" t="n">
        <x:f>IF(OR(G110="",H110=""),"",SUMPRODUCT(('Cronograma'!$F$8:$P$8&lt;=H110)*('Cronograma'!$F$9:$P$9&gt;=G110)))</x:f>
        <x:v>1</x:v>
      </x:c>
      <x:c r="J110" s="46"/>
      <x:c r="K110" s="46"/>
      <x:c r="L110" s="47"/>
      <x:c r="M110" s="48" t="str"/>
      <x:c r="N110" s="48" t="str"/>
      <x:c r="O110" s="49" t="n">
        <x:v>46279</x:v>
      </x:c>
      <x:c r="P110" s="43" t="str">
        <x:v>Reporte fechado y código asociado</x:v>
      </x:c>
      <x:c r="Q110" s="43" t="str">
        <x:v>MVP03, MVP04</x:v>
      </x:c>
      <x:c r="R110" s="43" t="str"/>
      <x:c r="S110" s="43" t="str">
        <x:v>Fecha de evidencia del reporte de cuenta; las actualizaciones posteriores se desglosan en sus propias etapas.</x:v>
      </x:c>
      <x:c r="T110" s="43" t="str">
        <x:v>S005, S026, S027, S028</x:v>
      </x:c>
      <x:c r="U110" s="43" t="str">
        <x:v>docs/account-completion.md
docs/deployment-status.md
docs/superpowers/plans/2026-09-14-account-completion.md
supabase/migrations/002_account_completion.sql</x:v>
      </x:c>
    </x:row>
    <x:row r="111" ht="56" customHeight="1">
      <x:c r="A111" s="42" t="str">
        <x:v>ACC01.003</x:v>
      </x:c>
      <x:c r="B111" s="42" t="str">
        <x:v>Ampliación de acceso, seguridad y consentimientos</x:v>
      </x:c>
      <x:c r="C111" s="42" t="str">
        <x:v>ACC01</x:v>
      </x:c>
      <x:c r="D111" s="43" t="str">
        <x:v>Publicar ayuda de eliminación de cuenta</x:v>
      </x:c>
      <x:c r="E111" s="43" t="str">
        <x:v>Ofrecer instrucciones sin reinstalar la aplicación.</x:v>
      </x:c>
      <x:c r="F111" s="43" t="str">
        <x:v>Completado</x:v>
      </x:c>
      <x:c r="G111" s="44" t="n">
        <x:v>46273</x:v>
      </x:c>
      <x:c r="H111" s="44" t="n">
        <x:v>46279</x:v>
      </x:c>
      <x:c r="I111" s="45" t="n">
        <x:f>IF(OR(G111="",H111=""),"",SUMPRODUCT(('Cronograma'!$F$8:$P$8&lt;=H111)*('Cronograma'!$F$9:$P$9&gt;=G111)))</x:f>
        <x:v>1</x:v>
      </x:c>
      <x:c r="J111" s="46"/>
      <x:c r="K111" s="46"/>
      <x:c r="L111" s="47"/>
      <x:c r="M111" s="48" t="str"/>
      <x:c r="N111" s="48" t="str"/>
      <x:c r="O111" s="49" t="n">
        <x:v>46279</x:v>
      </x:c>
      <x:c r="P111" s="43" t="str">
        <x:v>Reporte fechado y código asociado</x:v>
      </x:c>
      <x:c r="Q111" s="43" t="str">
        <x:v>MVP03, MVP04</x:v>
      </x:c>
      <x:c r="R111" s="43" t="str"/>
      <x:c r="S111" s="43" t="str">
        <x:v>Fecha de evidencia del reporte de cuenta; las actualizaciones posteriores se desglosan en sus propias etapas.</x:v>
      </x:c>
      <x:c r="T111" s="43" t="str">
        <x:v>S005, S026, S027, S028</x:v>
      </x:c>
      <x:c r="U111" s="43" t="str">
        <x:v>docs/account-completion.md
docs/deployment-status.md
docs/superpowers/plans/2026-09-14-account-completion.md
supabase/migrations/002_account_completion.sql</x:v>
      </x:c>
    </x:row>
    <x:row r="112" ht="56" customHeight="1">
      <x:c r="A112" s="42" t="str">
        <x:v>ACC01.004</x:v>
      </x:c>
      <x:c r="B112" s="42" t="str">
        <x:v>Ampliación de acceso, seguridad y consentimientos</x:v>
      </x:c>
      <x:c r="C112" s="42" t="str">
        <x:v>ACC01</x:v>
      </x:c>
      <x:c r="D112" s="43" t="str">
        <x:v>Crear política de registro del servidor</x:v>
      </x:c>
      <x:c r="E112" s="43" t="str">
        <x:v>Consultar documentos vigentes y apertura de registros.</x:v>
      </x:c>
      <x:c r="F112" s="43" t="str">
        <x:v>Completado</x:v>
      </x:c>
      <x:c r="G112" s="44" t="n">
        <x:v>46273</x:v>
      </x:c>
      <x:c r="H112" s="44" t="n">
        <x:v>46279</x:v>
      </x:c>
      <x:c r="I112" s="45" t="n">
        <x:f>IF(OR(G112="",H112=""),"",SUMPRODUCT(('Cronograma'!$F$8:$P$8&lt;=H112)*('Cronograma'!$F$9:$P$9&gt;=G112)))</x:f>
        <x:v>1</x:v>
      </x:c>
      <x:c r="J112" s="46"/>
      <x:c r="K112" s="46"/>
      <x:c r="L112" s="47"/>
      <x:c r="M112" s="48" t="str"/>
      <x:c r="N112" s="48" t="str"/>
      <x:c r="O112" s="49" t="n">
        <x:v>46279</x:v>
      </x:c>
      <x:c r="P112" s="43" t="str">
        <x:v>Reporte fechado y código asociado</x:v>
      </x:c>
      <x:c r="Q112" s="43" t="str">
        <x:v>MVP03, MVP04</x:v>
      </x:c>
      <x:c r="R112" s="43" t="str"/>
      <x:c r="S112" s="43" t="str">
        <x:v>Fecha de evidencia del reporte de cuenta; las actualizaciones posteriores se desglosan en sus propias etapas.</x:v>
      </x:c>
      <x:c r="T112" s="43" t="str">
        <x:v>S005, S026, S027, S028</x:v>
      </x:c>
      <x:c r="U112" s="43" t="str">
        <x:v>docs/account-completion.md
docs/deployment-status.md
docs/superpowers/plans/2026-09-14-account-completion.md
supabase/migrations/002_account_completion.sql</x:v>
      </x:c>
    </x:row>
    <x:row r="113" ht="56" customHeight="1">
      <x:c r="A113" s="42" t="str">
        <x:v>ACC01.005</x:v>
      </x:c>
      <x:c r="B113" s="42" t="str">
        <x:v>Ampliación de acceso, seguridad y consentimientos</x:v>
      </x:c>
      <x:c r="C113" s="42" t="str">
        <x:v>ACC01</x:v>
      </x:c>
      <x:c r="D113" s="43" t="str">
        <x:v>Bloquear registro con documentos faltantes</x:v>
      </x:c>
      <x:c r="E113" s="43" t="str">
        <x:v>Validar la política en cliente y trigger de Auth.</x:v>
      </x:c>
      <x:c r="F113" s="43" t="str">
        <x:v>Completado</x:v>
      </x:c>
      <x:c r="G113" s="44" t="n">
        <x:v>46273</x:v>
      </x:c>
      <x:c r="H113" s="44" t="n">
        <x:v>46279</x:v>
      </x:c>
      <x:c r="I113" s="45" t="n">
        <x:f>IF(OR(G113="",H113=""),"",SUMPRODUCT(('Cronograma'!$F$8:$P$8&lt;=H113)*('Cronograma'!$F$9:$P$9&gt;=G113)))</x:f>
        <x:v>1</x:v>
      </x:c>
      <x:c r="J113" s="46"/>
      <x:c r="K113" s="46"/>
      <x:c r="L113" s="47"/>
      <x:c r="M113" s="48" t="str"/>
      <x:c r="N113" s="48" t="str"/>
      <x:c r="O113" s="49" t="n">
        <x:v>46279</x:v>
      </x:c>
      <x:c r="P113" s="43" t="str">
        <x:v>Reporte fechado y código asociado</x:v>
      </x:c>
      <x:c r="Q113" s="43" t="str">
        <x:v>MVP03, MVP04</x:v>
      </x:c>
      <x:c r="R113" s="43" t="str"/>
      <x:c r="S113" s="43" t="str">
        <x:v>Fecha de evidencia del reporte de cuenta; las actualizaciones posteriores se desglosan en sus propias etapas.</x:v>
      </x:c>
      <x:c r="T113" s="43" t="str">
        <x:v>S005, S026, S027, S028</x:v>
      </x:c>
      <x:c r="U113" s="43" t="str">
        <x:v>docs/account-completion.md
docs/deployment-status.md
docs/superpowers/plans/2026-09-14-account-completion.md
supabase/migrations/002_account_completion.sql</x:v>
      </x:c>
    </x:row>
    <x:row r="114" ht="56" customHeight="1">
      <x:c r="A114" s="42" t="str">
        <x:v>ACC01.006</x:v>
      </x:c>
      <x:c r="B114" s="42" t="str">
        <x:v>Ampliación de acceso, seguridad y consentimientos</x:v>
      </x:c>
      <x:c r="C114" s="42" t="str">
        <x:v>ACC01</x:v>
      </x:c>
      <x:c r="D114" s="43" t="str">
        <x:v>Agregar declaración separada de mayoría de edad</x:v>
      </x:c>
      <x:c r="E114" s="43" t="str">
        <x:v>Exigir selección explícita sin recopilar cumpleaños.</x:v>
      </x:c>
      <x:c r="F114" s="43" t="str">
        <x:v>Completado</x:v>
      </x:c>
      <x:c r="G114" s="44" t="n">
        <x:v>46273</x:v>
      </x:c>
      <x:c r="H114" s="44" t="n">
        <x:v>46279</x:v>
      </x:c>
      <x:c r="I114" s="45" t="n">
        <x:f>IF(OR(G114="",H114=""),"",SUMPRODUCT(('Cronograma'!$F$8:$P$8&lt;=H114)*('Cronograma'!$F$9:$P$9&gt;=G114)))</x:f>
        <x:v>1</x:v>
      </x:c>
      <x:c r="J114" s="46"/>
      <x:c r="K114" s="46"/>
      <x:c r="L114" s="47"/>
      <x:c r="M114" s="48" t="str"/>
      <x:c r="N114" s="48" t="str"/>
      <x:c r="O114" s="49" t="n">
        <x:v>46279</x:v>
      </x:c>
      <x:c r="P114" s="43" t="str">
        <x:v>Reporte fechado y código asociado</x:v>
      </x:c>
      <x:c r="Q114" s="43" t="str">
        <x:v>MVP03, MVP04</x:v>
      </x:c>
      <x:c r="R114" s="43" t="str"/>
      <x:c r="S114" s="43" t="str">
        <x:v>Fecha de evidencia del reporte de cuenta; las actualizaciones posteriores se desglosan en sus propias etapas.</x:v>
      </x:c>
      <x:c r="T114" s="43" t="str">
        <x:v>S005, S026, S027, S028</x:v>
      </x:c>
      <x:c r="U114" s="43" t="str">
        <x:v>docs/account-completion.md
docs/deployment-status.md
docs/superpowers/plans/2026-09-14-account-completion.md
supabase/migrations/002_account_completion.sql</x:v>
      </x:c>
    </x:row>
    <x:row r="115" ht="56" customHeight="1">
      <x:c r="A115" s="42" t="str">
        <x:v>ACC01.007</x:v>
      </x:c>
      <x:c r="B115" s="42" t="str">
        <x:v>Ampliación de acceso, seguridad y consentimientos</x:v>
      </x:c>
      <x:c r="C115" s="42" t="str">
        <x:v>ACC01</x:v>
      </x:c>
      <x:c r="D115" s="43" t="str">
        <x:v>Agregar aceptación contractual explícita</x:v>
      </x:c>
      <x:c r="E115" s="43" t="str">
        <x:v>Evitar casillas preseleccionadas.</x:v>
      </x:c>
      <x:c r="F115" s="43" t="str">
        <x:v>Completado</x:v>
      </x:c>
      <x:c r="G115" s="44" t="n">
        <x:v>46273</x:v>
      </x:c>
      <x:c r="H115" s="44" t="n">
        <x:v>46279</x:v>
      </x:c>
      <x:c r="I115" s="45" t="n">
        <x:f>IF(OR(G115="",H115=""),"",SUMPRODUCT(('Cronograma'!$F$8:$P$8&lt;=H115)*('Cronograma'!$F$9:$P$9&gt;=G115)))</x:f>
        <x:v>1</x:v>
      </x:c>
      <x:c r="J115" s="46"/>
      <x:c r="K115" s="46"/>
      <x:c r="L115" s="47"/>
      <x:c r="M115" s="48" t="str"/>
      <x:c r="N115" s="48" t="str"/>
      <x:c r="O115" s="49" t="n">
        <x:v>46279</x:v>
      </x:c>
      <x:c r="P115" s="43" t="str">
        <x:v>Reporte fechado y código asociado</x:v>
      </x:c>
      <x:c r="Q115" s="43" t="str">
        <x:v>MVP03, MVP04</x:v>
      </x:c>
      <x:c r="R115" s="43" t="str"/>
      <x:c r="S115" s="43" t="str">
        <x:v>Fecha de evidencia del reporte de cuenta; las actualizaciones posteriores se desglosan en sus propias etapas.</x:v>
      </x:c>
      <x:c r="T115" s="43" t="str">
        <x:v>S005, S026, S027, S028</x:v>
      </x:c>
      <x:c r="U115" s="43" t="str">
        <x:v>docs/account-completion.md
docs/deployment-status.md
docs/superpowers/plans/2026-09-14-account-completion.md
supabase/migrations/002_account_completion.sql</x:v>
      </x:c>
    </x:row>
    <x:row r="116" ht="56" customHeight="1">
      <x:c r="A116" s="42" t="str">
        <x:v>ACC01.008</x:v>
      </x:c>
      <x:c r="B116" s="42" t="str">
        <x:v>Ampliación de acceso, seguridad y consentimientos</x:v>
      </x:c>
      <x:c r="C116" s="42" t="str">
        <x:v>ACC01</x:v>
      </x:c>
      <x:c r="D116" s="43" t="str">
        <x:v>Persistir versiones de consentimiento</x:v>
      </x:c>
      <x:c r="E116" s="43" t="str">
        <x:v>Registrar versiones y fecha generada por servidor.</x:v>
      </x:c>
      <x:c r="F116" s="43" t="str">
        <x:v>Completado</x:v>
      </x:c>
      <x:c r="G116" s="44" t="n">
        <x:v>46273</x:v>
      </x:c>
      <x:c r="H116" s="44" t="n">
        <x:v>46279</x:v>
      </x:c>
      <x:c r="I116" s="45" t="n">
        <x:f>IF(OR(G116="",H116=""),"",SUMPRODUCT(('Cronograma'!$F$8:$P$8&lt;=H116)*('Cronograma'!$F$9:$P$9&gt;=G116)))</x:f>
        <x:v>1</x:v>
      </x:c>
      <x:c r="J116" s="46"/>
      <x:c r="K116" s="46"/>
      <x:c r="L116" s="47"/>
      <x:c r="M116" s="48" t="str"/>
      <x:c r="N116" s="48" t="str"/>
      <x:c r="O116" s="49" t="n">
        <x:v>46279</x:v>
      </x:c>
      <x:c r="P116" s="43" t="str">
        <x:v>Reporte fechado y código asociado</x:v>
      </x:c>
      <x:c r="Q116" s="43" t="str">
        <x:v>MVP03, MVP04</x:v>
      </x:c>
      <x:c r="R116" s="43" t="str"/>
      <x:c r="S116" s="43" t="str">
        <x:v>Fecha de evidencia del reporte de cuenta; las actualizaciones posteriores se desglosan en sus propias etapas.</x:v>
      </x:c>
      <x:c r="T116" s="43" t="str">
        <x:v>S005, S026, S027, S028</x:v>
      </x:c>
      <x:c r="U116" s="43" t="str">
        <x:v>docs/account-completion.md
docs/deployment-status.md
docs/superpowers/plans/2026-09-14-account-completion.md
supabase/migrations/002_account_completion.sql</x:v>
      </x:c>
    </x:row>
    <x:row r="117" ht="56" customHeight="1">
      <x:c r="A117" s="42" t="str">
        <x:v>ACC01.009</x:v>
      </x:c>
      <x:c r="B117" s="42" t="str">
        <x:v>Ampliación de acceso, seguridad y consentimientos</x:v>
      </x:c>
      <x:c r="C117" s="42" t="str">
        <x:v>ACC01</x:v>
      </x:c>
      <x:c r="D117" s="43" t="str">
        <x:v>Proteger historial de aceptaciones</x:v>
      </x:c>
      <x:c r="E117" s="43" t="str">
        <x:v>Impedir inserción, modificación y borrado directos.</x:v>
      </x:c>
      <x:c r="F117" s="43" t="str">
        <x:v>Completado</x:v>
      </x:c>
      <x:c r="G117" s="44" t="n">
        <x:v>46273</x:v>
      </x:c>
      <x:c r="H117" s="44" t="n">
        <x:v>46279</x:v>
      </x:c>
      <x:c r="I117" s="45" t="n">
        <x:f>IF(OR(G117="",H117=""),"",SUMPRODUCT(('Cronograma'!$F$8:$P$8&lt;=H117)*('Cronograma'!$F$9:$P$9&gt;=G117)))</x:f>
        <x:v>1</x:v>
      </x:c>
      <x:c r="J117" s="46"/>
      <x:c r="K117" s="46"/>
      <x:c r="L117" s="47"/>
      <x:c r="M117" s="48" t="str"/>
      <x:c r="N117" s="48" t="str"/>
      <x:c r="O117" s="49" t="n">
        <x:v>46279</x:v>
      </x:c>
      <x:c r="P117" s="43" t="str">
        <x:v>Reporte fechado y código asociado</x:v>
      </x:c>
      <x:c r="Q117" s="43" t="str">
        <x:v>MVP03, MVP04</x:v>
      </x:c>
      <x:c r="R117" s="43" t="str"/>
      <x:c r="S117" s="43" t="str">
        <x:v>Fecha de evidencia del reporte de cuenta; las actualizaciones posteriores se desglosan en sus propias etapas.</x:v>
      </x:c>
      <x:c r="T117" s="43" t="str">
        <x:v>S005, S026, S027, S028</x:v>
      </x:c>
      <x:c r="U117" s="43" t="str">
        <x:v>docs/account-completion.md
docs/deployment-status.md
docs/superpowers/plans/2026-09-14-account-completion.md
supabase/migrations/002_account_completion.sql</x:v>
      </x:c>
    </x:row>
    <x:row r="118" ht="56" customHeight="1">
      <x:c r="A118" s="42" t="str">
        <x:v>ACC01.010</x:v>
      </x:c>
      <x:c r="B118" s="42" t="str">
        <x:v>Ampliación de acceso, seguridad y consentimientos</x:v>
      </x:c>
      <x:c r="C118" s="42" t="str">
        <x:v>ACC01</x:v>
      </x:c>
      <x:c r="D118" s="43" t="str">
        <x:v>Solicitar aceptación a cuentas existentes</x:v>
      </x:c>
      <x:c r="E118" s="43" t="str">
        <x:v>No fabricar consentimientos para perfiles previos.</x:v>
      </x:c>
      <x:c r="F118" s="43" t="str">
        <x:v>Completado</x:v>
      </x:c>
      <x:c r="G118" s="44" t="n">
        <x:v>46273</x:v>
      </x:c>
      <x:c r="H118" s="44" t="n">
        <x:v>46279</x:v>
      </x:c>
      <x:c r="I118" s="45" t="n">
        <x:f>IF(OR(G118="",H118=""),"",SUMPRODUCT(('Cronograma'!$F$8:$P$8&lt;=H118)*('Cronograma'!$F$9:$P$9&gt;=G118)))</x:f>
        <x:v>1</x:v>
      </x:c>
      <x:c r="J118" s="46"/>
      <x:c r="K118" s="46"/>
      <x:c r="L118" s="47"/>
      <x:c r="M118" s="48" t="str"/>
      <x:c r="N118" s="48" t="str"/>
      <x:c r="O118" s="49" t="n">
        <x:v>46279</x:v>
      </x:c>
      <x:c r="P118" s="43" t="str">
        <x:v>Reporte fechado y código asociado</x:v>
      </x:c>
      <x:c r="Q118" s="43" t="str">
        <x:v>MVP03, MVP04</x:v>
      </x:c>
      <x:c r="R118" s="43" t="str"/>
      <x:c r="S118" s="43" t="str">
        <x:v>Fecha de evidencia del reporte de cuenta; las actualizaciones posteriores se desglosan en sus propias etapas.</x:v>
      </x:c>
      <x:c r="T118" s="43" t="str">
        <x:v>S005, S026, S027, S028</x:v>
      </x:c>
      <x:c r="U118" s="43" t="str">
        <x:v>docs/account-completion.md
docs/deployment-status.md
docs/superpowers/plans/2026-09-14-account-completion.md
supabase/migrations/002_account_completion.sql</x:v>
      </x:c>
    </x:row>
    <x:row r="119" ht="56" customHeight="1">
      <x:c r="A119" s="42" t="str">
        <x:v>ACC01.011</x:v>
      </x:c>
      <x:c r="B119" s="42" t="str">
        <x:v>Ampliación de acceso, seguridad y consentimientos</x:v>
      </x:c>
      <x:c r="C119" s="42" t="str">
        <x:v>ACC01</x:v>
      </x:c>
      <x:c r="D119" s="43" t="str">
        <x:v>Permitir gestionar cuenta sin aceptar cambios</x:v>
      </x:c>
      <x:c r="E119" s="43" t="str">
        <x:v>Mantener acceso a eliminación y administración básica.</x:v>
      </x:c>
      <x:c r="F119" s="43" t="str">
        <x:v>Completado</x:v>
      </x:c>
      <x:c r="G119" s="44" t="n">
        <x:v>46273</x:v>
      </x:c>
      <x:c r="H119" s="44" t="n">
        <x:v>46279</x:v>
      </x:c>
      <x:c r="I119" s="45" t="n">
        <x:f>IF(OR(G119="",H119=""),"",SUMPRODUCT(('Cronograma'!$F$8:$P$8&lt;=H119)*('Cronograma'!$F$9:$P$9&gt;=G119)))</x:f>
        <x:v>1</x:v>
      </x:c>
      <x:c r="J119" s="46"/>
      <x:c r="K119" s="46"/>
      <x:c r="L119" s="47"/>
      <x:c r="M119" s="48" t="str"/>
      <x:c r="N119" s="48" t="str"/>
      <x:c r="O119" s="49" t="n">
        <x:v>46279</x:v>
      </x:c>
      <x:c r="P119" s="43" t="str">
        <x:v>Reporte fechado y código asociado</x:v>
      </x:c>
      <x:c r="Q119" s="43" t="str">
        <x:v>MVP03, MVP04</x:v>
      </x:c>
      <x:c r="R119" s="43" t="str"/>
      <x:c r="S119" s="43" t="str">
        <x:v>Fecha de evidencia del reporte de cuenta; las actualizaciones posteriores se desglosan en sus propias etapas.</x:v>
      </x:c>
      <x:c r="T119" s="43" t="str">
        <x:v>S005, S026, S027, S028</x:v>
      </x:c>
      <x:c r="U119" s="43" t="str">
        <x:v>docs/account-completion.md
docs/deployment-status.md
docs/superpowers/plans/2026-09-14-account-completion.md
supabase/migrations/002_account_completion.sql</x:v>
      </x:c>
    </x:row>
    <x:row r="120" ht="56" customHeight="1">
      <x:c r="A120" s="42" t="str">
        <x:v>ACC01.012</x:v>
      </x:c>
      <x:c r="B120" s="42" t="str">
        <x:v>Ampliación de acceso, seguridad y consentimientos</x:v>
      </x:c>
      <x:c r="C120" s="42" t="str">
        <x:v>ACC01</x:v>
      </x:c>
      <x:c r="D120" s="43" t="str">
        <x:v>Crear pantalla de código de correo</x:v>
      </x:c>
      <x:c r="E120" s="43" t="str">
        <x:v>Capturar OTP y mostrar destino de verificación.</x:v>
      </x:c>
      <x:c r="F120" s="43" t="str">
        <x:v>Completado</x:v>
      </x:c>
      <x:c r="G120" s="44" t="n">
        <x:v>46273</x:v>
      </x:c>
      <x:c r="H120" s="44" t="n">
        <x:v>46279</x:v>
      </x:c>
      <x:c r="I120" s="45" t="n">
        <x:f>IF(OR(G120="",H120=""),"",SUMPRODUCT(('Cronograma'!$F$8:$P$8&lt;=H120)*('Cronograma'!$F$9:$P$9&gt;=G120)))</x:f>
        <x:v>1</x:v>
      </x:c>
      <x:c r="J120" s="46"/>
      <x:c r="K120" s="46"/>
      <x:c r="L120" s="47"/>
      <x:c r="M120" s="48" t="str"/>
      <x:c r="N120" s="48" t="str"/>
      <x:c r="O120" s="49" t="n">
        <x:v>46279</x:v>
      </x:c>
      <x:c r="P120" s="43" t="str">
        <x:v>Reporte fechado y código asociado</x:v>
      </x:c>
      <x:c r="Q120" s="43" t="str">
        <x:v>MVP03, MVP04</x:v>
      </x:c>
      <x:c r="R120" s="43" t="str"/>
      <x:c r="S120" s="43" t="str">
        <x:v>Fecha de evidencia del reporte de cuenta; las actualizaciones posteriores se desglosan en sus propias etapas.</x:v>
      </x:c>
      <x:c r="T120" s="43" t="str">
        <x:v>S005, S026, S027, S028</x:v>
      </x:c>
      <x:c r="U120" s="43" t="str">
        <x:v>docs/account-completion.md
docs/deployment-status.md
docs/superpowers/plans/2026-09-14-account-completion.md
supabase/migrations/002_account_completion.sql</x:v>
      </x:c>
    </x:row>
    <x:row r="121" ht="56" customHeight="1">
      <x:c r="A121" s="42" t="str">
        <x:v>ACC01.013</x:v>
      </x:c>
      <x:c r="B121" s="42" t="str">
        <x:v>Ampliación de acceso, seguridad y consentimientos</x:v>
      </x:c>
      <x:c r="C121" s="42" t="str">
        <x:v>ACC01</x:v>
      </x:c>
      <x:c r="D121" s="43" t="str">
        <x:v>Implementar reenvío con espera</x:v>
      </x:c>
      <x:c r="E121" s="43" t="str">
        <x:v>Aplicar cooldown de 60 segundos tras solicitud aceptada.</x:v>
      </x:c>
      <x:c r="F121" s="43" t="str">
        <x:v>Completado</x:v>
      </x:c>
      <x:c r="G121" s="44" t="n">
        <x:v>46273</x:v>
      </x:c>
      <x:c r="H121" s="44" t="n">
        <x:v>46279</x:v>
      </x:c>
      <x:c r="I121" s="45" t="n">
        <x:f>IF(OR(G121="",H121=""),"",SUMPRODUCT(('Cronograma'!$F$8:$P$8&lt;=H121)*('Cronograma'!$F$9:$P$9&gt;=G121)))</x:f>
        <x:v>1</x:v>
      </x:c>
      <x:c r="J121" s="46"/>
      <x:c r="K121" s="46"/>
      <x:c r="L121" s="47"/>
      <x:c r="M121" s="48" t="str"/>
      <x:c r="N121" s="48" t="str"/>
      <x:c r="O121" s="49" t="n">
        <x:v>46279</x:v>
      </x:c>
      <x:c r="P121" s="43" t="str">
        <x:v>Reporte fechado y código asociado</x:v>
      </x:c>
      <x:c r="Q121" s="43" t="str">
        <x:v>MVP03, MVP04</x:v>
      </x:c>
      <x:c r="R121" s="43" t="str"/>
      <x:c r="S121" s="43" t="str">
        <x:v>Fecha de evidencia del reporte de cuenta; las actualizaciones posteriores se desglosan en sus propias etapas.</x:v>
      </x:c>
      <x:c r="T121" s="43" t="str">
        <x:v>S005, S026, S027, S028</x:v>
      </x:c>
      <x:c r="U121" s="43" t="str">
        <x:v>docs/account-completion.md
docs/deployment-status.md
docs/superpowers/plans/2026-09-14-account-completion.md
supabase/migrations/002_account_completion.sql</x:v>
      </x:c>
    </x:row>
    <x:row r="122" ht="56" customHeight="1">
      <x:c r="A122" s="42" t="str">
        <x:v>ACC01.014</x:v>
      </x:c>
      <x:c r="B122" s="42" t="str">
        <x:v>Ampliación de acceso, seguridad y consentimientos</x:v>
      </x:c>
      <x:c r="C122" s="42" t="str">
        <x:v>ACC01</x:v>
      </x:c>
      <x:c r="D122" s="43" t="str">
        <x:v>Separar solicitud de recuperación</x:v>
      </x:c>
      <x:c r="E122" s="43" t="str">
        <x:v>Capturar correo sin revelar si existe una cuenta.</x:v>
      </x:c>
      <x:c r="F122" s="43" t="str">
        <x:v>Completado</x:v>
      </x:c>
      <x:c r="G122" s="44" t="n">
        <x:v>46273</x:v>
      </x:c>
      <x:c r="H122" s="44" t="n">
        <x:v>46279</x:v>
      </x:c>
      <x:c r="I122" s="45" t="n">
        <x:f>IF(OR(G122="",H122=""),"",SUMPRODUCT(('Cronograma'!$F$8:$P$8&lt;=H122)*('Cronograma'!$F$9:$P$9&gt;=G122)))</x:f>
        <x:v>1</x:v>
      </x:c>
      <x:c r="J122" s="46"/>
      <x:c r="K122" s="46"/>
      <x:c r="L122" s="47"/>
      <x:c r="M122" s="48" t="str"/>
      <x:c r="N122" s="48" t="str"/>
      <x:c r="O122" s="49" t="n">
        <x:v>46279</x:v>
      </x:c>
      <x:c r="P122" s="43" t="str">
        <x:v>Reporte fechado y código asociado</x:v>
      </x:c>
      <x:c r="Q122" s="43" t="str">
        <x:v>MVP03, MVP04</x:v>
      </x:c>
      <x:c r="R122" s="43" t="str"/>
      <x:c r="S122" s="43" t="str">
        <x:v>Fecha de evidencia del reporte de cuenta; las actualizaciones posteriores se desglosan en sus propias etapas.</x:v>
      </x:c>
      <x:c r="T122" s="43" t="str">
        <x:v>S005, S026, S027, S028</x:v>
      </x:c>
      <x:c r="U122" s="43" t="str">
        <x:v>docs/account-completion.md
docs/deployment-status.md
docs/superpowers/plans/2026-09-14-account-completion.md
supabase/migrations/002_account_completion.sql</x:v>
      </x:c>
    </x:row>
    <x:row r="123" ht="56" customHeight="1">
      <x:c r="A123" s="42" t="str">
        <x:v>ACC01.015</x:v>
      </x:c>
      <x:c r="B123" s="42" t="str">
        <x:v>Ampliación de acceso, seguridad y consentimientos</x:v>
      </x:c>
      <x:c r="C123" s="42" t="str">
        <x:v>ACC01</x:v>
      </x:c>
      <x:c r="D123" s="43" t="str">
        <x:v>Verificar código de recuperación</x:v>
      </x:c>
      <x:c r="E123" s="43" t="str">
        <x:v>Validar OTP antes de cambiar contraseña.</x:v>
      </x:c>
      <x:c r="F123" s="43" t="str">
        <x:v>Completado</x:v>
      </x:c>
      <x:c r="G123" s="44" t="n">
        <x:v>46273</x:v>
      </x:c>
      <x:c r="H123" s="44" t="n">
        <x:v>46279</x:v>
      </x:c>
      <x:c r="I123" s="45" t="n">
        <x:f>IF(OR(G123="",H123=""),"",SUMPRODUCT(('Cronograma'!$F$8:$P$8&lt;=H123)*('Cronograma'!$F$9:$P$9&gt;=G123)))</x:f>
        <x:v>1</x:v>
      </x:c>
      <x:c r="J123" s="46"/>
      <x:c r="K123" s="46"/>
      <x:c r="L123" s="47"/>
      <x:c r="M123" s="48" t="str"/>
      <x:c r="N123" s="48" t="str"/>
      <x:c r="O123" s="49" t="n">
        <x:v>46279</x:v>
      </x:c>
      <x:c r="P123" s="43" t="str">
        <x:v>Reporte fechado y código asociado</x:v>
      </x:c>
      <x:c r="Q123" s="43" t="str">
        <x:v>MVP03, MVP04</x:v>
      </x:c>
      <x:c r="R123" s="43" t="str"/>
      <x:c r="S123" s="43" t="str">
        <x:v>Fecha de evidencia del reporte de cuenta; las actualizaciones posteriores se desglosan en sus propias etapas.</x:v>
      </x:c>
      <x:c r="T123" s="43" t="str">
        <x:v>S005, S026, S027, S028</x:v>
      </x:c>
      <x:c r="U123" s="43" t="str">
        <x:v>docs/account-completion.md
docs/deployment-status.md
docs/superpowers/plans/2026-09-14-account-completion.md
supabase/migrations/002_account_completion.sql</x:v>
      </x:c>
    </x:row>
    <x:row r="124" ht="56" customHeight="1">
      <x:c r="A124" s="42" t="str">
        <x:v>ACC01.016</x:v>
      </x:c>
      <x:c r="B124" s="42" t="str">
        <x:v>Ampliación de acceso, seguridad y consentimientos</x:v>
      </x:c>
      <x:c r="C124" s="42" t="str">
        <x:v>ACC01</x:v>
      </x:c>
      <x:c r="D124" s="43" t="str">
        <x:v>Guardar nueva contraseña recuperada</x:v>
      </x:c>
      <x:c r="E124" s="43" t="str">
        <x:v>Completar el flujo tras verificación.</x:v>
      </x:c>
      <x:c r="F124" s="43" t="str">
        <x:v>Completado</x:v>
      </x:c>
      <x:c r="G124" s="44" t="n">
        <x:v>46273</x:v>
      </x:c>
      <x:c r="H124" s="44" t="n">
        <x:v>46279</x:v>
      </x:c>
      <x:c r="I124" s="45" t="n">
        <x:f>IF(OR(G124="",H124=""),"",SUMPRODUCT(('Cronograma'!$F$8:$P$8&lt;=H124)*('Cronograma'!$F$9:$P$9&gt;=G124)))</x:f>
        <x:v>1</x:v>
      </x:c>
      <x:c r="J124" s="46"/>
      <x:c r="K124" s="46"/>
      <x:c r="L124" s="47"/>
      <x:c r="M124" s="48" t="str"/>
      <x:c r="N124" s="48" t="str"/>
      <x:c r="O124" s="49" t="n">
        <x:v>46279</x:v>
      </x:c>
      <x:c r="P124" s="43" t="str">
        <x:v>Reporte fechado y código asociado</x:v>
      </x:c>
      <x:c r="Q124" s="43" t="str">
        <x:v>MVP03, MVP04</x:v>
      </x:c>
      <x:c r="R124" s="43" t="str"/>
      <x:c r="S124" s="43" t="str">
        <x:v>Fecha de evidencia del reporte de cuenta; las actualizaciones posteriores se desglosan en sus propias etapas.</x:v>
      </x:c>
      <x:c r="T124" s="43" t="str">
        <x:v>S005, S026, S027, S028</x:v>
      </x:c>
      <x:c r="U124" s="43" t="str">
        <x:v>docs/account-completion.md
docs/deployment-status.md
docs/superpowers/plans/2026-09-14-account-completion.md
supabase/migrations/002_account_completion.sql</x:v>
      </x:c>
    </x:row>
    <x:row r="125" ht="56" customHeight="1">
      <x:c r="A125" s="42" t="str">
        <x:v>ACC01.017</x:v>
      </x:c>
      <x:c r="B125" s="42" t="str">
        <x:v>Ampliación de acceso, seguridad y consentimientos</x:v>
      </x:c>
      <x:c r="C125" s="42" t="str">
        <x:v>ACC01</x:v>
      </x:c>
      <x:c r="D125" s="43" t="str">
        <x:v>Crear cambio de correo seguro</x:v>
      </x:c>
      <x:c r="E125" s="43" t="str">
        <x:v>Solicitar contraseña actual y confirmación requerida.</x:v>
      </x:c>
      <x:c r="F125" s="43" t="str">
        <x:v>Completado</x:v>
      </x:c>
      <x:c r="G125" s="44" t="n">
        <x:v>46273</x:v>
      </x:c>
      <x:c r="H125" s="44" t="n">
        <x:v>46279</x:v>
      </x:c>
      <x:c r="I125" s="45" t="n">
        <x:f>IF(OR(G125="",H125=""),"",SUMPRODUCT(('Cronograma'!$F$8:$P$8&lt;=H125)*('Cronograma'!$F$9:$P$9&gt;=G125)))</x:f>
        <x:v>1</x:v>
      </x:c>
      <x:c r="J125" s="46"/>
      <x:c r="K125" s="46"/>
      <x:c r="L125" s="47"/>
      <x:c r="M125" s="48" t="str"/>
      <x:c r="N125" s="48" t="str"/>
      <x:c r="O125" s="49" t="n">
        <x:v>46279</x:v>
      </x:c>
      <x:c r="P125" s="43" t="str">
        <x:v>Reporte fechado y código asociado</x:v>
      </x:c>
      <x:c r="Q125" s="43" t="str">
        <x:v>MVP03, MVP04</x:v>
      </x:c>
      <x:c r="R125" s="43" t="str"/>
      <x:c r="S125" s="43" t="str">
        <x:v>Fecha de evidencia del reporte de cuenta; las actualizaciones posteriores se desglosan en sus propias etapas.</x:v>
      </x:c>
      <x:c r="T125" s="43" t="str">
        <x:v>S005, S026, S027, S028</x:v>
      </x:c>
      <x:c r="U125" s="43" t="str">
        <x:v>docs/account-completion.md
docs/deployment-status.md
docs/superpowers/plans/2026-09-14-account-completion.md
supabase/migrations/002_account_completion.sql</x:v>
      </x:c>
    </x:row>
    <x:row r="126" ht="56" customHeight="1">
      <x:c r="A126" s="42" t="str">
        <x:v>ACC01.018</x:v>
      </x:c>
      <x:c r="B126" s="42" t="str">
        <x:v>Ampliación de acceso, seguridad y consentimientos</x:v>
      </x:c>
      <x:c r="C126" s="42" t="str">
        <x:v>ACC01</x:v>
      </x:c>
      <x:c r="D126" s="43" t="str">
        <x:v>Crear cambio de contraseña autenticado</x:v>
      </x:c>
      <x:c r="E126" s="43" t="str">
        <x:v>Solicitar contraseña actual y reautenticación cuando corresponda.</x:v>
      </x:c>
      <x:c r="F126" s="43" t="str">
        <x:v>Completado</x:v>
      </x:c>
      <x:c r="G126" s="44" t="n">
        <x:v>46273</x:v>
      </x:c>
      <x:c r="H126" s="44" t="n">
        <x:v>46279</x:v>
      </x:c>
      <x:c r="I126" s="45" t="n">
        <x:f>IF(OR(G126="",H126=""),"",SUMPRODUCT(('Cronograma'!$F$8:$P$8&lt;=H126)*('Cronograma'!$F$9:$P$9&gt;=G126)))</x:f>
        <x:v>1</x:v>
      </x:c>
      <x:c r="J126" s="46"/>
      <x:c r="K126" s="46"/>
      <x:c r="L126" s="47"/>
      <x:c r="M126" s="48" t="str"/>
      <x:c r="N126" s="48" t="str"/>
      <x:c r="O126" s="49" t="n">
        <x:v>46279</x:v>
      </x:c>
      <x:c r="P126" s="43" t="str">
        <x:v>Reporte fechado y código asociado</x:v>
      </x:c>
      <x:c r="Q126" s="43" t="str">
        <x:v>MVP03, MVP04</x:v>
      </x:c>
      <x:c r="R126" s="43" t="str"/>
      <x:c r="S126" s="43" t="str">
        <x:v>Fecha de evidencia del reporte de cuenta; las actualizaciones posteriores se desglosan en sus propias etapas.</x:v>
      </x:c>
      <x:c r="T126" s="43" t="str">
        <x:v>S005, S026, S027, S028</x:v>
      </x:c>
      <x:c r="U126" s="43" t="str">
        <x:v>docs/account-completion.md
docs/deployment-status.md
docs/superpowers/plans/2026-09-14-account-completion.md
supabase/migrations/002_account_completion.sql</x:v>
      </x:c>
    </x:row>
    <x:row r="127" ht="56" customHeight="1">
      <x:c r="A127" s="42" t="str">
        <x:v>ACC01.019</x:v>
      </x:c>
      <x:c r="B127" s="42" t="str">
        <x:v>Ampliación de acceso, seguridad y consentimientos</x:v>
      </x:c>
      <x:c r="C127" s="42" t="str">
        <x:v>ACC01</x:v>
      </x:c>
      <x:c r="D127" s="43" t="str">
        <x:v>Clasificar sesión inválida y errores de red</x:v>
      </x:c>
      <x:c r="E127" s="43" t="str">
        <x:v>Dar mensajes y acciones adecuados en acceso.</x:v>
      </x:c>
      <x:c r="F127" s="43" t="str">
        <x:v>Completado</x:v>
      </x:c>
      <x:c r="G127" s="44" t="n">
        <x:v>46273</x:v>
      </x:c>
      <x:c r="H127" s="44" t="n">
        <x:v>46279</x:v>
      </x:c>
      <x:c r="I127" s="45" t="n">
        <x:f>IF(OR(G127="",H127=""),"",SUMPRODUCT(('Cronograma'!$F$8:$P$8&lt;=H127)*('Cronograma'!$F$9:$P$9&gt;=G127)))</x:f>
        <x:v>1</x:v>
      </x:c>
      <x:c r="J127" s="46"/>
      <x:c r="K127" s="46"/>
      <x:c r="L127" s="47"/>
      <x:c r="M127" s="48" t="str"/>
      <x:c r="N127" s="48" t="str"/>
      <x:c r="O127" s="49" t="n">
        <x:v>46279</x:v>
      </x:c>
      <x:c r="P127" s="43" t="str">
        <x:v>Reporte fechado y código asociado</x:v>
      </x:c>
      <x:c r="Q127" s="43" t="str">
        <x:v>MVP03, MVP04</x:v>
      </x:c>
      <x:c r="R127" s="43" t="str"/>
      <x:c r="S127" s="43" t="str">
        <x:v>Fecha de evidencia del reporte de cuenta; las actualizaciones posteriores se desglosan en sus propias etapas.</x:v>
      </x:c>
      <x:c r="T127" s="43" t="str">
        <x:v>S005, S026, S027, S028</x:v>
      </x:c>
      <x:c r="U127" s="43" t="str">
        <x:v>docs/account-completion.md
docs/deployment-status.md
docs/superpowers/plans/2026-09-14-account-completion.md
supabase/migrations/002_account_completion.sql</x:v>
      </x:c>
    </x:row>
    <x:row r="128" ht="56" customHeight="1">
      <x:c r="A128" s="42" t="str">
        <x:v>ACC01.020</x:v>
      </x:c>
      <x:c r="B128" s="42" t="str">
        <x:v>Ampliación de acceso, seguridad y consentimientos</x:v>
      </x:c>
      <x:c r="C128" s="42" t="str">
        <x:v>ACC01</x:v>
      </x:c>
      <x:c r="D128" s="43" t="str">
        <x:v>Conservar destino durante pasos de cuenta</x:v>
      </x:c>
      <x:c r="E128" s="43" t="str">
        <x:v>Retomar la ruta interna tras completar autenticación.</x:v>
      </x:c>
      <x:c r="F128" s="43" t="str">
        <x:v>Completado</x:v>
      </x:c>
      <x:c r="G128" s="44" t="n">
        <x:v>46273</x:v>
      </x:c>
      <x:c r="H128" s="44" t="n">
        <x:v>46279</x:v>
      </x:c>
      <x:c r="I128" s="45" t="n">
        <x:f>IF(OR(G128="",H128=""),"",SUMPRODUCT(('Cronograma'!$F$8:$P$8&lt;=H128)*('Cronograma'!$F$9:$P$9&gt;=G128)))</x:f>
        <x:v>1</x:v>
      </x:c>
      <x:c r="J128" s="46"/>
      <x:c r="K128" s="46"/>
      <x:c r="L128" s="47"/>
      <x:c r="M128" s="48" t="str"/>
      <x:c r="N128" s="48" t="str"/>
      <x:c r="O128" s="49" t="n">
        <x:v>46279</x:v>
      </x:c>
      <x:c r="P128" s="43" t="str">
        <x:v>Reporte fechado y código asociado</x:v>
      </x:c>
      <x:c r="Q128" s="43" t="str">
        <x:v>MVP03, MVP04</x:v>
      </x:c>
      <x:c r="R128" s="43" t="str"/>
      <x:c r="S128" s="43" t="str">
        <x:v>Fecha de evidencia del reporte de cuenta; las actualizaciones posteriores se desglosan en sus propias etapas.</x:v>
      </x:c>
      <x:c r="T128" s="43" t="str">
        <x:v>S005, S026, S027, S028</x:v>
      </x:c>
      <x:c r="U128" s="43" t="str">
        <x:v>docs/account-completion.md
docs/deployment-status.md
docs/superpowers/plans/2026-09-14-account-completion.md
supabase/migrations/002_account_completion.sql</x:v>
      </x:c>
    </x:row>
    <x:row r="129" ht="56" customHeight="1">
      <x:c r="A129" s="42" t="str">
        <x:v>ACC02.001</x:v>
      </x:c>
      <x:c r="B129" s="42" t="str">
        <x:v>Fotografías de perfil y almacenamiento privado</x:v>
      </x:c>
      <x:c r="C129" s="42" t="str">
        <x:v>ACC02</x:v>
      </x:c>
      <x:c r="D129" s="43" t="str">
        <x:v>Seleccionar avatar desde galería</x:v>
      </x:c>
      <x:c r="E129" s="43" t="str">
        <x:v>Abrir selector de imágenes de la plataforma.</x:v>
      </x:c>
      <x:c r="F129" s="43" t="str">
        <x:v>Completado</x:v>
      </x:c>
      <x:c r="G129" s="44" t="n">
        <x:v>46273</x:v>
      </x:c>
      <x:c r="H129" s="44" t="n">
        <x:v>46279</x:v>
      </x:c>
      <x:c r="I129" s="45" t="n">
        <x:f>IF(OR(G129="",H129=""),"",SUMPRODUCT(('Cronograma'!$F$8:$P$8&lt;=H129)*('Cronograma'!$F$9:$P$9&gt;=G129)))</x:f>
        <x:v>1</x:v>
      </x:c>
      <x:c r="J129" s="46"/>
      <x:c r="K129" s="46"/>
      <x:c r="L129" s="47"/>
      <x:c r="M129" s="48" t="str"/>
      <x:c r="N129" s="48" t="str"/>
      <x:c r="O129" s="49" t="n">
        <x:v>46279</x:v>
      </x:c>
      <x:c r="P129" s="43" t="str">
        <x:v>Reporte fechado y código asociado</x:v>
      </x:c>
      <x:c r="Q129" s="43" t="str">
        <x:v>ACC01</x:v>
      </x:c>
      <x:c r="R129" s="43" t="str"/>
      <x:c r="S129" s="43" t="str"/>
      <x:c r="T129" s="43" t="str">
        <x:v>S005, S029, S030, S031</x:v>
      </x:c>
      <x:c r="U129" s="43" t="str">
        <x:v>docs/account-completion.md
lib/features/profile/data/profile_media_repository.dart
supabase/functions/profile-media/index.ts
supabase/functions/profile-media/image.ts</x:v>
      </x:c>
    </x:row>
    <x:row r="130" ht="56" customHeight="1">
      <x:c r="A130" s="42" t="str">
        <x:v>ACC02.002</x:v>
      </x:c>
      <x:c r="B130" s="42" t="str">
        <x:v>Fotografías de perfil y almacenamiento privado</x:v>
      </x:c>
      <x:c r="C130" s="42" t="str">
        <x:v>ACC02</x:v>
      </x:c>
      <x:c r="D130" s="43" t="str">
        <x:v>Mostrar vista previa del avatar</x:v>
      </x:c>
      <x:c r="E130" s="43" t="str">
        <x:v>Revisar la imagen antes de guardar.</x:v>
      </x:c>
      <x:c r="F130" s="43" t="str">
        <x:v>Completado</x:v>
      </x:c>
      <x:c r="G130" s="44" t="n">
        <x:v>46273</x:v>
      </x:c>
      <x:c r="H130" s="44" t="n">
        <x:v>46279</x:v>
      </x:c>
      <x:c r="I130" s="45" t="n">
        <x:f>IF(OR(G130="",H130=""),"",SUMPRODUCT(('Cronograma'!$F$8:$P$8&lt;=H130)*('Cronograma'!$F$9:$P$9&gt;=G130)))</x:f>
        <x:v>1</x:v>
      </x:c>
      <x:c r="J130" s="46"/>
      <x:c r="K130" s="46"/>
      <x:c r="L130" s="47"/>
      <x:c r="M130" s="48" t="str"/>
      <x:c r="N130" s="48" t="str"/>
      <x:c r="O130" s="49" t="n">
        <x:v>46279</x:v>
      </x:c>
      <x:c r="P130" s="43" t="str">
        <x:v>Reporte fechado y código asociado</x:v>
      </x:c>
      <x:c r="Q130" s="43" t="str">
        <x:v>ACC01</x:v>
      </x:c>
      <x:c r="R130" s="43" t="str"/>
      <x:c r="S130" s="43" t="str"/>
      <x:c r="T130" s="43" t="str">
        <x:v>S005, S029, S030, S031</x:v>
      </x:c>
      <x:c r="U130" s="43" t="str">
        <x:v>docs/account-completion.md
lib/features/profile/data/profile_media_repository.dart
supabase/functions/profile-media/index.ts
supabase/functions/profile-media/image.ts</x:v>
      </x:c>
    </x:row>
    <x:row r="131" ht="56" customHeight="1">
      <x:c r="A131" s="42" t="str">
        <x:v>ACC02.003</x:v>
      </x:c>
      <x:c r="B131" s="42" t="str">
        <x:v>Fotografías de perfil y almacenamiento privado</x:v>
      </x:c>
      <x:c r="C131" s="42" t="str">
        <x:v>ACC02</x:v>
      </x:c>
      <x:c r="D131" s="43" t="str">
        <x:v>Seleccionar portada desde galería</x:v>
      </x:c>
      <x:c r="E131" s="43" t="str">
        <x:v>Preparar imagen de cabecera del perfil.</x:v>
      </x:c>
      <x:c r="F131" s="43" t="str">
        <x:v>Completado</x:v>
      </x:c>
      <x:c r="G131" s="44" t="n">
        <x:v>46273</x:v>
      </x:c>
      <x:c r="H131" s="44" t="n">
        <x:v>46279</x:v>
      </x:c>
      <x:c r="I131" s="45" t="n">
        <x:f>IF(OR(G131="",H131=""),"",SUMPRODUCT(('Cronograma'!$F$8:$P$8&lt;=H131)*('Cronograma'!$F$9:$P$9&gt;=G131)))</x:f>
        <x:v>1</x:v>
      </x:c>
      <x:c r="J131" s="46"/>
      <x:c r="K131" s="46"/>
      <x:c r="L131" s="47"/>
      <x:c r="M131" s="48" t="str"/>
      <x:c r="N131" s="48" t="str"/>
      <x:c r="O131" s="49" t="n">
        <x:v>46279</x:v>
      </x:c>
      <x:c r="P131" s="43" t="str">
        <x:v>Reporte fechado y código asociado</x:v>
      </x:c>
      <x:c r="Q131" s="43" t="str">
        <x:v>ACC01</x:v>
      </x:c>
      <x:c r="R131" s="43" t="str"/>
      <x:c r="S131" s="43" t="str"/>
      <x:c r="T131" s="43" t="str">
        <x:v>S005, S029, S030, S031</x:v>
      </x:c>
      <x:c r="U131" s="43" t="str">
        <x:v>docs/account-completion.md
lib/features/profile/data/profile_media_repository.dart
supabase/functions/profile-media/index.ts
supabase/functions/profile-media/image.ts</x:v>
      </x:c>
    </x:row>
    <x:row r="132" ht="56" customHeight="1">
      <x:c r="A132" s="42" t="str">
        <x:v>ACC02.004</x:v>
      </x:c>
      <x:c r="B132" s="42" t="str">
        <x:v>Fotografías de perfil y almacenamiento privado</x:v>
      </x:c>
      <x:c r="C132" s="42" t="str">
        <x:v>ACC02</x:v>
      </x:c>
      <x:c r="D132" s="43" t="str">
        <x:v>Ofrecer portadas prediseñadas MAREA</x:v>
      </x:c>
      <x:c r="E132" s="43" t="str">
        <x:v>Permitir elegir entre cuatro portadas.</x:v>
      </x:c>
      <x:c r="F132" s="43" t="str">
        <x:v>Completado</x:v>
      </x:c>
      <x:c r="G132" s="44" t="n">
        <x:v>46273</x:v>
      </x:c>
      <x:c r="H132" s="44" t="n">
        <x:v>46279</x:v>
      </x:c>
      <x:c r="I132" s="45" t="n">
        <x:f>IF(OR(G132="",H132=""),"",SUMPRODUCT(('Cronograma'!$F$8:$P$8&lt;=H132)*('Cronograma'!$F$9:$P$9&gt;=G132)))</x:f>
        <x:v>1</x:v>
      </x:c>
      <x:c r="J132" s="46"/>
      <x:c r="K132" s="46"/>
      <x:c r="L132" s="47"/>
      <x:c r="M132" s="48" t="str"/>
      <x:c r="N132" s="48" t="str"/>
      <x:c r="O132" s="49" t="n">
        <x:v>46279</x:v>
      </x:c>
      <x:c r="P132" s="43" t="str">
        <x:v>Reporte fechado y código asociado</x:v>
      </x:c>
      <x:c r="Q132" s="43" t="str">
        <x:v>ACC01</x:v>
      </x:c>
      <x:c r="R132" s="43" t="str"/>
      <x:c r="S132" s="43" t="str"/>
      <x:c r="T132" s="43" t="str">
        <x:v>S005, S029, S030, S031</x:v>
      </x:c>
      <x:c r="U132" s="43" t="str">
        <x:v>docs/account-completion.md
lib/features/profile/data/profile_media_repository.dart
supabase/functions/profile-media/index.ts
supabase/functions/profile-media/image.ts</x:v>
      </x:c>
    </x:row>
    <x:row r="133" ht="56" customHeight="1">
      <x:c r="A133" s="42" t="str">
        <x:v>ACC02.005</x:v>
      </x:c>
      <x:c r="B133" s="42" t="str">
        <x:v>Fotografías de perfil y almacenamiento privado</x:v>
      </x:c>
      <x:c r="C133" s="42" t="str">
        <x:v>ACC02</x:v>
      </x:c>
      <x:c r="D133" s="43" t="str">
        <x:v>Validar peso de imagen de entrada</x:v>
      </x:c>
      <x:c r="E133" s="43" t="str">
        <x:v>Rechazar archivos que excedan el límite de entrada.</x:v>
      </x:c>
      <x:c r="F133" s="43" t="str">
        <x:v>Completado</x:v>
      </x:c>
      <x:c r="G133" s="44" t="n">
        <x:v>46273</x:v>
      </x:c>
      <x:c r="H133" s="44" t="n">
        <x:v>46279</x:v>
      </x:c>
      <x:c r="I133" s="45" t="n">
        <x:f>IF(OR(G133="",H133=""),"",SUMPRODUCT(('Cronograma'!$F$8:$P$8&lt;=H133)*('Cronograma'!$F$9:$P$9&gt;=G133)))</x:f>
        <x:v>1</x:v>
      </x:c>
      <x:c r="J133" s="46"/>
      <x:c r="K133" s="46"/>
      <x:c r="L133" s="47"/>
      <x:c r="M133" s="48" t="str"/>
      <x:c r="N133" s="48" t="str"/>
      <x:c r="O133" s="49" t="n">
        <x:v>46279</x:v>
      </x:c>
      <x:c r="P133" s="43" t="str">
        <x:v>Reporte fechado y código asociado</x:v>
      </x:c>
      <x:c r="Q133" s="43" t="str">
        <x:v>ACC01</x:v>
      </x:c>
      <x:c r="R133" s="43" t="str"/>
      <x:c r="S133" s="43" t="str"/>
      <x:c r="T133" s="43" t="str">
        <x:v>S005, S029, S030, S031</x:v>
      </x:c>
      <x:c r="U133" s="43" t="str">
        <x:v>docs/account-completion.md
lib/features/profile/data/profile_media_repository.dart
supabase/functions/profile-media/index.ts
supabase/functions/profile-media/image.ts</x:v>
      </x:c>
    </x:row>
    <x:row r="134" ht="56" customHeight="1">
      <x:c r="A134" s="42" t="str">
        <x:v>ACC02.006</x:v>
      </x:c>
      <x:c r="B134" s="42" t="str">
        <x:v>Fotografías de perfil y almacenamiento privado</x:v>
      </x:c>
      <x:c r="C134" s="42" t="str">
        <x:v>ACC02</x:v>
      </x:c>
      <x:c r="D134" s="43" t="str">
        <x:v>Validar resolución de entrada</x:v>
      </x:c>
      <x:c r="E134" s="43" t="str">
        <x:v>Rechazar imágenes que excedan 24 megapíxeles.</x:v>
      </x:c>
      <x:c r="F134" s="43" t="str">
        <x:v>Completado</x:v>
      </x:c>
      <x:c r="G134" s="44" t="n">
        <x:v>46273</x:v>
      </x:c>
      <x:c r="H134" s="44" t="n">
        <x:v>46279</x:v>
      </x:c>
      <x:c r="I134" s="45" t="n">
        <x:f>IF(OR(G134="",H134=""),"",SUMPRODUCT(('Cronograma'!$F$8:$P$8&lt;=H134)*('Cronograma'!$F$9:$P$9&gt;=G134)))</x:f>
        <x:v>1</x:v>
      </x:c>
      <x:c r="J134" s="46"/>
      <x:c r="K134" s="46"/>
      <x:c r="L134" s="47"/>
      <x:c r="M134" s="48" t="str"/>
      <x:c r="N134" s="48" t="str"/>
      <x:c r="O134" s="49" t="n">
        <x:v>46279</x:v>
      </x:c>
      <x:c r="P134" s="43" t="str">
        <x:v>Reporte fechado y código asociado</x:v>
      </x:c>
      <x:c r="Q134" s="43" t="str">
        <x:v>ACC01</x:v>
      </x:c>
      <x:c r="R134" s="43" t="str"/>
      <x:c r="S134" s="43" t="str"/>
      <x:c r="T134" s="43" t="str">
        <x:v>S005, S029, S030, S031</x:v>
      </x:c>
      <x:c r="U134" s="43" t="str">
        <x:v>docs/account-completion.md
lib/features/profile/data/profile_media_repository.dart
supabase/functions/profile-media/index.ts
supabase/functions/profile-media/image.ts</x:v>
      </x:c>
    </x:row>
    <x:row r="135" ht="56" customHeight="1">
      <x:c r="A135" s="42" t="str">
        <x:v>ACC02.007</x:v>
      </x:c>
      <x:c r="B135" s="42" t="str">
        <x:v>Fotografías de perfil y almacenamiento privado</x:v>
      </x:c>
      <x:c r="C135" s="42" t="str">
        <x:v>ACC02</x:v>
      </x:c>
      <x:c r="D135" s="43" t="str">
        <x:v>Normalizar avatar localmente</x:v>
      </x:c>
      <x:c r="E135" s="43" t="str">
        <x:v>Generar PNG de hasta 640 px sin EXIF.</x:v>
      </x:c>
      <x:c r="F135" s="43" t="str">
        <x:v>Completado</x:v>
      </x:c>
      <x:c r="G135" s="44" t="n">
        <x:v>46273</x:v>
      </x:c>
      <x:c r="H135" s="44" t="n">
        <x:v>46279</x:v>
      </x:c>
      <x:c r="I135" s="45" t="n">
        <x:f>IF(OR(G135="",H135=""),"",SUMPRODUCT(('Cronograma'!$F$8:$P$8&lt;=H135)*('Cronograma'!$F$9:$P$9&gt;=G135)))</x:f>
        <x:v>1</x:v>
      </x:c>
      <x:c r="J135" s="46"/>
      <x:c r="K135" s="46"/>
      <x:c r="L135" s="47"/>
      <x:c r="M135" s="48" t="str"/>
      <x:c r="N135" s="48" t="str"/>
      <x:c r="O135" s="49" t="n">
        <x:v>46279</x:v>
      </x:c>
      <x:c r="P135" s="43" t="str">
        <x:v>Reporte fechado y código asociado</x:v>
      </x:c>
      <x:c r="Q135" s="43" t="str">
        <x:v>ACC01</x:v>
      </x:c>
      <x:c r="R135" s="43" t="str"/>
      <x:c r="S135" s="43" t="str"/>
      <x:c r="T135" s="43" t="str">
        <x:v>S005, S029, S030, S031</x:v>
      </x:c>
      <x:c r="U135" s="43" t="str">
        <x:v>docs/account-completion.md
lib/features/profile/data/profile_media_repository.dart
supabase/functions/profile-media/index.ts
supabase/functions/profile-media/image.ts</x:v>
      </x:c>
    </x:row>
    <x:row r="136" ht="56" customHeight="1">
      <x:c r="A136" s="42" t="str">
        <x:v>ACC02.008</x:v>
      </x:c>
      <x:c r="B136" s="42" t="str">
        <x:v>Fotografías de perfil y almacenamiento privado</x:v>
      </x:c>
      <x:c r="C136" s="42" t="str">
        <x:v>ACC02</x:v>
      </x:c>
      <x:c r="D136" s="43" t="str">
        <x:v>Normalizar portada localmente</x:v>
      </x:c>
      <x:c r="E136" s="43" t="str">
        <x:v>Generar PNG de hasta 1600 px sin EXIF.</x:v>
      </x:c>
      <x:c r="F136" s="43" t="str">
        <x:v>Completado</x:v>
      </x:c>
      <x:c r="G136" s="44" t="n">
        <x:v>46273</x:v>
      </x:c>
      <x:c r="H136" s="44" t="n">
        <x:v>46279</x:v>
      </x:c>
      <x:c r="I136" s="45" t="n">
        <x:f>IF(OR(G136="",H136=""),"",SUMPRODUCT(('Cronograma'!$F$8:$P$8&lt;=H136)*('Cronograma'!$F$9:$P$9&gt;=G136)))</x:f>
        <x:v>1</x:v>
      </x:c>
      <x:c r="J136" s="46"/>
      <x:c r="K136" s="46"/>
      <x:c r="L136" s="47"/>
      <x:c r="M136" s="48" t="str"/>
      <x:c r="N136" s="48" t="str"/>
      <x:c r="O136" s="49" t="n">
        <x:v>46279</x:v>
      </x:c>
      <x:c r="P136" s="43" t="str">
        <x:v>Reporte fechado y código asociado</x:v>
      </x:c>
      <x:c r="Q136" s="43" t="str">
        <x:v>ACC01</x:v>
      </x:c>
      <x:c r="R136" s="43" t="str"/>
      <x:c r="S136" s="43" t="str"/>
      <x:c r="T136" s="43" t="str">
        <x:v>S005, S029, S030, S031</x:v>
      </x:c>
      <x:c r="U136" s="43" t="str">
        <x:v>docs/account-completion.md
lib/features/profile/data/profile_media_repository.dart
supabase/functions/profile-media/index.ts
supabase/functions/profile-media/image.ts</x:v>
      </x:c>
    </x:row>
    <x:row r="137" ht="56" customHeight="1">
      <x:c r="A137" s="42" t="str">
        <x:v>ACC02.009</x:v>
      </x:c>
      <x:c r="B137" s="42" t="str">
        <x:v>Fotografías de perfil y almacenamiento privado</x:v>
      </x:c>
      <x:c r="C137" s="42" t="str">
        <x:v>ACC02</x:v>
      </x:c>
      <x:c r="D137" s="43" t="str">
        <x:v>Aplicar ajuste centrado de imagen</x:v>
      </x:c>
      <x:c r="E137" s="43" t="str">
        <x:v>Preparar salida sin introducir recorte manual.</x:v>
      </x:c>
      <x:c r="F137" s="43" t="str">
        <x:v>Completado</x:v>
      </x:c>
      <x:c r="G137" s="44" t="n">
        <x:v>46273</x:v>
      </x:c>
      <x:c r="H137" s="44" t="n">
        <x:v>46279</x:v>
      </x:c>
      <x:c r="I137" s="45" t="n">
        <x:f>IF(OR(G137="",H137=""),"",SUMPRODUCT(('Cronograma'!$F$8:$P$8&lt;=H137)*('Cronograma'!$F$9:$P$9&gt;=G137)))</x:f>
        <x:v>1</x:v>
      </x:c>
      <x:c r="J137" s="46"/>
      <x:c r="K137" s="46"/>
      <x:c r="L137" s="47"/>
      <x:c r="M137" s="48" t="str"/>
      <x:c r="N137" s="48" t="str"/>
      <x:c r="O137" s="49" t="n">
        <x:v>46279</x:v>
      </x:c>
      <x:c r="P137" s="43" t="str">
        <x:v>Reporte fechado y código asociado</x:v>
      </x:c>
      <x:c r="Q137" s="43" t="str">
        <x:v>ACC01</x:v>
      </x:c>
      <x:c r="R137" s="43" t="str"/>
      <x:c r="S137" s="43" t="str"/>
      <x:c r="T137" s="43" t="str">
        <x:v>S005, S029, S030, S031</x:v>
      </x:c>
      <x:c r="U137" s="43" t="str">
        <x:v>docs/account-completion.md
lib/features/profile/data/profile_media_repository.dart
supabase/functions/profile-media/index.ts
supabase/functions/profile-media/image.ts</x:v>
      </x:c>
    </x:row>
    <x:row r="138" ht="56" customHeight="1">
      <x:c r="A138" s="42" t="str">
        <x:v>ACC02.010</x:v>
      </x:c>
      <x:c r="B138" s="42" t="str">
        <x:v>Fotografías de perfil y almacenamiento privado</x:v>
      </x:c>
      <x:c r="C138" s="42" t="str">
        <x:v>ACC02</x:v>
      </x:c>
      <x:c r="D138" s="43" t="str">
        <x:v>Crear bucket privado profile-media</x:v>
      </x:c>
      <x:c r="E138" s="43" t="str">
        <x:v>Guardar recursos bajo propiedad de la cuenta.</x:v>
      </x:c>
      <x:c r="F138" s="43" t="str">
        <x:v>Completado</x:v>
      </x:c>
      <x:c r="G138" s="44" t="n">
        <x:v>46273</x:v>
      </x:c>
      <x:c r="H138" s="44" t="n">
        <x:v>46279</x:v>
      </x:c>
      <x:c r="I138" s="45" t="n">
        <x:f>IF(OR(G138="",H138=""),"",SUMPRODUCT(('Cronograma'!$F$8:$P$8&lt;=H138)*('Cronograma'!$F$9:$P$9&gt;=G138)))</x:f>
        <x:v>1</x:v>
      </x:c>
      <x:c r="J138" s="46"/>
      <x:c r="K138" s="46"/>
      <x:c r="L138" s="47"/>
      <x:c r="M138" s="48" t="str"/>
      <x:c r="N138" s="48" t="str"/>
      <x:c r="O138" s="49" t="n">
        <x:v>46279</x:v>
      </x:c>
      <x:c r="P138" s="43" t="str">
        <x:v>Reporte fechado y código asociado</x:v>
      </x:c>
      <x:c r="Q138" s="43" t="str">
        <x:v>ACC01</x:v>
      </x:c>
      <x:c r="R138" s="43" t="str"/>
      <x:c r="S138" s="43" t="str"/>
      <x:c r="T138" s="43" t="str">
        <x:v>S005, S029, S030, S031</x:v>
      </x:c>
      <x:c r="U138" s="43" t="str">
        <x:v>docs/account-completion.md
lib/features/profile/data/profile_media_repository.dart
supabase/functions/profile-media/index.ts
supabase/functions/profile-media/image.ts</x:v>
      </x:c>
    </x:row>
    <x:row r="139" ht="56" customHeight="1">
      <x:c r="A139" s="42" t="str">
        <x:v>ACC02.011</x:v>
      </x:c>
      <x:c r="B139" s="42" t="str">
        <x:v>Fotografías de perfil y almacenamiento privado</x:v>
      </x:c>
      <x:c r="C139" s="42" t="str">
        <x:v>ACC02</x:v>
      </x:c>
      <x:c r="D139" s="43" t="str">
        <x:v>Validar JWT en profile-media</x:v>
      </x:c>
      <x:c r="E139" s="43" t="str">
        <x:v>Verificar identidad antes de aceptar escritura.</x:v>
      </x:c>
      <x:c r="F139" s="43" t="str">
        <x:v>Completado</x:v>
      </x:c>
      <x:c r="G139" s="44" t="n">
        <x:v>46273</x:v>
      </x:c>
      <x:c r="H139" s="44" t="n">
        <x:v>46279</x:v>
      </x:c>
      <x:c r="I139" s="45" t="n">
        <x:f>IF(OR(G139="",H139=""),"",SUMPRODUCT(('Cronograma'!$F$8:$P$8&lt;=H139)*('Cronograma'!$F$9:$P$9&gt;=G139)))</x:f>
        <x:v>1</x:v>
      </x:c>
      <x:c r="J139" s="46"/>
      <x:c r="K139" s="46"/>
      <x:c r="L139" s="47"/>
      <x:c r="M139" s="48" t="str"/>
      <x:c r="N139" s="48" t="str"/>
      <x:c r="O139" s="49" t="n">
        <x:v>46279</x:v>
      </x:c>
      <x:c r="P139" s="43" t="str">
        <x:v>Reporte fechado y código asociado</x:v>
      </x:c>
      <x:c r="Q139" s="43" t="str">
        <x:v>ACC01</x:v>
      </x:c>
      <x:c r="R139" s="43" t="str"/>
      <x:c r="S139" s="43" t="str"/>
      <x:c r="T139" s="43" t="str">
        <x:v>S005, S029, S030, S031</x:v>
      </x:c>
      <x:c r="U139" s="43" t="str">
        <x:v>docs/account-completion.md
lib/features/profile/data/profile_media_repository.dart
supabase/functions/profile-media/index.ts
supabase/functions/profile-media/image.ts</x:v>
      </x:c>
    </x:row>
    <x:row r="140" ht="56" customHeight="1">
      <x:c r="A140" s="42" t="str">
        <x:v>ACC02.012</x:v>
      </x:c>
      <x:c r="B140" s="42" t="str">
        <x:v>Fotografías de perfil y almacenamiento privado</x:v>
      </x:c>
      <x:c r="C140" s="42" t="str">
        <x:v>ACC02</x:v>
      </x:c>
      <x:c r="D140" s="43" t="str">
        <x:v>Volver a decodificar imagen en Edge</x:v>
      </x:c>
      <x:c r="E140" s="43" t="str">
        <x:v>Normalizar PNG y validar tamaño y dimensiones.</x:v>
      </x:c>
      <x:c r="F140" s="43" t="str">
        <x:v>Completado</x:v>
      </x:c>
      <x:c r="G140" s="44" t="n">
        <x:v>46273</x:v>
      </x:c>
      <x:c r="H140" s="44" t="n">
        <x:v>46279</x:v>
      </x:c>
      <x:c r="I140" s="45" t="n">
        <x:f>IF(OR(G140="",H140=""),"",SUMPRODUCT(('Cronograma'!$F$8:$P$8&lt;=H140)*('Cronograma'!$F$9:$P$9&gt;=G140)))</x:f>
        <x:v>1</x:v>
      </x:c>
      <x:c r="J140" s="46"/>
      <x:c r="K140" s="46"/>
      <x:c r="L140" s="47"/>
      <x:c r="M140" s="48" t="str"/>
      <x:c r="N140" s="48" t="str"/>
      <x:c r="O140" s="49" t="n">
        <x:v>46279</x:v>
      </x:c>
      <x:c r="P140" s="43" t="str">
        <x:v>Reporte fechado y código asociado</x:v>
      </x:c>
      <x:c r="Q140" s="43" t="str">
        <x:v>ACC01</x:v>
      </x:c>
      <x:c r="R140" s="43" t="str"/>
      <x:c r="S140" s="43" t="str"/>
      <x:c r="T140" s="43" t="str">
        <x:v>S005, S029, S030, S031</x:v>
      </x:c>
      <x:c r="U140" s="43" t="str">
        <x:v>docs/account-completion.md
lib/features/profile/data/profile_media_repository.dart
supabase/functions/profile-media/index.ts
supabase/functions/profile-media/image.ts</x:v>
      </x:c>
    </x:row>
    <x:row r="141" ht="56" customHeight="1">
      <x:c r="A141" s="42" t="str">
        <x:v>ACC02.013</x:v>
      </x:c>
      <x:c r="B141" s="42" t="str">
        <x:v>Fotografías de perfil y almacenamiento privado</x:v>
      </x:c>
      <x:c r="C141" s="42" t="str">
        <x:v>ACC02</x:v>
      </x:c>
      <x:c r="D141" s="43" t="str">
        <x:v>Restringir escritura directa de medios</x:v>
      </x:c>
      <x:c r="E141" s="43" t="str">
        <x:v>Exigir función validada para upload y eliminación.</x:v>
      </x:c>
      <x:c r="F141" s="43" t="str">
        <x:v>Completado</x:v>
      </x:c>
      <x:c r="G141" s="44" t="n">
        <x:v>46273</x:v>
      </x:c>
      <x:c r="H141" s="44" t="n">
        <x:v>46279</x:v>
      </x:c>
      <x:c r="I141" s="45" t="n">
        <x:f>IF(OR(G141="",H141=""),"",SUMPRODUCT(('Cronograma'!$F$8:$P$8&lt;=H141)*('Cronograma'!$F$9:$P$9&gt;=G141)))</x:f>
        <x:v>1</x:v>
      </x:c>
      <x:c r="J141" s="46"/>
      <x:c r="K141" s="46"/>
      <x:c r="L141" s="47"/>
      <x:c r="M141" s="48" t="str"/>
      <x:c r="N141" s="48" t="str"/>
      <x:c r="O141" s="49" t="n">
        <x:v>46279</x:v>
      </x:c>
      <x:c r="P141" s="43" t="str">
        <x:v>Reporte fechado y código asociado</x:v>
      </x:c>
      <x:c r="Q141" s="43" t="str">
        <x:v>ACC01</x:v>
      </x:c>
      <x:c r="R141" s="43" t="str"/>
      <x:c r="S141" s="43" t="str"/>
      <x:c r="T141" s="43" t="str">
        <x:v>S005, S029, S030, S031</x:v>
      </x:c>
      <x:c r="U141" s="43" t="str">
        <x:v>docs/account-completion.md
lib/features/profile/data/profile_media_repository.dart
supabase/functions/profile-media/index.ts
supabase/functions/profile-media/image.ts</x:v>
      </x:c>
    </x:row>
    <x:row r="142" ht="56" customHeight="1">
      <x:c r="A142" s="42" t="str">
        <x:v>ACC02.014</x:v>
      </x:c>
      <x:c r="B142" s="42" t="str">
        <x:v>Fotografías de perfil y almacenamiento privado</x:v>
      </x:c>
      <x:c r="C142" s="42" t="str">
        <x:v>ACC02</x:v>
      </x:c>
      <x:c r="D142" s="43" t="str">
        <x:v>Generar URLs firmadas de presentación</x:v>
      </x:c>
      <x:c r="E142" s="43" t="str">
        <x:v>Entregar acceso temporal de diez minutos.</x:v>
      </x:c>
      <x:c r="F142" s="43" t="str">
        <x:v>Completado</x:v>
      </x:c>
      <x:c r="G142" s="44" t="n">
        <x:v>46273</x:v>
      </x:c>
      <x:c r="H142" s="44" t="n">
        <x:v>46279</x:v>
      </x:c>
      <x:c r="I142" s="45" t="n">
        <x:f>IF(OR(G142="",H142=""),"",SUMPRODUCT(('Cronograma'!$F$8:$P$8&lt;=H142)*('Cronograma'!$F$9:$P$9&gt;=G142)))</x:f>
        <x:v>1</x:v>
      </x:c>
      <x:c r="J142" s="46"/>
      <x:c r="K142" s="46"/>
      <x:c r="L142" s="47"/>
      <x:c r="M142" s="48" t="str"/>
      <x:c r="N142" s="48" t="str"/>
      <x:c r="O142" s="49" t="n">
        <x:v>46279</x:v>
      </x:c>
      <x:c r="P142" s="43" t="str">
        <x:v>Reporte fechado y código asociado</x:v>
      </x:c>
      <x:c r="Q142" s="43" t="str">
        <x:v>ACC01</x:v>
      </x:c>
      <x:c r="R142" s="43" t="str"/>
      <x:c r="S142" s="43" t="str"/>
      <x:c r="T142" s="43" t="str">
        <x:v>S005, S029, S030, S031</x:v>
      </x:c>
      <x:c r="U142" s="43" t="str">
        <x:v>docs/account-completion.md
lib/features/profile/data/profile_media_repository.dart
supabase/functions/profile-media/index.ts
supabase/functions/profile-media/image.ts</x:v>
      </x:c>
    </x:row>
    <x:row r="143" ht="56" customHeight="1">
      <x:c r="A143" s="42" t="str">
        <x:v>ACC02.015</x:v>
      </x:c>
      <x:c r="B143" s="42" t="str">
        <x:v>Fotografías de perfil y almacenamiento privado</x:v>
      </x:c>
      <x:c r="C143" s="42" t="str">
        <x:v>ACC02</x:v>
      </x:c>
      <x:c r="D143" s="43" t="str">
        <x:v>Conservar imagen anterior durante guardado</x:v>
      </x:c>
      <x:c r="E143" s="43" t="str">
        <x:v>Reemplazar referencia solo tras confirmar perfil.</x:v>
      </x:c>
      <x:c r="F143" s="43" t="str">
        <x:v>Completado</x:v>
      </x:c>
      <x:c r="G143" s="44" t="n">
        <x:v>46273</x:v>
      </x:c>
      <x:c r="H143" s="44" t="n">
        <x:v>46279</x:v>
      </x:c>
      <x:c r="I143" s="45" t="n">
        <x:f>IF(OR(G143="",H143=""),"",SUMPRODUCT(('Cronograma'!$F$8:$P$8&lt;=H143)*('Cronograma'!$F$9:$P$9&gt;=G143)))</x:f>
        <x:v>1</x:v>
      </x:c>
      <x:c r="J143" s="46"/>
      <x:c r="K143" s="46"/>
      <x:c r="L143" s="47"/>
      <x:c r="M143" s="48" t="str"/>
      <x:c r="N143" s="48" t="str"/>
      <x:c r="O143" s="49" t="n">
        <x:v>46279</x:v>
      </x:c>
      <x:c r="P143" s="43" t="str">
        <x:v>Reporte fechado y código asociado</x:v>
      </x:c>
      <x:c r="Q143" s="43" t="str">
        <x:v>ACC01</x:v>
      </x:c>
      <x:c r="R143" s="43" t="str"/>
      <x:c r="S143" s="43" t="str"/>
      <x:c r="T143" s="43" t="str">
        <x:v>S005, S029, S030, S031</x:v>
      </x:c>
      <x:c r="U143" s="43" t="str">
        <x:v>docs/account-completion.md
lib/features/profile/data/profile_media_repository.dart
supabase/functions/profile-media/index.ts
supabase/functions/profile-media/image.ts</x:v>
      </x:c>
    </x:row>
    <x:row r="144" ht="56" customHeight="1">
      <x:c r="A144" s="42" t="str">
        <x:v>ACC02.016</x:v>
      </x:c>
      <x:c r="B144" s="42" t="str">
        <x:v>Fotografías de perfil y almacenamiento privado</x:v>
      </x:c>
      <x:c r="C144" s="42" t="str">
        <x:v>ACC02</x:v>
      </x:c>
      <x:c r="D144" s="43" t="str">
        <x:v>Quitar avatar o portada</x:v>
      </x:c>
      <x:c r="E144" s="43" t="str">
        <x:v>Eliminar referencia de forma controlada.</x:v>
      </x:c>
      <x:c r="F144" s="43" t="str">
        <x:v>Completado</x:v>
      </x:c>
      <x:c r="G144" s="44" t="n">
        <x:v>46273</x:v>
      </x:c>
      <x:c r="H144" s="44" t="n">
        <x:v>46279</x:v>
      </x:c>
      <x:c r="I144" s="45" t="n">
        <x:f>IF(OR(G144="",H144=""),"",SUMPRODUCT(('Cronograma'!$F$8:$P$8&lt;=H144)*('Cronograma'!$F$9:$P$9&gt;=G144)))</x:f>
        <x:v>1</x:v>
      </x:c>
      <x:c r="J144" s="46"/>
      <x:c r="K144" s="46"/>
      <x:c r="L144" s="47"/>
      <x:c r="M144" s="48" t="str"/>
      <x:c r="N144" s="48" t="str"/>
      <x:c r="O144" s="49" t="n">
        <x:v>46279</x:v>
      </x:c>
      <x:c r="P144" s="43" t="str">
        <x:v>Reporte fechado y código asociado</x:v>
      </x:c>
      <x:c r="Q144" s="43" t="str">
        <x:v>ACC01</x:v>
      </x:c>
      <x:c r="R144" s="43" t="str"/>
      <x:c r="S144" s="43" t="str"/>
      <x:c r="T144" s="43" t="str">
        <x:v>S005, S029, S030, S031</x:v>
      </x:c>
      <x:c r="U144" s="43" t="str">
        <x:v>docs/account-completion.md
lib/features/profile/data/profile_media_repository.dart
supabase/functions/profile-media/index.ts
supabase/functions/profile-media/image.ts</x:v>
      </x:c>
    </x:row>
    <x:row r="145" ht="56" customHeight="1">
      <x:c r="A145" s="42" t="str">
        <x:v>ACC02.017</x:v>
      </x:c>
      <x:c r="B145" s="42" t="str">
        <x:v>Fotografías de perfil y almacenamiento privado</x:v>
      </x:c>
      <x:c r="C145" s="42" t="str">
        <x:v>ACC02</x:v>
      </x:c>
      <x:c r="D145" s="43" t="str">
        <x:v>Avisar sobre edición sin guardar</x:v>
      </x:c>
      <x:c r="E145" s="43" t="str">
        <x:v>Ofrecer continuar o descartar cambios.</x:v>
      </x:c>
      <x:c r="F145" s="43" t="str">
        <x:v>Completado</x:v>
      </x:c>
      <x:c r="G145" s="44" t="n">
        <x:v>46273</x:v>
      </x:c>
      <x:c r="H145" s="44" t="n">
        <x:v>46279</x:v>
      </x:c>
      <x:c r="I145" s="45" t="n">
        <x:f>IF(OR(G145="",H145=""),"",SUMPRODUCT(('Cronograma'!$F$8:$P$8&lt;=H145)*('Cronograma'!$F$9:$P$9&gt;=G145)))</x:f>
        <x:v>1</x:v>
      </x:c>
      <x:c r="J145" s="46"/>
      <x:c r="K145" s="46"/>
      <x:c r="L145" s="47"/>
      <x:c r="M145" s="48" t="str"/>
      <x:c r="N145" s="48" t="str"/>
      <x:c r="O145" s="49" t="n">
        <x:v>46279</x:v>
      </x:c>
      <x:c r="P145" s="43" t="str">
        <x:v>Reporte fechado y código asociado</x:v>
      </x:c>
      <x:c r="Q145" s="43" t="str">
        <x:v>ACC01</x:v>
      </x:c>
      <x:c r="R145" s="43" t="str"/>
      <x:c r="S145" s="43" t="str"/>
      <x:c r="T145" s="43" t="str">
        <x:v>S005, S029, S030, S031</x:v>
      </x:c>
      <x:c r="U145" s="43" t="str">
        <x:v>docs/account-completion.md
lib/features/profile/data/profile_media_repository.dart
supabase/functions/profile-media/index.ts
supabase/functions/profile-media/image.ts</x:v>
      </x:c>
    </x:row>
    <x:row r="146" ht="56" customHeight="1">
      <x:c r="A146" s="42" t="str">
        <x:v>ACC02.018</x:v>
      </x:c>
      <x:c r="B146" s="42" t="str">
        <x:v>Fotografías de perfil y almacenamiento privado</x:v>
      </x:c>
      <x:c r="C146" s="42" t="str">
        <x:v>ACC02</x:v>
      </x:c>
      <x:c r="D146" s="43" t="str">
        <x:v>Limpiar imágenes de edición abandonada</x:v>
      </x:c>
      <x:c r="E146" s="43" t="str">
        <x:v>Retirar archivos sin referencias tras el plazo definido.</x:v>
      </x:c>
      <x:c r="F146" s="43" t="str">
        <x:v>Completado</x:v>
      </x:c>
      <x:c r="G146" s="44" t="n">
        <x:v>46273</x:v>
      </x:c>
      <x:c r="H146" s="44" t="n">
        <x:v>46279</x:v>
      </x:c>
      <x:c r="I146" s="45" t="n">
        <x:f>IF(OR(G146="",H146=""),"",SUMPRODUCT(('Cronograma'!$F$8:$P$8&lt;=H146)*('Cronograma'!$F$9:$P$9&gt;=G146)))</x:f>
        <x:v>1</x:v>
      </x:c>
      <x:c r="J146" s="46"/>
      <x:c r="K146" s="46"/>
      <x:c r="L146" s="47"/>
      <x:c r="M146" s="48" t="str"/>
      <x:c r="N146" s="48" t="str"/>
      <x:c r="O146" s="49" t="n">
        <x:v>46279</x:v>
      </x:c>
      <x:c r="P146" s="43" t="str">
        <x:v>Reporte fechado y código asociado</x:v>
      </x:c>
      <x:c r="Q146" s="43" t="str">
        <x:v>ACC01</x:v>
      </x:c>
      <x:c r="R146" s="43" t="str"/>
      <x:c r="S146" s="43" t="str"/>
      <x:c r="T146" s="43" t="str">
        <x:v>S005, S029, S030, S031</x:v>
      </x:c>
      <x:c r="U146" s="43" t="str">
        <x:v>docs/account-completion.md
lib/features/profile/data/profile_media_repository.dart
supabase/functions/profile-media/index.ts
supabase/functions/profile-media/image.ts</x:v>
      </x:c>
    </x:row>
    <x:row r="147" ht="56" customHeight="1">
      <x:c r="A147" s="42" t="str">
        <x:v>ACC02.019</x:v>
      </x:c>
      <x:c r="B147" s="42" t="str">
        <x:v>Fotografías de perfil y almacenamiento privado</x:v>
      </x:c>
      <x:c r="C147" s="42" t="str">
        <x:v>ACC02</x:v>
      </x:c>
      <x:c r="D147" s="43" t="str">
        <x:v>Coordinar subidas con eliminación de cuenta</x:v>
      </x:c>
      <x:c r="E147" s="43" t="str">
        <x:v>Bloquear nuevas escrituras cuando comienza el borrado.</x:v>
      </x:c>
      <x:c r="F147" s="43" t="str">
        <x:v>Completado</x:v>
      </x:c>
      <x:c r="G147" s="44" t="n">
        <x:v>46273</x:v>
      </x:c>
      <x:c r="H147" s="44" t="n">
        <x:v>46279</x:v>
      </x:c>
      <x:c r="I147" s="45" t="n">
        <x:f>IF(OR(G147="",H147=""),"",SUMPRODUCT(('Cronograma'!$F$8:$P$8&lt;=H147)*('Cronograma'!$F$9:$P$9&gt;=G147)))</x:f>
        <x:v>1</x:v>
      </x:c>
      <x:c r="J147" s="46"/>
      <x:c r="K147" s="46"/>
      <x:c r="L147" s="47"/>
      <x:c r="M147" s="48" t="str"/>
      <x:c r="N147" s="48" t="str"/>
      <x:c r="O147" s="49" t="n">
        <x:v>46279</x:v>
      </x:c>
      <x:c r="P147" s="43" t="str">
        <x:v>Reporte fechado y código asociado</x:v>
      </x:c>
      <x:c r="Q147" s="43" t="str">
        <x:v>ACC01</x:v>
      </x:c>
      <x:c r="R147" s="43" t="str"/>
      <x:c r="S147" s="43" t="str"/>
      <x:c r="T147" s="43" t="str">
        <x:v>S005, S029, S030, S031</x:v>
      </x:c>
      <x:c r="U147" s="43" t="str">
        <x:v>docs/account-completion.md
lib/features/profile/data/profile_media_repository.dart
supabase/functions/profile-media/index.ts
supabase/functions/profile-media/image.ts</x:v>
      </x:c>
    </x:row>
    <x:row r="148" ht="56" customHeight="1">
      <x:c r="A148" s="42" t="str">
        <x:v>COM01.001</x:v>
      </x:c>
      <x:c r="B148" s="42" t="str">
        <x:v>Comunidad y publicaciones iniciales</x:v>
      </x:c>
      <x:c r="C148" s="42" t="str">
        <x:v>COM01</x:v>
      </x:c>
      <x:c r="D148" s="43" t="str">
        <x:v>Crear tablas de publicaciones</x:v>
      </x:c>
      <x:c r="E148" s="43" t="str">
        <x:v>Persistir autor, tipo, categoría y contenido.</x:v>
      </x:c>
      <x:c r="F148" s="43" t="str">
        <x:v>Completado</x:v>
      </x:c>
      <x:c r="G148" s="44" t="n">
        <x:v>46280</x:v>
      </x:c>
      <x:c r="H148" s="44" t="n">
        <x:v>46286</x:v>
      </x:c>
      <x:c r="I148" s="45" t="n">
        <x:f>IF(OR(G148="",H148=""),"",SUMPRODUCT(('Cronograma'!$F$8:$P$8&lt;=H148)*('Cronograma'!$F$9:$P$9&gt;=G148)))</x:f>
        <x:v>1</x:v>
      </x:c>
      <x:c r="J148" s="46"/>
      <x:c r="K148" s="46"/>
      <x:c r="L148" s="47"/>
      <x:c r="M148" s="48" t="str"/>
      <x:c r="N148" s="48" t="str"/>
      <x:c r="O148" s="49" t="n">
        <x:v>46281</x:v>
      </x:c>
      <x:c r="P148" s="43" t="str">
        <x:v>Reporte fechado y código asociado</x:v>
      </x:c>
      <x:c r="Q148" s="43" t="str">
        <x:v>ACC01, ACC02</x:v>
      </x:c>
      <x:c r="R148" s="43" t="str"/>
      <x:c r="S148" s="43" t="str"/>
      <x:c r="T148" s="43" t="str">
        <x:v>S032, S026, S033, S034</x:v>
      </x:c>
      <x:c r="U148" s="43" t="str">
        <x:v>docs/community.md
docs/deployment-status.md
supabase/migrations/003_community.sql
lib/features/community/data/community_repository.dart</x:v>
      </x:c>
    </x:row>
    <x:row r="149" ht="56" customHeight="1">
      <x:c r="A149" s="42" t="str">
        <x:v>COM01.002</x:v>
      </x:c>
      <x:c r="B149" s="42" t="str">
        <x:v>Comunidad y publicaciones iniciales</x:v>
      </x:c>
      <x:c r="C149" s="42" t="str">
        <x:v>COM01</x:v>
      </x:c>
      <x:c r="D149" s="43" t="str">
        <x:v>Crear catálogo de categorías</x:v>
      </x:c>
      <x:c r="E149" s="43" t="str">
        <x:v>Compartir opciones entre búsqueda y formularios.</x:v>
      </x:c>
      <x:c r="F149" s="43" t="str">
        <x:v>Completado</x:v>
      </x:c>
      <x:c r="G149" s="44" t="n">
        <x:v>46280</x:v>
      </x:c>
      <x:c r="H149" s="44" t="n">
        <x:v>46286</x:v>
      </x:c>
      <x:c r="I149" s="45" t="n">
        <x:f>IF(OR(G149="",H149=""),"",SUMPRODUCT(('Cronograma'!$F$8:$P$8&lt;=H149)*('Cronograma'!$F$9:$P$9&gt;=G149)))</x:f>
        <x:v>1</x:v>
      </x:c>
      <x:c r="J149" s="46"/>
      <x:c r="K149" s="46"/>
      <x:c r="L149" s="47"/>
      <x:c r="M149" s="48" t="str"/>
      <x:c r="N149" s="48" t="str"/>
      <x:c r="O149" s="49" t="n">
        <x:v>46281</x:v>
      </x:c>
      <x:c r="P149" s="43" t="str">
        <x:v>Reporte fechado y código asociado</x:v>
      </x:c>
      <x:c r="Q149" s="43" t="str">
        <x:v>ACC01, ACC02</x:v>
      </x:c>
      <x:c r="R149" s="43" t="str"/>
      <x:c r="S149" s="43" t="str"/>
      <x:c r="T149" s="43" t="str">
        <x:v>S032, S026, S033, S034</x:v>
      </x:c>
      <x:c r="U149" s="43" t="str">
        <x:v>docs/community.md
docs/deployment-status.md
supabase/migrations/003_community.sql
lib/features/community/data/community_repository.dart</x:v>
      </x:c>
    </x:row>
    <x:row r="150" ht="56" customHeight="1">
      <x:c r="A150" s="42" t="str">
        <x:v>COM01.003</x:v>
      </x:c>
      <x:c r="B150" s="42" t="str">
        <x:v>Comunidad y publicaciones iniciales</x:v>
      </x:c>
      <x:c r="C150" s="42" t="str">
        <x:v>COM01</x:v>
      </x:c>
      <x:c r="D150" s="43" t="str">
        <x:v>Definir tipos de publicaciones por perfil</x:v>
      </x:c>
      <x:c r="E150" s="43" t="str">
        <x:v>Limitar nuevas opciones según capacidades.</x:v>
      </x:c>
      <x:c r="F150" s="43" t="str">
        <x:v>Completado</x:v>
      </x:c>
      <x:c r="G150" s="44" t="n">
        <x:v>46280</x:v>
      </x:c>
      <x:c r="H150" s="44" t="n">
        <x:v>46286</x:v>
      </x:c>
      <x:c r="I150" s="45" t="n">
        <x:f>IF(OR(G150="",H150=""),"",SUMPRODUCT(('Cronograma'!$F$8:$P$8&lt;=H150)*('Cronograma'!$F$9:$P$9&gt;=G150)))</x:f>
        <x:v>1</x:v>
      </x:c>
      <x:c r="J150" s="46"/>
      <x:c r="K150" s="46"/>
      <x:c r="L150" s="47"/>
      <x:c r="M150" s="48" t="str"/>
      <x:c r="N150" s="48" t="str"/>
      <x:c r="O150" s="49" t="n">
        <x:v>46281</x:v>
      </x:c>
      <x:c r="P150" s="43" t="str">
        <x:v>Reporte fechado y código asociado</x:v>
      </x:c>
      <x:c r="Q150" s="43" t="str">
        <x:v>ACC01, ACC02</x:v>
      </x:c>
      <x:c r="R150" s="43" t="str"/>
      <x:c r="S150" s="43" t="str"/>
      <x:c r="T150" s="43" t="str">
        <x:v>S032, S026, S033, S034</x:v>
      </x:c>
      <x:c r="U150" s="43" t="str">
        <x:v>docs/community.md
docs/deployment-status.md
supabase/migrations/003_community.sql
lib/features/community/data/community_repository.dart</x:v>
      </x:c>
    </x:row>
    <x:row r="151" ht="56" customHeight="1">
      <x:c r="A151" s="42" t="str">
        <x:v>COM01.004</x:v>
      </x:c>
      <x:c r="B151" s="42" t="str">
        <x:v>Comunidad y publicaciones iniciales</x:v>
      </x:c>
      <x:c r="C151" s="42" t="str">
        <x:v>COM01</x:v>
      </x:c>
      <x:c r="D151" s="43" t="str">
        <x:v>Crear modelo de publicación</x:v>
      </x:c>
      <x:c r="E151" s="43" t="str">
        <x:v>Representar datos persistidos del feed.</x:v>
      </x:c>
      <x:c r="F151" s="43" t="str">
        <x:v>Completado</x:v>
      </x:c>
      <x:c r="G151" s="44" t="n">
        <x:v>46280</x:v>
      </x:c>
      <x:c r="H151" s="44" t="n">
        <x:v>46286</x:v>
      </x:c>
      <x:c r="I151" s="45" t="n">
        <x:f>IF(OR(G151="",H151=""),"",SUMPRODUCT(('Cronograma'!$F$8:$P$8&lt;=H151)*('Cronograma'!$F$9:$P$9&gt;=G151)))</x:f>
        <x:v>1</x:v>
      </x:c>
      <x:c r="J151" s="46"/>
      <x:c r="K151" s="46"/>
      <x:c r="L151" s="47"/>
      <x:c r="M151" s="48" t="str"/>
      <x:c r="N151" s="48" t="str"/>
      <x:c r="O151" s="49" t="n">
        <x:v>46281</x:v>
      </x:c>
      <x:c r="P151" s="43" t="str">
        <x:v>Reporte fechado y código asociado</x:v>
      </x:c>
      <x:c r="Q151" s="43" t="str">
        <x:v>ACC01, ACC02</x:v>
      </x:c>
      <x:c r="R151" s="43" t="str"/>
      <x:c r="S151" s="43" t="str"/>
      <x:c r="T151" s="43" t="str">
        <x:v>S032, S026, S033, S034</x:v>
      </x:c>
      <x:c r="U151" s="43" t="str">
        <x:v>docs/community.md
docs/deployment-status.md
supabase/migrations/003_community.sql
lib/features/community/data/community_repository.dart</x:v>
      </x:c>
    </x:row>
    <x:row r="152" ht="56" customHeight="1">
      <x:c r="A152" s="42" t="str">
        <x:v>COM01.005</x:v>
      </x:c>
      <x:c r="B152" s="42" t="str">
        <x:v>Comunidad y publicaciones iniciales</x:v>
      </x:c>
      <x:c r="C152" s="42" t="str">
        <x:v>COM01</x:v>
      </x:c>
      <x:c r="D152" s="43" t="str">
        <x:v>Crear repositorio de comunidad</x:v>
      </x:c>
      <x:c r="E152" s="43" t="str">
        <x:v>Conectar lectura y operaciones de contenido con Supabase.</x:v>
      </x:c>
      <x:c r="F152" s="43" t="str">
        <x:v>Completado</x:v>
      </x:c>
      <x:c r="G152" s="44" t="n">
        <x:v>46280</x:v>
      </x:c>
      <x:c r="H152" s="44" t="n">
        <x:v>46286</x:v>
      </x:c>
      <x:c r="I152" s="45" t="n">
        <x:f>IF(OR(G152="",H152=""),"",SUMPRODUCT(('Cronograma'!$F$8:$P$8&lt;=H152)*('Cronograma'!$F$9:$P$9&gt;=G152)))</x:f>
        <x:v>1</x:v>
      </x:c>
      <x:c r="J152" s="46"/>
      <x:c r="K152" s="46"/>
      <x:c r="L152" s="47"/>
      <x:c r="M152" s="48" t="str"/>
      <x:c r="N152" s="48" t="str"/>
      <x:c r="O152" s="49" t="n">
        <x:v>46281</x:v>
      </x:c>
      <x:c r="P152" s="43" t="str">
        <x:v>Reporte fechado y código asociado</x:v>
      </x:c>
      <x:c r="Q152" s="43" t="str">
        <x:v>ACC01, ACC02</x:v>
      </x:c>
      <x:c r="R152" s="43" t="str"/>
      <x:c r="S152" s="43" t="str"/>
      <x:c r="T152" s="43" t="str">
        <x:v>S032, S026, S033, S034</x:v>
      </x:c>
      <x:c r="U152" s="43" t="str">
        <x:v>docs/community.md
docs/deployment-status.md
supabase/migrations/003_community.sql
lib/features/community/data/community_repository.dart</x:v>
      </x:c>
    </x:row>
    <x:row r="153" ht="56" customHeight="1">
      <x:c r="A153" s="42" t="str">
        <x:v>COM01.006</x:v>
      </x:c>
      <x:c r="B153" s="42" t="str">
        <x:v>Comunidad y publicaciones iniciales</x:v>
      </x:c>
      <x:c r="C153" s="42" t="str">
        <x:v>COM01</x:v>
      </x:c>
      <x:c r="D153" s="43" t="str">
        <x:v>Crear feed de Inicio</x:v>
      </x:c>
      <x:c r="E153" s="43" t="str">
        <x:v>Mostrar publicaciones reales de la comunidad.</x:v>
      </x:c>
      <x:c r="F153" s="43" t="str">
        <x:v>Completado</x:v>
      </x:c>
      <x:c r="G153" s="44" t="n">
        <x:v>46280</x:v>
      </x:c>
      <x:c r="H153" s="44" t="n">
        <x:v>46286</x:v>
      </x:c>
      <x:c r="I153" s="45" t="n">
        <x:f>IF(OR(G153="",H153=""),"",SUMPRODUCT(('Cronograma'!$F$8:$P$8&lt;=H153)*('Cronograma'!$F$9:$P$9&gt;=G153)))</x:f>
        <x:v>1</x:v>
      </x:c>
      <x:c r="J153" s="46"/>
      <x:c r="K153" s="46"/>
      <x:c r="L153" s="47"/>
      <x:c r="M153" s="48" t="str"/>
      <x:c r="N153" s="48" t="str"/>
      <x:c r="O153" s="49" t="n">
        <x:v>46281</x:v>
      </x:c>
      <x:c r="P153" s="43" t="str">
        <x:v>Reporte fechado y código asociado</x:v>
      </x:c>
      <x:c r="Q153" s="43" t="str">
        <x:v>ACC01, ACC02</x:v>
      </x:c>
      <x:c r="R153" s="43" t="str"/>
      <x:c r="S153" s="43" t="str"/>
      <x:c r="T153" s="43" t="str">
        <x:v>S032, S026, S033, S034</x:v>
      </x:c>
      <x:c r="U153" s="43" t="str">
        <x:v>docs/community.md
docs/deployment-status.md
supabase/migrations/003_community.sql
lib/features/community/data/community_repository.dart</x:v>
      </x:c>
    </x:row>
    <x:row r="154" ht="56" customHeight="1">
      <x:c r="A154" s="42" t="str">
        <x:v>COM01.007</x:v>
      </x:c>
      <x:c r="B154" s="42" t="str">
        <x:v>Comunidad y publicaciones iniciales</x:v>
      </x:c>
      <x:c r="C154" s="42" t="str">
        <x:v>COM01</x:v>
      </x:c>
      <x:c r="D154" s="43" t="str">
        <x:v>Crear pantalla Explorar</x:v>
      </x:c>
      <x:c r="E154" s="43" t="str">
        <x:v>Reunir búsqueda y filtrado de publicaciones.</x:v>
      </x:c>
      <x:c r="F154" s="43" t="str">
        <x:v>Completado</x:v>
      </x:c>
      <x:c r="G154" s="44" t="n">
        <x:v>46280</x:v>
      </x:c>
      <x:c r="H154" s="44" t="n">
        <x:v>46286</x:v>
      </x:c>
      <x:c r="I154" s="45" t="n">
        <x:f>IF(OR(G154="",H154=""),"",SUMPRODUCT(('Cronograma'!$F$8:$P$8&lt;=H154)*('Cronograma'!$F$9:$P$9&gt;=G154)))</x:f>
        <x:v>1</x:v>
      </x:c>
      <x:c r="J154" s="46"/>
      <x:c r="K154" s="46"/>
      <x:c r="L154" s="47"/>
      <x:c r="M154" s="48" t="str"/>
      <x:c r="N154" s="48" t="str"/>
      <x:c r="O154" s="49" t="n">
        <x:v>46281</x:v>
      </x:c>
      <x:c r="P154" s="43" t="str">
        <x:v>Reporte fechado y código asociado</x:v>
      </x:c>
      <x:c r="Q154" s="43" t="str">
        <x:v>ACC01, ACC02</x:v>
      </x:c>
      <x:c r="R154" s="43" t="str"/>
      <x:c r="S154" s="43" t="str"/>
      <x:c r="T154" s="43" t="str">
        <x:v>S032, S026, S033, S034</x:v>
      </x:c>
      <x:c r="U154" s="43" t="str">
        <x:v>docs/community.md
docs/deployment-status.md
supabase/migrations/003_community.sql
lib/features/community/data/community_repository.dart</x:v>
      </x:c>
    </x:row>
    <x:row r="155" ht="56" customHeight="1">
      <x:c r="A155" s="42" t="str">
        <x:v>COM01.008</x:v>
      </x:c>
      <x:c r="B155" s="42" t="str">
        <x:v>Comunidad y publicaciones iniciales</x:v>
      </x:c>
      <x:c r="C155" s="42" t="str">
        <x:v>COM01</x:v>
      </x:c>
      <x:c r="D155" s="43" t="str">
        <x:v>Buscar publicaciones en servidor</x:v>
      </x:c>
      <x:c r="E155" s="43" t="str">
        <x:v>Consultar texto sin simular resultados.</x:v>
      </x:c>
      <x:c r="F155" s="43" t="str">
        <x:v>Completado</x:v>
      </x:c>
      <x:c r="G155" s="44" t="n">
        <x:v>46280</x:v>
      </x:c>
      <x:c r="H155" s="44" t="n">
        <x:v>46286</x:v>
      </x:c>
      <x:c r="I155" s="45" t="n">
        <x:f>IF(OR(G155="",H155=""),"",SUMPRODUCT(('Cronograma'!$F$8:$P$8&lt;=H155)*('Cronograma'!$F$9:$P$9&gt;=G155)))</x:f>
        <x:v>1</x:v>
      </x:c>
      <x:c r="J155" s="46"/>
      <x:c r="K155" s="46"/>
      <x:c r="L155" s="47"/>
      <x:c r="M155" s="48" t="str"/>
      <x:c r="N155" s="48" t="str"/>
      <x:c r="O155" s="49" t="n">
        <x:v>46281</x:v>
      </x:c>
      <x:c r="P155" s="43" t="str">
        <x:v>Reporte fechado y código asociado</x:v>
      </x:c>
      <x:c r="Q155" s="43" t="str">
        <x:v>ACC01, ACC02</x:v>
      </x:c>
      <x:c r="R155" s="43" t="str"/>
      <x:c r="S155" s="43" t="str"/>
      <x:c r="T155" s="43" t="str">
        <x:v>S032, S026, S033, S034</x:v>
      </x:c>
      <x:c r="U155" s="43" t="str">
        <x:v>docs/community.md
docs/deployment-status.md
supabase/migrations/003_community.sql
lib/features/community/data/community_repository.dart</x:v>
      </x:c>
    </x:row>
    <x:row r="156" ht="56" customHeight="1">
      <x:c r="A156" s="42" t="str">
        <x:v>COM01.009</x:v>
      </x:c>
      <x:c r="B156" s="42" t="str">
        <x:v>Comunidad y publicaciones iniciales</x:v>
      </x:c>
      <x:c r="C156" s="42" t="str">
        <x:v>COM01</x:v>
      </x:c>
      <x:c r="D156" s="43" t="str">
        <x:v>Filtrar publicaciones por categoría</x:v>
      </x:c>
      <x:c r="E156" s="43" t="str">
        <x:v>Aplicar categoría seleccionada a la consulta.</x:v>
      </x:c>
      <x:c r="F156" s="43" t="str">
        <x:v>Completado</x:v>
      </x:c>
      <x:c r="G156" s="44" t="n">
        <x:v>46280</x:v>
      </x:c>
      <x:c r="H156" s="44" t="n">
        <x:v>46286</x:v>
      </x:c>
      <x:c r="I156" s="45" t="n">
        <x:f>IF(OR(G156="",H156=""),"",SUMPRODUCT(('Cronograma'!$F$8:$P$8&lt;=H156)*('Cronograma'!$F$9:$P$9&gt;=G156)))</x:f>
        <x:v>1</x:v>
      </x:c>
      <x:c r="J156" s="46"/>
      <x:c r="K156" s="46"/>
      <x:c r="L156" s="47"/>
      <x:c r="M156" s="48" t="str"/>
      <x:c r="N156" s="48" t="str"/>
      <x:c r="O156" s="49" t="n">
        <x:v>46281</x:v>
      </x:c>
      <x:c r="P156" s="43" t="str">
        <x:v>Reporte fechado y código asociado</x:v>
      </x:c>
      <x:c r="Q156" s="43" t="str">
        <x:v>ACC01, ACC02</x:v>
      </x:c>
      <x:c r="R156" s="43" t="str"/>
      <x:c r="S156" s="43" t="str"/>
      <x:c r="T156" s="43" t="str">
        <x:v>S032, S026, S033, S034</x:v>
      </x:c>
      <x:c r="U156" s="43" t="str">
        <x:v>docs/community.md
docs/deployment-status.md
supabase/migrations/003_community.sql
lib/features/community/data/community_repository.dart</x:v>
      </x:c>
    </x:row>
    <x:row r="157" ht="56" customHeight="1">
      <x:c r="A157" s="42" t="str">
        <x:v>COM01.010</x:v>
      </x:c>
      <x:c r="B157" s="42" t="str">
        <x:v>Comunidad y publicaciones iniciales</x:v>
      </x:c>
      <x:c r="C157" s="42" t="str">
        <x:v>COM01</x:v>
      </x:c>
      <x:c r="D157" s="43" t="str">
        <x:v>Crear formulario de publicación</x:v>
      </x:c>
      <x:c r="E157" s="43" t="str">
        <x:v>Capturar título, descripción y categoría.</x:v>
      </x:c>
      <x:c r="F157" s="43" t="str">
        <x:v>Completado</x:v>
      </x:c>
      <x:c r="G157" s="44" t="n">
        <x:v>46280</x:v>
      </x:c>
      <x:c r="H157" s="44" t="n">
        <x:v>46286</x:v>
      </x:c>
      <x:c r="I157" s="45" t="n">
        <x:f>IF(OR(G157="",H157=""),"",SUMPRODUCT(('Cronograma'!$F$8:$P$8&lt;=H157)*('Cronograma'!$F$9:$P$9&gt;=G157)))</x:f>
        <x:v>1</x:v>
      </x:c>
      <x:c r="J157" s="46"/>
      <x:c r="K157" s="46"/>
      <x:c r="L157" s="47"/>
      <x:c r="M157" s="48" t="str"/>
      <x:c r="N157" s="48" t="str"/>
      <x:c r="O157" s="49" t="n">
        <x:v>46281</x:v>
      </x:c>
      <x:c r="P157" s="43" t="str">
        <x:v>Reporte fechado y código asociado</x:v>
      </x:c>
      <x:c r="Q157" s="43" t="str">
        <x:v>ACC01, ACC02</x:v>
      </x:c>
      <x:c r="R157" s="43" t="str"/>
      <x:c r="S157" s="43" t="str"/>
      <x:c r="T157" s="43" t="str">
        <x:v>S032, S026, S033, S034</x:v>
      </x:c>
      <x:c r="U157" s="43" t="str">
        <x:v>docs/community.md
docs/deployment-status.md
supabase/migrations/003_community.sql
lib/features/community/data/community_repository.dart</x:v>
      </x:c>
    </x:row>
    <x:row r="158" ht="56" customHeight="1">
      <x:c r="A158" s="42" t="str">
        <x:v>COM01.011</x:v>
      </x:c>
      <x:c r="B158" s="42" t="str">
        <x:v>Comunidad y publicaciones iniciales</x:v>
      </x:c>
      <x:c r="C158" s="42" t="str">
        <x:v>COM01</x:v>
      </x:c>
      <x:c r="D158" s="43" t="str">
        <x:v>Añadir fotografía opcional al post</x:v>
      </x:c>
      <x:c r="E158" s="43" t="str">
        <x:v>Procesar imagen seleccionada desde galería.</x:v>
      </x:c>
      <x:c r="F158" s="43" t="str">
        <x:v>Completado</x:v>
      </x:c>
      <x:c r="G158" s="44" t="n">
        <x:v>46280</x:v>
      </x:c>
      <x:c r="H158" s="44" t="n">
        <x:v>46286</x:v>
      </x:c>
      <x:c r="I158" s="45" t="n">
        <x:f>IF(OR(G158="",H158=""),"",SUMPRODUCT(('Cronograma'!$F$8:$P$8&lt;=H158)*('Cronograma'!$F$9:$P$9&gt;=G158)))</x:f>
        <x:v>1</x:v>
      </x:c>
      <x:c r="J158" s="46"/>
      <x:c r="K158" s="46"/>
      <x:c r="L158" s="47"/>
      <x:c r="M158" s="48" t="str"/>
      <x:c r="N158" s="48" t="str"/>
      <x:c r="O158" s="49" t="n">
        <x:v>46281</x:v>
      </x:c>
      <x:c r="P158" s="43" t="str">
        <x:v>Reporte fechado y código asociado</x:v>
      </x:c>
      <x:c r="Q158" s="43" t="str">
        <x:v>ACC01, ACC02</x:v>
      </x:c>
      <x:c r="R158" s="43" t="str"/>
      <x:c r="S158" s="43" t="str"/>
      <x:c r="T158" s="43" t="str">
        <x:v>S032, S026, S033, S034</x:v>
      </x:c>
      <x:c r="U158" s="43" t="str">
        <x:v>docs/community.md
docs/deployment-status.md
supabase/migrations/003_community.sql
lib/features/community/data/community_repository.dart</x:v>
      </x:c>
    </x:row>
    <x:row r="159" ht="56" customHeight="1">
      <x:c r="A159" s="42" t="str">
        <x:v>COM01.012</x:v>
      </x:c>
      <x:c r="B159" s="42" t="str">
        <x:v>Comunidad y publicaciones iniciales</x:v>
      </x:c>
      <x:c r="C159" s="42" t="str">
        <x:v>COM01</x:v>
      </x:c>
      <x:c r="D159" s="43" t="str">
        <x:v>Crear almacenamiento privado post-images</x:v>
      </x:c>
      <x:c r="E159" s="43" t="str">
        <x:v>Vincular lectura de fotos a publicaciones visibles.</x:v>
      </x:c>
      <x:c r="F159" s="43" t="str">
        <x:v>Completado</x:v>
      </x:c>
      <x:c r="G159" s="44" t="n">
        <x:v>46280</x:v>
      </x:c>
      <x:c r="H159" s="44" t="n">
        <x:v>46286</x:v>
      </x:c>
      <x:c r="I159" s="45" t="n">
        <x:f>IF(OR(G159="",H159=""),"",SUMPRODUCT(('Cronograma'!$F$8:$P$8&lt;=H159)*('Cronograma'!$F$9:$P$9&gt;=G159)))</x:f>
        <x:v>1</x:v>
      </x:c>
      <x:c r="J159" s="46"/>
      <x:c r="K159" s="46"/>
      <x:c r="L159" s="47"/>
      <x:c r="M159" s="48" t="str"/>
      <x:c r="N159" s="48" t="str"/>
      <x:c r="O159" s="49" t="n">
        <x:v>46281</x:v>
      </x:c>
      <x:c r="P159" s="43" t="str">
        <x:v>Reporte fechado y código asociado</x:v>
      </x:c>
      <x:c r="Q159" s="43" t="str">
        <x:v>ACC01, ACC02</x:v>
      </x:c>
      <x:c r="R159" s="43" t="str"/>
      <x:c r="S159" s="43" t="str"/>
      <x:c r="T159" s="43" t="str">
        <x:v>S032, S026, S033, S034</x:v>
      </x:c>
      <x:c r="U159" s="43" t="str">
        <x:v>docs/community.md
docs/deployment-status.md
supabase/migrations/003_community.sql
lib/features/community/data/community_repository.dart</x:v>
      </x:c>
    </x:row>
    <x:row r="160" ht="56" customHeight="1">
      <x:c r="A160" s="42" t="str">
        <x:v>COM01.013</x:v>
      </x:c>
      <x:c r="B160" s="42" t="str">
        <x:v>Comunidad y publicaciones iniciales</x:v>
      </x:c>
      <x:c r="C160" s="42" t="str">
        <x:v>COM01</x:v>
      </x:c>
      <x:c r="D160" s="43" t="str">
        <x:v>Publicar contenido propio</x:v>
      </x:c>
      <x:c r="E160" s="43" t="str">
        <x:v>Guardar la publicación con identidad verificada.</x:v>
      </x:c>
      <x:c r="F160" s="43" t="str">
        <x:v>Completado</x:v>
      </x:c>
      <x:c r="G160" s="44" t="n">
        <x:v>46280</x:v>
      </x:c>
      <x:c r="H160" s="44" t="n">
        <x:v>46286</x:v>
      </x:c>
      <x:c r="I160" s="45" t="n">
        <x:f>IF(OR(G160="",H160=""),"",SUMPRODUCT(('Cronograma'!$F$8:$P$8&lt;=H160)*('Cronograma'!$F$9:$P$9&gt;=G160)))</x:f>
        <x:v>1</x:v>
      </x:c>
      <x:c r="J160" s="46"/>
      <x:c r="K160" s="46"/>
      <x:c r="L160" s="47"/>
      <x:c r="M160" s="48" t="str"/>
      <x:c r="N160" s="48" t="str"/>
      <x:c r="O160" s="49" t="n">
        <x:v>46281</x:v>
      </x:c>
      <x:c r="P160" s="43" t="str">
        <x:v>Reporte fechado y código asociado</x:v>
      </x:c>
      <x:c r="Q160" s="43" t="str">
        <x:v>ACC01, ACC02</x:v>
      </x:c>
      <x:c r="R160" s="43" t="str"/>
      <x:c r="S160" s="43" t="str"/>
      <x:c r="T160" s="43" t="str">
        <x:v>S032, S026, S033, S034</x:v>
      </x:c>
      <x:c r="U160" s="43" t="str">
        <x:v>docs/community.md
docs/deployment-status.md
supabase/migrations/003_community.sql
lib/features/community/data/community_repository.dart</x:v>
      </x:c>
    </x:row>
    <x:row r="161" ht="56" customHeight="1">
      <x:c r="A161" s="42" t="str">
        <x:v>COM01.014</x:v>
      </x:c>
      <x:c r="B161" s="42" t="str">
        <x:v>Comunidad y publicaciones iniciales</x:v>
      </x:c>
      <x:c r="C161" s="42" t="str">
        <x:v>COM01</x:v>
      </x:c>
      <x:c r="D161" s="43" t="str">
        <x:v>Editar publicaciones propias</x:v>
      </x:c>
      <x:c r="E161" s="43" t="str">
        <x:v>Conservar autorización del propietario.</x:v>
      </x:c>
      <x:c r="F161" s="43" t="str">
        <x:v>Completado</x:v>
      </x:c>
      <x:c r="G161" s="44" t="n">
        <x:v>46280</x:v>
      </x:c>
      <x:c r="H161" s="44" t="n">
        <x:v>46286</x:v>
      </x:c>
      <x:c r="I161" s="45" t="n">
        <x:f>IF(OR(G161="",H161=""),"",SUMPRODUCT(('Cronograma'!$F$8:$P$8&lt;=H161)*('Cronograma'!$F$9:$P$9&gt;=G161)))</x:f>
        <x:v>1</x:v>
      </x:c>
      <x:c r="J161" s="46"/>
      <x:c r="K161" s="46"/>
      <x:c r="L161" s="47"/>
      <x:c r="M161" s="48" t="str"/>
      <x:c r="N161" s="48" t="str"/>
      <x:c r="O161" s="49" t="n">
        <x:v>46281</x:v>
      </x:c>
      <x:c r="P161" s="43" t="str">
        <x:v>Reporte fechado y código asociado</x:v>
      </x:c>
      <x:c r="Q161" s="43" t="str">
        <x:v>ACC01, ACC02</x:v>
      </x:c>
      <x:c r="R161" s="43" t="str"/>
      <x:c r="S161" s="43" t="str"/>
      <x:c r="T161" s="43" t="str">
        <x:v>S032, S026, S033, S034</x:v>
      </x:c>
      <x:c r="U161" s="43" t="str">
        <x:v>docs/community.md
docs/deployment-status.md
supabase/migrations/003_community.sql
lib/features/community/data/community_repository.dart</x:v>
      </x:c>
    </x:row>
    <x:row r="162" ht="56" customHeight="1">
      <x:c r="A162" s="42" t="str">
        <x:v>COM01.015</x:v>
      </x:c>
      <x:c r="B162" s="42" t="str">
        <x:v>Comunidad y publicaciones iniciales</x:v>
      </x:c>
      <x:c r="C162" s="42" t="str">
        <x:v>COM01</x:v>
      </x:c>
      <x:c r="D162" s="43" t="str">
        <x:v>Eliminar publicación con confirmación</x:v>
      </x:c>
      <x:c r="E162" s="43" t="str">
        <x:v>Retirar contenido y relaciones asociadas.</x:v>
      </x:c>
      <x:c r="F162" s="43" t="str">
        <x:v>Completado</x:v>
      </x:c>
      <x:c r="G162" s="44" t="n">
        <x:v>46280</x:v>
      </x:c>
      <x:c r="H162" s="44" t="n">
        <x:v>46286</x:v>
      </x:c>
      <x:c r="I162" s="45" t="n">
        <x:f>IF(OR(G162="",H162=""),"",SUMPRODUCT(('Cronograma'!$F$8:$P$8&lt;=H162)*('Cronograma'!$F$9:$P$9&gt;=G162)))</x:f>
        <x:v>1</x:v>
      </x:c>
      <x:c r="J162" s="46"/>
      <x:c r="K162" s="46"/>
      <x:c r="L162" s="47"/>
      <x:c r="M162" s="48" t="str"/>
      <x:c r="N162" s="48" t="str"/>
      <x:c r="O162" s="49" t="n">
        <x:v>46281</x:v>
      </x:c>
      <x:c r="P162" s="43" t="str">
        <x:v>Reporte fechado y código asociado</x:v>
      </x:c>
      <x:c r="Q162" s="43" t="str">
        <x:v>ACC01, ACC02</x:v>
      </x:c>
      <x:c r="R162" s="43" t="str"/>
      <x:c r="S162" s="43" t="str"/>
      <x:c r="T162" s="43" t="str">
        <x:v>S032, S026, S033, S034</x:v>
      </x:c>
      <x:c r="U162" s="43" t="str">
        <x:v>docs/community.md
docs/deployment-status.md
supabase/migrations/003_community.sql
lib/features/community/data/community_repository.dart</x:v>
      </x:c>
    </x:row>
    <x:row r="163" ht="56" customHeight="1">
      <x:c r="A163" s="42" t="str">
        <x:v>COM01.016</x:v>
      </x:c>
      <x:c r="B163" s="42" t="str">
        <x:v>Comunidad y publicaciones iniciales</x:v>
      </x:c>
      <x:c r="C163" s="42" t="str">
        <x:v>COM01</x:v>
      </x:c>
      <x:c r="D163" s="43" t="str">
        <x:v>Crear guardados privados de posts</x:v>
      </x:c>
      <x:c r="E163" s="43" t="str">
        <x:v>Persistir relación por usuario.</x:v>
      </x:c>
      <x:c r="F163" s="43" t="str">
        <x:v>Completado</x:v>
      </x:c>
      <x:c r="G163" s="44" t="n">
        <x:v>46280</x:v>
      </x:c>
      <x:c r="H163" s="44" t="n">
        <x:v>46286</x:v>
      </x:c>
      <x:c r="I163" s="45" t="n">
        <x:f>IF(OR(G163="",H163=""),"",SUMPRODUCT(('Cronograma'!$F$8:$P$8&lt;=H163)*('Cronograma'!$F$9:$P$9&gt;=G163)))</x:f>
        <x:v>1</x:v>
      </x:c>
      <x:c r="J163" s="46"/>
      <x:c r="K163" s="46"/>
      <x:c r="L163" s="47"/>
      <x:c r="M163" s="48" t="str"/>
      <x:c r="N163" s="48" t="str"/>
      <x:c r="O163" s="49" t="n">
        <x:v>46281</x:v>
      </x:c>
      <x:c r="P163" s="43" t="str">
        <x:v>Reporte fechado y código asociado</x:v>
      </x:c>
      <x:c r="Q163" s="43" t="str">
        <x:v>ACC01, ACC02</x:v>
      </x:c>
      <x:c r="R163" s="43" t="str"/>
      <x:c r="S163" s="43" t="str"/>
      <x:c r="T163" s="43" t="str">
        <x:v>S032, S026, S033, S034</x:v>
      </x:c>
      <x:c r="U163" s="43" t="str">
        <x:v>docs/community.md
docs/deployment-status.md
supabase/migrations/003_community.sql
lib/features/community/data/community_repository.dart</x:v>
      </x:c>
    </x:row>
    <x:row r="164" ht="56" customHeight="1">
      <x:c r="A164" s="42" t="str">
        <x:v>COM01.017</x:v>
      </x:c>
      <x:c r="B164" s="42" t="str">
        <x:v>Comunidad y publicaciones iniciales</x:v>
      </x:c>
      <x:c r="C164" s="42" t="str">
        <x:v>COM01</x:v>
      </x:c>
      <x:c r="D164" s="43" t="str">
        <x:v>Guardar y quitar publicaciones</x:v>
      </x:c>
      <x:c r="E164" s="43" t="str">
        <x:v>Actualizar colección personal desde la interfaz.</x:v>
      </x:c>
      <x:c r="F164" s="43" t="str">
        <x:v>Completado</x:v>
      </x:c>
      <x:c r="G164" s="44" t="n">
        <x:v>46280</x:v>
      </x:c>
      <x:c r="H164" s="44" t="n">
        <x:v>46286</x:v>
      </x:c>
      <x:c r="I164" s="45" t="n">
        <x:f>IF(OR(G164="",H164=""),"",SUMPRODUCT(('Cronograma'!$F$8:$P$8&lt;=H164)*('Cronograma'!$F$9:$P$9&gt;=G164)))</x:f>
        <x:v>1</x:v>
      </x:c>
      <x:c r="J164" s="46"/>
      <x:c r="K164" s="46"/>
      <x:c r="L164" s="47"/>
      <x:c r="M164" s="48" t="str"/>
      <x:c r="N164" s="48" t="str"/>
      <x:c r="O164" s="49" t="n">
        <x:v>46281</x:v>
      </x:c>
      <x:c r="P164" s="43" t="str">
        <x:v>Reporte fechado y código asociado</x:v>
      </x:c>
      <x:c r="Q164" s="43" t="str">
        <x:v>ACC01, ACC02</x:v>
      </x:c>
      <x:c r="R164" s="43" t="str"/>
      <x:c r="S164" s="43" t="str"/>
      <x:c r="T164" s="43" t="str">
        <x:v>S032, S026, S033, S034</x:v>
      </x:c>
      <x:c r="U164" s="43" t="str">
        <x:v>docs/community.md
docs/deployment-status.md
supabase/migrations/003_community.sql
lib/features/community/data/community_repository.dart</x:v>
      </x:c>
    </x:row>
    <x:row r="165" ht="56" customHeight="1">
      <x:c r="A165" s="42" t="str">
        <x:v>COM01.018</x:v>
      </x:c>
      <x:c r="B165" s="42" t="str">
        <x:v>Comunidad y publicaciones iniciales</x:v>
      </x:c>
      <x:c r="C165" s="42" t="str">
        <x:v>COM01</x:v>
      </x:c>
      <x:c r="D165" s="43" t="str">
        <x:v>Crear directorio público autenticado</x:v>
      </x:c>
      <x:c r="E165" s="43" t="str">
        <x:v>Exponer presentación sin correo ni preferencias privadas.</x:v>
      </x:c>
      <x:c r="F165" s="43" t="str">
        <x:v>Completado</x:v>
      </x:c>
      <x:c r="G165" s="44" t="n">
        <x:v>46280</x:v>
      </x:c>
      <x:c r="H165" s="44" t="n">
        <x:v>46286</x:v>
      </x:c>
      <x:c r="I165" s="45" t="n">
        <x:f>IF(OR(G165="",H165=""),"",SUMPRODUCT(('Cronograma'!$F$8:$P$8&lt;=H165)*('Cronograma'!$F$9:$P$9&gt;=G165)))</x:f>
        <x:v>1</x:v>
      </x:c>
      <x:c r="J165" s="46"/>
      <x:c r="K165" s="46"/>
      <x:c r="L165" s="47"/>
      <x:c r="M165" s="48" t="str"/>
      <x:c r="N165" s="48" t="str"/>
      <x:c r="O165" s="49" t="n">
        <x:v>46281</x:v>
      </x:c>
      <x:c r="P165" s="43" t="str">
        <x:v>Reporte fechado y código asociado</x:v>
      </x:c>
      <x:c r="Q165" s="43" t="str">
        <x:v>ACC01, ACC02</x:v>
      </x:c>
      <x:c r="R165" s="43" t="str"/>
      <x:c r="S165" s="43" t="str"/>
      <x:c r="T165" s="43" t="str">
        <x:v>S032, S026, S033, S034</x:v>
      </x:c>
      <x:c r="U165" s="43" t="str">
        <x:v>docs/community.md
docs/deployment-status.md
supabase/migrations/003_community.sql
lib/features/community/data/community_repository.dart</x:v>
      </x:c>
    </x:row>
    <x:row r="166" ht="56" customHeight="1">
      <x:c r="A166" s="42" t="str">
        <x:v>COM01.019</x:v>
      </x:c>
      <x:c r="B166" s="42" t="str">
        <x:v>Comunidad y publicaciones iniciales</x:v>
      </x:c>
      <x:c r="C166" s="42" t="str">
        <x:v>COM01</x:v>
      </x:c>
      <x:c r="D166" s="43" t="str">
        <x:v>Abrir perfil de otra persona</x:v>
      </x:c>
      <x:c r="E166" s="43" t="str">
        <x:v>Consultar sus publicaciones y misiones visibles.</x:v>
      </x:c>
      <x:c r="F166" s="43" t="str">
        <x:v>Completado</x:v>
      </x:c>
      <x:c r="G166" s="44" t="n">
        <x:v>46280</x:v>
      </x:c>
      <x:c r="H166" s="44" t="n">
        <x:v>46286</x:v>
      </x:c>
      <x:c r="I166" s="45" t="n">
        <x:f>IF(OR(G166="",H166=""),"",SUMPRODUCT(('Cronograma'!$F$8:$P$8&lt;=H166)*('Cronograma'!$F$9:$P$9&gt;=G166)))</x:f>
        <x:v>1</x:v>
      </x:c>
      <x:c r="J166" s="46"/>
      <x:c r="K166" s="46"/>
      <x:c r="L166" s="47"/>
      <x:c r="M166" s="48" t="str"/>
      <x:c r="N166" s="48" t="str"/>
      <x:c r="O166" s="49" t="n">
        <x:v>46281</x:v>
      </x:c>
      <x:c r="P166" s="43" t="str">
        <x:v>Reporte fechado y código asociado</x:v>
      </x:c>
      <x:c r="Q166" s="43" t="str">
        <x:v>ACC01, ACC02</x:v>
      </x:c>
      <x:c r="R166" s="43" t="str"/>
      <x:c r="S166" s="43" t="str"/>
      <x:c r="T166" s="43" t="str">
        <x:v>S032, S026, S033, S034</x:v>
      </x:c>
      <x:c r="U166" s="43" t="str">
        <x:v>docs/community.md
docs/deployment-status.md
supabase/migrations/003_community.sql
lib/features/community/data/community_repository.dart</x:v>
      </x:c>
    </x:row>
    <x:row r="167" ht="56" customHeight="1">
      <x:c r="A167" s="42" t="str">
        <x:v>COM01.020</x:v>
      </x:c>
      <x:c r="B167" s="42" t="str">
        <x:v>Comunidad y publicaciones iniciales</x:v>
      </x:c>
      <x:c r="C167" s="42" t="str">
        <x:v>COM01</x:v>
      </x:c>
      <x:c r="D167" s="43" t="str">
        <x:v>Mantener edición de contenido histórico</x:v>
      </x:c>
      <x:c r="E167" s="43" t="str">
        <x:v>Permitir al dueño editar posts previos a cambios de capacidades.</x:v>
      </x:c>
      <x:c r="F167" s="43" t="str">
        <x:v>Completado</x:v>
      </x:c>
      <x:c r="G167" s="44" t="n">
        <x:v>46280</x:v>
      </x:c>
      <x:c r="H167" s="44" t="n">
        <x:v>46286</x:v>
      </x:c>
      <x:c r="I167" s="45" t="n">
        <x:f>IF(OR(G167="",H167=""),"",SUMPRODUCT(('Cronograma'!$F$8:$P$8&lt;=H167)*('Cronograma'!$F$9:$P$9&gt;=G167)))</x:f>
        <x:v>1</x:v>
      </x:c>
      <x:c r="J167" s="46"/>
      <x:c r="K167" s="46"/>
      <x:c r="L167" s="47"/>
      <x:c r="M167" s="48" t="str"/>
      <x:c r="N167" s="48" t="str"/>
      <x:c r="O167" s="49" t="n">
        <x:v>46281</x:v>
      </x:c>
      <x:c r="P167" s="43" t="str">
        <x:v>Reporte fechado y código asociado</x:v>
      </x:c>
      <x:c r="Q167" s="43" t="str">
        <x:v>ACC01, ACC02</x:v>
      </x:c>
      <x:c r="R167" s="43" t="str"/>
      <x:c r="S167" s="43" t="str"/>
      <x:c r="T167" s="43" t="str">
        <x:v>S032, S026, S033, S034</x:v>
      </x:c>
      <x:c r="U167" s="43" t="str">
        <x:v>docs/community.md
docs/deployment-status.md
supabase/migrations/003_community.sql
lib/features/community/data/community_repository.dart</x:v>
      </x:c>
    </x:row>
    <x:row r="168" ht="56" customHeight="1">
      <x:c r="A168" s="42" t="str">
        <x:v>QA01.001</x:v>
      </x:c>
      <x:c r="B168" s="42" t="str">
        <x:v>Verificaciones de cuenta y comunidad tempranas</x:v>
      </x:c>
      <x:c r="C168" s="42" t="str">
        <x:v>QA01</x:v>
      </x:c>
      <x:c r="D168" s="43" t="str">
        <x:v>Verificar migraciones 001 y 002 desplegadas</x:v>
      </x:c>
      <x:c r="E168" s="43" t="str">
        <x:v>Confirmar proyecto y contrato sin reaplicar versiones idénticas.</x:v>
      </x:c>
      <x:c r="F168" s="43" t="str">
        <x:v>Completado</x:v>
      </x:c>
      <x:c r="G168" s="44" t="n">
        <x:v>46280</x:v>
      </x:c>
      <x:c r="H168" s="44" t="n">
        <x:v>46286</x:v>
      </x:c>
      <x:c r="I168" s="45" t="n">
        <x:f>IF(OR(G168="",H168=""),"",SUMPRODUCT(('Cronograma'!$F$8:$P$8&lt;=H168)*('Cronograma'!$F$9:$P$9&gt;=G168)))</x:f>
        <x:v>1</x:v>
      </x:c>
      <x:c r="J168" s="46"/>
      <x:c r="K168" s="46"/>
      <x:c r="L168" s="47"/>
      <x:c r="M168" s="48" t="str"/>
      <x:c r="N168" s="48" t="str"/>
      <x:c r="O168" s="49" t="n">
        <x:v>46279</x:v>
      </x:c>
      <x:c r="P168" s="43" t="str">
        <x:v>Reporte fechado y código asociado</x:v>
      </x:c>
      <x:c r="Q168" s="43" t="str">
        <x:v>ACC01, ACC02, COM01</x:v>
      </x:c>
      <x:c r="R168" s="43" t="str"/>
      <x:c r="S168" s="43" t="str">
        <x:v>El reporte incluye hechos del 14 y 16; las fechas puntuales de cada ejecución no equivalen a duración real.</x:v>
      </x:c>
      <x:c r="T168" s="43" t="str">
        <x:v>S026, S035, S036, S037</x:v>
      </x:c>
      <x:c r="U168" s="43" t="str">
        <x:v>docs/deployment-status.md
test/features/profile/data/profile_image_picker_test.dart
tool/check_database.mjs
tool/check_community_database.mjs</x:v>
      </x:c>
    </x:row>
    <x:row r="169" ht="56" customHeight="1">
      <x:c r="A169" s="42" t="str">
        <x:v>QA01.002</x:v>
      </x:c>
      <x:c r="B169" s="42" t="str">
        <x:v>Verificaciones de cuenta y comunidad tempranas</x:v>
      </x:c>
      <x:c r="C169" s="42" t="str">
        <x:v>QA01</x:v>
      </x:c>
      <x:c r="D169" s="43" t="str">
        <x:v>Verificar funciones de medios y borrado</x:v>
      </x:c>
      <x:c r="E169" s="43" t="str">
        <x:v>Comparar código remoto y rechazo sin sesión.</x:v>
      </x:c>
      <x:c r="F169" s="43" t="str">
        <x:v>Completado</x:v>
      </x:c>
      <x:c r="G169" s="44" t="n">
        <x:v>46280</x:v>
      </x:c>
      <x:c r="H169" s="44" t="n">
        <x:v>46286</x:v>
      </x:c>
      <x:c r="I169" s="45" t="n">
        <x:f>IF(OR(G169="",H169=""),"",SUMPRODUCT(('Cronograma'!$F$8:$P$8&lt;=H169)*('Cronograma'!$F$9:$P$9&gt;=G169)))</x:f>
        <x:v>1</x:v>
      </x:c>
      <x:c r="J169" s="46"/>
      <x:c r="K169" s="46"/>
      <x:c r="L169" s="47"/>
      <x:c r="M169" s="48" t="str"/>
      <x:c r="N169" s="48" t="str"/>
      <x:c r="O169" s="49" t="n">
        <x:v>46279</x:v>
      </x:c>
      <x:c r="P169" s="43" t="str">
        <x:v>Reporte fechado y código asociado</x:v>
      </x:c>
      <x:c r="Q169" s="43" t="str">
        <x:v>ACC01, ACC02, COM01</x:v>
      </x:c>
      <x:c r="R169" s="43" t="str"/>
      <x:c r="S169" s="43" t="str">
        <x:v>El reporte incluye hechos del 14 y 16; las fechas puntuales de cada ejecución no equivalen a duración real.</x:v>
      </x:c>
      <x:c r="T169" s="43" t="str">
        <x:v>S026, S035, S036, S037</x:v>
      </x:c>
      <x:c r="U169" s="43" t="str">
        <x:v>docs/deployment-status.md
test/features/profile/data/profile_image_picker_test.dart
tool/check_database.mjs
tool/check_community_database.mjs</x:v>
      </x:c>
    </x:row>
    <x:row r="170" ht="56" customHeight="1">
      <x:c r="A170" s="42" t="str">
        <x:v>QA01.003</x:v>
      </x:c>
      <x:c r="B170" s="42" t="str">
        <x:v>Verificaciones de cuenta y comunidad tempranas</x:v>
      </x:c>
      <x:c r="C170" s="42" t="str">
        <x:v>QA01</x:v>
      </x:c>
      <x:c r="D170" s="43" t="str">
        <x:v>Probar almacenamiento administrativo temporal</x:v>
      </x:c>
      <x:c r="E170" s="43" t="str">
        <x:v>Comprobar subida, descarga idéntica y limpieza.</x:v>
      </x:c>
      <x:c r="F170" s="43" t="str">
        <x:v>Completado</x:v>
      </x:c>
      <x:c r="G170" s="44" t="n">
        <x:v>46280</x:v>
      </x:c>
      <x:c r="H170" s="44" t="n">
        <x:v>46286</x:v>
      </x:c>
      <x:c r="I170" s="45" t="n">
        <x:f>IF(OR(G170="",H170=""),"",SUMPRODUCT(('Cronograma'!$F$8:$P$8&lt;=H170)*('Cronograma'!$F$9:$P$9&gt;=G170)))</x:f>
        <x:v>1</x:v>
      </x:c>
      <x:c r="J170" s="46"/>
      <x:c r="K170" s="46"/>
      <x:c r="L170" s="47"/>
      <x:c r="M170" s="48" t="str"/>
      <x:c r="N170" s="48" t="str"/>
      <x:c r="O170" s="49" t="n">
        <x:v>46279</x:v>
      </x:c>
      <x:c r="P170" s="43" t="str">
        <x:v>Reporte fechado y código asociado</x:v>
      </x:c>
      <x:c r="Q170" s="43" t="str">
        <x:v>ACC01, ACC02, COM01</x:v>
      </x:c>
      <x:c r="R170" s="43" t="str"/>
      <x:c r="S170" s="43" t="str">
        <x:v>El reporte incluye hechos del 14 y 16; las fechas puntuales de cada ejecución no equivalen a duración real.</x:v>
      </x:c>
      <x:c r="T170" s="43" t="str">
        <x:v>S026, S035, S036, S037</x:v>
      </x:c>
      <x:c r="U170" s="43" t="str">
        <x:v>docs/deployment-status.md
test/features/profile/data/profile_image_picker_test.dart
tool/check_database.mjs
tool/check_community_database.mjs</x:v>
      </x:c>
    </x:row>
    <x:row r="171" ht="56" customHeight="1">
      <x:c r="A171" s="42" t="str">
        <x:v>QA01.004</x:v>
      </x:c>
      <x:c r="B171" s="42" t="str">
        <x:v>Verificaciones de cuenta y comunidad tempranas</x:v>
      </x:c>
      <x:c r="C171" s="42" t="str">
        <x:v>QA01</x:v>
      </x:c>
      <x:c r="D171" s="43" t="str">
        <x:v>Publicar documentos escolares y abrir registro</x:v>
      </x:c>
      <x:c r="E171" s="43" t="str">
        <x:v>Registrar política escolar-1.0 sin consentimientos inventados.</x:v>
      </x:c>
      <x:c r="F171" s="43" t="str">
        <x:v>Completado</x:v>
      </x:c>
      <x:c r="G171" s="44" t="n">
        <x:v>46280</x:v>
      </x:c>
      <x:c r="H171" s="44" t="n">
        <x:v>46286</x:v>
      </x:c>
      <x:c r="I171" s="45" t="n">
        <x:f>IF(OR(G171="",H171=""),"",SUMPRODUCT(('Cronograma'!$F$8:$P$8&lt;=H171)*('Cronograma'!$F$9:$P$9&gt;=G171)))</x:f>
        <x:v>1</x:v>
      </x:c>
      <x:c r="J171" s="46"/>
      <x:c r="K171" s="46"/>
      <x:c r="L171" s="47"/>
      <x:c r="M171" s="48" t="str"/>
      <x:c r="N171" s="48" t="str"/>
      <x:c r="O171" s="49"/>
      <x:c r="P171" s="43" t="str">
        <x:v>Archivo sin fecha individual explícita</x:v>
      </x:c>
      <x:c r="Q171" s="43" t="str">
        <x:v>ACC01, ACC02, COM01</x:v>
      </x:c>
      <x:c r="R171" s="43" t="str"/>
      <x:c r="S171" s="43" t="str">
        <x:v>Documento actualizado de despliegue; publicación escolar confirmada sin fecha individual explícita en ese apartado.</x:v>
      </x:c>
      <x:c r="T171" s="43" t="str">
        <x:v>S026, S035, S036, S037</x:v>
      </x:c>
      <x:c r="U171" s="43" t="str">
        <x:v>docs/deployment-status.md
test/features/profile/data/profile_image_picker_test.dart
tool/check_database.mjs
tool/check_community_database.mjs</x:v>
      </x:c>
    </x:row>
    <x:row r="172" ht="56" customHeight="1">
      <x:c r="A172" s="42" t="str">
        <x:v>QA01.005</x:v>
      </x:c>
      <x:c r="B172" s="42" t="str">
        <x:v>Verificaciones de cuenta y comunidad tempranas</x:v>
      </x:c>
      <x:c r="C172" s="42" t="str">
        <x:v>QA01</x:v>
      </x:c>
      <x:c r="D172" s="43" t="str">
        <x:v>Aplicar migración 003 de comunidad</x:v>
      </x:c>
      <x:c r="E172" s="43" t="str">
        <x:v>Extender el proyecto sin reset de tablas existentes.</x:v>
      </x:c>
      <x:c r="F172" s="43" t="str">
        <x:v>Completado</x:v>
      </x:c>
      <x:c r="G172" s="44" t="n">
        <x:v>46280</x:v>
      </x:c>
      <x:c r="H172" s="44" t="n">
        <x:v>46286</x:v>
      </x:c>
      <x:c r="I172" s="45" t="n">
        <x:f>IF(OR(G172="",H172=""),"",SUMPRODUCT(('Cronograma'!$F$8:$P$8&lt;=H172)*('Cronograma'!$F$9:$P$9&gt;=G172)))</x:f>
        <x:v>1</x:v>
      </x:c>
      <x:c r="J172" s="46"/>
      <x:c r="K172" s="46"/>
      <x:c r="L172" s="47"/>
      <x:c r="M172" s="48" t="str"/>
      <x:c r="N172" s="48" t="str"/>
      <x:c r="O172" s="49" t="n">
        <x:v>46281</x:v>
      </x:c>
      <x:c r="P172" s="43" t="str">
        <x:v>Reporte fechado y código asociado</x:v>
      </x:c>
      <x:c r="Q172" s="43" t="str">
        <x:v>ACC01, ACC02, COM01</x:v>
      </x:c>
      <x:c r="R172" s="43" t="str"/>
      <x:c r="S172" s="43" t="str">
        <x:v>El reporte incluye hechos del 14 y 16; las fechas puntuales de cada ejecución no equivalen a duración real.</x:v>
      </x:c>
      <x:c r="T172" s="43" t="str">
        <x:v>S026, S035, S036, S037</x:v>
      </x:c>
      <x:c r="U172" s="43" t="str">
        <x:v>docs/deployment-status.md
test/features/profile/data/profile_image_picker_test.dart
tool/check_database.mjs
tool/check_community_database.mjs</x:v>
      </x:c>
    </x:row>
    <x:row r="173" ht="56" customHeight="1">
      <x:c r="A173" s="42" t="str">
        <x:v>QA01.006</x:v>
      </x:c>
      <x:c r="B173" s="42" t="str">
        <x:v>Verificaciones de cuenta y comunidad tempranas</x:v>
      </x:c>
      <x:c r="C173" s="42" t="str">
        <x:v>QA01</x:v>
      </x:c>
      <x:c r="D173" s="43" t="str">
        <x:v>Desplegar limpieza de fotos de posts</x:v>
      </x:c>
      <x:c r="E173" s="43" t="str">
        <x:v>Actualizar delete-account conservando autenticación.</x:v>
      </x:c>
      <x:c r="F173" s="43" t="str">
        <x:v>Completado</x:v>
      </x:c>
      <x:c r="G173" s="44" t="n">
        <x:v>46280</x:v>
      </x:c>
      <x:c r="H173" s="44" t="n">
        <x:v>46286</x:v>
      </x:c>
      <x:c r="I173" s="45" t="n">
        <x:f>IF(OR(G173="",H173=""),"",SUMPRODUCT(('Cronograma'!$F$8:$P$8&lt;=H173)*('Cronograma'!$F$9:$P$9&gt;=G173)))</x:f>
        <x:v>1</x:v>
      </x:c>
      <x:c r="J173" s="46"/>
      <x:c r="K173" s="46"/>
      <x:c r="L173" s="47"/>
      <x:c r="M173" s="48" t="str"/>
      <x:c r="N173" s="48" t="str"/>
      <x:c r="O173" s="49" t="n">
        <x:v>46281</x:v>
      </x:c>
      <x:c r="P173" s="43" t="str">
        <x:v>Reporte fechado y código asociado</x:v>
      </x:c>
      <x:c r="Q173" s="43" t="str">
        <x:v>ACC01, ACC02, COM01</x:v>
      </x:c>
      <x:c r="R173" s="43" t="str"/>
      <x:c r="S173" s="43" t="str">
        <x:v>El reporte incluye hechos del 14 y 16; las fechas puntuales de cada ejecución no equivalen a duración real.</x:v>
      </x:c>
      <x:c r="T173" s="43" t="str">
        <x:v>S026, S035, S036, S037</x:v>
      </x:c>
      <x:c r="U173" s="43" t="str">
        <x:v>docs/deployment-status.md
test/features/profile/data/profile_image_picker_test.dart
tool/check_database.mjs
tool/check_community_database.mjs</x:v>
      </x:c>
    </x:row>
    <x:row r="174" ht="56" customHeight="1">
      <x:c r="A174" s="42" t="str">
        <x:v>QA01.007</x:v>
      </x:c>
      <x:c r="B174" s="42" t="str">
        <x:v>Verificaciones de cuenta y comunidad tempranas</x:v>
      </x:c>
      <x:c r="C174" s="42" t="str">
        <x:v>QA01</x:v>
      </x:c>
      <x:c r="D174" s="43" t="str">
        <x:v>Validar SQL aislado de comunidad</x:v>
      </x:c>
      <x:c r="E174" s="43" t="str">
        <x:v>Reporte acredita 100 comprobaciones de comunidad y 33 previas.</x:v>
      </x:c>
      <x:c r="F174" s="43" t="str">
        <x:v>Completado</x:v>
      </x:c>
      <x:c r="G174" s="44" t="n">
        <x:v>46280</x:v>
      </x:c>
      <x:c r="H174" s="44" t="n">
        <x:v>46286</x:v>
      </x:c>
      <x:c r="I174" s="45" t="n">
        <x:f>IF(OR(G174="",H174=""),"",SUMPRODUCT(('Cronograma'!$F$8:$P$8&lt;=H174)*('Cronograma'!$F$9:$P$9&gt;=G174)))</x:f>
        <x:v>1</x:v>
      </x:c>
      <x:c r="J174" s="46"/>
      <x:c r="K174" s="46"/>
      <x:c r="L174" s="47"/>
      <x:c r="M174" s="48" t="str"/>
      <x:c r="N174" s="48" t="str"/>
      <x:c r="O174" s="49" t="n">
        <x:v>46281</x:v>
      </x:c>
      <x:c r="P174" s="43" t="str">
        <x:v>Reporte fechado y código asociado</x:v>
      </x:c>
      <x:c r="Q174" s="43" t="str">
        <x:v>ACC01, ACC02, COM01</x:v>
      </x:c>
      <x:c r="R174" s="43" t="str"/>
      <x:c r="S174" s="43" t="str">
        <x:v>El reporte incluye hechos del 14 y 16; las fechas puntuales de cada ejecución no equivalen a duración real.</x:v>
      </x:c>
      <x:c r="T174" s="43" t="str">
        <x:v>S026, S035, S036, S037</x:v>
      </x:c>
      <x:c r="U174" s="43" t="str">
        <x:v>docs/deployment-status.md
test/features/profile/data/profile_image_picker_test.dart
tool/check_database.mjs
tool/check_community_database.mjs</x:v>
      </x:c>
    </x:row>
    <x:row r="175" ht="56" customHeight="1">
      <x:c r="A175" s="42" t="str">
        <x:v>QA01.008</x:v>
      </x:c>
      <x:c r="B175" s="42" t="str">
        <x:v>Verificaciones de cuenta y comunidad tempranas</x:v>
      </x:c>
      <x:c r="C175" s="42" t="str">
        <x:v>QA01</x:v>
      </x:c>
      <x:c r="D175" s="43" t="str">
        <x:v>Validar pantallas de comunidad</x:v>
      </x:c>
      <x:c r="E175" s="43" t="str">
        <x:v>Reporte acredita 133 pruebas Flutter antes de la corrección Web.</x:v>
      </x:c>
      <x:c r="F175" s="43" t="str">
        <x:v>Completado</x:v>
      </x:c>
      <x:c r="G175" s="44" t="n">
        <x:v>46280</x:v>
      </x:c>
      <x:c r="H175" s="44" t="n">
        <x:v>46286</x:v>
      </x:c>
      <x:c r="I175" s="45" t="n">
        <x:f>IF(OR(G175="",H175=""),"",SUMPRODUCT(('Cronograma'!$F$8:$P$8&lt;=H175)*('Cronograma'!$F$9:$P$9&gt;=G175)))</x:f>
        <x:v>1</x:v>
      </x:c>
      <x:c r="J175" s="46"/>
      <x:c r="K175" s="46"/>
      <x:c r="L175" s="47"/>
      <x:c r="M175" s="48" t="str"/>
      <x:c r="N175" s="48" t="str"/>
      <x:c r="O175" s="49" t="n">
        <x:v>46281</x:v>
      </x:c>
      <x:c r="P175" s="43" t="str">
        <x:v>Reporte fechado y código asociado</x:v>
      </x:c>
      <x:c r="Q175" s="43" t="str">
        <x:v>ACC01, ACC02, COM01</x:v>
      </x:c>
      <x:c r="R175" s="43" t="str"/>
      <x:c r="S175" s="43" t="str">
        <x:v>El reporte incluye hechos del 14 y 16; las fechas puntuales de cada ejecución no equivalen a duración real.</x:v>
      </x:c>
      <x:c r="T175" s="43" t="str">
        <x:v>S026, S035, S036, S037</x:v>
      </x:c>
      <x:c r="U175" s="43" t="str">
        <x:v>docs/deployment-status.md
test/features/profile/data/profile_image_picker_test.dart
tool/check_database.mjs
tool/check_community_database.mjs</x:v>
      </x:c>
    </x:row>
    <x:row r="176" ht="56" customHeight="1">
      <x:c r="A176" s="42" t="str">
        <x:v>QA01.009</x:v>
      </x:c>
      <x:c r="B176" s="42" t="str">
        <x:v>Verificaciones de cuenta y comunidad tempranas</x:v>
      </x:c>
      <x:c r="C176" s="42" t="str">
        <x:v>QA01</x:v>
      </x:c>
      <x:c r="D176" s="43" t="str">
        <x:v>Corregir dimensiones de imágenes en navegador</x:v>
      </x:c>
      <x:c r="E176" s="43" t="str">
        <x:v>Usar imagen decodificada en lugar de getters no implementados.</x:v>
      </x:c>
      <x:c r="F176" s="43" t="str">
        <x:v>Completado</x:v>
      </x:c>
      <x:c r="G176" s="44" t="n">
        <x:v>46280</x:v>
      </x:c>
      <x:c r="H176" s="44" t="n">
        <x:v>46286</x:v>
      </x:c>
      <x:c r="I176" s="45" t="n">
        <x:f>IF(OR(G176="",H176=""),"",SUMPRODUCT(('Cronograma'!$F$8:$P$8&lt;=H176)*('Cronograma'!$F$9:$P$9&gt;=G176)))</x:f>
        <x:v>1</x:v>
      </x:c>
      <x:c r="J176" s="46"/>
      <x:c r="K176" s="46"/>
      <x:c r="L176" s="47"/>
      <x:c r="M176" s="48" t="str"/>
      <x:c r="N176" s="48" t="str"/>
      <x:c r="O176" s="49" t="n">
        <x:v>46281</x:v>
      </x:c>
      <x:c r="P176" s="43" t="str">
        <x:v>Reporte fechado y código asociado</x:v>
      </x:c>
      <x:c r="Q176" s="43" t="str">
        <x:v>ACC01, ACC02, COM01</x:v>
      </x:c>
      <x:c r="R176" s="43" t="str"/>
      <x:c r="S176" s="43" t="str">
        <x:v>El reporte incluye hechos del 14 y 16; las fechas puntuales de cada ejecución no equivalen a duración real.</x:v>
      </x:c>
      <x:c r="T176" s="43" t="str">
        <x:v>S026, S035, S036, S037</x:v>
      </x:c>
      <x:c r="U176" s="43" t="str">
        <x:v>docs/deployment-status.md
test/features/profile/data/profile_image_picker_test.dart
tool/check_database.mjs
tool/check_community_database.mjs</x:v>
      </x:c>
    </x:row>
    <x:row r="177" ht="56" customHeight="1">
      <x:c r="A177" s="42" t="str">
        <x:v>QA01.010</x:v>
      </x:c>
      <x:c r="B177" s="42" t="str">
        <x:v>Verificaciones de cuenta y comunidad tempranas</x:v>
      </x:c>
      <x:c r="C177" s="42" t="str">
        <x:v>QA01</x:v>
      </x:c>
      <x:c r="D177" s="43" t="str">
        <x:v>Regenerar registro del plugin de fotos Web</x:v>
      </x:c>
      <x:c r="E177" s="43" t="str">
        <x:v>Incluir ImagePickerPlugin en la compilación corregida.</x:v>
      </x:c>
      <x:c r="F177" s="43" t="str">
        <x:v>Completado</x:v>
      </x:c>
      <x:c r="G177" s="44" t="n">
        <x:v>46280</x:v>
      </x:c>
      <x:c r="H177" s="44" t="n">
        <x:v>46286</x:v>
      </x:c>
      <x:c r="I177" s="45" t="n">
        <x:f>IF(OR(G177="",H177=""),"",SUMPRODUCT(('Cronograma'!$F$8:$P$8&lt;=H177)*('Cronograma'!$F$9:$P$9&gt;=G177)))</x:f>
        <x:v>1</x:v>
      </x:c>
      <x:c r="J177" s="46"/>
      <x:c r="K177" s="46"/>
      <x:c r="L177" s="47"/>
      <x:c r="M177" s="48" t="str"/>
      <x:c r="N177" s="48" t="str"/>
      <x:c r="O177" s="49" t="n">
        <x:v>46281</x:v>
      </x:c>
      <x:c r="P177" s="43" t="str">
        <x:v>Reporte fechado y código asociado</x:v>
      </x:c>
      <x:c r="Q177" s="43" t="str">
        <x:v>ACC01, ACC02, COM01</x:v>
      </x:c>
      <x:c r="R177" s="43" t="str"/>
      <x:c r="S177" s="43" t="str">
        <x:v>El reporte incluye hechos del 14 y 16; las fechas puntuales de cada ejecución no equivalen a duración real.</x:v>
      </x:c>
      <x:c r="T177" s="43" t="str">
        <x:v>S026, S035, S036, S037</x:v>
      </x:c>
      <x:c r="U177" s="43" t="str">
        <x:v>docs/deployment-status.md
test/features/profile/data/profile_image_picker_test.dart
tool/check_database.mjs
tool/check_community_database.mjs</x:v>
      </x:c>
    </x:row>
    <x:row r="178" ht="56" customHeight="1">
      <x:c r="A178" s="42" t="str">
        <x:v>QA01.011</x:v>
      </x:c>
      <x:c r="B178" s="42" t="str">
        <x:v>Verificaciones de cuenta y comunidad tempranas</x:v>
      </x:c>
      <x:c r="C178" s="42" t="str">
        <x:v>QA01</x:v>
      </x:c>
      <x:c r="D178" s="43" t="str">
        <x:v>Probar selector y vista previa en Chrome</x:v>
      </x:c>
      <x:c r="E178" s="43" t="str">
        <x:v>Comprobar entrega de fotografía en perfil y publicación.</x:v>
      </x:c>
      <x:c r="F178" s="43" t="str">
        <x:v>Completado</x:v>
      </x:c>
      <x:c r="G178" s="44" t="n">
        <x:v>46280</x:v>
      </x:c>
      <x:c r="H178" s="44" t="n">
        <x:v>46286</x:v>
      </x:c>
      <x:c r="I178" s="45" t="n">
        <x:f>IF(OR(G178="",H178=""),"",SUMPRODUCT(('Cronograma'!$F$8:$P$8&lt;=H178)*('Cronograma'!$F$9:$P$9&gt;=G178)))</x:f>
        <x:v>1</x:v>
      </x:c>
      <x:c r="J178" s="46"/>
      <x:c r="K178" s="46"/>
      <x:c r="L178" s="47"/>
      <x:c r="M178" s="48" t="str"/>
      <x:c r="N178" s="48" t="str"/>
      <x:c r="O178" s="49" t="n">
        <x:v>46281</x:v>
      </x:c>
      <x:c r="P178" s="43" t="str">
        <x:v>Reporte fechado y código asociado</x:v>
      </x:c>
      <x:c r="Q178" s="43" t="str">
        <x:v>ACC01, ACC02, COM01</x:v>
      </x:c>
      <x:c r="R178" s="43" t="str"/>
      <x:c r="S178" s="43" t="str">
        <x:v>El reporte incluye hechos del 14 y 16; las fechas puntuales de cada ejecución no equivalen a duración real.</x:v>
      </x:c>
      <x:c r="T178" s="43" t="str">
        <x:v>S026, S035, S036, S037</x:v>
      </x:c>
      <x:c r="U178" s="43" t="str">
        <x:v>docs/deployment-status.md
test/features/profile/data/profile_image_picker_test.dart
tool/check_database.mjs
tool/check_community_database.mjs</x:v>
      </x:c>
    </x:row>
    <x:row r="179" ht="56" customHeight="1">
      <x:c r="A179" s="42" t="str">
        <x:v>QA01.012</x:v>
      </x:c>
      <x:c r="B179" s="42" t="str">
        <x:v>Verificaciones de cuenta y comunidad tempranas</x:v>
      </x:c>
      <x:c r="C179" s="42" t="str">
        <x:v>QA01</x:v>
      </x:c>
      <x:c r="D179" s="43" t="str">
        <x:v>Validar regresión de fotos Web</x:v>
      </x:c>
      <x:c r="E179" s="43" t="str">
        <x:v>Reporte acredita 137 pruebas locales y cuatro Chrome.</x:v>
      </x:c>
      <x:c r="F179" s="43" t="str">
        <x:v>Completado</x:v>
      </x:c>
      <x:c r="G179" s="44" t="n">
        <x:v>46280</x:v>
      </x:c>
      <x:c r="H179" s="44" t="n">
        <x:v>46286</x:v>
      </x:c>
      <x:c r="I179" s="45" t="n">
        <x:f>IF(OR(G179="",H179=""),"",SUMPRODUCT(('Cronograma'!$F$8:$P$8&lt;=H179)*('Cronograma'!$F$9:$P$9&gt;=G179)))</x:f>
        <x:v>1</x:v>
      </x:c>
      <x:c r="J179" s="46"/>
      <x:c r="K179" s="46"/>
      <x:c r="L179" s="47"/>
      <x:c r="M179" s="48" t="str"/>
      <x:c r="N179" s="48" t="str"/>
      <x:c r="O179" s="49" t="n">
        <x:v>46281</x:v>
      </x:c>
      <x:c r="P179" s="43" t="str">
        <x:v>Reporte fechado y código asociado</x:v>
      </x:c>
      <x:c r="Q179" s="43" t="str">
        <x:v>ACC01, ACC02, COM01</x:v>
      </x:c>
      <x:c r="R179" s="43" t="str"/>
      <x:c r="S179" s="43" t="str">
        <x:v>El reporte incluye hechos del 14 y 16; las fechas puntuales de cada ejecución no equivalen a duración real.</x:v>
      </x:c>
      <x:c r="T179" s="43" t="str">
        <x:v>S026, S035, S036, S037</x:v>
      </x:c>
      <x:c r="U179" s="43" t="str">
        <x:v>docs/deployment-status.md
test/features/profile/data/profile_image_picker_test.dart
tool/check_database.mjs
tool/check_community_database.mjs</x:v>
      </x:c>
    </x:row>
    <x:row r="180" ht="56" customHeight="1">
      <x:c r="A180" s="42" t="str">
        <x:v>QA01.013</x:v>
      </x:c>
      <x:c r="B180" s="42" t="str">
        <x:v>Verificaciones de cuenta y comunidad tempranas</x:v>
      </x:c>
      <x:c r="C180" s="42" t="str">
        <x:v>QA01</x:v>
      </x:c>
      <x:c r="D180" s="43" t="str">
        <x:v>Compilar Web y APK de comunidad</x:v>
      </x:c>
      <x:c r="E180" s="43" t="str">
        <x:v>Registrar builds locales con configuración del proyecto.</x:v>
      </x:c>
      <x:c r="F180" s="43" t="str">
        <x:v>Completado</x:v>
      </x:c>
      <x:c r="G180" s="44" t="n">
        <x:v>46280</x:v>
      </x:c>
      <x:c r="H180" s="44" t="n">
        <x:v>46286</x:v>
      </x:c>
      <x:c r="I180" s="45" t="n">
        <x:f>IF(OR(G180="",H180=""),"",SUMPRODUCT(('Cronograma'!$F$8:$P$8&lt;=H180)*('Cronograma'!$F$9:$P$9&gt;=G180)))</x:f>
        <x:v>1</x:v>
      </x:c>
      <x:c r="J180" s="46"/>
      <x:c r="K180" s="46"/>
      <x:c r="L180" s="47"/>
      <x:c r="M180" s="48" t="str"/>
      <x:c r="N180" s="48" t="str"/>
      <x:c r="O180" s="49" t="n">
        <x:v>46281</x:v>
      </x:c>
      <x:c r="P180" s="43" t="str">
        <x:v>Reporte fechado y código asociado</x:v>
      </x:c>
      <x:c r="Q180" s="43" t="str">
        <x:v>ACC01, ACC02, COM01</x:v>
      </x:c>
      <x:c r="R180" s="43" t="str"/>
      <x:c r="S180" s="43" t="str">
        <x:v>El reporte incluye hechos del 14 y 16; las fechas puntuales de cada ejecución no equivalen a duración real.</x:v>
      </x:c>
      <x:c r="T180" s="43" t="str">
        <x:v>S026, S035, S036, S037</x:v>
      </x:c>
      <x:c r="U180" s="43" t="str">
        <x:v>docs/deployment-status.md
test/features/profile/data/profile_image_picker_test.dart
tool/check_database.mjs
tool/check_community_database.mjs</x:v>
      </x:c>
    </x:row>
    <x:row r="181" ht="56" customHeight="1">
      <x:c r="A181" s="42" t="str">
        <x:v>COM02.001</x:v>
      </x:c>
      <x:c r="B181" s="42" t="str">
        <x:v>Ubicación de publicaciones</x:v>
      </x:c>
      <x:c r="C181" s="42" t="str">
        <x:v>COM02</x:v>
      </x:c>
      <x:c r="D181" s="43" t="str">
        <x:v>Agregar coordenadas opcionales a posts</x:v>
      </x:c>
      <x:c r="E181" s="43" t="str">
        <x:v>Conservar compatibilidad con ubicaciones solo textuales.</x:v>
      </x:c>
      <x:c r="F181" s="43" t="str">
        <x:v>Completado</x:v>
      </x:c>
      <x:c r="G181" s="44" t="n">
        <x:v>46280</x:v>
      </x:c>
      <x:c r="H181" s="44" t="n">
        <x:v>46286</x:v>
      </x:c>
      <x:c r="I181" s="45" t="n">
        <x:f>IF(OR(G181="",H181=""),"",SUMPRODUCT(('Cronograma'!$F$8:$P$8&lt;=H181)*('Cronograma'!$F$9:$P$9&gt;=G181)))</x:f>
        <x:v>1</x:v>
      </x:c>
      <x:c r="J181" s="46"/>
      <x:c r="K181" s="46"/>
      <x:c r="L181" s="47"/>
      <x:c r="M181" s="48" t="str"/>
      <x:c r="N181" s="48" t="str"/>
      <x:c r="O181" s="49" t="n">
        <x:v>46282</x:v>
      </x:c>
      <x:c r="P181" s="43" t="str">
        <x:v>Commit de integración y documentos</x:v>
      </x:c>
      <x:c r="Q181" s="43" t="str">
        <x:v>COM01, INV03</x:v>
      </x:c>
      <x:c r="R181" s="43" t="str"/>
      <x:c r="S181" s="43" t="str">
        <x:v>El commit del 17 acredita presencia del cambio; no fija el día exacto de implementación.</x:v>
      </x:c>
      <x:c r="T181" s="43" t="str">
        <x:v>S038, S039, S032, S040</x:v>
      </x:c>
      <x:c r="U181" s="43" t="str">
        <x:v>supabase/migrations/004_post_locations.sql
lib/features/community/presentation/post_location_picker.dart
docs/community.md
git:b321100:README.md</x:v>
      </x:c>
    </x:row>
    <x:row r="182" ht="56" customHeight="1">
      <x:c r="A182" s="42" t="str">
        <x:v>COM02.002</x:v>
      </x:c>
      <x:c r="B182" s="42" t="str">
        <x:v>Ubicación de publicaciones</x:v>
      </x:c>
      <x:c r="C182" s="42" t="str">
        <x:v>COM02</x:v>
      </x:c>
      <x:c r="D182" s="43" t="str">
        <x:v>Registrar precisión exacta o aproximada</x:v>
      </x:c>
      <x:c r="E182" s="43" t="str">
        <x:v>Persistir elección junto a coordenadas.</x:v>
      </x:c>
      <x:c r="F182" s="43" t="str">
        <x:v>Completado</x:v>
      </x:c>
      <x:c r="G182" s="44" t="n">
        <x:v>46280</x:v>
      </x:c>
      <x:c r="H182" s="44" t="n">
        <x:v>46286</x:v>
      </x:c>
      <x:c r="I182" s="45" t="n">
        <x:f>IF(OR(G182="",H182=""),"",SUMPRODUCT(('Cronograma'!$F$8:$P$8&lt;=H182)*('Cronograma'!$F$9:$P$9&gt;=G182)))</x:f>
        <x:v>1</x:v>
      </x:c>
      <x:c r="J182" s="46"/>
      <x:c r="K182" s="46"/>
      <x:c r="L182" s="47"/>
      <x:c r="M182" s="48" t="str"/>
      <x:c r="N182" s="48" t="str"/>
      <x:c r="O182" s="49" t="n">
        <x:v>46282</x:v>
      </x:c>
      <x:c r="P182" s="43" t="str">
        <x:v>Commit de integración y documentos</x:v>
      </x:c>
      <x:c r="Q182" s="43" t="str">
        <x:v>COM01, INV03</x:v>
      </x:c>
      <x:c r="R182" s="43" t="str"/>
      <x:c r="S182" s="43" t="str">
        <x:v>El commit del 17 acredita presencia del cambio; no fija el día exacto de implementación.</x:v>
      </x:c>
      <x:c r="T182" s="43" t="str">
        <x:v>S038, S039, S032, S040</x:v>
      </x:c>
      <x:c r="U182" s="43" t="str">
        <x:v>supabase/migrations/004_post_locations.sql
lib/features/community/presentation/post_location_picker.dart
docs/community.md
git:b321100:README.md</x:v>
      </x:c>
    </x:row>
    <x:row r="183" ht="56" customHeight="1">
      <x:c r="A183" s="42" t="str">
        <x:v>COM02.003</x:v>
      </x:c>
      <x:c r="B183" s="42" t="str">
        <x:v>Ubicación de publicaciones</x:v>
      </x:c>
      <x:c r="C183" s="42" t="str">
        <x:v>COM02</x:v>
      </x:c>
      <x:c r="D183" s="43" t="str">
        <x:v>Crear selector visual de ubicación</x:v>
      </x:c>
      <x:c r="E183" s="43" t="str">
        <x:v>Elegir un punto sobre OpenStreetMap.</x:v>
      </x:c>
      <x:c r="F183" s="43" t="str">
        <x:v>Completado</x:v>
      </x:c>
      <x:c r="G183" s="44" t="n">
        <x:v>46280</x:v>
      </x:c>
      <x:c r="H183" s="44" t="n">
        <x:v>46286</x:v>
      </x:c>
      <x:c r="I183" s="45" t="n">
        <x:f>IF(OR(G183="",H183=""),"",SUMPRODUCT(('Cronograma'!$F$8:$P$8&lt;=H183)*('Cronograma'!$F$9:$P$9&gt;=G183)))</x:f>
        <x:v>1</x:v>
      </x:c>
      <x:c r="J183" s="46"/>
      <x:c r="K183" s="46"/>
      <x:c r="L183" s="47"/>
      <x:c r="M183" s="48" t="str"/>
      <x:c r="N183" s="48" t="str"/>
      <x:c r="O183" s="49" t="n">
        <x:v>46282</x:v>
      </x:c>
      <x:c r="P183" s="43" t="str">
        <x:v>Commit de integración y documentos</x:v>
      </x:c>
      <x:c r="Q183" s="43" t="str">
        <x:v>COM01, INV03</x:v>
      </x:c>
      <x:c r="R183" s="43" t="str"/>
      <x:c r="S183" s="43" t="str">
        <x:v>El commit del 17 acredita presencia del cambio; no fija el día exacto de implementación.</x:v>
      </x:c>
      <x:c r="T183" s="43" t="str">
        <x:v>S038, S039, S032, S040</x:v>
      </x:c>
      <x:c r="U183" s="43" t="str">
        <x:v>supabase/migrations/004_post_locations.sql
lib/features/community/presentation/post_location_picker.dart
docs/community.md
git:b321100:README.md</x:v>
      </x:c>
    </x:row>
    <x:row r="184" ht="56" customHeight="1">
      <x:c r="A184" s="42" t="str">
        <x:v>COM02.004</x:v>
      </x:c>
      <x:c r="B184" s="42" t="str">
        <x:v>Ubicación de publicaciones</x:v>
      </x:c>
      <x:c r="C184" s="42" t="str">
        <x:v>COM02</x:v>
      </x:c>
      <x:c r="D184" s="43" t="str">
        <x:v>Buscar dirección con Nominatim</x:v>
      </x:c>
      <x:c r="E184" s="43" t="str">
        <x:v>Permitir localizar el punto mediante texto.</x:v>
      </x:c>
      <x:c r="F184" s="43" t="str">
        <x:v>Completado</x:v>
      </x:c>
      <x:c r="G184" s="44" t="n">
        <x:v>46280</x:v>
      </x:c>
      <x:c r="H184" s="44" t="n">
        <x:v>46286</x:v>
      </x:c>
      <x:c r="I184" s="45" t="n">
        <x:f>IF(OR(G184="",H184=""),"",SUMPRODUCT(('Cronograma'!$F$8:$P$8&lt;=H184)*('Cronograma'!$F$9:$P$9&gt;=G184)))</x:f>
        <x:v>1</x:v>
      </x:c>
      <x:c r="J184" s="46"/>
      <x:c r="K184" s="46"/>
      <x:c r="L184" s="47"/>
      <x:c r="M184" s="48" t="str"/>
      <x:c r="N184" s="48" t="str"/>
      <x:c r="O184" s="49" t="n">
        <x:v>46282</x:v>
      </x:c>
      <x:c r="P184" s="43" t="str">
        <x:v>Commit de integración y documentos</x:v>
      </x:c>
      <x:c r="Q184" s="43" t="str">
        <x:v>COM01, INV03</x:v>
      </x:c>
      <x:c r="R184" s="43" t="str"/>
      <x:c r="S184" s="43" t="str">
        <x:v>El commit del 17 acredita presencia del cambio; no fija el día exacto de implementación.</x:v>
      </x:c>
      <x:c r="T184" s="43" t="str">
        <x:v>S038, S039, S032, S040</x:v>
      </x:c>
      <x:c r="U184" s="43" t="str">
        <x:v>supabase/migrations/004_post_locations.sql
lib/features/community/presentation/post_location_picker.dart
docs/community.md
git:b321100:README.md</x:v>
      </x:c>
    </x:row>
    <x:row r="185" ht="56" customHeight="1">
      <x:c r="A185" s="42" t="str">
        <x:v>COM02.005</x:v>
      </x:c>
      <x:c r="B185" s="42" t="str">
        <x:v>Ubicación de publicaciones</x:v>
      </x:c>
      <x:c r="C185" s="42" t="str">
        <x:v>COM02</x:v>
      </x:c>
      <x:c r="D185" s="43" t="str">
        <x:v>Mover punto manualmente</x:v>
      </x:c>
      <x:c r="E185" s="43" t="str">
        <x:v>Ajustar ubicación antes de confirmarla.</x:v>
      </x:c>
      <x:c r="F185" s="43" t="str">
        <x:v>Completado</x:v>
      </x:c>
      <x:c r="G185" s="44" t="n">
        <x:v>46280</x:v>
      </x:c>
      <x:c r="H185" s="44" t="n">
        <x:v>46286</x:v>
      </x:c>
      <x:c r="I185" s="45" t="n">
        <x:f>IF(OR(G185="",H185=""),"",SUMPRODUCT(('Cronograma'!$F$8:$P$8&lt;=H185)*('Cronograma'!$F$9:$P$9&gt;=G185)))</x:f>
        <x:v>1</x:v>
      </x:c>
      <x:c r="J185" s="46"/>
      <x:c r="K185" s="46"/>
      <x:c r="L185" s="47"/>
      <x:c r="M185" s="48" t="str"/>
      <x:c r="N185" s="48" t="str"/>
      <x:c r="O185" s="49" t="n">
        <x:v>46282</x:v>
      </x:c>
      <x:c r="P185" s="43" t="str">
        <x:v>Commit de integración y documentos</x:v>
      </x:c>
      <x:c r="Q185" s="43" t="str">
        <x:v>COM01, INV03</x:v>
      </x:c>
      <x:c r="R185" s="43" t="str"/>
      <x:c r="S185" s="43" t="str">
        <x:v>El commit del 17 acredita presencia del cambio; no fija el día exacto de implementación.</x:v>
      </x:c>
      <x:c r="T185" s="43" t="str">
        <x:v>S038, S039, S032, S040</x:v>
      </x:c>
      <x:c r="U185" s="43" t="str">
        <x:v>supabase/migrations/004_post_locations.sql
lib/features/community/presentation/post_location_picker.dart
docs/community.md
git:b321100:README.md</x:v>
      </x:c>
    </x:row>
    <x:row r="186" ht="56" customHeight="1">
      <x:c r="A186" s="42" t="str">
        <x:v>COM02.006</x:v>
      </x:c>
      <x:c r="B186" s="42" t="str">
        <x:v>Ubicación de publicaciones</x:v>
      </x:c>
      <x:c r="C186" s="42" t="str">
        <x:v>COM02</x:v>
      </x:c>
      <x:c r="D186" s="43" t="str">
        <x:v>Solicitar ubicación mediante acción explícita</x:v>
      </x:c>
      <x:c r="E186" s="43" t="str">
        <x:v>No obtener GPS al abrir el formulario.</x:v>
      </x:c>
      <x:c r="F186" s="43" t="str">
        <x:v>Completado</x:v>
      </x:c>
      <x:c r="G186" s="44" t="n">
        <x:v>46280</x:v>
      </x:c>
      <x:c r="H186" s="44" t="n">
        <x:v>46286</x:v>
      </x:c>
      <x:c r="I186" s="45" t="n">
        <x:f>IF(OR(G186="",H186=""),"",SUMPRODUCT(('Cronograma'!$F$8:$P$8&lt;=H186)*('Cronograma'!$F$9:$P$9&gt;=G186)))</x:f>
        <x:v>1</x:v>
      </x:c>
      <x:c r="J186" s="46"/>
      <x:c r="K186" s="46"/>
      <x:c r="L186" s="47"/>
      <x:c r="M186" s="48" t="str"/>
      <x:c r="N186" s="48" t="str"/>
      <x:c r="O186" s="49" t="n">
        <x:v>46282</x:v>
      </x:c>
      <x:c r="P186" s="43" t="str">
        <x:v>Commit de integración y documentos</x:v>
      </x:c>
      <x:c r="Q186" s="43" t="str">
        <x:v>COM01, INV03</x:v>
      </x:c>
      <x:c r="R186" s="43" t="str"/>
      <x:c r="S186" s="43" t="str">
        <x:v>El commit del 17 acredita presencia del cambio; no fija el día exacto de implementación.</x:v>
      </x:c>
      <x:c r="T186" s="43" t="str">
        <x:v>S038, S039, S032, S040</x:v>
      </x:c>
      <x:c r="U186" s="43" t="str">
        <x:v>supabase/migrations/004_post_locations.sql
lib/features/community/presentation/post_location_picker.dart
docs/community.md
git:b321100:README.md</x:v>
      </x:c>
    </x:row>
    <x:row r="187" ht="56" customHeight="1">
      <x:c r="A187" s="42" t="str">
        <x:v>COM02.007</x:v>
      </x:c>
      <x:c r="B187" s="42" t="str">
        <x:v>Ubicación de publicaciones</x:v>
      </x:c>
      <x:c r="C187" s="42" t="str">
        <x:v>COM02</x:v>
      </x:c>
      <x:c r="D187" s="43" t="str">
        <x:v>Manejar permiso de ubicación rechazado</x:v>
      </x:c>
      <x:c r="E187" s="43" t="str">
        <x:v>Mantener disponibles búsqueda y selección manual.</x:v>
      </x:c>
      <x:c r="F187" s="43" t="str">
        <x:v>Completado</x:v>
      </x:c>
      <x:c r="G187" s="44" t="n">
        <x:v>46280</x:v>
      </x:c>
      <x:c r="H187" s="44" t="n">
        <x:v>46286</x:v>
      </x:c>
      <x:c r="I187" s="45" t="n">
        <x:f>IF(OR(G187="",H187=""),"",SUMPRODUCT(('Cronograma'!$F$8:$P$8&lt;=H187)*('Cronograma'!$F$9:$P$9&gt;=G187)))</x:f>
        <x:v>1</x:v>
      </x:c>
      <x:c r="J187" s="46"/>
      <x:c r="K187" s="46"/>
      <x:c r="L187" s="47"/>
      <x:c r="M187" s="48" t="str"/>
      <x:c r="N187" s="48" t="str"/>
      <x:c r="O187" s="49" t="n">
        <x:v>46282</x:v>
      </x:c>
      <x:c r="P187" s="43" t="str">
        <x:v>Commit de integración y documentos</x:v>
      </x:c>
      <x:c r="Q187" s="43" t="str">
        <x:v>COM01, INV03</x:v>
      </x:c>
      <x:c r="R187" s="43" t="str"/>
      <x:c r="S187" s="43" t="str">
        <x:v>El commit del 17 acredita presencia del cambio; no fija el día exacto de implementación.</x:v>
      </x:c>
      <x:c r="T187" s="43" t="str">
        <x:v>S038, S039, S032, S040</x:v>
      </x:c>
      <x:c r="U187" s="43" t="str">
        <x:v>supabase/migrations/004_post_locations.sql
lib/features/community/presentation/post_location_picker.dart
docs/community.md
git:b321100:README.md</x:v>
      </x:c>
    </x:row>
    <x:row r="188" ht="56" customHeight="1">
      <x:c r="A188" s="42" t="str">
        <x:v>COM02.008</x:v>
      </x:c>
      <x:c r="B188" s="42" t="str">
        <x:v>Ubicación de publicaciones</x:v>
      </x:c>
      <x:c r="C188" s="42" t="str">
        <x:v>COM02</x:v>
      </x:c>
      <x:c r="D188" s="43" t="str">
        <x:v>Redondear posición aproximada</x:v>
      </x:c>
      <x:c r="E188" s="43" t="str">
        <x:v>Reducir precisión antes de persistir.</x:v>
      </x:c>
      <x:c r="F188" s="43" t="str">
        <x:v>Completado</x:v>
      </x:c>
      <x:c r="G188" s="44" t="n">
        <x:v>46280</x:v>
      </x:c>
      <x:c r="H188" s="44" t="n">
        <x:v>46286</x:v>
      </x:c>
      <x:c r="I188" s="45" t="n">
        <x:f>IF(OR(G188="",H188=""),"",SUMPRODUCT(('Cronograma'!$F$8:$P$8&lt;=H188)*('Cronograma'!$F$9:$P$9&gt;=G188)))</x:f>
        <x:v>1</x:v>
      </x:c>
      <x:c r="J188" s="46"/>
      <x:c r="K188" s="46"/>
      <x:c r="L188" s="47"/>
      <x:c r="M188" s="48" t="str"/>
      <x:c r="N188" s="48" t="str"/>
      <x:c r="O188" s="49" t="n">
        <x:v>46282</x:v>
      </x:c>
      <x:c r="P188" s="43" t="str">
        <x:v>Commit de integración y documentos</x:v>
      </x:c>
      <x:c r="Q188" s="43" t="str">
        <x:v>COM01, INV03</x:v>
      </x:c>
      <x:c r="R188" s="43" t="str"/>
      <x:c r="S188" s="43" t="str">
        <x:v>El commit del 17 acredita presencia del cambio; no fija el día exacto de implementación.</x:v>
      </x:c>
      <x:c r="T188" s="43" t="str">
        <x:v>S038, S039, S032, S040</x:v>
      </x:c>
      <x:c r="U188" s="43" t="str">
        <x:v>supabase/migrations/004_post_locations.sql
lib/features/community/presentation/post_location_picker.dart
docs/community.md
git:b321100:README.md</x:v>
      </x:c>
    </x:row>
    <x:row r="189" ht="56" customHeight="1">
      <x:c r="A189" s="42" t="str">
        <x:v>COM02.009</x:v>
      </x:c>
      <x:c r="B189" s="42" t="str">
        <x:v>Ubicación de publicaciones</x:v>
      </x:c>
      <x:c r="C189" s="42" t="str">
        <x:v>COM02</x:v>
      </x:c>
      <x:c r="D189" s="43" t="str">
        <x:v>Confirmar ubicación seleccionada</x:v>
      </x:c>
      <x:c r="E189" s="43" t="str">
        <x:v>Devolver texto, punto y precisión al compositor.</x:v>
      </x:c>
      <x:c r="F189" s="43" t="str">
        <x:v>Completado</x:v>
      </x:c>
      <x:c r="G189" s="44" t="n">
        <x:v>46280</x:v>
      </x:c>
      <x:c r="H189" s="44" t="n">
        <x:v>46286</x:v>
      </x:c>
      <x:c r="I189" s="45" t="n">
        <x:f>IF(OR(G189="",H189=""),"",SUMPRODUCT(('Cronograma'!$F$8:$P$8&lt;=H189)*('Cronograma'!$F$9:$P$9&gt;=G189)))</x:f>
        <x:v>1</x:v>
      </x:c>
      <x:c r="J189" s="46"/>
      <x:c r="K189" s="46"/>
      <x:c r="L189" s="47"/>
      <x:c r="M189" s="48" t="str"/>
      <x:c r="N189" s="48" t="str"/>
      <x:c r="O189" s="49" t="n">
        <x:v>46282</x:v>
      </x:c>
      <x:c r="P189" s="43" t="str">
        <x:v>Commit de integración y documentos</x:v>
      </x:c>
      <x:c r="Q189" s="43" t="str">
        <x:v>COM01, INV03</x:v>
      </x:c>
      <x:c r="R189" s="43" t="str"/>
      <x:c r="S189" s="43" t="str">
        <x:v>El commit del 17 acredita presencia del cambio; no fija el día exacto de implementación.</x:v>
      </x:c>
      <x:c r="T189" s="43" t="str">
        <x:v>S038, S039, S032, S040</x:v>
      </x:c>
      <x:c r="U189" s="43" t="str">
        <x:v>supabase/migrations/004_post_locations.sql
lib/features/community/presentation/post_location_picker.dart
docs/community.md
git:b321100:README.md</x:v>
      </x:c>
    </x:row>
    <x:row r="190" ht="56" customHeight="1">
      <x:c r="A190" s="42" t="str">
        <x:v>COM02.010</x:v>
      </x:c>
      <x:c r="B190" s="42" t="str">
        <x:v>Ubicación de publicaciones</x:v>
      </x:c>
      <x:c r="C190" s="42" t="str">
        <x:v>COM02</x:v>
      </x:c>
      <x:c r="D190" s="43" t="str">
        <x:v>Retirar ubicación opcional</x:v>
      </x:c>
      <x:c r="E190" s="43" t="str">
        <x:v>Permitir publicación sin punto en mapa.</x:v>
      </x:c>
      <x:c r="F190" s="43" t="str">
        <x:v>Completado</x:v>
      </x:c>
      <x:c r="G190" s="44" t="n">
        <x:v>46280</x:v>
      </x:c>
      <x:c r="H190" s="44" t="n">
        <x:v>46286</x:v>
      </x:c>
      <x:c r="I190" s="45" t="n">
        <x:f>IF(OR(G190="",H190=""),"",SUMPRODUCT(('Cronograma'!$F$8:$P$8&lt;=H190)*('Cronograma'!$F$9:$P$9&gt;=G190)))</x:f>
        <x:v>1</x:v>
      </x:c>
      <x:c r="J190" s="46"/>
      <x:c r="K190" s="46"/>
      <x:c r="L190" s="47"/>
      <x:c r="M190" s="48" t="str"/>
      <x:c r="N190" s="48" t="str"/>
      <x:c r="O190" s="49" t="n">
        <x:v>46282</x:v>
      </x:c>
      <x:c r="P190" s="43" t="str">
        <x:v>Commit de integración y documentos</x:v>
      </x:c>
      <x:c r="Q190" s="43" t="str">
        <x:v>COM01, INV03</x:v>
      </x:c>
      <x:c r="R190" s="43" t="str"/>
      <x:c r="S190" s="43" t="str">
        <x:v>El commit del 17 acredita presencia del cambio; no fija el día exacto de implementación.</x:v>
      </x:c>
      <x:c r="T190" s="43" t="str">
        <x:v>S038, S039, S032, S040</x:v>
      </x:c>
      <x:c r="U190" s="43" t="str">
        <x:v>supabase/migrations/004_post_locations.sql
lib/features/community/presentation/post_location_picker.dart
docs/community.md
git:b321100:README.md</x:v>
      </x:c>
    </x:row>
    <x:row r="191" ht="56" customHeight="1">
      <x:c r="A191" s="42" t="str">
        <x:v>COM02.011</x:v>
      </x:c>
      <x:c r="B191" s="42" t="str">
        <x:v>Ubicación de publicaciones</x:v>
      </x:c>
      <x:c r="C191" s="42" t="str">
        <x:v>COM02</x:v>
      </x:c>
      <x:c r="D191" s="43" t="str">
        <x:v>Mostrar ubicación guardada</x:v>
      </x:c>
      <x:c r="E191" s="43" t="str">
        <x:v>Abrir el contexto de posición desde contenido visible.</x:v>
      </x:c>
      <x:c r="F191" s="43" t="str">
        <x:v>Completado</x:v>
      </x:c>
      <x:c r="G191" s="44" t="n">
        <x:v>46280</x:v>
      </x:c>
      <x:c r="H191" s="44" t="n">
        <x:v>46286</x:v>
      </x:c>
      <x:c r="I191" s="45" t="n">
        <x:f>IF(OR(G191="",H191=""),"",SUMPRODUCT(('Cronograma'!$F$8:$P$8&lt;=H191)*('Cronograma'!$F$9:$P$9&gt;=G191)))</x:f>
        <x:v>1</x:v>
      </x:c>
      <x:c r="J191" s="46"/>
      <x:c r="K191" s="46"/>
      <x:c r="L191" s="47"/>
      <x:c r="M191" s="48" t="str"/>
      <x:c r="N191" s="48" t="str"/>
      <x:c r="O191" s="49" t="n">
        <x:v>46282</x:v>
      </x:c>
      <x:c r="P191" s="43" t="str">
        <x:v>Commit de integración y documentos</x:v>
      </x:c>
      <x:c r="Q191" s="43" t="str">
        <x:v>COM01, INV03</x:v>
      </x:c>
      <x:c r="R191" s="43" t="str"/>
      <x:c r="S191" s="43" t="str">
        <x:v>El commit del 17 acredita presencia del cambio; no fija el día exacto de implementación.</x:v>
      </x:c>
      <x:c r="T191" s="43" t="str">
        <x:v>S038, S039, S032, S040</x:v>
      </x:c>
      <x:c r="U191" s="43" t="str">
        <x:v>supabase/migrations/004_post_locations.sql
lib/features/community/presentation/post_location_picker.dart
docs/community.md
git:b321100:README.md</x:v>
      </x:c>
    </x:row>
    <x:row r="192" ht="56" customHeight="1">
      <x:c r="A192" s="42" t="str">
        <x:v>COM02.012</x:v>
      </x:c>
      <x:c r="B192" s="42" t="str">
        <x:v>Ubicación de publicaciones</x:v>
      </x:c>
      <x:c r="C192" s="42" t="str">
        <x:v>COM02</x:v>
      </x:c>
      <x:c r="D192" s="43" t="str">
        <x:v>Configurar permisos Android y web</x:v>
      </x:c>
      <x:c r="E192" s="43" t="str">
        <x:v>Declarar acceso y dejar solicitud bajo control de la persona.</x:v>
      </x:c>
      <x:c r="F192" s="43" t="str">
        <x:v>Completado</x:v>
      </x:c>
      <x:c r="G192" s="44" t="n">
        <x:v>46280</x:v>
      </x:c>
      <x:c r="H192" s="44" t="n">
        <x:v>46286</x:v>
      </x:c>
      <x:c r="I192" s="45" t="n">
        <x:f>IF(OR(G192="",H192=""),"",SUMPRODUCT(('Cronograma'!$F$8:$P$8&lt;=H192)*('Cronograma'!$F$9:$P$9&gt;=G192)))</x:f>
        <x:v>1</x:v>
      </x:c>
      <x:c r="J192" s="46"/>
      <x:c r="K192" s="46"/>
      <x:c r="L192" s="47"/>
      <x:c r="M192" s="48" t="str"/>
      <x:c r="N192" s="48" t="str"/>
      <x:c r="O192" s="49" t="n">
        <x:v>46282</x:v>
      </x:c>
      <x:c r="P192" s="43" t="str">
        <x:v>Commit de integración y documentos</x:v>
      </x:c>
      <x:c r="Q192" s="43" t="str">
        <x:v>COM01, INV03</x:v>
      </x:c>
      <x:c r="R192" s="43" t="str"/>
      <x:c r="S192" s="43" t="str">
        <x:v>El commit del 17 acredita presencia del cambio; no fija el día exacto de implementación.</x:v>
      </x:c>
      <x:c r="T192" s="43" t="str">
        <x:v>S038, S039, S032, S040</x:v>
      </x:c>
      <x:c r="U192" s="43" t="str">
        <x:v>supabase/migrations/004_post_locations.sql
lib/features/community/presentation/post_location_picker.dart
docs/community.md
git:b321100:README.md</x:v>
      </x:c>
    </x:row>
    <x:row r="193" ht="56" customHeight="1">
      <x:c r="A193" s="42" t="str">
        <x:v>MIS01.001</x:v>
      </x:c>
      <x:c r="B193" s="42" t="str">
        <x:v>Primer flujo y ciclo de vida de misiones</x:v>
      </x:c>
      <x:c r="C193" s="42" t="str">
        <x:v>MIS01</x:v>
      </x:c>
      <x:c r="D193" s="43" t="str">
        <x:v>Crear entidades de misión y candidatura</x:v>
      </x:c>
      <x:c r="E193" s="43" t="str">
        <x:v>Relacionar organizador, convocatoria y participante.</x:v>
      </x:c>
      <x:c r="F193" s="43" t="str">
        <x:v>Completado</x:v>
      </x:c>
      <x:c r="G193" s="44" t="n">
        <x:v>46280</x:v>
      </x:c>
      <x:c r="H193" s="44" t="n">
        <x:v>46286</x:v>
      </x:c>
      <x:c r="I193" s="45" t="n">
        <x:f>IF(OR(G193="",H193=""),"",SUMPRODUCT(('Cronograma'!$F$8:$P$8&lt;=H193)*('Cronograma'!$F$9:$P$9&gt;=G193)))</x:f>
        <x:v>1</x:v>
      </x:c>
      <x:c r="J193" s="46"/>
      <x:c r="K193" s="46"/>
      <x:c r="L193" s="47"/>
      <x:c r="M193" s="48" t="str"/>
      <x:c r="N193" s="48" t="str"/>
      <x:c r="O193" s="49" t="n">
        <x:v>46282</x:v>
      </x:c>
      <x:c r="P193" s="43" t="str">
        <x:v>Commit de integración y documentos</x:v>
      </x:c>
      <x:c r="Q193" s="43" t="str">
        <x:v>COM01, COM02</x:v>
      </x:c>
      <x:c r="R193" s="43" t="str"/>
      <x:c r="S193" s="43" t="str">
        <x:v>b321100 se guardó como WIP. Estas capacidades se conservan en etapas posteriores; la aceptación del rediseño se registra en MIS05.</x:v>
      </x:c>
      <x:c r="T193" s="43" t="str">
        <x:v>S040, S041, S032, S042</x:v>
      </x:c>
      <x:c r="U193" s="43" t="str">
        <x:v>git:b321100:README.md
supabase/migrations/005_mission_lifecycle.sql
docs/community.md
test/features/community/mission_repository_test.dart</x:v>
      </x:c>
    </x:row>
    <x:row r="194" ht="56" customHeight="1">
      <x:c r="A194" s="42" t="str">
        <x:v>MIS01.002</x:v>
      </x:c>
      <x:c r="B194" s="42" t="str">
        <x:v>Primer flujo y ciclo de vida de misiones</x:v>
      </x:c>
      <x:c r="C194" s="42" t="str">
        <x:v>MIS01</x:v>
      </x:c>
      <x:c r="D194" s="43" t="str">
        <x:v>Crear formulario inicial de misión</x:v>
      </x:c>
      <x:c r="E194" s="43" t="str">
        <x:v>Capturar descripción, fecha, cupo y ubicación.</x:v>
      </x:c>
      <x:c r="F194" s="43" t="str">
        <x:v>Completado</x:v>
      </x:c>
      <x:c r="G194" s="44" t="n">
        <x:v>46280</x:v>
      </x:c>
      <x:c r="H194" s="44" t="n">
        <x:v>46286</x:v>
      </x:c>
      <x:c r="I194" s="45" t="n">
        <x:f>IF(OR(G194="",H194=""),"",SUMPRODUCT(('Cronograma'!$F$8:$P$8&lt;=H194)*('Cronograma'!$F$9:$P$9&gt;=G194)))</x:f>
        <x:v>1</x:v>
      </x:c>
      <x:c r="J194" s="46"/>
      <x:c r="K194" s="46"/>
      <x:c r="L194" s="47"/>
      <x:c r="M194" s="48" t="str"/>
      <x:c r="N194" s="48" t="str"/>
      <x:c r="O194" s="49" t="n">
        <x:v>46282</x:v>
      </x:c>
      <x:c r="P194" s="43" t="str">
        <x:v>Commit de integración y documentos</x:v>
      </x:c>
      <x:c r="Q194" s="43" t="str">
        <x:v>COM01, COM02</x:v>
      </x:c>
      <x:c r="R194" s="43" t="str"/>
      <x:c r="S194" s="43" t="str">
        <x:v>b321100 se guardó como WIP. Estas capacidades se conservan en etapas posteriores; la aceptación del rediseño se registra en MIS05.</x:v>
      </x:c>
      <x:c r="T194" s="43" t="str">
        <x:v>S040, S041, S032, S042</x:v>
      </x:c>
      <x:c r="U194" s="43" t="str">
        <x:v>git:b321100:README.md
supabase/migrations/005_mission_lifecycle.sql
docs/community.md
test/features/community/mission_repository_test.dart</x:v>
      </x:c>
    </x:row>
    <x:row r="195" ht="56" customHeight="1">
      <x:c r="A195" s="42" t="str">
        <x:v>MIS01.003</x:v>
      </x:c>
      <x:c r="B195" s="42" t="str">
        <x:v>Primer flujo y ciclo de vida de misiones</x:v>
      </x:c>
      <x:c r="C195" s="42" t="str">
        <x:v>MIS01</x:v>
      </x:c>
      <x:c r="D195" s="43" t="str">
        <x:v>Crear listado inicial de misiones</x:v>
      </x:c>
      <x:c r="E195" s="43" t="str">
        <x:v>Mostrar convocatorias desde Supabase.</x:v>
      </x:c>
      <x:c r="F195" s="43" t="str">
        <x:v>Completado</x:v>
      </x:c>
      <x:c r="G195" s="44" t="n">
        <x:v>46280</x:v>
      </x:c>
      <x:c r="H195" s="44" t="n">
        <x:v>46286</x:v>
      </x:c>
      <x:c r="I195" s="45" t="n">
        <x:f>IF(OR(G195="",H195=""),"",SUMPRODUCT(('Cronograma'!$F$8:$P$8&lt;=H195)*('Cronograma'!$F$9:$P$9&gt;=G195)))</x:f>
        <x:v>1</x:v>
      </x:c>
      <x:c r="J195" s="46"/>
      <x:c r="K195" s="46"/>
      <x:c r="L195" s="47"/>
      <x:c r="M195" s="48" t="str"/>
      <x:c r="N195" s="48" t="str"/>
      <x:c r="O195" s="49" t="n">
        <x:v>46282</x:v>
      </x:c>
      <x:c r="P195" s="43" t="str">
        <x:v>Commit de integración y documentos</x:v>
      </x:c>
      <x:c r="Q195" s="43" t="str">
        <x:v>COM01, COM02</x:v>
      </x:c>
      <x:c r="R195" s="43" t="str"/>
      <x:c r="S195" s="43" t="str">
        <x:v>b321100 se guardó como WIP. Estas capacidades se conservan en etapas posteriores; la aceptación del rediseño se registra en MIS05.</x:v>
      </x:c>
      <x:c r="T195" s="43" t="str">
        <x:v>S040, S041, S032, S042</x:v>
      </x:c>
      <x:c r="U195" s="43" t="str">
        <x:v>git:b321100:README.md
supabase/migrations/005_mission_lifecycle.sql
docs/community.md
test/features/community/mission_repository_test.dart</x:v>
      </x:c>
    </x:row>
    <x:row r="196" ht="56" customHeight="1">
      <x:c r="A196" s="42" t="str">
        <x:v>MIS01.004</x:v>
      </x:c>
      <x:c r="B196" s="42" t="str">
        <x:v>Primer flujo y ciclo de vida de misiones</x:v>
      </x:c>
      <x:c r="C196" s="42" t="str">
        <x:v>MIS01</x:v>
      </x:c>
      <x:c r="D196" s="43" t="str">
        <x:v>Crear detalle inicial de misión</x:v>
      </x:c>
      <x:c r="E196" s="43" t="str">
        <x:v>Mostrar condiciones y acción de participación.</x:v>
      </x:c>
      <x:c r="F196" s="43" t="str">
        <x:v>Completado</x:v>
      </x:c>
      <x:c r="G196" s="44" t="n">
        <x:v>46280</x:v>
      </x:c>
      <x:c r="H196" s="44" t="n">
        <x:v>46286</x:v>
      </x:c>
      <x:c r="I196" s="45" t="n">
        <x:f>IF(OR(G196="",H196=""),"",SUMPRODUCT(('Cronograma'!$F$8:$P$8&lt;=H196)*('Cronograma'!$F$9:$P$9&gt;=G196)))</x:f>
        <x:v>1</x:v>
      </x:c>
      <x:c r="J196" s="46"/>
      <x:c r="K196" s="46"/>
      <x:c r="L196" s="47"/>
      <x:c r="M196" s="48" t="str"/>
      <x:c r="N196" s="48" t="str"/>
      <x:c r="O196" s="49" t="n">
        <x:v>46282</x:v>
      </x:c>
      <x:c r="P196" s="43" t="str">
        <x:v>Commit de integración y documentos</x:v>
      </x:c>
      <x:c r="Q196" s="43" t="str">
        <x:v>COM01, COM02</x:v>
      </x:c>
      <x:c r="R196" s="43" t="str"/>
      <x:c r="S196" s="43" t="str">
        <x:v>b321100 se guardó como WIP. Estas capacidades se conservan en etapas posteriores; la aceptación del rediseño se registra en MIS05.</x:v>
      </x:c>
      <x:c r="T196" s="43" t="str">
        <x:v>S040, S041, S032, S042</x:v>
      </x:c>
      <x:c r="U196" s="43" t="str">
        <x:v>git:b321100:README.md
supabase/migrations/005_mission_lifecycle.sql
docs/community.md
test/features/community/mission_repository_test.dart</x:v>
      </x:c>
    </x:row>
    <x:row r="197" ht="56" customHeight="1">
      <x:c r="A197" s="42" t="str">
        <x:v>MIS01.005</x:v>
      </x:c>
      <x:c r="B197" s="42" t="str">
        <x:v>Primer flujo y ciclo de vida de misiones</x:v>
      </x:c>
      <x:c r="C197" s="42" t="str">
        <x:v>MIS01</x:v>
      </x:c>
      <x:c r="D197" s="43" t="str">
        <x:v>Filtrar elegibilidad por tipo solicitado</x:v>
      </x:c>
      <x:c r="E197" s="43" t="str">
        <x:v>Aceptar perfiles coincidentes o convocatoria abierta.</x:v>
      </x:c>
      <x:c r="F197" s="43" t="str">
        <x:v>Completado</x:v>
      </x:c>
      <x:c r="G197" s="44" t="n">
        <x:v>46280</x:v>
      </x:c>
      <x:c r="H197" s="44" t="n">
        <x:v>46286</x:v>
      </x:c>
      <x:c r="I197" s="45" t="n">
        <x:f>IF(OR(G197="",H197=""),"",SUMPRODUCT(('Cronograma'!$F$8:$P$8&lt;=H197)*('Cronograma'!$F$9:$P$9&gt;=G197)))</x:f>
        <x:v>1</x:v>
      </x:c>
      <x:c r="J197" s="46"/>
      <x:c r="K197" s="46"/>
      <x:c r="L197" s="47"/>
      <x:c r="M197" s="48" t="str"/>
      <x:c r="N197" s="48" t="str"/>
      <x:c r="O197" s="49" t="n">
        <x:v>46282</x:v>
      </x:c>
      <x:c r="P197" s="43" t="str">
        <x:v>Commit de integración y documentos</x:v>
      </x:c>
      <x:c r="Q197" s="43" t="str">
        <x:v>COM01, COM02</x:v>
      </x:c>
      <x:c r="R197" s="43" t="str"/>
      <x:c r="S197" s="43" t="str">
        <x:v>b321100 se guardó como WIP. Estas capacidades se conservan en etapas posteriores; la aceptación del rediseño se registra en MIS05.</x:v>
      </x:c>
      <x:c r="T197" s="43" t="str">
        <x:v>S040, S041, S032, S042</x:v>
      </x:c>
      <x:c r="U197" s="43" t="str">
        <x:v>git:b321100:README.md
supabase/migrations/005_mission_lifecycle.sql
docs/community.md
test/features/community/mission_repository_test.dart</x:v>
      </x:c>
    </x:row>
    <x:row r="198" ht="56" customHeight="1">
      <x:c r="A198" s="42" t="str">
        <x:v>MIS01.006</x:v>
      </x:c>
      <x:c r="B198" s="42" t="str">
        <x:v>Primer flujo y ciclo de vida de misiones</x:v>
      </x:c>
      <x:c r="C198" s="42" t="str">
        <x:v>MIS01</x:v>
      </x:c>
      <x:c r="D198" s="43" t="str">
        <x:v>Bloquear candidatura del organizador</x:v>
      </x:c>
      <x:c r="E198" s="43" t="str">
        <x:v>Impedir postularse a una misión propia.</x:v>
      </x:c>
      <x:c r="F198" s="43" t="str">
        <x:v>Completado</x:v>
      </x:c>
      <x:c r="G198" s="44" t="n">
        <x:v>46280</x:v>
      </x:c>
      <x:c r="H198" s="44" t="n">
        <x:v>46286</x:v>
      </x:c>
      <x:c r="I198" s="45" t="n">
        <x:f>IF(OR(G198="",H198=""),"",SUMPRODUCT(('Cronograma'!$F$8:$P$8&lt;=H198)*('Cronograma'!$F$9:$P$9&gt;=G198)))</x:f>
        <x:v>1</x:v>
      </x:c>
      <x:c r="J198" s="46"/>
      <x:c r="K198" s="46"/>
      <x:c r="L198" s="47"/>
      <x:c r="M198" s="48" t="str"/>
      <x:c r="N198" s="48" t="str"/>
      <x:c r="O198" s="49" t="n">
        <x:v>46282</x:v>
      </x:c>
      <x:c r="P198" s="43" t="str">
        <x:v>Commit de integración y documentos</x:v>
      </x:c>
      <x:c r="Q198" s="43" t="str">
        <x:v>COM01, COM02</x:v>
      </x:c>
      <x:c r="R198" s="43" t="str"/>
      <x:c r="S198" s="43" t="str">
        <x:v>b321100 se guardó como WIP. Estas capacidades se conservan en etapas posteriores; la aceptación del rediseño se registra en MIS05.</x:v>
      </x:c>
      <x:c r="T198" s="43" t="str">
        <x:v>S040, S041, S032, S042</x:v>
      </x:c>
      <x:c r="U198" s="43" t="str">
        <x:v>git:b321100:README.md
supabase/migrations/005_mission_lifecycle.sql
docs/community.md
test/features/community/mission_repository_test.dart</x:v>
      </x:c>
    </x:row>
    <x:row r="199" ht="56" customHeight="1">
      <x:c r="A199" s="42" t="str">
        <x:v>MIS01.007</x:v>
      </x:c>
      <x:c r="B199" s="42" t="str">
        <x:v>Primer flujo y ciclo de vida de misiones</x:v>
      </x:c>
      <x:c r="C199" s="42" t="str">
        <x:v>MIS01</x:v>
      </x:c>
      <x:c r="D199" s="43" t="str">
        <x:v>Validar fecha límite de candidatura</x:v>
      </x:c>
      <x:c r="E199" s="43" t="str">
        <x:v>Impedir solicitud fuera del periodo permitido.</x:v>
      </x:c>
      <x:c r="F199" s="43" t="str">
        <x:v>Completado</x:v>
      </x:c>
      <x:c r="G199" s="44" t="n">
        <x:v>46280</x:v>
      </x:c>
      <x:c r="H199" s="44" t="n">
        <x:v>46286</x:v>
      </x:c>
      <x:c r="I199" s="45" t="n">
        <x:f>IF(OR(G199="",H199=""),"",SUMPRODUCT(('Cronograma'!$F$8:$P$8&lt;=H199)*('Cronograma'!$F$9:$P$9&gt;=G199)))</x:f>
        <x:v>1</x:v>
      </x:c>
      <x:c r="J199" s="46"/>
      <x:c r="K199" s="46"/>
      <x:c r="L199" s="47"/>
      <x:c r="M199" s="48" t="str"/>
      <x:c r="N199" s="48" t="str"/>
      <x:c r="O199" s="49" t="n">
        <x:v>46282</x:v>
      </x:c>
      <x:c r="P199" s="43" t="str">
        <x:v>Commit de integración y documentos</x:v>
      </x:c>
      <x:c r="Q199" s="43" t="str">
        <x:v>COM01, COM02</x:v>
      </x:c>
      <x:c r="R199" s="43" t="str"/>
      <x:c r="S199" s="43" t="str">
        <x:v>b321100 se guardó como WIP. Estas capacidades se conservan en etapas posteriores; la aceptación del rediseño se registra en MIS05.</x:v>
      </x:c>
      <x:c r="T199" s="43" t="str">
        <x:v>S040, S041, S032, S042</x:v>
      </x:c>
      <x:c r="U199" s="43" t="str">
        <x:v>git:b321100:README.md
supabase/migrations/005_mission_lifecycle.sql
docs/community.md
test/features/community/mission_repository_test.dart</x:v>
      </x:c>
    </x:row>
    <x:row r="200" ht="56" customHeight="1">
      <x:c r="A200" s="42" t="str">
        <x:v>MIS01.008</x:v>
      </x:c>
      <x:c r="B200" s="42" t="str">
        <x:v>Primer flujo y ciclo de vida de misiones</x:v>
      </x:c>
      <x:c r="C200" s="42" t="str">
        <x:v>MIS01</x:v>
      </x:c>
      <x:c r="D200" s="43" t="str">
        <x:v>Validar disponibilidad de cupo</x:v>
      </x:c>
      <x:c r="E200" s="43" t="str">
        <x:v>No aceptar participantes fuera de capacidad.</x:v>
      </x:c>
      <x:c r="F200" s="43" t="str">
        <x:v>Completado</x:v>
      </x:c>
      <x:c r="G200" s="44" t="n">
        <x:v>46280</x:v>
      </x:c>
      <x:c r="H200" s="44" t="n">
        <x:v>46286</x:v>
      </x:c>
      <x:c r="I200" s="45" t="n">
        <x:f>IF(OR(G200="",H200=""),"",SUMPRODUCT(('Cronograma'!$F$8:$P$8&lt;=H200)*('Cronograma'!$F$9:$P$9&gt;=G200)))</x:f>
        <x:v>1</x:v>
      </x:c>
      <x:c r="J200" s="46"/>
      <x:c r="K200" s="46"/>
      <x:c r="L200" s="47"/>
      <x:c r="M200" s="48" t="str"/>
      <x:c r="N200" s="48" t="str"/>
      <x:c r="O200" s="49" t="n">
        <x:v>46282</x:v>
      </x:c>
      <x:c r="P200" s="43" t="str">
        <x:v>Commit de integración y documentos</x:v>
      </x:c>
      <x:c r="Q200" s="43" t="str">
        <x:v>COM01, COM02</x:v>
      </x:c>
      <x:c r="R200" s="43" t="str"/>
      <x:c r="S200" s="43" t="str">
        <x:v>b321100 se guardó como WIP. Estas capacidades se conservan en etapas posteriores; la aceptación del rediseño se registra en MIS05.</x:v>
      </x:c>
      <x:c r="T200" s="43" t="str">
        <x:v>S040, S041, S032, S042</x:v>
      </x:c>
      <x:c r="U200" s="43" t="str">
        <x:v>git:b321100:README.md
supabase/migrations/005_mission_lifecycle.sql
docs/community.md
test/features/community/mission_repository_test.dart</x:v>
      </x:c>
    </x:row>
    <x:row r="201" ht="56" customHeight="1">
      <x:c r="A201" s="42" t="str">
        <x:v>MIS01.009</x:v>
      </x:c>
      <x:c r="B201" s="42" t="str">
        <x:v>Primer flujo y ciclo de vida de misiones</x:v>
      </x:c>
      <x:c r="C201" s="42" t="str">
        <x:v>MIS01</x:v>
      </x:c>
      <x:c r="D201" s="43" t="str">
        <x:v>Enviar candidatura inicial</x:v>
      </x:c>
      <x:c r="E201" s="43" t="str">
        <x:v>Persistir mensaje y participante autorizado.</x:v>
      </x:c>
      <x:c r="F201" s="43" t="str">
        <x:v>Completado</x:v>
      </x:c>
      <x:c r="G201" s="44" t="n">
        <x:v>46280</x:v>
      </x:c>
      <x:c r="H201" s="44" t="n">
        <x:v>46286</x:v>
      </x:c>
      <x:c r="I201" s="45" t="n">
        <x:f>IF(OR(G201="",H201=""),"",SUMPRODUCT(('Cronograma'!$F$8:$P$8&lt;=H201)*('Cronograma'!$F$9:$P$9&gt;=G201)))</x:f>
        <x:v>1</x:v>
      </x:c>
      <x:c r="J201" s="46"/>
      <x:c r="K201" s="46"/>
      <x:c r="L201" s="47"/>
      <x:c r="M201" s="48" t="str"/>
      <x:c r="N201" s="48" t="str"/>
      <x:c r="O201" s="49" t="n">
        <x:v>46282</x:v>
      </x:c>
      <x:c r="P201" s="43" t="str">
        <x:v>Commit de integración y documentos</x:v>
      </x:c>
      <x:c r="Q201" s="43" t="str">
        <x:v>COM01, COM02</x:v>
      </x:c>
      <x:c r="R201" s="43" t="str"/>
      <x:c r="S201" s="43" t="str">
        <x:v>b321100 se guardó como WIP. Estas capacidades se conservan en etapas posteriores; la aceptación del rediseño se registra en MIS05.</x:v>
      </x:c>
      <x:c r="T201" s="43" t="str">
        <x:v>S040, S041, S032, S042</x:v>
      </x:c>
      <x:c r="U201" s="43" t="str">
        <x:v>git:b321100:README.md
supabase/migrations/005_mission_lifecycle.sql
docs/community.md
test/features/community/mission_repository_test.dart</x:v>
      </x:c>
    </x:row>
    <x:row r="202" ht="56" customHeight="1">
      <x:c r="A202" s="42" t="str">
        <x:v>MIS01.010</x:v>
      </x:c>
      <x:c r="B202" s="42" t="str">
        <x:v>Primer flujo y ciclo de vida de misiones</x:v>
      </x:c>
      <x:c r="C202" s="42" t="str">
        <x:v>MIS01</x:v>
      </x:c>
      <x:c r="D202" s="43" t="str">
        <x:v>Consultar candidaturas propias</x:v>
      </x:c>
      <x:c r="E202" s="43" t="str">
        <x:v>Mostrar el estado de participación.</x:v>
      </x:c>
      <x:c r="F202" s="43" t="str">
        <x:v>Completado</x:v>
      </x:c>
      <x:c r="G202" s="44" t="n">
        <x:v>46280</x:v>
      </x:c>
      <x:c r="H202" s="44" t="n">
        <x:v>46286</x:v>
      </x:c>
      <x:c r="I202" s="45" t="n">
        <x:f>IF(OR(G202="",H202=""),"",SUMPRODUCT(('Cronograma'!$F$8:$P$8&lt;=H202)*('Cronograma'!$F$9:$P$9&gt;=G202)))</x:f>
        <x:v>1</x:v>
      </x:c>
      <x:c r="J202" s="46"/>
      <x:c r="K202" s="46"/>
      <x:c r="L202" s="47"/>
      <x:c r="M202" s="48" t="str"/>
      <x:c r="N202" s="48" t="str"/>
      <x:c r="O202" s="49" t="n">
        <x:v>46282</x:v>
      </x:c>
      <x:c r="P202" s="43" t="str">
        <x:v>Commit de integración y documentos</x:v>
      </x:c>
      <x:c r="Q202" s="43" t="str">
        <x:v>COM01, COM02</x:v>
      </x:c>
      <x:c r="R202" s="43" t="str"/>
      <x:c r="S202" s="43" t="str">
        <x:v>b321100 se guardó como WIP. Estas capacidades se conservan en etapas posteriores; la aceptación del rediseño se registra en MIS05.</x:v>
      </x:c>
      <x:c r="T202" s="43" t="str">
        <x:v>S040, S041, S032, S042</x:v>
      </x:c>
      <x:c r="U202" s="43" t="str">
        <x:v>git:b321100:README.md
supabase/migrations/005_mission_lifecycle.sql
docs/community.md
test/features/community/mission_repository_test.dart</x:v>
      </x:c>
    </x:row>
    <x:row r="203" ht="56" customHeight="1">
      <x:c r="A203" s="42" t="str">
        <x:v>MIS01.011</x:v>
      </x:c>
      <x:c r="B203" s="42" t="str">
        <x:v>Primer flujo y ciclo de vida de misiones</x:v>
      </x:c>
      <x:c r="C203" s="42" t="str">
        <x:v>MIS01</x:v>
      </x:c>
      <x:c r="D203" s="43" t="str">
        <x:v>Retirar candidatura propia</x:v>
      </x:c>
      <x:c r="E203" s="43" t="str">
        <x:v>Conservar historial y aplicar restricciones temporales.</x:v>
      </x:c>
      <x:c r="F203" s="43" t="str">
        <x:v>Completado</x:v>
      </x:c>
      <x:c r="G203" s="44" t="n">
        <x:v>46280</x:v>
      </x:c>
      <x:c r="H203" s="44" t="n">
        <x:v>46286</x:v>
      </x:c>
      <x:c r="I203" s="45" t="n">
        <x:f>IF(OR(G203="",H203=""),"",SUMPRODUCT(('Cronograma'!$F$8:$P$8&lt;=H203)*('Cronograma'!$F$9:$P$9&gt;=G203)))</x:f>
        <x:v>1</x:v>
      </x:c>
      <x:c r="J203" s="46"/>
      <x:c r="K203" s="46"/>
      <x:c r="L203" s="47"/>
      <x:c r="M203" s="48" t="str"/>
      <x:c r="N203" s="48" t="str"/>
      <x:c r="O203" s="49" t="n">
        <x:v>46282</x:v>
      </x:c>
      <x:c r="P203" s="43" t="str">
        <x:v>Commit de integración y documentos</x:v>
      </x:c>
      <x:c r="Q203" s="43" t="str">
        <x:v>COM01, COM02</x:v>
      </x:c>
      <x:c r="R203" s="43" t="str"/>
      <x:c r="S203" s="43" t="str">
        <x:v>b321100 se guardó como WIP. Estas capacidades se conservan en etapas posteriores; la aceptación del rediseño se registra en MIS05.</x:v>
      </x:c>
      <x:c r="T203" s="43" t="str">
        <x:v>S040, S041, S032, S042</x:v>
      </x:c>
      <x:c r="U203" s="43" t="str">
        <x:v>git:b321100:README.md
supabase/migrations/005_mission_lifecycle.sql
docs/community.md
test/features/community/mission_repository_test.dart</x:v>
      </x:c>
    </x:row>
    <x:row r="204" ht="56" customHeight="1">
      <x:c r="A204" s="42" t="str">
        <x:v>MIS01.012</x:v>
      </x:c>
      <x:c r="B204" s="42" t="str">
        <x:v>Primer flujo y ciclo de vida de misiones</x:v>
      </x:c>
      <x:c r="C204" s="42" t="str">
        <x:v>MIS01</x:v>
      </x:c>
      <x:c r="D204" s="43" t="str">
        <x:v>Aceptar candidatura desde organizador</x:v>
      </x:c>
      <x:c r="E204" s="43" t="str">
        <x:v>Respetar propiedad y cupo.</x:v>
      </x:c>
      <x:c r="F204" s="43" t="str">
        <x:v>Completado</x:v>
      </x:c>
      <x:c r="G204" s="44" t="n">
        <x:v>46280</x:v>
      </x:c>
      <x:c r="H204" s="44" t="n">
        <x:v>46286</x:v>
      </x:c>
      <x:c r="I204" s="45" t="n">
        <x:f>IF(OR(G204="",H204=""),"",SUMPRODUCT(('Cronograma'!$F$8:$P$8&lt;=H204)*('Cronograma'!$F$9:$P$9&gt;=G204)))</x:f>
        <x:v>1</x:v>
      </x:c>
      <x:c r="J204" s="46"/>
      <x:c r="K204" s="46"/>
      <x:c r="L204" s="47"/>
      <x:c r="M204" s="48" t="str"/>
      <x:c r="N204" s="48" t="str"/>
      <x:c r="O204" s="49" t="n">
        <x:v>46282</x:v>
      </x:c>
      <x:c r="P204" s="43" t="str">
        <x:v>Commit de integración y documentos</x:v>
      </x:c>
      <x:c r="Q204" s="43" t="str">
        <x:v>COM01, COM02</x:v>
      </x:c>
      <x:c r="R204" s="43" t="str"/>
      <x:c r="S204" s="43" t="str">
        <x:v>b321100 se guardó como WIP. Estas capacidades se conservan en etapas posteriores; la aceptación del rediseño se registra en MIS05.</x:v>
      </x:c>
      <x:c r="T204" s="43" t="str">
        <x:v>S040, S041, S032, S042</x:v>
      </x:c>
      <x:c r="U204" s="43" t="str">
        <x:v>git:b321100:README.md
supabase/migrations/005_mission_lifecycle.sql
docs/community.md
test/features/community/mission_repository_test.dart</x:v>
      </x:c>
    </x:row>
    <x:row r="205" ht="56" customHeight="1">
      <x:c r="A205" s="42" t="str">
        <x:v>MIS01.013</x:v>
      </x:c>
      <x:c r="B205" s="42" t="str">
        <x:v>Primer flujo y ciclo de vida de misiones</x:v>
      </x:c>
      <x:c r="C205" s="42" t="str">
        <x:v>MIS01</x:v>
      </x:c>
      <x:c r="D205" s="43" t="str">
        <x:v>Rechazar candidatura individual</x:v>
      </x:c>
      <x:c r="E205" s="43" t="str">
        <x:v>Actualizar estado autorizado por el organizador.</x:v>
      </x:c>
      <x:c r="F205" s="43" t="str">
        <x:v>Completado</x:v>
      </x:c>
      <x:c r="G205" s="44" t="n">
        <x:v>46280</x:v>
      </x:c>
      <x:c r="H205" s="44" t="n">
        <x:v>46286</x:v>
      </x:c>
      <x:c r="I205" s="45" t="n">
        <x:f>IF(OR(G205="",H205=""),"",SUMPRODUCT(('Cronograma'!$F$8:$P$8&lt;=H205)*('Cronograma'!$F$9:$P$9&gt;=G205)))</x:f>
        <x:v>1</x:v>
      </x:c>
      <x:c r="J205" s="46"/>
      <x:c r="K205" s="46"/>
      <x:c r="L205" s="47"/>
      <x:c r="M205" s="48" t="str"/>
      <x:c r="N205" s="48" t="str"/>
      <x:c r="O205" s="49" t="n">
        <x:v>46282</x:v>
      </x:c>
      <x:c r="P205" s="43" t="str">
        <x:v>Commit de integración y documentos</x:v>
      </x:c>
      <x:c r="Q205" s="43" t="str">
        <x:v>COM01, COM02</x:v>
      </x:c>
      <x:c r="R205" s="43" t="str"/>
      <x:c r="S205" s="43" t="str">
        <x:v>b321100 se guardó como WIP. Estas capacidades se conservan en etapas posteriores; la aceptación del rediseño se registra en MIS05.</x:v>
      </x:c>
      <x:c r="T205" s="43" t="str">
        <x:v>S040, S041, S032, S042</x:v>
      </x:c>
      <x:c r="U205" s="43" t="str">
        <x:v>git:b321100:README.md
supabase/migrations/005_mission_lifecycle.sql
docs/community.md
test/features/community/mission_repository_test.dart</x:v>
      </x:c>
    </x:row>
    <x:row r="206" ht="56" customHeight="1">
      <x:c r="A206" s="42" t="str">
        <x:v>MIS01.014</x:v>
      </x:c>
      <x:c r="B206" s="42" t="str">
        <x:v>Primer flujo y ciclo de vida de misiones</x:v>
      </x:c>
      <x:c r="C206" s="42" t="str">
        <x:v>MIS01</x:v>
      </x:c>
      <x:c r="D206" s="43" t="str">
        <x:v>Cerrar convocatoria</x:v>
      </x:c>
      <x:c r="E206" s="43" t="str">
        <x:v>Detener nuevas solicitudes sin borrar historial.</x:v>
      </x:c>
      <x:c r="F206" s="43" t="str">
        <x:v>Completado</x:v>
      </x:c>
      <x:c r="G206" s="44" t="n">
        <x:v>46280</x:v>
      </x:c>
      <x:c r="H206" s="44" t="n">
        <x:v>46286</x:v>
      </x:c>
      <x:c r="I206" s="45" t="n">
        <x:f>IF(OR(G206="",H206=""),"",SUMPRODUCT(('Cronograma'!$F$8:$P$8&lt;=H206)*('Cronograma'!$F$9:$P$9&gt;=G206)))</x:f>
        <x:v>1</x:v>
      </x:c>
      <x:c r="J206" s="46"/>
      <x:c r="K206" s="46"/>
      <x:c r="L206" s="47"/>
      <x:c r="M206" s="48" t="str"/>
      <x:c r="N206" s="48" t="str"/>
      <x:c r="O206" s="49" t="n">
        <x:v>46282</x:v>
      </x:c>
      <x:c r="P206" s="43" t="str">
        <x:v>Commit de integración y documentos</x:v>
      </x:c>
      <x:c r="Q206" s="43" t="str">
        <x:v>COM01, COM02</x:v>
      </x:c>
      <x:c r="R206" s="43" t="str"/>
      <x:c r="S206" s="43" t="str">
        <x:v>b321100 se guardó como WIP. Estas capacidades se conservan en etapas posteriores; la aceptación del rediseño se registra en MIS05.</x:v>
      </x:c>
      <x:c r="T206" s="43" t="str">
        <x:v>S040, S041, S032, S042</x:v>
      </x:c>
      <x:c r="U206" s="43" t="str">
        <x:v>git:b321100:README.md
supabase/migrations/005_mission_lifecycle.sql
docs/community.md
test/features/community/mission_repository_test.dart</x:v>
      </x:c>
    </x:row>
    <x:row r="207" ht="56" customHeight="1">
      <x:c r="A207" s="42" t="str">
        <x:v>MIS01.015</x:v>
      </x:c>
      <x:c r="B207" s="42" t="str">
        <x:v>Primer flujo y ciclo de vida de misiones</x:v>
      </x:c>
      <x:c r="C207" s="42" t="str">
        <x:v>MIS01</x:v>
      </x:c>
      <x:c r="D207" s="43" t="str">
        <x:v>Reabrir convocatoria válida</x:v>
      </x:c>
      <x:c r="E207" s="43" t="str">
        <x:v>Permitir nuevas solicitudes antes de la fecha.</x:v>
      </x:c>
      <x:c r="F207" s="43" t="str">
        <x:v>Completado</x:v>
      </x:c>
      <x:c r="G207" s="44" t="n">
        <x:v>46280</x:v>
      </x:c>
      <x:c r="H207" s="44" t="n">
        <x:v>46286</x:v>
      </x:c>
      <x:c r="I207" s="45" t="n">
        <x:f>IF(OR(G207="",H207=""),"",SUMPRODUCT(('Cronograma'!$F$8:$P$8&lt;=H207)*('Cronograma'!$F$9:$P$9&gt;=G207)))</x:f>
        <x:v>1</x:v>
      </x:c>
      <x:c r="J207" s="46"/>
      <x:c r="K207" s="46"/>
      <x:c r="L207" s="47"/>
      <x:c r="M207" s="48" t="str"/>
      <x:c r="N207" s="48" t="str"/>
      <x:c r="O207" s="49" t="n">
        <x:v>46282</x:v>
      </x:c>
      <x:c r="P207" s="43" t="str">
        <x:v>Commit de integración y documentos</x:v>
      </x:c>
      <x:c r="Q207" s="43" t="str">
        <x:v>COM01, COM02</x:v>
      </x:c>
      <x:c r="R207" s="43" t="str"/>
      <x:c r="S207" s="43" t="str">
        <x:v>b321100 se guardó como WIP. Estas capacidades se conservan en etapas posteriores; la aceptación del rediseño se registra en MIS05.</x:v>
      </x:c>
      <x:c r="T207" s="43" t="str">
        <x:v>S040, S041, S032, S042</x:v>
      </x:c>
      <x:c r="U207" s="43" t="str">
        <x:v>git:b321100:README.md
supabase/migrations/005_mission_lifecycle.sql
docs/community.md
test/features/community/mission_repository_test.dart</x:v>
      </x:c>
    </x:row>
    <x:row r="208" ht="56" customHeight="1">
      <x:c r="A208" s="42" t="str">
        <x:v>MIS01.016</x:v>
      </x:c>
      <x:c r="B208" s="42" t="str">
        <x:v>Primer flujo y ciclo de vida de misiones</x:v>
      </x:c>
      <x:c r="C208" s="42" t="str">
        <x:v>MIS01</x:v>
      </x:c>
      <x:c r="D208" s="43" t="str">
        <x:v>Cancelar misión con motivo</x:v>
      </x:c>
      <x:c r="E208" s="43" t="str">
        <x:v>Registrar estado terminal y razón.</x:v>
      </x:c>
      <x:c r="F208" s="43" t="str">
        <x:v>Completado</x:v>
      </x:c>
      <x:c r="G208" s="44" t="n">
        <x:v>46280</x:v>
      </x:c>
      <x:c r="H208" s="44" t="n">
        <x:v>46286</x:v>
      </x:c>
      <x:c r="I208" s="45" t="n">
        <x:f>IF(OR(G208="",H208=""),"",SUMPRODUCT(('Cronograma'!$F$8:$P$8&lt;=H208)*('Cronograma'!$F$9:$P$9&gt;=G208)))</x:f>
        <x:v>1</x:v>
      </x:c>
      <x:c r="J208" s="46"/>
      <x:c r="K208" s="46"/>
      <x:c r="L208" s="47"/>
      <x:c r="M208" s="48" t="str"/>
      <x:c r="N208" s="48" t="str"/>
      <x:c r="O208" s="49" t="n">
        <x:v>46282</x:v>
      </x:c>
      <x:c r="P208" s="43" t="str">
        <x:v>Commit de integración y documentos</x:v>
      </x:c>
      <x:c r="Q208" s="43" t="str">
        <x:v>COM01, COM02</x:v>
      </x:c>
      <x:c r="R208" s="43" t="str"/>
      <x:c r="S208" s="43" t="str">
        <x:v>b321100 se guardó como WIP. Estas capacidades se conservan en etapas posteriores; la aceptación del rediseño se registra en MIS05.</x:v>
      </x:c>
      <x:c r="T208" s="43" t="str">
        <x:v>S040, S041, S032, S042</x:v>
      </x:c>
      <x:c r="U208" s="43" t="str">
        <x:v>git:b321100:README.md
supabase/migrations/005_mission_lifecycle.sql
docs/community.md
test/features/community/mission_repository_test.dart</x:v>
      </x:c>
    </x:row>
    <x:row r="209" ht="56" customHeight="1">
      <x:c r="A209" s="42" t="str">
        <x:v>MIS01.017</x:v>
      </x:c>
      <x:c r="B209" s="42" t="str">
        <x:v>Primer flujo y ciclo de vida de misiones</x:v>
      </x:c>
      <x:c r="C209" s="42" t="str">
        <x:v>MIS01</x:v>
      </x:c>
      <x:c r="D209" s="43" t="str">
        <x:v>Finalizar misión</x:v>
      </x:c>
      <x:c r="E209" s="43" t="str">
        <x:v>Conservar historial de la colaboración.</x:v>
      </x:c>
      <x:c r="F209" s="43" t="str">
        <x:v>Completado</x:v>
      </x:c>
      <x:c r="G209" s="44" t="n">
        <x:v>46280</x:v>
      </x:c>
      <x:c r="H209" s="44" t="n">
        <x:v>46286</x:v>
      </x:c>
      <x:c r="I209" s="45" t="n">
        <x:f>IF(OR(G209="",H209=""),"",SUMPRODUCT(('Cronograma'!$F$8:$P$8&lt;=H209)*('Cronograma'!$F$9:$P$9&gt;=G209)))</x:f>
        <x:v>1</x:v>
      </x:c>
      <x:c r="J209" s="46"/>
      <x:c r="K209" s="46"/>
      <x:c r="L209" s="47"/>
      <x:c r="M209" s="48" t="str"/>
      <x:c r="N209" s="48" t="str"/>
      <x:c r="O209" s="49" t="n">
        <x:v>46282</x:v>
      </x:c>
      <x:c r="P209" s="43" t="str">
        <x:v>Commit de integración y documentos</x:v>
      </x:c>
      <x:c r="Q209" s="43" t="str">
        <x:v>COM01, COM02</x:v>
      </x:c>
      <x:c r="R209" s="43" t="str"/>
      <x:c r="S209" s="43" t="str">
        <x:v>b321100 se guardó como WIP. Estas capacidades se conservan en etapas posteriores; la aceptación del rediseño se registra en MIS05.</x:v>
      </x:c>
      <x:c r="T209" s="43" t="str">
        <x:v>S040, S041, S032, S042</x:v>
      </x:c>
      <x:c r="U209" s="43" t="str">
        <x:v>git:b321100:README.md
supabase/migrations/005_mission_lifecycle.sql
docs/community.md
test/features/community/mission_repository_test.dart</x:v>
      </x:c>
    </x:row>
    <x:row r="210" ht="56" customHeight="1">
      <x:c r="A210" s="42" t="str">
        <x:v>MIS01.018</x:v>
      </x:c>
      <x:c r="B210" s="42" t="str">
        <x:v>Primer flujo y ciclo de vida de misiones</x:v>
      </x:c>
      <x:c r="C210" s="42" t="str">
        <x:v>MIS01</x:v>
      </x:c>
      <x:c r="D210" s="43" t="str">
        <x:v>Bloquear condiciones tras primera candidatura</x:v>
      </x:c>
      <x:c r="E210" s="43" t="str">
        <x:v>Evitar modificaciones incompatibles con solicitudes recibidas.</x:v>
      </x:c>
      <x:c r="F210" s="43" t="str">
        <x:v>Completado</x:v>
      </x:c>
      <x:c r="G210" s="44" t="n">
        <x:v>46280</x:v>
      </x:c>
      <x:c r="H210" s="44" t="n">
        <x:v>46286</x:v>
      </x:c>
      <x:c r="I210" s="45" t="n">
        <x:f>IF(OR(G210="",H210=""),"",SUMPRODUCT(('Cronograma'!$F$8:$P$8&lt;=H210)*('Cronograma'!$F$9:$P$9&gt;=G210)))</x:f>
        <x:v>1</x:v>
      </x:c>
      <x:c r="J210" s="46"/>
      <x:c r="K210" s="46"/>
      <x:c r="L210" s="47"/>
      <x:c r="M210" s="48" t="str"/>
      <x:c r="N210" s="48" t="str"/>
      <x:c r="O210" s="49" t="n">
        <x:v>46282</x:v>
      </x:c>
      <x:c r="P210" s="43" t="str">
        <x:v>Commit de integración y documentos</x:v>
      </x:c>
      <x:c r="Q210" s="43" t="str">
        <x:v>COM01, COM02</x:v>
      </x:c>
      <x:c r="R210" s="43" t="str"/>
      <x:c r="S210" s="43" t="str">
        <x:v>b321100 se guardó como WIP. Estas capacidades se conservan en etapas posteriores; la aceptación del rediseño se registra en MIS05.</x:v>
      </x:c>
      <x:c r="T210" s="43" t="str">
        <x:v>S040, S041, S032, S042</x:v>
      </x:c>
      <x:c r="U210" s="43" t="str">
        <x:v>git:b321100:README.md
supabase/migrations/005_mission_lifecycle.sql
docs/community.md
test/features/community/mission_repository_test.dart</x:v>
      </x:c>
    </x:row>
    <x:row r="211" ht="56" customHeight="1">
      <x:c r="A211" s="42" t="str">
        <x:v>COM03.001</x:v>
      </x:c>
      <x:c r="B211" s="42" t="str">
        <x:v>Moderación y eliminación ampliada de cuenta</x:v>
      </x:c>
      <x:c r="C211" s="42" t="str">
        <x:v>COM03</x:v>
      </x:c>
      <x:c r="D211" s="43" t="str">
        <x:v>Reportar publicaciones</x:v>
      </x:c>
      <x:c r="E211" s="43" t="str">
        <x:v>Guardar razón de reporte vinculada a contenido.</x:v>
      </x:c>
      <x:c r="F211" s="43" t="str">
        <x:v>Completado</x:v>
      </x:c>
      <x:c r="G211" s="44" t="n">
        <x:v>46280</x:v>
      </x:c>
      <x:c r="H211" s="44" t="n">
        <x:v>46286</x:v>
      </x:c>
      <x:c r="I211" s="45" t="n">
        <x:f>IF(OR(G211="",H211=""),"",SUMPRODUCT(('Cronograma'!$F$8:$P$8&lt;=H211)*('Cronograma'!$F$9:$P$9&gt;=G211)))</x:f>
        <x:v>1</x:v>
      </x:c>
      <x:c r="J211" s="46"/>
      <x:c r="K211" s="46"/>
      <x:c r="L211" s="47"/>
      <x:c r="M211" s="48" t="str"/>
      <x:c r="N211" s="48" t="str"/>
      <x:c r="O211" s="49" t="n">
        <x:v>46282</x:v>
      </x:c>
      <x:c r="P211" s="43" t="str">
        <x:v>Reporte fechado y código asociado</x:v>
      </x:c>
      <x:c r="Q211" s="43" t="str">
        <x:v>COM01, MIS01</x:v>
      </x:c>
      <x:c r="R211" s="43" t="str"/>
      <x:c r="S211" s="43" t="str"/>
      <x:c r="T211" s="43" t="str">
        <x:v>S032, S005, S043, S044</x:v>
      </x:c>
      <x:c r="U211" s="43" t="str">
        <x:v>docs/community.md
docs/account-completion.md
supabase/functions/delete-account/index.ts
lib/features/community/presentation/moderation_screen.dart</x:v>
      </x:c>
    </x:row>
    <x:row r="212" ht="56" customHeight="1">
      <x:c r="A212" s="42" t="str">
        <x:v>COM03.002</x:v>
      </x:c>
      <x:c r="B212" s="42" t="str">
        <x:v>Moderación y eliminación ampliada de cuenta</x:v>
      </x:c>
      <x:c r="C212" s="42" t="str">
        <x:v>COM03</x:v>
      </x:c>
      <x:c r="D212" s="43" t="str">
        <x:v>Reportar misiones</x:v>
      </x:c>
      <x:c r="E212" s="43" t="str">
        <x:v>Permitir revisión de convocatorias.</x:v>
      </x:c>
      <x:c r="F212" s="43" t="str">
        <x:v>Completado</x:v>
      </x:c>
      <x:c r="G212" s="44" t="n">
        <x:v>46280</x:v>
      </x:c>
      <x:c r="H212" s="44" t="n">
        <x:v>46286</x:v>
      </x:c>
      <x:c r="I212" s="45" t="n">
        <x:f>IF(OR(G212="",H212=""),"",SUMPRODUCT(('Cronograma'!$F$8:$P$8&lt;=H212)*('Cronograma'!$F$9:$P$9&gt;=G212)))</x:f>
        <x:v>1</x:v>
      </x:c>
      <x:c r="J212" s="46"/>
      <x:c r="K212" s="46"/>
      <x:c r="L212" s="47"/>
      <x:c r="M212" s="48" t="str"/>
      <x:c r="N212" s="48" t="str"/>
      <x:c r="O212" s="49" t="n">
        <x:v>46282</x:v>
      </x:c>
      <x:c r="P212" s="43" t="str">
        <x:v>Reporte fechado y código asociado</x:v>
      </x:c>
      <x:c r="Q212" s="43" t="str">
        <x:v>COM01, MIS01</x:v>
      </x:c>
      <x:c r="R212" s="43" t="str"/>
      <x:c r="S212" s="43" t="str"/>
      <x:c r="T212" s="43" t="str">
        <x:v>S032, S005, S043, S044</x:v>
      </x:c>
      <x:c r="U212" s="43" t="str">
        <x:v>docs/community.md
docs/account-completion.md
supabase/functions/delete-account/index.ts
lib/features/community/presentation/moderation_screen.dart</x:v>
      </x:c>
    </x:row>
    <x:row r="213" ht="56" customHeight="1">
      <x:c r="A213" s="42" t="str">
        <x:v>COM03.003</x:v>
      </x:c>
      <x:c r="B213" s="42" t="str">
        <x:v>Moderación y eliminación ampliada de cuenta</x:v>
      </x:c>
      <x:c r="C213" s="42" t="str">
        <x:v>COM03</x:v>
      </x:c>
      <x:c r="D213" s="43" t="str">
        <x:v>Crear cola privada de moderación</x:v>
      </x:c>
      <x:c r="E213" s="43" t="str">
        <x:v>Mostrar reportes solo a administradores.</x:v>
      </x:c>
      <x:c r="F213" s="43" t="str">
        <x:v>Completado</x:v>
      </x:c>
      <x:c r="G213" s="44" t="n">
        <x:v>46280</x:v>
      </x:c>
      <x:c r="H213" s="44" t="n">
        <x:v>46286</x:v>
      </x:c>
      <x:c r="I213" s="45" t="n">
        <x:f>IF(OR(G213="",H213=""),"",SUMPRODUCT(('Cronograma'!$F$8:$P$8&lt;=H213)*('Cronograma'!$F$9:$P$9&gt;=G213)))</x:f>
        <x:v>1</x:v>
      </x:c>
      <x:c r="J213" s="46"/>
      <x:c r="K213" s="46"/>
      <x:c r="L213" s="47"/>
      <x:c r="M213" s="48" t="str"/>
      <x:c r="N213" s="48" t="str"/>
      <x:c r="O213" s="49" t="n">
        <x:v>46282</x:v>
      </x:c>
      <x:c r="P213" s="43" t="str">
        <x:v>Reporte fechado y código asociado</x:v>
      </x:c>
      <x:c r="Q213" s="43" t="str">
        <x:v>COM01, MIS01</x:v>
      </x:c>
      <x:c r="R213" s="43" t="str"/>
      <x:c r="S213" s="43" t="str"/>
      <x:c r="T213" s="43" t="str">
        <x:v>S032, S005, S043, S044</x:v>
      </x:c>
      <x:c r="U213" s="43" t="str">
        <x:v>docs/community.md
docs/account-completion.md
supabase/functions/delete-account/index.ts
lib/features/community/presentation/moderation_screen.dart</x:v>
      </x:c>
    </x:row>
    <x:row r="214" ht="56" customHeight="1">
      <x:c r="A214" s="42" t="str">
        <x:v>COM03.004</x:v>
      </x:c>
      <x:c r="B214" s="42" t="str">
        <x:v>Moderación y eliminación ampliada de cuenta</x:v>
      </x:c>
      <x:c r="C214" s="42" t="str">
        <x:v>COM03</x:v>
      </x:c>
      <x:c r="D214" s="43" t="str">
        <x:v>Ocultar contenido reportado</x:v>
      </x:c>
      <x:c r="E214" s="43" t="str">
        <x:v>Retirar disponibilidad sin dar control a usuarios comunes.</x:v>
      </x:c>
      <x:c r="F214" s="43" t="str">
        <x:v>Completado</x:v>
      </x:c>
      <x:c r="G214" s="44" t="n">
        <x:v>46280</x:v>
      </x:c>
      <x:c r="H214" s="44" t="n">
        <x:v>46286</x:v>
      </x:c>
      <x:c r="I214" s="45" t="n">
        <x:f>IF(OR(G214="",H214=""),"",SUMPRODUCT(('Cronograma'!$F$8:$P$8&lt;=H214)*('Cronograma'!$F$9:$P$9&gt;=G214)))</x:f>
        <x:v>1</x:v>
      </x:c>
      <x:c r="J214" s="46"/>
      <x:c r="K214" s="46"/>
      <x:c r="L214" s="47"/>
      <x:c r="M214" s="48" t="str"/>
      <x:c r="N214" s="48" t="str"/>
      <x:c r="O214" s="49" t="n">
        <x:v>46282</x:v>
      </x:c>
      <x:c r="P214" s="43" t="str">
        <x:v>Reporte fechado y código asociado</x:v>
      </x:c>
      <x:c r="Q214" s="43" t="str">
        <x:v>COM01, MIS01</x:v>
      </x:c>
      <x:c r="R214" s="43" t="str"/>
      <x:c r="S214" s="43" t="str"/>
      <x:c r="T214" s="43" t="str">
        <x:v>S032, S005, S043, S044</x:v>
      </x:c>
      <x:c r="U214" s="43" t="str">
        <x:v>docs/community.md
docs/account-completion.md
supabase/functions/delete-account/index.ts
lib/features/community/presentation/moderation_screen.dart</x:v>
      </x:c>
    </x:row>
    <x:row r="215" ht="56" customHeight="1">
      <x:c r="A215" s="42" t="str">
        <x:v>COM03.005</x:v>
      </x:c>
      <x:c r="B215" s="42" t="str">
        <x:v>Moderación y eliminación ampliada de cuenta</x:v>
      </x:c>
      <x:c r="C215" s="42" t="str">
        <x:v>COM03</x:v>
      </x:c>
      <x:c r="D215" s="43" t="str">
        <x:v>Restaurar contenido desde historial</x:v>
      </x:c>
      <x:c r="E215" s="43" t="str">
        <x:v>Recuperar visibilidad mediante acción administrativa.</x:v>
      </x:c>
      <x:c r="F215" s="43" t="str">
        <x:v>Completado</x:v>
      </x:c>
      <x:c r="G215" s="44" t="n">
        <x:v>46280</x:v>
      </x:c>
      <x:c r="H215" s="44" t="n">
        <x:v>46286</x:v>
      </x:c>
      <x:c r="I215" s="45" t="n">
        <x:f>IF(OR(G215="",H215=""),"",SUMPRODUCT(('Cronograma'!$F$8:$P$8&lt;=H215)*('Cronograma'!$F$9:$P$9&gt;=G215)))</x:f>
        <x:v>1</x:v>
      </x:c>
      <x:c r="J215" s="46"/>
      <x:c r="K215" s="46"/>
      <x:c r="L215" s="47"/>
      <x:c r="M215" s="48" t="str"/>
      <x:c r="N215" s="48" t="str"/>
      <x:c r="O215" s="49" t="n">
        <x:v>46282</x:v>
      </x:c>
      <x:c r="P215" s="43" t="str">
        <x:v>Reporte fechado y código asociado</x:v>
      </x:c>
      <x:c r="Q215" s="43" t="str">
        <x:v>COM01, MIS01</x:v>
      </x:c>
      <x:c r="R215" s="43" t="str"/>
      <x:c r="S215" s="43" t="str"/>
      <x:c r="T215" s="43" t="str">
        <x:v>S032, S005, S043, S044</x:v>
      </x:c>
      <x:c r="U215" s="43" t="str">
        <x:v>docs/community.md
docs/account-completion.md
supabase/functions/delete-account/index.ts
lib/features/community/presentation/moderation_screen.dart</x:v>
      </x:c>
    </x:row>
    <x:row r="216" ht="56" customHeight="1">
      <x:c r="A216" s="42" t="str">
        <x:v>COM03.006</x:v>
      </x:c>
      <x:c r="B216" s="42" t="str">
        <x:v>Moderación y eliminación ampliada de cuenta</x:v>
      </x:c>
      <x:c r="C216" s="42" t="str">
        <x:v>COM03</x:v>
      </x:c>
      <x:c r="D216" s="43" t="str">
        <x:v>Separar rol administrador del tipo de perfil</x:v>
      </x:c>
      <x:c r="E216" s="43" t="str">
        <x:v>No asignar moderación mediante registro.</x:v>
      </x:c>
      <x:c r="F216" s="43" t="str">
        <x:v>Completado</x:v>
      </x:c>
      <x:c r="G216" s="44" t="n">
        <x:v>46280</x:v>
      </x:c>
      <x:c r="H216" s="44" t="n">
        <x:v>46286</x:v>
      </x:c>
      <x:c r="I216" s="45" t="n">
        <x:f>IF(OR(G216="",H216=""),"",SUMPRODUCT(('Cronograma'!$F$8:$P$8&lt;=H216)*('Cronograma'!$F$9:$P$9&gt;=G216)))</x:f>
        <x:v>1</x:v>
      </x:c>
      <x:c r="J216" s="46"/>
      <x:c r="K216" s="46"/>
      <x:c r="L216" s="47"/>
      <x:c r="M216" s="48" t="str"/>
      <x:c r="N216" s="48" t="str"/>
      <x:c r="O216" s="49" t="n">
        <x:v>46282</x:v>
      </x:c>
      <x:c r="P216" s="43" t="str">
        <x:v>Reporte fechado y código asociado</x:v>
      </x:c>
      <x:c r="Q216" s="43" t="str">
        <x:v>COM01, MIS01</x:v>
      </x:c>
      <x:c r="R216" s="43" t="str"/>
      <x:c r="S216" s="43" t="str"/>
      <x:c r="T216" s="43" t="str">
        <x:v>S032, S005, S043, S044</x:v>
      </x:c>
      <x:c r="U216" s="43" t="str">
        <x:v>docs/community.md
docs/account-completion.md
supabase/functions/delete-account/index.ts
lib/features/community/presentation/moderation_screen.dart</x:v>
      </x:c>
    </x:row>
    <x:row r="217" ht="56" customHeight="1">
      <x:c r="A217" s="42" t="str">
        <x:v>COM03.007</x:v>
      </x:c>
      <x:c r="B217" s="42" t="str">
        <x:v>Moderación y eliminación ampliada de cuenta</x:v>
      </x:c>
      <x:c r="C217" s="42" t="str">
        <x:v>COM03</x:v>
      </x:c>
      <x:c r="D217" s="43" t="str">
        <x:v>Crear marcador durable de eliminación</x:v>
      </x:c>
      <x:c r="E217" s="43" t="str">
        <x:v>Permitir reintentar borrado interrumpido.</x:v>
      </x:c>
      <x:c r="F217" s="43" t="str">
        <x:v>Completado</x:v>
      </x:c>
      <x:c r="G217" s="44" t="n">
        <x:v>46280</x:v>
      </x:c>
      <x:c r="H217" s="44" t="n">
        <x:v>46286</x:v>
      </x:c>
      <x:c r="I217" s="45" t="n">
        <x:f>IF(OR(G217="",H217=""),"",SUMPRODUCT(('Cronograma'!$F$8:$P$8&lt;=H217)*('Cronograma'!$F$9:$P$9&gt;=G217)))</x:f>
        <x:v>1</x:v>
      </x:c>
      <x:c r="J217" s="46"/>
      <x:c r="K217" s="46"/>
      <x:c r="L217" s="47"/>
      <x:c r="M217" s="48" t="str"/>
      <x:c r="N217" s="48" t="str"/>
      <x:c r="O217" s="49" t="n">
        <x:v>46282</x:v>
      </x:c>
      <x:c r="P217" s="43" t="str">
        <x:v>Reporte fechado y código asociado</x:v>
      </x:c>
      <x:c r="Q217" s="43" t="str">
        <x:v>COM01, MIS01</x:v>
      </x:c>
      <x:c r="R217" s="43" t="str"/>
      <x:c r="S217" s="43" t="str"/>
      <x:c r="T217" s="43" t="str">
        <x:v>S032, S005, S043, S044</x:v>
      </x:c>
      <x:c r="U217" s="43" t="str">
        <x:v>docs/community.md
docs/account-completion.md
supabase/functions/delete-account/index.ts
lib/features/community/presentation/moderation_screen.dart</x:v>
      </x:c>
    </x:row>
    <x:row r="218" ht="56" customHeight="1">
      <x:c r="A218" s="42" t="str">
        <x:v>COM03.008</x:v>
      </x:c>
      <x:c r="B218" s="42" t="str">
        <x:v>Moderación y eliminación ampliada de cuenta</x:v>
      </x:c>
      <x:c r="C218" s="42" t="str">
        <x:v>COM03</x:v>
      </x:c>
      <x:c r="D218" s="43" t="str">
        <x:v>Bloquear escrituras de cuenta en eliminación</x:v>
      </x:c>
      <x:c r="E218" s="43" t="str">
        <x:v>Evitar crear recursos durante el proceso.</x:v>
      </x:c>
      <x:c r="F218" s="43" t="str">
        <x:v>Completado</x:v>
      </x:c>
      <x:c r="G218" s="44" t="n">
        <x:v>46280</x:v>
      </x:c>
      <x:c r="H218" s="44" t="n">
        <x:v>46286</x:v>
      </x:c>
      <x:c r="I218" s="45" t="n">
        <x:f>IF(OR(G218="",H218=""),"",SUMPRODUCT(('Cronograma'!$F$8:$P$8&lt;=H218)*('Cronograma'!$F$9:$P$9&gt;=G218)))</x:f>
        <x:v>1</x:v>
      </x:c>
      <x:c r="J218" s="46"/>
      <x:c r="K218" s="46"/>
      <x:c r="L218" s="47"/>
      <x:c r="M218" s="48" t="str"/>
      <x:c r="N218" s="48" t="str"/>
      <x:c r="O218" s="49" t="n">
        <x:v>46282</x:v>
      </x:c>
      <x:c r="P218" s="43" t="str">
        <x:v>Reporte fechado y código asociado</x:v>
      </x:c>
      <x:c r="Q218" s="43" t="str">
        <x:v>COM01, MIS01</x:v>
      </x:c>
      <x:c r="R218" s="43" t="str"/>
      <x:c r="S218" s="43" t="str"/>
      <x:c r="T218" s="43" t="str">
        <x:v>S032, S005, S043, S044</x:v>
      </x:c>
      <x:c r="U218" s="43" t="str">
        <x:v>docs/community.md
docs/account-completion.md
supabase/functions/delete-account/index.ts
lib/features/community/presentation/moderation_screen.dart</x:v>
      </x:c>
    </x:row>
    <x:row r="219" ht="56" customHeight="1">
      <x:c r="A219" s="42" t="str">
        <x:v>COM03.009</x:v>
      </x:c>
      <x:c r="B219" s="42" t="str">
        <x:v>Moderación y eliminación ampliada de cuenta</x:v>
      </x:c>
      <x:c r="C219" s="42" t="str">
        <x:v>COM03</x:v>
      </x:c>
      <x:c r="D219" s="43" t="str">
        <x:v>Esperar operaciones de imagen en curso</x:v>
      </x:c>
      <x:c r="E219" s="43" t="str">
        <x:v>Coordinar limpieza con las subidas pendientes.</x:v>
      </x:c>
      <x:c r="F219" s="43" t="str">
        <x:v>Completado</x:v>
      </x:c>
      <x:c r="G219" s="44" t="n">
        <x:v>46280</x:v>
      </x:c>
      <x:c r="H219" s="44" t="n">
        <x:v>46286</x:v>
      </x:c>
      <x:c r="I219" s="45" t="n">
        <x:f>IF(OR(G219="",H219=""),"",SUMPRODUCT(('Cronograma'!$F$8:$P$8&lt;=H219)*('Cronograma'!$F$9:$P$9&gt;=G219)))</x:f>
        <x:v>1</x:v>
      </x:c>
      <x:c r="J219" s="46"/>
      <x:c r="K219" s="46"/>
      <x:c r="L219" s="47"/>
      <x:c r="M219" s="48" t="str"/>
      <x:c r="N219" s="48" t="str"/>
      <x:c r="O219" s="49" t="n">
        <x:v>46282</x:v>
      </x:c>
      <x:c r="P219" s="43" t="str">
        <x:v>Reporte fechado y código asociado</x:v>
      </x:c>
      <x:c r="Q219" s="43" t="str">
        <x:v>COM01, MIS01</x:v>
      </x:c>
      <x:c r="R219" s="43" t="str"/>
      <x:c r="S219" s="43" t="str"/>
      <x:c r="T219" s="43" t="str">
        <x:v>S032, S005, S043, S044</x:v>
      </x:c>
      <x:c r="U219" s="43" t="str">
        <x:v>docs/community.md
docs/account-completion.md
supabase/functions/delete-account/index.ts
lib/features/community/presentation/moderation_screen.dart</x:v>
      </x:c>
    </x:row>
    <x:row r="220" ht="56" customHeight="1">
      <x:c r="A220" s="42" t="str">
        <x:v>COM03.010</x:v>
      </x:c>
      <x:c r="B220" s="42" t="str">
        <x:v>Moderación y eliminación ampliada de cuenta</x:v>
      </x:c>
      <x:c r="C220" s="42" t="str">
        <x:v>COM03</x:v>
      </x:c>
      <x:c r="D220" s="43" t="str">
        <x:v>Limpiar imágenes de publicaciones al borrar cuenta</x:v>
      </x:c>
      <x:c r="E220" s="43" t="str">
        <x:v>Incluir post-images en la eliminación.</x:v>
      </x:c>
      <x:c r="F220" s="43" t="str">
        <x:v>Completado</x:v>
      </x:c>
      <x:c r="G220" s="44" t="n">
        <x:v>46280</x:v>
      </x:c>
      <x:c r="H220" s="44" t="n">
        <x:v>46286</x:v>
      </x:c>
      <x:c r="I220" s="45" t="n">
        <x:f>IF(OR(G220="",H220=""),"",SUMPRODUCT(('Cronograma'!$F$8:$P$8&lt;=H220)*('Cronograma'!$F$9:$P$9&gt;=G220)))</x:f>
        <x:v>1</x:v>
      </x:c>
      <x:c r="J220" s="46"/>
      <x:c r="K220" s="46"/>
      <x:c r="L220" s="47"/>
      <x:c r="M220" s="48" t="str"/>
      <x:c r="N220" s="48" t="str"/>
      <x:c r="O220" s="49" t="n">
        <x:v>46282</x:v>
      </x:c>
      <x:c r="P220" s="43" t="str">
        <x:v>Reporte fechado y código asociado</x:v>
      </x:c>
      <x:c r="Q220" s="43" t="str">
        <x:v>COM01, MIS01</x:v>
      </x:c>
      <x:c r="R220" s="43" t="str"/>
      <x:c r="S220" s="43" t="str"/>
      <x:c r="T220" s="43" t="str">
        <x:v>S032, S005, S043, S044</x:v>
      </x:c>
      <x:c r="U220" s="43" t="str">
        <x:v>docs/community.md
docs/account-completion.md
supabase/functions/delete-account/index.ts
lib/features/community/presentation/moderation_screen.dart</x:v>
      </x:c>
    </x:row>
    <x:row r="221" ht="56" customHeight="1">
      <x:c r="A221" s="42" t="str">
        <x:v>COM03.011</x:v>
      </x:c>
      <x:c r="B221" s="42" t="str">
        <x:v>Moderación y eliminación ampliada de cuenta</x:v>
      </x:c>
      <x:c r="C221" s="42" t="str">
        <x:v>COM03</x:v>
      </x:c>
      <x:c r="D221" s="43" t="str">
        <x:v>Eliminar Auth tras limpieza</x:v>
      </x:c>
      <x:c r="E221" s="43" t="str">
        <x:v>Completar cascadas de datos de la cuenta.</x:v>
      </x:c>
      <x:c r="F221" s="43" t="str">
        <x:v>Completado</x:v>
      </x:c>
      <x:c r="G221" s="44" t="n">
        <x:v>46280</x:v>
      </x:c>
      <x:c r="H221" s="44" t="n">
        <x:v>46286</x:v>
      </x:c>
      <x:c r="I221" s="45" t="n">
        <x:f>IF(OR(G221="",H221=""),"",SUMPRODUCT(('Cronograma'!$F$8:$P$8&lt;=H221)*('Cronograma'!$F$9:$P$9&gt;=G221)))</x:f>
        <x:v>1</x:v>
      </x:c>
      <x:c r="J221" s="46"/>
      <x:c r="K221" s="46"/>
      <x:c r="L221" s="47"/>
      <x:c r="M221" s="48" t="str"/>
      <x:c r="N221" s="48" t="str"/>
      <x:c r="O221" s="49" t="n">
        <x:v>46282</x:v>
      </x:c>
      <x:c r="P221" s="43" t="str">
        <x:v>Reporte fechado y código asociado</x:v>
      </x:c>
      <x:c r="Q221" s="43" t="str">
        <x:v>COM01, MIS01</x:v>
      </x:c>
      <x:c r="R221" s="43" t="str"/>
      <x:c r="S221" s="43" t="str"/>
      <x:c r="T221" s="43" t="str">
        <x:v>S032, S005, S043, S044</x:v>
      </x:c>
      <x:c r="U221" s="43" t="str">
        <x:v>docs/community.md
docs/account-completion.md
supabase/functions/delete-account/index.ts
lib/features/community/presentation/moderation_screen.dart</x:v>
      </x:c>
    </x:row>
    <x:row r="222" ht="44" customHeight="1">
      <x:c r="A222" s="42" t="str">
        <x:v>GIT01.001</x:v>
      </x:c>
      <x:c r="B222" s="42" t="str">
        <x:v>Publicación del repositorio e integración del historial</x:v>
      </x:c>
      <x:c r="C222" s="42" t="str">
        <x:v>GIT01</x:v>
      </x:c>
      <x:c r="D222" s="43" t="str">
        <x:v>Preparar archivos públicos del proyecto</x:v>
      </x:c>
      <x:c r="E222" s="43" t="str">
        <x:v>Publicar el snapshot de Flutter, backend, pruebas y documentación.</x:v>
      </x:c>
      <x:c r="F222" s="43" t="str">
        <x:v>Completado</x:v>
      </x:c>
      <x:c r="G222" s="44" t="n">
        <x:v>46287</x:v>
      </x:c>
      <x:c r="H222" s="44" t="n">
        <x:v>46295</x:v>
      </x:c>
      <x:c r="I222" s="45" t="n">
        <x:f>IF(OR(G222="",H222=""),"",SUMPRODUCT(('Cronograma'!$F$8:$P$8&lt;=H222)*('Cronograma'!$F$9:$P$9&gt;=G222)))</x:f>
        <x:v>1</x:v>
      </x:c>
      <x:c r="J222" s="46"/>
      <x:c r="K222" s="46"/>
      <x:c r="L222" s="47"/>
      <x:c r="M222" s="48" t="str"/>
      <x:c r="N222" s="48" t="str"/>
      <x:c r="O222" s="49" t="n">
        <x:v>46287</x:v>
      </x:c>
      <x:c r="P222" s="43" t="str">
        <x:v>Commit de integración y documentos</x:v>
      </x:c>
      <x:c r="Q222" s="43" t="str">
        <x:v>MVP01, COM01, MIS01</x:v>
      </x:c>
      <x:c r="R222" s="43" t="str"/>
      <x:c r="S222" s="43" t="str">
        <x:v>La publicación del 22 reinició la raíz principal. Merges, stashes y checkpoints no se suman como nuevas capacidades.</x:v>
      </x:c>
      <x:c r="T222" s="43" t="str">
        <x:v>S045, S046, S001</x:v>
      </x:c>
      <x:c r="U222" s="43" t="str">
        <x:v>git:1c7a5d0:README.md
.gitignore
README.md</x:v>
      </x:c>
    </x:row>
    <x:row r="223" ht="44" customHeight="1">
      <x:c r="A223" s="42" t="str">
        <x:v>GIT01.002</x:v>
      </x:c>
      <x:c r="B223" s="42" t="str">
        <x:v>Publicación del repositorio e integración del historial</x:v>
      </x:c>
      <x:c r="C223" s="42" t="str">
        <x:v>GIT01</x:v>
      </x:c>
      <x:c r="D223" s="43" t="str">
        <x:v>Conservar ejemplos de configuración</x:v>
      </x:c>
      <x:c r="E223" s="43" t="str">
        <x:v>Compartir plantillas sin secretos administrativos.</x:v>
      </x:c>
      <x:c r="F223" s="43" t="str">
        <x:v>Completado</x:v>
      </x:c>
      <x:c r="G223" s="44" t="n">
        <x:v>46287</x:v>
      </x:c>
      <x:c r="H223" s="44" t="n">
        <x:v>46295</x:v>
      </x:c>
      <x:c r="I223" s="45" t="n">
        <x:f>IF(OR(G223="",H223=""),"",SUMPRODUCT(('Cronograma'!$F$8:$P$8&lt;=H223)*('Cronograma'!$F$9:$P$9&gt;=G223)))</x:f>
        <x:v>1</x:v>
      </x:c>
      <x:c r="J223" s="46"/>
      <x:c r="K223" s="46"/>
      <x:c r="L223" s="47"/>
      <x:c r="M223" s="48" t="str"/>
      <x:c r="N223" s="48" t="str"/>
      <x:c r="O223" s="49" t="n">
        <x:v>46287</x:v>
      </x:c>
      <x:c r="P223" s="43" t="str">
        <x:v>Commit de integración y documentos</x:v>
      </x:c>
      <x:c r="Q223" s="43" t="str">
        <x:v>MVP01, COM01, MIS01</x:v>
      </x:c>
      <x:c r="R223" s="43" t="str"/>
      <x:c r="S223" s="43" t="str">
        <x:v>La publicación del 22 reinició la raíz principal. Merges, stashes y checkpoints no se suman como nuevas capacidades.</x:v>
      </x:c>
      <x:c r="T223" s="43" t="str">
        <x:v>S045, S046, S001</x:v>
      </x:c>
      <x:c r="U223" s="43" t="str">
        <x:v>git:1c7a5d0:README.md
.gitignore
README.md</x:v>
      </x:c>
    </x:row>
    <x:row r="224" ht="44" customHeight="1">
      <x:c r="A224" s="42" t="str">
        <x:v>GIT01.003</x:v>
      </x:c>
      <x:c r="B224" s="42" t="str">
        <x:v>Publicación del repositorio e integración del historial</x:v>
      </x:c>
      <x:c r="C224" s="42" t="str">
        <x:v>GIT01</x:v>
      </x:c>
      <x:c r="D224" s="43" t="str">
        <x:v>Excluir configuración privada del snapshot público</x:v>
      </x:c>
      <x:c r="E224" s="43" t="str">
        <x:v>Separar valores locales de archivos distribuibles.</x:v>
      </x:c>
      <x:c r="F224" s="43" t="str">
        <x:v>Completado</x:v>
      </x:c>
      <x:c r="G224" s="44" t="n">
        <x:v>46287</x:v>
      </x:c>
      <x:c r="H224" s="44" t="n">
        <x:v>46295</x:v>
      </x:c>
      <x:c r="I224" s="45" t="n">
        <x:f>IF(OR(G224="",H224=""),"",SUMPRODUCT(('Cronograma'!$F$8:$P$8&lt;=H224)*('Cronograma'!$F$9:$P$9&gt;=G224)))</x:f>
        <x:v>1</x:v>
      </x:c>
      <x:c r="J224" s="46"/>
      <x:c r="K224" s="46"/>
      <x:c r="L224" s="47"/>
      <x:c r="M224" s="48" t="str"/>
      <x:c r="N224" s="48" t="str"/>
      <x:c r="O224" s="49" t="n">
        <x:v>46287</x:v>
      </x:c>
      <x:c r="P224" s="43" t="str">
        <x:v>Commit de integración y documentos</x:v>
      </x:c>
      <x:c r="Q224" s="43" t="str">
        <x:v>MVP01, COM01, MIS01</x:v>
      </x:c>
      <x:c r="R224" s="43" t="str"/>
      <x:c r="S224" s="43" t="str">
        <x:v>La publicación del 22 reinició la raíz principal. Merges, stashes y checkpoints no se suman como nuevas capacidades.</x:v>
      </x:c>
      <x:c r="T224" s="43" t="str">
        <x:v>S045, S046, S001</x:v>
      </x:c>
      <x:c r="U224" s="43" t="str">
        <x:v>git:1c7a5d0:README.md
.gitignore
README.md</x:v>
      </x:c>
    </x:row>
    <x:row r="225" ht="44" customHeight="1">
      <x:c r="A225" s="42" t="str">
        <x:v>GIT01.004</x:v>
      </x:c>
      <x:c r="B225" s="42" t="str">
        <x:v>Publicación del repositorio e integración del historial</x:v>
      </x:c>
      <x:c r="C225" s="42" t="str">
        <x:v>GIT01</x:v>
      </x:c>
      <x:c r="D225" s="43" t="str">
        <x:v>Conservar etapa previa del MVP</x:v>
      </x:c>
      <x:c r="E225" s="43" t="str">
        <x:v>Identificar b92a237 y b321100 fuera de la nueva raíz principal.</x:v>
      </x:c>
      <x:c r="F225" s="43" t="str">
        <x:v>Completado</x:v>
      </x:c>
      <x:c r="G225" s="44" t="n">
        <x:v>46287</x:v>
      </x:c>
      <x:c r="H225" s="44" t="n">
        <x:v>46295</x:v>
      </x:c>
      <x:c r="I225" s="45" t="n">
        <x:f>IF(OR(G225="",H225=""),"",SUMPRODUCT(('Cronograma'!$F$8:$P$8&lt;=H225)*('Cronograma'!$F$9:$P$9&gt;=G225)))</x:f>
        <x:v>1</x:v>
      </x:c>
      <x:c r="J225" s="46"/>
      <x:c r="K225" s="46"/>
      <x:c r="L225" s="47"/>
      <x:c r="M225" s="48" t="str"/>
      <x:c r="N225" s="48" t="str"/>
      <x:c r="O225" s="49" t="n">
        <x:v>46287</x:v>
      </x:c>
      <x:c r="P225" s="43" t="str">
        <x:v>Commit de integración y documentos</x:v>
      </x:c>
      <x:c r="Q225" s="43" t="str">
        <x:v>MVP01, COM01, MIS01</x:v>
      </x:c>
      <x:c r="R225" s="43" t="str"/>
      <x:c r="S225" s="43" t="str">
        <x:v>La publicación del 22 reinició la raíz principal. Merges, stashes y checkpoints no se suman como nuevas capacidades.</x:v>
      </x:c>
      <x:c r="T225" s="43" t="str">
        <x:v>S045, S046, S001</x:v>
      </x:c>
      <x:c r="U225" s="43" t="str">
        <x:v>git:1c7a5d0:README.md
.gitignore
README.md</x:v>
      </x:c>
    </x:row>
    <x:row r="226" ht="44" customHeight="1">
      <x:c r="A226" s="42" t="str">
        <x:v>GIT01.005</x:v>
      </x:c>
      <x:c r="B226" s="42" t="str">
        <x:v>Publicación del repositorio e integración del historial</x:v>
      </x:c>
      <x:c r="C226" s="42" t="str">
        <x:v>GIT01</x:v>
      </x:c>
      <x:c r="D226" s="43" t="str">
        <x:v>Registrar nueva raíz de publicación</x:v>
      </x:c>
      <x:c r="E226" s="43" t="str">
        <x:v>Identificar 1c7a5d0 sin atribuirle todo el trabajo desde cero.</x:v>
      </x:c>
      <x:c r="F226" s="43" t="str">
        <x:v>Completado</x:v>
      </x:c>
      <x:c r="G226" s="44" t="n">
        <x:v>46287</x:v>
      </x:c>
      <x:c r="H226" s="44" t="n">
        <x:v>46295</x:v>
      </x:c>
      <x:c r="I226" s="45" t="n">
        <x:f>IF(OR(G226="",H226=""),"",SUMPRODUCT(('Cronograma'!$F$8:$P$8&lt;=H226)*('Cronograma'!$F$9:$P$9&gt;=G226)))</x:f>
        <x:v>1</x:v>
      </x:c>
      <x:c r="J226" s="46"/>
      <x:c r="K226" s="46"/>
      <x:c r="L226" s="47"/>
      <x:c r="M226" s="48" t="str"/>
      <x:c r="N226" s="48" t="str"/>
      <x:c r="O226" s="49" t="n">
        <x:v>46287</x:v>
      </x:c>
      <x:c r="P226" s="43" t="str">
        <x:v>Commit de integración y documentos</x:v>
      </x:c>
      <x:c r="Q226" s="43" t="str">
        <x:v>MVP01, COM01, MIS01</x:v>
      </x:c>
      <x:c r="R226" s="43" t="str"/>
      <x:c r="S226" s="43" t="str">
        <x:v>La publicación del 22 reinició la raíz principal. Merges, stashes y checkpoints no se suman como nuevas capacidades.</x:v>
      </x:c>
      <x:c r="T226" s="43" t="str">
        <x:v>S045, S046, S001</x:v>
      </x:c>
      <x:c r="U226" s="43" t="str">
        <x:v>git:1c7a5d0:README.md
.gitignore
README.md</x:v>
      </x:c>
    </x:row>
    <x:row r="227" ht="44" customHeight="1">
      <x:c r="A227" s="42" t="str">
        <x:v>GIT01.006</x:v>
      </x:c>
      <x:c r="B227" s="42" t="str">
        <x:v>Publicación del repositorio e integración del historial</x:v>
      </x:c>
      <x:c r="C227" s="42" t="str">
        <x:v>GIT01</x:v>
      </x:c>
      <x:c r="D227" s="43" t="str">
        <x:v>Conservar checkpoint previo de trabajo</x:v>
      </x:c>
      <x:c r="E227" s="43" t="str">
        <x:v>Usar stash como evidencia auxiliar sin contarlo como implementación nueva.</x:v>
      </x:c>
      <x:c r="F227" s="43" t="str">
        <x:v>Completado</x:v>
      </x:c>
      <x:c r="G227" s="44" t="n">
        <x:v>46287</x:v>
      </x:c>
      <x:c r="H227" s="44" t="n">
        <x:v>46295</x:v>
      </x:c>
      <x:c r="I227" s="45" t="n">
        <x:f>IF(OR(G227="",H227=""),"",SUMPRODUCT(('Cronograma'!$F$8:$P$8&lt;=H227)*('Cronograma'!$F$9:$P$9&gt;=G227)))</x:f>
        <x:v>1</x:v>
      </x:c>
      <x:c r="J227" s="46"/>
      <x:c r="K227" s="46"/>
      <x:c r="L227" s="47"/>
      <x:c r="M227" s="48" t="str"/>
      <x:c r="N227" s="48" t="str"/>
      <x:c r="O227" s="49" t="n">
        <x:v>46287</x:v>
      </x:c>
      <x:c r="P227" s="43" t="str">
        <x:v>Commit de integración y documentos</x:v>
      </x:c>
      <x:c r="Q227" s="43" t="str">
        <x:v>MVP01, COM01, MIS01</x:v>
      </x:c>
      <x:c r="R227" s="43" t="str"/>
      <x:c r="S227" s="43" t="str">
        <x:v>La publicación del 22 reinició la raíz principal. Merges, stashes y checkpoints no se suman como nuevas capacidades.</x:v>
      </x:c>
      <x:c r="T227" s="43" t="str">
        <x:v>S045, S046, S001</x:v>
      </x:c>
      <x:c r="U227" s="43" t="str">
        <x:v>git:1c7a5d0:README.md
.gitignore
README.md</x:v>
      </x:c>
    </x:row>
    <x:row r="228" ht="56" customHeight="1">
      <x:c r="A228" s="42" t="str">
        <x:v>PRO01.001</x:v>
      </x:c>
      <x:c r="B228" s="42" t="str">
        <x:v>Experiencia profesional y confirmación de perfil</x:v>
      </x:c>
      <x:c r="C228" s="42" t="str">
        <x:v>PRO01</x:v>
      </x:c>
      <x:c r="D228" s="43" t="str">
        <x:v>Agregar marca de confirmación inicial</x:v>
      </x:c>
      <x:c r="E228" s="43" t="str">
        <x:v>Persistir confirmación de tipo desde servidor.</x:v>
      </x:c>
      <x:c r="F228" s="43" t="str">
        <x:v>Completado</x:v>
      </x:c>
      <x:c r="G228" s="44" t="n">
        <x:v>46287</x:v>
      </x:c>
      <x:c r="H228" s="44" t="n">
        <x:v>46295</x:v>
      </x:c>
      <x:c r="I228" s="45" t="n">
        <x:f>IF(OR(G228="",H228=""),"",SUMPRODUCT(('Cronograma'!$F$8:$P$8&lt;=H228)*('Cronograma'!$F$9:$P$9&gt;=G228)))</x:f>
        <x:v>1</x:v>
      </x:c>
      <x:c r="J228" s="46"/>
      <x:c r="K228" s="46"/>
      <x:c r="L228" s="47"/>
      <x:c r="M228" s="48" t="str"/>
      <x:c r="N228" s="48" t="str"/>
      <x:c r="O228" s="49" t="n">
        <x:v>46292</x:v>
      </x:c>
      <x:c r="P228" s="43" t="str">
        <x:v>Reporte fechado y código asociado</x:v>
      </x:c>
      <x:c r="Q228" s="43" t="str">
        <x:v>ACC01, COM01</x:v>
      </x:c>
      <x:c r="R228" s="43" t="str"/>
      <x:c r="S228" s="43" t="str"/>
      <x:c r="T228" s="43" t="str">
        <x:v>S005, S032, S026, S047</x:v>
      </x:c>
      <x:c r="U228" s="43" t="str">
        <x:v>docs/account-completion.md
docs/community.md
docs/deployment-status.md
supabase/migrations/006_profile_experience.sql</x:v>
      </x:c>
    </x:row>
    <x:row r="229" ht="56" customHeight="1">
      <x:c r="A229" s="42" t="str">
        <x:v>PRO01.002</x:v>
      </x:c>
      <x:c r="B229" s="42" t="str">
        <x:v>Experiencia profesional y confirmación de perfil</x:v>
      </x:c>
      <x:c r="C229" s="42" t="str">
        <x:v>PRO01</x:v>
      </x:c>
      <x:c r="D229" s="43" t="str">
        <x:v>Crear complete_initial_profile</x:v>
      </x:c>
      <x:c r="E229" s="43" t="str">
        <x:v>Confirmar elección una sola vez con validaciones atómicas.</x:v>
      </x:c>
      <x:c r="F229" s="43" t="str">
        <x:v>Completado</x:v>
      </x:c>
      <x:c r="G229" s="44" t="n">
        <x:v>46287</x:v>
      </x:c>
      <x:c r="H229" s="44" t="n">
        <x:v>46295</x:v>
      </x:c>
      <x:c r="I229" s="45" t="n">
        <x:f>IF(OR(G229="",H229=""),"",SUMPRODUCT(('Cronograma'!$F$8:$P$8&lt;=H229)*('Cronograma'!$F$9:$P$9&gt;=G229)))</x:f>
        <x:v>1</x:v>
      </x:c>
      <x:c r="J229" s="46"/>
      <x:c r="K229" s="46"/>
      <x:c r="L229" s="47"/>
      <x:c r="M229" s="48" t="str"/>
      <x:c r="N229" s="48" t="str"/>
      <x:c r="O229" s="49" t="n">
        <x:v>46292</x:v>
      </x:c>
      <x:c r="P229" s="43" t="str">
        <x:v>Reporte fechado y código asociado</x:v>
      </x:c>
      <x:c r="Q229" s="43" t="str">
        <x:v>ACC01, COM01</x:v>
      </x:c>
      <x:c r="R229" s="43" t="str"/>
      <x:c r="S229" s="43" t="str"/>
      <x:c r="T229" s="43" t="str">
        <x:v>S005, S032, S026, S047</x:v>
      </x:c>
      <x:c r="U229" s="43" t="str">
        <x:v>docs/account-completion.md
docs/community.md
docs/deployment-status.md
supabase/migrations/006_profile_experience.sql</x:v>
      </x:c>
    </x:row>
    <x:row r="230" ht="56" customHeight="1">
      <x:c r="A230" s="42" t="str">
        <x:v>PRO01.003</x:v>
      </x:c>
      <x:c r="B230" s="42" t="str">
        <x:v>Experiencia profesional y confirmación de perfil</x:v>
      </x:c>
      <x:c r="C230" s="42" t="str">
        <x:v>PRO01</x:v>
      </x:c>
      <x:c r="D230" s="43" t="str">
        <x:v>Proteger tipo confirmado contra edición</x:v>
      </x:c>
      <x:c r="E230" s="43" t="str">
        <x:v>Mantener capacidades consistentes tras completar perfil.</x:v>
      </x:c>
      <x:c r="F230" s="43" t="str">
        <x:v>Completado</x:v>
      </x:c>
      <x:c r="G230" s="44" t="n">
        <x:v>46287</x:v>
      </x:c>
      <x:c r="H230" s="44" t="n">
        <x:v>46295</x:v>
      </x:c>
      <x:c r="I230" s="45" t="n">
        <x:f>IF(OR(G230="",H230=""),"",SUMPRODUCT(('Cronograma'!$F$8:$P$8&lt;=H230)*('Cronograma'!$F$9:$P$9&gt;=G230)))</x:f>
        <x:v>1</x:v>
      </x:c>
      <x:c r="J230" s="46"/>
      <x:c r="K230" s="46"/>
      <x:c r="L230" s="47"/>
      <x:c r="M230" s="48" t="str"/>
      <x:c r="N230" s="48" t="str"/>
      <x:c r="O230" s="49" t="n">
        <x:v>46292</x:v>
      </x:c>
      <x:c r="P230" s="43" t="str">
        <x:v>Reporte fechado y código asociado</x:v>
      </x:c>
      <x:c r="Q230" s="43" t="str">
        <x:v>ACC01, COM01</x:v>
      </x:c>
      <x:c r="R230" s="43" t="str"/>
      <x:c r="S230" s="43" t="str"/>
      <x:c r="T230" s="43" t="str">
        <x:v>S005, S032, S026, S047</x:v>
      </x:c>
      <x:c r="U230" s="43" t="str">
        <x:v>docs/account-completion.md
docs/community.md
docs/deployment-status.md
supabase/migrations/006_profile_experience.sql</x:v>
      </x:c>
    </x:row>
    <x:row r="231" ht="56" customHeight="1">
      <x:c r="A231" s="42" t="str">
        <x:v>PRO01.004</x:v>
      </x:c>
      <x:c r="B231" s="42" t="str">
        <x:v>Experiencia profesional y confirmación de perfil</x:v>
      </x:c>
      <x:c r="C231" s="42" t="str">
        <x:v>PRO01</x:v>
      </x:c>
      <x:c r="D231" s="43" t="str">
        <x:v>Persistir intereses privados</x:v>
      </x:c>
      <x:c r="E231" s="43" t="str">
        <x:v>Guardar preferencias sin exponerlas en directorio.</x:v>
      </x:c>
      <x:c r="F231" s="43" t="str">
        <x:v>Completado</x:v>
      </x:c>
      <x:c r="G231" s="44" t="n">
        <x:v>46287</x:v>
      </x:c>
      <x:c r="H231" s="44" t="n">
        <x:v>46295</x:v>
      </x:c>
      <x:c r="I231" s="45" t="n">
        <x:f>IF(OR(G231="",H231=""),"",SUMPRODUCT(('Cronograma'!$F$8:$P$8&lt;=H231)*('Cronograma'!$F$9:$P$9&gt;=G231)))</x:f>
        <x:v>1</x:v>
      </x:c>
      <x:c r="J231" s="46"/>
      <x:c r="K231" s="46"/>
      <x:c r="L231" s="47"/>
      <x:c r="M231" s="48" t="str"/>
      <x:c r="N231" s="48" t="str"/>
      <x:c r="O231" s="49" t="n">
        <x:v>46292</x:v>
      </x:c>
      <x:c r="P231" s="43" t="str">
        <x:v>Reporte fechado y código asociado</x:v>
      </x:c>
      <x:c r="Q231" s="43" t="str">
        <x:v>ACC01, COM01</x:v>
      </x:c>
      <x:c r="R231" s="43" t="str"/>
      <x:c r="S231" s="43" t="str"/>
      <x:c r="T231" s="43" t="str">
        <x:v>S005, S032, S026, S047</x:v>
      </x:c>
      <x:c r="U231" s="43" t="str">
        <x:v>docs/account-completion.md
docs/community.md
docs/deployment-status.md
supabase/migrations/006_profile_experience.sql</x:v>
      </x:c>
    </x:row>
    <x:row r="232" ht="56" customHeight="1">
      <x:c r="A232" s="42" t="str">
        <x:v>PRO01.005</x:v>
      </x:c>
      <x:c r="B232" s="42" t="str">
        <x:v>Experiencia profesional y confirmación de perfil</x:v>
      </x:c>
      <x:c r="C232" s="42" t="str">
        <x:v>PRO01</x:v>
      </x:c>
      <x:c r="D232" s="43" t="str">
        <x:v>Persistir objetivos privados</x:v>
      </x:c>
      <x:c r="E232" s="43" t="str">
        <x:v>Separar metas personales de presentación pública.</x:v>
      </x:c>
      <x:c r="F232" s="43" t="str">
        <x:v>Completado</x:v>
      </x:c>
      <x:c r="G232" s="44" t="n">
        <x:v>46287</x:v>
      </x:c>
      <x:c r="H232" s="44" t="n">
        <x:v>46295</x:v>
      </x:c>
      <x:c r="I232" s="45" t="n">
        <x:f>IF(OR(G232="",H232=""),"",SUMPRODUCT(('Cronograma'!$F$8:$P$8&lt;=H232)*('Cronograma'!$F$9:$P$9&gt;=G232)))</x:f>
        <x:v>1</x:v>
      </x:c>
      <x:c r="J232" s="46"/>
      <x:c r="K232" s="46"/>
      <x:c r="L232" s="47"/>
      <x:c r="M232" s="48" t="str"/>
      <x:c r="N232" s="48" t="str"/>
      <x:c r="O232" s="49" t="n">
        <x:v>46292</x:v>
      </x:c>
      <x:c r="P232" s="43" t="str">
        <x:v>Reporte fechado y código asociado</x:v>
      </x:c>
      <x:c r="Q232" s="43" t="str">
        <x:v>ACC01, COM01</x:v>
      </x:c>
      <x:c r="R232" s="43" t="str"/>
      <x:c r="S232" s="43" t="str"/>
      <x:c r="T232" s="43" t="str">
        <x:v>S005, S032, S026, S047</x:v>
      </x:c>
      <x:c r="U232" s="43" t="str">
        <x:v>docs/account-completion.md
docs/community.md
docs/deployment-status.md
supabase/migrations/006_profile_experience.sql</x:v>
      </x:c>
    </x:row>
    <x:row r="233" ht="56" customHeight="1">
      <x:c r="A233" s="42" t="str">
        <x:v>PRO01.006</x:v>
      </x:c>
      <x:c r="B233" s="42" t="str">
        <x:v>Experiencia profesional y confirmación de perfil</x:v>
      </x:c>
      <x:c r="C233" s="42" t="str">
        <x:v>PRO01</x:v>
      </x:c>
      <x:c r="D233" s="43" t="str">
        <x:v>Agregar enlace HTTPS de contacto</x:v>
      </x:c>
      <x:c r="E233" s="43" t="str">
        <x:v>Mostrar acción únicamente con enlace configurado.</x:v>
      </x:c>
      <x:c r="F233" s="43" t="str">
        <x:v>Completado</x:v>
      </x:c>
      <x:c r="G233" s="44" t="n">
        <x:v>46287</x:v>
      </x:c>
      <x:c r="H233" s="44" t="n">
        <x:v>46295</x:v>
      </x:c>
      <x:c r="I233" s="45" t="n">
        <x:f>IF(OR(G233="",H233=""),"",SUMPRODUCT(('Cronograma'!$F$8:$P$8&lt;=H233)*('Cronograma'!$F$9:$P$9&gt;=G233)))</x:f>
        <x:v>1</x:v>
      </x:c>
      <x:c r="J233" s="46"/>
      <x:c r="K233" s="46"/>
      <x:c r="L233" s="47"/>
      <x:c r="M233" s="48" t="str"/>
      <x:c r="N233" s="48" t="str"/>
      <x:c r="O233" s="49" t="n">
        <x:v>46292</x:v>
      </x:c>
      <x:c r="P233" s="43" t="str">
        <x:v>Reporte fechado y código asociado</x:v>
      </x:c>
      <x:c r="Q233" s="43" t="str">
        <x:v>ACC01, COM01</x:v>
      </x:c>
      <x:c r="R233" s="43" t="str"/>
      <x:c r="S233" s="43" t="str"/>
      <x:c r="T233" s="43" t="str">
        <x:v>S005, S032, S026, S047</x:v>
      </x:c>
      <x:c r="U233" s="43" t="str">
        <x:v>docs/account-completion.md
docs/community.md
docs/deployment-status.md
supabase/migrations/006_profile_experience.sql</x:v>
      </x:c>
    </x:row>
    <x:row r="234" ht="56" customHeight="1">
      <x:c r="A234" s="42" t="str">
        <x:v>PRO01.007</x:v>
      </x:c>
      <x:c r="B234" s="42" t="str">
        <x:v>Experiencia profesional y confirmación de perfil</x:v>
      </x:c>
      <x:c r="C234" s="42" t="str">
        <x:v>PRO01</x:v>
      </x:c>
      <x:c r="D234" s="43" t="str">
        <x:v>Agregar disponibilidad para colaborar</x:v>
      </x:c>
      <x:c r="E234" s="43" t="str">
        <x:v>Permitir declaración profesional de creadores.</x:v>
      </x:c>
      <x:c r="F234" s="43" t="str">
        <x:v>Completado</x:v>
      </x:c>
      <x:c r="G234" s="44" t="n">
        <x:v>46287</x:v>
      </x:c>
      <x:c r="H234" s="44" t="n">
        <x:v>46295</x:v>
      </x:c>
      <x:c r="I234" s="45" t="n">
        <x:f>IF(OR(G234="",H234=""),"",SUMPRODUCT(('Cronograma'!$F$8:$P$8&lt;=H234)*('Cronograma'!$F$9:$P$9&gt;=G234)))</x:f>
        <x:v>1</x:v>
      </x:c>
      <x:c r="J234" s="46"/>
      <x:c r="K234" s="46"/>
      <x:c r="L234" s="47"/>
      <x:c r="M234" s="48" t="str"/>
      <x:c r="N234" s="48" t="str"/>
      <x:c r="O234" s="49" t="n">
        <x:v>46292</x:v>
      </x:c>
      <x:c r="P234" s="43" t="str">
        <x:v>Reporte fechado y código asociado</x:v>
      </x:c>
      <x:c r="Q234" s="43" t="str">
        <x:v>ACC01, COM01</x:v>
      </x:c>
      <x:c r="R234" s="43" t="str"/>
      <x:c r="S234" s="43" t="str"/>
      <x:c r="T234" s="43" t="str">
        <x:v>S005, S032, S026, S047</x:v>
      </x:c>
      <x:c r="U234" s="43" t="str">
        <x:v>docs/account-completion.md
docs/community.md
docs/deployment-status.md
supabase/migrations/006_profile_experience.sql</x:v>
      </x:c>
    </x:row>
    <x:row r="235" ht="56" customHeight="1">
      <x:c r="A235" s="42" t="str">
        <x:v>PRO01.008</x:v>
      </x:c>
      <x:c r="B235" s="42" t="str">
        <x:v>Experiencia profesional y confirmación de perfil</x:v>
      </x:c>
      <x:c r="C235" s="42" t="str">
        <x:v>PRO01</x:v>
      </x:c>
      <x:c r="D235" s="43" t="str">
        <x:v>Agregar datos de negocio</x:v>
      </x:c>
      <x:c r="E235" s="43" t="str">
        <x:v>Persistir ubicación y contexto profesional opcionales.</x:v>
      </x:c>
      <x:c r="F235" s="43" t="str">
        <x:v>Completado</x:v>
      </x:c>
      <x:c r="G235" s="44" t="n">
        <x:v>46287</x:v>
      </x:c>
      <x:c r="H235" s="44" t="n">
        <x:v>46295</x:v>
      </x:c>
      <x:c r="I235" s="45" t="n">
        <x:f>IF(OR(G235="",H235=""),"",SUMPRODUCT(('Cronograma'!$F$8:$P$8&lt;=H235)*('Cronograma'!$F$9:$P$9&gt;=G235)))</x:f>
        <x:v>1</x:v>
      </x:c>
      <x:c r="J235" s="46"/>
      <x:c r="K235" s="46"/>
      <x:c r="L235" s="47"/>
      <x:c r="M235" s="48" t="str"/>
      <x:c r="N235" s="48" t="str"/>
      <x:c r="O235" s="49" t="n">
        <x:v>46292</x:v>
      </x:c>
      <x:c r="P235" s="43" t="str">
        <x:v>Reporte fechado y código asociado</x:v>
      </x:c>
      <x:c r="Q235" s="43" t="str">
        <x:v>ACC01, COM01</x:v>
      </x:c>
      <x:c r="R235" s="43" t="str"/>
      <x:c r="S235" s="43" t="str"/>
      <x:c r="T235" s="43" t="str">
        <x:v>S005, S032, S026, S047</x:v>
      </x:c>
      <x:c r="U235" s="43" t="str">
        <x:v>docs/account-completion.md
docs/community.md
docs/deployment-status.md
supabase/migrations/006_profile_experience.sql</x:v>
      </x:c>
    </x:row>
    <x:row r="236" ht="56" customHeight="1">
      <x:c r="A236" s="42" t="str">
        <x:v>PRO01.009</x:v>
      </x:c>
      <x:c r="B236" s="42" t="str">
        <x:v>Experiencia profesional y confirmación de perfil</x:v>
      </x:c>
      <x:c r="C236" s="42" t="str">
        <x:v>PRO01</x:v>
      </x:c>
      <x:c r="D236" s="43" t="str">
        <x:v>Agregar horarios semanales</x:v>
      </x:c>
      <x:c r="E236" s="43" t="str">
        <x:v>Permitir intervalo por día o día cerrado.</x:v>
      </x:c>
      <x:c r="F236" s="43" t="str">
        <x:v>Completado</x:v>
      </x:c>
      <x:c r="G236" s="44" t="n">
        <x:v>46287</x:v>
      </x:c>
      <x:c r="H236" s="44" t="n">
        <x:v>46295</x:v>
      </x:c>
      <x:c r="I236" s="45" t="n">
        <x:f>IF(OR(G236="",H236=""),"",SUMPRODUCT(('Cronograma'!$F$8:$P$8&lt;=H236)*('Cronograma'!$F$9:$P$9&gt;=G236)))</x:f>
        <x:v>1</x:v>
      </x:c>
      <x:c r="J236" s="46"/>
      <x:c r="K236" s="46"/>
      <x:c r="L236" s="47"/>
      <x:c r="M236" s="48" t="str"/>
      <x:c r="N236" s="48" t="str"/>
      <x:c r="O236" s="49" t="n">
        <x:v>46292</x:v>
      </x:c>
      <x:c r="P236" s="43" t="str">
        <x:v>Reporte fechado y código asociado</x:v>
      </x:c>
      <x:c r="Q236" s="43" t="str">
        <x:v>ACC01, COM01</x:v>
      </x:c>
      <x:c r="R236" s="43" t="str"/>
      <x:c r="S236" s="43" t="str"/>
      <x:c r="T236" s="43" t="str">
        <x:v>S005, S032, S026, S047</x:v>
      </x:c>
      <x:c r="U236" s="43" t="str">
        <x:v>docs/account-completion.md
docs/community.md
docs/deployment-status.md
supabase/migrations/006_profile_experience.sql</x:v>
      </x:c>
    </x:row>
    <x:row r="237" ht="56" customHeight="1">
      <x:c r="A237" s="42" t="str">
        <x:v>PRO01.010</x:v>
      </x:c>
      <x:c r="B237" s="42" t="str">
        <x:v>Experiencia profesional y confirmación de perfil</x:v>
      </x:c>
      <x:c r="C237" s="42" t="str">
        <x:v>PRO01</x:v>
      </x:c>
      <x:c r="D237" s="43" t="str">
        <x:v>Crear herramientas por tipo de perfil</x:v>
      </x:c>
      <x:c r="E237" s="43" t="str">
        <x:v>Distinguir Portafolio, Catálogo y Servicios.</x:v>
      </x:c>
      <x:c r="F237" s="43" t="str">
        <x:v>Completado</x:v>
      </x:c>
      <x:c r="G237" s="44" t="n">
        <x:v>46287</x:v>
      </x:c>
      <x:c r="H237" s="44" t="n">
        <x:v>46295</x:v>
      </x:c>
      <x:c r="I237" s="45" t="n">
        <x:f>IF(OR(G237="",H237=""),"",SUMPRODUCT(('Cronograma'!$F$8:$P$8&lt;=H237)*('Cronograma'!$F$9:$P$9&gt;=G237)))</x:f>
        <x:v>1</x:v>
      </x:c>
      <x:c r="J237" s="46"/>
      <x:c r="K237" s="46"/>
      <x:c r="L237" s="47"/>
      <x:c r="M237" s="48" t="str"/>
      <x:c r="N237" s="48" t="str"/>
      <x:c r="O237" s="49" t="n">
        <x:v>46292</x:v>
      </x:c>
      <x:c r="P237" s="43" t="str">
        <x:v>Reporte fechado y código asociado</x:v>
      </x:c>
      <x:c r="Q237" s="43" t="str">
        <x:v>ACC01, COM01</x:v>
      </x:c>
      <x:c r="R237" s="43" t="str"/>
      <x:c r="S237" s="43" t="str"/>
      <x:c r="T237" s="43" t="str">
        <x:v>S005, S032, S026, S047</x:v>
      </x:c>
      <x:c r="U237" s="43" t="str">
        <x:v>docs/account-completion.md
docs/community.md
docs/deployment-status.md
supabase/migrations/006_profile_experience.sql</x:v>
      </x:c>
    </x:row>
    <x:row r="238" ht="56" customHeight="1">
      <x:c r="A238" s="42" t="str">
        <x:v>PRO01.011</x:v>
      </x:c>
      <x:c r="B238" s="42" t="str">
        <x:v>Experiencia profesional y confirmación de perfil</x:v>
      </x:c>
      <x:c r="C238" s="42" t="str">
        <x:v>PRO01</x:v>
      </x:c>
      <x:c r="D238" s="43" t="str">
        <x:v>Separar perfil propio y público</x:v>
      </x:c>
      <x:c r="E238" s="43" t="str">
        <x:v>Exponer controles privados solo al propietario.</x:v>
      </x:c>
      <x:c r="F238" s="43" t="str">
        <x:v>Completado</x:v>
      </x:c>
      <x:c r="G238" s="44" t="n">
        <x:v>46287</x:v>
      </x:c>
      <x:c r="H238" s="44" t="n">
        <x:v>46295</x:v>
      </x:c>
      <x:c r="I238" s="45" t="n">
        <x:f>IF(OR(G238="",H238=""),"",SUMPRODUCT(('Cronograma'!$F$8:$P$8&lt;=H238)*('Cronograma'!$F$9:$P$9&gt;=G238)))</x:f>
        <x:v>1</x:v>
      </x:c>
      <x:c r="J238" s="46"/>
      <x:c r="K238" s="46"/>
      <x:c r="L238" s="47"/>
      <x:c r="M238" s="48" t="str"/>
      <x:c r="N238" s="48" t="str"/>
      <x:c r="O238" s="49" t="n">
        <x:v>46292</x:v>
      </x:c>
      <x:c r="P238" s="43" t="str">
        <x:v>Reporte fechado y código asociado</x:v>
      </x:c>
      <x:c r="Q238" s="43" t="str">
        <x:v>ACC01, COM01</x:v>
      </x:c>
      <x:c r="R238" s="43" t="str"/>
      <x:c r="S238" s="43" t="str"/>
      <x:c r="T238" s="43" t="str">
        <x:v>S005, S032, S026, S047</x:v>
      </x:c>
      <x:c r="U238" s="43" t="str">
        <x:v>docs/account-completion.md
docs/community.md
docs/deployment-status.md
supabase/migrations/006_profile_experience.sql</x:v>
      </x:c>
    </x:row>
    <x:row r="239" ht="56" customHeight="1">
      <x:c r="A239" s="42" t="str">
        <x:v>PRO01.012</x:v>
      </x:c>
      <x:c r="B239" s="42" t="str">
        <x:v>Experiencia profesional y confirmación de perfil</x:v>
      </x:c>
      <x:c r="C239" s="42" t="str">
        <x:v>PRO01</x:v>
      </x:c>
      <x:c r="D239" s="43" t="str">
        <x:v>Separar publicaciones y fichas profesionales</x:v>
      </x:c>
      <x:c r="E239" s="43" t="str">
        <x:v>No duplicar contenido de Inicio.</x:v>
      </x:c>
      <x:c r="F239" s="43" t="str">
        <x:v>Completado</x:v>
      </x:c>
      <x:c r="G239" s="44" t="n">
        <x:v>46287</x:v>
      </x:c>
      <x:c r="H239" s="44" t="n">
        <x:v>46295</x:v>
      </x:c>
      <x:c r="I239" s="45" t="n">
        <x:f>IF(OR(G239="",H239=""),"",SUMPRODUCT(('Cronograma'!$F$8:$P$8&lt;=H239)*('Cronograma'!$F$9:$P$9&gt;=G239)))</x:f>
        <x:v>1</x:v>
      </x:c>
      <x:c r="J239" s="46"/>
      <x:c r="K239" s="46"/>
      <x:c r="L239" s="47"/>
      <x:c r="M239" s="48" t="str"/>
      <x:c r="N239" s="48" t="str"/>
      <x:c r="O239" s="49" t="n">
        <x:v>46292</x:v>
      </x:c>
      <x:c r="P239" s="43" t="str">
        <x:v>Reporte fechado y código asociado</x:v>
      </x:c>
      <x:c r="Q239" s="43" t="str">
        <x:v>ACC01, COM01</x:v>
      </x:c>
      <x:c r="R239" s="43" t="str"/>
      <x:c r="S239" s="43" t="str"/>
      <x:c r="T239" s="43" t="str">
        <x:v>S005, S032, S026, S047</x:v>
      </x:c>
      <x:c r="U239" s="43" t="str">
        <x:v>docs/account-completion.md
docs/community.md
docs/deployment-status.md
supabase/migrations/006_profile_experience.sql</x:v>
      </x:c>
    </x:row>
    <x:row r="240" ht="56" customHeight="1">
      <x:c r="A240" s="42" t="str">
        <x:v>PRO01.013</x:v>
      </x:c>
      <x:c r="B240" s="42" t="str">
        <x:v>Experiencia profesional y confirmación de perfil</x:v>
      </x:c>
      <x:c r="C240" s="42" t="str">
        <x:v>PRO01</x:v>
      </x:c>
      <x:c r="D240" s="43" t="str">
        <x:v>Integrar lectura pública de avatar y portada</x:v>
      </x:c>
      <x:c r="E240" s="43" t="str">
        <x:v>Mostrar fotografías reales de perfiles visibles.</x:v>
      </x:c>
      <x:c r="F240" s="43" t="str">
        <x:v>Completado</x:v>
      </x:c>
      <x:c r="G240" s="44" t="n">
        <x:v>46287</x:v>
      </x:c>
      <x:c r="H240" s="44" t="n">
        <x:v>46295</x:v>
      </x:c>
      <x:c r="I240" s="45" t="n">
        <x:f>IF(OR(G240="",H240=""),"",SUMPRODUCT(('Cronograma'!$F$8:$P$8&lt;=H240)*('Cronograma'!$F$9:$P$9&gt;=G240)))</x:f>
        <x:v>1</x:v>
      </x:c>
      <x:c r="J240" s="46"/>
      <x:c r="K240" s="46"/>
      <x:c r="L240" s="47"/>
      <x:c r="M240" s="48" t="str"/>
      <x:c r="N240" s="48" t="str"/>
      <x:c r="O240" s="49" t="n">
        <x:v>46292</x:v>
      </x:c>
      <x:c r="P240" s="43" t="str">
        <x:v>Reporte fechado y código asociado</x:v>
      </x:c>
      <x:c r="Q240" s="43" t="str">
        <x:v>ACC01, COM01</x:v>
      </x:c>
      <x:c r="R240" s="43" t="str"/>
      <x:c r="S240" s="43" t="str"/>
      <x:c r="T240" s="43" t="str">
        <x:v>S005, S032, S026, S047</x:v>
      </x:c>
      <x:c r="U240" s="43" t="str">
        <x:v>docs/account-completion.md
docs/community.md
docs/deployment-status.md
supabase/migrations/006_profile_experience.sql</x:v>
      </x:c>
    </x:row>
    <x:row r="241" ht="56" customHeight="1">
      <x:c r="A241" s="42" t="str">
        <x:v>PRO01.014</x:v>
      </x:c>
      <x:c r="B241" s="42" t="str">
        <x:v>Experiencia profesional y confirmación de perfil</x:v>
      </x:c>
      <x:c r="C241" s="42" t="str">
        <x:v>PRO01</x:v>
      </x:c>
      <x:c r="D241" s="43" t="str">
        <x:v>Desplegar migración 006</x:v>
      </x:c>
      <x:c r="E241" s="43" t="str">
        <x:v>Reporte del 27 acredita contrato remoto actualizado.</x:v>
      </x:c>
      <x:c r="F241" s="43" t="str">
        <x:v>Completado</x:v>
      </x:c>
      <x:c r="G241" s="44" t="n">
        <x:v>46287</x:v>
      </x:c>
      <x:c r="H241" s="44" t="n">
        <x:v>46295</x:v>
      </x:c>
      <x:c r="I241" s="45" t="n">
        <x:f>IF(OR(G241="",H241=""),"",SUMPRODUCT(('Cronograma'!$F$8:$P$8&lt;=H241)*('Cronograma'!$F$9:$P$9&gt;=G241)))</x:f>
        <x:v>1</x:v>
      </x:c>
      <x:c r="J241" s="46"/>
      <x:c r="K241" s="46"/>
      <x:c r="L241" s="47"/>
      <x:c r="M241" s="48" t="str"/>
      <x:c r="N241" s="48" t="str"/>
      <x:c r="O241" s="49" t="n">
        <x:v>46292</x:v>
      </x:c>
      <x:c r="P241" s="43" t="str">
        <x:v>Reporte fechado y código asociado</x:v>
      </x:c>
      <x:c r="Q241" s="43" t="str">
        <x:v>ACC01, COM01</x:v>
      </x:c>
      <x:c r="R241" s="43" t="str"/>
      <x:c r="S241" s="43" t="str"/>
      <x:c r="T241" s="43" t="str">
        <x:v>S005, S032, S026, S047</x:v>
      </x:c>
      <x:c r="U241" s="43" t="str">
        <x:v>docs/account-completion.md
docs/community.md
docs/deployment-status.md
supabase/migrations/006_profile_experience.sql</x:v>
      </x:c>
    </x:row>
    <x:row r="242" ht="56" customHeight="1">
      <x:c r="A242" s="42" t="str">
        <x:v>PRO01.015</x:v>
      </x:c>
      <x:c r="B242" s="42" t="str">
        <x:v>Experiencia profesional y confirmación de perfil</x:v>
      </x:c>
      <x:c r="C242" s="42" t="str">
        <x:v>PRO01</x:v>
      </x:c>
      <x:c r="D242" s="43" t="str">
        <x:v>Actualizar limpieza de showcase-media</x:v>
      </x:c>
      <x:c r="E242" s="43" t="str">
        <x:v>Incluir fotografías de fichas en delete-account.</x:v>
      </x:c>
      <x:c r="F242" s="43" t="str">
        <x:v>Completado</x:v>
      </x:c>
      <x:c r="G242" s="44" t="n">
        <x:v>46287</x:v>
      </x:c>
      <x:c r="H242" s="44" t="n">
        <x:v>46295</x:v>
      </x:c>
      <x:c r="I242" s="45" t="n">
        <x:f>IF(OR(G242="",H242=""),"",SUMPRODUCT(('Cronograma'!$F$8:$P$8&lt;=H242)*('Cronograma'!$F$9:$P$9&gt;=G242)))</x:f>
        <x:v>1</x:v>
      </x:c>
      <x:c r="J242" s="46"/>
      <x:c r="K242" s="46"/>
      <x:c r="L242" s="47"/>
      <x:c r="M242" s="48" t="str"/>
      <x:c r="N242" s="48" t="str"/>
      <x:c r="O242" s="49" t="n">
        <x:v>46292</x:v>
      </x:c>
      <x:c r="P242" s="43" t="str">
        <x:v>Reporte fechado y código asociado</x:v>
      </x:c>
      <x:c r="Q242" s="43" t="str">
        <x:v>ACC01, COM01</x:v>
      </x:c>
      <x:c r="R242" s="43" t="str"/>
      <x:c r="S242" s="43" t="str"/>
      <x:c r="T242" s="43" t="str">
        <x:v>S005, S032, S026, S047</x:v>
      </x:c>
      <x:c r="U242" s="43" t="str">
        <x:v>docs/account-completion.md
docs/community.md
docs/deployment-status.md
supabase/migrations/006_profile_experience.sql</x:v>
      </x:c>
    </x:row>
    <x:row r="243" ht="56" customHeight="1">
      <x:c r="A243" s="42" t="str">
        <x:v>PRO01.016</x:v>
      </x:c>
      <x:c r="B243" s="42" t="str">
        <x:v>Experiencia profesional y confirmación de perfil</x:v>
      </x:c>
      <x:c r="C243" s="42" t="str">
        <x:v>PRO01</x:v>
      </x:c>
      <x:c r="D243" s="43" t="str">
        <x:v>Verificar perfiles y fichas</x:v>
      </x:c>
      <x:c r="E243" s="43" t="str">
        <x:v>Reporte acredita 194 pruebas Flutter y 277 checks SQL aislados.</x:v>
      </x:c>
      <x:c r="F243" s="43" t="str">
        <x:v>Completado</x:v>
      </x:c>
      <x:c r="G243" s="44" t="n">
        <x:v>46287</x:v>
      </x:c>
      <x:c r="H243" s="44" t="n">
        <x:v>46295</x:v>
      </x:c>
      <x:c r="I243" s="45" t="n">
        <x:f>IF(OR(G243="",H243=""),"",SUMPRODUCT(('Cronograma'!$F$8:$P$8&lt;=H243)*('Cronograma'!$F$9:$P$9&gt;=G243)))</x:f>
        <x:v>1</x:v>
      </x:c>
      <x:c r="J243" s="46"/>
      <x:c r="K243" s="46"/>
      <x:c r="L243" s="47"/>
      <x:c r="M243" s="48" t="str"/>
      <x:c r="N243" s="48" t="str"/>
      <x:c r="O243" s="49" t="n">
        <x:v>46292</x:v>
      </x:c>
      <x:c r="P243" s="43" t="str">
        <x:v>Reporte fechado y código asociado</x:v>
      </x:c>
      <x:c r="Q243" s="43" t="str">
        <x:v>ACC01, COM01</x:v>
      </x:c>
      <x:c r="R243" s="43" t="str"/>
      <x:c r="S243" s="43" t="str"/>
      <x:c r="T243" s="43" t="str">
        <x:v>S005, S032, S026, S047</x:v>
      </x:c>
      <x:c r="U243" s="43" t="str">
        <x:v>docs/account-completion.md
docs/community.md
docs/deployment-status.md
supabase/migrations/006_profile_experience.sql</x:v>
      </x:c>
    </x:row>
    <x:row r="244" ht="56" customHeight="1">
      <x:c r="A244" s="42" t="str">
        <x:v>PRO02.001</x:v>
      </x:c>
      <x:c r="B244" s="42" t="str">
        <x:v>Fichas de portafolio, catálogo y servicios</x:v>
      </x:c>
      <x:c r="C244" s="42" t="str">
        <x:v>PRO02</x:v>
      </x:c>
      <x:c r="D244" s="43" t="str">
        <x:v>Crear modelo de ficha profesional</x:v>
      </x:c>
      <x:c r="E244" s="43" t="str">
        <x:v>Representar project, product y service independientemente de posts.</x:v>
      </x:c>
      <x:c r="F244" s="43" t="str">
        <x:v>Completado</x:v>
      </x:c>
      <x:c r="G244" s="44" t="n">
        <x:v>46287</x:v>
      </x:c>
      <x:c r="H244" s="44" t="n">
        <x:v>46295</x:v>
      </x:c>
      <x:c r="I244" s="45" t="n">
        <x:f>IF(OR(G244="",H244=""),"",SUMPRODUCT(('Cronograma'!$F$8:$P$8&lt;=H244)*('Cronograma'!$F$9:$P$9&gt;=G244)))</x:f>
        <x:v>1</x:v>
      </x:c>
      <x:c r="J244" s="46"/>
      <x:c r="K244" s="46"/>
      <x:c r="L244" s="47"/>
      <x:c r="M244" s="48" t="str"/>
      <x:c r="N244" s="48" t="str"/>
      <x:c r="O244" s="49" t="n">
        <x:v>46292</x:v>
      </x:c>
      <x:c r="P244" s="43" t="str">
        <x:v>Reporte fechado y código asociado</x:v>
      </x:c>
      <x:c r="Q244" s="43" t="str">
        <x:v>PRO01, ACC02</x:v>
      </x:c>
      <x:c r="R244" s="43" t="str"/>
      <x:c r="S244" s="43" t="str"/>
      <x:c r="T244" s="43" t="str">
        <x:v>S032, S048, S049, S047</x:v>
      </x:c>
      <x:c r="U244" s="43" t="str">
        <x:v>docs/community.md
lib/features/showcase/data/showcase_repository.dart
lib/features/showcase/presentation/showcase_composer_screen.dart
supabase/migrations/006_profile_experience.sql</x:v>
      </x:c>
    </x:row>
    <x:row r="245" ht="56" customHeight="1">
      <x:c r="A245" s="42" t="str">
        <x:v>PRO02.002</x:v>
      </x:c>
      <x:c r="B245" s="42" t="str">
        <x:v>Fichas de portafolio, catálogo y servicios</x:v>
      </x:c>
      <x:c r="C245" s="42" t="str">
        <x:v>PRO02</x:v>
      </x:c>
      <x:c r="D245" s="43" t="str">
        <x:v>Crear repositorio de showcase</x:v>
      </x:c>
      <x:c r="E245" s="43" t="str">
        <x:v>Conectar lectura, escritura y cambios de estado.</x:v>
      </x:c>
      <x:c r="F245" s="43" t="str">
        <x:v>Completado</x:v>
      </x:c>
      <x:c r="G245" s="44" t="n">
        <x:v>46287</x:v>
      </x:c>
      <x:c r="H245" s="44" t="n">
        <x:v>46295</x:v>
      </x:c>
      <x:c r="I245" s="45" t="n">
        <x:f>IF(OR(G245="",H245=""),"",SUMPRODUCT(('Cronograma'!$F$8:$P$8&lt;=H245)*('Cronograma'!$F$9:$P$9&gt;=G245)))</x:f>
        <x:v>1</x:v>
      </x:c>
      <x:c r="J245" s="46"/>
      <x:c r="K245" s="46"/>
      <x:c r="L245" s="47"/>
      <x:c r="M245" s="48" t="str"/>
      <x:c r="N245" s="48" t="str"/>
      <x:c r="O245" s="49" t="n">
        <x:v>46292</x:v>
      </x:c>
      <x:c r="P245" s="43" t="str">
        <x:v>Reporte fechado y código asociado</x:v>
      </x:c>
      <x:c r="Q245" s="43" t="str">
        <x:v>PRO01, ACC02</x:v>
      </x:c>
      <x:c r="R245" s="43" t="str"/>
      <x:c r="S245" s="43" t="str"/>
      <x:c r="T245" s="43" t="str">
        <x:v>S032, S048, S049, S047</x:v>
      </x:c>
      <x:c r="U245" s="43" t="str">
        <x:v>docs/community.md
lib/features/showcase/data/showcase_repository.dart
lib/features/showcase/presentation/showcase_composer_screen.dart
supabase/migrations/006_profile_experience.sql</x:v>
      </x:c>
    </x:row>
    <x:row r="246" ht="56" customHeight="1">
      <x:c r="A246" s="42" t="str">
        <x:v>PRO02.003</x:v>
      </x:c>
      <x:c r="B246" s="42" t="str">
        <x:v>Fichas de portafolio, catálogo y servicios</x:v>
      </x:c>
      <x:c r="C246" s="42" t="str">
        <x:v>PRO02</x:v>
      </x:c>
      <x:c r="D246" s="43" t="str">
        <x:v>Crear compositor de obra o proyecto</x:v>
      </x:c>
      <x:c r="E246" s="43" t="str">
        <x:v>Ofrecer ficha de portafolio para creador.</x:v>
      </x:c>
      <x:c r="F246" s="43" t="str">
        <x:v>Completado</x:v>
      </x:c>
      <x:c r="G246" s="44" t="n">
        <x:v>46287</x:v>
      </x:c>
      <x:c r="H246" s="44" t="n">
        <x:v>46295</x:v>
      </x:c>
      <x:c r="I246" s="45" t="n">
        <x:f>IF(OR(G246="",H246=""),"",SUMPRODUCT(('Cronograma'!$F$8:$P$8&lt;=H246)*('Cronograma'!$F$9:$P$9&gt;=G246)))</x:f>
        <x:v>1</x:v>
      </x:c>
      <x:c r="J246" s="46"/>
      <x:c r="K246" s="46"/>
      <x:c r="L246" s="47"/>
      <x:c r="M246" s="48" t="str"/>
      <x:c r="N246" s="48" t="str"/>
      <x:c r="O246" s="49" t="n">
        <x:v>46292</x:v>
      </x:c>
      <x:c r="P246" s="43" t="str">
        <x:v>Reporte fechado y código asociado</x:v>
      </x:c>
      <x:c r="Q246" s="43" t="str">
        <x:v>PRO01, ACC02</x:v>
      </x:c>
      <x:c r="R246" s="43" t="str"/>
      <x:c r="S246" s="43" t="str"/>
      <x:c r="T246" s="43" t="str">
        <x:v>S032, S048, S049, S047</x:v>
      </x:c>
      <x:c r="U246" s="43" t="str">
        <x:v>docs/community.md
lib/features/showcase/data/showcase_repository.dart
lib/features/showcase/presentation/showcase_composer_screen.dart
supabase/migrations/006_profile_experience.sql</x:v>
      </x:c>
    </x:row>
    <x:row r="247" ht="56" customHeight="1">
      <x:c r="A247" s="42" t="str">
        <x:v>PRO02.004</x:v>
      </x:c>
      <x:c r="B247" s="42" t="str">
        <x:v>Fichas de portafolio, catálogo y servicios</x:v>
      </x:c>
      <x:c r="C247" s="42" t="str">
        <x:v>PRO02</x:v>
      </x:c>
      <x:c r="D247" s="43" t="str">
        <x:v>Crear compositor de producto</x:v>
      </x:c>
      <x:c r="E247" s="43" t="str">
        <x:v>Ofrecer ficha de catálogo para emprendimiento.</x:v>
      </x:c>
      <x:c r="F247" s="43" t="str">
        <x:v>Completado</x:v>
      </x:c>
      <x:c r="G247" s="44" t="n">
        <x:v>46287</x:v>
      </x:c>
      <x:c r="H247" s="44" t="n">
        <x:v>46295</x:v>
      </x:c>
      <x:c r="I247" s="45" t="n">
        <x:f>IF(OR(G247="",H247=""),"",SUMPRODUCT(('Cronograma'!$F$8:$P$8&lt;=H247)*('Cronograma'!$F$9:$P$9&gt;=G247)))</x:f>
        <x:v>1</x:v>
      </x:c>
      <x:c r="J247" s="46"/>
      <x:c r="K247" s="46"/>
      <x:c r="L247" s="47"/>
      <x:c r="M247" s="48" t="str"/>
      <x:c r="N247" s="48" t="str"/>
      <x:c r="O247" s="49" t="n">
        <x:v>46292</x:v>
      </x:c>
      <x:c r="P247" s="43" t="str">
        <x:v>Reporte fechado y código asociado</x:v>
      </x:c>
      <x:c r="Q247" s="43" t="str">
        <x:v>PRO01, ACC02</x:v>
      </x:c>
      <x:c r="R247" s="43" t="str"/>
      <x:c r="S247" s="43" t="str"/>
      <x:c r="T247" s="43" t="str">
        <x:v>S032, S048, S049, S047</x:v>
      </x:c>
      <x:c r="U247" s="43" t="str">
        <x:v>docs/community.md
lib/features/showcase/data/showcase_repository.dart
lib/features/showcase/presentation/showcase_composer_screen.dart
supabase/migrations/006_profile_experience.sql</x:v>
      </x:c>
    </x:row>
    <x:row r="248" ht="56" customHeight="1">
      <x:c r="A248" s="42" t="str">
        <x:v>PRO02.005</x:v>
      </x:c>
      <x:c r="B248" s="42" t="str">
        <x:v>Fichas de portafolio, catálogo y servicios</x:v>
      </x:c>
      <x:c r="C248" s="42" t="str">
        <x:v>PRO02</x:v>
      </x:c>
      <x:c r="D248" s="43" t="str">
        <x:v>Crear compositor de servicio</x:v>
      </x:c>
      <x:c r="E248" s="43" t="str">
        <x:v>Ofrecer ficha autorizada por tipo de perfil.</x:v>
      </x:c>
      <x:c r="F248" s="43" t="str">
        <x:v>Completado</x:v>
      </x:c>
      <x:c r="G248" s="44" t="n">
        <x:v>46287</x:v>
      </x:c>
      <x:c r="H248" s="44" t="n">
        <x:v>46295</x:v>
      </x:c>
      <x:c r="I248" s="45" t="n">
        <x:f>IF(OR(G248="",H248=""),"",SUMPRODUCT(('Cronograma'!$F$8:$P$8&lt;=H248)*('Cronograma'!$F$9:$P$9&gt;=G248)))</x:f>
        <x:v>1</x:v>
      </x:c>
      <x:c r="J248" s="46"/>
      <x:c r="K248" s="46"/>
      <x:c r="L248" s="47"/>
      <x:c r="M248" s="48" t="str"/>
      <x:c r="N248" s="48" t="str"/>
      <x:c r="O248" s="49" t="n">
        <x:v>46292</x:v>
      </x:c>
      <x:c r="P248" s="43" t="str">
        <x:v>Reporte fechado y código asociado</x:v>
      </x:c>
      <x:c r="Q248" s="43" t="str">
        <x:v>PRO01, ACC02</x:v>
      </x:c>
      <x:c r="R248" s="43" t="str"/>
      <x:c r="S248" s="43" t="str"/>
      <x:c r="T248" s="43" t="str">
        <x:v>S032, S048, S049, S047</x:v>
      </x:c>
      <x:c r="U248" s="43" t="str">
        <x:v>docs/community.md
lib/features/showcase/data/showcase_repository.dart
lib/features/showcase/presentation/showcase_composer_screen.dart
supabase/migrations/006_profile_experience.sql</x:v>
      </x:c>
    </x:row>
    <x:row r="249" ht="56" customHeight="1">
      <x:c r="A249" s="42" t="str">
        <x:v>PRO02.006</x:v>
      </x:c>
      <x:c r="B249" s="42" t="str">
        <x:v>Fichas de portafolio, catálogo y servicios</x:v>
      </x:c>
      <x:c r="C249" s="42" t="str">
        <x:v>PRO02</x:v>
      </x:c>
      <x:c r="D249" s="43" t="str">
        <x:v>Capturar título y descripción de ficha</x:v>
      </x:c>
      <x:c r="E249" s="43" t="str">
        <x:v>Validar información de presentación.</x:v>
      </x:c>
      <x:c r="F249" s="43" t="str">
        <x:v>Completado</x:v>
      </x:c>
      <x:c r="G249" s="44" t="n">
        <x:v>46287</x:v>
      </x:c>
      <x:c r="H249" s="44" t="n">
        <x:v>46295</x:v>
      </x:c>
      <x:c r="I249" s="45" t="n">
        <x:f>IF(OR(G249="",H249=""),"",SUMPRODUCT(('Cronograma'!$F$8:$P$8&lt;=H249)*('Cronograma'!$F$9:$P$9&gt;=G249)))</x:f>
        <x:v>1</x:v>
      </x:c>
      <x:c r="J249" s="46"/>
      <x:c r="K249" s="46"/>
      <x:c r="L249" s="47"/>
      <x:c r="M249" s="48" t="str"/>
      <x:c r="N249" s="48" t="str"/>
      <x:c r="O249" s="49" t="n">
        <x:v>46292</x:v>
      </x:c>
      <x:c r="P249" s="43" t="str">
        <x:v>Reporte fechado y código asociado</x:v>
      </x:c>
      <x:c r="Q249" s="43" t="str">
        <x:v>PRO01, ACC02</x:v>
      </x:c>
      <x:c r="R249" s="43" t="str"/>
      <x:c r="S249" s="43" t="str"/>
      <x:c r="T249" s="43" t="str">
        <x:v>S032, S048, S049, S047</x:v>
      </x:c>
      <x:c r="U249" s="43" t="str">
        <x:v>docs/community.md
lib/features/showcase/data/showcase_repository.dart
lib/features/showcase/presentation/showcase_composer_screen.dart
supabase/migrations/006_profile_experience.sql</x:v>
      </x:c>
    </x:row>
    <x:row r="250" ht="56" customHeight="1">
      <x:c r="A250" s="42" t="str">
        <x:v>PRO02.007</x:v>
      </x:c>
      <x:c r="B250" s="42" t="str">
        <x:v>Fichas de portafolio, catálogo y servicios</x:v>
      </x:c>
      <x:c r="C250" s="42" t="str">
        <x:v>PRO02</x:v>
      </x:c>
      <x:c r="D250" s="43" t="str">
        <x:v>Seleccionar categoría de ficha</x:v>
      </x:c>
      <x:c r="E250" s="43" t="str">
        <x:v>Aplicar catálogo compatible con el contenido.</x:v>
      </x:c>
      <x:c r="F250" s="43" t="str">
        <x:v>Completado</x:v>
      </x:c>
      <x:c r="G250" s="44" t="n">
        <x:v>46287</x:v>
      </x:c>
      <x:c r="H250" s="44" t="n">
        <x:v>46295</x:v>
      </x:c>
      <x:c r="I250" s="45" t="n">
        <x:f>IF(OR(G250="",H250=""),"",SUMPRODUCT(('Cronograma'!$F$8:$P$8&lt;=H250)*('Cronograma'!$F$9:$P$9&gt;=G250)))</x:f>
        <x:v>1</x:v>
      </x:c>
      <x:c r="J250" s="46"/>
      <x:c r="K250" s="46"/>
      <x:c r="L250" s="47"/>
      <x:c r="M250" s="48" t="str"/>
      <x:c r="N250" s="48" t="str"/>
      <x:c r="O250" s="49" t="n">
        <x:v>46292</x:v>
      </x:c>
      <x:c r="P250" s="43" t="str">
        <x:v>Reporte fechado y código asociado</x:v>
      </x:c>
      <x:c r="Q250" s="43" t="str">
        <x:v>PRO01, ACC02</x:v>
      </x:c>
      <x:c r="R250" s="43" t="str"/>
      <x:c r="S250" s="43" t="str"/>
      <x:c r="T250" s="43" t="str">
        <x:v>S032, S048, S049, S047</x:v>
      </x:c>
      <x:c r="U250" s="43" t="str">
        <x:v>docs/community.md
lib/features/showcase/data/showcase_repository.dart
lib/features/showcase/presentation/showcase_composer_screen.dart
supabase/migrations/006_profile_experience.sql</x:v>
      </x:c>
    </x:row>
    <x:row r="251" ht="56" customHeight="1">
      <x:c r="A251" s="42" t="str">
        <x:v>PRO02.008</x:v>
      </x:c>
      <x:c r="B251" s="42" t="str">
        <x:v>Fichas de portafolio, catálogo y servicios</x:v>
      </x:c>
      <x:c r="C251" s="42" t="str">
        <x:v>PRO02</x:v>
      </x:c>
      <x:c r="D251" s="43" t="str">
        <x:v>Agregar hasta seis fotos ordenadas</x:v>
      </x:c>
      <x:c r="E251" s="43" t="str">
        <x:v>Conservar secuencia de la galería.</x:v>
      </x:c>
      <x:c r="F251" s="43" t="str">
        <x:v>Completado</x:v>
      </x:c>
      <x:c r="G251" s="44" t="n">
        <x:v>46287</x:v>
      </x:c>
      <x:c r="H251" s="44" t="n">
        <x:v>46295</x:v>
      </x:c>
      <x:c r="I251" s="45" t="n">
        <x:f>IF(OR(G251="",H251=""),"",SUMPRODUCT(('Cronograma'!$F$8:$P$8&lt;=H251)*('Cronograma'!$F$9:$P$9&gt;=G251)))</x:f>
        <x:v>1</x:v>
      </x:c>
      <x:c r="J251" s="46"/>
      <x:c r="K251" s="46"/>
      <x:c r="L251" s="47"/>
      <x:c r="M251" s="48" t="str"/>
      <x:c r="N251" s="48" t="str"/>
      <x:c r="O251" s="49" t="n">
        <x:v>46292</x:v>
      </x:c>
      <x:c r="P251" s="43" t="str">
        <x:v>Reporte fechado y código asociado</x:v>
      </x:c>
      <x:c r="Q251" s="43" t="str">
        <x:v>PRO01, ACC02</x:v>
      </x:c>
      <x:c r="R251" s="43" t="str"/>
      <x:c r="S251" s="43" t="str"/>
      <x:c r="T251" s="43" t="str">
        <x:v>S032, S048, S049, S047</x:v>
      </x:c>
      <x:c r="U251" s="43" t="str">
        <x:v>docs/community.md
lib/features/showcase/data/showcase_repository.dart
lib/features/showcase/presentation/showcase_composer_screen.dart
supabase/migrations/006_profile_experience.sql</x:v>
      </x:c>
    </x:row>
    <x:row r="252" ht="56" customHeight="1">
      <x:c r="A252" s="42" t="str">
        <x:v>PRO02.009</x:v>
      </x:c>
      <x:c r="B252" s="42" t="str">
        <x:v>Fichas de portafolio, catálogo y servicios</x:v>
      </x:c>
      <x:c r="C252" s="42" t="str">
        <x:v>PRO02</x:v>
      </x:c>
      <x:c r="D252" s="43" t="str">
        <x:v>Crear bucket privado showcase-media</x:v>
      </x:c>
      <x:c r="E252" s="43" t="str">
        <x:v>Relacionar fotos con fichas visibles y propietario.</x:v>
      </x:c>
      <x:c r="F252" s="43" t="str">
        <x:v>Completado</x:v>
      </x:c>
      <x:c r="G252" s="44" t="n">
        <x:v>46287</x:v>
      </x:c>
      <x:c r="H252" s="44" t="n">
        <x:v>46295</x:v>
      </x:c>
      <x:c r="I252" s="45" t="n">
        <x:f>IF(OR(G252="",H252=""),"",SUMPRODUCT(('Cronograma'!$F$8:$P$8&lt;=H252)*('Cronograma'!$F$9:$P$9&gt;=G252)))</x:f>
        <x:v>1</x:v>
      </x:c>
      <x:c r="J252" s="46"/>
      <x:c r="K252" s="46"/>
      <x:c r="L252" s="47"/>
      <x:c r="M252" s="48" t="str"/>
      <x:c r="N252" s="48" t="str"/>
      <x:c r="O252" s="49" t="n">
        <x:v>46292</x:v>
      </x:c>
      <x:c r="P252" s="43" t="str">
        <x:v>Reporte fechado y código asociado</x:v>
      </x:c>
      <x:c r="Q252" s="43" t="str">
        <x:v>PRO01, ACC02</x:v>
      </x:c>
      <x:c r="R252" s="43" t="str"/>
      <x:c r="S252" s="43" t="str"/>
      <x:c r="T252" s="43" t="str">
        <x:v>S032, S048, S049, S047</x:v>
      </x:c>
      <x:c r="U252" s="43" t="str">
        <x:v>docs/community.md
lib/features/showcase/data/showcase_repository.dart
lib/features/showcase/presentation/showcase_composer_screen.dart
supabase/migrations/006_profile_experience.sql</x:v>
      </x:c>
    </x:row>
    <x:row r="253" ht="56" customHeight="1">
      <x:c r="A253" s="42" t="str">
        <x:v>PRO02.010</x:v>
      </x:c>
      <x:c r="B253" s="42" t="str">
        <x:v>Fichas de portafolio, catálogo y servicios</x:v>
      </x:c>
      <x:c r="C253" s="42" t="str">
        <x:v>PRO02</x:v>
      </x:c>
      <x:c r="D253" s="43" t="str">
        <x:v>Exigir foto para obra y producto publicados</x:v>
      </x:c>
      <x:c r="E253" s="43" t="str">
        <x:v>Permitir servicio publicado sin imagen.</x:v>
      </x:c>
      <x:c r="F253" s="43" t="str">
        <x:v>Completado</x:v>
      </x:c>
      <x:c r="G253" s="44" t="n">
        <x:v>46287</x:v>
      </x:c>
      <x:c r="H253" s="44" t="n">
        <x:v>46295</x:v>
      </x:c>
      <x:c r="I253" s="45" t="n">
        <x:f>IF(OR(G253="",H253=""),"",SUMPRODUCT(('Cronograma'!$F$8:$P$8&lt;=H253)*('Cronograma'!$F$9:$P$9&gt;=G253)))</x:f>
        <x:v>1</x:v>
      </x:c>
      <x:c r="J253" s="46"/>
      <x:c r="K253" s="46"/>
      <x:c r="L253" s="47"/>
      <x:c r="M253" s="48" t="str"/>
      <x:c r="N253" s="48" t="str"/>
      <x:c r="O253" s="49" t="n">
        <x:v>46292</x:v>
      </x:c>
      <x:c r="P253" s="43" t="str">
        <x:v>Reporte fechado y código asociado</x:v>
      </x:c>
      <x:c r="Q253" s="43" t="str">
        <x:v>PRO01, ACC02</x:v>
      </x:c>
      <x:c r="R253" s="43" t="str"/>
      <x:c r="S253" s="43" t="str"/>
      <x:c r="T253" s="43" t="str">
        <x:v>S032, S048, S049, S047</x:v>
      </x:c>
      <x:c r="U253" s="43" t="str">
        <x:v>docs/community.md
lib/features/showcase/data/showcase_repository.dart
lib/features/showcase/presentation/showcase_composer_screen.dart
supabase/migrations/006_profile_experience.sql</x:v>
      </x:c>
    </x:row>
    <x:row r="254" ht="56" customHeight="1">
      <x:c r="A254" s="42" t="str">
        <x:v>PRO02.011</x:v>
      </x:c>
      <x:c r="B254" s="42" t="str">
        <x:v>Fichas de portafolio, catálogo y servicios</x:v>
      </x:c>
      <x:c r="C254" s="42" t="str">
        <x:v>PRO02</x:v>
      </x:c>
      <x:c r="D254" s="43" t="str">
        <x:v>Capturar precio opcional en MXN</x:v>
      </x:c>
      <x:c r="E254" s="43" t="str">
        <x:v>Mostrar Consultar precio cuando no existe importe.</x:v>
      </x:c>
      <x:c r="F254" s="43" t="str">
        <x:v>Completado</x:v>
      </x:c>
      <x:c r="G254" s="44" t="n">
        <x:v>46287</x:v>
      </x:c>
      <x:c r="H254" s="44" t="n">
        <x:v>46295</x:v>
      </x:c>
      <x:c r="I254" s="45" t="n">
        <x:f>IF(OR(G254="",H254=""),"",SUMPRODUCT(('Cronograma'!$F$8:$P$8&lt;=H254)*('Cronograma'!$F$9:$P$9&gt;=G254)))</x:f>
        <x:v>1</x:v>
      </x:c>
      <x:c r="J254" s="46"/>
      <x:c r="K254" s="46"/>
      <x:c r="L254" s="47"/>
      <x:c r="M254" s="48" t="str"/>
      <x:c r="N254" s="48" t="str"/>
      <x:c r="O254" s="49" t="n">
        <x:v>46292</x:v>
      </x:c>
      <x:c r="P254" s="43" t="str">
        <x:v>Reporte fechado y código asociado</x:v>
      </x:c>
      <x:c r="Q254" s="43" t="str">
        <x:v>PRO01, ACC02</x:v>
      </x:c>
      <x:c r="R254" s="43" t="str"/>
      <x:c r="S254" s="43" t="str"/>
      <x:c r="T254" s="43" t="str">
        <x:v>S032, S048, S049, S047</x:v>
      </x:c>
      <x:c r="U254" s="43" t="str">
        <x:v>docs/community.md
lib/features/showcase/data/showcase_repository.dart
lib/features/showcase/presentation/showcase_composer_screen.dart
supabase/migrations/006_profile_experience.sql</x:v>
      </x:c>
    </x:row>
    <x:row r="255" ht="56" customHeight="1">
      <x:c r="A255" s="42" t="str">
        <x:v>PRO02.012</x:v>
      </x:c>
      <x:c r="B255" s="42" t="str">
        <x:v>Fichas de portafolio, catálogo y servicios</x:v>
      </x:c>
      <x:c r="C255" s="42" t="str">
        <x:v>PRO02</x:v>
      </x:c>
      <x:c r="D255" s="43" t="str">
        <x:v>Capturar disponibilidad de ficha</x:v>
      </x:c>
      <x:c r="E255" s="43" t="str">
        <x:v>Controlar disponibilidad del contenido publicado.</x:v>
      </x:c>
      <x:c r="F255" s="43" t="str">
        <x:v>Completado</x:v>
      </x:c>
      <x:c r="G255" s="44" t="n">
        <x:v>46287</x:v>
      </x:c>
      <x:c r="H255" s="44" t="n">
        <x:v>46295</x:v>
      </x:c>
      <x:c r="I255" s="45" t="n">
        <x:f>IF(OR(G255="",H255=""),"",SUMPRODUCT(('Cronograma'!$F$8:$P$8&lt;=H255)*('Cronograma'!$F$9:$P$9&gt;=G255)))</x:f>
        <x:v>1</x:v>
      </x:c>
      <x:c r="J255" s="46"/>
      <x:c r="K255" s="46"/>
      <x:c r="L255" s="47"/>
      <x:c r="M255" s="48" t="str"/>
      <x:c r="N255" s="48" t="str"/>
      <x:c r="O255" s="49" t="n">
        <x:v>46292</x:v>
      </x:c>
      <x:c r="P255" s="43" t="str">
        <x:v>Reporte fechado y código asociado</x:v>
      </x:c>
      <x:c r="Q255" s="43" t="str">
        <x:v>PRO01, ACC02</x:v>
      </x:c>
      <x:c r="R255" s="43" t="str"/>
      <x:c r="S255" s="43" t="str"/>
      <x:c r="T255" s="43" t="str">
        <x:v>S032, S048, S049, S047</x:v>
      </x:c>
      <x:c r="U255" s="43" t="str">
        <x:v>docs/community.md
lib/features/showcase/data/showcase_repository.dart
lib/features/showcase/presentation/showcase_composer_screen.dart
supabase/migrations/006_profile_experience.sql</x:v>
      </x:c>
    </x:row>
    <x:row r="256" ht="56" customHeight="1">
      <x:c r="A256" s="42" t="str">
        <x:v>PRO02.013</x:v>
      </x:c>
      <x:c r="B256" s="42" t="str">
        <x:v>Fichas de portafolio, catálogo y servicios</x:v>
      </x:c>
      <x:c r="C256" s="42" t="str">
        <x:v>PRO02</x:v>
      </x:c>
      <x:c r="D256" s="43" t="str">
        <x:v>Guardar borrador privado</x:v>
      </x:c>
      <x:c r="E256" s="43" t="str">
        <x:v>Permitir preparación sin exposición pública.</x:v>
      </x:c>
      <x:c r="F256" s="43" t="str">
        <x:v>Completado</x:v>
      </x:c>
      <x:c r="G256" s="44" t="n">
        <x:v>46287</x:v>
      </x:c>
      <x:c r="H256" s="44" t="n">
        <x:v>46295</x:v>
      </x:c>
      <x:c r="I256" s="45" t="n">
        <x:f>IF(OR(G256="",H256=""),"",SUMPRODUCT(('Cronograma'!$F$8:$P$8&lt;=H256)*('Cronograma'!$F$9:$P$9&gt;=G256)))</x:f>
        <x:v>1</x:v>
      </x:c>
      <x:c r="J256" s="46"/>
      <x:c r="K256" s="46"/>
      <x:c r="L256" s="47"/>
      <x:c r="M256" s="48" t="str"/>
      <x:c r="N256" s="48" t="str"/>
      <x:c r="O256" s="49" t="n">
        <x:v>46292</x:v>
      </x:c>
      <x:c r="P256" s="43" t="str">
        <x:v>Reporte fechado y código asociado</x:v>
      </x:c>
      <x:c r="Q256" s="43" t="str">
        <x:v>PRO01, ACC02</x:v>
      </x:c>
      <x:c r="R256" s="43" t="str"/>
      <x:c r="S256" s="43" t="str"/>
      <x:c r="T256" s="43" t="str">
        <x:v>S032, S048, S049, S047</x:v>
      </x:c>
      <x:c r="U256" s="43" t="str">
        <x:v>docs/community.md
lib/features/showcase/data/showcase_repository.dart
lib/features/showcase/presentation/showcase_composer_screen.dart
supabase/migrations/006_profile_experience.sql</x:v>
      </x:c>
    </x:row>
    <x:row r="257" ht="56" customHeight="1">
      <x:c r="A257" s="42" t="str">
        <x:v>PRO02.014</x:v>
      </x:c>
      <x:c r="B257" s="42" t="str">
        <x:v>Fichas de portafolio, catálogo y servicios</x:v>
      </x:c>
      <x:c r="C257" s="42" t="str">
        <x:v>PRO02</x:v>
      </x:c>
      <x:c r="D257" s="43" t="str">
        <x:v>Publicar ficha válida</x:v>
      </x:c>
      <x:c r="E257" s="43" t="str">
        <x:v>Cambiar estado con validación atómica del servidor.</x:v>
      </x:c>
      <x:c r="F257" s="43" t="str">
        <x:v>Completado</x:v>
      </x:c>
      <x:c r="G257" s="44" t="n">
        <x:v>46287</x:v>
      </x:c>
      <x:c r="H257" s="44" t="n">
        <x:v>46295</x:v>
      </x:c>
      <x:c r="I257" s="45" t="n">
        <x:f>IF(OR(G257="",H257=""),"",SUMPRODUCT(('Cronograma'!$F$8:$P$8&lt;=H257)*('Cronograma'!$F$9:$P$9&gt;=G257)))</x:f>
        <x:v>1</x:v>
      </x:c>
      <x:c r="J257" s="46"/>
      <x:c r="K257" s="46"/>
      <x:c r="L257" s="47"/>
      <x:c r="M257" s="48" t="str"/>
      <x:c r="N257" s="48" t="str"/>
      <x:c r="O257" s="49" t="n">
        <x:v>46292</x:v>
      </x:c>
      <x:c r="P257" s="43" t="str">
        <x:v>Reporte fechado y código asociado</x:v>
      </x:c>
      <x:c r="Q257" s="43" t="str">
        <x:v>PRO01, ACC02</x:v>
      </x:c>
      <x:c r="R257" s="43" t="str"/>
      <x:c r="S257" s="43" t="str"/>
      <x:c r="T257" s="43" t="str">
        <x:v>S032, S048, S049, S047</x:v>
      </x:c>
      <x:c r="U257" s="43" t="str">
        <x:v>docs/community.md
lib/features/showcase/data/showcase_repository.dart
lib/features/showcase/presentation/showcase_composer_screen.dart
supabase/migrations/006_profile_experience.sql</x:v>
      </x:c>
    </x:row>
    <x:row r="258" ht="56" customHeight="1">
      <x:c r="A258" s="42" t="str">
        <x:v>PRO02.015</x:v>
      </x:c>
      <x:c r="B258" s="42" t="str">
        <x:v>Fichas de portafolio, catálogo y servicios</x:v>
      </x:c>
      <x:c r="C258" s="42" t="str">
        <x:v>PRO02</x:v>
      </x:c>
      <x:c r="D258" s="43" t="str">
        <x:v>Editar ficha propia</x:v>
      </x:c>
      <x:c r="E258" s="43" t="str">
        <x:v>Conservar contenido y permisos del propietario.</x:v>
      </x:c>
      <x:c r="F258" s="43" t="str">
        <x:v>Completado</x:v>
      </x:c>
      <x:c r="G258" s="44" t="n">
        <x:v>46287</x:v>
      </x:c>
      <x:c r="H258" s="44" t="n">
        <x:v>46295</x:v>
      </x:c>
      <x:c r="I258" s="45" t="n">
        <x:f>IF(OR(G258="",H258=""),"",SUMPRODUCT(('Cronograma'!$F$8:$P$8&lt;=H258)*('Cronograma'!$F$9:$P$9&gt;=G258)))</x:f>
        <x:v>1</x:v>
      </x:c>
      <x:c r="J258" s="46"/>
      <x:c r="K258" s="46"/>
      <x:c r="L258" s="47"/>
      <x:c r="M258" s="48" t="str"/>
      <x:c r="N258" s="48" t="str"/>
      <x:c r="O258" s="49" t="n">
        <x:v>46292</x:v>
      </x:c>
      <x:c r="P258" s="43" t="str">
        <x:v>Reporte fechado y código asociado</x:v>
      </x:c>
      <x:c r="Q258" s="43" t="str">
        <x:v>PRO01, ACC02</x:v>
      </x:c>
      <x:c r="R258" s="43" t="str"/>
      <x:c r="S258" s="43" t="str"/>
      <x:c r="T258" s="43" t="str">
        <x:v>S032, S048, S049, S047</x:v>
      </x:c>
      <x:c r="U258" s="43" t="str">
        <x:v>docs/community.md
lib/features/showcase/data/showcase_repository.dart
lib/features/showcase/presentation/showcase_composer_screen.dart
supabase/migrations/006_profile_experience.sql</x:v>
      </x:c>
    </x:row>
    <x:row r="259" ht="56" customHeight="1">
      <x:c r="A259" s="42" t="str">
        <x:v>PRO02.016</x:v>
      </x:c>
      <x:c r="B259" s="42" t="str">
        <x:v>Fichas de portafolio, catálogo y servicios</x:v>
      </x:c>
      <x:c r="C259" s="42" t="str">
        <x:v>PRO02</x:v>
      </x:c>
      <x:c r="D259" s="43" t="str">
        <x:v>Archivar ficha</x:v>
      </x:c>
      <x:c r="E259" s="43" t="str">
        <x:v>Retirar disponibilidad conservando datos.</x:v>
      </x:c>
      <x:c r="F259" s="43" t="str">
        <x:v>Completado</x:v>
      </x:c>
      <x:c r="G259" s="44" t="n">
        <x:v>46287</x:v>
      </x:c>
      <x:c r="H259" s="44" t="n">
        <x:v>46295</x:v>
      </x:c>
      <x:c r="I259" s="45" t="n">
        <x:f>IF(OR(G259="",H259=""),"",SUMPRODUCT(('Cronograma'!$F$8:$P$8&lt;=H259)*('Cronograma'!$F$9:$P$9&gt;=G259)))</x:f>
        <x:v>1</x:v>
      </x:c>
      <x:c r="J259" s="46"/>
      <x:c r="K259" s="46"/>
      <x:c r="L259" s="47"/>
      <x:c r="M259" s="48" t="str"/>
      <x:c r="N259" s="48" t="str"/>
      <x:c r="O259" s="49" t="n">
        <x:v>46292</x:v>
      </x:c>
      <x:c r="P259" s="43" t="str">
        <x:v>Reporte fechado y código asociado</x:v>
      </x:c>
      <x:c r="Q259" s="43" t="str">
        <x:v>PRO01, ACC02</x:v>
      </x:c>
      <x:c r="R259" s="43" t="str"/>
      <x:c r="S259" s="43" t="str"/>
      <x:c r="T259" s="43" t="str">
        <x:v>S032, S048, S049, S047</x:v>
      </x:c>
      <x:c r="U259" s="43" t="str">
        <x:v>docs/community.md
lib/features/showcase/data/showcase_repository.dart
lib/features/showcase/presentation/showcase_composer_screen.dart
supabase/migrations/006_profile_experience.sql</x:v>
      </x:c>
    </x:row>
    <x:row r="260" ht="56" customHeight="1">
      <x:c r="A260" s="42" t="str">
        <x:v>PRO02.017</x:v>
      </x:c>
      <x:c r="B260" s="42" t="str">
        <x:v>Fichas de portafolio, catálogo y servicios</x:v>
      </x:c>
      <x:c r="C260" s="42" t="str">
        <x:v>PRO02</x:v>
      </x:c>
      <x:c r="D260" s="43" t="str">
        <x:v>Volver ficha a borrador</x:v>
      </x:c>
      <x:c r="E260" s="43" t="str">
        <x:v>Permitir edición privada de contenido publicado.</x:v>
      </x:c>
      <x:c r="F260" s="43" t="str">
        <x:v>Completado</x:v>
      </x:c>
      <x:c r="G260" s="44" t="n">
        <x:v>46287</x:v>
      </x:c>
      <x:c r="H260" s="44" t="n">
        <x:v>46295</x:v>
      </x:c>
      <x:c r="I260" s="45" t="n">
        <x:f>IF(OR(G260="",H260=""),"",SUMPRODUCT(('Cronograma'!$F$8:$P$8&lt;=H260)*('Cronograma'!$F$9:$P$9&gt;=G260)))</x:f>
        <x:v>1</x:v>
      </x:c>
      <x:c r="J260" s="46"/>
      <x:c r="K260" s="46"/>
      <x:c r="L260" s="47"/>
      <x:c r="M260" s="48" t="str"/>
      <x:c r="N260" s="48" t="str"/>
      <x:c r="O260" s="49" t="n">
        <x:v>46292</x:v>
      </x:c>
      <x:c r="P260" s="43" t="str">
        <x:v>Reporte fechado y código asociado</x:v>
      </x:c>
      <x:c r="Q260" s="43" t="str">
        <x:v>PRO01, ACC02</x:v>
      </x:c>
      <x:c r="R260" s="43" t="str"/>
      <x:c r="S260" s="43" t="str"/>
      <x:c r="T260" s="43" t="str">
        <x:v>S032, S048, S049, S047</x:v>
      </x:c>
      <x:c r="U260" s="43" t="str">
        <x:v>docs/community.md
lib/features/showcase/data/showcase_repository.dart
lib/features/showcase/presentation/showcase_composer_screen.dart
supabase/migrations/006_profile_experience.sql</x:v>
      </x:c>
    </x:row>
    <x:row r="261" ht="56" customHeight="1">
      <x:c r="A261" s="42" t="str">
        <x:v>PRO02.018</x:v>
      </x:c>
      <x:c r="B261" s="42" t="str">
        <x:v>Fichas de portafolio, catálogo y servicios</x:v>
      </x:c>
      <x:c r="C261" s="42" t="str">
        <x:v>PRO02</x:v>
      </x:c>
      <x:c r="D261" s="43" t="str">
        <x:v>Eliminar ficha con confirmación</x:v>
      </x:c>
      <x:c r="E261" s="43" t="str">
        <x:v>Limpiar relaciones y recursos sin referencias.</x:v>
      </x:c>
      <x:c r="F261" s="43" t="str">
        <x:v>Completado</x:v>
      </x:c>
      <x:c r="G261" s="44" t="n">
        <x:v>46287</x:v>
      </x:c>
      <x:c r="H261" s="44" t="n">
        <x:v>46295</x:v>
      </x:c>
      <x:c r="I261" s="45" t="n">
        <x:f>IF(OR(G261="",H261=""),"",SUMPRODUCT(('Cronograma'!$F$8:$P$8&lt;=H261)*('Cronograma'!$F$9:$P$9&gt;=G261)))</x:f>
        <x:v>1</x:v>
      </x:c>
      <x:c r="J261" s="46"/>
      <x:c r="K261" s="46"/>
      <x:c r="L261" s="47"/>
      <x:c r="M261" s="48" t="str"/>
      <x:c r="N261" s="48" t="str"/>
      <x:c r="O261" s="49" t="n">
        <x:v>46292</x:v>
      </x:c>
      <x:c r="P261" s="43" t="str">
        <x:v>Reporte fechado y código asociado</x:v>
      </x:c>
      <x:c r="Q261" s="43" t="str">
        <x:v>PRO01, ACC02</x:v>
      </x:c>
      <x:c r="R261" s="43" t="str"/>
      <x:c r="S261" s="43" t="str"/>
      <x:c r="T261" s="43" t="str">
        <x:v>S032, S048, S049, S047</x:v>
      </x:c>
      <x:c r="U261" s="43" t="str">
        <x:v>docs/community.md
lib/features/showcase/data/showcase_repository.dart
lib/features/showcase/presentation/showcase_composer_screen.dart
supabase/migrations/006_profile_experience.sql</x:v>
      </x:c>
    </x:row>
    <x:row r="262" ht="56" customHeight="1">
      <x:c r="A262" s="42" t="str">
        <x:v>PRO02.019</x:v>
      </x:c>
      <x:c r="B262" s="42" t="str">
        <x:v>Fichas de portafolio, catálogo y servicios</x:v>
      </x:c>
      <x:c r="C262" s="42" t="str">
        <x:v>PRO02</x:v>
      </x:c>
      <x:c r="D262" s="43" t="str">
        <x:v>Mostrar detalle y galería de ficha</x:v>
      </x:c>
      <x:c r="E262" s="43" t="str">
        <x:v>Permitir navegación de fotografías.</x:v>
      </x:c>
      <x:c r="F262" s="43" t="str">
        <x:v>Completado</x:v>
      </x:c>
      <x:c r="G262" s="44" t="n">
        <x:v>46287</x:v>
      </x:c>
      <x:c r="H262" s="44" t="n">
        <x:v>46295</x:v>
      </x:c>
      <x:c r="I262" s="45" t="n">
        <x:f>IF(OR(G262="",H262=""),"",SUMPRODUCT(('Cronograma'!$F$8:$P$8&lt;=H262)*('Cronograma'!$F$9:$P$9&gt;=G262)))</x:f>
        <x:v>1</x:v>
      </x:c>
      <x:c r="J262" s="46"/>
      <x:c r="K262" s="46"/>
      <x:c r="L262" s="47"/>
      <x:c r="M262" s="48" t="str"/>
      <x:c r="N262" s="48" t="str"/>
      <x:c r="O262" s="49" t="n">
        <x:v>46292</x:v>
      </x:c>
      <x:c r="P262" s="43" t="str">
        <x:v>Reporte fechado y código asociado</x:v>
      </x:c>
      <x:c r="Q262" s="43" t="str">
        <x:v>PRO01, ACC02</x:v>
      </x:c>
      <x:c r="R262" s="43" t="str"/>
      <x:c r="S262" s="43" t="str"/>
      <x:c r="T262" s="43" t="str">
        <x:v>S032, S048, S049, S047</x:v>
      </x:c>
      <x:c r="U262" s="43" t="str">
        <x:v>docs/community.md
lib/features/showcase/data/showcase_repository.dart
lib/features/showcase/presentation/showcase_composer_screen.dart
supabase/migrations/006_profile_experience.sql</x:v>
      </x:c>
    </x:row>
    <x:row r="263" ht="56" customHeight="1">
      <x:c r="A263" s="42" t="str">
        <x:v>PRO02.020</x:v>
      </x:c>
      <x:c r="B263" s="42" t="str">
        <x:v>Fichas de portafolio, catálogo y servicios</x:v>
      </x:c>
      <x:c r="C263" s="42" t="str">
        <x:v>PRO02</x:v>
      </x:c>
      <x:c r="D263" s="43" t="str">
        <x:v>Mostrar contacto del perfil en ficha</x:v>
      </x:c>
      <x:c r="E263" s="43" t="str">
        <x:v>Abrir únicamente el enlace HTTPS disponible.</x:v>
      </x:c>
      <x:c r="F263" s="43" t="str">
        <x:v>Completado</x:v>
      </x:c>
      <x:c r="G263" s="44" t="n">
        <x:v>46287</x:v>
      </x:c>
      <x:c r="H263" s="44" t="n">
        <x:v>46295</x:v>
      </x:c>
      <x:c r="I263" s="45" t="n">
        <x:f>IF(OR(G263="",H263=""),"",SUMPRODUCT(('Cronograma'!$F$8:$P$8&lt;=H263)*('Cronograma'!$F$9:$P$9&gt;=G263)))</x:f>
        <x:v>1</x:v>
      </x:c>
      <x:c r="J263" s="46"/>
      <x:c r="K263" s="46"/>
      <x:c r="L263" s="47"/>
      <x:c r="M263" s="48" t="str"/>
      <x:c r="N263" s="48" t="str"/>
      <x:c r="O263" s="49" t="n">
        <x:v>46292</x:v>
      </x:c>
      <x:c r="P263" s="43" t="str">
        <x:v>Reporte fechado y código asociado</x:v>
      </x:c>
      <x:c r="Q263" s="43" t="str">
        <x:v>PRO01, ACC02</x:v>
      </x:c>
      <x:c r="R263" s="43" t="str"/>
      <x:c r="S263" s="43" t="str"/>
      <x:c r="T263" s="43" t="str">
        <x:v>S032, S048, S049, S047</x:v>
      </x:c>
      <x:c r="U263" s="43" t="str">
        <x:v>docs/community.md
lib/features/showcase/data/showcase_repository.dart
lib/features/showcase/presentation/showcase_composer_screen.dart
supabase/migrations/006_profile_experience.sql</x:v>
      </x:c>
    </x:row>
    <x:row r="264" ht="56" customHeight="1">
      <x:c r="A264" s="42" t="str">
        <x:v>PRO02.021</x:v>
      </x:c>
      <x:c r="B264" s="42" t="str">
        <x:v>Fichas de portafolio, catálogo y servicios</x:v>
      </x:c>
      <x:c r="C264" s="42" t="str">
        <x:v>PRO02</x:v>
      </x:c>
      <x:c r="D264" s="43" t="str">
        <x:v>Buscar fichas en Explorar</x:v>
      </x:c>
      <x:c r="E264" s="43" t="str">
        <x:v>Filtrar por título, categoría y tipo.</x:v>
      </x:c>
      <x:c r="F264" s="43" t="str">
        <x:v>Completado</x:v>
      </x:c>
      <x:c r="G264" s="44" t="n">
        <x:v>46287</x:v>
      </x:c>
      <x:c r="H264" s="44" t="n">
        <x:v>46295</x:v>
      </x:c>
      <x:c r="I264" s="45" t="n">
        <x:f>IF(OR(G264="",H264=""),"",SUMPRODUCT(('Cronograma'!$F$8:$P$8&lt;=H264)*('Cronograma'!$F$9:$P$9&gt;=G264)))</x:f>
        <x:v>1</x:v>
      </x:c>
      <x:c r="J264" s="46"/>
      <x:c r="K264" s="46"/>
      <x:c r="L264" s="47"/>
      <x:c r="M264" s="48" t="str"/>
      <x:c r="N264" s="48" t="str"/>
      <x:c r="O264" s="49" t="n">
        <x:v>46292</x:v>
      </x:c>
      <x:c r="P264" s="43" t="str">
        <x:v>Reporte fechado y código asociado</x:v>
      </x:c>
      <x:c r="Q264" s="43" t="str">
        <x:v>PRO01, ACC02</x:v>
      </x:c>
      <x:c r="R264" s="43" t="str"/>
      <x:c r="S264" s="43" t="str"/>
      <x:c r="T264" s="43" t="str">
        <x:v>S032, S048, S049, S047</x:v>
      </x:c>
      <x:c r="U264" s="43" t="str">
        <x:v>docs/community.md
lib/features/showcase/data/showcase_repository.dart
lib/features/showcase/presentation/showcase_composer_screen.dart
supabase/migrations/006_profile_experience.sql</x:v>
      </x:c>
    </x:row>
    <x:row r="265" ht="56" customHeight="1">
      <x:c r="A265" s="42" t="str">
        <x:v>PRO02.022</x:v>
      </x:c>
      <x:c r="B265" s="42" t="str">
        <x:v>Fichas de portafolio, catálogo y servicios</x:v>
      </x:c>
      <x:c r="C265" s="42" t="str">
        <x:v>PRO02</x:v>
      </x:c>
      <x:c r="D265" s="43" t="str">
        <x:v>Guardar y quitar fichas</x:v>
      </x:c>
      <x:c r="E265" s="43" t="str">
        <x:v>Mantener colección personal privada.</x:v>
      </x:c>
      <x:c r="F265" s="43" t="str">
        <x:v>Completado</x:v>
      </x:c>
      <x:c r="G265" s="44" t="n">
        <x:v>46287</x:v>
      </x:c>
      <x:c r="H265" s="44" t="n">
        <x:v>46295</x:v>
      </x:c>
      <x:c r="I265" s="45" t="n">
        <x:f>IF(OR(G265="",H265=""),"",SUMPRODUCT(('Cronograma'!$F$8:$P$8&lt;=H265)*('Cronograma'!$F$9:$P$9&gt;=G265)))</x:f>
        <x:v>1</x:v>
      </x:c>
      <x:c r="J265" s="46"/>
      <x:c r="K265" s="46"/>
      <x:c r="L265" s="47"/>
      <x:c r="M265" s="48" t="str"/>
      <x:c r="N265" s="48" t="str"/>
      <x:c r="O265" s="49" t="n">
        <x:v>46292</x:v>
      </x:c>
      <x:c r="P265" s="43" t="str">
        <x:v>Reporte fechado y código asociado</x:v>
      </x:c>
      <x:c r="Q265" s="43" t="str">
        <x:v>PRO01, ACC02</x:v>
      </x:c>
      <x:c r="R265" s="43" t="str"/>
      <x:c r="S265" s="43" t="str"/>
      <x:c r="T265" s="43" t="str">
        <x:v>S032, S048, S049, S047</x:v>
      </x:c>
      <x:c r="U265" s="43" t="str">
        <x:v>docs/community.md
lib/features/showcase/data/showcase_repository.dart
lib/features/showcase/presentation/showcase_composer_screen.dart
supabase/migrations/006_profile_experience.sql</x:v>
      </x:c>
    </x:row>
    <x:row r="266" ht="56" customHeight="1">
      <x:c r="A266" s="42" t="str">
        <x:v>PRO02.023</x:v>
      </x:c>
      <x:c r="B266" s="42" t="str">
        <x:v>Fichas de portafolio, catálogo y servicios</x:v>
      </x:c>
      <x:c r="C266" s="42" t="str">
        <x:v>PRO02</x:v>
      </x:c>
      <x:c r="D266" s="43" t="str">
        <x:v>Reportar ficha profesional</x:v>
      </x:c>
      <x:c r="E266" s="43" t="str">
        <x:v>Integrar reporte con moderación existente.</x:v>
      </x:c>
      <x:c r="F266" s="43" t="str">
        <x:v>Completado</x:v>
      </x:c>
      <x:c r="G266" s="44" t="n">
        <x:v>46287</x:v>
      </x:c>
      <x:c r="H266" s="44" t="n">
        <x:v>46295</x:v>
      </x:c>
      <x:c r="I266" s="45" t="n">
        <x:f>IF(OR(G266="",H266=""),"",SUMPRODUCT(('Cronograma'!$F$8:$P$8&lt;=H266)*('Cronograma'!$F$9:$P$9&gt;=G266)))</x:f>
        <x:v>1</x:v>
      </x:c>
      <x:c r="J266" s="46"/>
      <x:c r="K266" s="46"/>
      <x:c r="L266" s="47"/>
      <x:c r="M266" s="48" t="str"/>
      <x:c r="N266" s="48" t="str"/>
      <x:c r="O266" s="49" t="n">
        <x:v>46292</x:v>
      </x:c>
      <x:c r="P266" s="43" t="str">
        <x:v>Reporte fechado y código asociado</x:v>
      </x:c>
      <x:c r="Q266" s="43" t="str">
        <x:v>PRO01, ACC02</x:v>
      </x:c>
      <x:c r="R266" s="43" t="str"/>
      <x:c r="S266" s="43" t="str"/>
      <x:c r="T266" s="43" t="str">
        <x:v>S032, S048, S049, S047</x:v>
      </x:c>
      <x:c r="U266" s="43" t="str">
        <x:v>docs/community.md
lib/features/showcase/data/showcase_repository.dart
lib/features/showcase/presentation/showcase_composer_screen.dart
supabase/migrations/006_profile_experience.sql</x:v>
      </x:c>
    </x:row>
    <x:row r="267" ht="56" customHeight="1">
      <x:c r="A267" s="42" t="str">
        <x:v>PRO02.024</x:v>
      </x:c>
      <x:c r="B267" s="42" t="str">
        <x:v>Fichas de portafolio, catálogo y servicios</x:v>
      </x:c>
      <x:c r="C267" s="42" t="str">
        <x:v>PRO02</x:v>
      </x:c>
      <x:c r="D267" s="43" t="str">
        <x:v>Conservar formulario ante fallo</x:v>
      </x:c>
      <x:c r="E267" s="43" t="str">
        <x:v>Permitir reintento sin perder imágenes o texto.</x:v>
      </x:c>
      <x:c r="F267" s="43" t="str">
        <x:v>Completado</x:v>
      </x:c>
      <x:c r="G267" s="44" t="n">
        <x:v>46287</x:v>
      </x:c>
      <x:c r="H267" s="44" t="n">
        <x:v>46295</x:v>
      </x:c>
      <x:c r="I267" s="45" t="n">
        <x:f>IF(OR(G267="",H267=""),"",SUMPRODUCT(('Cronograma'!$F$8:$P$8&lt;=H267)*('Cronograma'!$F$9:$P$9&gt;=G267)))</x:f>
        <x:v>1</x:v>
      </x:c>
      <x:c r="J267" s="46"/>
      <x:c r="K267" s="46"/>
      <x:c r="L267" s="47"/>
      <x:c r="M267" s="48" t="str"/>
      <x:c r="N267" s="48" t="str"/>
      <x:c r="O267" s="49" t="n">
        <x:v>46292</x:v>
      </x:c>
      <x:c r="P267" s="43" t="str">
        <x:v>Reporte fechado y código asociado</x:v>
      </x:c>
      <x:c r="Q267" s="43" t="str">
        <x:v>PRO01, ACC02</x:v>
      </x:c>
      <x:c r="R267" s="43" t="str"/>
      <x:c r="S267" s="43" t="str"/>
      <x:c r="T267" s="43" t="str">
        <x:v>S032, S048, S049, S047</x:v>
      </x:c>
      <x:c r="U267" s="43" t="str">
        <x:v>docs/community.md
lib/features/showcase/data/showcase_repository.dart
lib/features/showcase/presentation/showcase_composer_screen.dart
supabase/migrations/006_profile_experience.sql</x:v>
      </x:c>
    </x:row>
    <x:row r="268" ht="56" customHeight="1">
      <x:c r="A268" s="42" t="str">
        <x:v>PRO02.025</x:v>
      </x:c>
      <x:c r="B268" s="42" t="str">
        <x:v>Fichas de portafolio, catálogo y servicios</x:v>
      </x:c>
      <x:c r="C268" s="42" t="str">
        <x:v>PRO02</x:v>
      </x:c>
      <x:c r="D268" s="43" t="str">
        <x:v>Limpiar fotos reemplazadas tras éxito</x:v>
      </x:c>
      <x:c r="E268" s="43" t="str">
        <x:v>No borrar imágenes anteriores cuando falla el guardado.</x:v>
      </x:c>
      <x:c r="F268" s="43" t="str">
        <x:v>Completado</x:v>
      </x:c>
      <x:c r="G268" s="44" t="n">
        <x:v>46287</x:v>
      </x:c>
      <x:c r="H268" s="44" t="n">
        <x:v>46295</x:v>
      </x:c>
      <x:c r="I268" s="45" t="n">
        <x:f>IF(OR(G268="",H268=""),"",SUMPRODUCT(('Cronograma'!$F$8:$P$8&lt;=H268)*('Cronograma'!$F$9:$P$9&gt;=G268)))</x:f>
        <x:v>1</x:v>
      </x:c>
      <x:c r="J268" s="46"/>
      <x:c r="K268" s="46"/>
      <x:c r="L268" s="47"/>
      <x:c r="M268" s="48" t="str"/>
      <x:c r="N268" s="48" t="str"/>
      <x:c r="O268" s="49" t="n">
        <x:v>46292</x:v>
      </x:c>
      <x:c r="P268" s="43" t="str">
        <x:v>Reporte fechado y código asociado</x:v>
      </x:c>
      <x:c r="Q268" s="43" t="str">
        <x:v>PRO01, ACC02</x:v>
      </x:c>
      <x:c r="R268" s="43" t="str"/>
      <x:c r="S268" s="43" t="str"/>
      <x:c r="T268" s="43" t="str">
        <x:v>S032, S048, S049, S047</x:v>
      </x:c>
      <x:c r="U268" s="43" t="str">
        <x:v>docs/community.md
lib/features/showcase/data/showcase_repository.dart
lib/features/showcase/presentation/showcase_composer_screen.dart
supabase/migrations/006_profile_experience.sql</x:v>
      </x:c>
    </x:row>
    <x:row r="269" ht="44" customHeight="1">
      <x:c r="A269" s="42" t="str">
        <x:v>ACC03.001</x:v>
      </x:c>
      <x:c r="B269" s="42" t="str">
        <x:v>Rediseño de registro mínimo y guías opcionales</x:v>
      </x:c>
      <x:c r="C269" s="42" t="str">
        <x:v>ACC03</x:v>
      </x:c>
      <x:c r="D269" s="43" t="str">
        <x:v>Crear referencias visuales de acceso</x:v>
      </x:c>
      <x:c r="E269" s="43" t="str">
        <x:v>Preparar cuatro láminas móviles/escritorio y sus prompts.</x:v>
      </x:c>
      <x:c r="F269" s="43" t="str">
        <x:v>Completado</x:v>
      </x:c>
      <x:c r="G269" s="44" t="n">
        <x:v>46287</x:v>
      </x:c>
      <x:c r="H269" s="44" t="n">
        <x:v>46295</x:v>
      </x:c>
      <x:c r="I269" s="45" t="n">
        <x:f>IF(OR(G269="",H269=""),"",SUMPRODUCT(('Cronograma'!$F$8:$P$8&lt;=H269)*('Cronograma'!$F$9:$P$9&gt;=G269)))</x:f>
        <x:v>1</x:v>
      </x:c>
      <x:c r="J269" s="46"/>
      <x:c r="K269" s="46"/>
      <x:c r="L269" s="47"/>
      <x:c r="M269" s="48" t="str"/>
      <x:c r="N269" s="48" t="str"/>
      <x:c r="O269" s="49" t="n">
        <x:v>46293</x:v>
      </x:c>
      <x:c r="P269" s="43" t="str">
        <x:v>Reporte fechado y código asociado</x:v>
      </x:c>
      <x:c r="Q269" s="43" t="str">
        <x:v>PRO01, ACC01</x:v>
      </x:c>
      <x:c r="R269" s="43" t="str"/>
      <x:c r="S269" s="43" t="str"/>
      <x:c r="T269" s="43" t="str">
        <x:v>S050, S051, S052</x:v>
      </x:c>
      <x:c r="U269" s="43" t="str">
        <x:v>docs/access-redesign.md
output/access-redesign-progress.md
supabase/migrations/007_minimal_registration.sql</x:v>
      </x:c>
    </x:row>
    <x:row r="270" ht="44" customHeight="1">
      <x:c r="A270" s="42" t="str">
        <x:v>ACC03.002</x:v>
      </x:c>
      <x:c r="B270" s="42" t="str">
        <x:v>Rediseño de registro mínimo y guías opcionales</x:v>
      </x:c>
      <x:c r="C270" s="42" t="str">
        <x:v>ACC03</x:v>
      </x:c>
      <x:c r="D270" s="43" t="str">
        <x:v>Rediseñar bienvenida con marca MAREA</x:v>
      </x:c>
      <x:c r="E270" s="43" t="str">
        <x:v>Presentar acciones de acceso y superficies compactas.</x:v>
      </x:c>
      <x:c r="F270" s="43" t="str">
        <x:v>Completado</x:v>
      </x:c>
      <x:c r="G270" s="44" t="n">
        <x:v>46287</x:v>
      </x:c>
      <x:c r="H270" s="44" t="n">
        <x:v>46295</x:v>
      </x:c>
      <x:c r="I270" s="45" t="n">
        <x:f>IF(OR(G270="",H270=""),"",SUMPRODUCT(('Cronograma'!$F$8:$P$8&lt;=H270)*('Cronograma'!$F$9:$P$9&gt;=G270)))</x:f>
        <x:v>1</x:v>
      </x:c>
      <x:c r="J270" s="46"/>
      <x:c r="K270" s="46"/>
      <x:c r="L270" s="47"/>
      <x:c r="M270" s="48" t="str"/>
      <x:c r="N270" s="48" t="str"/>
      <x:c r="O270" s="49" t="n">
        <x:v>46293</x:v>
      </x:c>
      <x:c r="P270" s="43" t="str">
        <x:v>Reporte fechado y código asociado</x:v>
      </x:c>
      <x:c r="Q270" s="43" t="str">
        <x:v>PRO01, ACC01</x:v>
      </x:c>
      <x:c r="R270" s="43" t="str"/>
      <x:c r="S270" s="43" t="str"/>
      <x:c r="T270" s="43" t="str">
        <x:v>S050, S051, S052</x:v>
      </x:c>
      <x:c r="U270" s="43" t="str">
        <x:v>docs/access-redesign.md
output/access-redesign-progress.md
supabase/migrations/007_minimal_registration.sql</x:v>
      </x:c>
    </x:row>
    <x:row r="271" ht="44" customHeight="1">
      <x:c r="A271" s="42" t="str">
        <x:v>ACC03.003</x:v>
      </x:c>
      <x:c r="B271" s="42" t="str">
        <x:v>Rediseño de registro mínimo y guías opcionales</x:v>
      </x:c>
      <x:c r="C271" s="42" t="str">
        <x:v>ACC03</x:v>
      </x:c>
      <x:c r="D271" s="43" t="str">
        <x:v>Crear selector de cuatro tipos de perfil</x:v>
      </x:c>
      <x:c r="E271" s="43" t="str">
        <x:v>Ofrecer elección explícita durante registro.</x:v>
      </x:c>
      <x:c r="F271" s="43" t="str">
        <x:v>Completado</x:v>
      </x:c>
      <x:c r="G271" s="44" t="n">
        <x:v>46287</x:v>
      </x:c>
      <x:c r="H271" s="44" t="n">
        <x:v>46295</x:v>
      </x:c>
      <x:c r="I271" s="45" t="n">
        <x:f>IF(OR(G271="",H271=""),"",SUMPRODUCT(('Cronograma'!$F$8:$P$8&lt;=H271)*('Cronograma'!$F$9:$P$9&gt;=G271)))</x:f>
        <x:v>1</x:v>
      </x:c>
      <x:c r="J271" s="46"/>
      <x:c r="K271" s="46"/>
      <x:c r="L271" s="47"/>
      <x:c r="M271" s="48" t="str"/>
      <x:c r="N271" s="48" t="str"/>
      <x:c r="O271" s="49" t="n">
        <x:v>46293</x:v>
      </x:c>
      <x:c r="P271" s="43" t="str">
        <x:v>Reporte fechado y código asociado</x:v>
      </x:c>
      <x:c r="Q271" s="43" t="str">
        <x:v>PRO01, ACC01</x:v>
      </x:c>
      <x:c r="R271" s="43" t="str"/>
      <x:c r="S271" s="43" t="str"/>
      <x:c r="T271" s="43" t="str">
        <x:v>S050, S051, S052</x:v>
      </x:c>
      <x:c r="U271" s="43" t="str">
        <x:v>docs/access-redesign.md
output/access-redesign-progress.md
supabase/migrations/007_minimal_registration.sql</x:v>
      </x:c>
    </x:row>
    <x:row r="272" ht="44" customHeight="1">
      <x:c r="A272" s="42" t="str">
        <x:v>ACC03.004</x:v>
      </x:c>
      <x:c r="B272" s="42" t="str">
        <x:v>Rediseño de registro mínimo y guías opcionales</x:v>
      </x:c>
      <x:c r="C272" s="42" t="str">
        <x:v>ACC03</x:v>
      </x:c>
      <x:c r="D272" s="43" t="str">
        <x:v>Dividir registro mínimo en tres pasos</x:v>
      </x:c>
      <x:c r="E272" s="43" t="str">
        <x:v>Separar tipo, identidad y credenciales/verificación.</x:v>
      </x:c>
      <x:c r="F272" s="43" t="str">
        <x:v>Completado</x:v>
      </x:c>
      <x:c r="G272" s="44" t="n">
        <x:v>46287</x:v>
      </x:c>
      <x:c r="H272" s="44" t="n">
        <x:v>46295</x:v>
      </x:c>
      <x:c r="I272" s="45" t="n">
        <x:f>IF(OR(G272="",H272=""),"",SUMPRODUCT(('Cronograma'!$F$8:$P$8&lt;=H272)*('Cronograma'!$F$9:$P$9&gt;=G272)))</x:f>
        <x:v>1</x:v>
      </x:c>
      <x:c r="J272" s="46"/>
      <x:c r="K272" s="46"/>
      <x:c r="L272" s="47"/>
      <x:c r="M272" s="48" t="str"/>
      <x:c r="N272" s="48" t="str"/>
      <x:c r="O272" s="49" t="n">
        <x:v>46293</x:v>
      </x:c>
      <x:c r="P272" s="43" t="str">
        <x:v>Reporte fechado y código asociado</x:v>
      </x:c>
      <x:c r="Q272" s="43" t="str">
        <x:v>PRO01, ACC01</x:v>
      </x:c>
      <x:c r="R272" s="43" t="str"/>
      <x:c r="S272" s="43" t="str"/>
      <x:c r="T272" s="43" t="str">
        <x:v>S050, S051, S052</x:v>
      </x:c>
      <x:c r="U272" s="43" t="str">
        <x:v>docs/access-redesign.md
output/access-redesign-progress.md
supabase/migrations/007_minimal_registration.sql</x:v>
      </x:c>
    </x:row>
    <x:row r="273" ht="44" customHeight="1">
      <x:c r="A273" s="42" t="str">
        <x:v>ACC03.005</x:v>
      </x:c>
      <x:c r="B273" s="42" t="str">
        <x:v>Rediseño de registro mínimo y guías opcionales</x:v>
      </x:c>
      <x:c r="C273" s="42" t="str">
        <x:v>ACC03</x:v>
      </x:c>
      <x:c r="D273" s="43" t="str">
        <x:v>Retirar preferencias obligatorias del registro</x:v>
      </x:c>
      <x:c r="E273" s="43" t="str">
        <x:v>Permitir llegar a Inicio con información mínima.</x:v>
      </x:c>
      <x:c r="F273" s="43" t="str">
        <x:v>Completado</x:v>
      </x:c>
      <x:c r="G273" s="44" t="n">
        <x:v>46287</x:v>
      </x:c>
      <x:c r="H273" s="44" t="n">
        <x:v>46295</x:v>
      </x:c>
      <x:c r="I273" s="45" t="n">
        <x:f>IF(OR(G273="",H273=""),"",SUMPRODUCT(('Cronograma'!$F$8:$P$8&lt;=H273)*('Cronograma'!$F$9:$P$9&gt;=G273)))</x:f>
        <x:v>1</x:v>
      </x:c>
      <x:c r="J273" s="46"/>
      <x:c r="K273" s="46"/>
      <x:c r="L273" s="47"/>
      <x:c r="M273" s="48" t="str"/>
      <x:c r="N273" s="48" t="str"/>
      <x:c r="O273" s="49" t="n">
        <x:v>46293</x:v>
      </x:c>
      <x:c r="P273" s="43" t="str">
        <x:v>Reporte fechado y código asociado</x:v>
      </x:c>
      <x:c r="Q273" s="43" t="str">
        <x:v>PRO01, ACC01</x:v>
      </x:c>
      <x:c r="R273" s="43" t="str"/>
      <x:c r="S273" s="43" t="str"/>
      <x:c r="T273" s="43" t="str">
        <x:v>S050, S051, S052</x:v>
      </x:c>
      <x:c r="U273" s="43" t="str">
        <x:v>docs/access-redesign.md
output/access-redesign-progress.md
supabase/migrations/007_minimal_registration.sql</x:v>
      </x:c>
    </x:row>
    <x:row r="274" ht="44" customHeight="1">
      <x:c r="A274" s="42" t="str">
        <x:v>ACC03.006</x:v>
      </x:c>
      <x:c r="B274" s="42" t="str">
        <x:v>Rediseño de registro mínimo y guías opcionales</x:v>
      </x:c>
      <x:c r="C274" s="42" t="str">
        <x:v>ACC03</x:v>
      </x:c>
      <x:c r="D274" s="43" t="str">
        <x:v>Confirmar tipo en nuevo registro</x:v>
      </x:c>
      <x:c r="E274" s="43" t="str">
        <x:v>Persistir la elección autorizada desde el trigger.</x:v>
      </x:c>
      <x:c r="F274" s="43" t="str">
        <x:v>Completado</x:v>
      </x:c>
      <x:c r="G274" s="44" t="n">
        <x:v>46287</x:v>
      </x:c>
      <x:c r="H274" s="44" t="n">
        <x:v>46295</x:v>
      </x:c>
      <x:c r="I274" s="45" t="n">
        <x:f>IF(OR(G274="",H274=""),"",SUMPRODUCT(('Cronograma'!$F$8:$P$8&lt;=H274)*('Cronograma'!$F$9:$P$9&gt;=G274)))</x:f>
        <x:v>1</x:v>
      </x:c>
      <x:c r="J274" s="46"/>
      <x:c r="K274" s="46"/>
      <x:c r="L274" s="47"/>
      <x:c r="M274" s="48" t="str"/>
      <x:c r="N274" s="48" t="str"/>
      <x:c r="O274" s="49" t="n">
        <x:v>46293</x:v>
      </x:c>
      <x:c r="P274" s="43" t="str">
        <x:v>Reporte fechado y código asociado</x:v>
      </x:c>
      <x:c r="Q274" s="43" t="str">
        <x:v>PRO01, ACC01</x:v>
      </x:c>
      <x:c r="R274" s="43" t="str"/>
      <x:c r="S274" s="43" t="str"/>
      <x:c r="T274" s="43" t="str">
        <x:v>S050, S051, S052</x:v>
      </x:c>
      <x:c r="U274" s="43" t="str">
        <x:v>docs/access-redesign.md
output/access-redesign-progress.md
supabase/migrations/007_minimal_registration.sql</x:v>
      </x:c>
    </x:row>
    <x:row r="275" ht="44" customHeight="1">
      <x:c r="A275" s="42" t="str">
        <x:v>ACC03.007</x:v>
      </x:c>
      <x:c r="B275" s="42" t="str">
        <x:v>Rediseño de registro mínimo y guías opcionales</x:v>
      </x:c>
      <x:c r="C275" s="42" t="str">
        <x:v>ACC03</x:v>
      </x:c>
      <x:c r="D275" s="43" t="str">
        <x:v>Crear confirmación mínima heredada</x:v>
      </x:c>
      <x:c r="E275" s="43" t="str">
        <x:v>Solicitar solo el tipo a cuentas pendientes compatibles.</x:v>
      </x:c>
      <x:c r="F275" s="43" t="str">
        <x:v>Completado</x:v>
      </x:c>
      <x:c r="G275" s="44" t="n">
        <x:v>46287</x:v>
      </x:c>
      <x:c r="H275" s="44" t="n">
        <x:v>46295</x:v>
      </x:c>
      <x:c r="I275" s="45" t="n">
        <x:f>IF(OR(G275="",H275=""),"",SUMPRODUCT(('Cronograma'!$F$8:$P$8&lt;=H275)*('Cronograma'!$F$9:$P$9&gt;=G275)))</x:f>
        <x:v>1</x:v>
      </x:c>
      <x:c r="J275" s="46"/>
      <x:c r="K275" s="46"/>
      <x:c r="L275" s="47"/>
      <x:c r="M275" s="48" t="str"/>
      <x:c r="N275" s="48" t="str"/>
      <x:c r="O275" s="49" t="n">
        <x:v>46293</x:v>
      </x:c>
      <x:c r="P275" s="43" t="str">
        <x:v>Reporte fechado y código asociado</x:v>
      </x:c>
      <x:c r="Q275" s="43" t="str">
        <x:v>PRO01, ACC01</x:v>
      </x:c>
      <x:c r="R275" s="43" t="str"/>
      <x:c r="S275" s="43" t="str"/>
      <x:c r="T275" s="43" t="str">
        <x:v>S050, S051, S052</x:v>
      </x:c>
      <x:c r="U275" s="43" t="str">
        <x:v>docs/access-redesign.md
output/access-redesign-progress.md
supabase/migrations/007_minimal_registration.sql</x:v>
      </x:c>
    </x:row>
    <x:row r="276" ht="44" customHeight="1">
      <x:c r="A276" s="42" t="str">
        <x:v>ACC03.008</x:v>
      </x:c>
      <x:c r="B276" s="42" t="str">
        <x:v>Rediseño de registro mínimo y guías opcionales</x:v>
      </x:c>
      <x:c r="C276" s="42" t="str">
        <x:v>ACC03</x:v>
      </x:c>
      <x:c r="D276" s="43" t="str">
        <x:v>Crear guía de usuario general</x:v>
      </x:c>
      <x:c r="E276" s="43" t="str">
        <x:v>Ofrecer orientación opcional específica del tipo.</x:v>
      </x:c>
      <x:c r="F276" s="43" t="str">
        <x:v>Completado</x:v>
      </x:c>
      <x:c r="G276" s="44" t="n">
        <x:v>46287</x:v>
      </x:c>
      <x:c r="H276" s="44" t="n">
        <x:v>46295</x:v>
      </x:c>
      <x:c r="I276" s="45" t="n">
        <x:f>IF(OR(G276="",H276=""),"",SUMPRODUCT(('Cronograma'!$F$8:$P$8&lt;=H276)*('Cronograma'!$F$9:$P$9&gt;=G276)))</x:f>
        <x:v>1</x:v>
      </x:c>
      <x:c r="J276" s="46"/>
      <x:c r="K276" s="46"/>
      <x:c r="L276" s="47"/>
      <x:c r="M276" s="48" t="str"/>
      <x:c r="N276" s="48" t="str"/>
      <x:c r="O276" s="49" t="n">
        <x:v>46293</x:v>
      </x:c>
      <x:c r="P276" s="43" t="str">
        <x:v>Reporte fechado y código asociado</x:v>
      </x:c>
      <x:c r="Q276" s="43" t="str">
        <x:v>PRO01, ACC01</x:v>
      </x:c>
      <x:c r="R276" s="43" t="str"/>
      <x:c r="S276" s="43" t="str"/>
      <x:c r="T276" s="43" t="str">
        <x:v>S050, S051, S052</x:v>
      </x:c>
      <x:c r="U276" s="43" t="str">
        <x:v>docs/access-redesign.md
output/access-redesign-progress.md
supabase/migrations/007_minimal_registration.sql</x:v>
      </x:c>
    </x:row>
    <x:row r="277" ht="44" customHeight="1">
      <x:c r="A277" s="42" t="str">
        <x:v>ACC03.009</x:v>
      </x:c>
      <x:c r="B277" s="42" t="str">
        <x:v>Rediseño de registro mínimo y guías opcionales</x:v>
      </x:c>
      <x:c r="C277" s="42" t="str">
        <x:v>ACC03</x:v>
      </x:c>
      <x:c r="D277" s="43" t="str">
        <x:v>Crear guía de artista o creador</x:v>
      </x:c>
      <x:c r="E277" s="43" t="str">
        <x:v>Ofrecer pasos opcionales del portafolio y colaboración.</x:v>
      </x:c>
      <x:c r="F277" s="43" t="str">
        <x:v>Completado</x:v>
      </x:c>
      <x:c r="G277" s="44" t="n">
        <x:v>46287</x:v>
      </x:c>
      <x:c r="H277" s="44" t="n">
        <x:v>46295</x:v>
      </x:c>
      <x:c r="I277" s="45" t="n">
        <x:f>IF(OR(G277="",H277=""),"",SUMPRODUCT(('Cronograma'!$F$8:$P$8&lt;=H277)*('Cronograma'!$F$9:$P$9&gt;=G277)))</x:f>
        <x:v>1</x:v>
      </x:c>
      <x:c r="J277" s="46"/>
      <x:c r="K277" s="46"/>
      <x:c r="L277" s="47"/>
      <x:c r="M277" s="48" t="str"/>
      <x:c r="N277" s="48" t="str"/>
      <x:c r="O277" s="49" t="n">
        <x:v>46293</x:v>
      </x:c>
      <x:c r="P277" s="43" t="str">
        <x:v>Reporte fechado y código asociado</x:v>
      </x:c>
      <x:c r="Q277" s="43" t="str">
        <x:v>PRO01, ACC01</x:v>
      </x:c>
      <x:c r="R277" s="43" t="str"/>
      <x:c r="S277" s="43" t="str"/>
      <x:c r="T277" s="43" t="str">
        <x:v>S050, S051, S052</x:v>
      </x:c>
      <x:c r="U277" s="43" t="str">
        <x:v>docs/access-redesign.md
output/access-redesign-progress.md
supabase/migrations/007_minimal_registration.sql</x:v>
      </x:c>
    </x:row>
    <x:row r="278" ht="44" customHeight="1">
      <x:c r="A278" s="42" t="str">
        <x:v>ACC03.010</x:v>
      </x:c>
      <x:c r="B278" s="42" t="str">
        <x:v>Rediseño de registro mínimo y guías opcionales</x:v>
      </x:c>
      <x:c r="C278" s="42" t="str">
        <x:v>ACC03</x:v>
      </x:c>
      <x:c r="D278" s="43" t="str">
        <x:v>Crear guía de emprendimiento</x:v>
      </x:c>
      <x:c r="E278" s="43" t="str">
        <x:v>Ofrecer orientación de catálogo y contacto.</x:v>
      </x:c>
      <x:c r="F278" s="43" t="str">
        <x:v>Completado</x:v>
      </x:c>
      <x:c r="G278" s="44" t="n">
        <x:v>46287</x:v>
      </x:c>
      <x:c r="H278" s="44" t="n">
        <x:v>46295</x:v>
      </x:c>
      <x:c r="I278" s="45" t="n">
        <x:f>IF(OR(G278="",H278=""),"",SUMPRODUCT(('Cronograma'!$F$8:$P$8&lt;=H278)*('Cronograma'!$F$9:$P$9&gt;=G278)))</x:f>
        <x:v>1</x:v>
      </x:c>
      <x:c r="J278" s="46"/>
      <x:c r="K278" s="46"/>
      <x:c r="L278" s="47"/>
      <x:c r="M278" s="48" t="str"/>
      <x:c r="N278" s="48" t="str"/>
      <x:c r="O278" s="49" t="n">
        <x:v>46293</x:v>
      </x:c>
      <x:c r="P278" s="43" t="str">
        <x:v>Reporte fechado y código asociado</x:v>
      </x:c>
      <x:c r="Q278" s="43" t="str">
        <x:v>PRO01, ACC01</x:v>
      </x:c>
      <x:c r="R278" s="43" t="str"/>
      <x:c r="S278" s="43" t="str"/>
      <x:c r="T278" s="43" t="str">
        <x:v>S050, S051, S052</x:v>
      </x:c>
      <x:c r="U278" s="43" t="str">
        <x:v>docs/access-redesign.md
output/access-redesign-progress.md
supabase/migrations/007_minimal_registration.sql</x:v>
      </x:c>
    </x:row>
    <x:row r="279" ht="44" customHeight="1">
      <x:c r="A279" s="42" t="str">
        <x:v>ACC03.011</x:v>
      </x:c>
      <x:c r="B279" s="42" t="str">
        <x:v>Rediseño de registro mínimo y guías opcionales</x:v>
      </x:c>
      <x:c r="C279" s="42" t="str">
        <x:v>ACC03</x:v>
      </x:c>
      <x:c r="D279" s="43" t="str">
        <x:v>Crear guía de negocio</x:v>
      </x:c>
      <x:c r="E279" s="43" t="str">
        <x:v>Ofrecer orientación de servicios y datos del local.</x:v>
      </x:c>
      <x:c r="F279" s="43" t="str">
        <x:v>Completado</x:v>
      </x:c>
      <x:c r="G279" s="44" t="n">
        <x:v>46287</x:v>
      </x:c>
      <x:c r="H279" s="44" t="n">
        <x:v>46295</x:v>
      </x:c>
      <x:c r="I279" s="45" t="n">
        <x:f>IF(OR(G279="",H279=""),"",SUMPRODUCT(('Cronograma'!$F$8:$P$8&lt;=H279)*('Cronograma'!$F$9:$P$9&gt;=G279)))</x:f>
        <x:v>1</x:v>
      </x:c>
      <x:c r="J279" s="46"/>
      <x:c r="K279" s="46"/>
      <x:c r="L279" s="47"/>
      <x:c r="M279" s="48" t="str"/>
      <x:c r="N279" s="48" t="str"/>
      <x:c r="O279" s="49" t="n">
        <x:v>46293</x:v>
      </x:c>
      <x:c r="P279" s="43" t="str">
        <x:v>Reporte fechado y código asociado</x:v>
      </x:c>
      <x:c r="Q279" s="43" t="str">
        <x:v>PRO01, ACC01</x:v>
      </x:c>
      <x:c r="R279" s="43" t="str"/>
      <x:c r="S279" s="43" t="str"/>
      <x:c r="T279" s="43" t="str">
        <x:v>S050, S051, S052</x:v>
      </x:c>
      <x:c r="U279" s="43" t="str">
        <x:v>docs/access-redesign.md
output/access-redesign-progress.md
supabase/migrations/007_minimal_registration.sql</x:v>
      </x:c>
    </x:row>
    <x:row r="280" ht="44" customHeight="1">
      <x:c r="A280" s="42" t="str">
        <x:v>ACC03.012</x:v>
      </x:c>
      <x:c r="B280" s="42" t="str">
        <x:v>Rediseño de registro mínimo y guías opcionales</x:v>
      </x:c>
      <x:c r="C280" s="42" t="str">
        <x:v>ACC03</x:v>
      </x:c>
      <x:c r="D280" s="43" t="str">
        <x:v>Permitir omitir guía</x:v>
      </x:c>
      <x:c r="E280" s="43" t="str">
        <x:v>No impedir el acceso a Inicio por orientación pendiente.</x:v>
      </x:c>
      <x:c r="F280" s="43" t="str">
        <x:v>Completado</x:v>
      </x:c>
      <x:c r="G280" s="44" t="n">
        <x:v>46287</x:v>
      </x:c>
      <x:c r="H280" s="44" t="n">
        <x:v>46295</x:v>
      </x:c>
      <x:c r="I280" s="45" t="n">
        <x:f>IF(OR(G280="",H280=""),"",SUMPRODUCT(('Cronograma'!$F$8:$P$8&lt;=H280)*('Cronograma'!$F$9:$P$9&gt;=G280)))</x:f>
        <x:v>1</x:v>
      </x:c>
      <x:c r="J280" s="46"/>
      <x:c r="K280" s="46"/>
      <x:c r="L280" s="47"/>
      <x:c r="M280" s="48" t="str"/>
      <x:c r="N280" s="48" t="str"/>
      <x:c r="O280" s="49" t="n">
        <x:v>46293</x:v>
      </x:c>
      <x:c r="P280" s="43" t="str">
        <x:v>Reporte fechado y código asociado</x:v>
      </x:c>
      <x:c r="Q280" s="43" t="str">
        <x:v>PRO01, ACC01</x:v>
      </x:c>
      <x:c r="R280" s="43" t="str"/>
      <x:c r="S280" s="43" t="str"/>
      <x:c r="T280" s="43" t="str">
        <x:v>S050, S051, S052</x:v>
      </x:c>
      <x:c r="U280" s="43" t="str">
        <x:v>docs/access-redesign.md
output/access-redesign-progress.md
supabase/migrations/007_minimal_registration.sql</x:v>
      </x:c>
    </x:row>
    <x:row r="281" ht="44" customHeight="1">
      <x:c r="A281" s="42" t="str">
        <x:v>ACC03.013</x:v>
      </x:c>
      <x:c r="B281" s="42" t="str">
        <x:v>Rediseño de registro mínimo y guías opcionales</x:v>
      </x:c>
      <x:c r="C281" s="42" t="str">
        <x:v>ACC03</x:v>
      </x:c>
      <x:c r="D281" s="43" t="str">
        <x:v>Retomar guía desde perfil</x:v>
      </x:c>
      <x:c r="E281" s="43" t="str">
        <x:v>Recuperar paso guardado al volver.</x:v>
      </x:c>
      <x:c r="F281" s="43" t="str">
        <x:v>Completado</x:v>
      </x:c>
      <x:c r="G281" s="44" t="n">
        <x:v>46287</x:v>
      </x:c>
      <x:c r="H281" s="44" t="n">
        <x:v>46295</x:v>
      </x:c>
      <x:c r="I281" s="45" t="n">
        <x:f>IF(OR(G281="",H281=""),"",SUMPRODUCT(('Cronograma'!$F$8:$P$8&lt;=H281)*('Cronograma'!$F$9:$P$9&gt;=G281)))</x:f>
        <x:v>1</x:v>
      </x:c>
      <x:c r="J281" s="46"/>
      <x:c r="K281" s="46"/>
      <x:c r="L281" s="47"/>
      <x:c r="M281" s="48" t="str"/>
      <x:c r="N281" s="48" t="str"/>
      <x:c r="O281" s="49" t="n">
        <x:v>46293</x:v>
      </x:c>
      <x:c r="P281" s="43" t="str">
        <x:v>Reporte fechado y código asociado</x:v>
      </x:c>
      <x:c r="Q281" s="43" t="str">
        <x:v>PRO01, ACC01</x:v>
      </x:c>
      <x:c r="R281" s="43" t="str"/>
      <x:c r="S281" s="43" t="str"/>
      <x:c r="T281" s="43" t="str">
        <x:v>S050, S051, S052</x:v>
      </x:c>
      <x:c r="U281" s="43" t="str">
        <x:v>docs/access-redesign.md
output/access-redesign-progress.md
supabase/migrations/007_minimal_registration.sql</x:v>
      </x:c>
    </x:row>
    <x:row r="282" ht="44" customHeight="1">
      <x:c r="A282" s="42" t="str">
        <x:v>ACC03.014</x:v>
      </x:c>
      <x:c r="B282" s="42" t="str">
        <x:v>Rediseño de registro mínimo y guías opcionales</x:v>
      </x:c>
      <x:c r="C282" s="42" t="str">
        <x:v>ACC03</x:v>
      </x:c>
      <x:c r="D282" s="43" t="str">
        <x:v>Persistir avance privado de guía</x:v>
      </x:c>
      <x:c r="E282" s="43" t="str">
        <x:v>Guardar paso confirmado en lugar de pregunta abierta.</x:v>
      </x:c>
      <x:c r="F282" s="43" t="str">
        <x:v>Completado</x:v>
      </x:c>
      <x:c r="G282" s="44" t="n">
        <x:v>46287</x:v>
      </x:c>
      <x:c r="H282" s="44" t="n">
        <x:v>46295</x:v>
      </x:c>
      <x:c r="I282" s="45" t="n">
        <x:f>IF(OR(G282="",H282=""),"",SUMPRODUCT(('Cronograma'!$F$8:$P$8&lt;=H282)*('Cronograma'!$F$9:$P$9&gt;=G282)))</x:f>
        <x:v>1</x:v>
      </x:c>
      <x:c r="J282" s="46"/>
      <x:c r="K282" s="46"/>
      <x:c r="L282" s="47"/>
      <x:c r="M282" s="48" t="str"/>
      <x:c r="N282" s="48" t="str"/>
      <x:c r="O282" s="49" t="n">
        <x:v>46293</x:v>
      </x:c>
      <x:c r="P282" s="43" t="str">
        <x:v>Reporte fechado y código asociado</x:v>
      </x:c>
      <x:c r="Q282" s="43" t="str">
        <x:v>PRO01, ACC01</x:v>
      </x:c>
      <x:c r="R282" s="43" t="str"/>
      <x:c r="S282" s="43" t="str"/>
      <x:c r="T282" s="43" t="str">
        <x:v>S050, S051, S052</x:v>
      </x:c>
      <x:c r="U282" s="43" t="str">
        <x:v>docs/access-redesign.md
output/access-redesign-progress.md
supabase/migrations/007_minimal_registration.sql</x:v>
      </x:c>
    </x:row>
    <x:row r="283" ht="44" customHeight="1">
      <x:c r="A283" s="42" t="str">
        <x:v>ACC03.015</x:v>
      </x:c>
      <x:c r="B283" s="42" t="str">
        <x:v>Rediseño de registro mínimo y guías opcionales</x:v>
      </x:c>
      <x:c r="C283" s="42" t="str">
        <x:v>ACC03</x:v>
      </x:c>
      <x:c r="D283" s="43" t="str">
        <x:v>Editar preferencias después del registro</x:v>
      </x:c>
      <x:c r="E283" s="43" t="str">
        <x:v>Actualizar intereses y objetivos sin cambiar el tipo.</x:v>
      </x:c>
      <x:c r="F283" s="43" t="str">
        <x:v>Completado</x:v>
      </x:c>
      <x:c r="G283" s="44" t="n">
        <x:v>46287</x:v>
      </x:c>
      <x:c r="H283" s="44" t="n">
        <x:v>46295</x:v>
      </x:c>
      <x:c r="I283" s="45" t="n">
        <x:f>IF(OR(G283="",H283=""),"",SUMPRODUCT(('Cronograma'!$F$8:$P$8&lt;=H283)*('Cronograma'!$F$9:$P$9&gt;=G283)))</x:f>
        <x:v>1</x:v>
      </x:c>
      <x:c r="J283" s="46"/>
      <x:c r="K283" s="46"/>
      <x:c r="L283" s="47"/>
      <x:c r="M283" s="48" t="str"/>
      <x:c r="N283" s="48" t="str"/>
      <x:c r="O283" s="49" t="n">
        <x:v>46293</x:v>
      </x:c>
      <x:c r="P283" s="43" t="str">
        <x:v>Reporte fechado y código asociado</x:v>
      </x:c>
      <x:c r="Q283" s="43" t="str">
        <x:v>PRO01, ACC01</x:v>
      </x:c>
      <x:c r="R283" s="43" t="str"/>
      <x:c r="S283" s="43" t="str"/>
      <x:c r="T283" s="43" t="str">
        <x:v>S050, S051, S052</x:v>
      </x:c>
      <x:c r="U283" s="43" t="str">
        <x:v>docs/access-redesign.md
output/access-redesign-progress.md
supabase/migrations/007_minimal_registration.sql</x:v>
      </x:c>
    </x:row>
    <x:row r="284" ht="44" customHeight="1">
      <x:c r="A284" s="42" t="str">
        <x:v>ACC03.016</x:v>
      </x:c>
      <x:c r="B284" s="42" t="str">
        <x:v>Rediseño de registro mínimo y guías opcionales</x:v>
      </x:c>
      <x:c r="C284" s="42" t="str">
        <x:v>ACC03</x:v>
      </x:c>
      <x:c r="D284" s="43" t="str">
        <x:v>Proteger borradores al cambiar cuenta</x:v>
      </x:c>
      <x:c r="E284" s="43" t="str">
        <x:v>Evitar aplicar datos de una sesión anterior.</x:v>
      </x:c>
      <x:c r="F284" s="43" t="str">
        <x:v>Completado</x:v>
      </x:c>
      <x:c r="G284" s="44" t="n">
        <x:v>46287</x:v>
      </x:c>
      <x:c r="H284" s="44" t="n">
        <x:v>46295</x:v>
      </x:c>
      <x:c r="I284" s="45" t="n">
        <x:f>IF(OR(G284="",H284=""),"",SUMPRODUCT(('Cronograma'!$F$8:$P$8&lt;=H284)*('Cronograma'!$F$9:$P$9&gt;=G284)))</x:f>
        <x:v>1</x:v>
      </x:c>
      <x:c r="J284" s="46"/>
      <x:c r="K284" s="46"/>
      <x:c r="L284" s="47"/>
      <x:c r="M284" s="48" t="str"/>
      <x:c r="N284" s="48" t="str"/>
      <x:c r="O284" s="49" t="n">
        <x:v>46293</x:v>
      </x:c>
      <x:c r="P284" s="43" t="str">
        <x:v>Reporte fechado y código asociado</x:v>
      </x:c>
      <x:c r="Q284" s="43" t="str">
        <x:v>PRO01, ACC01</x:v>
      </x:c>
      <x:c r="R284" s="43" t="str"/>
      <x:c r="S284" s="43" t="str"/>
      <x:c r="T284" s="43" t="str">
        <x:v>S050, S051, S052</x:v>
      </x:c>
      <x:c r="U284" s="43" t="str">
        <x:v>docs/access-redesign.md
output/access-redesign-progress.md
supabase/migrations/007_minimal_registration.sql</x:v>
      </x:c>
    </x:row>
    <x:row r="285" ht="44" customHeight="1">
      <x:c r="A285" s="42" t="str">
        <x:v>ACC03.017</x:v>
      </x:c>
      <x:c r="B285" s="42" t="str">
        <x:v>Rediseño de registro mínimo y guías opcionales</x:v>
      </x:c>
      <x:c r="C285" s="42" t="str">
        <x:v>ACC03</x:v>
      </x:c>
      <x:c r="D285" s="43" t="str">
        <x:v>Corregir disposición al cerrar sesión</x:v>
      </x:c>
      <x:c r="E285" s="43" t="str">
        <x:v>Inicializar controladores antes de la limpieza de estado.</x:v>
      </x:c>
      <x:c r="F285" s="43" t="str">
        <x:v>Completado</x:v>
      </x:c>
      <x:c r="G285" s="44" t="n">
        <x:v>46287</x:v>
      </x:c>
      <x:c r="H285" s="44" t="n">
        <x:v>46295</x:v>
      </x:c>
      <x:c r="I285" s="45" t="n">
        <x:f>IF(OR(G285="",H285=""),"",SUMPRODUCT(('Cronograma'!$F$8:$P$8&lt;=H285)*('Cronograma'!$F$9:$P$9&gt;=G285)))</x:f>
        <x:v>1</x:v>
      </x:c>
      <x:c r="J285" s="46"/>
      <x:c r="K285" s="46"/>
      <x:c r="L285" s="47"/>
      <x:c r="M285" s="48" t="str"/>
      <x:c r="N285" s="48" t="str"/>
      <x:c r="O285" s="49" t="n">
        <x:v>46293</x:v>
      </x:c>
      <x:c r="P285" s="43" t="str">
        <x:v>Reporte fechado y código asociado</x:v>
      </x:c>
      <x:c r="Q285" s="43" t="str">
        <x:v>PRO01, ACC01</x:v>
      </x:c>
      <x:c r="R285" s="43" t="str"/>
      <x:c r="S285" s="43" t="str"/>
      <x:c r="T285" s="43" t="str">
        <x:v>S050, S051, S052</x:v>
      </x:c>
      <x:c r="U285" s="43" t="str">
        <x:v>docs/access-redesign.md
output/access-redesign-progress.md
supabase/migrations/007_minimal_registration.sql</x:v>
      </x:c>
    </x:row>
    <x:row r="286" ht="44" customHeight="1">
      <x:c r="A286" s="42" t="str">
        <x:v>ACC03.018</x:v>
      </x:c>
      <x:c r="B286" s="42" t="str">
        <x:v>Rediseño de registro mínimo y guías opcionales</x:v>
      </x:c>
      <x:c r="C286" s="42" t="str">
        <x:v>ACC03</x:v>
      </x:c>
      <x:c r="D286" s="43" t="str">
        <x:v>Validar registro a 320 px y texto 200%</x:v>
      </x:c>
      <x:c r="E286" s="43" t="str">
        <x:v>Cubrir teclado y cuatro tipos de perfil.</x:v>
      </x:c>
      <x:c r="F286" s="43" t="str">
        <x:v>Completado</x:v>
      </x:c>
      <x:c r="G286" s="44" t="n">
        <x:v>46287</x:v>
      </x:c>
      <x:c r="H286" s="44" t="n">
        <x:v>46295</x:v>
      </x:c>
      <x:c r="I286" s="45" t="n">
        <x:f>IF(OR(G286="",H286=""),"",SUMPRODUCT(('Cronograma'!$F$8:$P$8&lt;=H286)*('Cronograma'!$F$9:$P$9&gt;=G286)))</x:f>
        <x:v>1</x:v>
      </x:c>
      <x:c r="J286" s="46"/>
      <x:c r="K286" s="46"/>
      <x:c r="L286" s="47"/>
      <x:c r="M286" s="48" t="str"/>
      <x:c r="N286" s="48" t="str"/>
      <x:c r="O286" s="49" t="n">
        <x:v>46293</x:v>
      </x:c>
      <x:c r="P286" s="43" t="str">
        <x:v>Reporte fechado y código asociado</x:v>
      </x:c>
      <x:c r="Q286" s="43" t="str">
        <x:v>PRO01, ACC01</x:v>
      </x:c>
      <x:c r="R286" s="43" t="str"/>
      <x:c r="S286" s="43" t="str"/>
      <x:c r="T286" s="43" t="str">
        <x:v>S050, S051, S052</x:v>
      </x:c>
      <x:c r="U286" s="43" t="str">
        <x:v>docs/access-redesign.md
output/access-redesign-progress.md
supabase/migrations/007_minimal_registration.sql</x:v>
      </x:c>
    </x:row>
    <x:row r="287" ht="44" customHeight="1">
      <x:c r="A287" s="42" t="str">
        <x:v>ACC03.019</x:v>
      </x:c>
      <x:c r="B287" s="42" t="str">
        <x:v>Rediseño de registro mínimo y guías opcionales</x:v>
      </x:c>
      <x:c r="C287" s="42" t="str">
        <x:v>ACC03</x:v>
      </x:c>
      <x:c r="D287" s="43" t="str">
        <x:v>Verificar acceso rediseñado</x:v>
      </x:c>
      <x:c r="E287" s="43" t="str">
        <x:v>Reporte acredita 239 pruebas Flutter y 35 checks SQL aislados.</x:v>
      </x:c>
      <x:c r="F287" s="43" t="str">
        <x:v>Completado</x:v>
      </x:c>
      <x:c r="G287" s="44" t="n">
        <x:v>46287</x:v>
      </x:c>
      <x:c r="H287" s="44" t="n">
        <x:v>46295</x:v>
      </x:c>
      <x:c r="I287" s="45" t="n">
        <x:f>IF(OR(G287="",H287=""),"",SUMPRODUCT(('Cronograma'!$F$8:$P$8&lt;=H287)*('Cronograma'!$F$9:$P$9&gt;=G287)))</x:f>
        <x:v>1</x:v>
      </x:c>
      <x:c r="J287" s="46"/>
      <x:c r="K287" s="46"/>
      <x:c r="L287" s="47"/>
      <x:c r="M287" s="48" t="str"/>
      <x:c r="N287" s="48" t="str"/>
      <x:c r="O287" s="49" t="n">
        <x:v>46293</x:v>
      </x:c>
      <x:c r="P287" s="43" t="str">
        <x:v>Reporte fechado y código asociado</x:v>
      </x:c>
      <x:c r="Q287" s="43" t="str">
        <x:v>PRO01, ACC01</x:v>
      </x:c>
      <x:c r="R287" s="43" t="str"/>
      <x:c r="S287" s="43" t="str"/>
      <x:c r="T287" s="43" t="str">
        <x:v>S050, S051, S052</x:v>
      </x:c>
      <x:c r="U287" s="43" t="str">
        <x:v>docs/access-redesign.md
output/access-redesign-progress.md
supabase/migrations/007_minimal_registration.sql</x:v>
      </x:c>
    </x:row>
    <x:row r="288" ht="56" customHeight="1">
      <x:c r="A288" s="42" t="str">
        <x:v>ACC04.001</x:v>
      </x:c>
      <x:c r="B288" s="42" t="str">
        <x:v>Reparación de registro, cámara y contrato remoto</x:v>
      </x:c>
      <x:c r="C288" s="42" t="str">
        <x:v>ACC04</x:v>
      </x:c>
      <x:c r="D288" s="43" t="str">
        <x:v>Detectar desfase cliente-servidor de registro</x:v>
      </x:c>
      <x:c r="E288" s="43" t="str">
        <x:v>Identificar preferencias exigidas y setup_step faltante.</x:v>
      </x:c>
      <x:c r="F288" s="43" t="str">
        <x:v>Completado</x:v>
      </x:c>
      <x:c r="G288" s="44" t="n">
        <x:v>46287</x:v>
      </x:c>
      <x:c r="H288" s="44" t="n">
        <x:v>46295</x:v>
      </x:c>
      <x:c r="I288" s="45" t="n">
        <x:f>IF(OR(G288="",H288=""),"",SUMPRODUCT(('Cronograma'!$F$8:$P$8&lt;=H288)*('Cronograma'!$F$9:$P$9&gt;=G288)))</x:f>
        <x:v>1</x:v>
      </x:c>
      <x:c r="J288" s="46"/>
      <x:c r="K288" s="46"/>
      <x:c r="L288" s="47"/>
      <x:c r="M288" s="48" t="str"/>
      <x:c r="N288" s="48" t="str"/>
      <x:c r="O288" s="49" t="n">
        <x:v>46293</x:v>
      </x:c>
      <x:c r="P288" s="43" t="str">
        <x:v>Reporte fechado y código asociado</x:v>
      </x:c>
      <x:c r="Q288" s="43" t="str">
        <x:v>ACC03, ACC02</x:v>
      </x:c>
      <x:c r="R288" s="43" t="str"/>
      <x:c r="S288" s="43" t="str">
        <x:v>La prueba de recepción del último registro tiene fecha propia 2026-09-18; se corrige en el registro individual al finalizar la carga.</x:v>
      </x:c>
      <x:c r="T288" s="43" t="str">
        <x:v>S053, S054, S026, S055</x:v>
      </x:c>
      <x:c r="U288" s="43" t="str">
        <x:v>output/account-repair-progress.md
docs/email-setup.md
docs/deployment-status.md
supabase/migrations/008_recover_minimal_registration.sql</x:v>
      </x:c>
    </x:row>
    <x:row r="289" ht="56" customHeight="1">
      <x:c r="A289" s="42" t="str">
        <x:v>ACC04.002</x:v>
      </x:c>
      <x:c r="B289" s="42" t="str">
        <x:v>Reparación de registro, cámara y contrato remoto</x:v>
      </x:c>
      <x:c r="C289" s="42" t="str">
        <x:v>ACC04</x:v>
      </x:c>
      <x:c r="D289" s="43" t="str">
        <x:v>Crear migración 008 de recuperación</x:v>
      </x:c>
      <x:c r="E289" s="43" t="str">
        <x:v>Recuperar elecciones válidas sin alterar perfiles confirmados.</x:v>
      </x:c>
      <x:c r="F289" s="43" t="str">
        <x:v>Completado</x:v>
      </x:c>
      <x:c r="G289" s="44" t="n">
        <x:v>46287</x:v>
      </x:c>
      <x:c r="H289" s="44" t="n">
        <x:v>46295</x:v>
      </x:c>
      <x:c r="I289" s="45" t="n">
        <x:f>IF(OR(G289="",H289=""),"",SUMPRODUCT(('Cronograma'!$F$8:$P$8&lt;=H289)*('Cronograma'!$F$9:$P$9&gt;=G289)))</x:f>
        <x:v>1</x:v>
      </x:c>
      <x:c r="J289" s="46"/>
      <x:c r="K289" s="46"/>
      <x:c r="L289" s="47"/>
      <x:c r="M289" s="48" t="str"/>
      <x:c r="N289" s="48" t="str"/>
      <x:c r="O289" s="49" t="n">
        <x:v>46293</x:v>
      </x:c>
      <x:c r="P289" s="43" t="str">
        <x:v>Reporte fechado y código asociado</x:v>
      </x:c>
      <x:c r="Q289" s="43" t="str">
        <x:v>ACC03, ACC02</x:v>
      </x:c>
      <x:c r="R289" s="43" t="str"/>
      <x:c r="S289" s="43" t="str">
        <x:v>La prueba de recepción del último registro tiene fecha propia 2026-09-18; se corrige en el registro individual al finalizar la carga.</x:v>
      </x:c>
      <x:c r="T289" s="43" t="str">
        <x:v>S053, S054, S026, S055</x:v>
      </x:c>
      <x:c r="U289" s="43" t="str">
        <x:v>output/account-repair-progress.md
docs/email-setup.md
docs/deployment-status.md
supabase/migrations/008_recover_minimal_registration.sql</x:v>
      </x:c>
    </x:row>
    <x:row r="290" ht="56" customHeight="1">
      <x:c r="A290" s="42" t="str">
        <x:v>ACC04.003</x:v>
      </x:c>
      <x:c r="B290" s="42" t="str">
        <x:v>Reparación de registro, cámara y contrato remoto</x:v>
      </x:c>
      <x:c r="C290" s="42" t="str">
        <x:v>ACC04</x:v>
      </x:c>
      <x:c r="D290" s="43" t="str">
        <x:v>Conservar cuentas con datos incompatibles</x:v>
      </x:c>
      <x:c r="E290" s="43" t="str">
        <x:v>Dejar confirmación explícita sin perder contenido profesional.</x:v>
      </x:c>
      <x:c r="F290" s="43" t="str">
        <x:v>Completado</x:v>
      </x:c>
      <x:c r="G290" s="44" t="n">
        <x:v>46287</x:v>
      </x:c>
      <x:c r="H290" s="44" t="n">
        <x:v>46295</x:v>
      </x:c>
      <x:c r="I290" s="45" t="n">
        <x:f>IF(OR(G290="",H290=""),"",SUMPRODUCT(('Cronograma'!$F$8:$P$8&lt;=H290)*('Cronograma'!$F$9:$P$9&gt;=G290)))</x:f>
        <x:v>1</x:v>
      </x:c>
      <x:c r="J290" s="46"/>
      <x:c r="K290" s="46"/>
      <x:c r="L290" s="47"/>
      <x:c r="M290" s="48" t="str"/>
      <x:c r="N290" s="48" t="str"/>
      <x:c r="O290" s="49" t="n">
        <x:v>46293</x:v>
      </x:c>
      <x:c r="P290" s="43" t="str">
        <x:v>Reporte fechado y código asociado</x:v>
      </x:c>
      <x:c r="Q290" s="43" t="str">
        <x:v>ACC03, ACC02</x:v>
      </x:c>
      <x:c r="R290" s="43" t="str"/>
      <x:c r="S290" s="43" t="str">
        <x:v>La prueba de recepción del último registro tiene fecha propia 2026-09-18; se corrige en el registro individual al finalizar la carga.</x:v>
      </x:c>
      <x:c r="T290" s="43" t="str">
        <x:v>S053, S054, S026, S055</x:v>
      </x:c>
      <x:c r="U290" s="43" t="str">
        <x:v>output/account-repair-progress.md
docs/email-setup.md
docs/deployment-status.md
supabase/migrations/008_recover_minimal_registration.sql</x:v>
      </x:c>
    </x:row>
    <x:row r="291" ht="56" customHeight="1">
      <x:c r="A291" s="42" t="str">
        <x:v>ACC04.004</x:v>
      </x:c>
      <x:c r="B291" s="42" t="str">
        <x:v>Reparación de registro, cámara y contrato remoto</x:v>
      </x:c>
      <x:c r="C291" s="42" t="str">
        <x:v>ACC04</x:v>
      </x:c>
      <x:c r="D291" s="43" t="str">
        <x:v>Aplicar migraciones 007 y 008</x:v>
      </x:c>
      <x:c r="E291" s="43" t="str">
        <x:v>Actualizar únicamente el contrato necesario del proyecto.</x:v>
      </x:c>
      <x:c r="F291" s="43" t="str">
        <x:v>Completado</x:v>
      </x:c>
      <x:c r="G291" s="44" t="n">
        <x:v>46287</x:v>
      </x:c>
      <x:c r="H291" s="44" t="n">
        <x:v>46295</x:v>
      </x:c>
      <x:c r="I291" s="45" t="n">
        <x:f>IF(OR(G291="",H291=""),"",SUMPRODUCT(('Cronograma'!$F$8:$P$8&lt;=H291)*('Cronograma'!$F$9:$P$9&gt;=G291)))</x:f>
        <x:v>1</x:v>
      </x:c>
      <x:c r="J291" s="46"/>
      <x:c r="K291" s="46"/>
      <x:c r="L291" s="47"/>
      <x:c r="M291" s="48" t="str"/>
      <x:c r="N291" s="48" t="str"/>
      <x:c r="O291" s="49" t="n">
        <x:v>46293</x:v>
      </x:c>
      <x:c r="P291" s="43" t="str">
        <x:v>Reporte fechado y código asociado</x:v>
      </x:c>
      <x:c r="Q291" s="43" t="str">
        <x:v>ACC03, ACC02</x:v>
      </x:c>
      <x:c r="R291" s="43" t="str"/>
      <x:c r="S291" s="43" t="str">
        <x:v>La prueba de recepción del último registro tiene fecha propia 2026-09-18; se corrige en el registro individual al finalizar la carga.</x:v>
      </x:c>
      <x:c r="T291" s="43" t="str">
        <x:v>S053, S054, S026, S055</x:v>
      </x:c>
      <x:c r="U291" s="43" t="str">
        <x:v>output/account-repair-progress.md
docs/email-setup.md
docs/deployment-status.md
supabase/migrations/008_recover_minimal_registration.sql</x:v>
      </x:c>
    </x:row>
    <x:row r="292" ht="56" customHeight="1">
      <x:c r="A292" s="42" t="str">
        <x:v>ACC04.005</x:v>
      </x:c>
      <x:c r="B292" s="42" t="str">
        <x:v>Reparación de registro, cámara y contrato remoto</x:v>
      </x:c>
      <x:c r="C292" s="42" t="str">
        <x:v>ACC04</x:v>
      </x:c>
      <x:c r="D292" s="43" t="str">
        <x:v>Crear mensaje de esquema desactualizado</x:v>
      </x:c>
      <x:c r="E292" s="43" t="str">
        <x:v>Mostrar acción útil ante backend incompatible.</x:v>
      </x:c>
      <x:c r="F292" s="43" t="str">
        <x:v>Completado</x:v>
      </x:c>
      <x:c r="G292" s="44" t="n">
        <x:v>46287</x:v>
      </x:c>
      <x:c r="H292" s="44" t="n">
        <x:v>46295</x:v>
      </x:c>
      <x:c r="I292" s="45" t="n">
        <x:f>IF(OR(G292="",H292=""),"",SUMPRODUCT(('Cronograma'!$F$8:$P$8&lt;=H292)*('Cronograma'!$F$9:$P$9&gt;=G292)))</x:f>
        <x:v>1</x:v>
      </x:c>
      <x:c r="J292" s="46"/>
      <x:c r="K292" s="46"/>
      <x:c r="L292" s="47"/>
      <x:c r="M292" s="48" t="str"/>
      <x:c r="N292" s="48" t="str"/>
      <x:c r="O292" s="49" t="n">
        <x:v>46293</x:v>
      </x:c>
      <x:c r="P292" s="43" t="str">
        <x:v>Reporte fechado y código asociado</x:v>
      </x:c>
      <x:c r="Q292" s="43" t="str">
        <x:v>ACC03, ACC02</x:v>
      </x:c>
      <x:c r="R292" s="43" t="str"/>
      <x:c r="S292" s="43" t="str">
        <x:v>La prueba de recepción del último registro tiene fecha propia 2026-09-18; se corrige en el registro individual al finalizar la carga.</x:v>
      </x:c>
      <x:c r="T292" s="43" t="str">
        <x:v>S053, S054, S026, S055</x:v>
      </x:c>
      <x:c r="U292" s="43" t="str">
        <x:v>output/account-repair-progress.md
docs/email-setup.md
docs/deployment-status.md
supabase/migrations/008_recover_minimal_registration.sql</x:v>
      </x:c>
    </x:row>
    <x:row r="293" ht="56" customHeight="1">
      <x:c r="A293" s="42" t="str">
        <x:v>ACC04.006</x:v>
      </x:c>
      <x:c r="B293" s="42" t="str">
        <x:v>Reparación de registro, cámara y contrato remoto</x:v>
      </x:c>
      <x:c r="C293" s="42" t="str">
        <x:v>ACC04</x:v>
      </x:c>
      <x:c r="D293" s="43" t="str">
        <x:v>Corregir área real del botón de cámara</x:v>
      </x:c>
      <x:c r="E293" s="43" t="str">
        <x:v>Garantizar objetivo táctil de 48 px que recibe clics.</x:v>
      </x:c>
      <x:c r="F293" s="43" t="str">
        <x:v>Completado</x:v>
      </x:c>
      <x:c r="G293" s="44" t="n">
        <x:v>46287</x:v>
      </x:c>
      <x:c r="H293" s="44" t="n">
        <x:v>46295</x:v>
      </x:c>
      <x:c r="I293" s="45" t="n">
        <x:f>IF(OR(G293="",H293=""),"",SUMPRODUCT(('Cronograma'!$F$8:$P$8&lt;=H293)*('Cronograma'!$F$9:$P$9&gt;=G293)))</x:f>
        <x:v>1</x:v>
      </x:c>
      <x:c r="J293" s="46"/>
      <x:c r="K293" s="46"/>
      <x:c r="L293" s="47"/>
      <x:c r="M293" s="48" t="str"/>
      <x:c r="N293" s="48" t="str"/>
      <x:c r="O293" s="49" t="n">
        <x:v>46293</x:v>
      </x:c>
      <x:c r="P293" s="43" t="str">
        <x:v>Reporte fechado y código asociado</x:v>
      </x:c>
      <x:c r="Q293" s="43" t="str">
        <x:v>ACC03, ACC02</x:v>
      </x:c>
      <x:c r="R293" s="43" t="str"/>
      <x:c r="S293" s="43" t="str">
        <x:v>La prueba de recepción del último registro tiene fecha propia 2026-09-18; se corrige en el registro individual al finalizar la carga.</x:v>
      </x:c>
      <x:c r="T293" s="43" t="str">
        <x:v>S053, S054, S026, S055</x:v>
      </x:c>
      <x:c r="U293" s="43" t="str">
        <x:v>output/account-repair-progress.md
docs/email-setup.md
docs/deployment-status.md
supabase/migrations/008_recover_minimal_registration.sql</x:v>
      </x:c>
    </x:row>
    <x:row r="294" ht="56" customHeight="1">
      <x:c r="A294" s="42" t="str">
        <x:v>ACC04.007</x:v>
      </x:c>
      <x:c r="B294" s="42" t="str">
        <x:v>Reparación de registro, cámara y contrato remoto</x:v>
      </x:c>
      <x:c r="C294" s="42" t="str">
        <x:v>ACC04</x:v>
      </x:c>
      <x:c r="D294" s="43" t="str">
        <x:v>Ampliar gate de backend</x:v>
      </x:c>
      <x:c r="E294" s="43" t="str">
        <x:v>Comprobar salida estructurada y trigger AFTER INSERT activo.</x:v>
      </x:c>
      <x:c r="F294" s="43" t="str">
        <x:v>Completado</x:v>
      </x:c>
      <x:c r="G294" s="44" t="n">
        <x:v>46287</x:v>
      </x:c>
      <x:c r="H294" s="44" t="n">
        <x:v>46295</x:v>
      </x:c>
      <x:c r="I294" s="45" t="n">
        <x:f>IF(OR(G294="",H294=""),"",SUMPRODUCT(('Cronograma'!$F$8:$P$8&lt;=H294)*('Cronograma'!$F$9:$P$9&gt;=G294)))</x:f>
        <x:v>1</x:v>
      </x:c>
      <x:c r="J294" s="46"/>
      <x:c r="K294" s="46"/>
      <x:c r="L294" s="47"/>
      <x:c r="M294" s="48" t="str"/>
      <x:c r="N294" s="48" t="str"/>
      <x:c r="O294" s="49" t="n">
        <x:v>46293</x:v>
      </x:c>
      <x:c r="P294" s="43" t="str">
        <x:v>Reporte fechado y código asociado</x:v>
      </x:c>
      <x:c r="Q294" s="43" t="str">
        <x:v>ACC03, ACC02</x:v>
      </x:c>
      <x:c r="R294" s="43" t="str"/>
      <x:c r="S294" s="43" t="str">
        <x:v>La prueba de recepción del último registro tiene fecha propia 2026-09-18; se corrige en el registro individual al finalizar la carga.</x:v>
      </x:c>
      <x:c r="T294" s="43" t="str">
        <x:v>S053, S054, S026, S055</x:v>
      </x:c>
      <x:c r="U294" s="43" t="str">
        <x:v>output/account-repair-progress.md
docs/email-setup.md
docs/deployment-status.md
supabase/migrations/008_recover_minimal_registration.sql</x:v>
      </x:c>
    </x:row>
    <x:row r="295" ht="56" customHeight="1">
      <x:c r="A295" s="42" t="str">
        <x:v>ACC04.008</x:v>
      </x:c>
      <x:c r="B295" s="42" t="str">
        <x:v>Reparación de registro, cámara y contrato remoto</x:v>
      </x:c>
      <x:c r="C295" s="42" t="str">
        <x:v>ACC04</x:v>
      </x:c>
      <x:c r="D295" s="43" t="str">
        <x:v>Verificar registro entre sesiones reales</x:v>
      </x:c>
      <x:c r="E295" s="43" t="str">
        <x:v>Reporte acredita 61 checks con cinco cuentas temporales.</x:v>
      </x:c>
      <x:c r="F295" s="43" t="str">
        <x:v>Completado</x:v>
      </x:c>
      <x:c r="G295" s="44" t="n">
        <x:v>46287</x:v>
      </x:c>
      <x:c r="H295" s="44" t="n">
        <x:v>46295</x:v>
      </x:c>
      <x:c r="I295" s="45" t="n">
        <x:f>IF(OR(G295="",H295=""),"",SUMPRODUCT(('Cronograma'!$F$8:$P$8&lt;=H295)*('Cronograma'!$F$9:$P$9&gt;=G295)))</x:f>
        <x:v>1</x:v>
      </x:c>
      <x:c r="J295" s="46"/>
      <x:c r="K295" s="46"/>
      <x:c r="L295" s="47"/>
      <x:c r="M295" s="48" t="str"/>
      <x:c r="N295" s="48" t="str"/>
      <x:c r="O295" s="49" t="n">
        <x:v>46293</x:v>
      </x:c>
      <x:c r="P295" s="43" t="str">
        <x:v>Reporte fechado y código asociado</x:v>
      </x:c>
      <x:c r="Q295" s="43" t="str">
        <x:v>ACC03, ACC02</x:v>
      </x:c>
      <x:c r="R295" s="43" t="str"/>
      <x:c r="S295" s="43" t="str">
        <x:v>La prueba de recepción del último registro tiene fecha propia 2026-09-18; se corrige en el registro individual al finalizar la carga.</x:v>
      </x:c>
      <x:c r="T295" s="43" t="str">
        <x:v>S053, S054, S026, S055</x:v>
      </x:c>
      <x:c r="U295" s="43" t="str">
        <x:v>output/account-repair-progress.md
docs/email-setup.md
docs/deployment-status.md
supabase/migrations/008_recover_minimal_registration.sql</x:v>
      </x:c>
    </x:row>
    <x:row r="296" ht="56" customHeight="1">
      <x:c r="A296" s="42" t="str">
        <x:v>ACC04.009</x:v>
      </x:c>
      <x:c r="B296" s="42" t="str">
        <x:v>Reparación de registro, cámara y contrato remoto</x:v>
      </x:c>
      <x:c r="C296" s="42" t="str">
        <x:v>ACC04</x:v>
      </x:c>
      <x:c r="D296" s="43" t="str">
        <x:v>Verificar aislamiento de fotos entre usuarios</x:v>
      </x:c>
      <x:c r="E296" s="43" t="str">
        <x:v>Probar subir, leer, reemplazar y quitar con JWT individual.</x:v>
      </x:c>
      <x:c r="F296" s="43" t="str">
        <x:v>Completado</x:v>
      </x:c>
      <x:c r="G296" s="44" t="n">
        <x:v>46287</x:v>
      </x:c>
      <x:c r="H296" s="44" t="n">
        <x:v>46295</x:v>
      </x:c>
      <x:c r="I296" s="45" t="n">
        <x:f>IF(OR(G296="",H296=""),"",SUMPRODUCT(('Cronograma'!$F$8:$P$8&lt;=H296)*('Cronograma'!$F$9:$P$9&gt;=G296)))</x:f>
        <x:v>1</x:v>
      </x:c>
      <x:c r="J296" s="46"/>
      <x:c r="K296" s="46"/>
      <x:c r="L296" s="47"/>
      <x:c r="M296" s="48" t="str"/>
      <x:c r="N296" s="48" t="str"/>
      <x:c r="O296" s="49" t="n">
        <x:v>46293</x:v>
      </x:c>
      <x:c r="P296" s="43" t="str">
        <x:v>Reporte fechado y código asociado</x:v>
      </x:c>
      <x:c r="Q296" s="43" t="str">
        <x:v>ACC03, ACC02</x:v>
      </x:c>
      <x:c r="R296" s="43" t="str"/>
      <x:c r="S296" s="43" t="str">
        <x:v>La prueba de recepción del último registro tiene fecha propia 2026-09-18; se corrige en el registro individual al finalizar la carga.</x:v>
      </x:c>
      <x:c r="T296" s="43" t="str">
        <x:v>S053, S054, S026, S055</x:v>
      </x:c>
      <x:c r="U296" s="43" t="str">
        <x:v>output/account-repair-progress.md
docs/email-setup.md
docs/deployment-status.md
supabase/migrations/008_recover_minimal_registration.sql</x:v>
      </x:c>
    </x:row>
    <x:row r="297" ht="56" customHeight="1">
      <x:c r="A297" s="42" t="str">
        <x:v>ACC04.010</x:v>
      </x:c>
      <x:c r="B297" s="42" t="str">
        <x:v>Reparación de registro, cámara y contrato remoto</x:v>
      </x:c>
      <x:c r="C297" s="42" t="str">
        <x:v>ACC04</x:v>
      </x:c>
      <x:c r="D297" s="43" t="str">
        <x:v>Limpiar cuentas y archivos de comprobación</x:v>
      </x:c>
      <x:c r="E297" s="43" t="str">
        <x:v>Confirmar cero recursos temporales propios.</x:v>
      </x:c>
      <x:c r="F297" s="43" t="str">
        <x:v>Completado</x:v>
      </x:c>
      <x:c r="G297" s="44" t="n">
        <x:v>46287</x:v>
      </x:c>
      <x:c r="H297" s="44" t="n">
        <x:v>46295</x:v>
      </x:c>
      <x:c r="I297" s="45" t="n">
        <x:f>IF(OR(G297="",H297=""),"",SUMPRODUCT(('Cronograma'!$F$8:$P$8&lt;=H297)*('Cronograma'!$F$9:$P$9&gt;=G297)))</x:f>
        <x:v>1</x:v>
      </x:c>
      <x:c r="J297" s="46"/>
      <x:c r="K297" s="46"/>
      <x:c r="L297" s="47"/>
      <x:c r="M297" s="48" t="str"/>
      <x:c r="N297" s="48" t="str"/>
      <x:c r="O297" s="49" t="n">
        <x:v>46293</x:v>
      </x:c>
      <x:c r="P297" s="43" t="str">
        <x:v>Reporte fechado y código asociado</x:v>
      </x:c>
      <x:c r="Q297" s="43" t="str">
        <x:v>ACC03, ACC02</x:v>
      </x:c>
      <x:c r="R297" s="43" t="str"/>
      <x:c r="S297" s="43" t="str">
        <x:v>La prueba de recepción del último registro tiene fecha propia 2026-09-18; se corrige en el registro individual al finalizar la carga.</x:v>
      </x:c>
      <x:c r="T297" s="43" t="str">
        <x:v>S053, S054, S026, S055</x:v>
      </x:c>
      <x:c r="U297" s="43" t="str">
        <x:v>output/account-repair-progress.md
docs/email-setup.md
docs/deployment-status.md
supabase/migrations/008_recover_minimal_registration.sql</x:v>
      </x:c>
    </x:row>
    <x:row r="298" ht="56" customHeight="1">
      <x:c r="A298" s="42" t="str">
        <x:v>ACC04.011</x:v>
      </x:c>
      <x:c r="B298" s="42" t="str">
        <x:v>Reparación de registro, cámara y contrato remoto</x:v>
      </x:c>
      <x:c r="C298" s="42" t="str">
        <x:v>ACC04</x:v>
      </x:c>
      <x:c r="D298" s="43" t="str">
        <x:v>Actualizar APK en emulador conservando datos</x:v>
      </x:c>
      <x:c r="E298" s="43" t="str">
        <x:v>Comprobar Inicio con sesión y posts reales.</x:v>
      </x:c>
      <x:c r="F298" s="43" t="str">
        <x:v>Completado</x:v>
      </x:c>
      <x:c r="G298" s="44" t="n">
        <x:v>46287</x:v>
      </x:c>
      <x:c r="H298" s="44" t="n">
        <x:v>46295</x:v>
      </x:c>
      <x:c r="I298" s="45" t="n">
        <x:f>IF(OR(G298="",H298=""),"",SUMPRODUCT(('Cronograma'!$F$8:$P$8&lt;=H298)*('Cronograma'!$F$9:$P$9&gt;=G298)))</x:f>
        <x:v>1</x:v>
      </x:c>
      <x:c r="J298" s="46"/>
      <x:c r="K298" s="46"/>
      <x:c r="L298" s="47"/>
      <x:c r="M298" s="48" t="str"/>
      <x:c r="N298" s="48" t="str"/>
      <x:c r="O298" s="49" t="n">
        <x:v>46293</x:v>
      </x:c>
      <x:c r="P298" s="43" t="str">
        <x:v>Reporte fechado y código asociado</x:v>
      </x:c>
      <x:c r="Q298" s="43" t="str">
        <x:v>ACC03, ACC02</x:v>
      </x:c>
      <x:c r="R298" s="43" t="str"/>
      <x:c r="S298" s="43" t="str">
        <x:v>La prueba de recepción del último registro tiene fecha propia 2026-09-18; se corrige en el registro individual al finalizar la carga.</x:v>
      </x:c>
      <x:c r="T298" s="43" t="str">
        <x:v>S053, S054, S026, S055</x:v>
      </x:c>
      <x:c r="U298" s="43" t="str">
        <x:v>output/account-repair-progress.md
docs/email-setup.md
docs/deployment-status.md
supabase/migrations/008_recover_minimal_registration.sql</x:v>
      </x:c>
    </x:row>
    <x:row r="299" ht="56" customHeight="1">
      <x:c r="A299" s="42" t="str">
        <x:v>ACC04.012</x:v>
      </x:c>
      <x:c r="B299" s="42" t="str">
        <x:v>Reparación de registro, cámara y contrato remoto</x:v>
      </x:c>
      <x:c r="C299" s="42" t="str">
        <x:v>ACC04</x:v>
      </x:c>
      <x:c r="D299" s="43" t="str">
        <x:v>Detectar respuesta de registro repetido</x:v>
      </x:c>
      <x:c r="E299" s="43" t="str">
        <x:v>Rechazar usuario sin identidades ni sesión como registro incompleto.</x:v>
      </x:c>
      <x:c r="F299" s="43" t="str">
        <x:v>Completado</x:v>
      </x:c>
      <x:c r="G299" s="44" t="n">
        <x:v>46287</x:v>
      </x:c>
      <x:c r="H299" s="44" t="n">
        <x:v>46295</x:v>
      </x:c>
      <x:c r="I299" s="45" t="n">
        <x:f>IF(OR(G299="",H299=""),"",SUMPRODUCT(('Cronograma'!$F$8:$P$8&lt;=H299)*('Cronograma'!$F$9:$P$9&gt;=G299)))</x:f>
        <x:v>1</x:v>
      </x:c>
      <x:c r="J299" s="46"/>
      <x:c r="K299" s="46"/>
      <x:c r="L299" s="47"/>
      <x:c r="M299" s="48" t="str"/>
      <x:c r="N299" s="48" t="str"/>
      <x:c r="O299" s="49" t="n">
        <x:v>46293</x:v>
      </x:c>
      <x:c r="P299" s="43" t="str">
        <x:v>Reporte fechado y código asociado</x:v>
      </x:c>
      <x:c r="Q299" s="43" t="str">
        <x:v>ACC03, ACC02</x:v>
      </x:c>
      <x:c r="R299" s="43" t="str"/>
      <x:c r="S299" s="43" t="str">
        <x:v>La prueba de recepción del último registro tiene fecha propia 2026-09-18; se corrige en el registro individual al finalizar la carga.</x:v>
      </x:c>
      <x:c r="T299" s="43" t="str">
        <x:v>S053, S054, S026, S055</x:v>
      </x:c>
      <x:c r="U299" s="43" t="str">
        <x:v>output/account-repair-progress.md
docs/email-setup.md
docs/deployment-status.md
supabase/migrations/008_recover_minimal_registration.sql</x:v>
      </x:c>
    </x:row>
    <x:row r="300" ht="56" customHeight="1">
      <x:c r="A300" s="42" t="str">
        <x:v>ACC04.013</x:v>
      </x:c>
      <x:c r="B300" s="42" t="str">
        <x:v>Reparación de registro, cámara y contrato remoto</x:v>
      </x:c>
      <x:c r="C300" s="42" t="str">
        <x:v>ACC04</x:v>
      </x:c>
      <x:c r="D300" s="43" t="str">
        <x:v>Ofrecer login o recuperación en correo repetido</x:v>
      </x:c>
      <x:c r="E300" s="43" t="str">
        <x:v>Conservar correo y no afirmar envío de OTP inexistente.</x:v>
      </x:c>
      <x:c r="F300" s="43" t="str">
        <x:v>Completado</x:v>
      </x:c>
      <x:c r="G300" s="44" t="n">
        <x:v>46287</x:v>
      </x:c>
      <x:c r="H300" s="44" t="n">
        <x:v>46295</x:v>
      </x:c>
      <x:c r="I300" s="45" t="n">
        <x:f>IF(OR(G300="",H300=""),"",SUMPRODUCT(('Cronograma'!$F$8:$P$8&lt;=H300)*('Cronograma'!$F$9:$P$9&gt;=G300)))</x:f>
        <x:v>1</x:v>
      </x:c>
      <x:c r="J300" s="46"/>
      <x:c r="K300" s="46"/>
      <x:c r="L300" s="47"/>
      <x:c r="M300" s="48" t="str"/>
      <x:c r="N300" s="48" t="str"/>
      <x:c r="O300" s="49" t="n">
        <x:v>46293</x:v>
      </x:c>
      <x:c r="P300" s="43" t="str">
        <x:v>Reporte fechado y código asociado</x:v>
      </x:c>
      <x:c r="Q300" s="43" t="str">
        <x:v>ACC03, ACC02</x:v>
      </x:c>
      <x:c r="R300" s="43" t="str"/>
      <x:c r="S300" s="43" t="str">
        <x:v>La prueba de recepción del último registro tiene fecha propia 2026-09-18; se corrige en el registro individual al finalizar la carga.</x:v>
      </x:c>
      <x:c r="T300" s="43" t="str">
        <x:v>S053, S054, S026, S055</x:v>
      </x:c>
      <x:c r="U300" s="43" t="str">
        <x:v>output/account-repair-progress.md
docs/email-setup.md
docs/deployment-status.md
supabase/migrations/008_recover_minimal_registration.sql</x:v>
      </x:c>
    </x:row>
    <x:row r="301" ht="56" customHeight="1">
      <x:c r="A301" s="42" t="str">
        <x:v>ACC04.014</x:v>
      </x:c>
      <x:c r="B301" s="42" t="str">
        <x:v>Reparación de registro, cámara y contrato remoto</x:v>
      </x:c>
      <x:c r="C301" s="42" t="str">
        <x:v>ACC04</x:v>
      </x:c>
      <x:c r="D301" s="43" t="str">
        <x:v>Verificar SMTP Gmail y plantilla de confirmación</x:v>
      </x:c>
      <x:c r="E301" s="43" t="str">
        <x:v>Reporte del 28 acredita SMTP activo y token en plantilla.</x:v>
      </x:c>
      <x:c r="F301" s="43" t="str">
        <x:v>Completado</x:v>
      </x:c>
      <x:c r="G301" s="44" t="n">
        <x:v>46287</x:v>
      </x:c>
      <x:c r="H301" s="44" t="n">
        <x:v>46295</x:v>
      </x:c>
      <x:c r="I301" s="45" t="n">
        <x:f>IF(OR(G301="",H301=""),"",SUMPRODUCT(('Cronograma'!$F$8:$P$8&lt;=H301)*('Cronograma'!$F$9:$P$9&gt;=G301)))</x:f>
        <x:v>1</x:v>
      </x:c>
      <x:c r="J301" s="46"/>
      <x:c r="K301" s="46"/>
      <x:c r="L301" s="47"/>
      <x:c r="M301" s="48" t="str"/>
      <x:c r="N301" s="48" t="str"/>
      <x:c r="O301" s="49" t="n">
        <x:v>46293</x:v>
      </x:c>
      <x:c r="P301" s="43" t="str">
        <x:v>Reporte fechado y código asociado</x:v>
      </x:c>
      <x:c r="Q301" s="43" t="str">
        <x:v>ACC03, ACC02</x:v>
      </x:c>
      <x:c r="R301" s="43" t="str"/>
      <x:c r="S301" s="43" t="str">
        <x:v>La prueba de recepción del último registro tiene fecha propia 2026-09-18; se corrige en el registro individual al finalizar la carga.</x:v>
      </x:c>
      <x:c r="T301" s="43" t="str">
        <x:v>S053, S054, S026, S055</x:v>
      </x:c>
      <x:c r="U301" s="43" t="str">
        <x:v>output/account-repair-progress.md
docs/email-setup.md
docs/deployment-status.md
supabase/migrations/008_recover_minimal_registration.sql</x:v>
      </x:c>
    </x:row>
    <x:row r="302" ht="56" customHeight="1">
      <x:c r="A302" s="42" t="str">
        <x:v>ACC04.015</x:v>
      </x:c>
      <x:c r="B302" s="42" t="str">
        <x:v>Reparación de registro, cámara y contrato remoto</x:v>
      </x:c>
      <x:c r="C302" s="42" t="str">
        <x:v>ACC04</x:v>
      </x:c>
      <x:c r="D302" s="43" t="str">
        <x:v>Registrar recepción de confirmación existente</x:v>
      </x:c>
      <x:c r="E302" s="43" t="str">
        <x:v>El documento acredita una confirmación el 18; no valida todos los correos nuevos.</x:v>
      </x:c>
      <x:c r="F302" s="43" t="str">
        <x:v>Completado</x:v>
      </x:c>
      <x:c r="G302" s="44" t="n">
        <x:v>46287</x:v>
      </x:c>
      <x:c r="H302" s="44" t="n">
        <x:v>46295</x:v>
      </x:c>
      <x:c r="I302" s="45" t="n">
        <x:f>IF(OR(G302="",H302=""),"",SUMPRODUCT(('Cronograma'!$F$8:$P$8&lt;=H302)*('Cronograma'!$F$9:$P$9&gt;=G302)))</x:f>
        <x:v>1</x:v>
      </x:c>
      <x:c r="J302" s="46"/>
      <x:c r="K302" s="46"/>
      <x:c r="L302" s="47"/>
      <x:c r="M302" s="48" t="str"/>
      <x:c r="N302" s="48" t="str"/>
      <x:c r="O302" s="49" t="n">
        <x:v>46283</x:v>
      </x:c>
      <x:c r="P302" s="43" t="str">
        <x:v>Reporte fechado y código asociado</x:v>
      </x:c>
      <x:c r="Q302" s="43" t="str">
        <x:v>ACC03, ACC02</x:v>
      </x:c>
      <x:c r="R302" s="43" t="str"/>
      <x:c r="S302" s="43" t="str">
        <x:v>docs/email-setup.md acredita recepción y confirmación de una cuenta el 18/09; no duración de la actividad.</x:v>
      </x:c>
      <x:c r="T302" s="43" t="str">
        <x:v>S053, S054, S026, S055</x:v>
      </x:c>
      <x:c r="U302" s="43" t="str">
        <x:v>output/account-repair-progress.md
docs/email-setup.md
docs/deployment-status.md
supabase/migrations/008_recover_minimal_registration.sql</x:v>
      </x:c>
    </x:row>
    <x:row r="303" ht="44" customHeight="1">
      <x:c r="A303" s="42" t="str">
        <x:v>PRO04.001</x:v>
      </x:c>
      <x:c r="B303" s="42" t="str">
        <x:v>Herramientas y permisos de los cuatro perfiles</x:v>
      </x:c>
      <x:c r="C303" s="42" t="str">
        <x:v>PRO04</x:v>
      </x:c>
      <x:c r="D303" s="43" t="str">
        <x:v>Crear panel privado de herramientas</x:v>
      </x:c>
      <x:c r="E303" s="43" t="str">
        <x:v>Mostrar acciones sobre la navegación global.</x:v>
      </x:c>
      <x:c r="F303" s="43" t="str">
        <x:v>Completado</x:v>
      </x:c>
      <x:c r="G303" s="44" t="n">
        <x:v>46287</x:v>
      </x:c>
      <x:c r="H303" s="44" t="n">
        <x:v>46295</x:v>
      </x:c>
      <x:c r="I303" s="45" t="n">
        <x:f>IF(OR(G303="",H303=""),"",SUMPRODUCT(('Cronograma'!$F$8:$P$8&lt;=H303)*('Cronograma'!$F$9:$P$9&gt;=G303)))</x:f>
        <x:v>1</x:v>
      </x:c>
      <x:c r="J303" s="46"/>
      <x:c r="K303" s="46"/>
      <x:c r="L303" s="47"/>
      <x:c r="M303" s="48" t="str"/>
      <x:c r="N303" s="48" t="str"/>
      <x:c r="O303" s="49" t="n">
        <x:v>46293</x:v>
      </x:c>
      <x:c r="P303" s="43" t="str">
        <x:v>Reporte fechado y código asociado</x:v>
      </x:c>
      <x:c r="Q303" s="43" t="str">
        <x:v>PRO03, MIS01</x:v>
      </x:c>
      <x:c r="R303" s="43" t="str"/>
      <x:c r="S303" s="43" t="str"/>
      <x:c r="T303" s="43" t="str">
        <x:v>S056, S032, S057</x:v>
      </x:c>
      <x:c r="U303" s="43" t="str">
        <x:v>output/ux-permissions-progress.md
docs/community.md
lib/features/profile/presentation/profile_tools_sheet.dart</x:v>
      </x:c>
    </x:row>
    <x:row r="304" ht="44" customHeight="1">
      <x:c r="A304" s="42" t="str">
        <x:v>PRO04.002</x:v>
      </x:c>
      <x:c r="B304" s="42" t="str">
        <x:v>Herramientas y permisos de los cuatro perfiles</x:v>
      </x:c>
      <x:c r="C304" s="42" t="str">
        <x:v>PRO04</x:v>
      </x:c>
      <x:c r="D304" s="43" t="str">
        <x:v>Abrir creación de publicación desde perfil</x:v>
      </x:c>
      <x:c r="E304" s="43" t="str">
        <x:v>Permitir a todos los tipos publicar comunidad.</x:v>
      </x:c>
      <x:c r="F304" s="43" t="str">
        <x:v>Completado</x:v>
      </x:c>
      <x:c r="G304" s="44" t="n">
        <x:v>46287</x:v>
      </x:c>
      <x:c r="H304" s="44" t="n">
        <x:v>46295</x:v>
      </x:c>
      <x:c r="I304" s="45" t="n">
        <x:f>IF(OR(G304="",H304=""),"",SUMPRODUCT(('Cronograma'!$F$8:$P$8&lt;=H304)*('Cronograma'!$F$9:$P$9&gt;=G304)))</x:f>
        <x:v>1</x:v>
      </x:c>
      <x:c r="J304" s="46"/>
      <x:c r="K304" s="46"/>
      <x:c r="L304" s="47"/>
      <x:c r="M304" s="48" t="str"/>
      <x:c r="N304" s="48" t="str"/>
      <x:c r="O304" s="49" t="n">
        <x:v>46293</x:v>
      </x:c>
      <x:c r="P304" s="43" t="str">
        <x:v>Reporte fechado y código asociado</x:v>
      </x:c>
      <x:c r="Q304" s="43" t="str">
        <x:v>PRO03, MIS01</x:v>
      </x:c>
      <x:c r="R304" s="43" t="str"/>
      <x:c r="S304" s="43" t="str"/>
      <x:c r="T304" s="43" t="str">
        <x:v>S056, S032, S057</x:v>
      </x:c>
      <x:c r="U304" s="43" t="str">
        <x:v>output/ux-permissions-progress.md
docs/community.md
lib/features/profile/presentation/profile_tools_sheet.dart</x:v>
      </x:c>
    </x:row>
    <x:row r="305" ht="44" customHeight="1">
      <x:c r="A305" s="42" t="str">
        <x:v>PRO04.003</x:v>
      </x:c>
      <x:c r="B305" s="42" t="str">
        <x:v>Herramientas y permisos de los cuatro perfiles</x:v>
      </x:c>
      <x:c r="C305" s="42" t="str">
        <x:v>PRO04</x:v>
      </x:c>
      <x:c r="D305" s="43" t="str">
        <x:v>Abrir creación de misión desde perfil</x:v>
      </x:c>
      <x:c r="E305" s="43" t="str">
        <x:v>Dar permisos de organización a los cuatro tipos.</x:v>
      </x:c>
      <x:c r="F305" s="43" t="str">
        <x:v>Completado</x:v>
      </x:c>
      <x:c r="G305" s="44" t="n">
        <x:v>46287</x:v>
      </x:c>
      <x:c r="H305" s="44" t="n">
        <x:v>46295</x:v>
      </x:c>
      <x:c r="I305" s="45" t="n">
        <x:f>IF(OR(G305="",H305=""),"",SUMPRODUCT(('Cronograma'!$F$8:$P$8&lt;=H305)*('Cronograma'!$F$9:$P$9&gt;=G305)))</x:f>
        <x:v>1</x:v>
      </x:c>
      <x:c r="J305" s="46"/>
      <x:c r="K305" s="46"/>
      <x:c r="L305" s="47"/>
      <x:c r="M305" s="48" t="str"/>
      <x:c r="N305" s="48" t="str"/>
      <x:c r="O305" s="49" t="n">
        <x:v>46293</x:v>
      </x:c>
      <x:c r="P305" s="43" t="str">
        <x:v>Reporte fechado y código asociado</x:v>
      </x:c>
      <x:c r="Q305" s="43" t="str">
        <x:v>PRO03, MIS01</x:v>
      </x:c>
      <x:c r="R305" s="43" t="str"/>
      <x:c r="S305" s="43" t="str"/>
      <x:c r="T305" s="43" t="str">
        <x:v>S056, S032, S057</x:v>
      </x:c>
      <x:c r="U305" s="43" t="str">
        <x:v>output/ux-permissions-progress.md
docs/community.md
lib/features/profile/presentation/profile_tools_sheet.dart</x:v>
      </x:c>
    </x:row>
    <x:row r="306" ht="44" customHeight="1">
      <x:c r="A306" s="42" t="str">
        <x:v>PRO04.004</x:v>
      </x:c>
      <x:c r="B306" s="42" t="str">
        <x:v>Herramientas y permisos de los cuatro perfiles</x:v>
      </x:c>
      <x:c r="C306" s="42" t="str">
        <x:v>PRO04</x:v>
      </x:c>
      <x:c r="D306" s="43" t="str">
        <x:v>Ofrecer obra al creador</x:v>
      </x:c>
      <x:c r="E306" s="43" t="str">
        <x:v>Mantener herramientas de portafolio específicas.</x:v>
      </x:c>
      <x:c r="F306" s="43" t="str">
        <x:v>Completado</x:v>
      </x:c>
      <x:c r="G306" s="44" t="n">
        <x:v>46287</x:v>
      </x:c>
      <x:c r="H306" s="44" t="n">
        <x:v>46295</x:v>
      </x:c>
      <x:c r="I306" s="45" t="n">
        <x:f>IF(OR(G306="",H306=""),"",SUMPRODUCT(('Cronograma'!$F$8:$P$8&lt;=H306)*('Cronograma'!$F$9:$P$9&gt;=G306)))</x:f>
        <x:v>1</x:v>
      </x:c>
      <x:c r="J306" s="46"/>
      <x:c r="K306" s="46"/>
      <x:c r="L306" s="47"/>
      <x:c r="M306" s="48" t="str"/>
      <x:c r="N306" s="48" t="str"/>
      <x:c r="O306" s="49" t="n">
        <x:v>46293</x:v>
      </x:c>
      <x:c r="P306" s="43" t="str">
        <x:v>Reporte fechado y código asociado</x:v>
      </x:c>
      <x:c r="Q306" s="43" t="str">
        <x:v>PRO03, MIS01</x:v>
      </x:c>
      <x:c r="R306" s="43" t="str"/>
      <x:c r="S306" s="43" t="str"/>
      <x:c r="T306" s="43" t="str">
        <x:v>S056, S032, S057</x:v>
      </x:c>
      <x:c r="U306" s="43" t="str">
        <x:v>output/ux-permissions-progress.md
docs/community.md
lib/features/profile/presentation/profile_tools_sheet.dart</x:v>
      </x:c>
    </x:row>
    <x:row r="307" ht="44" customHeight="1">
      <x:c r="A307" s="42" t="str">
        <x:v>PRO04.005</x:v>
      </x:c>
      <x:c r="B307" s="42" t="str">
        <x:v>Herramientas y permisos de los cuatro perfiles</x:v>
      </x:c>
      <x:c r="C307" s="42" t="str">
        <x:v>PRO04</x:v>
      </x:c>
      <x:c r="D307" s="43" t="str">
        <x:v>Ofrecer producto y servicio al emprendimiento</x:v>
      </x:c>
      <x:c r="E307" s="43" t="str">
        <x:v>Mantener capacidades de catálogo.</x:v>
      </x:c>
      <x:c r="F307" s="43" t="str">
        <x:v>Completado</x:v>
      </x:c>
      <x:c r="G307" s="44" t="n">
        <x:v>46287</x:v>
      </x:c>
      <x:c r="H307" s="44" t="n">
        <x:v>46295</x:v>
      </x:c>
      <x:c r="I307" s="45" t="n">
        <x:f>IF(OR(G307="",H307=""),"",SUMPRODUCT(('Cronograma'!$F$8:$P$8&lt;=H307)*('Cronograma'!$F$9:$P$9&gt;=G307)))</x:f>
        <x:v>1</x:v>
      </x:c>
      <x:c r="J307" s="46"/>
      <x:c r="K307" s="46"/>
      <x:c r="L307" s="47"/>
      <x:c r="M307" s="48" t="str"/>
      <x:c r="N307" s="48" t="str"/>
      <x:c r="O307" s="49" t="n">
        <x:v>46293</x:v>
      </x:c>
      <x:c r="P307" s="43" t="str">
        <x:v>Reporte fechado y código asociado</x:v>
      </x:c>
      <x:c r="Q307" s="43" t="str">
        <x:v>PRO03, MIS01</x:v>
      </x:c>
      <x:c r="R307" s="43" t="str"/>
      <x:c r="S307" s="43" t="str"/>
      <x:c r="T307" s="43" t="str">
        <x:v>S056, S032, S057</x:v>
      </x:c>
      <x:c r="U307" s="43" t="str">
        <x:v>output/ux-permissions-progress.md
docs/community.md
lib/features/profile/presentation/profile_tools_sheet.dart</x:v>
      </x:c>
    </x:row>
    <x:row r="308" ht="44" customHeight="1">
      <x:c r="A308" s="42" t="str">
        <x:v>PRO04.006</x:v>
      </x:c>
      <x:c r="B308" s="42" t="str">
        <x:v>Herramientas y permisos de los cuatro perfiles</x:v>
      </x:c>
      <x:c r="C308" s="42" t="str">
        <x:v>PRO04</x:v>
      </x:c>
      <x:c r="D308" s="43" t="str">
        <x:v>Ofrecer servicio al negocio</x:v>
      </x:c>
      <x:c r="E308" s="43" t="str">
        <x:v>Conservar separación respecto de Productos.</x:v>
      </x:c>
      <x:c r="F308" s="43" t="str">
        <x:v>Completado</x:v>
      </x:c>
      <x:c r="G308" s="44" t="n">
        <x:v>46287</x:v>
      </x:c>
      <x:c r="H308" s="44" t="n">
        <x:v>46295</x:v>
      </x:c>
      <x:c r="I308" s="45" t="n">
        <x:f>IF(OR(G308="",H308=""),"",SUMPRODUCT(('Cronograma'!$F$8:$P$8&lt;=H308)*('Cronograma'!$F$9:$P$9&gt;=G308)))</x:f>
        <x:v>1</x:v>
      </x:c>
      <x:c r="J308" s="46"/>
      <x:c r="K308" s="46"/>
      <x:c r="L308" s="47"/>
      <x:c r="M308" s="48" t="str"/>
      <x:c r="N308" s="48" t="str"/>
      <x:c r="O308" s="49" t="n">
        <x:v>46293</x:v>
      </x:c>
      <x:c r="P308" s="43" t="str">
        <x:v>Reporte fechado y código asociado</x:v>
      </x:c>
      <x:c r="Q308" s="43" t="str">
        <x:v>PRO03, MIS01</x:v>
      </x:c>
      <x:c r="R308" s="43" t="str"/>
      <x:c r="S308" s="43" t="str"/>
      <x:c r="T308" s="43" t="str">
        <x:v>S056, S032, S057</x:v>
      </x:c>
      <x:c r="U308" s="43" t="str">
        <x:v>output/ux-permissions-progress.md
docs/community.md
lib/features/profile/presentation/profile_tools_sheet.dart</x:v>
      </x:c>
    </x:row>
    <x:row r="309" ht="44" customHeight="1">
      <x:c r="A309" s="42" t="str">
        <x:v>PRO04.007</x:v>
      </x:c>
      <x:c r="B309" s="42" t="str">
        <x:v>Herramientas y permisos de los cuatro perfiles</x:v>
      </x:c>
      <x:c r="C309" s="42" t="str">
        <x:v>PRO04</x:v>
      </x:c>
      <x:c r="D309" s="43" t="str">
        <x:v>Abrir datos profesionales desde herramientas</x:v>
      </x:c>
      <x:c r="E309" s="43" t="str">
        <x:v>Seleccionar pestaña correspondiente del editor.</x:v>
      </x:c>
      <x:c r="F309" s="43" t="str">
        <x:v>Completado</x:v>
      </x:c>
      <x:c r="G309" s="44" t="n">
        <x:v>46287</x:v>
      </x:c>
      <x:c r="H309" s="44" t="n">
        <x:v>46295</x:v>
      </x:c>
      <x:c r="I309" s="45" t="n">
        <x:f>IF(OR(G309="",H309=""),"",SUMPRODUCT(('Cronograma'!$F$8:$P$8&lt;=H309)*('Cronograma'!$F$9:$P$9&gt;=G309)))</x:f>
        <x:v>1</x:v>
      </x:c>
      <x:c r="J309" s="46"/>
      <x:c r="K309" s="46"/>
      <x:c r="L309" s="47"/>
      <x:c r="M309" s="48" t="str"/>
      <x:c r="N309" s="48" t="str"/>
      <x:c r="O309" s="49" t="n">
        <x:v>46293</x:v>
      </x:c>
      <x:c r="P309" s="43" t="str">
        <x:v>Reporte fechado y código asociado</x:v>
      </x:c>
      <x:c r="Q309" s="43" t="str">
        <x:v>PRO03, MIS01</x:v>
      </x:c>
      <x:c r="R309" s="43" t="str"/>
      <x:c r="S309" s="43" t="str"/>
      <x:c r="T309" s="43" t="str">
        <x:v>S056, S032, S057</x:v>
      </x:c>
      <x:c r="U309" s="43" t="str">
        <x:v>output/ux-permissions-progress.md
docs/community.md
lib/features/profile/presentation/profile_tools_sheet.dart</x:v>
      </x:c>
    </x:row>
    <x:row r="310" ht="44" customHeight="1">
      <x:c r="A310" s="42" t="str">
        <x:v>PRO04.008</x:v>
      </x:c>
      <x:c r="B310" s="42" t="str">
        <x:v>Herramientas y permisos de los cuatro perfiles</x:v>
      </x:c>
      <x:c r="C310" s="42" t="str">
        <x:v>PRO04</x:v>
      </x:c>
      <x:c r="D310" s="43" t="str">
        <x:v>Abrir colaboraciones compatibles</x:v>
      </x:c>
      <x:c r="E310" s="43" t="str">
        <x:v>Consultar misiones para el tipo actual y para todos.</x:v>
      </x:c>
      <x:c r="F310" s="43" t="str">
        <x:v>Completado</x:v>
      </x:c>
      <x:c r="G310" s="44" t="n">
        <x:v>46287</x:v>
      </x:c>
      <x:c r="H310" s="44" t="n">
        <x:v>46295</x:v>
      </x:c>
      <x:c r="I310" s="45" t="n">
        <x:f>IF(OR(G310="",H310=""),"",SUMPRODUCT(('Cronograma'!$F$8:$P$8&lt;=H310)*('Cronograma'!$F$9:$P$9&gt;=G310)))</x:f>
        <x:v>1</x:v>
      </x:c>
      <x:c r="J310" s="46"/>
      <x:c r="K310" s="46"/>
      <x:c r="L310" s="47"/>
      <x:c r="M310" s="48" t="str"/>
      <x:c r="N310" s="48" t="str"/>
      <x:c r="O310" s="49" t="n">
        <x:v>46293</x:v>
      </x:c>
      <x:c r="P310" s="43" t="str">
        <x:v>Reporte fechado y código asociado</x:v>
      </x:c>
      <x:c r="Q310" s="43" t="str">
        <x:v>PRO03, MIS01</x:v>
      </x:c>
      <x:c r="R310" s="43" t="str"/>
      <x:c r="S310" s="43" t="str"/>
      <x:c r="T310" s="43" t="str">
        <x:v>S056, S032, S057</x:v>
      </x:c>
      <x:c r="U310" s="43" t="str">
        <x:v>output/ux-permissions-progress.md
docs/community.md
lib/features/profile/presentation/profile_tools_sheet.dart</x:v>
      </x:c>
    </x:row>
    <x:row r="311" ht="44" customHeight="1">
      <x:c r="A311" s="42" t="str">
        <x:v>PRO04.009</x:v>
      </x:c>
      <x:c r="B311" s="42" t="str">
        <x:v>Herramientas y permisos de los cuatro perfiles</x:v>
      </x:c>
      <x:c r="C311" s="42" t="str">
        <x:v>PRO04</x:v>
      </x:c>
      <x:c r="D311" s="43" t="str">
        <x:v>Agregar filtros de respuestas en postulaciones</x:v>
      </x:c>
      <x:c r="E311" s="43" t="str">
        <x:v>Separar pendientes, aceptadas, rechazadas y retiradas.</x:v>
      </x:c>
      <x:c r="F311" s="43" t="str">
        <x:v>Completado</x:v>
      </x:c>
      <x:c r="G311" s="44" t="n">
        <x:v>46287</x:v>
      </x:c>
      <x:c r="H311" s="44" t="n">
        <x:v>46295</x:v>
      </x:c>
      <x:c r="I311" s="45" t="n">
        <x:f>IF(OR(G311="",H311=""),"",SUMPRODUCT(('Cronograma'!$F$8:$P$8&lt;=H311)*('Cronograma'!$F$9:$P$9&gt;=G311)))</x:f>
        <x:v>1</x:v>
      </x:c>
      <x:c r="J311" s="46"/>
      <x:c r="K311" s="46"/>
      <x:c r="L311" s="47"/>
      <x:c r="M311" s="48" t="str"/>
      <x:c r="N311" s="48" t="str"/>
      <x:c r="O311" s="49" t="n">
        <x:v>46293</x:v>
      </x:c>
      <x:c r="P311" s="43" t="str">
        <x:v>Reporte fechado y código asociado</x:v>
      </x:c>
      <x:c r="Q311" s="43" t="str">
        <x:v>PRO03, MIS01</x:v>
      </x:c>
      <x:c r="R311" s="43" t="str"/>
      <x:c r="S311" s="43" t="str"/>
      <x:c r="T311" s="43" t="str">
        <x:v>S056, S032, S057</x:v>
      </x:c>
      <x:c r="U311" s="43" t="str">
        <x:v>output/ux-permissions-progress.md
docs/community.md
lib/features/profile/presentation/profile_tools_sheet.dart</x:v>
      </x:c>
    </x:row>
    <x:row r="312" ht="44" customHeight="1">
      <x:c r="A312" s="42" t="str">
        <x:v>PRO04.010</x:v>
      </x:c>
      <x:c r="B312" s="42" t="str">
        <x:v>Herramientas y permisos de los cuatro perfiles</x:v>
      </x:c>
      <x:c r="C312" s="42" t="str">
        <x:v>PRO04</x:v>
      </x:c>
      <x:c r="D312" s="43" t="str">
        <x:v>Mostrar causas específicas de inelegibilidad</x:v>
      </x:c>
      <x:c r="E312" s="43" t="str">
        <x:v>Explicar cierre, fecha, cupo y tipo solicitado.</x:v>
      </x:c>
      <x:c r="F312" s="43" t="str">
        <x:v>Completado</x:v>
      </x:c>
      <x:c r="G312" s="44" t="n">
        <x:v>46287</x:v>
      </x:c>
      <x:c r="H312" s="44" t="n">
        <x:v>46295</x:v>
      </x:c>
      <x:c r="I312" s="45" t="n">
        <x:f>IF(OR(G312="",H312=""),"",SUMPRODUCT(('Cronograma'!$F$8:$P$8&lt;=H312)*('Cronograma'!$F$9:$P$9&gt;=G312)))</x:f>
        <x:v>1</x:v>
      </x:c>
      <x:c r="J312" s="46"/>
      <x:c r="K312" s="46"/>
      <x:c r="L312" s="47"/>
      <x:c r="M312" s="48" t="str"/>
      <x:c r="N312" s="48" t="str"/>
      <x:c r="O312" s="49" t="n">
        <x:v>46293</x:v>
      </x:c>
      <x:c r="P312" s="43" t="str">
        <x:v>Reporte fechado y código asociado</x:v>
      </x:c>
      <x:c r="Q312" s="43" t="str">
        <x:v>PRO03, MIS01</x:v>
      </x:c>
      <x:c r="R312" s="43" t="str"/>
      <x:c r="S312" s="43" t="str"/>
      <x:c r="T312" s="43" t="str">
        <x:v>S056, S032, S057</x:v>
      </x:c>
      <x:c r="U312" s="43" t="str">
        <x:v>output/ux-permissions-progress.md
docs/community.md
lib/features/profile/presentation/profile_tools_sheet.dart</x:v>
      </x:c>
    </x:row>
    <x:row r="313" ht="44" customHeight="1">
      <x:c r="A313" s="42" t="str">
        <x:v>PRO04.011</x:v>
      </x:c>
      <x:c r="B313" s="42" t="str">
        <x:v>Herramientas y permisos de los cuatro perfiles</x:v>
      </x:c>
      <x:c r="C313" s="42" t="str">
        <x:v>PRO04</x:v>
      </x:c>
      <x:c r="D313" s="43" t="str">
        <x:v>Verificar matriz de permisos de misiones</x:v>
      </x:c>
      <x:c r="E313" s="43" t="str">
        <x:v>Reporte acredita 337 checks SQL y cuatro tipos organizadores.</x:v>
      </x:c>
      <x:c r="F313" s="43" t="str">
        <x:v>Completado</x:v>
      </x:c>
      <x:c r="G313" s="44" t="n">
        <x:v>46287</x:v>
      </x:c>
      <x:c r="H313" s="44" t="n">
        <x:v>46295</x:v>
      </x:c>
      <x:c r="I313" s="45" t="n">
        <x:f>IF(OR(G313="",H313=""),"",SUMPRODUCT(('Cronograma'!$F$8:$P$8&lt;=H313)*('Cronograma'!$F$9:$P$9&gt;=G313)))</x:f>
        <x:v>1</x:v>
      </x:c>
      <x:c r="J313" s="46"/>
      <x:c r="K313" s="46"/>
      <x:c r="L313" s="47"/>
      <x:c r="M313" s="48" t="str"/>
      <x:c r="N313" s="48" t="str"/>
      <x:c r="O313" s="49" t="n">
        <x:v>46293</x:v>
      </x:c>
      <x:c r="P313" s="43" t="str">
        <x:v>Reporte fechado y código asociado</x:v>
      </x:c>
      <x:c r="Q313" s="43" t="str">
        <x:v>PRO03, MIS01</x:v>
      </x:c>
      <x:c r="R313" s="43" t="str"/>
      <x:c r="S313" s="43" t="str"/>
      <x:c r="T313" s="43" t="str">
        <x:v>S056, S032, S057</x:v>
      </x:c>
      <x:c r="U313" s="43" t="str">
        <x:v>output/ux-permissions-progress.md
docs/community.md
lib/features/profile/presentation/profile_tools_sheet.dart</x:v>
      </x:c>
    </x:row>
    <x:row r="314" ht="44" customHeight="1">
      <x:c r="A314" s="42" t="str">
        <x:v>PRO04.012</x:v>
      </x:c>
      <x:c r="B314" s="42" t="str">
        <x:v>Herramientas y permisos de los cuatro perfiles</x:v>
      </x:c>
      <x:c r="C314" s="42" t="str">
        <x:v>PRO04</x:v>
      </x:c>
      <x:c r="D314" s="43" t="str">
        <x:v>Verificar herramientas en interfaz</x:v>
      </x:c>
      <x:c r="E314" s="43" t="str">
        <x:v>Reporte acredita 269 pruebas Flutter y revisión móvil/escritorio.</x:v>
      </x:c>
      <x:c r="F314" s="43" t="str">
        <x:v>Completado</x:v>
      </x:c>
      <x:c r="G314" s="44" t="n">
        <x:v>46287</x:v>
      </x:c>
      <x:c r="H314" s="44" t="n">
        <x:v>46295</x:v>
      </x:c>
      <x:c r="I314" s="45" t="n">
        <x:f>IF(OR(G314="",H314=""),"",SUMPRODUCT(('Cronograma'!$F$8:$P$8&lt;=H314)*('Cronograma'!$F$9:$P$9&gt;=G314)))</x:f>
        <x:v>1</x:v>
      </x:c>
      <x:c r="J314" s="46"/>
      <x:c r="K314" s="46"/>
      <x:c r="L314" s="47"/>
      <x:c r="M314" s="48" t="str"/>
      <x:c r="N314" s="48" t="str"/>
      <x:c r="O314" s="49" t="n">
        <x:v>46293</x:v>
      </x:c>
      <x:c r="P314" s="43" t="str">
        <x:v>Reporte fechado y código asociado</x:v>
      </x:c>
      <x:c r="Q314" s="43" t="str">
        <x:v>PRO03, MIS01</x:v>
      </x:c>
      <x:c r="R314" s="43" t="str"/>
      <x:c r="S314" s="43" t="str"/>
      <x:c r="T314" s="43" t="str">
        <x:v>S056, S032, S057</x:v>
      </x:c>
      <x:c r="U314" s="43" t="str">
        <x:v>output/ux-permissions-progress.md
docs/community.md
lib/features/profile/presentation/profile_tools_sheet.dart</x:v>
      </x:c>
    </x:row>
    <x:row r="315" ht="44" customHeight="1">
      <x:c r="A315" s="42" t="str">
        <x:v>PRO03.001</x:v>
      </x:c>
      <x:c r="B315" s="42" t="str">
        <x:v>Rediseño de perfil, edición y configuración</x:v>
      </x:c>
      <x:c r="C315" s="42" t="str">
        <x:v>PRO03</x:v>
      </x:c>
      <x:c r="D315" s="43" t="str">
        <x:v>Crear cabecera compacta de perfil</x:v>
      </x:c>
      <x:c r="E315" s="43" t="str">
        <x:v>Mostrar portada, avatar e identidad en primer viewport.</x:v>
      </x:c>
      <x:c r="F315" s="43" t="str">
        <x:v>Completado</x:v>
      </x:c>
      <x:c r="G315" s="44" t="n">
        <x:v>46287</x:v>
      </x:c>
      <x:c r="H315" s="44" t="n">
        <x:v>46295</x:v>
      </x:c>
      <x:c r="I315" s="45" t="n">
        <x:f>IF(OR(G315="",H315=""),"",SUMPRODUCT(('Cronograma'!$F$8:$P$8&lt;=H315)*('Cronograma'!$F$9:$P$9&gt;=G315)))</x:f>
        <x:v>1</x:v>
      </x:c>
      <x:c r="J315" s="46"/>
      <x:c r="K315" s="46"/>
      <x:c r="L315" s="47"/>
      <x:c r="M315" s="48" t="str"/>
      <x:c r="N315" s="48" t="str"/>
      <x:c r="O315" s="49" t="n">
        <x:v>46294</x:v>
      </x:c>
      <x:c r="P315" s="43" t="str">
        <x:v>Commit de integración y documentos</x:v>
      </x:c>
      <x:c r="Q315" s="43" t="str">
        <x:v>PRO01, PRO02</x:v>
      </x:c>
      <x:c r="R315" s="43" t="str"/>
      <x:c r="S315" s="43" t="str">
        <x:v>El reporte del rediseño no tiene fecha propia; el commit del 29 acredita integración.</x:v>
      </x:c>
      <x:c r="T315" s="43" t="str">
        <x:v>S058, S056, S059</x:v>
      </x:c>
      <x:c r="U315" s="43" t="str">
        <x:v>output/profile-redesign-progress.md
output/ux-permissions-progress.md
git:84f3151:lib/features/profile/presentation/profile_experience.dart</x:v>
      </x:c>
    </x:row>
    <x:row r="316" ht="44" customHeight="1">
      <x:c r="A316" s="42" t="str">
        <x:v>PRO03.002</x:v>
      </x:c>
      <x:c r="B316" s="42" t="str">
        <x:v>Rediseño de perfil, edición y configuración</x:v>
      </x:c>
      <x:c r="C316" s="42" t="str">
        <x:v>PRO03</x:v>
      </x:c>
      <x:c r="D316" s="43" t="str">
        <x:v>Adaptar perfil a dos columnas</x:v>
      </x:c>
      <x:c r="E316" s="43" t="str">
        <x:v>Usar distribución de escritorio desde 1024 px.</x:v>
      </x:c>
      <x:c r="F316" s="43" t="str">
        <x:v>Completado</x:v>
      </x:c>
      <x:c r="G316" s="44" t="n">
        <x:v>46287</x:v>
      </x:c>
      <x:c r="H316" s="44" t="n">
        <x:v>46295</x:v>
      </x:c>
      <x:c r="I316" s="45" t="n">
        <x:f>IF(OR(G316="",H316=""),"",SUMPRODUCT(('Cronograma'!$F$8:$P$8&lt;=H316)*('Cronograma'!$F$9:$P$9&gt;=G316)))</x:f>
        <x:v>1</x:v>
      </x:c>
      <x:c r="J316" s="46"/>
      <x:c r="K316" s="46"/>
      <x:c r="L316" s="47"/>
      <x:c r="M316" s="48" t="str"/>
      <x:c r="N316" s="48" t="str"/>
      <x:c r="O316" s="49" t="n">
        <x:v>46294</x:v>
      </x:c>
      <x:c r="P316" s="43" t="str">
        <x:v>Commit de integración y documentos</x:v>
      </x:c>
      <x:c r="Q316" s="43" t="str">
        <x:v>PRO01, PRO02</x:v>
      </x:c>
      <x:c r="R316" s="43" t="str"/>
      <x:c r="S316" s="43" t="str">
        <x:v>El reporte del rediseño no tiene fecha propia; el commit del 29 acredita integración.</x:v>
      </x:c>
      <x:c r="T316" s="43" t="str">
        <x:v>S058, S056, S059</x:v>
      </x:c>
      <x:c r="U316" s="43" t="str">
        <x:v>output/profile-redesign-progress.md
output/ux-permissions-progress.md
git:84f3151:lib/features/profile/presentation/profile_experience.dart</x:v>
      </x:c>
    </x:row>
    <x:row r="317" ht="44" customHeight="1">
      <x:c r="A317" s="42" t="str">
        <x:v>PRO03.003</x:v>
      </x:c>
      <x:c r="B317" s="42" t="str">
        <x:v>Rediseño de perfil, edición y configuración</x:v>
      </x:c>
      <x:c r="C317" s="42" t="str">
        <x:v>PRO03</x:v>
      </x:c>
      <x:c r="D317" s="43" t="str">
        <x:v>Conservar estado de pestañas</x:v>
      </x:c>
      <x:c r="E317" s="43" t="str">
        <x:v>Mantener carga y desplazamiento al cambiar secciones.</x:v>
      </x:c>
      <x:c r="F317" s="43" t="str">
        <x:v>Completado</x:v>
      </x:c>
      <x:c r="G317" s="44" t="n">
        <x:v>46287</x:v>
      </x:c>
      <x:c r="H317" s="44" t="n">
        <x:v>46295</x:v>
      </x:c>
      <x:c r="I317" s="45" t="n">
        <x:f>IF(OR(G317="",H317=""),"",SUMPRODUCT(('Cronograma'!$F$8:$P$8&lt;=H317)*('Cronograma'!$F$9:$P$9&gt;=G317)))</x:f>
        <x:v>1</x:v>
      </x:c>
      <x:c r="J317" s="46"/>
      <x:c r="K317" s="46"/>
      <x:c r="L317" s="47"/>
      <x:c r="M317" s="48" t="str"/>
      <x:c r="N317" s="48" t="str"/>
      <x:c r="O317" s="49" t="n">
        <x:v>46294</x:v>
      </x:c>
      <x:c r="P317" s="43" t="str">
        <x:v>Commit de integración y documentos</x:v>
      </x:c>
      <x:c r="Q317" s="43" t="str">
        <x:v>PRO01, PRO02</x:v>
      </x:c>
      <x:c r="R317" s="43" t="str"/>
      <x:c r="S317" s="43" t="str">
        <x:v>El reporte del rediseño no tiene fecha propia; el commit del 29 acredita integración.</x:v>
      </x:c>
      <x:c r="T317" s="43" t="str">
        <x:v>S058, S056, S059</x:v>
      </x:c>
      <x:c r="U317" s="43" t="str">
        <x:v>output/profile-redesign-progress.md
output/ux-permissions-progress.md
git:84f3151:lib/features/profile/presentation/profile_experience.dart</x:v>
      </x:c>
    </x:row>
    <x:row r="318" ht="44" customHeight="1">
      <x:c r="A318" s="42" t="str">
        <x:v>PRO03.004</x:v>
      </x:c>
      <x:c r="B318" s="42" t="str">
        <x:v>Rediseño de perfil, edición y configuración</x:v>
      </x:c>
      <x:c r="C318" s="42" t="str">
        <x:v>PRO03</x:v>
      </x:c>
      <x:c r="D318" s="43" t="str">
        <x:v>Redirigir enlace público al perfil propio</x:v>
      </x:c>
      <x:c r="E318" s="43" t="str">
        <x:v>Evitar controles contradictorios para la misma cuenta.</x:v>
      </x:c>
      <x:c r="F318" s="43" t="str">
        <x:v>Completado</x:v>
      </x:c>
      <x:c r="G318" s="44" t="n">
        <x:v>46287</x:v>
      </x:c>
      <x:c r="H318" s="44" t="n">
        <x:v>46295</x:v>
      </x:c>
      <x:c r="I318" s="45" t="n">
        <x:f>IF(OR(G318="",H318=""),"",SUMPRODUCT(('Cronograma'!$F$8:$P$8&lt;=H318)*('Cronograma'!$F$9:$P$9&gt;=G318)))</x:f>
        <x:v>1</x:v>
      </x:c>
      <x:c r="J318" s="46"/>
      <x:c r="K318" s="46"/>
      <x:c r="L318" s="47"/>
      <x:c r="M318" s="48" t="str"/>
      <x:c r="N318" s="48" t="str"/>
      <x:c r="O318" s="49" t="n">
        <x:v>46294</x:v>
      </x:c>
      <x:c r="P318" s="43" t="str">
        <x:v>Commit de integración y documentos</x:v>
      </x:c>
      <x:c r="Q318" s="43" t="str">
        <x:v>PRO01, PRO02</x:v>
      </x:c>
      <x:c r="R318" s="43" t="str"/>
      <x:c r="S318" s="43" t="str">
        <x:v>El reporte del rediseño no tiene fecha propia; el commit del 29 acredita integración.</x:v>
      </x:c>
      <x:c r="T318" s="43" t="str">
        <x:v>S058, S056, S059</x:v>
      </x:c>
      <x:c r="U318" s="43" t="str">
        <x:v>output/profile-redesign-progress.md
output/ux-permissions-progress.md
git:84f3151:lib/features/profile/presentation/profile_experience.dart</x:v>
      </x:c>
    </x:row>
    <x:row r="319" ht="44" customHeight="1">
      <x:c r="A319" s="42" t="str">
        <x:v>PRO03.005</x:v>
      </x:c>
      <x:c r="B319" s="42" t="str">
        <x:v>Rediseño de perfil, edición y configuración</x:v>
      </x:c>
      <x:c r="C319" s="42" t="str">
        <x:v>PRO03</x:v>
      </x:c>
      <x:c r="D319" s="43" t="str">
        <x:v>Separar editor de identidad y profesional</x:v>
      </x:c>
      <x:c r="E319" s="43" t="str">
        <x:v>Organizar campos sin perder valores al cambiar sección.</x:v>
      </x:c>
      <x:c r="F319" s="43" t="str">
        <x:v>Completado</x:v>
      </x:c>
      <x:c r="G319" s="44" t="n">
        <x:v>46287</x:v>
      </x:c>
      <x:c r="H319" s="44" t="n">
        <x:v>46295</x:v>
      </x:c>
      <x:c r="I319" s="45" t="n">
        <x:f>IF(OR(G319="",H319=""),"",SUMPRODUCT(('Cronograma'!$F$8:$P$8&lt;=H319)*('Cronograma'!$F$9:$P$9&gt;=G319)))</x:f>
        <x:v>1</x:v>
      </x:c>
      <x:c r="J319" s="46"/>
      <x:c r="K319" s="46"/>
      <x:c r="L319" s="47"/>
      <x:c r="M319" s="48" t="str"/>
      <x:c r="N319" s="48" t="str"/>
      <x:c r="O319" s="49" t="n">
        <x:v>46294</x:v>
      </x:c>
      <x:c r="P319" s="43" t="str">
        <x:v>Commit de integración y documentos</x:v>
      </x:c>
      <x:c r="Q319" s="43" t="str">
        <x:v>PRO01, PRO02</x:v>
      </x:c>
      <x:c r="R319" s="43" t="str"/>
      <x:c r="S319" s="43" t="str">
        <x:v>El reporte del rediseño no tiene fecha propia; el commit del 29 acredita integración.</x:v>
      </x:c>
      <x:c r="T319" s="43" t="str">
        <x:v>S058, S056, S059</x:v>
      </x:c>
      <x:c r="U319" s="43" t="str">
        <x:v>output/profile-redesign-progress.md
output/ux-permissions-progress.md
git:84f3151:lib/features/profile/presentation/profile_experience.dart</x:v>
      </x:c>
    </x:row>
    <x:row r="320" ht="44" customHeight="1">
      <x:c r="A320" s="42" t="str">
        <x:v>PRO03.006</x:v>
      </x:c>
      <x:c r="B320" s="42" t="str">
        <x:v>Rediseño de perfil, edición y configuración</x:v>
      </x:c>
      <x:c r="C320" s="42" t="str">
        <x:v>PRO03</x:v>
      </x:c>
      <x:c r="D320" s="43" t="str">
        <x:v>Validar campos entre secciones</x:v>
      </x:c>
      <x:c r="E320" s="43" t="str">
        <x:v>Detectar errores aunque el campo no esté visible.</x:v>
      </x:c>
      <x:c r="F320" s="43" t="str">
        <x:v>Completado</x:v>
      </x:c>
      <x:c r="G320" s="44" t="n">
        <x:v>46287</x:v>
      </x:c>
      <x:c r="H320" s="44" t="n">
        <x:v>46295</x:v>
      </x:c>
      <x:c r="I320" s="45" t="n">
        <x:f>IF(OR(G320="",H320=""),"",SUMPRODUCT(('Cronograma'!$F$8:$P$8&lt;=H320)*('Cronograma'!$F$9:$P$9&gt;=G320)))</x:f>
        <x:v>1</x:v>
      </x:c>
      <x:c r="J320" s="46"/>
      <x:c r="K320" s="46"/>
      <x:c r="L320" s="47"/>
      <x:c r="M320" s="48" t="str"/>
      <x:c r="N320" s="48" t="str"/>
      <x:c r="O320" s="49" t="n">
        <x:v>46294</x:v>
      </x:c>
      <x:c r="P320" s="43" t="str">
        <x:v>Commit de integración y documentos</x:v>
      </x:c>
      <x:c r="Q320" s="43" t="str">
        <x:v>PRO01, PRO02</x:v>
      </x:c>
      <x:c r="R320" s="43" t="str"/>
      <x:c r="S320" s="43" t="str">
        <x:v>El reporte del rediseño no tiene fecha propia; el commit del 29 acredita integración.</x:v>
      </x:c>
      <x:c r="T320" s="43" t="str">
        <x:v>S058, S056, S059</x:v>
      </x:c>
      <x:c r="U320" s="43" t="str">
        <x:v>output/profile-redesign-progress.md
output/ux-permissions-progress.md
git:84f3151:lib/features/profile/presentation/profile_experience.dart</x:v>
      </x:c>
    </x:row>
    <x:row r="321" ht="44" customHeight="1">
      <x:c r="A321" s="42" t="str">
        <x:v>PRO03.007</x:v>
      </x:c>
      <x:c r="B321" s="42" t="str">
        <x:v>Rediseño de perfil, edición y configuración</x:v>
      </x:c>
      <x:c r="C321" s="42" t="str">
        <x:v>PRO03</x:v>
      </x:c>
      <x:c r="D321" s="43" t="str">
        <x:v>Corregir foco de campos ocultos</x:v>
      </x:c>
      <x:c r="E321" s="43" t="str">
        <x:v>Retirar foco al cambiar pestaña manteniendo estado.</x:v>
      </x:c>
      <x:c r="F321" s="43" t="str">
        <x:v>Completado</x:v>
      </x:c>
      <x:c r="G321" s="44" t="n">
        <x:v>46287</x:v>
      </x:c>
      <x:c r="H321" s="44" t="n">
        <x:v>46295</x:v>
      </x:c>
      <x:c r="I321" s="45" t="n">
        <x:f>IF(OR(G321="",H321=""),"",SUMPRODUCT(('Cronograma'!$F$8:$P$8&lt;=H321)*('Cronograma'!$F$9:$P$9&gt;=G321)))</x:f>
        <x:v>1</x:v>
      </x:c>
      <x:c r="J321" s="46"/>
      <x:c r="K321" s="46"/>
      <x:c r="L321" s="47"/>
      <x:c r="M321" s="48" t="str"/>
      <x:c r="N321" s="48" t="str"/>
      <x:c r="O321" s="49" t="n">
        <x:v>46294</x:v>
      </x:c>
      <x:c r="P321" s="43" t="str">
        <x:v>Commit de integración y documentos</x:v>
      </x:c>
      <x:c r="Q321" s="43" t="str">
        <x:v>PRO01, PRO02</x:v>
      </x:c>
      <x:c r="R321" s="43" t="str"/>
      <x:c r="S321" s="43" t="str">
        <x:v>El reporte del rediseño no tiene fecha propia; el commit del 29 acredita integración.</x:v>
      </x:c>
      <x:c r="T321" s="43" t="str">
        <x:v>S058, S056, S059</x:v>
      </x:c>
      <x:c r="U321" s="43" t="str">
        <x:v>output/profile-redesign-progress.md
output/ux-permissions-progress.md
git:84f3151:lib/features/profile/presentation/profile_experience.dart</x:v>
      </x:c>
    </x:row>
    <x:row r="322" ht="44" customHeight="1">
      <x:c r="A322" s="42" t="str">
        <x:v>PRO03.008</x:v>
      </x:c>
      <x:c r="B322" s="42" t="str">
        <x:v>Rediseño de perfil, edición y configuración</x:v>
      </x:c>
      <x:c r="C322" s="42" t="str">
        <x:v>PRO03</x:v>
      </x:c>
      <x:c r="D322" s="43" t="str">
        <x:v>Actualizar identidad tras cambiar enlaces</x:v>
      </x:c>
      <x:c r="E322" s="43" t="str">
        <x:v>Refrescar presentación profesional después de guardar.</x:v>
      </x:c>
      <x:c r="F322" s="43" t="str">
        <x:v>Completado</x:v>
      </x:c>
      <x:c r="G322" s="44" t="n">
        <x:v>46287</x:v>
      </x:c>
      <x:c r="H322" s="44" t="n">
        <x:v>46295</x:v>
      </x:c>
      <x:c r="I322" s="45" t="n">
        <x:f>IF(OR(G322="",H322=""),"",SUMPRODUCT(('Cronograma'!$F$8:$P$8&lt;=H322)*('Cronograma'!$F$9:$P$9&gt;=G322)))</x:f>
        <x:v>1</x:v>
      </x:c>
      <x:c r="J322" s="46"/>
      <x:c r="K322" s="46"/>
      <x:c r="L322" s="47"/>
      <x:c r="M322" s="48" t="str"/>
      <x:c r="N322" s="48" t="str"/>
      <x:c r="O322" s="49" t="n">
        <x:v>46294</x:v>
      </x:c>
      <x:c r="P322" s="43" t="str">
        <x:v>Commit de integración y documentos</x:v>
      </x:c>
      <x:c r="Q322" s="43" t="str">
        <x:v>PRO01, PRO02</x:v>
      </x:c>
      <x:c r="R322" s="43" t="str"/>
      <x:c r="S322" s="43" t="str">
        <x:v>El reporte del rediseño no tiene fecha propia; el commit del 29 acredita integración.</x:v>
      </x:c>
      <x:c r="T322" s="43" t="str">
        <x:v>S058, S056, S059</x:v>
      </x:c>
      <x:c r="U322" s="43" t="str">
        <x:v>output/profile-redesign-progress.md
output/ux-permissions-progress.md
git:84f3151:lib/features/profile/presentation/profile_experience.dart</x:v>
      </x:c>
    </x:row>
    <x:row r="323" ht="44" customHeight="1">
      <x:c r="A323" s="42" t="str">
        <x:v>PRO03.009</x:v>
      </x:c>
      <x:c r="B323" s="42" t="str">
        <x:v>Rediseño de perfil, edición y configuración</x:v>
      </x:c>
      <x:c r="C323" s="42" t="str">
        <x:v>PRO03</x:v>
      </x:c>
      <x:c r="D323" s="43" t="str">
        <x:v>Crear configuración compacta</x:v>
      </x:c>
      <x:c r="E323" s="43" t="str">
        <x:v>Agrupar herramientas y seguridad con acabado MAREA.</x:v>
      </x:c>
      <x:c r="F323" s="43" t="str">
        <x:v>Completado</x:v>
      </x:c>
      <x:c r="G323" s="44" t="n">
        <x:v>46287</x:v>
      </x:c>
      <x:c r="H323" s="44" t="n">
        <x:v>46295</x:v>
      </x:c>
      <x:c r="I323" s="45" t="n">
        <x:f>IF(OR(G323="",H323=""),"",SUMPRODUCT(('Cronograma'!$F$8:$P$8&lt;=H323)*('Cronograma'!$F$9:$P$9&gt;=G323)))</x:f>
        <x:v>1</x:v>
      </x:c>
      <x:c r="J323" s="46"/>
      <x:c r="K323" s="46"/>
      <x:c r="L323" s="47"/>
      <x:c r="M323" s="48" t="str"/>
      <x:c r="N323" s="48" t="str"/>
      <x:c r="O323" s="49" t="n">
        <x:v>46294</x:v>
      </x:c>
      <x:c r="P323" s="43" t="str">
        <x:v>Commit de integración y documentos</x:v>
      </x:c>
      <x:c r="Q323" s="43" t="str">
        <x:v>PRO01, PRO02</x:v>
      </x:c>
      <x:c r="R323" s="43" t="str"/>
      <x:c r="S323" s="43" t="str">
        <x:v>El reporte del rediseño no tiene fecha propia; el commit del 29 acredita integración.</x:v>
      </x:c>
      <x:c r="T323" s="43" t="str">
        <x:v>S058, S056, S059</x:v>
      </x:c>
      <x:c r="U323" s="43" t="str">
        <x:v>output/profile-redesign-progress.md
output/ux-permissions-progress.md
git:84f3151:lib/features/profile/presentation/profile_experience.dart</x:v>
      </x:c>
    </x:row>
    <x:row r="324" ht="44" customHeight="1">
      <x:c r="A324" s="42" t="str">
        <x:v>PRO03.010</x:v>
      </x:c>
      <x:c r="B324" s="42" t="str">
        <x:v>Rediseño de perfil, edición y configuración</x:v>
      </x:c>
      <x:c r="C324" s="42" t="str">
        <x:v>PRO03</x:v>
      </x:c>
      <x:c r="D324" s="43" t="str">
        <x:v>Rediseñar formularios de seguridad</x:v>
      </x:c>
      <x:c r="E324" s="43" t="str">
        <x:v>Simplificar etiquetas y distribución de correo y contraseña.</x:v>
      </x:c>
      <x:c r="F324" s="43" t="str">
        <x:v>Completado</x:v>
      </x:c>
      <x:c r="G324" s="44" t="n">
        <x:v>46287</x:v>
      </x:c>
      <x:c r="H324" s="44" t="n">
        <x:v>46295</x:v>
      </x:c>
      <x:c r="I324" s="45" t="n">
        <x:f>IF(OR(G324="",H324=""),"",SUMPRODUCT(('Cronograma'!$F$8:$P$8&lt;=H324)*('Cronograma'!$F$9:$P$9&gt;=G324)))</x:f>
        <x:v>1</x:v>
      </x:c>
      <x:c r="J324" s="46"/>
      <x:c r="K324" s="46"/>
      <x:c r="L324" s="47"/>
      <x:c r="M324" s="48" t="str"/>
      <x:c r="N324" s="48" t="str"/>
      <x:c r="O324" s="49" t="n">
        <x:v>46294</x:v>
      </x:c>
      <x:c r="P324" s="43" t="str">
        <x:v>Commit de integración y documentos</x:v>
      </x:c>
      <x:c r="Q324" s="43" t="str">
        <x:v>PRO01, PRO02</x:v>
      </x:c>
      <x:c r="R324" s="43" t="str"/>
      <x:c r="S324" s="43" t="str">
        <x:v>El reporte del rediseño no tiene fecha propia; el commit del 29 acredita integración.</x:v>
      </x:c>
      <x:c r="T324" s="43" t="str">
        <x:v>S058, S056, S059</x:v>
      </x:c>
      <x:c r="U324" s="43" t="str">
        <x:v>output/profile-redesign-progress.md
output/ux-permissions-progress.md
git:84f3151:lib/features/profile/presentation/profile_experience.dart</x:v>
      </x:c>
    </x:row>
    <x:row r="325" ht="44" customHeight="1">
      <x:c r="A325" s="42" t="str">
        <x:v>PRO03.011</x:v>
      </x:c>
      <x:c r="B325" s="42" t="str">
        <x:v>Rediseño de perfil, edición y configuración</x:v>
      </x:c>
      <x:c r="C325" s="42" t="str">
        <x:v>PRO03</x:v>
      </x:c>
      <x:c r="D325" s="43" t="str">
        <x:v>Mantener guardar visible sobre teclado</x:v>
      </x:c>
      <x:c r="E325" s="43" t="str">
        <x:v>Evitar que la acción quede fuera del formulario móvil.</x:v>
      </x:c>
      <x:c r="F325" s="43" t="str">
        <x:v>Completado</x:v>
      </x:c>
      <x:c r="G325" s="44" t="n">
        <x:v>46287</x:v>
      </x:c>
      <x:c r="H325" s="44" t="n">
        <x:v>46295</x:v>
      </x:c>
      <x:c r="I325" s="45" t="n">
        <x:f>IF(OR(G325="",H325=""),"",SUMPRODUCT(('Cronograma'!$F$8:$P$8&lt;=H325)*('Cronograma'!$F$9:$P$9&gt;=G325)))</x:f>
        <x:v>1</x:v>
      </x:c>
      <x:c r="J325" s="46"/>
      <x:c r="K325" s="46"/>
      <x:c r="L325" s="47"/>
      <x:c r="M325" s="48" t="str"/>
      <x:c r="N325" s="48" t="str"/>
      <x:c r="O325" s="49" t="n">
        <x:v>46294</x:v>
      </x:c>
      <x:c r="P325" s="43" t="str">
        <x:v>Commit de integración y documentos</x:v>
      </x:c>
      <x:c r="Q325" s="43" t="str">
        <x:v>PRO01, PRO02</x:v>
      </x:c>
      <x:c r="R325" s="43" t="str"/>
      <x:c r="S325" s="43" t="str">
        <x:v>El reporte del rediseño no tiene fecha propia; el commit del 29 acredita integración.</x:v>
      </x:c>
      <x:c r="T325" s="43" t="str">
        <x:v>S058, S056, S059</x:v>
      </x:c>
      <x:c r="U325" s="43" t="str">
        <x:v>output/profile-redesign-progress.md
output/ux-permissions-progress.md
git:84f3151:lib/features/profile/presentation/profile_experience.dart</x:v>
      </x:c>
    </x:row>
    <x:row r="326" ht="44" customHeight="1">
      <x:c r="A326" s="42" t="str">
        <x:v>PRO03.012</x:v>
      </x:c>
      <x:c r="B326" s="42" t="str">
        <x:v>Rediseño de perfil, edición y configuración</x:v>
      </x:c>
      <x:c r="C326" s="42" t="str">
        <x:v>PRO03</x:v>
      </x:c>
      <x:c r="D326" s="43" t="str">
        <x:v>Crear controles de galería accesibles</x:v>
      </x:c>
      <x:c r="E326" s="43" t="str">
        <x:v>Operar fotos con botones además de gestos.</x:v>
      </x:c>
      <x:c r="F326" s="43" t="str">
        <x:v>Completado</x:v>
      </x:c>
      <x:c r="G326" s="44" t="n">
        <x:v>46287</x:v>
      </x:c>
      <x:c r="H326" s="44" t="n">
        <x:v>46295</x:v>
      </x:c>
      <x:c r="I326" s="45" t="n">
        <x:f>IF(OR(G326="",H326=""),"",SUMPRODUCT(('Cronograma'!$F$8:$P$8&lt;=H326)*('Cronograma'!$F$9:$P$9&gt;=G326)))</x:f>
        <x:v>1</x:v>
      </x:c>
      <x:c r="J326" s="46"/>
      <x:c r="K326" s="46"/>
      <x:c r="L326" s="47"/>
      <x:c r="M326" s="48" t="str"/>
      <x:c r="N326" s="48" t="str"/>
      <x:c r="O326" s="49" t="n">
        <x:v>46294</x:v>
      </x:c>
      <x:c r="P326" s="43" t="str">
        <x:v>Commit de integración y documentos</x:v>
      </x:c>
      <x:c r="Q326" s="43" t="str">
        <x:v>PRO01, PRO02</x:v>
      </x:c>
      <x:c r="R326" s="43" t="str"/>
      <x:c r="S326" s="43" t="str">
        <x:v>El reporte del rediseño no tiene fecha propia; el commit del 29 acredita integración.</x:v>
      </x:c>
      <x:c r="T326" s="43" t="str">
        <x:v>S058, S056, S059</x:v>
      </x:c>
      <x:c r="U326" s="43" t="str">
        <x:v>output/profile-redesign-progress.md
output/ux-permissions-progress.md
git:84f3151:lib/features/profile/presentation/profile_experience.dart</x:v>
      </x:c>
    </x:row>
    <x:row r="327" ht="44" customHeight="1">
      <x:c r="A327" s="42" t="str">
        <x:v>PRO03.013</x:v>
      </x:c>
      <x:c r="B327" s="42" t="str">
        <x:v>Rediseño de perfil, edición y configuración</x:v>
      </x:c>
      <x:c r="C327" s="42" t="str">
        <x:v>PRO03</x:v>
      </x:c>
      <x:c r="D327" s="43" t="str">
        <x:v>Corregir selectores con texto ampliado</x:v>
      </x:c>
      <x:c r="E327" s="43" t="str">
        <x:v>Permitir ancho adaptable y alturas variables.</x:v>
      </x:c>
      <x:c r="F327" s="43" t="str">
        <x:v>Completado</x:v>
      </x:c>
      <x:c r="G327" s="44" t="n">
        <x:v>46287</x:v>
      </x:c>
      <x:c r="H327" s="44" t="n">
        <x:v>46295</x:v>
      </x:c>
      <x:c r="I327" s="45" t="n">
        <x:f>IF(OR(G327="",H327=""),"",SUMPRODUCT(('Cronograma'!$F$8:$P$8&lt;=H327)*('Cronograma'!$F$9:$P$9&gt;=G327)))</x:f>
        <x:v>1</x:v>
      </x:c>
      <x:c r="J327" s="46"/>
      <x:c r="K327" s="46"/>
      <x:c r="L327" s="47"/>
      <x:c r="M327" s="48" t="str"/>
      <x:c r="N327" s="48" t="str"/>
      <x:c r="O327" s="49" t="n">
        <x:v>46294</x:v>
      </x:c>
      <x:c r="P327" s="43" t="str">
        <x:v>Commit de integración y documentos</x:v>
      </x:c>
      <x:c r="Q327" s="43" t="str">
        <x:v>PRO01, PRO02</x:v>
      </x:c>
      <x:c r="R327" s="43" t="str"/>
      <x:c r="S327" s="43" t="str">
        <x:v>El reporte del rediseño no tiene fecha propia; el commit del 29 acredita integración.</x:v>
      </x:c>
      <x:c r="T327" s="43" t="str">
        <x:v>S058, S056, S059</x:v>
      </x:c>
      <x:c r="U327" s="43" t="str">
        <x:v>output/profile-redesign-progress.md
output/ux-permissions-progress.md
git:84f3151:lib/features/profile/presentation/profile_experience.dart</x:v>
      </x:c>
    </x:row>
    <x:row r="328" ht="44" customHeight="1">
      <x:c r="A328" s="42" t="str">
        <x:v>PRO03.014</x:v>
      </x:c>
      <x:c r="B328" s="42" t="str">
        <x:v>Rediseño de perfil, edición y configuración</x:v>
      </x:c>
      <x:c r="C328" s="42" t="str">
        <x:v>PRO03</x:v>
      </x:c>
      <x:c r="D328" s="43" t="str">
        <x:v>Agregar regreso en enlaces directos</x:v>
      </x:c>
      <x:c r="E328" s="43" t="str">
        <x:v>Dar salida explícita a pantallas derivadas.</x:v>
      </x:c>
      <x:c r="F328" s="43" t="str">
        <x:v>Completado</x:v>
      </x:c>
      <x:c r="G328" s="44" t="n">
        <x:v>46287</x:v>
      </x:c>
      <x:c r="H328" s="44" t="n">
        <x:v>46295</x:v>
      </x:c>
      <x:c r="I328" s="45" t="n">
        <x:f>IF(OR(G328="",H328=""),"",SUMPRODUCT(('Cronograma'!$F$8:$P$8&lt;=H328)*('Cronograma'!$F$9:$P$9&gt;=G328)))</x:f>
        <x:v>1</x:v>
      </x:c>
      <x:c r="J328" s="46"/>
      <x:c r="K328" s="46"/>
      <x:c r="L328" s="47"/>
      <x:c r="M328" s="48" t="str"/>
      <x:c r="N328" s="48" t="str"/>
      <x:c r="O328" s="49" t="n">
        <x:v>46294</x:v>
      </x:c>
      <x:c r="P328" s="43" t="str">
        <x:v>Commit de integración y documentos</x:v>
      </x:c>
      <x:c r="Q328" s="43" t="str">
        <x:v>PRO01, PRO02</x:v>
      </x:c>
      <x:c r="R328" s="43" t="str"/>
      <x:c r="S328" s="43" t="str">
        <x:v>El reporte del rediseño no tiene fecha propia; el commit del 29 acredita integración.</x:v>
      </x:c>
      <x:c r="T328" s="43" t="str">
        <x:v>S058, S056, S059</x:v>
      </x:c>
      <x:c r="U328" s="43" t="str">
        <x:v>output/profile-redesign-progress.md
output/ux-permissions-progress.md
git:84f3151:lib/features/profile/presentation/profile_experience.dart</x:v>
      </x:c>
    </x:row>
    <x:row r="329" ht="44" customHeight="1">
      <x:c r="A329" s="42" t="str">
        <x:v>PRO03.015</x:v>
      </x:c>
      <x:c r="B329" s="42" t="str">
        <x:v>Rediseño de perfil, edición y configuración</x:v>
      </x:c>
      <x:c r="C329" s="42" t="str">
        <x:v>PRO03</x:v>
      </x:c>
      <x:c r="D329" s="43" t="str">
        <x:v>Verificar rediseño de perfil</x:v>
      </x:c>
      <x:c r="E329" s="43" t="str">
        <x:v>Reporte acredita 216 pruebas, análisis y build Web correctos.</x:v>
      </x:c>
      <x:c r="F329" s="43" t="str">
        <x:v>Completado</x:v>
      </x:c>
      <x:c r="G329" s="44" t="n">
        <x:v>46287</x:v>
      </x:c>
      <x:c r="H329" s="44" t="n">
        <x:v>46295</x:v>
      </x:c>
      <x:c r="I329" s="45" t="n">
        <x:f>IF(OR(G329="",H329=""),"",SUMPRODUCT(('Cronograma'!$F$8:$P$8&lt;=H329)*('Cronograma'!$F$9:$P$9&gt;=G329)))</x:f>
        <x:v>1</x:v>
      </x:c>
      <x:c r="J329" s="46"/>
      <x:c r="K329" s="46"/>
      <x:c r="L329" s="47"/>
      <x:c r="M329" s="48" t="str"/>
      <x:c r="N329" s="48" t="str"/>
      <x:c r="O329" s="49" t="n">
        <x:v>46294</x:v>
      </x:c>
      <x:c r="P329" s="43" t="str">
        <x:v>Commit de integración y documentos</x:v>
      </x:c>
      <x:c r="Q329" s="43" t="str">
        <x:v>PRO01, PRO02</x:v>
      </x:c>
      <x:c r="R329" s="43" t="str"/>
      <x:c r="S329" s="43" t="str">
        <x:v>El reporte del rediseño no tiene fecha propia; el commit del 29 acredita integración.</x:v>
      </x:c>
      <x:c r="T329" s="43" t="str">
        <x:v>S058, S056, S059</x:v>
      </x:c>
      <x:c r="U329" s="43" t="str">
        <x:v>output/profile-redesign-progress.md
output/ux-permissions-progress.md
git:84f3151:lib/features/profile/presentation/profile_experience.dart</x:v>
      </x:c>
    </x:row>
    <x:row r="330" ht="44" customHeight="1">
      <x:c r="A330" s="42" t="str">
        <x:v>PRO03.016</x:v>
      </x:c>
      <x:c r="B330" s="42" t="str">
        <x:v>Rediseño de perfil, edición y configuración</x:v>
      </x:c>
      <x:c r="C330" s="42" t="str">
        <x:v>PRO03</x:v>
      </x:c>
      <x:c r="D330" s="43" t="str">
        <x:v>Inspeccionar diez vistas de perfil en navegador</x:v>
      </x:c>
      <x:c r="E330" s="43" t="str">
        <x:v>Revisar móvil, escritorio, seguridad, perfil público y fichas.</x:v>
      </x:c>
      <x:c r="F330" s="43" t="str">
        <x:v>Completado</x:v>
      </x:c>
      <x:c r="G330" s="44" t="n">
        <x:v>46287</x:v>
      </x:c>
      <x:c r="H330" s="44" t="n">
        <x:v>46295</x:v>
      </x:c>
      <x:c r="I330" s="45" t="n">
        <x:f>IF(OR(G330="",H330=""),"",SUMPRODUCT(('Cronograma'!$F$8:$P$8&lt;=H330)*('Cronograma'!$F$9:$P$9&gt;=G330)))</x:f>
        <x:v>1</x:v>
      </x:c>
      <x:c r="J330" s="46"/>
      <x:c r="K330" s="46"/>
      <x:c r="L330" s="47"/>
      <x:c r="M330" s="48" t="str"/>
      <x:c r="N330" s="48" t="str"/>
      <x:c r="O330" s="49" t="n">
        <x:v>46294</x:v>
      </x:c>
      <x:c r="P330" s="43" t="str">
        <x:v>Commit de integración y documentos</x:v>
      </x:c>
      <x:c r="Q330" s="43" t="str">
        <x:v>PRO01, PRO02</x:v>
      </x:c>
      <x:c r="R330" s="43" t="str"/>
      <x:c r="S330" s="43" t="str">
        <x:v>El reporte del rediseño no tiene fecha propia; el commit del 29 acredita integración.</x:v>
      </x:c>
      <x:c r="T330" s="43" t="str">
        <x:v>S058, S056, S059</x:v>
      </x:c>
      <x:c r="U330" s="43" t="str">
        <x:v>output/profile-redesign-progress.md
output/ux-permissions-progress.md
git:84f3151:lib/features/profile/presentation/profile_experience.dart</x:v>
      </x:c>
    </x:row>
    <x:row r="331" ht="44" customHeight="1">
      <x:c r="A331" s="42" t="str">
        <x:v>DIS01.001</x:v>
      </x:c>
      <x:c r="B331" s="42" t="str">
        <x:v>Evolución visual y propuestas sustituidas</x:v>
      </x:c>
      <x:c r="C331" s="42" t="str">
        <x:v>DIS01</x:v>
      </x:c>
      <x:c r="D331" s="43" t="str">
        <x:v>Explorar composición híbrida de Inicio</x:v>
      </x:c>
      <x:c r="E331" s="43" t="str">
        <x:v>Conservar prompt local como antecedente, sin acreditar implementación.</x:v>
      </x:c>
      <x:c r="F331" s="43" t="str">
        <x:v>Sustituido</x:v>
      </x:c>
      <x:c r="G331" s="44" t="n">
        <x:v>46287</x:v>
      </x:c>
      <x:c r="H331" s="44" t="n">
        <x:v>46295</x:v>
      </x:c>
      <x:c r="I331" s="45" t="n">
        <x:f>IF(OR(G331="",H331=""),"",SUMPRODUCT(('Cronograma'!$F$8:$P$8&lt;=H331)*('Cronograma'!$F$9:$P$9&gt;=G331)))</x:f>
        <x:v>1</x:v>
      </x:c>
      <x:c r="J331" s="46"/>
      <x:c r="K331" s="46"/>
      <x:c r="L331" s="47"/>
      <x:c r="M331" s="48" t="str"/>
      <x:c r="N331" s="48" t="str"/>
      <x:c r="O331" s="49"/>
      <x:c r="P331" s="43" t="str">
        <x:v>Archivo sin fecha individual explícita</x:v>
      </x:c>
      <x:c r="Q331" s="43" t="str">
        <x:v>MVP02, COM01</x:v>
      </x:c>
      <x:c r="R331" s="43" t="str">
        <x:v>Propuesta conservada como antecedente; no representa la interfaz vigente.</x:v>
      </x:c>
      <x:c r="S331" s="43" t="str">
        <x:v>Las propuestas son entregables de diseño, no funciones probadas. Los prompts iniciales carecen de fecha propia; el 29 acredita conservación/integración de antecedentes.</x:v>
      </x:c>
      <x:c r="T331" s="43" t="str">
        <x:v>S060</x:v>
      </x:c>
      <x:c r="U331" s="43" t="str">
        <x:v>output/imagegen/marea-home-hybrid.prompt.txt</x:v>
      </x:c>
    </x:row>
    <x:row r="332" ht="44" customHeight="1">
      <x:c r="A332" s="42" t="str">
        <x:v>DIS01.002</x:v>
      </x:c>
      <x:c r="B332" s="42" t="str">
        <x:v>Evolución visual y propuestas sustituidas</x:v>
      </x:c>
      <x:c r="C332" s="42" t="str">
        <x:v>DIS01</x:v>
      </x:c>
      <x:c r="D332" s="43" t="str">
        <x:v>Explorar composición editorial v2</x:v>
      </x:c>
      <x:c r="E332" s="43" t="str">
        <x:v>Conservar prompt local previo al diseño social v3.</x:v>
      </x:c>
      <x:c r="F332" s="43" t="str">
        <x:v>Sustituido</x:v>
      </x:c>
      <x:c r="G332" s="44" t="n">
        <x:v>46287</x:v>
      </x:c>
      <x:c r="H332" s="44" t="n">
        <x:v>46295</x:v>
      </x:c>
      <x:c r="I332" s="45" t="n">
        <x:f>IF(OR(G332="",H332=""),"",SUMPRODUCT(('Cronograma'!$F$8:$P$8&lt;=H332)*('Cronograma'!$F$9:$P$9&gt;=G332)))</x:f>
        <x:v>1</x:v>
      </x:c>
      <x:c r="J332" s="46"/>
      <x:c r="K332" s="46"/>
      <x:c r="L332" s="47"/>
      <x:c r="M332" s="48" t="str"/>
      <x:c r="N332" s="48" t="str"/>
      <x:c r="O332" s="49"/>
      <x:c r="P332" s="43" t="str">
        <x:v>Archivo sin fecha individual explícita</x:v>
      </x:c>
      <x:c r="Q332" s="43" t="str">
        <x:v>MVP02, COM01</x:v>
      </x:c>
      <x:c r="R332" s="43" t="str">
        <x:v>Propuesta conservada como antecedente; no representa la interfaz vigente.</x:v>
      </x:c>
      <x:c r="S332" s="43" t="str">
        <x:v>Las propuestas son entregables de diseño, no funciones probadas. Los prompts iniciales carecen de fecha propia; el 29 acredita conservación/integración de antecedentes.</x:v>
      </x:c>
      <x:c r="T332" s="43" t="str">
        <x:v>S061</x:v>
      </x:c>
      <x:c r="U332" s="43" t="str">
        <x:v>output/imagegen/marea-home-editorial-v2.prompt.txt</x:v>
      </x:c>
    </x:row>
    <x:row r="333" ht="68" customHeight="1">
      <x:c r="A333" s="42" t="str">
        <x:v>DIS01.003</x:v>
      </x:c>
      <x:c r="B333" s="42" t="str">
        <x:v>Evolución visual y propuestas sustituidas</x:v>
      </x:c>
      <x:c r="C333" s="42" t="str">
        <x:v>DIS01</x:v>
      </x:c>
      <x:c r="D333" s="43" t="str">
        <x:v>Diseñar unidad social v3</x:v>
      </x:c>
      <x:c r="E333" s="43" t="str">
        <x:v>Definir foto, texto, autor, reacciones y participación.</x:v>
      </x:c>
      <x:c r="F333" s="43" t="str">
        <x:v>Sustituido</x:v>
      </x:c>
      <x:c r="G333" s="44" t="n">
        <x:v>46287</x:v>
      </x:c>
      <x:c r="H333" s="44" t="n">
        <x:v>46295</x:v>
      </x:c>
      <x:c r="I333" s="45" t="n">
        <x:f>IF(OR(G333="",H333=""),"",SUMPRODUCT(('Cronograma'!$F$8:$P$8&lt;=H333)*('Cronograma'!$F$9:$P$9&gt;=G333)))</x:f>
        <x:v>1</x:v>
      </x:c>
      <x:c r="J333" s="46"/>
      <x:c r="K333" s="46"/>
      <x:c r="L333" s="47"/>
      <x:c r="M333" s="48" t="str"/>
      <x:c r="N333" s="48" t="str"/>
      <x:c r="O333" s="49" t="n">
        <x:v>46294</x:v>
      </x:c>
      <x:c r="P333" s="43" t="str">
        <x:v>Reporte fechado y código asociado</x:v>
      </x:c>
      <x:c r="Q333" s="43" t="str">
        <x:v>MVP02, COM01</x:v>
      </x:c>
      <x:c r="R333" s="43" t="str">
        <x:v>Propuesta conservada como antecedente; no representa la interfaz vigente.</x:v>
      </x:c>
      <x:c r="S333" s="43" t="str">
        <x:v>Las propuestas son entregables de diseño, no funciones probadas. Los prompts iniciales carecen de fecha propia; el 29 acredita conservación/integración de antecedentes.</x:v>
      </x:c>
      <x:c r="T333" s="43" t="str">
        <x:v>S062, S063, S064, S065, S066</x:v>
      </x:c>
      <x:c r="U333" s="43" t="str">
        <x:v>docs/home-social-ui-v3.md
docs/home-vertical-ui-v4.md
docs/home-brand-ui-v5.md
docs/home-final-ui-v6.md
docs/design-experiments/README.md</x:v>
      </x:c>
    </x:row>
    <x:row r="334" ht="68" customHeight="1">
      <x:c r="A334" s="42" t="str">
        <x:v>DIS01.004</x:v>
      </x:c>
      <x:c r="B334" s="42" t="str">
        <x:v>Evolución visual y propuestas sustituidas</x:v>
      </x:c>
      <x:c r="C334" s="42" t="str">
        <x:v>DIS01</x:v>
      </x:c>
      <x:c r="D334" s="43" t="str">
        <x:v>Diseñar acciones y estados sociales v3</x:v>
      </x:c>
      <x:c r="E334" s="43" t="str">
        <x:v>Definir guardados, actividad, errores y reintentos.</x:v>
      </x:c>
      <x:c r="F334" s="43" t="str">
        <x:v>Sustituido</x:v>
      </x:c>
      <x:c r="G334" s="44" t="n">
        <x:v>46287</x:v>
      </x:c>
      <x:c r="H334" s="44" t="n">
        <x:v>46295</x:v>
      </x:c>
      <x:c r="I334" s="45" t="n">
        <x:f>IF(OR(G334="",H334=""),"",SUMPRODUCT(('Cronograma'!$F$8:$P$8&lt;=H334)*('Cronograma'!$F$9:$P$9&gt;=G334)))</x:f>
        <x:v>1</x:v>
      </x:c>
      <x:c r="J334" s="46"/>
      <x:c r="K334" s="46"/>
      <x:c r="L334" s="47"/>
      <x:c r="M334" s="48" t="str"/>
      <x:c r="N334" s="48" t="str"/>
      <x:c r="O334" s="49" t="n">
        <x:v>46294</x:v>
      </x:c>
      <x:c r="P334" s="43" t="str">
        <x:v>Reporte fechado y código asociado</x:v>
      </x:c>
      <x:c r="Q334" s="43" t="str">
        <x:v>MVP02, COM01</x:v>
      </x:c>
      <x:c r="R334" s="43" t="str">
        <x:v>Propuesta conservada como antecedente; no representa la interfaz vigente.</x:v>
      </x:c>
      <x:c r="S334" s="43" t="str">
        <x:v>Las propuestas son entregables de diseño, no funciones probadas. Los prompts iniciales carecen de fecha propia; el 29 acredita conservación/integración de antecedentes.</x:v>
      </x:c>
      <x:c r="T334" s="43" t="str">
        <x:v>S062, S063, S064, S065, S066</x:v>
      </x:c>
      <x:c r="U334" s="43" t="str">
        <x:v>docs/home-social-ui-v3.md
docs/home-vertical-ui-v4.md
docs/home-brand-ui-v5.md
docs/home-final-ui-v6.md
docs/design-experiments/README.md</x:v>
      </x:c>
    </x:row>
    <x:row r="335" ht="68" customHeight="1">
      <x:c r="A335" s="42" t="str">
        <x:v>DIS01.005</x:v>
      </x:c>
      <x:c r="B335" s="42" t="str">
        <x:v>Evolución visual y propuestas sustituidas</x:v>
      </x:c>
      <x:c r="C335" s="42" t="str">
        <x:v>DIS01</x:v>
      </x:c>
      <x:c r="D335" s="43" t="str">
        <x:v>Diseñar post vertical v4</x:v>
      </x:c>
      <x:c r="E335" s="43" t="str">
        <x:v>Reordenar lectura y fotografía dentro de una unidad.</x:v>
      </x:c>
      <x:c r="F335" s="43" t="str">
        <x:v>Sustituido</x:v>
      </x:c>
      <x:c r="G335" s="44" t="n">
        <x:v>46287</x:v>
      </x:c>
      <x:c r="H335" s="44" t="n">
        <x:v>46295</x:v>
      </x:c>
      <x:c r="I335" s="45" t="n">
        <x:f>IF(OR(G335="",H335=""),"",SUMPRODUCT(('Cronograma'!$F$8:$P$8&lt;=H335)*('Cronograma'!$F$9:$P$9&gt;=G335)))</x:f>
        <x:v>1</x:v>
      </x:c>
      <x:c r="J335" s="46"/>
      <x:c r="K335" s="46"/>
      <x:c r="L335" s="47"/>
      <x:c r="M335" s="48" t="str"/>
      <x:c r="N335" s="48" t="str"/>
      <x:c r="O335" s="49" t="n">
        <x:v>46294</x:v>
      </x:c>
      <x:c r="P335" s="43" t="str">
        <x:v>Reporte fechado y código asociado</x:v>
      </x:c>
      <x:c r="Q335" s="43" t="str">
        <x:v>MVP02, COM01</x:v>
      </x:c>
      <x:c r="R335" s="43" t="str">
        <x:v>Propuesta conservada como antecedente; no representa la interfaz vigente.</x:v>
      </x:c>
      <x:c r="S335" s="43" t="str">
        <x:v>Las propuestas son entregables de diseño, no funciones probadas. Los prompts iniciales carecen de fecha propia; el 29 acredita conservación/integración de antecedentes.</x:v>
      </x:c>
      <x:c r="T335" s="43" t="str">
        <x:v>S062, S063, S064, S065, S066</x:v>
      </x:c>
      <x:c r="U335" s="43" t="str">
        <x:v>docs/home-social-ui-v3.md
docs/home-vertical-ui-v4.md
docs/home-brand-ui-v5.md
docs/home-final-ui-v6.md
docs/design-experiments/README.md</x:v>
      </x:c>
    </x:row>
    <x:row r="336" ht="68" customHeight="1">
      <x:c r="A336" s="42" t="str">
        <x:v>DIS01.006</x:v>
      </x:c>
      <x:c r="B336" s="42" t="str">
        <x:v>Evolución visual y propuestas sustituidas</x:v>
      </x:c>
      <x:c r="C336" s="42" t="str">
        <x:v>DIS01</x:v>
      </x:c>
      <x:c r="D336" s="43" t="str">
        <x:v>Diseñar adaptación móvil y web v4</x:v>
      </x:c>
      <x:c r="E336" s="43" t="str">
        <x:v>Mantener límites y comportamiento por superficie.</x:v>
      </x:c>
      <x:c r="F336" s="43" t="str">
        <x:v>Sustituido</x:v>
      </x:c>
      <x:c r="G336" s="44" t="n">
        <x:v>46287</x:v>
      </x:c>
      <x:c r="H336" s="44" t="n">
        <x:v>46295</x:v>
      </x:c>
      <x:c r="I336" s="45" t="n">
        <x:f>IF(OR(G336="",H336=""),"",SUMPRODUCT(('Cronograma'!$F$8:$P$8&lt;=H336)*('Cronograma'!$F$9:$P$9&gt;=G336)))</x:f>
        <x:v>1</x:v>
      </x:c>
      <x:c r="J336" s="46"/>
      <x:c r="K336" s="46"/>
      <x:c r="L336" s="47"/>
      <x:c r="M336" s="48" t="str"/>
      <x:c r="N336" s="48" t="str"/>
      <x:c r="O336" s="49" t="n">
        <x:v>46294</x:v>
      </x:c>
      <x:c r="P336" s="43" t="str">
        <x:v>Reporte fechado y código asociado</x:v>
      </x:c>
      <x:c r="Q336" s="43" t="str">
        <x:v>MVP02, COM01</x:v>
      </x:c>
      <x:c r="R336" s="43" t="str">
        <x:v>Propuesta conservada como antecedente; no representa la interfaz vigente.</x:v>
      </x:c>
      <x:c r="S336" s="43" t="str">
        <x:v>Las propuestas son entregables de diseño, no funciones probadas. Los prompts iniciales carecen de fecha propia; el 29 acredita conservación/integración de antecedentes.</x:v>
      </x:c>
      <x:c r="T336" s="43" t="str">
        <x:v>S062, S063, S064, S065, S066</x:v>
      </x:c>
      <x:c r="U336" s="43" t="str">
        <x:v>docs/home-social-ui-v3.md
docs/home-vertical-ui-v4.md
docs/home-brand-ui-v5.md
docs/home-final-ui-v6.md
docs/design-experiments/README.md</x:v>
      </x:c>
    </x:row>
    <x:row r="337" ht="68" customHeight="1">
      <x:c r="A337" s="42" t="str">
        <x:v>DIS01.007</x:v>
      </x:c>
      <x:c r="B337" s="42" t="str">
        <x:v>Evolución visual y propuestas sustituidas</x:v>
      </x:c>
      <x:c r="C337" s="42" t="str">
        <x:v>DIS01</x:v>
      </x:c>
      <x:c r="D337" s="43" t="str">
        <x:v>Diseñar cabecera con marca v5</x:v>
      </x:c>
      <x:c r="E337" s="43" t="str">
        <x:v>Usar originales oficiales como referencia de colocación.</x:v>
      </x:c>
      <x:c r="F337" s="43" t="str">
        <x:v>Sustituido</x:v>
      </x:c>
      <x:c r="G337" s="44" t="n">
        <x:v>46287</x:v>
      </x:c>
      <x:c r="H337" s="44" t="n">
        <x:v>46295</x:v>
      </x:c>
      <x:c r="I337" s="45" t="n">
        <x:f>IF(OR(G337="",H337=""),"",SUMPRODUCT(('Cronograma'!$F$8:$P$8&lt;=H337)*('Cronograma'!$F$9:$P$9&gt;=G337)))</x:f>
        <x:v>1</x:v>
      </x:c>
      <x:c r="J337" s="46"/>
      <x:c r="K337" s="46"/>
      <x:c r="L337" s="47"/>
      <x:c r="M337" s="48" t="str"/>
      <x:c r="N337" s="48" t="str"/>
      <x:c r="O337" s="49" t="n">
        <x:v>46294</x:v>
      </x:c>
      <x:c r="P337" s="43" t="str">
        <x:v>Reporte fechado y código asociado</x:v>
      </x:c>
      <x:c r="Q337" s="43" t="str">
        <x:v>MVP02, COM01</x:v>
      </x:c>
      <x:c r="R337" s="43" t="str">
        <x:v>Propuesta conservada como antecedente; no representa la interfaz vigente.</x:v>
      </x:c>
      <x:c r="S337" s="43" t="str">
        <x:v>Las propuestas son entregables de diseño, no funciones probadas. Los prompts iniciales carecen de fecha propia; el 29 acredita conservación/integración de antecedentes.</x:v>
      </x:c>
      <x:c r="T337" s="43" t="str">
        <x:v>S062, S063, S064, S065, S066</x:v>
      </x:c>
      <x:c r="U337" s="43" t="str">
        <x:v>docs/home-social-ui-v3.md
docs/home-vertical-ui-v4.md
docs/home-brand-ui-v5.md
docs/home-final-ui-v6.md
docs/design-experiments/README.md</x:v>
      </x:c>
    </x:row>
    <x:row r="338" ht="68" customHeight="1">
      <x:c r="A338" s="42" t="str">
        <x:v>DIS01.008</x:v>
      </x:c>
      <x:c r="B338" s="42" t="str">
        <x:v>Evolución visual y propuestas sustituidas</x:v>
      </x:c>
      <x:c r="C338" s="42" t="str">
        <x:v>DIS01</x:v>
      </x:c>
      <x:c r="D338" s="43" t="str">
        <x:v>Diseñar distribución de escritorio v5</x:v>
      </x:c>
      <x:c r="E338" s="43" t="str">
        <x:v>Revisar composición de cabecera y contenido.</x:v>
      </x:c>
      <x:c r="F338" s="43" t="str">
        <x:v>Sustituido</x:v>
      </x:c>
      <x:c r="G338" s="44" t="n">
        <x:v>46287</x:v>
      </x:c>
      <x:c r="H338" s="44" t="n">
        <x:v>46295</x:v>
      </x:c>
      <x:c r="I338" s="45" t="n">
        <x:f>IF(OR(G338="",H338=""),"",SUMPRODUCT(('Cronograma'!$F$8:$P$8&lt;=H338)*('Cronograma'!$F$9:$P$9&gt;=G338)))</x:f>
        <x:v>1</x:v>
      </x:c>
      <x:c r="J338" s="46"/>
      <x:c r="K338" s="46"/>
      <x:c r="L338" s="47"/>
      <x:c r="M338" s="48" t="str"/>
      <x:c r="N338" s="48" t="str"/>
      <x:c r="O338" s="49" t="n">
        <x:v>46294</x:v>
      </x:c>
      <x:c r="P338" s="43" t="str">
        <x:v>Reporte fechado y código asociado</x:v>
      </x:c>
      <x:c r="Q338" s="43" t="str">
        <x:v>MVP02, COM01</x:v>
      </x:c>
      <x:c r="R338" s="43" t="str">
        <x:v>Propuesta conservada como antecedente; no representa la interfaz vigente.</x:v>
      </x:c>
      <x:c r="S338" s="43" t="str">
        <x:v>Las propuestas son entregables de diseño, no funciones probadas. Los prompts iniciales carecen de fecha propia; el 29 acredita conservación/integración de antecedentes.</x:v>
      </x:c>
      <x:c r="T338" s="43" t="str">
        <x:v>S062, S063, S064, S065, S066</x:v>
      </x:c>
      <x:c r="U338" s="43" t="str">
        <x:v>docs/home-social-ui-v3.md
docs/home-vertical-ui-v4.md
docs/home-brand-ui-v5.md
docs/home-final-ui-v6.md
docs/design-experiments/README.md</x:v>
      </x:c>
    </x:row>
    <x:row r="339" ht="68" customHeight="1">
      <x:c r="A339" s="42" t="str">
        <x:v>DIS01.009</x:v>
      </x:c>
      <x:c r="B339" s="42" t="str">
        <x:v>Evolución visual y propuestas sustituidas</x:v>
      </x:c>
      <x:c r="C339" s="42" t="str">
        <x:v>DIS01</x:v>
      </x:c>
      <x:c r="D339" s="43" t="str">
        <x:v>Diseñar Buscar y Actividad v5</x:v>
      </x:c>
      <x:c r="E339" s="43" t="str">
        <x:v>Definir acceso y estados de estos paneles.</x:v>
      </x:c>
      <x:c r="F339" s="43" t="str">
        <x:v>Sustituido</x:v>
      </x:c>
      <x:c r="G339" s="44" t="n">
        <x:v>46287</x:v>
      </x:c>
      <x:c r="H339" s="44" t="n">
        <x:v>46295</x:v>
      </x:c>
      <x:c r="I339" s="45" t="n">
        <x:f>IF(OR(G339="",H339=""),"",SUMPRODUCT(('Cronograma'!$F$8:$P$8&lt;=H339)*('Cronograma'!$F$9:$P$9&gt;=G339)))</x:f>
        <x:v>1</x:v>
      </x:c>
      <x:c r="J339" s="46"/>
      <x:c r="K339" s="46"/>
      <x:c r="L339" s="47"/>
      <x:c r="M339" s="48" t="str"/>
      <x:c r="N339" s="48" t="str"/>
      <x:c r="O339" s="49" t="n">
        <x:v>46294</x:v>
      </x:c>
      <x:c r="P339" s="43" t="str">
        <x:v>Reporte fechado y código asociado</x:v>
      </x:c>
      <x:c r="Q339" s="43" t="str">
        <x:v>MVP02, COM01</x:v>
      </x:c>
      <x:c r="R339" s="43" t="str">
        <x:v>Propuesta conservada como antecedente; no representa la interfaz vigente.</x:v>
      </x:c>
      <x:c r="S339" s="43" t="str">
        <x:v>Las propuestas son entregables de diseño, no funciones probadas. Los prompts iniciales carecen de fecha propia; el 29 acredita conservación/integración de antecedentes.</x:v>
      </x:c>
      <x:c r="T339" s="43" t="str">
        <x:v>S062, S063, S064, S065, S066</x:v>
      </x:c>
      <x:c r="U339" s="43" t="str">
        <x:v>docs/home-social-ui-v3.md
docs/home-vertical-ui-v4.md
docs/home-brand-ui-v5.md
docs/home-final-ui-v6.md
docs/design-experiments/README.md</x:v>
      </x:c>
    </x:row>
    <x:row r="340" ht="68" customHeight="1">
      <x:c r="A340" s="42" t="str">
        <x:v>DIS01.010</x:v>
      </x:c>
      <x:c r="B340" s="42" t="str">
        <x:v>Evolución visual y propuestas sustituidas</x:v>
      </x:c>
      <x:c r="C340" s="42" t="str">
        <x:v>DIS01</x:v>
      </x:c>
      <x:c r="D340" s="43" t="str">
        <x:v>Diseñar cabeceras definitivas v6</x:v>
      </x:c>
      <x:c r="E340" s="43" t="str">
        <x:v>Separar marca, guardados, notificaciones y Crear.</x:v>
      </x:c>
      <x:c r="F340" s="43" t="str">
        <x:v>Sustituido</x:v>
      </x:c>
      <x:c r="G340" s="44" t="n">
        <x:v>46287</x:v>
      </x:c>
      <x:c r="H340" s="44" t="n">
        <x:v>46295</x:v>
      </x:c>
      <x:c r="I340" s="45" t="n">
        <x:f>IF(OR(G340="",H340=""),"",SUMPRODUCT(('Cronograma'!$F$8:$P$8&lt;=H340)*('Cronograma'!$F$9:$P$9&gt;=G340)))</x:f>
        <x:v>1</x:v>
      </x:c>
      <x:c r="J340" s="46"/>
      <x:c r="K340" s="46"/>
      <x:c r="L340" s="47"/>
      <x:c r="M340" s="48" t="str"/>
      <x:c r="N340" s="48" t="str"/>
      <x:c r="O340" s="49" t="n">
        <x:v>46294</x:v>
      </x:c>
      <x:c r="P340" s="43" t="str">
        <x:v>Reporte fechado y código asociado</x:v>
      </x:c>
      <x:c r="Q340" s="43" t="str">
        <x:v>MVP02, COM01</x:v>
      </x:c>
      <x:c r="R340" s="43" t="str">
        <x:v>Propuesta conservada como antecedente; no representa la interfaz vigente.</x:v>
      </x:c>
      <x:c r="S340" s="43" t="str">
        <x:v>Las propuestas son entregables de diseño, no funciones probadas. Los prompts iniciales carecen de fecha propia; el 29 acredita conservación/integración de antecedentes.</x:v>
      </x:c>
      <x:c r="T340" s="43" t="str">
        <x:v>S062, S063, S064, S065, S066</x:v>
      </x:c>
      <x:c r="U340" s="43" t="str">
        <x:v>docs/home-social-ui-v3.md
docs/home-vertical-ui-v4.md
docs/home-brand-ui-v5.md
docs/home-final-ui-v6.md
docs/design-experiments/README.md</x:v>
      </x:c>
    </x:row>
    <x:row r="341" ht="68" customHeight="1">
      <x:c r="A341" s="42" t="str">
        <x:v>DIS01.011</x:v>
      </x:c>
      <x:c r="B341" s="42" t="str">
        <x:v>Evolución visual y propuestas sustituidas</x:v>
      </x:c>
      <x:c r="C341" s="42" t="str">
        <x:v>DIS01</x:v>
      </x:c>
      <x:c r="D341" s="43" t="str">
        <x:v>Diseñar colección de Guardados v6</x:v>
      </x:c>
      <x:c r="E341" s="43" t="str">
        <x:v>Distinguir colección de un panel de actividad.</x:v>
      </x:c>
      <x:c r="F341" s="43" t="str">
        <x:v>Sustituido</x:v>
      </x:c>
      <x:c r="G341" s="44" t="n">
        <x:v>46287</x:v>
      </x:c>
      <x:c r="H341" s="44" t="n">
        <x:v>46295</x:v>
      </x:c>
      <x:c r="I341" s="45" t="n">
        <x:f>IF(OR(G341="",H341=""),"",SUMPRODUCT(('Cronograma'!$F$8:$P$8&lt;=H341)*('Cronograma'!$F$9:$P$9&gt;=G341)))</x:f>
        <x:v>1</x:v>
      </x:c>
      <x:c r="J341" s="46"/>
      <x:c r="K341" s="46"/>
      <x:c r="L341" s="47"/>
      <x:c r="M341" s="48" t="str"/>
      <x:c r="N341" s="48" t="str"/>
      <x:c r="O341" s="49" t="n">
        <x:v>46294</x:v>
      </x:c>
      <x:c r="P341" s="43" t="str">
        <x:v>Reporte fechado y código asociado</x:v>
      </x:c>
      <x:c r="Q341" s="43" t="str">
        <x:v>MVP02, COM01</x:v>
      </x:c>
      <x:c r="R341" s="43" t="str">
        <x:v>Propuesta conservada como antecedente; no representa la interfaz vigente.</x:v>
      </x:c>
      <x:c r="S341" s="43" t="str">
        <x:v>Las propuestas son entregables de diseño, no funciones probadas. Los prompts iniciales carecen de fecha propia; el 29 acredita conservación/integración de antecedentes.</x:v>
      </x:c>
      <x:c r="T341" s="43" t="str">
        <x:v>S062, S063, S064, S065, S066</x:v>
      </x:c>
      <x:c r="U341" s="43" t="str">
        <x:v>docs/home-social-ui-v3.md
docs/home-vertical-ui-v4.md
docs/home-brand-ui-v5.md
docs/home-final-ui-v6.md
docs/design-experiments/README.md</x:v>
      </x:c>
    </x:row>
    <x:row r="342" ht="68" customHeight="1">
      <x:c r="A342" s="42" t="str">
        <x:v>DIS01.012</x:v>
      </x:c>
      <x:c r="B342" s="42" t="str">
        <x:v>Evolución visual y propuestas sustituidas</x:v>
      </x:c>
      <x:c r="C342" s="42" t="str">
        <x:v>DIS01</x:v>
      </x:c>
      <x:c r="D342" s="43" t="str">
        <x:v>Diseñar Notificaciones v6</x:v>
      </x:c>
      <x:c r="E342" s="43" t="str">
        <x:v>Definir filtros y marcado de lectura al abrir destino.</x:v>
      </x:c>
      <x:c r="F342" s="43" t="str">
        <x:v>Sustituido</x:v>
      </x:c>
      <x:c r="G342" s="44" t="n">
        <x:v>46287</x:v>
      </x:c>
      <x:c r="H342" s="44" t="n">
        <x:v>46295</x:v>
      </x:c>
      <x:c r="I342" s="45" t="n">
        <x:f>IF(OR(G342="",H342=""),"",SUMPRODUCT(('Cronograma'!$F$8:$P$8&lt;=H342)*('Cronograma'!$F$9:$P$9&gt;=G342)))</x:f>
        <x:v>1</x:v>
      </x:c>
      <x:c r="J342" s="46"/>
      <x:c r="K342" s="46"/>
      <x:c r="L342" s="47"/>
      <x:c r="M342" s="48" t="str"/>
      <x:c r="N342" s="48" t="str"/>
      <x:c r="O342" s="49" t="n">
        <x:v>46294</x:v>
      </x:c>
      <x:c r="P342" s="43" t="str">
        <x:v>Reporte fechado y código asociado</x:v>
      </x:c>
      <x:c r="Q342" s="43" t="str">
        <x:v>MVP02, COM01</x:v>
      </x:c>
      <x:c r="R342" s="43" t="str">
        <x:v>Propuesta conservada como antecedente; no representa la interfaz vigente.</x:v>
      </x:c>
      <x:c r="S342" s="43" t="str">
        <x:v>Las propuestas son entregables de diseño, no funciones probadas. Los prompts iniciales carecen de fecha propia; el 29 acredita conservación/integración de antecedentes.</x:v>
      </x:c>
      <x:c r="T342" s="43" t="str">
        <x:v>S062, S063, S064, S065, S066</x:v>
      </x:c>
      <x:c r="U342" s="43" t="str">
        <x:v>docs/home-social-ui-v3.md
docs/home-vertical-ui-v4.md
docs/home-brand-ui-v5.md
docs/home-final-ui-v6.md
docs/design-experiments/README.md</x:v>
      </x:c>
    </x:row>
    <x:row r="343" ht="68" customHeight="1">
      <x:c r="A343" s="42" t="str">
        <x:v>DIS01.013</x:v>
      </x:c>
      <x:c r="B343" s="42" t="str">
        <x:v>Evolución visual y propuestas sustituidas</x:v>
      </x:c>
      <x:c r="C343" s="42" t="str">
        <x:v>DIS01</x:v>
      </x:c>
      <x:c r="D343" s="43" t="str">
        <x:v>Retirar visor independiente de foto en v6</x:v>
      </x:c>
      <x:c r="E343" s="43" t="str">
        <x:v>Conservar lectura y expansión dentro del post.</x:v>
      </x:c>
      <x:c r="F343" s="43" t="str">
        <x:v>Sustituido</x:v>
      </x:c>
      <x:c r="G343" s="44" t="n">
        <x:v>46287</x:v>
      </x:c>
      <x:c r="H343" s="44" t="n">
        <x:v>46295</x:v>
      </x:c>
      <x:c r="I343" s="45" t="n">
        <x:f>IF(OR(G343="",H343=""),"",SUMPRODUCT(('Cronograma'!$F$8:$P$8&lt;=H343)*('Cronograma'!$F$9:$P$9&gt;=G343)))</x:f>
        <x:v>1</x:v>
      </x:c>
      <x:c r="J343" s="46"/>
      <x:c r="K343" s="46"/>
      <x:c r="L343" s="47"/>
      <x:c r="M343" s="48" t="str"/>
      <x:c r="N343" s="48" t="str"/>
      <x:c r="O343" s="49" t="n">
        <x:v>46294</x:v>
      </x:c>
      <x:c r="P343" s="43" t="str">
        <x:v>Reporte fechado y código asociado</x:v>
      </x:c>
      <x:c r="Q343" s="43" t="str">
        <x:v>MVP02, COM01</x:v>
      </x:c>
      <x:c r="R343" s="43" t="str">
        <x:v>Propuesta conservada como antecedente; no representa la interfaz vigente.</x:v>
      </x:c>
      <x:c r="S343" s="43" t="str">
        <x:v>Las propuestas son entregables de diseño, no funciones probadas. Los prompts iniciales carecen de fecha propia; el 29 acredita conservación/integración de antecedentes.</x:v>
      </x:c>
      <x:c r="T343" s="43" t="str">
        <x:v>S062, S063, S064, S065, S066</x:v>
      </x:c>
      <x:c r="U343" s="43" t="str">
        <x:v>docs/home-social-ui-v3.md
docs/home-vertical-ui-v4.md
docs/home-brand-ui-v5.md
docs/home-final-ui-v6.md
docs/design-experiments/README.md</x:v>
      </x:c>
    </x:row>
    <x:row r="344" ht="68" customHeight="1">
      <x:c r="A344" s="42" t="str">
        <x:v>DIS01.014</x:v>
      </x:c>
      <x:c r="B344" s="42" t="str">
        <x:v>Evolución visual y propuestas sustituidas</x:v>
      </x:c>
      <x:c r="C344" s="42" t="str">
        <x:v>DIS01</x:v>
      </x:c>
      <x:c r="D344" s="43" t="str">
        <x:v>Corregir láminas v6</x:v>
      </x:c>
      <x:c r="E344" s="43" t="str">
        <x:v>Revisar dock, Crear web, Ver más y etiquetas de guardados.</x:v>
      </x:c>
      <x:c r="F344" s="43" t="str">
        <x:v>Sustituido</x:v>
      </x:c>
      <x:c r="G344" s="44" t="n">
        <x:v>46287</x:v>
      </x:c>
      <x:c r="H344" s="44" t="n">
        <x:v>46295</x:v>
      </x:c>
      <x:c r="I344" s="45" t="n">
        <x:f>IF(OR(G344="",H344=""),"",SUMPRODUCT(('Cronograma'!$F$8:$P$8&lt;=H344)*('Cronograma'!$F$9:$P$9&gt;=G344)))</x:f>
        <x:v>1</x:v>
      </x:c>
      <x:c r="J344" s="46"/>
      <x:c r="K344" s="46"/>
      <x:c r="L344" s="47"/>
      <x:c r="M344" s="48" t="str"/>
      <x:c r="N344" s="48" t="str"/>
      <x:c r="O344" s="49" t="n">
        <x:v>46294</x:v>
      </x:c>
      <x:c r="P344" s="43" t="str">
        <x:v>Reporte fechado y código asociado</x:v>
      </x:c>
      <x:c r="Q344" s="43" t="str">
        <x:v>MVP02, COM01</x:v>
      </x:c>
      <x:c r="R344" s="43" t="str">
        <x:v>Propuesta conservada como antecedente; no representa la interfaz vigente.</x:v>
      </x:c>
      <x:c r="S344" s="43" t="str">
        <x:v>Las propuestas son entregables de diseño, no funciones probadas. Los prompts iniciales carecen de fecha propia; el 29 acredita conservación/integración de antecedentes.</x:v>
      </x:c>
      <x:c r="T344" s="43" t="str">
        <x:v>S062, S063, S064, S065, S066</x:v>
      </x:c>
      <x:c r="U344" s="43" t="str">
        <x:v>docs/home-social-ui-v3.md
docs/home-vertical-ui-v4.md
docs/home-brand-ui-v5.md
docs/home-final-ui-v6.md
docs/design-experiments/README.md</x:v>
      </x:c>
    </x:row>
    <x:row r="345" ht="68" customHeight="1">
      <x:c r="A345" s="42" t="str">
        <x:v>DIS01.015</x:v>
      </x:c>
      <x:c r="B345" s="42" t="str">
        <x:v>Evolución visual y propuestas sustituidas</x:v>
      </x:c>
      <x:c r="C345" s="42" t="str">
        <x:v>DIS01</x:v>
      </x:c>
      <x:c r="D345" s="43" t="str">
        <x:v>Archivar concepto social mobile redesign</x:v>
      </x:c>
      <x:c r="E345" s="43" t="str">
        <x:v>Conservar propuesta sin sustituir la experiencia integrada.</x:v>
      </x:c>
      <x:c r="F345" s="43" t="str">
        <x:v>Sustituido</x:v>
      </x:c>
      <x:c r="G345" s="44" t="n">
        <x:v>46287</x:v>
      </x:c>
      <x:c r="H345" s="44" t="n">
        <x:v>46295</x:v>
      </x:c>
      <x:c r="I345" s="45" t="n">
        <x:f>IF(OR(G345="",H345=""),"",SUMPRODUCT(('Cronograma'!$F$8:$P$8&lt;=H345)*('Cronograma'!$F$9:$P$9&gt;=G345)))</x:f>
        <x:v>1</x:v>
      </x:c>
      <x:c r="J345" s="46"/>
      <x:c r="K345" s="46"/>
      <x:c r="L345" s="47"/>
      <x:c r="M345" s="48" t="str"/>
      <x:c r="N345" s="48" t="str"/>
      <x:c r="O345" s="49" t="n">
        <x:v>46294</x:v>
      </x:c>
      <x:c r="P345" s="43" t="str">
        <x:v>Reporte fechado y código asociado</x:v>
      </x:c>
      <x:c r="Q345" s="43" t="str">
        <x:v>MVP02, COM01</x:v>
      </x:c>
      <x:c r="R345" s="43" t="str">
        <x:v>Propuesta conservada como antecedente; no representa la interfaz vigente.</x:v>
      </x:c>
      <x:c r="S345" s="43" t="str">
        <x:v>Las propuestas son entregables de diseño, no funciones probadas. Los prompts iniciales carecen de fecha propia; el 29 acredita conservación/integración de antecedentes.</x:v>
      </x:c>
      <x:c r="T345" s="43" t="str">
        <x:v>S062, S063, S064, S065, S066</x:v>
      </x:c>
      <x:c r="U345" s="43" t="str">
        <x:v>docs/home-social-ui-v3.md
docs/home-vertical-ui-v4.md
docs/home-brand-ui-v5.md
docs/home-final-ui-v6.md
docs/design-experiments/README.md</x:v>
      </x:c>
    </x:row>
    <x:row r="346" ht="68" customHeight="1">
      <x:c r="A346" s="42" t="str">
        <x:v>DIS01.016</x:v>
      </x:c>
      <x:c r="B346" s="42" t="str">
        <x:v>Evolución visual y propuestas sustituidas</x:v>
      </x:c>
      <x:c r="C346" s="42" t="str">
        <x:v>DIS01</x:v>
      </x:c>
      <x:c r="D346" s="43" t="str">
        <x:v>Archivar concepto mobile social UI</x:v>
      </x:c>
      <x:c r="E346" s="43" t="str">
        <x:v>Conservar segundo experimento visual como antecedente.</x:v>
      </x:c>
      <x:c r="F346" s="43" t="str">
        <x:v>Sustituido</x:v>
      </x:c>
      <x:c r="G346" s="44" t="n">
        <x:v>46287</x:v>
      </x:c>
      <x:c r="H346" s="44" t="n">
        <x:v>46295</x:v>
      </x:c>
      <x:c r="I346" s="45" t="n">
        <x:f>IF(OR(G346="",H346=""),"",SUMPRODUCT(('Cronograma'!$F$8:$P$8&lt;=H346)*('Cronograma'!$F$9:$P$9&gt;=G346)))</x:f>
        <x:v>1</x:v>
      </x:c>
      <x:c r="J346" s="46"/>
      <x:c r="K346" s="46"/>
      <x:c r="L346" s="47"/>
      <x:c r="M346" s="48" t="str"/>
      <x:c r="N346" s="48" t="str"/>
      <x:c r="O346" s="49" t="n">
        <x:v>46294</x:v>
      </x:c>
      <x:c r="P346" s="43" t="str">
        <x:v>Reporte fechado y código asociado</x:v>
      </x:c>
      <x:c r="Q346" s="43" t="str">
        <x:v>MVP02, COM01</x:v>
      </x:c>
      <x:c r="R346" s="43" t="str">
        <x:v>Propuesta conservada como antecedente; no representa la interfaz vigente.</x:v>
      </x:c>
      <x:c r="S346" s="43" t="str">
        <x:v>Las propuestas son entregables de diseño, no funciones probadas. Los prompts iniciales carecen de fecha propia; el 29 acredita conservación/integración de antecedentes.</x:v>
      </x:c>
      <x:c r="T346" s="43" t="str">
        <x:v>S062, S063, S064, S065, S066</x:v>
      </x:c>
      <x:c r="U346" s="43" t="str">
        <x:v>docs/home-social-ui-v3.md
docs/home-vertical-ui-v4.md
docs/home-brand-ui-v5.md
docs/home-final-ui-v6.md
docs/design-experiments/README.md</x:v>
      </x:c>
    </x:row>
    <x:row r="347" ht="44" customHeight="1">
      <x:c r="A347" s="42" t="str">
        <x:v>DIS02.001</x:v>
      </x:c>
      <x:c r="B347" s="42" t="str">
        <x:v>Acabado v7 e identidad oficial</x:v>
      </x:c>
      <x:c r="C347" s="42" t="str">
        <x:v>DIS02</x:v>
      </x:c>
      <x:c r="D347" s="43" t="str">
        <x:v>Definir paleta neutral del acabado v7</x:v>
      </x:c>
      <x:c r="E347" s="43" t="str">
        <x:v>Usar Paper, blanco, navy, aqua y mint con contraste.</x:v>
      </x:c>
      <x:c r="F347" s="43" t="str">
        <x:v>Completado</x:v>
      </x:c>
      <x:c r="G347" s="44" t="n">
        <x:v>46287</x:v>
      </x:c>
      <x:c r="H347" s="44" t="n">
        <x:v>46295</x:v>
      </x:c>
      <x:c r="I347" s="45" t="n">
        <x:f>IF(OR(G347="",H347=""),"",SUMPRODUCT(('Cronograma'!$F$8:$P$8&lt;=H347)*('Cronograma'!$F$9:$P$9&gt;=G347)))</x:f>
        <x:v>1</x:v>
      </x:c>
      <x:c r="J347" s="46"/>
      <x:c r="K347" s="46"/>
      <x:c r="L347" s="47"/>
      <x:c r="M347" s="48" t="str"/>
      <x:c r="N347" s="48" t="str"/>
      <x:c r="O347" s="49" t="n">
        <x:v>46294</x:v>
      </x:c>
      <x:c r="P347" s="43" t="str">
        <x:v>Commit de integración y documentos</x:v>
      </x:c>
      <x:c r="Q347" s="43" t="str">
        <x:v>DIS01</x:v>
      </x:c>
      <x:c r="R347" s="43" t="str"/>
      <x:c r="S347" s="43" t="str"/>
      <x:c r="T347" s="43" t="str">
        <x:v>S067, S068, S069</x:v>
      </x:c>
      <x:c r="U347" s="43" t="str">
        <x:v>docs/home-polished-ui-v7.md
git:37d4c23:README.md
docs/home-social-v7-integration.md</x:v>
      </x:c>
    </x:row>
    <x:row r="348" ht="44" customHeight="1">
      <x:c r="A348" s="42" t="str">
        <x:v>DIS02.002</x:v>
      </x:c>
      <x:c r="B348" s="42" t="str">
        <x:v>Acabado v7 e identidad oficial</x:v>
      </x:c>
      <x:c r="C348" s="42" t="str">
        <x:v>DIS02</x:v>
      </x:c>
      <x:c r="D348" s="43" t="str">
        <x:v>Definir profundidad de superficies</x:v>
      </x:c>
      <x:c r="E348" s="43" t="str">
        <x:v>Aplicar sombras y brillos moderados.</x:v>
      </x:c>
      <x:c r="F348" s="43" t="str">
        <x:v>Completado</x:v>
      </x:c>
      <x:c r="G348" s="44" t="n">
        <x:v>46287</x:v>
      </x:c>
      <x:c r="H348" s="44" t="n">
        <x:v>46295</x:v>
      </x:c>
      <x:c r="I348" s="45" t="n">
        <x:f>IF(OR(G348="",H348=""),"",SUMPRODUCT(('Cronograma'!$F$8:$P$8&lt;=H348)*('Cronograma'!$F$9:$P$9&gt;=G348)))</x:f>
        <x:v>1</x:v>
      </x:c>
      <x:c r="J348" s="46"/>
      <x:c r="K348" s="46"/>
      <x:c r="L348" s="47"/>
      <x:c r="M348" s="48" t="str"/>
      <x:c r="N348" s="48" t="str"/>
      <x:c r="O348" s="49" t="n">
        <x:v>46294</x:v>
      </x:c>
      <x:c r="P348" s="43" t="str">
        <x:v>Commit de integración y documentos</x:v>
      </x:c>
      <x:c r="Q348" s="43" t="str">
        <x:v>DIS01</x:v>
      </x:c>
      <x:c r="R348" s="43" t="str"/>
      <x:c r="S348" s="43" t="str"/>
      <x:c r="T348" s="43" t="str">
        <x:v>S067, S068, S069</x:v>
      </x:c>
      <x:c r="U348" s="43" t="str">
        <x:v>docs/home-polished-ui-v7.md
git:37d4c23:README.md
docs/home-social-v7-integration.md</x:v>
      </x:c>
    </x:row>
    <x:row r="349" ht="44" customHeight="1">
      <x:c r="A349" s="42" t="str">
        <x:v>DIS02.003</x:v>
      </x:c>
      <x:c r="B349" s="42" t="str">
        <x:v>Acabado v7 e identidad oficial</x:v>
      </x:c>
      <x:c r="C349" s="42" t="str">
        <x:v>DIS02</x:v>
      </x:c>
      <x:c r="D349" s="43" t="str">
        <x:v>Diseñar cápsula de navegación web</x:v>
      </x:c>
      <x:c r="E349" s="43" t="str">
        <x:v>Mantener destinos con selección mint.</x:v>
      </x:c>
      <x:c r="F349" s="43" t="str">
        <x:v>Completado</x:v>
      </x:c>
      <x:c r="G349" s="44" t="n">
        <x:v>46287</x:v>
      </x:c>
      <x:c r="H349" s="44" t="n">
        <x:v>46295</x:v>
      </x:c>
      <x:c r="I349" s="45" t="n">
        <x:f>IF(OR(G349="",H349=""),"",SUMPRODUCT(('Cronograma'!$F$8:$P$8&lt;=H349)*('Cronograma'!$F$9:$P$9&gt;=G349)))</x:f>
        <x:v>1</x:v>
      </x:c>
      <x:c r="J349" s="46"/>
      <x:c r="K349" s="46"/>
      <x:c r="L349" s="47"/>
      <x:c r="M349" s="48" t="str"/>
      <x:c r="N349" s="48" t="str"/>
      <x:c r="O349" s="49" t="n">
        <x:v>46294</x:v>
      </x:c>
      <x:c r="P349" s="43" t="str">
        <x:v>Commit de integración y documentos</x:v>
      </x:c>
      <x:c r="Q349" s="43" t="str">
        <x:v>DIS01</x:v>
      </x:c>
      <x:c r="R349" s="43" t="str"/>
      <x:c r="S349" s="43" t="str"/>
      <x:c r="T349" s="43" t="str">
        <x:v>S067, S068, S069</x:v>
      </x:c>
      <x:c r="U349" s="43" t="str">
        <x:v>docs/home-polished-ui-v7.md
git:37d4c23:README.md
docs/home-social-v7-integration.md</x:v>
      </x:c>
    </x:row>
    <x:row r="350" ht="44" customHeight="1">
      <x:c r="A350" s="42" t="str">
        <x:v>DIS02.004</x:v>
      </x:c>
      <x:c r="B350" s="42" t="str">
        <x:v>Acabado v7 e identidad oficial</x:v>
      </x:c>
      <x:c r="C350" s="42" t="str">
        <x:v>DIS02</x:v>
      </x:c>
      <x:c r="D350" s="43" t="str">
        <x:v>Diseñar cápsula móvil y Crear separado</x:v>
      </x:c>
      <x:c r="E350" s="43" t="str">
        <x:v>Reservar espacio de navegación en el contenido.</x:v>
      </x:c>
      <x:c r="F350" s="43" t="str">
        <x:v>Completado</x:v>
      </x:c>
      <x:c r="G350" s="44" t="n">
        <x:v>46287</x:v>
      </x:c>
      <x:c r="H350" s="44" t="n">
        <x:v>46295</x:v>
      </x:c>
      <x:c r="I350" s="45" t="n">
        <x:f>IF(OR(G350="",H350=""),"",SUMPRODUCT(('Cronograma'!$F$8:$P$8&lt;=H350)*('Cronograma'!$F$9:$P$9&gt;=G350)))</x:f>
        <x:v>1</x:v>
      </x:c>
      <x:c r="J350" s="46"/>
      <x:c r="K350" s="46"/>
      <x:c r="L350" s="47"/>
      <x:c r="M350" s="48" t="str"/>
      <x:c r="N350" s="48" t="str"/>
      <x:c r="O350" s="49" t="n">
        <x:v>46294</x:v>
      </x:c>
      <x:c r="P350" s="43" t="str">
        <x:v>Commit de integración y documentos</x:v>
      </x:c>
      <x:c r="Q350" s="43" t="str">
        <x:v>DIS01</x:v>
      </x:c>
      <x:c r="R350" s="43" t="str"/>
      <x:c r="S350" s="43" t="str"/>
      <x:c r="T350" s="43" t="str">
        <x:v>S067, S068, S069</x:v>
      </x:c>
      <x:c r="U350" s="43" t="str">
        <x:v>docs/home-polished-ui-v7.md
git:37d4c23:README.md
docs/home-social-v7-integration.md</x:v>
      </x:c>
    </x:row>
    <x:row r="351" ht="44" customHeight="1">
      <x:c r="A351" s="42" t="str">
        <x:v>DIS02.005</x:v>
      </x:c>
      <x:c r="B351" s="42" t="str">
        <x:v>Acabado v7 e identidad oficial</x:v>
      </x:c>
      <x:c r="C351" s="42" t="str">
        <x:v>DIS02</x:v>
      </x:c>
      <x:c r="D351" s="43" t="str">
        <x:v>Equilibrar columnas del post v7</x:v>
      </x:c>
      <x:c r="E351" s="43" t="str">
        <x:v>Concentrar color en selección y acciones principales.</x:v>
      </x:c>
      <x:c r="F351" s="43" t="str">
        <x:v>Completado</x:v>
      </x:c>
      <x:c r="G351" s="44" t="n">
        <x:v>46287</x:v>
      </x:c>
      <x:c r="H351" s="44" t="n">
        <x:v>46295</x:v>
      </x:c>
      <x:c r="I351" s="45" t="n">
        <x:f>IF(OR(G351="",H351=""),"",SUMPRODUCT(('Cronograma'!$F$8:$P$8&lt;=H351)*('Cronograma'!$F$9:$P$9&gt;=G351)))</x:f>
        <x:v>1</x:v>
      </x:c>
      <x:c r="J351" s="46"/>
      <x:c r="K351" s="46"/>
      <x:c r="L351" s="47"/>
      <x:c r="M351" s="48" t="str"/>
      <x:c r="N351" s="48" t="str"/>
      <x:c r="O351" s="49" t="n">
        <x:v>46294</x:v>
      </x:c>
      <x:c r="P351" s="43" t="str">
        <x:v>Commit de integración y documentos</x:v>
      </x:c>
      <x:c r="Q351" s="43" t="str">
        <x:v>DIS01</x:v>
      </x:c>
      <x:c r="R351" s="43" t="str"/>
      <x:c r="S351" s="43" t="str"/>
      <x:c r="T351" s="43" t="str">
        <x:v>S067, S068, S069</x:v>
      </x:c>
      <x:c r="U351" s="43" t="str">
        <x:v>docs/home-polished-ui-v7.md
git:37d4c23:README.md
docs/home-social-v7-integration.md</x:v>
      </x:c>
    </x:row>
    <x:row r="352" ht="44" customHeight="1">
      <x:c r="A352" s="42" t="str">
        <x:v>DIS02.006</x:v>
      </x:c>
      <x:c r="B352" s="42" t="str">
        <x:v>Acabado v7 e identidad oficial</x:v>
      </x:c>
      <x:c r="C352" s="42" t="str">
        <x:v>DIS02</x:v>
      </x:c>
      <x:c r="D352" s="43" t="str">
        <x:v>Integrar logotipo oficial móvil</x:v>
      </x:c>
      <x:c r="E352" s="43" t="str">
        <x:v>Usar archivo original sin deformar proporciones.</x:v>
      </x:c>
      <x:c r="F352" s="43" t="str">
        <x:v>Completado</x:v>
      </x:c>
      <x:c r="G352" s="44" t="n">
        <x:v>46287</x:v>
      </x:c>
      <x:c r="H352" s="44" t="n">
        <x:v>46295</x:v>
      </x:c>
      <x:c r="I352" s="45" t="n">
        <x:f>IF(OR(G352="",H352=""),"",SUMPRODUCT(('Cronograma'!$F$8:$P$8&lt;=H352)*('Cronograma'!$F$9:$P$9&gt;=G352)))</x:f>
        <x:v>1</x:v>
      </x:c>
      <x:c r="J352" s="46"/>
      <x:c r="K352" s="46"/>
      <x:c r="L352" s="47"/>
      <x:c r="M352" s="48" t="str"/>
      <x:c r="N352" s="48" t="str"/>
      <x:c r="O352" s="49" t="n">
        <x:v>46294</x:v>
      </x:c>
      <x:c r="P352" s="43" t="str">
        <x:v>Commit de integración y documentos</x:v>
      </x:c>
      <x:c r="Q352" s="43" t="str">
        <x:v>DIS01</x:v>
      </x:c>
      <x:c r="R352" s="43" t="str"/>
      <x:c r="S352" s="43" t="str"/>
      <x:c r="T352" s="43" t="str">
        <x:v>S067, S068, S069</x:v>
      </x:c>
      <x:c r="U352" s="43" t="str">
        <x:v>docs/home-polished-ui-v7.md
git:37d4c23:README.md
docs/home-social-v7-integration.md</x:v>
      </x:c>
    </x:row>
    <x:row r="353" ht="44" customHeight="1">
      <x:c r="A353" s="42" t="str">
        <x:v>DIS02.007</x:v>
      </x:c>
      <x:c r="B353" s="42" t="str">
        <x:v>Acabado v7 e identidad oficial</x:v>
      </x:c>
      <x:c r="C353" s="42" t="str">
        <x:v>DIS02</x:v>
      </x:c>
      <x:c r="D353" s="43" t="str">
        <x:v>Integrar isotipo oficial escritorio</x:v>
      </x:c>
      <x:c r="E353" s="43" t="str">
        <x:v>Usar recurso de marca en cabecera.</x:v>
      </x:c>
      <x:c r="F353" s="43" t="str">
        <x:v>Completado</x:v>
      </x:c>
      <x:c r="G353" s="44" t="n">
        <x:v>46287</x:v>
      </x:c>
      <x:c r="H353" s="44" t="n">
        <x:v>46295</x:v>
      </x:c>
      <x:c r="I353" s="45" t="n">
        <x:f>IF(OR(G353="",H353=""),"",SUMPRODUCT(('Cronograma'!$F$8:$P$8&lt;=H353)*('Cronograma'!$F$9:$P$9&gt;=G353)))</x:f>
        <x:v>1</x:v>
      </x:c>
      <x:c r="J353" s="46"/>
      <x:c r="K353" s="46"/>
      <x:c r="L353" s="47"/>
      <x:c r="M353" s="48" t="str"/>
      <x:c r="N353" s="48" t="str"/>
      <x:c r="O353" s="49" t="n">
        <x:v>46294</x:v>
      </x:c>
      <x:c r="P353" s="43" t="str">
        <x:v>Commit de integración y documentos</x:v>
      </x:c>
      <x:c r="Q353" s="43" t="str">
        <x:v>DIS01</x:v>
      </x:c>
      <x:c r="R353" s="43" t="str"/>
      <x:c r="S353" s="43" t="str"/>
      <x:c r="T353" s="43" t="str">
        <x:v>S067, S068, S069</x:v>
      </x:c>
      <x:c r="U353" s="43" t="str">
        <x:v>docs/home-polished-ui-v7.md
git:37d4c23:README.md
docs/home-social-v7-integration.md</x:v>
      </x:c>
    </x:row>
    <x:row r="354" ht="44" customHeight="1">
      <x:c r="A354" s="42" t="str">
        <x:v>DIS02.008</x:v>
      </x:c>
      <x:c r="B354" s="42" t="str">
        <x:v>Acabado v7 e identidad oficial</x:v>
      </x:c>
      <x:c r="C354" s="42" t="str">
        <x:v>DIS02</x:v>
      </x:c>
      <x:c r="D354" s="43" t="str">
        <x:v>Actualizar assets oficiales de marca</x:v>
      </x:c>
      <x:c r="E354" s="43" t="str">
        <x:v>Conservar archivos de identidad en el proyecto.</x:v>
      </x:c>
      <x:c r="F354" s="43" t="str">
        <x:v>Completado</x:v>
      </x:c>
      <x:c r="G354" s="44" t="n">
        <x:v>46287</x:v>
      </x:c>
      <x:c r="H354" s="44" t="n">
        <x:v>46295</x:v>
      </x:c>
      <x:c r="I354" s="45" t="n">
        <x:f>IF(OR(G354="",H354=""),"",SUMPRODUCT(('Cronograma'!$F$8:$P$8&lt;=H354)*('Cronograma'!$F$9:$P$9&gt;=G354)))</x:f>
        <x:v>1</x:v>
      </x:c>
      <x:c r="J354" s="46"/>
      <x:c r="K354" s="46"/>
      <x:c r="L354" s="47"/>
      <x:c r="M354" s="48" t="str"/>
      <x:c r="N354" s="48" t="str"/>
      <x:c r="O354" s="49" t="n">
        <x:v>46294</x:v>
      </x:c>
      <x:c r="P354" s="43" t="str">
        <x:v>Commit de integración y documentos</x:v>
      </x:c>
      <x:c r="Q354" s="43" t="str">
        <x:v>DIS01</x:v>
      </x:c>
      <x:c r="R354" s="43" t="str"/>
      <x:c r="S354" s="43" t="str"/>
      <x:c r="T354" s="43" t="str">
        <x:v>S067, S068, S069</x:v>
      </x:c>
      <x:c r="U354" s="43" t="str">
        <x:v>docs/home-polished-ui-v7.md
git:37d4c23:README.md
docs/home-social-v7-integration.md</x:v>
      </x:c>
    </x:row>
    <x:row r="355" ht="44" customHeight="1">
      <x:c r="A355" s="42" t="str">
        <x:v>SOC01.001</x:v>
      </x:c>
      <x:c r="B355" s="42" t="str">
        <x:v>Implementación de Inicio y post social v7</x:v>
      </x:c>
      <x:c r="C355" s="42" t="str">
        <x:v>SOC01</x:v>
      </x:c>
      <x:c r="D355" s="43" t="str">
        <x:v>Integrar cabecera compacta móvil</x:v>
      </x:c>
      <x:c r="E355" s="43" t="str">
        <x:v>Presentar marca y controles accesibles.</x:v>
      </x:c>
      <x:c r="F355" s="43" t="str">
        <x:v>Completado</x:v>
      </x:c>
      <x:c r="G355" s="44" t="n">
        <x:v>46287</x:v>
      </x:c>
      <x:c r="H355" s="44" t="n">
        <x:v>46295</x:v>
      </x:c>
      <x:c r="I355" s="45" t="n">
        <x:f>IF(OR(G355="",H355=""),"",SUMPRODUCT(('Cronograma'!$F$8:$P$8&lt;=H355)*('Cronograma'!$F$9:$P$9&gt;=G355)))</x:f>
        <x:v>1</x:v>
      </x:c>
      <x:c r="J355" s="46"/>
      <x:c r="K355" s="46"/>
      <x:c r="L355" s="47"/>
      <x:c r="M355" s="48" t="str"/>
      <x:c r="N355" s="48" t="str"/>
      <x:c r="O355" s="49" t="n">
        <x:v>46294</x:v>
      </x:c>
      <x:c r="P355" s="43" t="str">
        <x:v>Commit de integración y documentos</x:v>
      </x:c>
      <x:c r="Q355" s="43" t="str">
        <x:v>DIS02, COM01, PRO02</x:v>
      </x:c>
      <x:c r="R355" s="43" t="str"/>
      <x:c r="S355" s="43" t="str"/>
      <x:c r="T355" s="43" t="str">
        <x:v>S069, S070, S071</x:v>
      </x:c>
      <x:c r="U355" s="43" t="str">
        <x:v>docs/home-social-v7-integration.md
git:9f2f91d:lib/features/community/presentation/posts_feed.dart
git:9c551ab:README.md</x:v>
      </x:c>
    </x:row>
    <x:row r="356" ht="44" customHeight="1">
      <x:c r="A356" s="42" t="str">
        <x:v>SOC01.002</x:v>
      </x:c>
      <x:c r="B356" s="42" t="str">
        <x:v>Implementación de Inicio y post social v7</x:v>
      </x:c>
      <x:c r="C356" s="42" t="str">
        <x:v>SOC01</x:v>
      </x:c>
      <x:c r="D356" s="43" t="str">
        <x:v>Integrar navegación neumórfica escritorio</x:v>
      </x:c>
      <x:c r="E356" s="43" t="str">
        <x:v>Compartir cápsula entre destinos del shell.</x:v>
      </x:c>
      <x:c r="F356" s="43" t="str">
        <x:v>Completado</x:v>
      </x:c>
      <x:c r="G356" s="44" t="n">
        <x:v>46287</x:v>
      </x:c>
      <x:c r="H356" s="44" t="n">
        <x:v>46295</x:v>
      </x:c>
      <x:c r="I356" s="45" t="n">
        <x:f>IF(OR(G356="",H356=""),"",SUMPRODUCT(('Cronograma'!$F$8:$P$8&lt;=H356)*('Cronograma'!$F$9:$P$9&gt;=G356)))</x:f>
        <x:v>1</x:v>
      </x:c>
      <x:c r="J356" s="46"/>
      <x:c r="K356" s="46"/>
      <x:c r="L356" s="47"/>
      <x:c r="M356" s="48" t="str"/>
      <x:c r="N356" s="48" t="str"/>
      <x:c r="O356" s="49" t="n">
        <x:v>46294</x:v>
      </x:c>
      <x:c r="P356" s="43" t="str">
        <x:v>Commit de integración y documentos</x:v>
      </x:c>
      <x:c r="Q356" s="43" t="str">
        <x:v>DIS02, COM01, PRO02</x:v>
      </x:c>
      <x:c r="R356" s="43" t="str"/>
      <x:c r="S356" s="43" t="str"/>
      <x:c r="T356" s="43" t="str">
        <x:v>S069, S070, S071</x:v>
      </x:c>
      <x:c r="U356" s="43" t="str">
        <x:v>docs/home-social-v7-integration.md
git:9f2f91d:lib/features/community/presentation/posts_feed.dart
git:9c551ab:README.md</x:v>
      </x:c>
    </x:row>
    <x:row r="357" ht="44" customHeight="1">
      <x:c r="A357" s="42" t="str">
        <x:v>SOC01.003</x:v>
      </x:c>
      <x:c r="B357" s="42" t="str">
        <x:v>Implementación de Inicio y post social v7</x:v>
      </x:c>
      <x:c r="C357" s="42" t="str">
        <x:v>SOC01</x:v>
      </x:c>
      <x:c r="D357" s="43" t="str">
        <x:v>Mover búsqueda a Explorar</x:v>
      </x:c>
      <x:c r="E357" s="43" t="str">
        <x:v>Retirar controles de búsqueda del encabezado de Inicio.</x:v>
      </x:c>
      <x:c r="F357" s="43" t="str">
        <x:v>Completado</x:v>
      </x:c>
      <x:c r="G357" s="44" t="n">
        <x:v>46287</x:v>
      </x:c>
      <x:c r="H357" s="44" t="n">
        <x:v>46295</x:v>
      </x:c>
      <x:c r="I357" s="45" t="n">
        <x:f>IF(OR(G357="",H357=""),"",SUMPRODUCT(('Cronograma'!$F$8:$P$8&lt;=H357)*('Cronograma'!$F$9:$P$9&gt;=G357)))</x:f>
        <x:v>1</x:v>
      </x:c>
      <x:c r="J357" s="46"/>
      <x:c r="K357" s="46"/>
      <x:c r="L357" s="47"/>
      <x:c r="M357" s="48" t="str"/>
      <x:c r="N357" s="48" t="str"/>
      <x:c r="O357" s="49" t="n">
        <x:v>46294</x:v>
      </x:c>
      <x:c r="P357" s="43" t="str">
        <x:v>Commit de integración y documentos</x:v>
      </x:c>
      <x:c r="Q357" s="43" t="str">
        <x:v>DIS02, COM01, PRO02</x:v>
      </x:c>
      <x:c r="R357" s="43" t="str"/>
      <x:c r="S357" s="43" t="str"/>
      <x:c r="T357" s="43" t="str">
        <x:v>S069, S070, S071</x:v>
      </x:c>
      <x:c r="U357" s="43" t="str">
        <x:v>docs/home-social-v7-integration.md
git:9f2f91d:lib/features/community/presentation/posts_feed.dart
git:9c551ab:README.md</x:v>
      </x:c>
    </x:row>
    <x:row r="358" ht="44" customHeight="1">
      <x:c r="A358" s="42" t="str">
        <x:v>SOC01.004</x:v>
      </x:c>
      <x:c r="B358" s="42" t="str">
        <x:v>Implementación de Inicio y post social v7</x:v>
      </x:c>
      <x:c r="C358" s="42" t="str">
        <x:v>SOC01</x:v>
      </x:c>
      <x:c r="D358" s="43" t="str">
        <x:v>Crear componente de post reutilizable</x:v>
      </x:c>
      <x:c r="E358" s="43" t="str">
        <x:v>Usarlo en Inicio, Explorar, perfil y detalle.</x:v>
      </x:c>
      <x:c r="F358" s="43" t="str">
        <x:v>Completado</x:v>
      </x:c>
      <x:c r="G358" s="44" t="n">
        <x:v>46287</x:v>
      </x:c>
      <x:c r="H358" s="44" t="n">
        <x:v>46295</x:v>
      </x:c>
      <x:c r="I358" s="45" t="n">
        <x:f>IF(OR(G358="",H358=""),"",SUMPRODUCT(('Cronograma'!$F$8:$P$8&lt;=H358)*('Cronograma'!$F$9:$P$9&gt;=G358)))</x:f>
        <x:v>1</x:v>
      </x:c>
      <x:c r="J358" s="46"/>
      <x:c r="K358" s="46"/>
      <x:c r="L358" s="47"/>
      <x:c r="M358" s="48" t="str"/>
      <x:c r="N358" s="48" t="str"/>
      <x:c r="O358" s="49" t="n">
        <x:v>46294</x:v>
      </x:c>
      <x:c r="P358" s="43" t="str">
        <x:v>Commit de integración y documentos</x:v>
      </x:c>
      <x:c r="Q358" s="43" t="str">
        <x:v>DIS02, COM01, PRO02</x:v>
      </x:c>
      <x:c r="R358" s="43" t="str"/>
      <x:c r="S358" s="43" t="str"/>
      <x:c r="T358" s="43" t="str">
        <x:v>S069, S070, S071</x:v>
      </x:c>
      <x:c r="U358" s="43" t="str">
        <x:v>docs/home-social-v7-integration.md
git:9f2f91d:lib/features/community/presentation/posts_feed.dart
git:9c551ab:README.md</x:v>
      </x:c>
    </x:row>
    <x:row r="359" ht="44" customHeight="1">
      <x:c r="A359" s="42" t="str">
        <x:v>SOC01.005</x:v>
      </x:c>
      <x:c r="B359" s="42" t="str">
        <x:v>Implementación de Inicio y post social v7</x:v>
      </x:c>
      <x:c r="C359" s="42" t="str">
        <x:v>SOC01</x:v>
      </x:c>
      <x:c r="D359" s="43" t="str">
        <x:v>Aplicar ancho máximo de post</x:v>
      </x:c>
      <x:c r="E359" s="43" t="str">
        <x:v>Limitar a 820 px y adaptar desde 760 px disponibles.</x:v>
      </x:c>
      <x:c r="F359" s="43" t="str">
        <x:v>Completado</x:v>
      </x:c>
      <x:c r="G359" s="44" t="n">
        <x:v>46287</x:v>
      </x:c>
      <x:c r="H359" s="44" t="n">
        <x:v>46295</x:v>
      </x:c>
      <x:c r="I359" s="45" t="n">
        <x:f>IF(OR(G359="",H359=""),"",SUMPRODUCT(('Cronograma'!$F$8:$P$8&lt;=H359)*('Cronograma'!$F$9:$P$9&gt;=G359)))</x:f>
        <x:v>1</x:v>
      </x:c>
      <x:c r="J359" s="46"/>
      <x:c r="K359" s="46"/>
      <x:c r="L359" s="47"/>
      <x:c r="M359" s="48" t="str"/>
      <x:c r="N359" s="48" t="str"/>
      <x:c r="O359" s="49" t="n">
        <x:v>46294</x:v>
      </x:c>
      <x:c r="P359" s="43" t="str">
        <x:v>Commit de integración y documentos</x:v>
      </x:c>
      <x:c r="Q359" s="43" t="str">
        <x:v>DIS02, COM01, PRO02</x:v>
      </x:c>
      <x:c r="R359" s="43" t="str"/>
      <x:c r="S359" s="43" t="str"/>
      <x:c r="T359" s="43" t="str">
        <x:v>S069, S070, S071</x:v>
      </x:c>
      <x:c r="U359" s="43" t="str">
        <x:v>docs/home-social-v7-integration.md
git:9f2f91d:lib/features/community/presentation/posts_feed.dart
git:9c551ab:README.md</x:v>
      </x:c>
    </x:row>
    <x:row r="360" ht="44" customHeight="1">
      <x:c r="A360" s="42" t="str">
        <x:v>SOC01.006</x:v>
      </x:c>
      <x:c r="B360" s="42" t="str">
        <x:v>Implementación de Inicio y post social v7</x:v>
      </x:c>
      <x:c r="C360" s="42" t="str">
        <x:v>SOC01</x:v>
      </x:c>
      <x:c r="D360" s="43" t="str">
        <x:v>Mostrar imagen completa sin deformación</x:v>
      </x:c>
      <x:c r="E360" s="43" t="str">
        <x:v>Usar contain en bloque fotográfico 3:5.</x:v>
      </x:c>
      <x:c r="F360" s="43" t="str">
        <x:v>Completado</x:v>
      </x:c>
      <x:c r="G360" s="44" t="n">
        <x:v>46287</x:v>
      </x:c>
      <x:c r="H360" s="44" t="n">
        <x:v>46295</x:v>
      </x:c>
      <x:c r="I360" s="45" t="n">
        <x:f>IF(OR(G360="",H360=""),"",SUMPRODUCT(('Cronograma'!$F$8:$P$8&lt;=H360)*('Cronograma'!$F$9:$P$9&gt;=G360)))</x:f>
        <x:v>1</x:v>
      </x:c>
      <x:c r="J360" s="46"/>
      <x:c r="K360" s="46"/>
      <x:c r="L360" s="47"/>
      <x:c r="M360" s="48" t="str"/>
      <x:c r="N360" s="48" t="str"/>
      <x:c r="O360" s="49" t="n">
        <x:v>46294</x:v>
      </x:c>
      <x:c r="P360" s="43" t="str">
        <x:v>Commit de integración y documentos</x:v>
      </x:c>
      <x:c r="Q360" s="43" t="str">
        <x:v>DIS02, COM01, PRO02</x:v>
      </x:c>
      <x:c r="R360" s="43" t="str"/>
      <x:c r="S360" s="43" t="str"/>
      <x:c r="T360" s="43" t="str">
        <x:v>S069, S070, S071</x:v>
      </x:c>
      <x:c r="U360" s="43" t="str">
        <x:v>docs/home-social-v7-integration.md
git:9f2f91d:lib/features/community/presentation/posts_feed.dart
git:9c551ab:README.md</x:v>
      </x:c>
    </x:row>
    <x:row r="361" ht="44" customHeight="1">
      <x:c r="A361" s="42" t="str">
        <x:v>SOC01.007</x:v>
      </x:c>
      <x:c r="B361" s="42" t="str">
        <x:v>Implementación de Inicio y post social v7</x:v>
      </x:c>
      <x:c r="C361" s="42" t="str">
        <x:v>SOC01</x:v>
      </x:c>
      <x:c r="D361" s="43" t="str">
        <x:v>Centrar lectura de posts sin fotografía</x:v>
      </x:c>
      <x:c r="E361" s="43" t="str">
        <x:v>Evitar columna vacía reservada a imagen.</x:v>
      </x:c>
      <x:c r="F361" s="43" t="str">
        <x:v>Completado</x:v>
      </x:c>
      <x:c r="G361" s="44" t="n">
        <x:v>46287</x:v>
      </x:c>
      <x:c r="H361" s="44" t="n">
        <x:v>46295</x:v>
      </x:c>
      <x:c r="I361" s="45" t="n">
        <x:f>IF(OR(G361="",H361=""),"",SUMPRODUCT(('Cronograma'!$F$8:$P$8&lt;=H361)*('Cronograma'!$F$9:$P$9&gt;=G361)))</x:f>
        <x:v>1</x:v>
      </x:c>
      <x:c r="J361" s="46"/>
      <x:c r="K361" s="46"/>
      <x:c r="L361" s="47"/>
      <x:c r="M361" s="48" t="str"/>
      <x:c r="N361" s="48" t="str"/>
      <x:c r="O361" s="49" t="n">
        <x:v>46294</x:v>
      </x:c>
      <x:c r="P361" s="43" t="str">
        <x:v>Commit de integración y documentos</x:v>
      </x:c>
      <x:c r="Q361" s="43" t="str">
        <x:v>DIS02, COM01, PRO02</x:v>
      </x:c>
      <x:c r="R361" s="43" t="str"/>
      <x:c r="S361" s="43" t="str"/>
      <x:c r="T361" s="43" t="str">
        <x:v>S069, S070, S071</x:v>
      </x:c>
      <x:c r="U361" s="43" t="str">
        <x:v>docs/home-social-v7-integration.md
git:9f2f91d:lib/features/community/presentation/posts_feed.dart
git:9c551ab:README.md</x:v>
      </x:c>
    </x:row>
    <x:row r="362" ht="44" customHeight="1">
      <x:c r="A362" s="42" t="str">
        <x:v>SOC01.008</x:v>
      </x:c>
      <x:c r="B362" s="42" t="str">
        <x:v>Implementación de Inicio y post social v7</x:v>
      </x:c>
      <x:c r="C362" s="42" t="str">
        <x:v>SOC01</x:v>
      </x:c>
      <x:c r="D362" s="43" t="str">
        <x:v>Mostrar autor, avatar y metadata reales</x:v>
      </x:c>
      <x:c r="E362" s="43" t="str">
        <x:v>Cargar fecha, tipo y categoría del contenido.</x:v>
      </x:c>
      <x:c r="F362" s="43" t="str">
        <x:v>Completado</x:v>
      </x:c>
      <x:c r="G362" s="44" t="n">
        <x:v>46287</x:v>
      </x:c>
      <x:c r="H362" s="44" t="n">
        <x:v>46295</x:v>
      </x:c>
      <x:c r="I362" s="45" t="n">
        <x:f>IF(OR(G362="",H362=""),"",SUMPRODUCT(('Cronograma'!$F$8:$P$8&lt;=H362)*('Cronograma'!$F$9:$P$9&gt;=G362)))</x:f>
        <x:v>1</x:v>
      </x:c>
      <x:c r="J362" s="46"/>
      <x:c r="K362" s="46"/>
      <x:c r="L362" s="47"/>
      <x:c r="M362" s="48" t="str"/>
      <x:c r="N362" s="48" t="str"/>
      <x:c r="O362" s="49" t="n">
        <x:v>46294</x:v>
      </x:c>
      <x:c r="P362" s="43" t="str">
        <x:v>Commit de integración y documentos</x:v>
      </x:c>
      <x:c r="Q362" s="43" t="str">
        <x:v>DIS02, COM01, PRO02</x:v>
      </x:c>
      <x:c r="R362" s="43" t="str"/>
      <x:c r="S362" s="43" t="str"/>
      <x:c r="T362" s="43" t="str">
        <x:v>S069, S070, S071</x:v>
      </x:c>
      <x:c r="U362" s="43" t="str">
        <x:v>docs/home-social-v7-integration.md
git:9f2f91d:lib/features/community/presentation/posts_feed.dart
git:9c551ab:README.md</x:v>
      </x:c>
    </x:row>
    <x:row r="363" ht="44" customHeight="1">
      <x:c r="A363" s="42" t="str">
        <x:v>SOC01.009</x:v>
      </x:c>
      <x:c r="B363" s="42" t="str">
        <x:v>Implementación de Inicio y post social v7</x:v>
      </x:c>
      <x:c r="C363" s="42" t="str">
        <x:v>SOC01</x:v>
      </x:c>
      <x:c r="D363" s="43" t="str">
        <x:v>Expandir texto dentro del post</x:v>
      </x:c>
      <x:c r="E363" s="43" t="str">
        <x:v>Alternar Ver más y Ver menos sin visor separado.</x:v>
      </x:c>
      <x:c r="F363" s="43" t="str">
        <x:v>Completado</x:v>
      </x:c>
      <x:c r="G363" s="44" t="n">
        <x:v>46287</x:v>
      </x:c>
      <x:c r="H363" s="44" t="n">
        <x:v>46295</x:v>
      </x:c>
      <x:c r="I363" s="45" t="n">
        <x:f>IF(OR(G363="",H363=""),"",SUMPRODUCT(('Cronograma'!$F$8:$P$8&lt;=H363)*('Cronograma'!$F$9:$P$9&gt;=G363)))</x:f>
        <x:v>1</x:v>
      </x:c>
      <x:c r="J363" s="46"/>
      <x:c r="K363" s="46"/>
      <x:c r="L363" s="47"/>
      <x:c r="M363" s="48" t="str"/>
      <x:c r="N363" s="48" t="str"/>
      <x:c r="O363" s="49" t="n">
        <x:v>46294</x:v>
      </x:c>
      <x:c r="P363" s="43" t="str">
        <x:v>Commit de integración y documentos</x:v>
      </x:c>
      <x:c r="Q363" s="43" t="str">
        <x:v>DIS02, COM01, PRO02</x:v>
      </x:c>
      <x:c r="R363" s="43" t="str"/>
      <x:c r="S363" s="43" t="str"/>
      <x:c r="T363" s="43" t="str">
        <x:v>S069, S070, S071</x:v>
      </x:c>
      <x:c r="U363" s="43" t="str">
        <x:v>docs/home-social-v7-integration.md
git:9f2f91d:lib/features/community/presentation/posts_feed.dart
git:9c551ab:README.md</x:v>
      </x:c>
    </x:row>
    <x:row r="364" ht="44" customHeight="1">
      <x:c r="A364" s="42" t="str">
        <x:v>SOC01.010</x:v>
      </x:c>
      <x:c r="B364" s="42" t="str">
        <x:v>Implementación de Inicio y post social v7</x:v>
      </x:c>
      <x:c r="C364" s="42" t="str">
        <x:v>SOC01</x:v>
      </x:c>
      <x:c r="D364" s="43" t="str">
        <x:v>Consultar estadísticas por lote</x:v>
      </x:c>
      <x:c r="E364" s="43" t="str">
        <x:v>Evitar una consulta independiente por cada post.</x:v>
      </x:c>
      <x:c r="F364" s="43" t="str">
        <x:v>Completado</x:v>
      </x:c>
      <x:c r="G364" s="44" t="n">
        <x:v>46287</x:v>
      </x:c>
      <x:c r="H364" s="44" t="n">
        <x:v>46295</x:v>
      </x:c>
      <x:c r="I364" s="45" t="n">
        <x:f>IF(OR(G364="",H364=""),"",SUMPRODUCT(('Cronograma'!$F$8:$P$8&lt;=H364)*('Cronograma'!$F$9:$P$9&gt;=G364)))</x:f>
        <x:v>1</x:v>
      </x:c>
      <x:c r="J364" s="46"/>
      <x:c r="K364" s="46"/>
      <x:c r="L364" s="47"/>
      <x:c r="M364" s="48" t="str"/>
      <x:c r="N364" s="48" t="str"/>
      <x:c r="O364" s="49" t="n">
        <x:v>46294</x:v>
      </x:c>
      <x:c r="P364" s="43" t="str">
        <x:v>Commit de integración y documentos</x:v>
      </x:c>
      <x:c r="Q364" s="43" t="str">
        <x:v>DIS02, COM01, PRO02</x:v>
      </x:c>
      <x:c r="R364" s="43" t="str"/>
      <x:c r="S364" s="43" t="str"/>
      <x:c r="T364" s="43" t="str">
        <x:v>S069, S070, S071</x:v>
      </x:c>
      <x:c r="U364" s="43" t="str">
        <x:v>docs/home-social-v7-integration.md
git:9f2f91d:lib/features/community/presentation/posts_feed.dart
git:9c551ab:README.md</x:v>
      </x:c>
    </x:row>
    <x:row r="365" ht="44" customHeight="1">
      <x:c r="A365" s="42" t="str">
        <x:v>SOC01.011</x:v>
      </x:c>
      <x:c r="B365" s="42" t="str">
        <x:v>Implementación de Inicio y post social v7</x:v>
      </x:c>
      <x:c r="C365" s="42" t="str">
        <x:v>SOC01</x:v>
      </x:c>
      <x:c r="D365" s="43" t="str">
        <x:v>Paginar feed en páginas de 30</x:v>
      </x:c>
      <x:c r="E365" s="43" t="str">
        <x:v>Conservar contenido recibido al cargar más.</x:v>
      </x:c>
      <x:c r="F365" s="43" t="str">
        <x:v>Completado</x:v>
      </x:c>
      <x:c r="G365" s="44" t="n">
        <x:v>46287</x:v>
      </x:c>
      <x:c r="H365" s="44" t="n">
        <x:v>46295</x:v>
      </x:c>
      <x:c r="I365" s="45" t="n">
        <x:f>IF(OR(G365="",H365=""),"",SUMPRODUCT(('Cronograma'!$F$8:$P$8&lt;=H365)*('Cronograma'!$F$9:$P$9&gt;=G365)))</x:f>
        <x:v>1</x:v>
      </x:c>
      <x:c r="J365" s="46"/>
      <x:c r="K365" s="46"/>
      <x:c r="L365" s="47"/>
      <x:c r="M365" s="48" t="str"/>
      <x:c r="N365" s="48" t="str"/>
      <x:c r="O365" s="49" t="n">
        <x:v>46294</x:v>
      </x:c>
      <x:c r="P365" s="43" t="str">
        <x:v>Commit de integración y documentos</x:v>
      </x:c>
      <x:c r="Q365" s="43" t="str">
        <x:v>DIS02, COM01, PRO02</x:v>
      </x:c>
      <x:c r="R365" s="43" t="str"/>
      <x:c r="S365" s="43" t="str"/>
      <x:c r="T365" s="43" t="str">
        <x:v>S069, S070, S071</x:v>
      </x:c>
      <x:c r="U365" s="43" t="str">
        <x:v>docs/home-social-v7-integration.md
git:9f2f91d:lib/features/community/presentation/posts_feed.dart
git:9c551ab:README.md</x:v>
      </x:c>
    </x:row>
    <x:row r="366" ht="44" customHeight="1">
      <x:c r="A366" s="42" t="str">
        <x:v>SOC01.012</x:v>
      </x:c>
      <x:c r="B366" s="42" t="str">
        <x:v>Implementación de Inicio y post social v7</x:v>
      </x:c>
      <x:c r="C366" s="42" t="str">
        <x:v>SOC01</x:v>
      </x:c>
      <x:c r="D366" s="43" t="str">
        <x:v>Descartar respuestas antiguas del feed</x:v>
      </x:c>
      <x:c r="E366" s="43" t="str">
        <x:v>Evitar que consulta obsoleta reemplace resultados actuales.</x:v>
      </x:c>
      <x:c r="F366" s="43" t="str">
        <x:v>Completado</x:v>
      </x:c>
      <x:c r="G366" s="44" t="n">
        <x:v>46287</x:v>
      </x:c>
      <x:c r="H366" s="44" t="n">
        <x:v>46295</x:v>
      </x:c>
      <x:c r="I366" s="45" t="n">
        <x:f>IF(OR(G366="",H366=""),"",SUMPRODUCT(('Cronograma'!$F$8:$P$8&lt;=H366)*('Cronograma'!$F$9:$P$9&gt;=G366)))</x:f>
        <x:v>1</x:v>
      </x:c>
      <x:c r="J366" s="46"/>
      <x:c r="K366" s="46"/>
      <x:c r="L366" s="47"/>
      <x:c r="M366" s="48" t="str"/>
      <x:c r="N366" s="48" t="str"/>
      <x:c r="O366" s="49" t="n">
        <x:v>46294</x:v>
      </x:c>
      <x:c r="P366" s="43" t="str">
        <x:v>Commit de integración y documentos</x:v>
      </x:c>
      <x:c r="Q366" s="43" t="str">
        <x:v>DIS02, COM01, PRO02</x:v>
      </x:c>
      <x:c r="R366" s="43" t="str"/>
      <x:c r="S366" s="43" t="str"/>
      <x:c r="T366" s="43" t="str">
        <x:v>S069, S070, S071</x:v>
      </x:c>
      <x:c r="U366" s="43" t="str">
        <x:v>docs/home-social-v7-integration.md
git:9f2f91d:lib/features/community/presentation/posts_feed.dart
git:9c551ab:README.md</x:v>
      </x:c>
    </x:row>
    <x:row r="367" ht="44" customHeight="1">
      <x:c r="A367" s="42" t="str">
        <x:v>SOC01.013</x:v>
      </x:c>
      <x:c r="B367" s="42" t="str">
        <x:v>Implementación de Inicio y post social v7</x:v>
      </x:c>
      <x:c r="C367" s="42" t="str">
        <x:v>SOC01</x:v>
      </x:c>
      <x:c r="D367" s="43" t="str">
        <x:v>Reintentar carga sin perder páginas</x:v>
      </x:c>
      <x:c r="E367" s="43" t="str">
        <x:v>Mantener contenido visible ante fallo posterior.</x:v>
      </x:c>
      <x:c r="F367" s="43" t="str">
        <x:v>Completado</x:v>
      </x:c>
      <x:c r="G367" s="44" t="n">
        <x:v>46287</x:v>
      </x:c>
      <x:c r="H367" s="44" t="n">
        <x:v>46295</x:v>
      </x:c>
      <x:c r="I367" s="45" t="n">
        <x:f>IF(OR(G367="",H367=""),"",SUMPRODUCT(('Cronograma'!$F$8:$P$8&lt;=H367)*('Cronograma'!$F$9:$P$9&gt;=G367)))</x:f>
        <x:v>1</x:v>
      </x:c>
      <x:c r="J367" s="46"/>
      <x:c r="K367" s="46"/>
      <x:c r="L367" s="47"/>
      <x:c r="M367" s="48" t="str"/>
      <x:c r="N367" s="48" t="str"/>
      <x:c r="O367" s="49" t="n">
        <x:v>46294</x:v>
      </x:c>
      <x:c r="P367" s="43" t="str">
        <x:v>Commit de integración y documentos</x:v>
      </x:c>
      <x:c r="Q367" s="43" t="str">
        <x:v>DIS02, COM01, PRO02</x:v>
      </x:c>
      <x:c r="R367" s="43" t="str"/>
      <x:c r="S367" s="43" t="str"/>
      <x:c r="T367" s="43" t="str">
        <x:v>S069, S070, S071</x:v>
      </x:c>
      <x:c r="U367" s="43" t="str">
        <x:v>docs/home-social-v7-integration.md
git:9f2f91d:lib/features/community/presentation/posts_feed.dart
git:9c551ab:README.md</x:v>
      </x:c>
    </x:row>
    <x:row r="368" ht="44" customHeight="1">
      <x:c r="A368" s="42" t="str">
        <x:v>SOC01.014</x:v>
      </x:c>
      <x:c r="B368" s="42" t="str">
        <x:v>Implementación de Inicio y post social v7</x:v>
      </x:c>
      <x:c r="C368" s="42" t="str">
        <x:v>SOC01</x:v>
      </x:c>
      <x:c r="D368" s="43" t="str">
        <x:v>Integrar detalle de post con URL interna</x:v>
      </x:c>
      <x:c r="E368" s="43" t="str">
        <x:v>Usar /posts/:id como destino de lectura.</x:v>
      </x:c>
      <x:c r="F368" s="43" t="str">
        <x:v>Completado</x:v>
      </x:c>
      <x:c r="G368" s="44" t="n">
        <x:v>46287</x:v>
      </x:c>
      <x:c r="H368" s="44" t="n">
        <x:v>46295</x:v>
      </x:c>
      <x:c r="I368" s="45" t="n">
        <x:f>IF(OR(G368="",H368=""),"",SUMPRODUCT(('Cronograma'!$F$8:$P$8&lt;=H368)*('Cronograma'!$F$9:$P$9&gt;=G368)))</x:f>
        <x:v>1</x:v>
      </x:c>
      <x:c r="J368" s="46"/>
      <x:c r="K368" s="46"/>
      <x:c r="L368" s="47"/>
      <x:c r="M368" s="48" t="str"/>
      <x:c r="N368" s="48" t="str"/>
      <x:c r="O368" s="49" t="n">
        <x:v>46294</x:v>
      </x:c>
      <x:c r="P368" s="43" t="str">
        <x:v>Commit de integración y documentos</x:v>
      </x:c>
      <x:c r="Q368" s="43" t="str">
        <x:v>DIS02, COM01, PRO02</x:v>
      </x:c>
      <x:c r="R368" s="43" t="str"/>
      <x:c r="S368" s="43" t="str"/>
      <x:c r="T368" s="43" t="str">
        <x:v>S069, S070, S071</x:v>
      </x:c>
      <x:c r="U368" s="43" t="str">
        <x:v>docs/home-social-v7-integration.md
git:9f2f91d:lib/features/community/presentation/posts_feed.dart
git:9c551ab:README.md</x:v>
      </x:c>
    </x:row>
    <x:row r="369" ht="44" customHeight="1">
      <x:c r="A369" s="42" t="str">
        <x:v>SOC01.015</x:v>
      </x:c>
      <x:c r="B369" s="42" t="str">
        <x:v>Implementación de Inicio y post social v7</x:v>
      </x:c>
      <x:c r="C369" s="42" t="str">
        <x:v>SOC01</x:v>
      </x:c>
      <x:c r="D369" s="43" t="str">
        <x:v>Integrar v7 con el perfil y cuenta existentes</x:v>
      </x:c>
      <x:c r="E369" s="43" t="str">
        <x:v>Unir ramas sin duplicar capacidades.</x:v>
      </x:c>
      <x:c r="F369" s="43" t="str">
        <x:v>Completado</x:v>
      </x:c>
      <x:c r="G369" s="44" t="n">
        <x:v>46287</x:v>
      </x:c>
      <x:c r="H369" s="44" t="n">
        <x:v>46295</x:v>
      </x:c>
      <x:c r="I369" s="45" t="n">
        <x:f>IF(OR(G369="",H369=""),"",SUMPRODUCT(('Cronograma'!$F$8:$P$8&lt;=H369)*('Cronograma'!$F$9:$P$9&gt;=G369)))</x:f>
        <x:v>1</x:v>
      </x:c>
      <x:c r="J369" s="46"/>
      <x:c r="K369" s="46"/>
      <x:c r="L369" s="47"/>
      <x:c r="M369" s="48" t="str"/>
      <x:c r="N369" s="48" t="str"/>
      <x:c r="O369" s="49" t="n">
        <x:v>46294</x:v>
      </x:c>
      <x:c r="P369" s="43" t="str">
        <x:v>Commit de integración y documentos</x:v>
      </x:c>
      <x:c r="Q369" s="43" t="str">
        <x:v>DIS02, COM01, PRO02</x:v>
      </x:c>
      <x:c r="R369" s="43" t="str"/>
      <x:c r="S369" s="43" t="str"/>
      <x:c r="T369" s="43" t="str">
        <x:v>S069, S070, S071</x:v>
      </x:c>
      <x:c r="U369" s="43" t="str">
        <x:v>docs/home-social-v7-integration.md
git:9f2f91d:lib/features/community/presentation/posts_feed.dart
git:9c551ab:README.md</x:v>
      </x:c>
    </x:row>
    <x:row r="370" ht="56" customHeight="1">
      <x:c r="A370" s="42" t="str">
        <x:v>SOC02.001</x:v>
      </x:c>
      <x:c r="B370" s="42" t="str">
        <x:v>Reacciones, comentarios y compartir</x:v>
      </x:c>
      <x:c r="C370" s="42" t="str">
        <x:v>SOC02</x:v>
      </x:c>
      <x:c r="D370" s="43" t="str">
        <x:v>Crear reacción única por usuario y post</x:v>
      </x:c>
      <x:c r="E370" s="43" t="str">
        <x:v>Persistir selección sin duplicados.</x:v>
      </x:c>
      <x:c r="F370" s="43" t="str">
        <x:v>Completado</x:v>
      </x:c>
      <x:c r="G370" s="44" t="n">
        <x:v>46287</x:v>
      </x:c>
      <x:c r="H370" s="44" t="n">
        <x:v>46295</x:v>
      </x:c>
      <x:c r="I370" s="45" t="n">
        <x:f>IF(OR(G370="",H370=""),"",SUMPRODUCT(('Cronograma'!$F$8:$P$8&lt;=H370)*('Cronograma'!$F$9:$P$9&gt;=G370)))</x:f>
        <x:v>1</x:v>
      </x:c>
      <x:c r="J370" s="46"/>
      <x:c r="K370" s="46"/>
      <x:c r="L370" s="47"/>
      <x:c r="M370" s="48" t="str"/>
      <x:c r="N370" s="48" t="str"/>
      <x:c r="O370" s="49" t="n">
        <x:v>46294</x:v>
      </x:c>
      <x:c r="P370" s="43" t="str">
        <x:v>Reporte fechado y código asociado</x:v>
      </x:c>
      <x:c r="Q370" s="43" t="str">
        <x:v>SOC01</x:v>
      </x:c>
      <x:c r="R370" s="43" t="str"/>
      <x:c r="S370" s="43" t="str"/>
      <x:c r="T370" s="43" t="str">
        <x:v>S069, S072, S073, S074</x:v>
      </x:c>
      <x:c r="U370" s="43" t="str">
        <x:v>docs/home-social-v7-integration.md
supabase/migrations/009_post_reactions.sql
supabase/migrations/010_post_comments.sql
lib/features/community/data/social_repository.dart</x:v>
      </x:c>
    </x:row>
    <x:row r="371" ht="56" customHeight="1">
      <x:c r="A371" s="42" t="str">
        <x:v>SOC02.002</x:v>
      </x:c>
      <x:c r="B371" s="42" t="str">
        <x:v>Reacciones, comentarios y compartir</x:v>
      </x:c>
      <x:c r="C371" s="42" t="str">
        <x:v>SOC02</x:v>
      </x:c>
      <x:c r="D371" s="43" t="str">
        <x:v>Crear selector de tres reacciones</x:v>
      </x:c>
      <x:c r="E371" s="43" t="str">
        <x:v>Ofrecer Me gusta, Me inspira y Lo apoyo.</x:v>
      </x:c>
      <x:c r="F371" s="43" t="str">
        <x:v>Completado</x:v>
      </x:c>
      <x:c r="G371" s="44" t="n">
        <x:v>46287</x:v>
      </x:c>
      <x:c r="H371" s="44" t="n">
        <x:v>46295</x:v>
      </x:c>
      <x:c r="I371" s="45" t="n">
        <x:f>IF(OR(G371="",H371=""),"",SUMPRODUCT(('Cronograma'!$F$8:$P$8&lt;=H371)*('Cronograma'!$F$9:$P$9&gt;=G371)))</x:f>
        <x:v>1</x:v>
      </x:c>
      <x:c r="J371" s="46"/>
      <x:c r="K371" s="46"/>
      <x:c r="L371" s="47"/>
      <x:c r="M371" s="48" t="str"/>
      <x:c r="N371" s="48" t="str"/>
      <x:c r="O371" s="49" t="n">
        <x:v>46294</x:v>
      </x:c>
      <x:c r="P371" s="43" t="str">
        <x:v>Reporte fechado y código asociado</x:v>
      </x:c>
      <x:c r="Q371" s="43" t="str">
        <x:v>SOC01</x:v>
      </x:c>
      <x:c r="R371" s="43" t="str"/>
      <x:c r="S371" s="43" t="str"/>
      <x:c r="T371" s="43" t="str">
        <x:v>S069, S072, S073, S074</x:v>
      </x:c>
      <x:c r="U371" s="43" t="str">
        <x:v>docs/home-social-v7-integration.md
supabase/migrations/009_post_reactions.sql
supabase/migrations/010_post_comments.sql
lib/features/community/data/social_repository.dart</x:v>
      </x:c>
    </x:row>
    <x:row r="372" ht="56" customHeight="1">
      <x:c r="A372" s="42" t="str">
        <x:v>SOC02.003</x:v>
      </x:c>
      <x:c r="B372" s="42" t="str">
        <x:v>Reacciones, comentarios y compartir</x:v>
      </x:c>
      <x:c r="C372" s="42" t="str">
        <x:v>SOC02</x:v>
      </x:c>
      <x:c r="D372" s="43" t="str">
        <x:v>Retirar reacción activa</x:v>
      </x:c>
      <x:c r="E372" s="43" t="str">
        <x:v>Interpretar selección repetida como eliminación.</x:v>
      </x:c>
      <x:c r="F372" s="43" t="str">
        <x:v>Completado</x:v>
      </x:c>
      <x:c r="G372" s="44" t="n">
        <x:v>46287</x:v>
      </x:c>
      <x:c r="H372" s="44" t="n">
        <x:v>46295</x:v>
      </x:c>
      <x:c r="I372" s="45" t="n">
        <x:f>IF(OR(G372="",H372=""),"",SUMPRODUCT(('Cronograma'!$F$8:$P$8&lt;=H372)*('Cronograma'!$F$9:$P$9&gt;=G372)))</x:f>
        <x:v>1</x:v>
      </x:c>
      <x:c r="J372" s="46"/>
      <x:c r="K372" s="46"/>
      <x:c r="L372" s="47"/>
      <x:c r="M372" s="48" t="str"/>
      <x:c r="N372" s="48" t="str"/>
      <x:c r="O372" s="49" t="n">
        <x:v>46294</x:v>
      </x:c>
      <x:c r="P372" s="43" t="str">
        <x:v>Reporte fechado y código asociado</x:v>
      </x:c>
      <x:c r="Q372" s="43" t="str">
        <x:v>SOC01</x:v>
      </x:c>
      <x:c r="R372" s="43" t="str"/>
      <x:c r="S372" s="43" t="str"/>
      <x:c r="T372" s="43" t="str">
        <x:v>S069, S072, S073, S074</x:v>
      </x:c>
      <x:c r="U372" s="43" t="str">
        <x:v>docs/home-social-v7-integration.md
supabase/migrations/009_post_reactions.sql
supabase/migrations/010_post_comments.sql
lib/features/community/data/social_repository.dart</x:v>
      </x:c>
    </x:row>
    <x:row r="373" ht="56" customHeight="1">
      <x:c r="A373" s="42" t="str">
        <x:v>SOC02.004</x:v>
      </x:c>
      <x:c r="B373" s="42" t="str">
        <x:v>Reacciones, comentarios y compartir</x:v>
      </x:c>
      <x:c r="C373" s="42" t="str">
        <x:v>SOC02</x:v>
      </x:c>
      <x:c r="D373" s="43" t="str">
        <x:v>Cambiar tipo de reacción</x:v>
      </x:c>
      <x:c r="E373" s="43" t="str">
        <x:v>Reemplazar selección previa conservando unicidad.</x:v>
      </x:c>
      <x:c r="F373" s="43" t="str">
        <x:v>Completado</x:v>
      </x:c>
      <x:c r="G373" s="44" t="n">
        <x:v>46287</x:v>
      </x:c>
      <x:c r="H373" s="44" t="n">
        <x:v>46295</x:v>
      </x:c>
      <x:c r="I373" s="45" t="n">
        <x:f>IF(OR(G373="",H373=""),"",SUMPRODUCT(('Cronograma'!$F$8:$P$8&lt;=H373)*('Cronograma'!$F$9:$P$9&gt;=G373)))</x:f>
        <x:v>1</x:v>
      </x:c>
      <x:c r="J373" s="46"/>
      <x:c r="K373" s="46"/>
      <x:c r="L373" s="47"/>
      <x:c r="M373" s="48" t="str"/>
      <x:c r="N373" s="48" t="str"/>
      <x:c r="O373" s="49" t="n">
        <x:v>46294</x:v>
      </x:c>
      <x:c r="P373" s="43" t="str">
        <x:v>Reporte fechado y código asociado</x:v>
      </x:c>
      <x:c r="Q373" s="43" t="str">
        <x:v>SOC01</x:v>
      </x:c>
      <x:c r="R373" s="43" t="str"/>
      <x:c r="S373" s="43" t="str"/>
      <x:c r="T373" s="43" t="str">
        <x:v>S069, S072, S073, S074</x:v>
      </x:c>
      <x:c r="U373" s="43" t="str">
        <x:v>docs/home-social-v7-integration.md
supabase/migrations/009_post_reactions.sql
supabase/migrations/010_post_comments.sql
lib/features/community/data/social_repository.dart</x:v>
      </x:c>
    </x:row>
    <x:row r="374" ht="56" customHeight="1">
      <x:c r="A374" s="42" t="str">
        <x:v>SOC02.005</x:v>
      </x:c>
      <x:c r="B374" s="42" t="str">
        <x:v>Reacciones, comentarios y compartir</x:v>
      </x:c>
      <x:c r="C374" s="42" t="str">
        <x:v>SOC02</x:v>
      </x:c>
      <x:c r="D374" s="43" t="str">
        <x:v>Calcular total de reacciones</x:v>
      </x:c>
      <x:c r="E374" s="43" t="str">
        <x:v>Mostrar agregado confirmado por servidor.</x:v>
      </x:c>
      <x:c r="F374" s="43" t="str">
        <x:v>Completado</x:v>
      </x:c>
      <x:c r="G374" s="44" t="n">
        <x:v>46287</x:v>
      </x:c>
      <x:c r="H374" s="44" t="n">
        <x:v>46295</x:v>
      </x:c>
      <x:c r="I374" s="45" t="n">
        <x:f>IF(OR(G374="",H374=""),"",SUMPRODUCT(('Cronograma'!$F$8:$P$8&lt;=H374)*('Cronograma'!$F$9:$P$9&gt;=G374)))</x:f>
        <x:v>1</x:v>
      </x:c>
      <x:c r="J374" s="46"/>
      <x:c r="K374" s="46"/>
      <x:c r="L374" s="47"/>
      <x:c r="M374" s="48" t="str"/>
      <x:c r="N374" s="48" t="str"/>
      <x:c r="O374" s="49" t="n">
        <x:v>46294</x:v>
      </x:c>
      <x:c r="P374" s="43" t="str">
        <x:v>Reporte fechado y código asociado</x:v>
      </x:c>
      <x:c r="Q374" s="43" t="str">
        <x:v>SOC01</x:v>
      </x:c>
      <x:c r="R374" s="43" t="str"/>
      <x:c r="S374" s="43" t="str"/>
      <x:c r="T374" s="43" t="str">
        <x:v>S069, S072, S073, S074</x:v>
      </x:c>
      <x:c r="U374" s="43" t="str">
        <x:v>docs/home-social-v7-integration.md
supabase/migrations/009_post_reactions.sql
supabase/migrations/010_post_comments.sql
lib/features/community/data/social_repository.dart</x:v>
      </x:c>
    </x:row>
    <x:row r="375" ht="56" customHeight="1">
      <x:c r="A375" s="42" t="str">
        <x:v>SOC02.006</x:v>
      </x:c>
      <x:c r="B375" s="42" t="str">
        <x:v>Reacciones, comentarios y compartir</x:v>
      </x:c>
      <x:c r="C375" s="42" t="str">
        <x:v>SOC02</x:v>
      </x:c>
      <x:c r="D375" s="43" t="str">
        <x:v>Crear estadísticas sociales privadas/autorizadas</x:v>
      </x:c>
      <x:c r="E375" s="43" t="str">
        <x:v>Evitar escritura directa de conteos desde el cliente.</x:v>
      </x:c>
      <x:c r="F375" s="43" t="str">
        <x:v>Completado</x:v>
      </x:c>
      <x:c r="G375" s="44" t="n">
        <x:v>46287</x:v>
      </x:c>
      <x:c r="H375" s="44" t="n">
        <x:v>46295</x:v>
      </x:c>
      <x:c r="I375" s="45" t="n">
        <x:f>IF(OR(G375="",H375=""),"",SUMPRODUCT(('Cronograma'!$F$8:$P$8&lt;=H375)*('Cronograma'!$F$9:$P$9&gt;=G375)))</x:f>
        <x:v>1</x:v>
      </x:c>
      <x:c r="J375" s="46"/>
      <x:c r="K375" s="46"/>
      <x:c r="L375" s="47"/>
      <x:c r="M375" s="48" t="str"/>
      <x:c r="N375" s="48" t="str"/>
      <x:c r="O375" s="49" t="n">
        <x:v>46294</x:v>
      </x:c>
      <x:c r="P375" s="43" t="str">
        <x:v>Reporte fechado y código asociado</x:v>
      </x:c>
      <x:c r="Q375" s="43" t="str">
        <x:v>SOC01</x:v>
      </x:c>
      <x:c r="R375" s="43" t="str"/>
      <x:c r="S375" s="43" t="str"/>
      <x:c r="T375" s="43" t="str">
        <x:v>S069, S072, S073, S074</x:v>
      </x:c>
      <x:c r="U375" s="43" t="str">
        <x:v>docs/home-social-v7-integration.md
supabase/migrations/009_post_reactions.sql
supabase/migrations/010_post_comments.sql
lib/features/community/data/social_repository.dart</x:v>
      </x:c>
    </x:row>
    <x:row r="376" ht="56" customHeight="1">
      <x:c r="A376" s="42" t="str">
        <x:v>SOC02.007</x:v>
      </x:c>
      <x:c r="B376" s="42" t="str">
        <x:v>Reacciones, comentarios y compartir</x:v>
      </x:c>
      <x:c r="C376" s="42" t="str">
        <x:v>SOC02</x:v>
      </x:c>
      <x:c r="D376" s="43" t="str">
        <x:v>Crear tabla de comentarios</x:v>
      </x:c>
      <x:c r="E376" s="43" t="str">
        <x:v>Persistir autor, post y contenido plano.</x:v>
      </x:c>
      <x:c r="F376" s="43" t="str">
        <x:v>Completado</x:v>
      </x:c>
      <x:c r="G376" s="44" t="n">
        <x:v>46287</x:v>
      </x:c>
      <x:c r="H376" s="44" t="n">
        <x:v>46295</x:v>
      </x:c>
      <x:c r="I376" s="45" t="n">
        <x:f>IF(OR(G376="",H376=""),"",SUMPRODUCT(('Cronograma'!$F$8:$P$8&lt;=H376)*('Cronograma'!$F$9:$P$9&gt;=G376)))</x:f>
        <x:v>1</x:v>
      </x:c>
      <x:c r="J376" s="46"/>
      <x:c r="K376" s="46"/>
      <x:c r="L376" s="47"/>
      <x:c r="M376" s="48" t="str"/>
      <x:c r="N376" s="48" t="str"/>
      <x:c r="O376" s="49" t="n">
        <x:v>46294</x:v>
      </x:c>
      <x:c r="P376" s="43" t="str">
        <x:v>Reporte fechado y código asociado</x:v>
      </x:c>
      <x:c r="Q376" s="43" t="str">
        <x:v>SOC01</x:v>
      </x:c>
      <x:c r="R376" s="43" t="str"/>
      <x:c r="S376" s="43" t="str"/>
      <x:c r="T376" s="43" t="str">
        <x:v>S069, S072, S073, S074</x:v>
      </x:c>
      <x:c r="U376" s="43" t="str">
        <x:v>docs/home-social-v7-integration.md
supabase/migrations/009_post_reactions.sql
supabase/migrations/010_post_comments.sql
lib/features/community/data/social_repository.dart</x:v>
      </x:c>
    </x:row>
    <x:row r="377" ht="56" customHeight="1">
      <x:c r="A377" s="42" t="str">
        <x:v>SOC02.008</x:v>
      </x:c>
      <x:c r="B377" s="42" t="str">
        <x:v>Reacciones, comentarios y compartir</x:v>
      </x:c>
      <x:c r="C377" s="42" t="str">
        <x:v>SOC02</x:v>
      </x:c>
      <x:c r="D377" s="43" t="str">
        <x:v>Validar longitud de comentario</x:v>
      </x:c>
      <x:c r="E377" s="43" t="str">
        <x:v>Aceptar texto de 1 a 1000 caracteres.</x:v>
      </x:c>
      <x:c r="F377" s="43" t="str">
        <x:v>Completado</x:v>
      </x:c>
      <x:c r="G377" s="44" t="n">
        <x:v>46287</x:v>
      </x:c>
      <x:c r="H377" s="44" t="n">
        <x:v>46295</x:v>
      </x:c>
      <x:c r="I377" s="45" t="n">
        <x:f>IF(OR(G377="",H377=""),"",SUMPRODUCT(('Cronograma'!$F$8:$P$8&lt;=H377)*('Cronograma'!$F$9:$P$9&gt;=G377)))</x:f>
        <x:v>1</x:v>
      </x:c>
      <x:c r="J377" s="46"/>
      <x:c r="K377" s="46"/>
      <x:c r="L377" s="47"/>
      <x:c r="M377" s="48" t="str"/>
      <x:c r="N377" s="48" t="str"/>
      <x:c r="O377" s="49" t="n">
        <x:v>46294</x:v>
      </x:c>
      <x:c r="P377" s="43" t="str">
        <x:v>Reporte fechado y código asociado</x:v>
      </x:c>
      <x:c r="Q377" s="43" t="str">
        <x:v>SOC01</x:v>
      </x:c>
      <x:c r="R377" s="43" t="str"/>
      <x:c r="S377" s="43" t="str"/>
      <x:c r="T377" s="43" t="str">
        <x:v>S069, S072, S073, S074</x:v>
      </x:c>
      <x:c r="U377" s="43" t="str">
        <x:v>docs/home-social-v7-integration.md
supabase/migrations/009_post_reactions.sql
supabase/migrations/010_post_comments.sql
lib/features/community/data/social_repository.dart</x:v>
      </x:c>
    </x:row>
    <x:row r="378" ht="56" customHeight="1">
      <x:c r="A378" s="42" t="str">
        <x:v>SOC02.009</x:v>
      </x:c>
      <x:c r="B378" s="42" t="str">
        <x:v>Reacciones, comentarios y compartir</x:v>
      </x:c>
      <x:c r="C378" s="42" t="str">
        <x:v>SOC02</x:v>
      </x:c>
      <x:c r="D378" s="43" t="str">
        <x:v>Crear panel de comentarios móvil/web</x:v>
      </x:c>
      <x:c r="E378" s="43" t="str">
        <x:v>Adaptar sheet inferior y panel lateral.</x:v>
      </x:c>
      <x:c r="F378" s="43" t="str">
        <x:v>Completado</x:v>
      </x:c>
      <x:c r="G378" s="44" t="n">
        <x:v>46287</x:v>
      </x:c>
      <x:c r="H378" s="44" t="n">
        <x:v>46295</x:v>
      </x:c>
      <x:c r="I378" s="45" t="n">
        <x:f>IF(OR(G378="",H378=""),"",SUMPRODUCT(('Cronograma'!$F$8:$P$8&lt;=H378)*('Cronograma'!$F$9:$P$9&gt;=G378)))</x:f>
        <x:v>1</x:v>
      </x:c>
      <x:c r="J378" s="46"/>
      <x:c r="K378" s="46"/>
      <x:c r="L378" s="47"/>
      <x:c r="M378" s="48" t="str"/>
      <x:c r="N378" s="48" t="str"/>
      <x:c r="O378" s="49" t="n">
        <x:v>46294</x:v>
      </x:c>
      <x:c r="P378" s="43" t="str">
        <x:v>Reporte fechado y código asociado</x:v>
      </x:c>
      <x:c r="Q378" s="43" t="str">
        <x:v>SOC01</x:v>
      </x:c>
      <x:c r="R378" s="43" t="str"/>
      <x:c r="S378" s="43" t="str"/>
      <x:c r="T378" s="43" t="str">
        <x:v>S069, S072, S073, S074</x:v>
      </x:c>
      <x:c r="U378" s="43" t="str">
        <x:v>docs/home-social-v7-integration.md
supabase/migrations/009_post_reactions.sql
supabase/migrations/010_post_comments.sql
lib/features/community/data/social_repository.dart</x:v>
      </x:c>
    </x:row>
    <x:row r="379" ht="56" customHeight="1">
      <x:c r="A379" s="42" t="str">
        <x:v>SOC02.010</x:v>
      </x:c>
      <x:c r="B379" s="42" t="str">
        <x:v>Reacciones, comentarios y compartir</x:v>
      </x:c>
      <x:c r="C379" s="42" t="str">
        <x:v>SOC02</x:v>
      </x:c>
      <x:c r="D379" s="43" t="str">
        <x:v>Paginar comentarios en páginas de 30</x:v>
      </x:c>
      <x:c r="E379" s="43" t="str">
        <x:v>Cargar entradas siguientes con offset real.</x:v>
      </x:c>
      <x:c r="F379" s="43" t="str">
        <x:v>Completado</x:v>
      </x:c>
      <x:c r="G379" s="44" t="n">
        <x:v>46287</x:v>
      </x:c>
      <x:c r="H379" s="44" t="n">
        <x:v>46295</x:v>
      </x:c>
      <x:c r="I379" s="45" t="n">
        <x:f>IF(OR(G379="",H379=""),"",SUMPRODUCT(('Cronograma'!$F$8:$P$8&lt;=H379)*('Cronograma'!$F$9:$P$9&gt;=G379)))</x:f>
        <x:v>1</x:v>
      </x:c>
      <x:c r="J379" s="46"/>
      <x:c r="K379" s="46"/>
      <x:c r="L379" s="47"/>
      <x:c r="M379" s="48" t="str"/>
      <x:c r="N379" s="48" t="str"/>
      <x:c r="O379" s="49" t="n">
        <x:v>46294</x:v>
      </x:c>
      <x:c r="P379" s="43" t="str">
        <x:v>Reporte fechado y código asociado</x:v>
      </x:c>
      <x:c r="Q379" s="43" t="str">
        <x:v>SOC01</x:v>
      </x:c>
      <x:c r="R379" s="43" t="str"/>
      <x:c r="S379" s="43" t="str"/>
      <x:c r="T379" s="43" t="str">
        <x:v>S069, S072, S073, S074</x:v>
      </x:c>
      <x:c r="U379" s="43" t="str">
        <x:v>docs/home-social-v7-integration.md
supabase/migrations/009_post_reactions.sql
supabase/migrations/010_post_comments.sql
lib/features/community/data/social_repository.dart</x:v>
      </x:c>
    </x:row>
    <x:row r="380" ht="56" customHeight="1">
      <x:c r="A380" s="42" t="str">
        <x:v>SOC02.011</x:v>
      </x:c>
      <x:c r="B380" s="42" t="str">
        <x:v>Reacciones, comentarios y compartir</x:v>
      </x:c>
      <x:c r="C380" s="42" t="str">
        <x:v>SOC02</x:v>
      </x:c>
      <x:c r="D380" s="43" t="str">
        <x:v>Conservar borrador e ID de comentario</x:v>
      </x:c>
      <x:c r="E380" s="43" t="str">
        <x:v>Mantener operación estable al cerrar y reintentar.</x:v>
      </x:c>
      <x:c r="F380" s="43" t="str">
        <x:v>Completado</x:v>
      </x:c>
      <x:c r="G380" s="44" t="n">
        <x:v>46287</x:v>
      </x:c>
      <x:c r="H380" s="44" t="n">
        <x:v>46295</x:v>
      </x:c>
      <x:c r="I380" s="45" t="n">
        <x:f>IF(OR(G380="",H380=""),"",SUMPRODUCT(('Cronograma'!$F$8:$P$8&lt;=H380)*('Cronograma'!$F$9:$P$9&gt;=G380)))</x:f>
        <x:v>1</x:v>
      </x:c>
      <x:c r="J380" s="46"/>
      <x:c r="K380" s="46"/>
      <x:c r="L380" s="47"/>
      <x:c r="M380" s="48" t="str"/>
      <x:c r="N380" s="48" t="str"/>
      <x:c r="O380" s="49" t="n">
        <x:v>46294</x:v>
      </x:c>
      <x:c r="P380" s="43" t="str">
        <x:v>Reporte fechado y código asociado</x:v>
      </x:c>
      <x:c r="Q380" s="43" t="str">
        <x:v>SOC01</x:v>
      </x:c>
      <x:c r="R380" s="43" t="str"/>
      <x:c r="S380" s="43" t="str"/>
      <x:c r="T380" s="43" t="str">
        <x:v>S069, S072, S073, S074</x:v>
      </x:c>
      <x:c r="U380" s="43" t="str">
        <x:v>docs/home-social-v7-integration.md
supabase/migrations/009_post_reactions.sql
supabase/migrations/010_post_comments.sql
lib/features/community/data/social_repository.dart</x:v>
      </x:c>
    </x:row>
    <x:row r="381" ht="56" customHeight="1">
      <x:c r="A381" s="42" t="str">
        <x:v>SOC02.012</x:v>
      </x:c>
      <x:c r="B381" s="42" t="str">
        <x:v>Reacciones, comentarios y compartir</x:v>
      </x:c>
      <x:c r="C381" s="42" t="str">
        <x:v>SOC02</x:v>
      </x:c>
      <x:c r="D381" s="43" t="str">
        <x:v>Eliminar comentario autorizado</x:v>
      </x:c>
      <x:c r="E381" s="43" t="str">
        <x:v>Solicitar confirmación y aplicar permisos de servidor.</x:v>
      </x:c>
      <x:c r="F381" s="43" t="str">
        <x:v>Completado</x:v>
      </x:c>
      <x:c r="G381" s="44" t="n">
        <x:v>46287</x:v>
      </x:c>
      <x:c r="H381" s="44" t="n">
        <x:v>46295</x:v>
      </x:c>
      <x:c r="I381" s="45" t="n">
        <x:f>IF(OR(G381="",H381=""),"",SUMPRODUCT(('Cronograma'!$F$8:$P$8&lt;=H381)*('Cronograma'!$F$9:$P$9&gt;=G381)))</x:f>
        <x:v>1</x:v>
      </x:c>
      <x:c r="J381" s="46"/>
      <x:c r="K381" s="46"/>
      <x:c r="L381" s="47"/>
      <x:c r="M381" s="48" t="str"/>
      <x:c r="N381" s="48" t="str"/>
      <x:c r="O381" s="49" t="n">
        <x:v>46294</x:v>
      </x:c>
      <x:c r="P381" s="43" t="str">
        <x:v>Reporte fechado y código asociado</x:v>
      </x:c>
      <x:c r="Q381" s="43" t="str">
        <x:v>SOC01</x:v>
      </x:c>
      <x:c r="R381" s="43" t="str"/>
      <x:c r="S381" s="43" t="str"/>
      <x:c r="T381" s="43" t="str">
        <x:v>S069, S072, S073, S074</x:v>
      </x:c>
      <x:c r="U381" s="43" t="str">
        <x:v>docs/home-social-v7-integration.md
supabase/migrations/009_post_reactions.sql
supabase/migrations/010_post_comments.sql
lib/features/community/data/social_repository.dart</x:v>
      </x:c>
    </x:row>
    <x:row r="382" ht="56" customHeight="1">
      <x:c r="A382" s="42" t="str">
        <x:v>SOC02.013</x:v>
      </x:c>
      <x:c r="B382" s="42" t="str">
        <x:v>Reacciones, comentarios y compartir</x:v>
      </x:c>
      <x:c r="C382" s="42" t="str">
        <x:v>SOC02</x:v>
      </x:c>
      <x:c r="D382" s="43" t="str">
        <x:v>Crear notificación transaccional de comentario</x:v>
      </x:c>
      <x:c r="E382" s="43" t="str">
        <x:v>Coordinar publicación del comentario y evento.</x:v>
      </x:c>
      <x:c r="F382" s="43" t="str">
        <x:v>Completado</x:v>
      </x:c>
      <x:c r="G382" s="44" t="n">
        <x:v>46287</x:v>
      </x:c>
      <x:c r="H382" s="44" t="n">
        <x:v>46295</x:v>
      </x:c>
      <x:c r="I382" s="45" t="n">
        <x:f>IF(OR(G382="",H382=""),"",SUMPRODUCT(('Cronograma'!$F$8:$P$8&lt;=H382)*('Cronograma'!$F$9:$P$9&gt;=G382)))</x:f>
        <x:v>1</x:v>
      </x:c>
      <x:c r="J382" s="46"/>
      <x:c r="K382" s="46"/>
      <x:c r="L382" s="47"/>
      <x:c r="M382" s="48" t="str"/>
      <x:c r="N382" s="48" t="str"/>
      <x:c r="O382" s="49" t="n">
        <x:v>46294</x:v>
      </x:c>
      <x:c r="P382" s="43" t="str">
        <x:v>Reporte fechado y código asociado</x:v>
      </x:c>
      <x:c r="Q382" s="43" t="str">
        <x:v>SOC01</x:v>
      </x:c>
      <x:c r="R382" s="43" t="str"/>
      <x:c r="S382" s="43" t="str"/>
      <x:c r="T382" s="43" t="str">
        <x:v>S069, S072, S073, S074</x:v>
      </x:c>
      <x:c r="U382" s="43" t="str">
        <x:v>docs/home-social-v7-integration.md
supabase/migrations/009_post_reactions.sql
supabase/migrations/010_post_comments.sql
lib/features/community/data/social_repository.dart</x:v>
      </x:c>
    </x:row>
    <x:row r="383" ht="56" customHeight="1">
      <x:c r="A383" s="42" t="str">
        <x:v>SOC02.014</x:v>
      </x:c>
      <x:c r="B383" s="42" t="str">
        <x:v>Reacciones, comentarios y compartir</x:v>
      </x:c>
      <x:c r="C383" s="42" t="str">
        <x:v>SOC02</x:v>
      </x:c>
      <x:c r="D383" s="43" t="str">
        <x:v>Corregir paginación con comentario destacado</x:v>
      </x:c>
      <x:c r="E383" s="43" t="str">
        <x:v>Contar solo filas de páginas recibidas.</x:v>
      </x:c>
      <x:c r="F383" s="43" t="str">
        <x:v>Completado</x:v>
      </x:c>
      <x:c r="G383" s="44" t="n">
        <x:v>46287</x:v>
      </x:c>
      <x:c r="H383" s="44" t="n">
        <x:v>46295</x:v>
      </x:c>
      <x:c r="I383" s="45" t="n">
        <x:f>IF(OR(G383="",H383=""),"",SUMPRODUCT(('Cronograma'!$F$8:$P$8&lt;=H383)*('Cronograma'!$F$9:$P$9&gt;=G383)))</x:f>
        <x:v>1</x:v>
      </x:c>
      <x:c r="J383" s="46"/>
      <x:c r="K383" s="46"/>
      <x:c r="L383" s="47"/>
      <x:c r="M383" s="48" t="str"/>
      <x:c r="N383" s="48" t="str"/>
      <x:c r="O383" s="49" t="n">
        <x:v>46294</x:v>
      </x:c>
      <x:c r="P383" s="43" t="str">
        <x:v>Reporte fechado y código asociado</x:v>
      </x:c>
      <x:c r="Q383" s="43" t="str">
        <x:v>SOC01</x:v>
      </x:c>
      <x:c r="R383" s="43" t="str"/>
      <x:c r="S383" s="43" t="str"/>
      <x:c r="T383" s="43" t="str">
        <x:v>S069, S072, S073, S074</x:v>
      </x:c>
      <x:c r="U383" s="43" t="str">
        <x:v>docs/home-social-v7-integration.md
supabase/migrations/009_post_reactions.sql
supabase/migrations/010_post_comments.sql
lib/features/community/data/social_repository.dart</x:v>
      </x:c>
    </x:row>
    <x:row r="384" ht="56" customHeight="1">
      <x:c r="A384" s="42" t="str">
        <x:v>SOC02.015</x:v>
      </x:c>
      <x:c r="B384" s="42" t="str">
        <x:v>Reacciones, comentarios y compartir</x:v>
      </x:c>
      <x:c r="C384" s="42" t="str">
        <x:v>SOC02</x:v>
      </x:c>
      <x:c r="D384" s="43" t="str">
        <x:v>Generar enlace público del post</x:v>
      </x:c>
      <x:c r="E384" s="43" t="str">
        <x:v>Usar APP_PUBLIC_URL y ruta interna.</x:v>
      </x:c>
      <x:c r="F384" s="43" t="str">
        <x:v>Completado</x:v>
      </x:c>
      <x:c r="G384" s="44" t="n">
        <x:v>46287</x:v>
      </x:c>
      <x:c r="H384" s="44" t="n">
        <x:v>46295</x:v>
      </x:c>
      <x:c r="I384" s="45" t="n">
        <x:f>IF(OR(G384="",H384=""),"",SUMPRODUCT(('Cronograma'!$F$8:$P$8&lt;=H384)*('Cronograma'!$F$9:$P$9&gt;=G384)))</x:f>
        <x:v>1</x:v>
      </x:c>
      <x:c r="J384" s="46"/>
      <x:c r="K384" s="46"/>
      <x:c r="L384" s="47"/>
      <x:c r="M384" s="48" t="str"/>
      <x:c r="N384" s="48" t="str"/>
      <x:c r="O384" s="49" t="n">
        <x:v>46294</x:v>
      </x:c>
      <x:c r="P384" s="43" t="str">
        <x:v>Reporte fechado y código asociado</x:v>
      </x:c>
      <x:c r="Q384" s="43" t="str">
        <x:v>SOC01</x:v>
      </x:c>
      <x:c r="R384" s="43" t="str"/>
      <x:c r="S384" s="43" t="str"/>
      <x:c r="T384" s="43" t="str">
        <x:v>S069, S072, S073, S074</x:v>
      </x:c>
      <x:c r="U384" s="43" t="str">
        <x:v>docs/home-social-v7-integration.md
supabase/migrations/009_post_reactions.sql
supabase/migrations/010_post_comments.sql
lib/features/community/data/social_repository.dart</x:v>
      </x:c>
    </x:row>
    <x:row r="385" ht="56" customHeight="1">
      <x:c r="A385" s="42" t="str">
        <x:v>SOC02.016</x:v>
      </x:c>
      <x:c r="B385" s="42" t="str">
        <x:v>Reacciones, comentarios y compartir</x:v>
      </x:c>
      <x:c r="C385" s="42" t="str">
        <x:v>SOC02</x:v>
      </x:c>
      <x:c r="D385" s="43" t="str">
        <x:v>Compartir enlace mediante plataforma</x:v>
      </x:c>
      <x:c r="E385" s="43" t="str">
        <x:v>Integrar share_plus y gestionar disponibilidad.</x:v>
      </x:c>
      <x:c r="F385" s="43" t="str">
        <x:v>Completado</x:v>
      </x:c>
      <x:c r="G385" s="44" t="n">
        <x:v>46287</x:v>
      </x:c>
      <x:c r="H385" s="44" t="n">
        <x:v>46295</x:v>
      </x:c>
      <x:c r="I385" s="45" t="n">
        <x:f>IF(OR(G385="",H385=""),"",SUMPRODUCT(('Cronograma'!$F$8:$P$8&lt;=H385)*('Cronograma'!$F$9:$P$9&gt;=G385)))</x:f>
        <x:v>1</x:v>
      </x:c>
      <x:c r="J385" s="46"/>
      <x:c r="K385" s="46"/>
      <x:c r="L385" s="47"/>
      <x:c r="M385" s="48" t="str"/>
      <x:c r="N385" s="48" t="str"/>
      <x:c r="O385" s="49" t="n">
        <x:v>46294</x:v>
      </x:c>
      <x:c r="P385" s="43" t="str">
        <x:v>Reporte fechado y código asociado</x:v>
      </x:c>
      <x:c r="Q385" s="43" t="str">
        <x:v>SOC01</x:v>
      </x:c>
      <x:c r="R385" s="43" t="str"/>
      <x:c r="S385" s="43" t="str"/>
      <x:c r="T385" s="43" t="str">
        <x:v>S069, S072, S073, S074</x:v>
      </x:c>
      <x:c r="U385" s="43" t="str">
        <x:v>docs/home-social-v7-integration.md
supabase/migrations/009_post_reactions.sql
supabase/migrations/010_post_comments.sql
lib/features/community/data/social_repository.dart</x:v>
      </x:c>
    </x:row>
    <x:row r="386" ht="56" customHeight="1">
      <x:c r="A386" s="42" t="str">
        <x:v>SOC02.017</x:v>
      </x:c>
      <x:c r="B386" s="42" t="str">
        <x:v>Reacciones, comentarios y compartir</x:v>
      </x:c>
      <x:c r="C386" s="42" t="str">
        <x:v>SOC02</x:v>
      </x:c>
      <x:c r="D386" s="43" t="str">
        <x:v>Ofrecer copiar enlace como alternativa</x:v>
      </x:c>
      <x:c r="E386" s="43" t="str">
        <x:v>Usar Clipboard cuando compartir no está disponible.</x:v>
      </x:c>
      <x:c r="F386" s="43" t="str">
        <x:v>Completado</x:v>
      </x:c>
      <x:c r="G386" s="44" t="n">
        <x:v>46287</x:v>
      </x:c>
      <x:c r="H386" s="44" t="n">
        <x:v>46295</x:v>
      </x:c>
      <x:c r="I386" s="45" t="n">
        <x:f>IF(OR(G386="",H386=""),"",SUMPRODUCT(('Cronograma'!$F$8:$P$8&lt;=H386)*('Cronograma'!$F$9:$P$9&gt;=G386)))</x:f>
        <x:v>1</x:v>
      </x:c>
      <x:c r="J386" s="46"/>
      <x:c r="K386" s="46"/>
      <x:c r="L386" s="47"/>
      <x:c r="M386" s="48" t="str"/>
      <x:c r="N386" s="48" t="str"/>
      <x:c r="O386" s="49" t="n">
        <x:v>46294</x:v>
      </x:c>
      <x:c r="P386" s="43" t="str">
        <x:v>Reporte fechado y código asociado</x:v>
      </x:c>
      <x:c r="Q386" s="43" t="str">
        <x:v>SOC01</x:v>
      </x:c>
      <x:c r="R386" s="43" t="str"/>
      <x:c r="S386" s="43" t="str"/>
      <x:c r="T386" s="43" t="str">
        <x:v>S069, S072, S073, S074</x:v>
      </x:c>
      <x:c r="U386" s="43" t="str">
        <x:v>docs/home-social-v7-integration.md
supabase/migrations/009_post_reactions.sql
supabase/migrations/010_post_comments.sql
lib/features/community/data/social_repository.dart</x:v>
      </x:c>
    </x:row>
    <x:row r="387" ht="56" customHeight="1">
      <x:c r="A387" s="42" t="str">
        <x:v>SOC02.018</x:v>
      </x:c>
      <x:c r="B387" s="42" t="str">
        <x:v>Reacciones, comentarios y compartir</x:v>
      </x:c>
      <x:c r="C387" s="42" t="str">
        <x:v>SOC02</x:v>
      </x:c>
      <x:c r="D387" s="43" t="str">
        <x:v>Manejar cancelación de compartir</x:v>
      </x:c>
      <x:c r="E387" s="43" t="str">
        <x:v>No mostrar confirmación de éxito tras cancelar.</x:v>
      </x:c>
      <x:c r="F387" s="43" t="str">
        <x:v>Completado</x:v>
      </x:c>
      <x:c r="G387" s="44" t="n">
        <x:v>46287</x:v>
      </x:c>
      <x:c r="H387" s="44" t="n">
        <x:v>46295</x:v>
      </x:c>
      <x:c r="I387" s="45" t="n">
        <x:f>IF(OR(G387="",H387=""),"",SUMPRODUCT(('Cronograma'!$F$8:$P$8&lt;=H387)*('Cronograma'!$F$9:$P$9&gt;=G387)))</x:f>
        <x:v>1</x:v>
      </x:c>
      <x:c r="J387" s="46"/>
      <x:c r="K387" s="46"/>
      <x:c r="L387" s="47"/>
      <x:c r="M387" s="48" t="str"/>
      <x:c r="N387" s="48" t="str"/>
      <x:c r="O387" s="49" t="n">
        <x:v>46294</x:v>
      </x:c>
      <x:c r="P387" s="43" t="str">
        <x:v>Reporte fechado y código asociado</x:v>
      </x:c>
      <x:c r="Q387" s="43" t="str">
        <x:v>SOC01</x:v>
      </x:c>
      <x:c r="R387" s="43" t="str"/>
      <x:c r="S387" s="43" t="str"/>
      <x:c r="T387" s="43" t="str">
        <x:v>S069, S072, S073, S074</x:v>
      </x:c>
      <x:c r="U387" s="43" t="str">
        <x:v>docs/home-social-v7-integration.md
supabase/migrations/009_post_reactions.sql
supabase/migrations/010_post_comments.sql
lib/features/community/data/social_repository.dart</x:v>
      </x:c>
    </x:row>
    <x:row r="388" ht="44" customHeight="1">
      <x:c r="A388" s="42" t="str">
        <x:v>SOC03.001</x:v>
      </x:c>
      <x:c r="B388" s="42" t="str">
        <x:v>Guardados y colaboración en publicaciones</x:v>
      </x:c>
      <x:c r="C388" s="42" t="str">
        <x:v>SOC03</x:v>
      </x:c>
      <x:c r="D388" s="43" t="str">
        <x:v>Abrir Guardados desde cabecera</x:v>
      </x:c>
      <x:c r="E388" s="43" t="str">
        <x:v>Usar /explore?section=saved y repositorios existentes.</x:v>
      </x:c>
      <x:c r="F388" s="43" t="str">
        <x:v>Completado</x:v>
      </x:c>
      <x:c r="G388" s="44" t="n">
        <x:v>46287</x:v>
      </x:c>
      <x:c r="H388" s="44" t="n">
        <x:v>46295</x:v>
      </x:c>
      <x:c r="I388" s="45" t="n">
        <x:f>IF(OR(G388="",H388=""),"",SUMPRODUCT(('Cronograma'!$F$8:$P$8&lt;=H388)*('Cronograma'!$F$9:$P$9&gt;=G388)))</x:f>
        <x:v>1</x:v>
      </x:c>
      <x:c r="J388" s="46"/>
      <x:c r="K388" s="46"/>
      <x:c r="L388" s="47"/>
      <x:c r="M388" s="48" t="str"/>
      <x:c r="N388" s="48" t="str"/>
      <x:c r="O388" s="49" t="n">
        <x:v>46294</x:v>
      </x:c>
      <x:c r="P388" s="43" t="str">
        <x:v>Reporte fechado y código asociado</x:v>
      </x:c>
      <x:c r="Q388" s="43" t="str">
        <x:v>SOC01, SOC02, PRO02</x:v>
      </x:c>
      <x:c r="R388" s="43" t="str"/>
      <x:c r="S388" s="43" t="str"/>
      <x:c r="T388" s="43" t="str">
        <x:v>S069, S075, S076</x:v>
      </x:c>
      <x:c r="U388" s="43" t="str">
        <x:v>docs/home-social-v7-integration.md
supabase/migrations/011_post_collaboration.sql
lib/features/community/presentation/social_panels.dart</x:v>
      </x:c>
    </x:row>
    <x:row r="389" ht="44" customHeight="1">
      <x:c r="A389" s="42" t="str">
        <x:v>SOC03.002</x:v>
      </x:c>
      <x:c r="B389" s="42" t="str">
        <x:v>Guardados y colaboración en publicaciones</x:v>
      </x:c>
      <x:c r="C389" s="42" t="str">
        <x:v>SOC03</x:v>
      </x:c>
      <x:c r="D389" s="43" t="str">
        <x:v>Separar Publicaciones y Fichas guardadas</x:v>
      </x:c>
      <x:c r="E389" s="43" t="str">
        <x:v>Reutilizar colecciones privadas sin almacenamiento paralelo.</x:v>
      </x:c>
      <x:c r="F389" s="43" t="str">
        <x:v>Completado</x:v>
      </x:c>
      <x:c r="G389" s="44" t="n">
        <x:v>46287</x:v>
      </x:c>
      <x:c r="H389" s="44" t="n">
        <x:v>46295</x:v>
      </x:c>
      <x:c r="I389" s="45" t="n">
        <x:f>IF(OR(G389="",H389=""),"",SUMPRODUCT(('Cronograma'!$F$8:$P$8&lt;=H389)*('Cronograma'!$F$9:$P$9&gt;=G389)))</x:f>
        <x:v>1</x:v>
      </x:c>
      <x:c r="J389" s="46"/>
      <x:c r="K389" s="46"/>
      <x:c r="L389" s="47"/>
      <x:c r="M389" s="48" t="str"/>
      <x:c r="N389" s="48" t="str"/>
      <x:c r="O389" s="49" t="n">
        <x:v>46294</x:v>
      </x:c>
      <x:c r="P389" s="43" t="str">
        <x:v>Reporte fechado y código asociado</x:v>
      </x:c>
      <x:c r="Q389" s="43" t="str">
        <x:v>SOC01, SOC02, PRO02</x:v>
      </x:c>
      <x:c r="R389" s="43" t="str"/>
      <x:c r="S389" s="43" t="str"/>
      <x:c r="T389" s="43" t="str">
        <x:v>S069, S075, S076</x:v>
      </x:c>
      <x:c r="U389" s="43" t="str">
        <x:v>docs/home-social-v7-integration.md
supabase/migrations/011_post_collaboration.sql
lib/features/community/presentation/social_panels.dart</x:v>
      </x:c>
    </x:row>
    <x:row r="390" ht="44" customHeight="1">
      <x:c r="A390" s="42" t="str">
        <x:v>SOC03.003</x:v>
      </x:c>
      <x:c r="B390" s="42" t="str">
        <x:v>Guardados y colaboración en publicaciones</x:v>
      </x:c>
      <x:c r="C390" s="42" t="str">
        <x:v>SOC03</x:v>
      </x:c>
      <x:c r="D390" s="43" t="str">
        <x:v>Agregar confirmación temporal de guardado</x:v>
      </x:c>
      <x:c r="E390" s="43" t="str">
        <x:v>Mostrar acción Deshacer sin bloquear navegación.</x:v>
      </x:c>
      <x:c r="F390" s="43" t="str">
        <x:v>Completado</x:v>
      </x:c>
      <x:c r="G390" s="44" t="n">
        <x:v>46287</x:v>
      </x:c>
      <x:c r="H390" s="44" t="n">
        <x:v>46295</x:v>
      </x:c>
      <x:c r="I390" s="45" t="n">
        <x:f>IF(OR(G390="",H390=""),"",SUMPRODUCT(('Cronograma'!$F$8:$P$8&lt;=H390)*('Cronograma'!$F$9:$P$9&gt;=G390)))</x:f>
        <x:v>1</x:v>
      </x:c>
      <x:c r="J390" s="46"/>
      <x:c r="K390" s="46"/>
      <x:c r="L390" s="47"/>
      <x:c r="M390" s="48" t="str"/>
      <x:c r="N390" s="48" t="str"/>
      <x:c r="O390" s="49" t="n">
        <x:v>46294</x:v>
      </x:c>
      <x:c r="P390" s="43" t="str">
        <x:v>Reporte fechado y código asociado</x:v>
      </x:c>
      <x:c r="Q390" s="43" t="str">
        <x:v>SOC01, SOC02, PRO02</x:v>
      </x:c>
      <x:c r="R390" s="43" t="str"/>
      <x:c r="S390" s="43" t="str"/>
      <x:c r="T390" s="43" t="str">
        <x:v>S069, S075, S076</x:v>
      </x:c>
      <x:c r="U390" s="43" t="str">
        <x:v>docs/home-social-v7-integration.md
supabase/migrations/011_post_collaboration.sql
lib/features/community/presentation/social_panels.dart</x:v>
      </x:c>
    </x:row>
    <x:row r="391" ht="44" customHeight="1">
      <x:c r="A391" s="42" t="str">
        <x:v>SOC03.004</x:v>
      </x:c>
      <x:c r="B391" s="42" t="str">
        <x:v>Guardados y colaboración en publicaciones</x:v>
      </x:c>
      <x:c r="C391" s="42" t="str">
        <x:v>SOC03</x:v>
      </x:c>
      <x:c r="D391" s="43" t="str">
        <x:v>Deshacer quitar guardado</x:v>
      </x:c>
      <x:c r="E391" s="43" t="str">
        <x:v>Conservar fila durante ventana de recuperación.</x:v>
      </x:c>
      <x:c r="F391" s="43" t="str">
        <x:v>Completado</x:v>
      </x:c>
      <x:c r="G391" s="44" t="n">
        <x:v>46287</x:v>
      </x:c>
      <x:c r="H391" s="44" t="n">
        <x:v>46295</x:v>
      </x:c>
      <x:c r="I391" s="45" t="n">
        <x:f>IF(OR(G391="",H391=""),"",SUMPRODUCT(('Cronograma'!$F$8:$P$8&lt;=H391)*('Cronograma'!$F$9:$P$9&gt;=G391)))</x:f>
        <x:v>1</x:v>
      </x:c>
      <x:c r="J391" s="46"/>
      <x:c r="K391" s="46"/>
      <x:c r="L391" s="47"/>
      <x:c r="M391" s="48" t="str"/>
      <x:c r="N391" s="48" t="str"/>
      <x:c r="O391" s="49" t="n">
        <x:v>46294</x:v>
      </x:c>
      <x:c r="P391" s="43" t="str">
        <x:v>Reporte fechado y código asociado</x:v>
      </x:c>
      <x:c r="Q391" s="43" t="str">
        <x:v>SOC01, SOC02, PRO02</x:v>
      </x:c>
      <x:c r="R391" s="43" t="str"/>
      <x:c r="S391" s="43" t="str"/>
      <x:c r="T391" s="43" t="str">
        <x:v>S069, S075, S076</x:v>
      </x:c>
      <x:c r="U391" s="43" t="str">
        <x:v>docs/home-social-v7-integration.md
supabase/migrations/011_post_collaboration.sql
lib/features/community/presentation/social_panels.dart</x:v>
      </x:c>
    </x:row>
    <x:row r="392" ht="44" customHeight="1">
      <x:c r="A392" s="42" t="str">
        <x:v>SOC03.005</x:v>
      </x:c>
      <x:c r="B392" s="42" t="str">
        <x:v>Guardados y colaboración en publicaciones</x:v>
      </x:c>
      <x:c r="C392" s="42" t="str">
        <x:v>SOC03</x:v>
      </x:c>
      <x:c r="D392" s="43" t="str">
        <x:v>Crear menú de acciones del post</x:v>
      </x:c>
      <x:c r="E392" s="43" t="str">
        <x:v>Mostrar guardar, detalle, reporte y edición según permisos.</x:v>
      </x:c>
      <x:c r="F392" s="43" t="str">
        <x:v>Completado</x:v>
      </x:c>
      <x:c r="G392" s="44" t="n">
        <x:v>46287</x:v>
      </x:c>
      <x:c r="H392" s="44" t="n">
        <x:v>46295</x:v>
      </x:c>
      <x:c r="I392" s="45" t="n">
        <x:f>IF(OR(G392="",H392=""),"",SUMPRODUCT(('Cronograma'!$F$8:$P$8&lt;=H392)*('Cronograma'!$F$9:$P$9&gt;=G392)))</x:f>
        <x:v>1</x:v>
      </x:c>
      <x:c r="J392" s="46"/>
      <x:c r="K392" s="46"/>
      <x:c r="L392" s="47"/>
      <x:c r="M392" s="48" t="str"/>
      <x:c r="N392" s="48" t="str"/>
      <x:c r="O392" s="49" t="n">
        <x:v>46294</x:v>
      </x:c>
      <x:c r="P392" s="43" t="str">
        <x:v>Reporte fechado y código asociado</x:v>
      </x:c>
      <x:c r="Q392" s="43" t="str">
        <x:v>SOC01, SOC02, PRO02</x:v>
      </x:c>
      <x:c r="R392" s="43" t="str"/>
      <x:c r="S392" s="43" t="str"/>
      <x:c r="T392" s="43" t="str">
        <x:v>S069, S075, S076</x:v>
      </x:c>
      <x:c r="U392" s="43" t="str">
        <x:v>docs/home-social-v7-integration.md
supabase/migrations/011_post_collaboration.sql
lib/features/community/presentation/social_panels.dart</x:v>
      </x:c>
    </x:row>
    <x:row r="393" ht="44" customHeight="1">
      <x:c r="A393" s="42" t="str">
        <x:v>SOC03.006</x:v>
      </x:c>
      <x:c r="B393" s="42" t="str">
        <x:v>Guardados y colaboración en publicaciones</x:v>
      </x:c>
      <x:c r="C393" s="42" t="str">
        <x:v>SOC03</x:v>
      </x:c>
      <x:c r="D393" s="43" t="str">
        <x:v>Agregar invitación opcional de colaboración</x:v>
      </x:c>
      <x:c r="E393" s="43" t="str">
        <x:v>Mantener desactivada inicialmente en compositor.</x:v>
      </x:c>
      <x:c r="F393" s="43" t="str">
        <x:v>Completado</x:v>
      </x:c>
      <x:c r="G393" s="44" t="n">
        <x:v>46287</x:v>
      </x:c>
      <x:c r="H393" s="44" t="n">
        <x:v>46295</x:v>
      </x:c>
      <x:c r="I393" s="45" t="n">
        <x:f>IF(OR(G393="",H393=""),"",SUMPRODUCT(('Cronograma'!$F$8:$P$8&lt;=H393)*('Cronograma'!$F$9:$P$9&gt;=G393)))</x:f>
        <x:v>1</x:v>
      </x:c>
      <x:c r="J393" s="46"/>
      <x:c r="K393" s="46"/>
      <x:c r="L393" s="47"/>
      <x:c r="M393" s="48" t="str"/>
      <x:c r="N393" s="48" t="str"/>
      <x:c r="O393" s="49" t="n">
        <x:v>46294</x:v>
      </x:c>
      <x:c r="P393" s="43" t="str">
        <x:v>Reporte fechado y código asociado</x:v>
      </x:c>
      <x:c r="Q393" s="43" t="str">
        <x:v>SOC01, SOC02, PRO02</x:v>
      </x:c>
      <x:c r="R393" s="43" t="str"/>
      <x:c r="S393" s="43" t="str"/>
      <x:c r="T393" s="43" t="str">
        <x:v>S069, S075, S076</x:v>
      </x:c>
      <x:c r="U393" s="43" t="str">
        <x:v>docs/home-social-v7-integration.md
supabase/migrations/011_post_collaboration.sql
lib/features/community/presentation/social_panels.dart</x:v>
      </x:c>
    </x:row>
    <x:row r="394" ht="44" customHeight="1">
      <x:c r="A394" s="42" t="str">
        <x:v>SOC03.007</x:v>
      </x:c>
      <x:c r="B394" s="42" t="str">
        <x:v>Guardados y colaboración en publicaciones</x:v>
      </x:c>
      <x:c r="C394" s="42" t="str">
        <x:v>SOC03</x:v>
      </x:c>
      <x:c r="D394" s="43" t="str">
        <x:v>Mostrar CTA solo en posts habilitados</x:v>
      </x:c>
      <x:c r="E394" s="43" t="str">
        <x:v>No ofrecer interés al autor de su propia publicación.</x:v>
      </x:c>
      <x:c r="F394" s="43" t="str">
        <x:v>Completado</x:v>
      </x:c>
      <x:c r="G394" s="44" t="n">
        <x:v>46287</x:v>
      </x:c>
      <x:c r="H394" s="44" t="n">
        <x:v>46295</x:v>
      </x:c>
      <x:c r="I394" s="45" t="n">
        <x:f>IF(OR(G394="",H394=""),"",SUMPRODUCT(('Cronograma'!$F$8:$P$8&lt;=H394)*('Cronograma'!$F$9:$P$9&gt;=G394)))</x:f>
        <x:v>1</x:v>
      </x:c>
      <x:c r="J394" s="46"/>
      <x:c r="K394" s="46"/>
      <x:c r="L394" s="47"/>
      <x:c r="M394" s="48" t="str"/>
      <x:c r="N394" s="48" t="str"/>
      <x:c r="O394" s="49" t="n">
        <x:v>46294</x:v>
      </x:c>
      <x:c r="P394" s="43" t="str">
        <x:v>Reporte fechado y código asociado</x:v>
      </x:c>
      <x:c r="Q394" s="43" t="str">
        <x:v>SOC01, SOC02, PRO02</x:v>
      </x:c>
      <x:c r="R394" s="43" t="str"/>
      <x:c r="S394" s="43" t="str"/>
      <x:c r="T394" s="43" t="str">
        <x:v>S069, S075, S076</x:v>
      </x:c>
      <x:c r="U394" s="43" t="str">
        <x:v>docs/home-social-v7-integration.md
supabase/migrations/011_post_collaboration.sql
lib/features/community/presentation/social_panels.dart</x:v>
      </x:c>
    </x:row>
    <x:row r="395" ht="44" customHeight="1">
      <x:c r="A395" s="42" t="str">
        <x:v>SOC03.008</x:v>
      </x:c>
      <x:c r="B395" s="42" t="str">
        <x:v>Guardados y colaboración en publicaciones</x:v>
      </x:c>
      <x:c r="C395" s="42" t="str">
        <x:v>SOC03</x:v>
      </x:c>
      <x:c r="D395" s="43" t="str">
        <x:v>Capturar mensaje privado de interés</x:v>
      </x:c>
      <x:c r="E395" s="43" t="str">
        <x:v>Validar entre 1 y 1000 caracteres.</x:v>
      </x:c>
      <x:c r="F395" s="43" t="str">
        <x:v>Completado</x:v>
      </x:c>
      <x:c r="G395" s="44" t="n">
        <x:v>46287</x:v>
      </x:c>
      <x:c r="H395" s="44" t="n">
        <x:v>46295</x:v>
      </x:c>
      <x:c r="I395" s="45" t="n">
        <x:f>IF(OR(G395="",H395=""),"",SUMPRODUCT(('Cronograma'!$F$8:$P$8&lt;=H395)*('Cronograma'!$F$9:$P$9&gt;=G395)))</x:f>
        <x:v>1</x:v>
      </x:c>
      <x:c r="J395" s="46"/>
      <x:c r="K395" s="46"/>
      <x:c r="L395" s="47"/>
      <x:c r="M395" s="48" t="str"/>
      <x:c r="N395" s="48" t="str"/>
      <x:c r="O395" s="49" t="n">
        <x:v>46294</x:v>
      </x:c>
      <x:c r="P395" s="43" t="str">
        <x:v>Reporte fechado y código asociado</x:v>
      </x:c>
      <x:c r="Q395" s="43" t="str">
        <x:v>SOC01, SOC02, PRO02</x:v>
      </x:c>
      <x:c r="R395" s="43" t="str"/>
      <x:c r="S395" s="43" t="str"/>
      <x:c r="T395" s="43" t="str">
        <x:v>S069, S075, S076</x:v>
      </x:c>
      <x:c r="U395" s="43" t="str">
        <x:v>docs/home-social-v7-integration.md
supabase/migrations/011_post_collaboration.sql
lib/features/community/presentation/social_panels.dart</x:v>
      </x:c>
    </x:row>
    <x:row r="396" ht="44" customHeight="1">
      <x:c r="A396" s="42" t="str">
        <x:v>SOC03.009</x:v>
      </x:c>
      <x:c r="B396" s="42" t="str">
        <x:v>Guardados y colaboración en publicaciones</x:v>
      </x:c>
      <x:c r="C396" s="42" t="str">
        <x:v>SOC03</x:v>
      </x:c>
      <x:c r="D396" s="43" t="str">
        <x:v>Persistir interés único por solicitante</x:v>
      </x:c>
      <x:c r="E396" s="43" t="str">
        <x:v>Evitar duplicados tras cerrar o reintentar.</x:v>
      </x:c>
      <x:c r="F396" s="43" t="str">
        <x:v>Completado</x:v>
      </x:c>
      <x:c r="G396" s="44" t="n">
        <x:v>46287</x:v>
      </x:c>
      <x:c r="H396" s="44" t="n">
        <x:v>46295</x:v>
      </x:c>
      <x:c r="I396" s="45" t="n">
        <x:f>IF(OR(G396="",H396=""),"",SUMPRODUCT(('Cronograma'!$F$8:$P$8&lt;=H396)*('Cronograma'!$F$9:$P$9&gt;=G396)))</x:f>
        <x:v>1</x:v>
      </x:c>
      <x:c r="J396" s="46"/>
      <x:c r="K396" s="46"/>
      <x:c r="L396" s="47"/>
      <x:c r="M396" s="48" t="str"/>
      <x:c r="N396" s="48" t="str"/>
      <x:c r="O396" s="49" t="n">
        <x:v>46294</x:v>
      </x:c>
      <x:c r="P396" s="43" t="str">
        <x:v>Reporte fechado y código asociado</x:v>
      </x:c>
      <x:c r="Q396" s="43" t="str">
        <x:v>SOC01, SOC02, PRO02</x:v>
      </x:c>
      <x:c r="R396" s="43" t="str"/>
      <x:c r="S396" s="43" t="str"/>
      <x:c r="T396" s="43" t="str">
        <x:v>S069, S075, S076</x:v>
      </x:c>
      <x:c r="U396" s="43" t="str">
        <x:v>docs/home-social-v7-integration.md
supabase/migrations/011_post_collaboration.sql
lib/features/community/presentation/social_panels.dart</x:v>
      </x:c>
    </x:row>
    <x:row r="397" ht="44" customHeight="1">
      <x:c r="A397" s="42" t="str">
        <x:v>SOC03.010</x:v>
      </x:c>
      <x:c r="B397" s="42" t="str">
        <x:v>Guardados y colaboración en publicaciones</x:v>
      </x:c>
      <x:c r="C397" s="42" t="str">
        <x:v>SOC03</x:v>
      </x:c>
      <x:c r="D397" s="43" t="str">
        <x:v>Restringir lectura de mensaje de interés</x:v>
      </x:c>
      <x:c r="E397" s="43" t="str">
        <x:v>Permitir solo a participantes autorizados.</x:v>
      </x:c>
      <x:c r="F397" s="43" t="str">
        <x:v>Completado</x:v>
      </x:c>
      <x:c r="G397" s="44" t="n">
        <x:v>46287</x:v>
      </x:c>
      <x:c r="H397" s="44" t="n">
        <x:v>46295</x:v>
      </x:c>
      <x:c r="I397" s="45" t="n">
        <x:f>IF(OR(G397="",H397=""),"",SUMPRODUCT(('Cronograma'!$F$8:$P$8&lt;=H397)*('Cronograma'!$F$9:$P$9&gt;=G397)))</x:f>
        <x:v>1</x:v>
      </x:c>
      <x:c r="J397" s="46"/>
      <x:c r="K397" s="46"/>
      <x:c r="L397" s="47"/>
      <x:c r="M397" s="48" t="str"/>
      <x:c r="N397" s="48" t="str"/>
      <x:c r="O397" s="49" t="n">
        <x:v>46294</x:v>
      </x:c>
      <x:c r="P397" s="43" t="str">
        <x:v>Reporte fechado y código asociado</x:v>
      </x:c>
      <x:c r="Q397" s="43" t="str">
        <x:v>SOC01, SOC02, PRO02</x:v>
      </x:c>
      <x:c r="R397" s="43" t="str"/>
      <x:c r="S397" s="43" t="str"/>
      <x:c r="T397" s="43" t="str">
        <x:v>S069, S075, S076</x:v>
      </x:c>
      <x:c r="U397" s="43" t="str">
        <x:v>docs/home-social-v7-integration.md
supabase/migrations/011_post_collaboration.sql
lib/features/community/presentation/social_panels.dart</x:v>
      </x:c>
    </x:row>
    <x:row r="398" ht="44" customHeight="1">
      <x:c r="A398" s="42" t="str">
        <x:v>SOC03.011</x:v>
      </x:c>
      <x:c r="B398" s="42" t="str">
        <x:v>Guardados y colaboración en publicaciones</x:v>
      </x:c>
      <x:c r="C398" s="42" t="str">
        <x:v>SOC03</x:v>
      </x:c>
      <x:c r="D398" s="43" t="str">
        <x:v>Actualizar CTA tras enviar interés</x:v>
      </x:c>
      <x:c r="E398" s="43" t="str">
        <x:v>Mostrar Interés enviado sin depender del cierre del panel.</x:v>
      </x:c>
      <x:c r="F398" s="43" t="str">
        <x:v>Completado</x:v>
      </x:c>
      <x:c r="G398" s="44" t="n">
        <x:v>46287</x:v>
      </x:c>
      <x:c r="H398" s="44" t="n">
        <x:v>46295</x:v>
      </x:c>
      <x:c r="I398" s="45" t="n">
        <x:f>IF(OR(G398="",H398=""),"",SUMPRODUCT(('Cronograma'!$F$8:$P$8&lt;=H398)*('Cronograma'!$F$9:$P$9&gt;=G398)))</x:f>
        <x:v>1</x:v>
      </x:c>
      <x:c r="J398" s="46"/>
      <x:c r="K398" s="46"/>
      <x:c r="L398" s="47"/>
      <x:c r="M398" s="48" t="str"/>
      <x:c r="N398" s="48" t="str"/>
      <x:c r="O398" s="49" t="n">
        <x:v>46294</x:v>
      </x:c>
      <x:c r="P398" s="43" t="str">
        <x:v>Reporte fechado y código asociado</x:v>
      </x:c>
      <x:c r="Q398" s="43" t="str">
        <x:v>SOC01, SOC02, PRO02</x:v>
      </x:c>
      <x:c r="R398" s="43" t="str"/>
      <x:c r="S398" s="43" t="str"/>
      <x:c r="T398" s="43" t="str">
        <x:v>S069, S075, S076</x:v>
      </x:c>
      <x:c r="U398" s="43" t="str">
        <x:v>docs/home-social-v7-integration.md
supabase/migrations/011_post_collaboration.sql
lib/features/community/presentation/social_panels.dart</x:v>
      </x:c>
    </x:row>
    <x:row r="399" ht="44" customHeight="1">
      <x:c r="A399" s="42" t="str">
        <x:v>SOC03.012</x:v>
      </x:c>
      <x:c r="B399" s="42" t="str">
        <x:v>Guardados y colaboración en publicaciones</x:v>
      </x:c>
      <x:c r="C399" s="42" t="str">
        <x:v>SOC03</x:v>
      </x:c>
      <x:c r="D399" s="43" t="str">
        <x:v>Notificar interés al autor</x:v>
      </x:c>
      <x:c r="E399" s="43" t="str">
        <x:v>Crear evento sin añadir conversación de chat.</x:v>
      </x:c>
      <x:c r="F399" s="43" t="str">
        <x:v>Completado</x:v>
      </x:c>
      <x:c r="G399" s="44" t="n">
        <x:v>46287</x:v>
      </x:c>
      <x:c r="H399" s="44" t="n">
        <x:v>46295</x:v>
      </x:c>
      <x:c r="I399" s="45" t="n">
        <x:f>IF(OR(G399="",H399=""),"",SUMPRODUCT(('Cronograma'!$F$8:$P$8&lt;=H399)*('Cronograma'!$F$9:$P$9&gt;=G399)))</x:f>
        <x:v>1</x:v>
      </x:c>
      <x:c r="J399" s="46"/>
      <x:c r="K399" s="46"/>
      <x:c r="L399" s="47"/>
      <x:c r="M399" s="48" t="str"/>
      <x:c r="N399" s="48" t="str"/>
      <x:c r="O399" s="49" t="n">
        <x:v>46294</x:v>
      </x:c>
      <x:c r="P399" s="43" t="str">
        <x:v>Reporte fechado y código asociado</x:v>
      </x:c>
      <x:c r="Q399" s="43" t="str">
        <x:v>SOC01, SOC02, PRO02</x:v>
      </x:c>
      <x:c r="R399" s="43" t="str"/>
      <x:c r="S399" s="43" t="str"/>
      <x:c r="T399" s="43" t="str">
        <x:v>S069, S075, S076</x:v>
      </x:c>
      <x:c r="U399" s="43" t="str">
        <x:v>docs/home-social-v7-integration.md
supabase/migrations/011_post_collaboration.sql
lib/features/community/presentation/social_panels.dart</x:v>
      </x:c>
    </x:row>
    <x:row r="400" ht="44" customHeight="1">
      <x:c r="A400" s="42" t="str">
        <x:v>SOC04.001</x:v>
      </x:c>
      <x:c r="B400" s="42" t="str">
        <x:v>Bandeja, privacidad y enlaces sociales</x:v>
      </x:c>
      <x:c r="C400" s="42" t="str">
        <x:v>SOC04</x:v>
      </x:c>
      <x:c r="D400" s="43" t="str">
        <x:v>Crear bandeja privada de notificaciones</x:v>
      </x:c>
      <x:c r="E400" s="43" t="str">
        <x:v>Mostrar reacciones, comentarios e intereses reales.</x:v>
      </x:c>
      <x:c r="F400" s="43" t="str">
        <x:v>Completado</x:v>
      </x:c>
      <x:c r="G400" s="44" t="n">
        <x:v>46287</x:v>
      </x:c>
      <x:c r="H400" s="44" t="n">
        <x:v>46295</x:v>
      </x:c>
      <x:c r="I400" s="45" t="n">
        <x:f>IF(OR(G400="",H400=""),"",SUMPRODUCT(('Cronograma'!$F$8:$P$8&lt;=H400)*('Cronograma'!$F$9:$P$9&gt;=G400)))</x:f>
        <x:v>1</x:v>
      </x:c>
      <x:c r="J400" s="46"/>
      <x:c r="K400" s="46"/>
      <x:c r="L400" s="47"/>
      <x:c r="M400" s="48" t="str"/>
      <x:c r="N400" s="48" t="str"/>
      <x:c r="O400" s="49" t="n">
        <x:v>46294</x:v>
      </x:c>
      <x:c r="P400" s="43" t="str">
        <x:v>Reporte fechado y código asociado</x:v>
      </x:c>
      <x:c r="Q400" s="43" t="str">
        <x:v>SOC02, SOC03, ACC03</x:v>
      </x:c>
      <x:c r="R400" s="43" t="str"/>
      <x:c r="S400" s="43" t="str"/>
      <x:c r="T400" s="43" t="str">
        <x:v>S069, S077, S072</x:v>
      </x:c>
      <x:c r="U400" s="43" t="str">
        <x:v>docs/home-social-v7-integration.md
lib/features/community/data/notifications_controller.dart
supabase/migrations/009_post_reactions.sql</x:v>
      </x:c>
    </x:row>
    <x:row r="401" ht="44" customHeight="1">
      <x:c r="A401" s="42" t="str">
        <x:v>SOC04.002</x:v>
      </x:c>
      <x:c r="B401" s="42" t="str">
        <x:v>Bandeja, privacidad y enlaces sociales</x:v>
      </x:c>
      <x:c r="C401" s="42" t="str">
        <x:v>SOC04</x:v>
      </x:c>
      <x:c r="D401" s="43" t="str">
        <x:v>Filtrar Todo y Sin leer</x:v>
      </x:c>
      <x:c r="E401" s="43" t="str">
        <x:v>Conservar selección al recargar.</x:v>
      </x:c>
      <x:c r="F401" s="43" t="str">
        <x:v>Completado</x:v>
      </x:c>
      <x:c r="G401" s="44" t="n">
        <x:v>46287</x:v>
      </x:c>
      <x:c r="H401" s="44" t="n">
        <x:v>46295</x:v>
      </x:c>
      <x:c r="I401" s="45" t="n">
        <x:f>IF(OR(G401="",H401=""),"",SUMPRODUCT(('Cronograma'!$F$8:$P$8&lt;=H401)*('Cronograma'!$F$9:$P$9&gt;=G401)))</x:f>
        <x:v>1</x:v>
      </x:c>
      <x:c r="J401" s="46"/>
      <x:c r="K401" s="46"/>
      <x:c r="L401" s="47"/>
      <x:c r="M401" s="48" t="str"/>
      <x:c r="N401" s="48" t="str"/>
      <x:c r="O401" s="49" t="n">
        <x:v>46294</x:v>
      </x:c>
      <x:c r="P401" s="43" t="str">
        <x:v>Reporte fechado y código asociado</x:v>
      </x:c>
      <x:c r="Q401" s="43" t="str">
        <x:v>SOC02, SOC03, ACC03</x:v>
      </x:c>
      <x:c r="R401" s="43" t="str"/>
      <x:c r="S401" s="43" t="str"/>
      <x:c r="T401" s="43" t="str">
        <x:v>S069, S077, S072</x:v>
      </x:c>
      <x:c r="U401" s="43" t="str">
        <x:v>docs/home-social-v7-integration.md
lib/features/community/data/notifications_controller.dart
supabase/migrations/009_post_reactions.sql</x:v>
      </x:c>
    </x:row>
    <x:row r="402" ht="44" customHeight="1">
      <x:c r="A402" s="42" t="str">
        <x:v>SOC04.003</x:v>
      </x:c>
      <x:c r="B402" s="42" t="str">
        <x:v>Bandeja, privacidad y enlaces sociales</x:v>
      </x:c>
      <x:c r="C402" s="42" t="str">
        <x:v>SOC04</x:v>
      </x:c>
      <x:c r="D402" s="43" t="str">
        <x:v>Mostrar punto de actividad pendiente</x:v>
      </x:c>
      <x:c r="E402" s="43" t="str">
        <x:v>Sincronizar indicador con entradas no leídas.</x:v>
      </x:c>
      <x:c r="F402" s="43" t="str">
        <x:v>Completado</x:v>
      </x:c>
      <x:c r="G402" s="44" t="n">
        <x:v>46287</x:v>
      </x:c>
      <x:c r="H402" s="44" t="n">
        <x:v>46295</x:v>
      </x:c>
      <x:c r="I402" s="45" t="n">
        <x:f>IF(OR(G402="",H402=""),"",SUMPRODUCT(('Cronograma'!$F$8:$P$8&lt;=H402)*('Cronograma'!$F$9:$P$9&gt;=G402)))</x:f>
        <x:v>1</x:v>
      </x:c>
      <x:c r="J402" s="46"/>
      <x:c r="K402" s="46"/>
      <x:c r="L402" s="47"/>
      <x:c r="M402" s="48" t="str"/>
      <x:c r="N402" s="48" t="str"/>
      <x:c r="O402" s="49" t="n">
        <x:v>46294</x:v>
      </x:c>
      <x:c r="P402" s="43" t="str">
        <x:v>Reporte fechado y código asociado</x:v>
      </x:c>
      <x:c r="Q402" s="43" t="str">
        <x:v>SOC02, SOC03, ACC03</x:v>
      </x:c>
      <x:c r="R402" s="43" t="str"/>
      <x:c r="S402" s="43" t="str"/>
      <x:c r="T402" s="43" t="str">
        <x:v>S069, S077, S072</x:v>
      </x:c>
      <x:c r="U402" s="43" t="str">
        <x:v>docs/home-social-v7-integration.md
lib/features/community/data/notifications_controller.dart
supabase/migrations/009_post_reactions.sql</x:v>
      </x:c>
    </x:row>
    <x:row r="403" ht="44" customHeight="1">
      <x:c r="A403" s="42" t="str">
        <x:v>SOC04.004</x:v>
      </x:c>
      <x:c r="B403" s="42" t="str">
        <x:v>Bandeja, privacidad y enlaces sociales</x:v>
      </x:c>
      <x:c r="C403" s="42" t="str">
        <x:v>SOC04</x:v>
      </x:c>
      <x:c r="D403" s="43" t="str">
        <x:v>Marcar lectura al abrir destino válido</x:v>
      </x:c>
      <x:c r="E403" s="43" t="str">
        <x:v>No leer entradas únicamente al mostrar el listado.</x:v>
      </x:c>
      <x:c r="F403" s="43" t="str">
        <x:v>Completado</x:v>
      </x:c>
      <x:c r="G403" s="44" t="n">
        <x:v>46287</x:v>
      </x:c>
      <x:c r="H403" s="44" t="n">
        <x:v>46295</x:v>
      </x:c>
      <x:c r="I403" s="45" t="n">
        <x:f>IF(OR(G403="",H403=""),"",SUMPRODUCT(('Cronograma'!$F$8:$P$8&lt;=H403)*('Cronograma'!$F$9:$P$9&gt;=G403)))</x:f>
        <x:v>1</x:v>
      </x:c>
      <x:c r="J403" s="46"/>
      <x:c r="K403" s="46"/>
      <x:c r="L403" s="47"/>
      <x:c r="M403" s="48" t="str"/>
      <x:c r="N403" s="48" t="str"/>
      <x:c r="O403" s="49" t="n">
        <x:v>46294</x:v>
      </x:c>
      <x:c r="P403" s="43" t="str">
        <x:v>Reporte fechado y código asociado</x:v>
      </x:c>
      <x:c r="Q403" s="43" t="str">
        <x:v>SOC02, SOC03, ACC03</x:v>
      </x:c>
      <x:c r="R403" s="43" t="str"/>
      <x:c r="S403" s="43" t="str"/>
      <x:c r="T403" s="43" t="str">
        <x:v>S069, S077, S072</x:v>
      </x:c>
      <x:c r="U403" s="43" t="str">
        <x:v>docs/home-social-v7-integration.md
lib/features/community/data/notifications_controller.dart
supabase/migrations/009_post_reactions.sql</x:v>
      </x:c>
    </x:row>
    <x:row r="404" ht="44" customHeight="1">
      <x:c r="A404" s="42" t="str">
        <x:v>SOC04.005</x:v>
      </x:c>
      <x:c r="B404" s="42" t="str">
        <x:v>Bandeja, privacidad y enlaces sociales</x:v>
      </x:c>
      <x:c r="C404" s="42" t="str">
        <x:v>SOC04</x:v>
      </x:c>
      <x:c r="D404" s="43" t="str">
        <x:v>Marcar todo con corte temporal de servidor</x:v>
      </x:c>
      <x:c r="E404" s="43" t="str">
        <x:v>Evitar afectar eventos nuevos fuera del corte.</x:v>
      </x:c>
      <x:c r="F404" s="43" t="str">
        <x:v>Completado</x:v>
      </x:c>
      <x:c r="G404" s="44" t="n">
        <x:v>46287</x:v>
      </x:c>
      <x:c r="H404" s="44" t="n">
        <x:v>46295</x:v>
      </x:c>
      <x:c r="I404" s="45" t="n">
        <x:f>IF(OR(G404="",H404=""),"",SUMPRODUCT(('Cronograma'!$F$8:$P$8&lt;=H404)*('Cronograma'!$F$9:$P$9&gt;=G404)))</x:f>
        <x:v>1</x:v>
      </x:c>
      <x:c r="J404" s="46"/>
      <x:c r="K404" s="46"/>
      <x:c r="L404" s="47"/>
      <x:c r="M404" s="48" t="str"/>
      <x:c r="N404" s="48" t="str"/>
      <x:c r="O404" s="49" t="n">
        <x:v>46294</x:v>
      </x:c>
      <x:c r="P404" s="43" t="str">
        <x:v>Reporte fechado y código asociado</x:v>
      </x:c>
      <x:c r="Q404" s="43" t="str">
        <x:v>SOC02, SOC03, ACC03</x:v>
      </x:c>
      <x:c r="R404" s="43" t="str"/>
      <x:c r="S404" s="43" t="str"/>
      <x:c r="T404" s="43" t="str">
        <x:v>S069, S077, S072</x:v>
      </x:c>
      <x:c r="U404" s="43" t="str">
        <x:v>docs/home-social-v7-integration.md
lib/features/community/data/notifications_controller.dart
supabase/migrations/009_post_reactions.sql</x:v>
      </x:c>
    </x:row>
    <x:row r="405" ht="44" customHeight="1">
      <x:c r="A405" s="42" t="str">
        <x:v>SOC04.006</x:v>
      </x:c>
      <x:c r="B405" s="42" t="str">
        <x:v>Bandeja, privacidad y enlaces sociales</x:v>
      </x:c>
      <x:c r="C405" s="42" t="str">
        <x:v>SOC04</x:v>
      </x:c>
      <x:c r="D405" s="43" t="str">
        <x:v>Sincronizar bandeja mediante Realtime</x:v>
      </x:c>
      <x:c r="E405" s="43" t="str">
        <x:v>Actualizar mientras la cuenta está activa.</x:v>
      </x:c>
      <x:c r="F405" s="43" t="str">
        <x:v>Completado</x:v>
      </x:c>
      <x:c r="G405" s="44" t="n">
        <x:v>46287</x:v>
      </x:c>
      <x:c r="H405" s="44" t="n">
        <x:v>46295</x:v>
      </x:c>
      <x:c r="I405" s="45" t="n">
        <x:f>IF(OR(G405="",H405=""),"",SUMPRODUCT(('Cronograma'!$F$8:$P$8&lt;=H405)*('Cronograma'!$F$9:$P$9&gt;=G405)))</x:f>
        <x:v>1</x:v>
      </x:c>
      <x:c r="J405" s="46"/>
      <x:c r="K405" s="46"/>
      <x:c r="L405" s="47"/>
      <x:c r="M405" s="48" t="str"/>
      <x:c r="N405" s="48" t="str"/>
      <x:c r="O405" s="49" t="n">
        <x:v>46294</x:v>
      </x:c>
      <x:c r="P405" s="43" t="str">
        <x:v>Reporte fechado y código asociado</x:v>
      </x:c>
      <x:c r="Q405" s="43" t="str">
        <x:v>SOC02, SOC03, ACC03</x:v>
      </x:c>
      <x:c r="R405" s="43" t="str"/>
      <x:c r="S405" s="43" t="str"/>
      <x:c r="T405" s="43" t="str">
        <x:v>S069, S077, S072</x:v>
      </x:c>
      <x:c r="U405" s="43" t="str">
        <x:v>docs/home-social-v7-integration.md
lib/features/community/data/notifications_controller.dart
supabase/migrations/009_post_reactions.sql</x:v>
      </x:c>
    </x:row>
    <x:row r="406" ht="44" customHeight="1">
      <x:c r="A406" s="42" t="str">
        <x:v>SOC04.007</x:v>
      </x:c>
      <x:c r="B406" s="42" t="str">
        <x:v>Bandeja, privacidad y enlaces sociales</x:v>
      </x:c>
      <x:c r="C406" s="42" t="str">
        <x:v>SOC04</x:v>
      </x:c>
      <x:c r="D406" s="43" t="str">
        <x:v>Recargar bandeja al abrir o reanudar</x:v>
      </x:c>
      <x:c r="E406" s="43" t="str">
        <x:v>Recuperar cambios perdidos fuera de sesión activa.</x:v>
      </x:c>
      <x:c r="F406" s="43" t="str">
        <x:v>Completado</x:v>
      </x:c>
      <x:c r="G406" s="44" t="n">
        <x:v>46287</x:v>
      </x:c>
      <x:c r="H406" s="44" t="n">
        <x:v>46295</x:v>
      </x:c>
      <x:c r="I406" s="45" t="n">
        <x:f>IF(OR(G406="",H406=""),"",SUMPRODUCT(('Cronograma'!$F$8:$P$8&lt;=H406)*('Cronograma'!$F$9:$P$9&gt;=G406)))</x:f>
        <x:v>1</x:v>
      </x:c>
      <x:c r="J406" s="46"/>
      <x:c r="K406" s="46"/>
      <x:c r="L406" s="47"/>
      <x:c r="M406" s="48" t="str"/>
      <x:c r="N406" s="48" t="str"/>
      <x:c r="O406" s="49" t="n">
        <x:v>46294</x:v>
      </x:c>
      <x:c r="P406" s="43" t="str">
        <x:v>Reporte fechado y código asociado</x:v>
      </x:c>
      <x:c r="Q406" s="43" t="str">
        <x:v>SOC02, SOC03, ACC03</x:v>
      </x:c>
      <x:c r="R406" s="43" t="str"/>
      <x:c r="S406" s="43" t="str"/>
      <x:c r="T406" s="43" t="str">
        <x:v>S069, S077, S072</x:v>
      </x:c>
      <x:c r="U406" s="43" t="str">
        <x:v>docs/home-social-v7-integration.md
lib/features/community/data/notifications_controller.dart
supabase/migrations/009_post_reactions.sql</x:v>
      </x:c>
    </x:row>
    <x:row r="407" ht="44" customHeight="1">
      <x:c r="A407" s="42" t="str">
        <x:v>SOC04.008</x:v>
      </x:c>
      <x:c r="B407" s="42" t="str">
        <x:v>Bandeja, privacidad y enlaces sociales</x:v>
      </x:c>
      <x:c r="C407" s="42" t="str">
        <x:v>SOC04</x:v>
      </x:c>
      <x:c r="D407" s="43" t="str">
        <x:v>Limpiar controlador al cerrar sesión</x:v>
      </x:c>
      <x:c r="E407" s="43" t="str">
        <x:v>Separar notificaciones entre cuentas.</x:v>
      </x:c>
      <x:c r="F407" s="43" t="str">
        <x:v>Completado</x:v>
      </x:c>
      <x:c r="G407" s="44" t="n">
        <x:v>46287</x:v>
      </x:c>
      <x:c r="H407" s="44" t="n">
        <x:v>46295</x:v>
      </x:c>
      <x:c r="I407" s="45" t="n">
        <x:f>IF(OR(G407="",H407=""),"",SUMPRODUCT(('Cronograma'!$F$8:$P$8&lt;=H407)*('Cronograma'!$F$9:$P$9&gt;=G407)))</x:f>
        <x:v>1</x:v>
      </x:c>
      <x:c r="J407" s="46"/>
      <x:c r="K407" s="46"/>
      <x:c r="L407" s="47"/>
      <x:c r="M407" s="48" t="str"/>
      <x:c r="N407" s="48" t="str"/>
      <x:c r="O407" s="49" t="n">
        <x:v>46294</x:v>
      </x:c>
      <x:c r="P407" s="43" t="str">
        <x:v>Reporte fechado y código asociado</x:v>
      </x:c>
      <x:c r="Q407" s="43" t="str">
        <x:v>SOC02, SOC03, ACC03</x:v>
      </x:c>
      <x:c r="R407" s="43" t="str"/>
      <x:c r="S407" s="43" t="str"/>
      <x:c r="T407" s="43" t="str">
        <x:v>S069, S077, S072</x:v>
      </x:c>
      <x:c r="U407" s="43" t="str">
        <x:v>docs/home-social-v7-integration.md
lib/features/community/data/notifications_controller.dart
supabase/migrations/009_post_reactions.sql</x:v>
      </x:c>
    </x:row>
    <x:row r="408" ht="44" customHeight="1">
      <x:c r="A408" s="42" t="str">
        <x:v>SOC04.009</x:v>
      </x:c>
      <x:c r="B408" s="42" t="str">
        <x:v>Bandeja, privacidad y enlaces sociales</x:v>
      </x:c>
      <x:c r="C408" s="42" t="str">
        <x:v>SOC04</x:v>
      </x:c>
      <x:c r="D408" s="43" t="str">
        <x:v>Evitar autonotificaciones</x:v>
      </x:c>
      <x:c r="E408" s="43" t="str">
        <x:v>No avisar al autor de sus propias acciones.</x:v>
      </x:c>
      <x:c r="F408" s="43" t="str">
        <x:v>Completado</x:v>
      </x:c>
      <x:c r="G408" s="44" t="n">
        <x:v>46287</x:v>
      </x:c>
      <x:c r="H408" s="44" t="n">
        <x:v>46295</x:v>
      </x:c>
      <x:c r="I408" s="45" t="n">
        <x:f>IF(OR(G408="",H408=""),"",SUMPRODUCT(('Cronograma'!$F$8:$P$8&lt;=H408)*('Cronograma'!$F$9:$P$9&gt;=G408)))</x:f>
        <x:v>1</x:v>
      </x:c>
      <x:c r="J408" s="46"/>
      <x:c r="K408" s="46"/>
      <x:c r="L408" s="47"/>
      <x:c r="M408" s="48" t="str"/>
      <x:c r="N408" s="48" t="str"/>
      <x:c r="O408" s="49" t="n">
        <x:v>46294</x:v>
      </x:c>
      <x:c r="P408" s="43" t="str">
        <x:v>Reporte fechado y código asociado</x:v>
      </x:c>
      <x:c r="Q408" s="43" t="str">
        <x:v>SOC02, SOC03, ACC03</x:v>
      </x:c>
      <x:c r="R408" s="43" t="str"/>
      <x:c r="S408" s="43" t="str"/>
      <x:c r="T408" s="43" t="str">
        <x:v>S069, S077, S072</x:v>
      </x:c>
      <x:c r="U408" s="43" t="str">
        <x:v>docs/home-social-v7-integration.md
lib/features/community/data/notifications_controller.dart
supabase/migrations/009_post_reactions.sql</x:v>
      </x:c>
    </x:row>
    <x:row r="409" ht="44" customHeight="1">
      <x:c r="A409" s="42" t="str">
        <x:v>SOC04.010</x:v>
      </x:c>
      <x:c r="B409" s="42" t="str">
        <x:v>Bandeja, privacidad y enlaces sociales</x:v>
      </x:c>
      <x:c r="C409" s="42" t="str">
        <x:v>SOC04</x:v>
      </x:c>
      <x:c r="D409" s="43" t="str">
        <x:v>Actualizar evento al cambiar reacción</x:v>
      </x:c>
      <x:c r="E409" s="43" t="str">
        <x:v>Mantener coherencia de reacción y notificación.</x:v>
      </x:c>
      <x:c r="F409" s="43" t="str">
        <x:v>Completado</x:v>
      </x:c>
      <x:c r="G409" s="44" t="n">
        <x:v>46287</x:v>
      </x:c>
      <x:c r="H409" s="44" t="n">
        <x:v>46295</x:v>
      </x:c>
      <x:c r="I409" s="45" t="n">
        <x:f>IF(OR(G409="",H409=""),"",SUMPRODUCT(('Cronograma'!$F$8:$P$8&lt;=H409)*('Cronograma'!$F$9:$P$9&gt;=G409)))</x:f>
        <x:v>1</x:v>
      </x:c>
      <x:c r="J409" s="46"/>
      <x:c r="K409" s="46"/>
      <x:c r="L409" s="47"/>
      <x:c r="M409" s="48" t="str"/>
      <x:c r="N409" s="48" t="str"/>
      <x:c r="O409" s="49" t="n">
        <x:v>46294</x:v>
      </x:c>
      <x:c r="P409" s="43" t="str">
        <x:v>Reporte fechado y código asociado</x:v>
      </x:c>
      <x:c r="Q409" s="43" t="str">
        <x:v>SOC02, SOC03, ACC03</x:v>
      </x:c>
      <x:c r="R409" s="43" t="str"/>
      <x:c r="S409" s="43" t="str"/>
      <x:c r="T409" s="43" t="str">
        <x:v>S069, S077, S072</x:v>
      </x:c>
      <x:c r="U409" s="43" t="str">
        <x:v>docs/home-social-v7-integration.md
lib/features/community/data/notifications_controller.dart
supabase/migrations/009_post_reactions.sql</x:v>
      </x:c>
    </x:row>
    <x:row r="410" ht="44" customHeight="1">
      <x:c r="A410" s="42" t="str">
        <x:v>SOC04.011</x:v>
      </x:c>
      <x:c r="B410" s="42" t="str">
        <x:v>Bandeja, privacidad y enlaces sociales</x:v>
      </x:c>
      <x:c r="C410" s="42" t="str">
        <x:v>SOC04</x:v>
      </x:c>
      <x:c r="D410" s="43" t="str">
        <x:v>Eliminar evento al retirar reacción</x:v>
      </x:c>
      <x:c r="E410" s="43" t="str">
        <x:v>Retirar actividad que ya no corresponde.</x:v>
      </x:c>
      <x:c r="F410" s="43" t="str">
        <x:v>Completado</x:v>
      </x:c>
      <x:c r="G410" s="44" t="n">
        <x:v>46287</x:v>
      </x:c>
      <x:c r="H410" s="44" t="n">
        <x:v>46295</x:v>
      </x:c>
      <x:c r="I410" s="45" t="n">
        <x:f>IF(OR(G410="",H410=""),"",SUMPRODUCT(('Cronograma'!$F$8:$P$8&lt;=H410)*('Cronograma'!$F$9:$P$9&gt;=G410)))</x:f>
        <x:v>1</x:v>
      </x:c>
      <x:c r="J410" s="46"/>
      <x:c r="K410" s="46"/>
      <x:c r="L410" s="47"/>
      <x:c r="M410" s="48" t="str"/>
      <x:c r="N410" s="48" t="str"/>
      <x:c r="O410" s="49" t="n">
        <x:v>46294</x:v>
      </x:c>
      <x:c r="P410" s="43" t="str">
        <x:v>Reporte fechado y código asociado</x:v>
      </x:c>
      <x:c r="Q410" s="43" t="str">
        <x:v>SOC02, SOC03, ACC03</x:v>
      </x:c>
      <x:c r="R410" s="43" t="str"/>
      <x:c r="S410" s="43" t="str"/>
      <x:c r="T410" s="43" t="str">
        <x:v>S069, S077, S072</x:v>
      </x:c>
      <x:c r="U410" s="43" t="str">
        <x:v>docs/home-social-v7-integration.md
lib/features/community/data/notifications_controller.dart
supabase/migrations/009_post_reactions.sql</x:v>
      </x:c>
    </x:row>
    <x:row r="411" ht="44" customHeight="1">
      <x:c r="A411" s="42" t="str">
        <x:v>SOC04.012</x:v>
      </x:c>
      <x:c r="B411" s="42" t="str">
        <x:v>Bandeja, privacidad y enlaces sociales</x:v>
      </x:c>
      <x:c r="C411" s="42" t="str">
        <x:v>SOC04</x:v>
      </x:c>
      <x:c r="D411" s="43" t="str">
        <x:v>Proteger destinos después de autenticación</x:v>
      </x:c>
      <x:c r="E411" s="43" t="str">
        <x:v>Conservar ruta interna durante login y registro.</x:v>
      </x:c>
      <x:c r="F411" s="43" t="str">
        <x:v>Completado</x:v>
      </x:c>
      <x:c r="G411" s="44" t="n">
        <x:v>46287</x:v>
      </x:c>
      <x:c r="H411" s="44" t="n">
        <x:v>46295</x:v>
      </x:c>
      <x:c r="I411" s="45" t="n">
        <x:f>IF(OR(G411="",H411=""),"",SUMPRODUCT(('Cronograma'!$F$8:$P$8&lt;=H411)*('Cronograma'!$F$9:$P$9&gt;=G411)))</x:f>
        <x:v>1</x:v>
      </x:c>
      <x:c r="J411" s="46"/>
      <x:c r="K411" s="46"/>
      <x:c r="L411" s="47"/>
      <x:c r="M411" s="48" t="str"/>
      <x:c r="N411" s="48" t="str"/>
      <x:c r="O411" s="49" t="n">
        <x:v>46294</x:v>
      </x:c>
      <x:c r="P411" s="43" t="str">
        <x:v>Reporte fechado y código asociado</x:v>
      </x:c>
      <x:c r="Q411" s="43" t="str">
        <x:v>SOC02, SOC03, ACC03</x:v>
      </x:c>
      <x:c r="R411" s="43" t="str"/>
      <x:c r="S411" s="43" t="str"/>
      <x:c r="T411" s="43" t="str">
        <x:v>S069, S077, S072</x:v>
      </x:c>
      <x:c r="U411" s="43" t="str">
        <x:v>docs/home-social-v7-integration.md
lib/features/community/data/notifications_controller.dart
supabase/migrations/009_post_reactions.sql</x:v>
      </x:c>
    </x:row>
    <x:row r="412" ht="44" customHeight="1">
      <x:c r="A412" s="42" t="str">
        <x:v>SOC04.013</x:v>
      </x:c>
      <x:c r="B412" s="42" t="str">
        <x:v>Bandeja, privacidad y enlaces sociales</x:v>
      </x:c>
      <x:c r="C412" s="42" t="str">
        <x:v>SOC04</x:v>
      </x:c>
      <x:c r="D412" s="43" t="str">
        <x:v>Rechazar destinos externos o inválidos</x:v>
      </x:c>
      <x:c r="E412" s="43" t="str">
        <x:v>Evitar navegación no autorizada desde parámetros.</x:v>
      </x:c>
      <x:c r="F412" s="43" t="str">
        <x:v>Completado</x:v>
      </x:c>
      <x:c r="G412" s="44" t="n">
        <x:v>46287</x:v>
      </x:c>
      <x:c r="H412" s="44" t="n">
        <x:v>46295</x:v>
      </x:c>
      <x:c r="I412" s="45" t="n">
        <x:f>IF(OR(G412="",H412=""),"",SUMPRODUCT(('Cronograma'!$F$8:$P$8&lt;=H412)*('Cronograma'!$F$9:$P$9&gt;=G412)))</x:f>
        <x:v>1</x:v>
      </x:c>
      <x:c r="J412" s="46"/>
      <x:c r="K412" s="46"/>
      <x:c r="L412" s="47"/>
      <x:c r="M412" s="48" t="str"/>
      <x:c r="N412" s="48" t="str"/>
      <x:c r="O412" s="49" t="n">
        <x:v>46294</x:v>
      </x:c>
      <x:c r="P412" s="43" t="str">
        <x:v>Reporte fechado y código asociado</x:v>
      </x:c>
      <x:c r="Q412" s="43" t="str">
        <x:v>SOC02, SOC03, ACC03</x:v>
      </x:c>
      <x:c r="R412" s="43" t="str"/>
      <x:c r="S412" s="43" t="str"/>
      <x:c r="T412" s="43" t="str">
        <x:v>S069, S077, S072</x:v>
      </x:c>
      <x:c r="U412" s="43" t="str">
        <x:v>docs/home-social-v7-integration.md
lib/features/community/data/notifications_controller.dart
supabase/migrations/009_post_reactions.sql</x:v>
      </x:c>
    </x:row>
    <x:row r="413" ht="44" customHeight="1">
      <x:c r="A413" s="42" t="str">
        <x:v>SOC04.014</x:v>
      </x:c>
      <x:c r="B413" s="42" t="str">
        <x:v>Bandeja, privacidad y enlaces sociales</x:v>
      </x:c>
      <x:c r="C413" s="42" t="str">
        <x:v>SOC04</x:v>
      </x:c>
      <x:c r="D413" s="43" t="str">
        <x:v>Resolver contenido retirado</x:v>
      </x:c>
      <x:c r="E413" s="43" t="str">
        <x:v>Mostrar estado explícito en lugar de detalle inexistente.</x:v>
      </x:c>
      <x:c r="F413" s="43" t="str">
        <x:v>Completado</x:v>
      </x:c>
      <x:c r="G413" s="44" t="n">
        <x:v>46287</x:v>
      </x:c>
      <x:c r="H413" s="44" t="n">
        <x:v>46295</x:v>
      </x:c>
      <x:c r="I413" s="45" t="n">
        <x:f>IF(OR(G413="",H413=""),"",SUMPRODUCT(('Cronograma'!$F$8:$P$8&lt;=H413)*('Cronograma'!$F$9:$P$9&gt;=G413)))</x:f>
        <x:v>1</x:v>
      </x:c>
      <x:c r="J413" s="46"/>
      <x:c r="K413" s="46"/>
      <x:c r="L413" s="47"/>
      <x:c r="M413" s="48" t="str"/>
      <x:c r="N413" s="48" t="str"/>
      <x:c r="O413" s="49" t="n">
        <x:v>46294</x:v>
      </x:c>
      <x:c r="P413" s="43" t="str">
        <x:v>Reporte fechado y código asociado</x:v>
      </x:c>
      <x:c r="Q413" s="43" t="str">
        <x:v>SOC02, SOC03, ACC03</x:v>
      </x:c>
      <x:c r="R413" s="43" t="str"/>
      <x:c r="S413" s="43" t="str"/>
      <x:c r="T413" s="43" t="str">
        <x:v>S069, S077, S072</x:v>
      </x:c>
      <x:c r="U413" s="43" t="str">
        <x:v>docs/home-social-v7-integration.md
lib/features/community/data/notifications_controller.dart
supabase/migrations/009_post_reactions.sql</x:v>
      </x:c>
    </x:row>
    <x:row r="414" ht="44" customHeight="1">
      <x:c r="A414" s="42" t="str">
        <x:v>SOC04.015</x:v>
      </x:c>
      <x:c r="B414" s="42" t="str">
        <x:v>Bandeja, privacidad y enlaces sociales</x:v>
      </x:c>
      <x:c r="C414" s="42" t="str">
        <x:v>SOC04</x:v>
      </x:c>
      <x:c r="D414" s="43" t="str">
        <x:v>Mantener un panel modal activo</x:v>
      </x:c>
      <x:c r="E414" s="43" t="str">
        <x:v>Restaurar foco con cierre, regreso o Escape.</x:v>
      </x:c>
      <x:c r="F414" s="43" t="str">
        <x:v>Completado</x:v>
      </x:c>
      <x:c r="G414" s="44" t="n">
        <x:v>46287</x:v>
      </x:c>
      <x:c r="H414" s="44" t="n">
        <x:v>46295</x:v>
      </x:c>
      <x:c r="I414" s="45" t="n">
        <x:f>IF(OR(G414="",H414=""),"",SUMPRODUCT(('Cronograma'!$F$8:$P$8&lt;=H414)*('Cronograma'!$F$9:$P$9&gt;=G414)))</x:f>
        <x:v>1</x:v>
      </x:c>
      <x:c r="J414" s="46"/>
      <x:c r="K414" s="46"/>
      <x:c r="L414" s="47"/>
      <x:c r="M414" s="48" t="str"/>
      <x:c r="N414" s="48" t="str"/>
      <x:c r="O414" s="49" t="n">
        <x:v>46294</x:v>
      </x:c>
      <x:c r="P414" s="43" t="str">
        <x:v>Reporte fechado y código asociado</x:v>
      </x:c>
      <x:c r="Q414" s="43" t="str">
        <x:v>SOC02, SOC03, ACC03</x:v>
      </x:c>
      <x:c r="R414" s="43" t="str"/>
      <x:c r="S414" s="43" t="str"/>
      <x:c r="T414" s="43" t="str">
        <x:v>S069, S077, S072</x:v>
      </x:c>
      <x:c r="U414" s="43" t="str">
        <x:v>docs/home-social-v7-integration.md
lib/features/community/data/notifications_controller.dart
supabase/migrations/009_post_reactions.sql</x:v>
      </x:c>
    </x:row>
    <x:row r="415" ht="44" customHeight="1">
      <x:c r="A415" s="42" t="str">
        <x:v>SOC05.001</x:v>
      </x:c>
      <x:c r="B415" s="42" t="str">
        <x:v>Validación y correcciones de la experiencia social</x:v>
      </x:c>
      <x:c r="C415" s="42" t="str">
        <x:v>SOC05</x:v>
      </x:c>
      <x:c r="D415" s="43" t="str">
        <x:v>Aplicar migraciones sociales 009 a 011</x:v>
      </x:c>
      <x:c r="E415" s="43" t="str">
        <x:v>Actualizar backend con gate remoto aprobado.</x:v>
      </x:c>
      <x:c r="F415" s="43" t="str">
        <x:v>Completado</x:v>
      </x:c>
      <x:c r="G415" s="44" t="n">
        <x:v>46287</x:v>
      </x:c>
      <x:c r="H415" s="44" t="n">
        <x:v>46295</x:v>
      </x:c>
      <x:c r="I415" s="45" t="n">
        <x:f>IF(OR(G415="",H415=""),"",SUMPRODUCT(('Cronograma'!$F$8:$P$8&lt;=H415)*('Cronograma'!$F$9:$P$9&gt;=G415)))</x:f>
        <x:v>1</x:v>
      </x:c>
      <x:c r="J415" s="46"/>
      <x:c r="K415" s="46"/>
      <x:c r="L415" s="47"/>
      <x:c r="M415" s="48" t="str"/>
      <x:c r="N415" s="48" t="str"/>
      <x:c r="O415" s="49" t="n">
        <x:v>46294</x:v>
      </x:c>
      <x:c r="P415" s="43" t="str">
        <x:v>Reporte fechado y código asociado</x:v>
      </x:c>
      <x:c r="Q415" s="43" t="str">
        <x:v>SOC01, SOC02, SOC03, SOC04</x:v>
      </x:c>
      <x:c r="R415" s="43" t="str"/>
      <x:c r="S415" s="43" t="str"/>
      <x:c r="T415" s="43" t="str">
        <x:v>S069, S078, S079</x:v>
      </x:c>
      <x:c r="U415" s="43" t="str">
        <x:v>docs/home-social-v7-integration.md
docs/implementation/home-social-v7-progress.md
tool/check_live_social_flow.mjs</x:v>
      </x:c>
    </x:row>
    <x:row r="416" ht="44" customHeight="1">
      <x:c r="A416" s="42" t="str">
        <x:v>SOC05.002</x:v>
      </x:c>
      <x:c r="B416" s="42" t="str">
        <x:v>Validación y correcciones de la experiencia social</x:v>
      </x:c>
      <x:c r="C416" s="42" t="str">
        <x:v>SOC05</x:v>
      </x:c>
      <x:c r="D416" s="43" t="str">
        <x:v>Validar idempotencia y privacidad social</x:v>
      </x:c>
      <x:c r="E416" s="43" t="str">
        <x:v>Reporte acredita 21 comprobaciones Supabase reales.</x:v>
      </x:c>
      <x:c r="F416" s="43" t="str">
        <x:v>Completado</x:v>
      </x:c>
      <x:c r="G416" s="44" t="n">
        <x:v>46287</x:v>
      </x:c>
      <x:c r="H416" s="44" t="n">
        <x:v>46295</x:v>
      </x:c>
      <x:c r="I416" s="45" t="n">
        <x:f>IF(OR(G416="",H416=""),"",SUMPRODUCT(('Cronograma'!$F$8:$P$8&lt;=H416)*('Cronograma'!$F$9:$P$9&gt;=G416)))</x:f>
        <x:v>1</x:v>
      </x:c>
      <x:c r="J416" s="46"/>
      <x:c r="K416" s="46"/>
      <x:c r="L416" s="47"/>
      <x:c r="M416" s="48" t="str"/>
      <x:c r="N416" s="48" t="str"/>
      <x:c r="O416" s="49" t="n">
        <x:v>46294</x:v>
      </x:c>
      <x:c r="P416" s="43" t="str">
        <x:v>Reporte fechado y código asociado</x:v>
      </x:c>
      <x:c r="Q416" s="43" t="str">
        <x:v>SOC01, SOC02, SOC03, SOC04</x:v>
      </x:c>
      <x:c r="R416" s="43" t="str"/>
      <x:c r="S416" s="43" t="str"/>
      <x:c r="T416" s="43" t="str">
        <x:v>S069, S078, S079</x:v>
      </x:c>
      <x:c r="U416" s="43" t="str">
        <x:v>docs/home-social-v7-integration.md
docs/implementation/home-social-v7-progress.md
tool/check_live_social_flow.mjs</x:v>
      </x:c>
    </x:row>
    <x:row r="417" ht="44" customHeight="1">
      <x:c r="A417" s="42" t="str">
        <x:v>SOC05.003</x:v>
      </x:c>
      <x:c r="B417" s="42" t="str">
        <x:v>Validación y correcciones de la experiencia social</x:v>
      </x:c>
      <x:c r="C417" s="42" t="str">
        <x:v>SOC05</x:v>
      </x:c>
      <x:c r="D417" s="43" t="str">
        <x:v>Verificar publicación Realtime</x:v>
      </x:c>
      <x:c r="E417" s="43" t="str">
        <x:v>Cubrir entrega y limpieza asociadas a la cuenta.</x:v>
      </x:c>
      <x:c r="F417" s="43" t="str">
        <x:v>Completado</x:v>
      </x:c>
      <x:c r="G417" s="44" t="n">
        <x:v>46287</x:v>
      </x:c>
      <x:c r="H417" s="44" t="n">
        <x:v>46295</x:v>
      </x:c>
      <x:c r="I417" s="45" t="n">
        <x:f>IF(OR(G417="",H417=""),"",SUMPRODUCT(('Cronograma'!$F$8:$P$8&lt;=H417)*('Cronograma'!$F$9:$P$9&gt;=G417)))</x:f>
        <x:v>1</x:v>
      </x:c>
      <x:c r="J417" s="46"/>
      <x:c r="K417" s="46"/>
      <x:c r="L417" s="47"/>
      <x:c r="M417" s="48" t="str"/>
      <x:c r="N417" s="48" t="str"/>
      <x:c r="O417" s="49" t="n">
        <x:v>46294</x:v>
      </x:c>
      <x:c r="P417" s="43" t="str">
        <x:v>Reporte fechado y código asociado</x:v>
      </x:c>
      <x:c r="Q417" s="43" t="str">
        <x:v>SOC01, SOC02, SOC03, SOC04</x:v>
      </x:c>
      <x:c r="R417" s="43" t="str"/>
      <x:c r="S417" s="43" t="str"/>
      <x:c r="T417" s="43" t="str">
        <x:v>S069, S078, S079</x:v>
      </x:c>
      <x:c r="U417" s="43" t="str">
        <x:v>docs/home-social-v7-integration.md
docs/implementation/home-social-v7-progress.md
tool/check_live_social_flow.mjs</x:v>
      </x:c>
    </x:row>
    <x:row r="418" ht="44" customHeight="1">
      <x:c r="A418" s="42" t="str">
        <x:v>SOC05.004</x:v>
      </x:c>
      <x:c r="B418" s="42" t="str">
        <x:v>Validación y correcciones de la experiencia social</x:v>
      </x:c>
      <x:c r="C418" s="42" t="str">
        <x:v>SOC05</x:v>
      </x:c>
      <x:c r="D418" s="43" t="str">
        <x:v>Verificar cascadas de contenido social</x:v>
      </x:c>
      <x:c r="E418" s="43" t="str">
        <x:v>No conservar relaciones huérfanas tras eliminación.</x:v>
      </x:c>
      <x:c r="F418" s="43" t="str">
        <x:v>Completado</x:v>
      </x:c>
      <x:c r="G418" s="44" t="n">
        <x:v>46287</x:v>
      </x:c>
      <x:c r="H418" s="44" t="n">
        <x:v>46295</x:v>
      </x:c>
      <x:c r="I418" s="45" t="n">
        <x:f>IF(OR(G418="",H418=""),"",SUMPRODUCT(('Cronograma'!$F$8:$P$8&lt;=H418)*('Cronograma'!$F$9:$P$9&gt;=G418)))</x:f>
        <x:v>1</x:v>
      </x:c>
      <x:c r="J418" s="46"/>
      <x:c r="K418" s="46"/>
      <x:c r="L418" s="47"/>
      <x:c r="M418" s="48" t="str"/>
      <x:c r="N418" s="48" t="str"/>
      <x:c r="O418" s="49" t="n">
        <x:v>46294</x:v>
      </x:c>
      <x:c r="P418" s="43" t="str">
        <x:v>Reporte fechado y código asociado</x:v>
      </x:c>
      <x:c r="Q418" s="43" t="str">
        <x:v>SOC01, SOC02, SOC03, SOC04</x:v>
      </x:c>
      <x:c r="R418" s="43" t="str"/>
      <x:c r="S418" s="43" t="str"/>
      <x:c r="T418" s="43" t="str">
        <x:v>S069, S078, S079</x:v>
      </x:c>
      <x:c r="U418" s="43" t="str">
        <x:v>docs/home-social-v7-integration.md
docs/implementation/home-social-v7-progress.md
tool/check_live_social_flow.mjs</x:v>
      </x:c>
    </x:row>
    <x:row r="419" ht="44" customHeight="1">
      <x:c r="A419" s="42" t="str">
        <x:v>SOC05.005</x:v>
      </x:c>
      <x:c r="B419" s="42" t="str">
        <x:v>Validación y correcciones de la experiencia social</x:v>
      </x:c>
      <x:c r="C419" s="42" t="str">
        <x:v>SOC05</x:v>
      </x:c>
      <x:c r="D419" s="43" t="str">
        <x:v>Actualizar gate histórico de migraciones</x:v>
      </x:c>
      <x:c r="E419" s="43" t="str">
        <x:v>Comprobar 009–011 y publicación Realtime.</x:v>
      </x:c>
      <x:c r="F419" s="43" t="str">
        <x:v>Completado</x:v>
      </x:c>
      <x:c r="G419" s="44" t="n">
        <x:v>46287</x:v>
      </x:c>
      <x:c r="H419" s="44" t="n">
        <x:v>46295</x:v>
      </x:c>
      <x:c r="I419" s="45" t="n">
        <x:f>IF(OR(G419="",H419=""),"",SUMPRODUCT(('Cronograma'!$F$8:$P$8&lt;=H419)*('Cronograma'!$F$9:$P$9&gt;=G419)))</x:f>
        <x:v>1</x:v>
      </x:c>
      <x:c r="J419" s="46"/>
      <x:c r="K419" s="46"/>
      <x:c r="L419" s="47"/>
      <x:c r="M419" s="48" t="str"/>
      <x:c r="N419" s="48" t="str"/>
      <x:c r="O419" s="49" t="n">
        <x:v>46294</x:v>
      </x:c>
      <x:c r="P419" s="43" t="str">
        <x:v>Reporte fechado y código asociado</x:v>
      </x:c>
      <x:c r="Q419" s="43" t="str">
        <x:v>SOC01, SOC02, SOC03, SOC04</x:v>
      </x:c>
      <x:c r="R419" s="43" t="str"/>
      <x:c r="S419" s="43" t="str"/>
      <x:c r="T419" s="43" t="str">
        <x:v>S069, S078, S079</x:v>
      </x:c>
      <x:c r="U419" s="43" t="str">
        <x:v>docs/home-social-v7-integration.md
docs/implementation/home-social-v7-progress.md
tool/check_live_social_flow.mjs</x:v>
      </x:c>
    </x:row>
    <x:row r="420" ht="44" customHeight="1">
      <x:c r="A420" s="42" t="str">
        <x:v>SOC05.006</x:v>
      </x:c>
      <x:c r="B420" s="42" t="str">
        <x:v>Validación y correcciones de la experiencia social</x:v>
      </x:c>
      <x:c r="C420" s="42" t="str">
        <x:v>SOC05</x:v>
      </x:c>
      <x:c r="D420" s="43" t="str">
        <x:v>Corregir pie con teclado y texto ampliado</x:v>
      </x:c>
      <x:c r="E420" s="43" t="str">
        <x:v>Mantener campos y acción alcanzables.</x:v>
      </x:c>
      <x:c r="F420" s="43" t="str">
        <x:v>Completado</x:v>
      </x:c>
      <x:c r="G420" s="44" t="n">
        <x:v>46287</x:v>
      </x:c>
      <x:c r="H420" s="44" t="n">
        <x:v>46295</x:v>
      </x:c>
      <x:c r="I420" s="45" t="n">
        <x:f>IF(OR(G420="",H420=""),"",SUMPRODUCT(('Cronograma'!$F$8:$P$8&lt;=H420)*('Cronograma'!$F$9:$P$9&gt;=G420)))</x:f>
        <x:v>1</x:v>
      </x:c>
      <x:c r="J420" s="46"/>
      <x:c r="K420" s="46"/>
      <x:c r="L420" s="47"/>
      <x:c r="M420" s="48" t="str"/>
      <x:c r="N420" s="48" t="str"/>
      <x:c r="O420" s="49" t="n">
        <x:v>46294</x:v>
      </x:c>
      <x:c r="P420" s="43" t="str">
        <x:v>Reporte fechado y código asociado</x:v>
      </x:c>
      <x:c r="Q420" s="43" t="str">
        <x:v>SOC01, SOC02, SOC03, SOC04</x:v>
      </x:c>
      <x:c r="R420" s="43" t="str"/>
      <x:c r="S420" s="43" t="str"/>
      <x:c r="T420" s="43" t="str">
        <x:v>S069, S078, S079</x:v>
      </x:c>
      <x:c r="U420" s="43" t="str">
        <x:v>docs/home-social-v7-integration.md
docs/implementation/home-social-v7-progress.md
tool/check_live_social_flow.mjs</x:v>
      </x:c>
    </x:row>
    <x:row r="421" ht="44" customHeight="1">
      <x:c r="A421" s="42" t="str">
        <x:v>SOC05.007</x:v>
      </x:c>
      <x:c r="B421" s="42" t="str">
        <x:v>Validación y correcciones de la experiencia social</x:v>
      </x:c>
      <x:c r="C421" s="42" t="str">
        <x:v>SOC05</x:v>
      </x:c>
      <x:c r="D421" s="43" t="str">
        <x:v>Corregir límite semántico de Navigator</x:v>
      </x:c>
      <x:c r="E421" s="43" t="str">
        <x:v>Hacer accesibles controles de cabecera Web.</x:v>
      </x:c>
      <x:c r="F421" s="43" t="str">
        <x:v>Completado</x:v>
      </x:c>
      <x:c r="G421" s="44" t="n">
        <x:v>46287</x:v>
      </x:c>
      <x:c r="H421" s="44" t="n">
        <x:v>46295</x:v>
      </x:c>
      <x:c r="I421" s="45" t="n">
        <x:f>IF(OR(G421="",H421=""),"",SUMPRODUCT(('Cronograma'!$F$8:$P$8&lt;=H421)*('Cronograma'!$F$9:$P$9&gt;=G421)))</x:f>
        <x:v>1</x:v>
      </x:c>
      <x:c r="J421" s="46"/>
      <x:c r="K421" s="46"/>
      <x:c r="L421" s="47"/>
      <x:c r="M421" s="48" t="str"/>
      <x:c r="N421" s="48" t="str"/>
      <x:c r="O421" s="49" t="n">
        <x:v>46294</x:v>
      </x:c>
      <x:c r="P421" s="43" t="str">
        <x:v>Reporte fechado y código asociado</x:v>
      </x:c>
      <x:c r="Q421" s="43" t="str">
        <x:v>SOC01, SOC02, SOC03, SOC04</x:v>
      </x:c>
      <x:c r="R421" s="43" t="str"/>
      <x:c r="S421" s="43" t="str"/>
      <x:c r="T421" s="43" t="str">
        <x:v>S069, S078, S079</x:v>
      </x:c>
      <x:c r="U421" s="43" t="str">
        <x:v>docs/home-social-v7-integration.md
docs/implementation/home-social-v7-progress.md
tool/check_live_social_flow.mjs</x:v>
      </x:c>
    </x:row>
    <x:row r="422" ht="44" customHeight="1">
      <x:c r="A422" s="42" t="str">
        <x:v>SOC05.008</x:v>
      </x:c>
      <x:c r="B422" s="42" t="str">
        <x:v>Validación y correcciones de la experiencia social</x:v>
      </x:c>
      <x:c r="C422" s="42" t="str">
        <x:v>SOC05</x:v>
      </x:c>
      <x:c r="D422" s="43" t="str">
        <x:v>Retirar refresco aislado de Inicio</x:v>
      </x:c>
      <x:c r="E422" s="43" t="str">
        <x:v>Conservar actualización del feed dentro del contenido.</x:v>
      </x:c>
      <x:c r="F422" s="43" t="str">
        <x:v>Completado</x:v>
      </x:c>
      <x:c r="G422" s="44" t="n">
        <x:v>46287</x:v>
      </x:c>
      <x:c r="H422" s="44" t="n">
        <x:v>46295</x:v>
      </x:c>
      <x:c r="I422" s="45" t="n">
        <x:f>IF(OR(G422="",H422=""),"",SUMPRODUCT(('Cronograma'!$F$8:$P$8&lt;=H422)*('Cronograma'!$F$9:$P$9&gt;=G422)))</x:f>
        <x:v>1</x:v>
      </x:c>
      <x:c r="J422" s="46"/>
      <x:c r="K422" s="46"/>
      <x:c r="L422" s="47"/>
      <x:c r="M422" s="48" t="str"/>
      <x:c r="N422" s="48" t="str"/>
      <x:c r="O422" s="49" t="n">
        <x:v>46294</x:v>
      </x:c>
      <x:c r="P422" s="43" t="str">
        <x:v>Reporte fechado y código asociado</x:v>
      </x:c>
      <x:c r="Q422" s="43" t="str">
        <x:v>SOC01, SOC02, SOC03, SOC04</x:v>
      </x:c>
      <x:c r="R422" s="43" t="str"/>
      <x:c r="S422" s="43" t="str"/>
      <x:c r="T422" s="43" t="str">
        <x:v>S069, S078, S079</x:v>
      </x:c>
      <x:c r="U422" s="43" t="str">
        <x:v>docs/home-social-v7-integration.md
docs/implementation/home-social-v7-progress.md
tool/check_live_social_flow.mjs</x:v>
      </x:c>
    </x:row>
    <x:row r="423" ht="44" customHeight="1">
      <x:c r="A423" s="42" t="str">
        <x:v>SOC05.009</x:v>
      </x:c>
      <x:c r="B423" s="42" t="str">
        <x:v>Validación y correcciones de la experiencia social</x:v>
      </x:c>
      <x:c r="C423" s="42" t="str">
        <x:v>SOC05</x:v>
      </x:c>
      <x:c r="D423" s="43" t="str">
        <x:v>Validar layouts entre 360 y 1440 px</x:v>
      </x:c>
      <x:c r="E423" s="43" t="str">
        <x:v>Cubrir móvil, tablet, escritorio y texto 200%.</x:v>
      </x:c>
      <x:c r="F423" s="43" t="str">
        <x:v>Completado</x:v>
      </x:c>
      <x:c r="G423" s="44" t="n">
        <x:v>46287</x:v>
      </x:c>
      <x:c r="H423" s="44" t="n">
        <x:v>46295</x:v>
      </x:c>
      <x:c r="I423" s="45" t="n">
        <x:f>IF(OR(G423="",H423=""),"",SUMPRODUCT(('Cronograma'!$F$8:$P$8&lt;=H423)*('Cronograma'!$F$9:$P$9&gt;=G423)))</x:f>
        <x:v>1</x:v>
      </x:c>
      <x:c r="J423" s="46"/>
      <x:c r="K423" s="46"/>
      <x:c r="L423" s="47"/>
      <x:c r="M423" s="48" t="str"/>
      <x:c r="N423" s="48" t="str"/>
      <x:c r="O423" s="49" t="n">
        <x:v>46294</x:v>
      </x:c>
      <x:c r="P423" s="43" t="str">
        <x:v>Reporte fechado y código asociado</x:v>
      </x:c>
      <x:c r="Q423" s="43" t="str">
        <x:v>SOC01, SOC02, SOC03, SOC04</x:v>
      </x:c>
      <x:c r="R423" s="43" t="str"/>
      <x:c r="S423" s="43" t="str"/>
      <x:c r="T423" s="43" t="str">
        <x:v>S069, S078, S079</x:v>
      </x:c>
      <x:c r="U423" s="43" t="str">
        <x:v>docs/home-social-v7-integration.md
docs/implementation/home-social-v7-progress.md
tool/check_live_social_flow.mjs</x:v>
      </x:c>
    </x:row>
    <x:row r="424" ht="44" customHeight="1">
      <x:c r="A424" s="42" t="str">
        <x:v>SOC05.010</x:v>
      </x:c>
      <x:c r="B424" s="42" t="str">
        <x:v>Validación y correcciones de la experiencia social</x:v>
      </x:c>
      <x:c r="C424" s="42" t="str">
        <x:v>SOC05</x:v>
      </x:c>
      <x:c r="D424" s="43" t="str">
        <x:v>Validar compartir cancelado y Deshacer</x:v>
      </x:c>
      <x:c r="E424" s="43" t="str">
        <x:v>Cubrir estados sin éxito ficticio ni SnackBar permanente.</x:v>
      </x:c>
      <x:c r="F424" s="43" t="str">
        <x:v>Completado</x:v>
      </x:c>
      <x:c r="G424" s="44" t="n">
        <x:v>46287</x:v>
      </x:c>
      <x:c r="H424" s="44" t="n">
        <x:v>46295</x:v>
      </x:c>
      <x:c r="I424" s="45" t="n">
        <x:f>IF(OR(G424="",H424=""),"",SUMPRODUCT(('Cronograma'!$F$8:$P$8&lt;=H424)*('Cronograma'!$F$9:$P$9&gt;=G424)))</x:f>
        <x:v>1</x:v>
      </x:c>
      <x:c r="J424" s="46"/>
      <x:c r="K424" s="46"/>
      <x:c r="L424" s="47"/>
      <x:c r="M424" s="48" t="str"/>
      <x:c r="N424" s="48" t="str"/>
      <x:c r="O424" s="49" t="n">
        <x:v>46294</x:v>
      </x:c>
      <x:c r="P424" s="43" t="str">
        <x:v>Reporte fechado y código asociado</x:v>
      </x:c>
      <x:c r="Q424" s="43" t="str">
        <x:v>SOC01, SOC02, SOC03, SOC04</x:v>
      </x:c>
      <x:c r="R424" s="43" t="str"/>
      <x:c r="S424" s="43" t="str"/>
      <x:c r="T424" s="43" t="str">
        <x:v>S069, S078, S079</x:v>
      </x:c>
      <x:c r="U424" s="43" t="str">
        <x:v>docs/home-social-v7-integration.md
docs/implementation/home-social-v7-progress.md
tool/check_live_social_flow.mjs</x:v>
      </x:c>
    </x:row>
    <x:row r="425" ht="44" customHeight="1">
      <x:c r="A425" s="42" t="str">
        <x:v>SOC05.011</x:v>
      </x:c>
      <x:c r="B425" s="42" t="str">
        <x:v>Validación y correcciones de la experiencia social</x:v>
      </x:c>
      <x:c r="C425" s="42" t="str">
        <x:v>SOC05</x:v>
      </x:c>
      <x:c r="D425" s="43" t="str">
        <x:v>Verificar recarga directa del enlace de post</x:v>
      </x:c>
      <x:c r="E425" s="43" t="str">
        <x:v>Comprobar fallback a index.html y retorno tras login.</x:v>
      </x:c>
      <x:c r="F425" s="43" t="str">
        <x:v>Completado</x:v>
      </x:c>
      <x:c r="G425" s="44" t="n">
        <x:v>46287</x:v>
      </x:c>
      <x:c r="H425" s="44" t="n">
        <x:v>46295</x:v>
      </x:c>
      <x:c r="I425" s="45" t="n">
        <x:f>IF(OR(G425="",H425=""),"",SUMPRODUCT(('Cronograma'!$F$8:$P$8&lt;=H425)*('Cronograma'!$F$9:$P$9&gt;=G425)))</x:f>
        <x:v>1</x:v>
      </x:c>
      <x:c r="J425" s="46"/>
      <x:c r="K425" s="46"/>
      <x:c r="L425" s="47"/>
      <x:c r="M425" s="48" t="str"/>
      <x:c r="N425" s="48" t="str"/>
      <x:c r="O425" s="49" t="n">
        <x:v>46294</x:v>
      </x:c>
      <x:c r="P425" s="43" t="str">
        <x:v>Reporte fechado y código asociado</x:v>
      </x:c>
      <x:c r="Q425" s="43" t="str">
        <x:v>SOC01, SOC02, SOC03, SOC04</x:v>
      </x:c>
      <x:c r="R425" s="43" t="str"/>
      <x:c r="S425" s="43" t="str"/>
      <x:c r="T425" s="43" t="str">
        <x:v>S069, S078, S079</x:v>
      </x:c>
      <x:c r="U425" s="43" t="str">
        <x:v>docs/home-social-v7-integration.md
docs/implementation/home-social-v7-progress.md
tool/check_live_social_flow.mjs</x:v>
      </x:c>
    </x:row>
    <x:row r="426" ht="44" customHeight="1">
      <x:c r="A426" s="42" t="str">
        <x:v>SOC05.012</x:v>
      </x:c>
      <x:c r="B426" s="42" t="str">
        <x:v>Validación y correcciones de la experiencia social</x:v>
      </x:c>
      <x:c r="C426" s="42" t="str">
        <x:v>SOC05</x:v>
      </x:c>
      <x:c r="D426" s="43" t="str">
        <x:v>Compilar Web, Android e iOS sin firma</x:v>
      </x:c>
      <x:c r="E426" s="43" t="str">
        <x:v>Reporte acredita builds de v7 correctos.</x:v>
      </x:c>
      <x:c r="F426" s="43" t="str">
        <x:v>Completado</x:v>
      </x:c>
      <x:c r="G426" s="44" t="n">
        <x:v>46287</x:v>
      </x:c>
      <x:c r="H426" s="44" t="n">
        <x:v>46295</x:v>
      </x:c>
      <x:c r="I426" s="45" t="n">
        <x:f>IF(OR(G426="",H426=""),"",SUMPRODUCT(('Cronograma'!$F$8:$P$8&lt;=H426)*('Cronograma'!$F$9:$P$9&gt;=G426)))</x:f>
        <x:v>1</x:v>
      </x:c>
      <x:c r="J426" s="46"/>
      <x:c r="K426" s="46"/>
      <x:c r="L426" s="47"/>
      <x:c r="M426" s="48" t="str"/>
      <x:c r="N426" s="48" t="str"/>
      <x:c r="O426" s="49" t="n">
        <x:v>46294</x:v>
      </x:c>
      <x:c r="P426" s="43" t="str">
        <x:v>Reporte fechado y código asociado</x:v>
      </x:c>
      <x:c r="Q426" s="43" t="str">
        <x:v>SOC01, SOC02, SOC03, SOC04</x:v>
      </x:c>
      <x:c r="R426" s="43" t="str"/>
      <x:c r="S426" s="43" t="str"/>
      <x:c r="T426" s="43" t="str">
        <x:v>S069, S078, S079</x:v>
      </x:c>
      <x:c r="U426" s="43" t="str">
        <x:v>docs/home-social-v7-integration.md
docs/implementation/home-social-v7-progress.md
tool/check_live_social_flow.mjs</x:v>
      </x:c>
    </x:row>
    <x:row r="427" ht="44" customHeight="1">
      <x:c r="A427" s="42" t="str">
        <x:v>SOC05.013</x:v>
      </x:c>
      <x:c r="B427" s="42" t="str">
        <x:v>Validación y correcciones de la experiencia social</x:v>
      </x:c>
      <x:c r="C427" s="42" t="str">
        <x:v>SOC05</x:v>
      </x:c>
      <x:c r="D427" s="43" t="str">
        <x:v>Registrar suite social integrada</x:v>
      </x:c>
      <x:c r="E427" s="43" t="str">
        <x:v>Reporte acredita 295 Flutter y 820 checks SQL aislados.</x:v>
      </x:c>
      <x:c r="F427" s="43" t="str">
        <x:v>Completado</x:v>
      </x:c>
      <x:c r="G427" s="44" t="n">
        <x:v>46287</x:v>
      </x:c>
      <x:c r="H427" s="44" t="n">
        <x:v>46295</x:v>
      </x:c>
      <x:c r="I427" s="45" t="n">
        <x:f>IF(OR(G427="",H427=""),"",SUMPRODUCT(('Cronograma'!$F$8:$P$8&lt;=H427)*('Cronograma'!$F$9:$P$9&gt;=G427)))</x:f>
        <x:v>1</x:v>
      </x:c>
      <x:c r="J427" s="46"/>
      <x:c r="K427" s="46"/>
      <x:c r="L427" s="47"/>
      <x:c r="M427" s="48" t="str"/>
      <x:c r="N427" s="48" t="str"/>
      <x:c r="O427" s="49" t="n">
        <x:v>46294</x:v>
      </x:c>
      <x:c r="P427" s="43" t="str">
        <x:v>Reporte fechado y código asociado</x:v>
      </x:c>
      <x:c r="Q427" s="43" t="str">
        <x:v>SOC01, SOC02, SOC03, SOC04</x:v>
      </x:c>
      <x:c r="R427" s="43" t="str"/>
      <x:c r="S427" s="43" t="str"/>
      <x:c r="T427" s="43" t="str">
        <x:v>S069, S078, S079</x:v>
      </x:c>
      <x:c r="U427" s="43" t="str">
        <x:v>docs/home-social-v7-integration.md
docs/implementation/home-social-v7-progress.md
tool/check_live_social_flow.mjs</x:v>
      </x:c>
    </x:row>
    <x:row r="428" ht="44" customHeight="1">
      <x:c r="A428" s="42" t="str">
        <x:v>SOC05.014</x:v>
      </x:c>
      <x:c r="B428" s="42" t="str">
        <x:v>Validación y correcciones de la experiencia social</x:v>
      </x:c>
      <x:c r="C428" s="42" t="str">
        <x:v>SOC05</x:v>
      </x:c>
      <x:c r="D428" s="43" t="str">
        <x:v>Limpiar datos temporales de validación</x:v>
      </x:c>
      <x:c r="E428" s="43" t="str">
        <x:v>Retirar cuentas, posts e imagen de comprobación.</x:v>
      </x:c>
      <x:c r="F428" s="43" t="str">
        <x:v>Completado</x:v>
      </x:c>
      <x:c r="G428" s="44" t="n">
        <x:v>46287</x:v>
      </x:c>
      <x:c r="H428" s="44" t="n">
        <x:v>46295</x:v>
      </x:c>
      <x:c r="I428" s="45" t="n">
        <x:f>IF(OR(G428="",H428=""),"",SUMPRODUCT(('Cronograma'!$F$8:$P$8&lt;=H428)*('Cronograma'!$F$9:$P$9&gt;=G428)))</x:f>
        <x:v>1</x:v>
      </x:c>
      <x:c r="J428" s="46"/>
      <x:c r="K428" s="46"/>
      <x:c r="L428" s="47"/>
      <x:c r="M428" s="48" t="str"/>
      <x:c r="N428" s="48" t="str"/>
      <x:c r="O428" s="49" t="n">
        <x:v>46294</x:v>
      </x:c>
      <x:c r="P428" s="43" t="str">
        <x:v>Reporte fechado y código asociado</x:v>
      </x:c>
      <x:c r="Q428" s="43" t="str">
        <x:v>SOC01, SOC02, SOC03, SOC04</x:v>
      </x:c>
      <x:c r="R428" s="43" t="str"/>
      <x:c r="S428" s="43" t="str"/>
      <x:c r="T428" s="43" t="str">
        <x:v>S069, S078, S079</x:v>
      </x:c>
      <x:c r="U428" s="43" t="str">
        <x:v>docs/home-social-v7-integration.md
docs/implementation/home-social-v7-progress.md
tool/check_live_social_flow.mjs</x:v>
      </x:c>
    </x:row>
    <x:row r="429" ht="68" customHeight="1">
      <x:c r="A429" s="42" t="str">
        <x:v>DIS03.001</x:v>
      </x:c>
      <x:c r="B429" s="42" t="str">
        <x:v>Implementaciones experimentales archivadas</x:v>
      </x:c>
      <x:c r="C429" s="42" t="str">
        <x:v>DIS03</x:v>
      </x:c>
      <x:c r="D429" s="43" t="str">
        <x:v>Probar shell de navegación Corrientes locales</x:v>
      </x:c>
      <x:c r="E429" s="43" t="str">
        <x:v>Conservar composición móvil y rail de escritorio del experimento archivado.</x:v>
      </x:c>
      <x:c r="F429" s="43" t="str">
        <x:v>Sustituido</x:v>
      </x:c>
      <x:c r="G429" s="44" t="n">
        <x:v>46287</x:v>
      </x:c>
      <x:c r="H429" s="44" t="n">
        <x:v>46295</x:v>
      </x:c>
      <x:c r="I429" s="45" t="n">
        <x:f>IF(OR(G429="",H429=""),"",SUMPRODUCT(('Cronograma'!$F$8:$P$8&lt;=H429)*('Cronograma'!$F$9:$P$9&gt;=G429)))</x:f>
        <x:v>1</x:v>
      </x:c>
      <x:c r="J429" s="46"/>
      <x:c r="K429" s="46"/>
      <x:c r="L429" s="47"/>
      <x:c r="M429" s="48" t="str"/>
      <x:c r="N429" s="48" t="str"/>
      <x:c r="O429" s="49" t="n">
        <x:v>46294</x:v>
      </x:c>
      <x:c r="P429" s="43" t="str">
        <x:v>Commit de integración y documentos</x:v>
      </x:c>
      <x:c r="Q429" s="43" t="str">
        <x:v>DIS01</x:v>
      </x:c>
      <x:c r="R429" s="43" t="str">
        <x:v>Propuesta conservada como antecedente; no representa la interfaz vigente.</x:v>
      </x:c>
      <x:c r="S429" s="43" t="str">
        <x:v>Los commits b565ef0 y d54f4e5 conservan código de las propuestas. El merge con estrategia ours mantiene v7 como interfaz activa.</x:v>
      </x:c>
      <x:c r="T429" s="43" t="str">
        <x:v>S066, S080, S081, S082, S083</x:v>
      </x:c>
      <x:c r="U429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0" ht="68" customHeight="1">
      <x:c r="A430" s="42" t="str">
        <x:v>DIS03.002</x:v>
      </x:c>
      <x:c r="B430" s="42" t="str">
        <x:v>Implementaciones experimentales archivadas</x:v>
      </x:c>
      <x:c r="C430" s="42" t="str">
        <x:v>DIS03</x:v>
      </x:c>
      <x:c r="D430" s="43" t="str">
        <x:v>Probar superficies Paper y acentos mint</x:v>
      </x:c>
      <x:c r="E430" s="43" t="str">
        <x:v>Conservar tema experimental sin aplicarlo a la interfaz v7 vigente.</x:v>
      </x:c>
      <x:c r="F430" s="43" t="str">
        <x:v>Sustituido</x:v>
      </x:c>
      <x:c r="G430" s="44" t="n">
        <x:v>46287</x:v>
      </x:c>
      <x:c r="H430" s="44" t="n">
        <x:v>46295</x:v>
      </x:c>
      <x:c r="I430" s="45" t="n">
        <x:f>IF(OR(G430="",H430=""),"",SUMPRODUCT(('Cronograma'!$F$8:$P$8&lt;=H430)*('Cronograma'!$F$9:$P$9&gt;=G430)))</x:f>
        <x:v>1</x:v>
      </x:c>
      <x:c r="J430" s="46"/>
      <x:c r="K430" s="46"/>
      <x:c r="L430" s="47"/>
      <x:c r="M430" s="48" t="str"/>
      <x:c r="N430" s="48" t="str"/>
      <x:c r="O430" s="49" t="n">
        <x:v>46294</x:v>
      </x:c>
      <x:c r="P430" s="43" t="str">
        <x:v>Commit de integración y documentos</x:v>
      </x:c>
      <x:c r="Q430" s="43" t="str">
        <x:v>DIS01</x:v>
      </x:c>
      <x:c r="R430" s="43" t="str">
        <x:v>Propuesta conservada como antecedente; no representa la interfaz vigente.</x:v>
      </x:c>
      <x:c r="S430" s="43" t="str">
        <x:v>Los commits b565ef0 y d54f4e5 conservan código de las propuestas. El merge con estrategia ours mantiene v7 como interfaz activa.</x:v>
      </x:c>
      <x:c r="T430" s="43" t="str">
        <x:v>S066, S080, S081, S082, S083</x:v>
      </x:c>
      <x:c r="U430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1" ht="68" customHeight="1">
      <x:c r="A431" s="42" t="str">
        <x:v>DIS03.003</x:v>
      </x:c>
      <x:c r="B431" s="42" t="str">
        <x:v>Implementaciones experimentales archivadas</x:v>
      </x:c>
      <x:c r="C431" s="42" t="str">
        <x:v>DIS03</x:v>
      </x:c>
      <x:c r="D431" s="43" t="str">
        <x:v>Probar encabezados de comunidad experimentales</x:v>
      </x:c>
      <x:c r="E431" s="43" t="str">
        <x:v>Conservar énfasis editorial y contexto de autor.</x:v>
      </x:c>
      <x:c r="F431" s="43" t="str">
        <x:v>Sustituido</x:v>
      </x:c>
      <x:c r="G431" s="44" t="n">
        <x:v>46287</x:v>
      </x:c>
      <x:c r="H431" s="44" t="n">
        <x:v>46295</x:v>
      </x:c>
      <x:c r="I431" s="45" t="n">
        <x:f>IF(OR(G431="",H431=""),"",SUMPRODUCT(('Cronograma'!$F$8:$P$8&lt;=H431)*('Cronograma'!$F$9:$P$9&gt;=G431)))</x:f>
        <x:v>1</x:v>
      </x:c>
      <x:c r="J431" s="46"/>
      <x:c r="K431" s="46"/>
      <x:c r="L431" s="47"/>
      <x:c r="M431" s="48" t="str"/>
      <x:c r="N431" s="48" t="str"/>
      <x:c r="O431" s="49" t="n">
        <x:v>46294</x:v>
      </x:c>
      <x:c r="P431" s="43" t="str">
        <x:v>Commit de integración y documentos</x:v>
      </x:c>
      <x:c r="Q431" s="43" t="str">
        <x:v>DIS01</x:v>
      </x:c>
      <x:c r="R431" s="43" t="str">
        <x:v>Propuesta conservada como antecedente; no representa la interfaz vigente.</x:v>
      </x:c>
      <x:c r="S431" s="43" t="str">
        <x:v>Los commits b565ef0 y d54f4e5 conservan código de las propuestas. El merge con estrategia ours mantiene v7 como interfaz activa.</x:v>
      </x:c>
      <x:c r="T431" s="43" t="str">
        <x:v>S066, S080, S081, S082, S083</x:v>
      </x:c>
      <x:c r="U431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2" ht="68" customHeight="1">
      <x:c r="A432" s="42" t="str">
        <x:v>DIS03.004</x:v>
      </x:c>
      <x:c r="B432" s="42" t="str">
        <x:v>Implementaciones experimentales archivadas</x:v>
      </x:c>
      <x:c r="C432" s="42" t="str">
        <x:v>DIS03</x:v>
      </x:c>
      <x:c r="D432" s="43" t="str">
        <x:v>Probar reorganización experimental de perfil</x:v>
      </x:c>
      <x:c r="E432" s="43" t="str">
        <x:v>Mantener implementación archivada como antecedente.</x:v>
      </x:c>
      <x:c r="F432" s="43" t="str">
        <x:v>Sustituido</x:v>
      </x:c>
      <x:c r="G432" s="44" t="n">
        <x:v>46287</x:v>
      </x:c>
      <x:c r="H432" s="44" t="n">
        <x:v>46295</x:v>
      </x:c>
      <x:c r="I432" s="45" t="n">
        <x:f>IF(OR(G432="",H432=""),"",SUMPRODUCT(('Cronograma'!$F$8:$P$8&lt;=H432)*('Cronograma'!$F$9:$P$9&gt;=G432)))</x:f>
        <x:v>1</x:v>
      </x:c>
      <x:c r="J432" s="46"/>
      <x:c r="K432" s="46"/>
      <x:c r="L432" s="47"/>
      <x:c r="M432" s="48" t="str"/>
      <x:c r="N432" s="48" t="str"/>
      <x:c r="O432" s="49" t="n">
        <x:v>46294</x:v>
      </x:c>
      <x:c r="P432" s="43" t="str">
        <x:v>Commit de integración y documentos</x:v>
      </x:c>
      <x:c r="Q432" s="43" t="str">
        <x:v>DIS01</x:v>
      </x:c>
      <x:c r="R432" s="43" t="str">
        <x:v>Propuesta conservada como antecedente; no representa la interfaz vigente.</x:v>
      </x:c>
      <x:c r="S432" s="43" t="str">
        <x:v>Los commits b565ef0 y d54f4e5 conservan código de las propuestas. El merge con estrategia ours mantiene v7 como interfaz activa.</x:v>
      </x:c>
      <x:c r="T432" s="43" t="str">
        <x:v>S066, S080, S081, S082, S083</x:v>
      </x:c>
      <x:c r="U432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3" ht="68" customHeight="1">
      <x:c r="A433" s="42" t="str">
        <x:v>DIS03.005</x:v>
      </x:c>
      <x:c r="B433" s="42" t="str">
        <x:v>Implementaciones experimentales archivadas</x:v>
      </x:c>
      <x:c r="C433" s="42" t="str">
        <x:v>DIS03</x:v>
      </x:c>
      <x:c r="D433" s="43" t="str">
        <x:v>Probar rail adaptable a 600 y 1024 px</x:v>
      </x:c>
      <x:c r="E433" s="43" t="str">
        <x:v>Conservar distribución del segundo concepto móvil.</x:v>
      </x:c>
      <x:c r="F433" s="43" t="str">
        <x:v>Sustituido</x:v>
      </x:c>
      <x:c r="G433" s="44" t="n">
        <x:v>46287</x:v>
      </x:c>
      <x:c r="H433" s="44" t="n">
        <x:v>46295</x:v>
      </x:c>
      <x:c r="I433" s="45" t="n">
        <x:f>IF(OR(G433="",H433=""),"",SUMPRODUCT(('Cronograma'!$F$8:$P$8&lt;=H433)*('Cronograma'!$F$9:$P$9&gt;=G433)))</x:f>
        <x:v>1</x:v>
      </x:c>
      <x:c r="J433" s="46"/>
      <x:c r="K433" s="46"/>
      <x:c r="L433" s="47"/>
      <x:c r="M433" s="48" t="str"/>
      <x:c r="N433" s="48" t="str"/>
      <x:c r="O433" s="49" t="n">
        <x:v>46294</x:v>
      </x:c>
      <x:c r="P433" s="43" t="str">
        <x:v>Commit de integración y documentos</x:v>
      </x:c>
      <x:c r="Q433" s="43" t="str">
        <x:v>DIS01</x:v>
      </x:c>
      <x:c r="R433" s="43" t="str">
        <x:v>Propuesta conservada como antecedente; no representa la interfaz vigente.</x:v>
      </x:c>
      <x:c r="S433" s="43" t="str">
        <x:v>Los commits b565ef0 y d54f4e5 conservan código de las propuestas. El merge con estrategia ours mantiene v7 como interfaz activa.</x:v>
      </x:c>
      <x:c r="T433" s="43" t="str">
        <x:v>S066, S080, S081, S082, S083</x:v>
      </x:c>
      <x:c r="U433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4" ht="68" customHeight="1">
      <x:c r="A434" s="42" t="str">
        <x:v>DIS03.006</x:v>
      </x:c>
      <x:c r="B434" s="42" t="str">
        <x:v>Implementaciones experimentales archivadas</x:v>
      </x:c>
      <x:c r="C434" s="42" t="str">
        <x:v>DIS03</x:v>
      </x:c>
      <x:c r="D434" s="43" t="str">
        <x:v>Probar anillos aqua de avatar</x:v>
      </x:c>
      <x:c r="E434" s="43" t="str">
        <x:v>Conservar tratamiento visual del experimento.</x:v>
      </x:c>
      <x:c r="F434" s="43" t="str">
        <x:v>Sustituido</x:v>
      </x:c>
      <x:c r="G434" s="44" t="n">
        <x:v>46287</x:v>
      </x:c>
      <x:c r="H434" s="44" t="n">
        <x:v>46295</x:v>
      </x:c>
      <x:c r="I434" s="45" t="n">
        <x:f>IF(OR(G434="",H434=""),"",SUMPRODUCT(('Cronograma'!$F$8:$P$8&lt;=H434)*('Cronograma'!$F$9:$P$9&gt;=G434)))</x:f>
        <x:v>1</x:v>
      </x:c>
      <x:c r="J434" s="46"/>
      <x:c r="K434" s="46"/>
      <x:c r="L434" s="47"/>
      <x:c r="M434" s="48" t="str"/>
      <x:c r="N434" s="48" t="str"/>
      <x:c r="O434" s="49" t="n">
        <x:v>46294</x:v>
      </x:c>
      <x:c r="P434" s="43" t="str">
        <x:v>Commit de integración y documentos</x:v>
      </x:c>
      <x:c r="Q434" s="43" t="str">
        <x:v>DIS01</x:v>
      </x:c>
      <x:c r="R434" s="43" t="str">
        <x:v>Propuesta conservada como antecedente; no representa la interfaz vigente.</x:v>
      </x:c>
      <x:c r="S434" s="43" t="str">
        <x:v>Los commits b565ef0 y d54f4e5 conservan código de las propuestas. El merge con estrategia ours mantiene v7 como interfaz activa.</x:v>
      </x:c>
      <x:c r="T434" s="43" t="str">
        <x:v>S066, S080, S081, S082, S083</x:v>
      </x:c>
      <x:c r="U434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5" ht="68" customHeight="1">
      <x:c r="A435" s="42" t="str">
        <x:v>DIS03.007</x:v>
      </x:c>
      <x:c r="B435" s="42" t="str">
        <x:v>Implementaciones experimentales archivadas</x:v>
      </x:c>
      <x:c r="C435" s="42" t="str">
        <x:v>DIS03</x:v>
      </x:c>
      <x:c r="D435" s="43" t="str">
        <x:v>Archivar código de ambos experimentos</x:v>
      </x:c>
      <x:c r="E435" s="43" t="str">
        <x:v>Documentar implementaciones existentes sin contar los merges de conservación como funciones nuevas.</x:v>
      </x:c>
      <x:c r="F435" s="43" t="str">
        <x:v>Sustituido</x:v>
      </x:c>
      <x:c r="G435" s="44" t="n">
        <x:v>46287</x:v>
      </x:c>
      <x:c r="H435" s="44" t="n">
        <x:v>46295</x:v>
      </x:c>
      <x:c r="I435" s="45" t="n">
        <x:f>IF(OR(G435="",H435=""),"",SUMPRODUCT(('Cronograma'!$F$8:$P$8&lt;=H435)*('Cronograma'!$F$9:$P$9&gt;=G435)))</x:f>
        <x:v>1</x:v>
      </x:c>
      <x:c r="J435" s="46"/>
      <x:c r="K435" s="46"/>
      <x:c r="L435" s="47"/>
      <x:c r="M435" s="48" t="str"/>
      <x:c r="N435" s="48" t="str"/>
      <x:c r="O435" s="49" t="n">
        <x:v>46294</x:v>
      </x:c>
      <x:c r="P435" s="43" t="str">
        <x:v>Commit de integración y documentos</x:v>
      </x:c>
      <x:c r="Q435" s="43" t="str">
        <x:v>DIS01</x:v>
      </x:c>
      <x:c r="R435" s="43" t="str">
        <x:v>Propuesta conservada como antecedente; no representa la interfaz vigente.</x:v>
      </x:c>
      <x:c r="S435" s="43" t="str">
        <x:v>Los commits b565ef0 y d54f4e5 conservan código de las propuestas. El merge con estrategia ours mantiene v7 como interfaz activa.</x:v>
      </x:c>
      <x:c r="T435" s="43" t="str">
        <x:v>S066, S080, S081, S082, S083</x:v>
      </x:c>
      <x:c r="U435" s="43" t="str">
        <x:v>docs/design-experiments/README.md
git:b565ef0:lib/features/shell/presentation/app_shell.dart
git:d54f4e5:lib/features/shell/presentation/app_shell.dart
docs/design-experiments/mobile-social-ui-design.md
docs/design-experiments/social-mobile-redesign-design.md</x:v>
      </x:c>
    </x:row>
    <x:row r="436" ht="44" customHeight="1">
      <x:c r="A436" s="42" t="str">
        <x:v>MIS02.001</x:v>
      </x:c>
      <x:c r="B436" s="42" t="str">
        <x:v>Rediseño del compositor y borradores de misión</x:v>
      </x:c>
      <x:c r="C436" s="42" t="str">
        <x:v>MIS02</x:v>
      </x:c>
      <x:c r="D436" s="43" t="str">
        <x:v>Dividir compositor en cuatro pasos</x:v>
      </x:c>
      <x:c r="E436" s="43" t="str">
        <x:v>Organizar idea, colaboración, lugar/fecha y revisión.</x:v>
      </x:c>
      <x:c r="F436" s="43" t="str">
        <x:v>Completado</x:v>
      </x:c>
      <x:c r="G436" s="44" t="n">
        <x:v>46287</x:v>
      </x:c>
      <x:c r="H436" s="44" t="n">
        <x:v>46295</x:v>
      </x:c>
      <x:c r="I436" s="45" t="n">
        <x:f>IF(OR(G436="",H436=""),"",SUMPRODUCT(('Cronograma'!$F$8:$P$8&lt;=H436)*('Cronograma'!$F$9:$P$9&gt;=G436)))</x:f>
        <x:v>1</x:v>
      </x:c>
      <x:c r="J436" s="46"/>
      <x:c r="K436" s="46"/>
      <x:c r="L436" s="47"/>
      <x:c r="M436" s="48" t="str"/>
      <x:c r="N436" s="48" t="str"/>
      <x:c r="O436" s="49" t="n">
        <x:v>46295</x:v>
      </x:c>
      <x:c r="P436" s="43" t="str">
        <x:v>Reporte fechado y código asociado</x:v>
      </x:c>
      <x:c r="Q436" s="43" t="str">
        <x:v>MIS01, COM02, PRO02</x:v>
      </x:c>
      <x:c r="R436" s="43" t="str"/>
      <x:c r="S436" s="43" t="str"/>
      <x:c r="T436" s="43" t="str">
        <x:v>S084, S085, S086</x:v>
      </x:c>
      <x:c r="U436" s="43" t="str">
        <x:v>docs/missions-redesign.md
docs/implementation/missions-redesign-progress.md
supabase/migrations/013_missions_redesign.sql</x:v>
      </x:c>
    </x:row>
    <x:row r="437" ht="44" customHeight="1">
      <x:c r="A437" s="42" t="str">
        <x:v>MIS02.002</x:v>
      </x:c>
      <x:c r="B437" s="42" t="str">
        <x:v>Rediseño del compositor y borradores de misión</x:v>
      </x:c>
      <x:c r="C437" s="42" t="str">
        <x:v>MIS02</x:v>
      </x:c>
      <x:c r="D437" s="43" t="str">
        <x:v>Compartir flujo entre crear y editar</x:v>
      </x:c>
      <x:c r="E437" s="43" t="str">
        <x:v>Mantener restricciones y datos existentes.</x:v>
      </x:c>
      <x:c r="F437" s="43" t="str">
        <x:v>Completado</x:v>
      </x:c>
      <x:c r="G437" s="44" t="n">
        <x:v>46287</x:v>
      </x:c>
      <x:c r="H437" s="44" t="n">
        <x:v>46295</x:v>
      </x:c>
      <x:c r="I437" s="45" t="n">
        <x:f>IF(OR(G437="",H437=""),"",SUMPRODUCT(('Cronograma'!$F$8:$P$8&lt;=H437)*('Cronograma'!$F$9:$P$9&gt;=G437)))</x:f>
        <x:v>1</x:v>
      </x:c>
      <x:c r="J437" s="46"/>
      <x:c r="K437" s="46"/>
      <x:c r="L437" s="47"/>
      <x:c r="M437" s="48" t="str"/>
      <x:c r="N437" s="48" t="str"/>
      <x:c r="O437" s="49" t="n">
        <x:v>46295</x:v>
      </x:c>
      <x:c r="P437" s="43" t="str">
        <x:v>Reporte fechado y código asociado</x:v>
      </x:c>
      <x:c r="Q437" s="43" t="str">
        <x:v>MIS01, COM02, PRO02</x:v>
      </x:c>
      <x:c r="R437" s="43" t="str"/>
      <x:c r="S437" s="43" t="str"/>
      <x:c r="T437" s="43" t="str">
        <x:v>S084, S085, S086</x:v>
      </x:c>
      <x:c r="U437" s="43" t="str">
        <x:v>docs/missions-redesign.md
docs/implementation/missions-redesign-progress.md
supabase/migrations/013_missions_redesign.sql</x:v>
      </x:c>
    </x:row>
    <x:row r="438" ht="44" customHeight="1">
      <x:c r="A438" s="42" t="str">
        <x:v>MIS02.003</x:v>
      </x:c>
      <x:c r="B438" s="42" t="str">
        <x:v>Rediseño del compositor y borradores de misión</x:v>
      </x:c>
      <x:c r="C438" s="42" t="str">
        <x:v>MIS02</x:v>
      </x:c>
      <x:c r="D438" s="43" t="str">
        <x:v>Agregar portada opcional de misión</x:v>
      </x:c>
      <x:c r="E438" s="43" t="str">
        <x:v>Conservar privacidad mientras es borrador.</x:v>
      </x:c>
      <x:c r="F438" s="43" t="str">
        <x:v>Completado</x:v>
      </x:c>
      <x:c r="G438" s="44" t="n">
        <x:v>46287</x:v>
      </x:c>
      <x:c r="H438" s="44" t="n">
        <x:v>46295</x:v>
      </x:c>
      <x:c r="I438" s="45" t="n">
        <x:f>IF(OR(G438="",H438=""),"",SUMPRODUCT(('Cronograma'!$F$8:$P$8&lt;=H438)*('Cronograma'!$F$9:$P$9&gt;=G438)))</x:f>
        <x:v>1</x:v>
      </x:c>
      <x:c r="J438" s="46"/>
      <x:c r="K438" s="46"/>
      <x:c r="L438" s="47"/>
      <x:c r="M438" s="48" t="str"/>
      <x:c r="N438" s="48" t="str"/>
      <x:c r="O438" s="49" t="n">
        <x:v>46295</x:v>
      </x:c>
      <x:c r="P438" s="43" t="str">
        <x:v>Reporte fechado y código asociado</x:v>
      </x:c>
      <x:c r="Q438" s="43" t="str">
        <x:v>MIS01, COM02, PRO02</x:v>
      </x:c>
      <x:c r="R438" s="43" t="str"/>
      <x:c r="S438" s="43" t="str"/>
      <x:c r="T438" s="43" t="str">
        <x:v>S084, S085, S086</x:v>
      </x:c>
      <x:c r="U438" s="43" t="str">
        <x:v>docs/missions-redesign.md
docs/implementation/missions-redesign-progress.md
supabase/migrations/013_missions_redesign.sql</x:v>
      </x:c>
    </x:row>
    <x:row r="439" ht="44" customHeight="1">
      <x:c r="A439" s="42" t="str">
        <x:v>MIS02.004</x:v>
      </x:c>
      <x:c r="B439" s="42" t="str">
        <x:v>Rediseño del compositor y borradores de misión</x:v>
      </x:c>
      <x:c r="C439" s="42" t="str">
        <x:v>MIS02</x:v>
      </x:c>
      <x:c r="D439" s="43" t="str">
        <x:v>Capturar requisitos de participación</x:v>
      </x:c>
      <x:c r="E439" s="43" t="str">
        <x:v>Mostrar condiciones claras de la convocatoria.</x:v>
      </x:c>
      <x:c r="F439" s="43" t="str">
        <x:v>Completado</x:v>
      </x:c>
      <x:c r="G439" s="44" t="n">
        <x:v>46287</x:v>
      </x:c>
      <x:c r="H439" s="44" t="n">
        <x:v>46295</x:v>
      </x:c>
      <x:c r="I439" s="45" t="n">
        <x:f>IF(OR(G439="",H439=""),"",SUMPRODUCT(('Cronograma'!$F$8:$P$8&lt;=H439)*('Cronograma'!$F$9:$P$9&gt;=G439)))</x:f>
        <x:v>1</x:v>
      </x:c>
      <x:c r="J439" s="46"/>
      <x:c r="K439" s="46"/>
      <x:c r="L439" s="47"/>
      <x:c r="M439" s="48" t="str"/>
      <x:c r="N439" s="48" t="str"/>
      <x:c r="O439" s="49" t="n">
        <x:v>46295</x:v>
      </x:c>
      <x:c r="P439" s="43" t="str">
        <x:v>Reporte fechado y código asociado</x:v>
      </x:c>
      <x:c r="Q439" s="43" t="str">
        <x:v>MIS01, COM02, PRO02</x:v>
      </x:c>
      <x:c r="R439" s="43" t="str"/>
      <x:c r="S439" s="43" t="str"/>
      <x:c r="T439" s="43" t="str">
        <x:v>S084, S085, S086</x:v>
      </x:c>
      <x:c r="U439" s="43" t="str">
        <x:v>docs/missions-redesign.md
docs/implementation/missions-redesign-progress.md
supabase/migrations/013_missions_redesign.sql</x:v>
      </x:c>
    </x:row>
    <x:row r="440" ht="44" customHeight="1">
      <x:c r="A440" s="42" t="str">
        <x:v>MIS02.005</x:v>
      </x:c>
      <x:c r="B440" s="42" t="str">
        <x:v>Rediseño del compositor y borradores de misión</x:v>
      </x:c>
      <x:c r="C440" s="42" t="str">
        <x:v>MIS02</x:v>
      </x:c>
      <x:c r="D440" s="43" t="str">
        <x:v>Capturar condiciones de colaboración</x:v>
      </x:c>
      <x:c r="E440" s="43" t="str">
        <x:v>Conservar acuerdos antes de publicar.</x:v>
      </x:c>
      <x:c r="F440" s="43" t="str">
        <x:v>Completado</x:v>
      </x:c>
      <x:c r="G440" s="44" t="n">
        <x:v>46287</x:v>
      </x:c>
      <x:c r="H440" s="44" t="n">
        <x:v>46295</x:v>
      </x:c>
      <x:c r="I440" s="45" t="n">
        <x:f>IF(OR(G440="",H440=""),"",SUMPRODUCT(('Cronograma'!$F$8:$P$8&lt;=H440)*('Cronograma'!$F$9:$P$9&gt;=G440)))</x:f>
        <x:v>1</x:v>
      </x:c>
      <x:c r="J440" s="46"/>
      <x:c r="K440" s="46"/>
      <x:c r="L440" s="47"/>
      <x:c r="M440" s="48" t="str"/>
      <x:c r="N440" s="48" t="str"/>
      <x:c r="O440" s="49" t="n">
        <x:v>46295</x:v>
      </x:c>
      <x:c r="P440" s="43" t="str">
        <x:v>Reporte fechado y código asociado</x:v>
      </x:c>
      <x:c r="Q440" s="43" t="str">
        <x:v>MIS01, COM02, PRO02</x:v>
      </x:c>
      <x:c r="R440" s="43" t="str"/>
      <x:c r="S440" s="43" t="str"/>
      <x:c r="T440" s="43" t="str">
        <x:v>S084, S085, S086</x:v>
      </x:c>
      <x:c r="U440" s="43" t="str">
        <x:v>docs/missions-redesign.md
docs/implementation/missions-redesign-progress.md
supabase/migrations/013_missions_redesign.sql</x:v>
      </x:c>
    </x:row>
    <x:row r="441" ht="44" customHeight="1">
      <x:c r="A441" s="42" t="str">
        <x:v>MIS02.006</x:v>
      </x:c>
      <x:c r="B441" s="42" t="str">
        <x:v>Rediseño del compositor y borradores de misión</x:v>
      </x:c>
      <x:c r="C441" s="42" t="str">
        <x:v>MIS02</x:v>
      </x:c>
      <x:c r="D441" s="43" t="str">
        <x:v>Agregar compensación sin pago</x:v>
      </x:c>
      <x:c r="E441" s="43" t="str">
        <x:v>Registrar modalidad explícita.</x:v>
      </x:c>
      <x:c r="F441" s="43" t="str">
        <x:v>Completado</x:v>
      </x:c>
      <x:c r="G441" s="44" t="n">
        <x:v>46287</x:v>
      </x:c>
      <x:c r="H441" s="44" t="n">
        <x:v>46295</x:v>
      </x:c>
      <x:c r="I441" s="45" t="n">
        <x:f>IF(OR(G441="",H441=""),"",SUMPRODUCT(('Cronograma'!$F$8:$P$8&lt;=H441)*('Cronograma'!$F$9:$P$9&gt;=G441)))</x:f>
        <x:v>1</x:v>
      </x:c>
      <x:c r="J441" s="46"/>
      <x:c r="K441" s="46"/>
      <x:c r="L441" s="47"/>
      <x:c r="M441" s="48" t="str"/>
      <x:c r="N441" s="48" t="str"/>
      <x:c r="O441" s="49" t="n">
        <x:v>46295</x:v>
      </x:c>
      <x:c r="P441" s="43" t="str">
        <x:v>Reporte fechado y código asociado</x:v>
      </x:c>
      <x:c r="Q441" s="43" t="str">
        <x:v>MIS01, COM02, PRO02</x:v>
      </x:c>
      <x:c r="R441" s="43" t="str"/>
      <x:c r="S441" s="43" t="str"/>
      <x:c r="T441" s="43" t="str">
        <x:v>S084, S085, S086</x:v>
      </x:c>
      <x:c r="U441" s="43" t="str">
        <x:v>docs/missions-redesign.md
docs/implementation/missions-redesign-progress.md
supabase/migrations/013_missions_redesign.sql</x:v>
      </x:c>
    </x:row>
    <x:row r="442" ht="44" customHeight="1">
      <x:c r="A442" s="42" t="str">
        <x:v>MIS02.007</x:v>
      </x:c>
      <x:c r="B442" s="42" t="str">
        <x:v>Rediseño del compositor y borradores de misión</x:v>
      </x:c>
      <x:c r="C442" s="42" t="str">
        <x:v>MIS02</x:v>
      </x:c>
      <x:c r="D442" s="43" t="str">
        <x:v>Agregar compensación por acordar</x:v>
      </x:c>
      <x:c r="E442" s="43" t="str">
        <x:v>Separar ausencia de importe de modalidad acordable.</x:v>
      </x:c>
      <x:c r="F442" s="43" t="str">
        <x:v>Completado</x:v>
      </x:c>
      <x:c r="G442" s="44" t="n">
        <x:v>46287</x:v>
      </x:c>
      <x:c r="H442" s="44" t="n">
        <x:v>46295</x:v>
      </x:c>
      <x:c r="I442" s="45" t="n">
        <x:f>IF(OR(G442="",H442=""),"",SUMPRODUCT(('Cronograma'!$F$8:$P$8&lt;=H442)*('Cronograma'!$F$9:$P$9&gt;=G442)))</x:f>
        <x:v>1</x:v>
      </x:c>
      <x:c r="J442" s="46"/>
      <x:c r="K442" s="46"/>
      <x:c r="L442" s="47"/>
      <x:c r="M442" s="48" t="str"/>
      <x:c r="N442" s="48" t="str"/>
      <x:c r="O442" s="49" t="n">
        <x:v>46295</x:v>
      </x:c>
      <x:c r="P442" s="43" t="str">
        <x:v>Reporte fechado y código asociado</x:v>
      </x:c>
      <x:c r="Q442" s="43" t="str">
        <x:v>MIS01, COM02, PRO02</x:v>
      </x:c>
      <x:c r="R442" s="43" t="str"/>
      <x:c r="S442" s="43" t="str"/>
      <x:c r="T442" s="43" t="str">
        <x:v>S084, S085, S086</x:v>
      </x:c>
      <x:c r="U442" s="43" t="str">
        <x:v>docs/missions-redesign.md
docs/implementation/missions-redesign-progress.md
supabase/migrations/013_missions_redesign.sql</x:v>
      </x:c>
    </x:row>
    <x:row r="443" ht="44" customHeight="1">
      <x:c r="A443" s="42" t="str">
        <x:v>MIS02.008</x:v>
      </x:c>
      <x:c r="B443" s="42" t="str">
        <x:v>Rediseño del compositor y borradores de misión</x:v>
      </x:c>
      <x:c r="C443" s="42" t="str">
        <x:v>MIS02</x:v>
      </x:c>
      <x:c r="D443" s="43" t="str">
        <x:v>Agregar importe fijo en céntimos MXN</x:v>
      </x:c>
      <x:c r="E443" s="43" t="str">
        <x:v>Validar monto sin introducir pagos en la aplicación.</x:v>
      </x:c>
      <x:c r="F443" s="43" t="str">
        <x:v>Completado</x:v>
      </x:c>
      <x:c r="G443" s="44" t="n">
        <x:v>46287</x:v>
      </x:c>
      <x:c r="H443" s="44" t="n">
        <x:v>46295</x:v>
      </x:c>
      <x:c r="I443" s="45" t="n">
        <x:f>IF(OR(G443="",H443=""),"",SUMPRODUCT(('Cronograma'!$F$8:$P$8&lt;=H443)*('Cronograma'!$F$9:$P$9&gt;=G443)))</x:f>
        <x:v>1</x:v>
      </x:c>
      <x:c r="J443" s="46"/>
      <x:c r="K443" s="46"/>
      <x:c r="L443" s="47"/>
      <x:c r="M443" s="48" t="str"/>
      <x:c r="N443" s="48" t="str"/>
      <x:c r="O443" s="49" t="n">
        <x:v>46295</x:v>
      </x:c>
      <x:c r="P443" s="43" t="str">
        <x:v>Reporte fechado y código asociado</x:v>
      </x:c>
      <x:c r="Q443" s="43" t="str">
        <x:v>MIS01, COM02, PRO02</x:v>
      </x:c>
      <x:c r="R443" s="43" t="str"/>
      <x:c r="S443" s="43" t="str"/>
      <x:c r="T443" s="43" t="str">
        <x:v>S084, S085, S086</x:v>
      </x:c>
      <x:c r="U443" s="43" t="str">
        <x:v>docs/missions-redesign.md
docs/implementation/missions-redesign-progress.md
supabase/migrations/013_missions_redesign.sql</x:v>
      </x:c>
    </x:row>
    <x:row r="444" ht="44" customHeight="1">
      <x:c r="A444" s="42" t="str">
        <x:v>MIS02.009</x:v>
      </x:c>
      <x:c r="B444" s="42" t="str">
        <x:v>Rediseño del compositor y borradores de misión</x:v>
      </x:c>
      <x:c r="C444" s="42" t="str">
        <x:v>MIS02</x:v>
      </x:c>
      <x:c r="D444" s="43" t="str">
        <x:v>Mostrar compensación histórica no indicada</x:v>
      </x:c>
      <x:c r="E444" s="43" t="str">
        <x:v>No inventar importe para misiones previas.</x:v>
      </x:c>
      <x:c r="F444" s="43" t="str">
        <x:v>Completado</x:v>
      </x:c>
      <x:c r="G444" s="44" t="n">
        <x:v>46287</x:v>
      </x:c>
      <x:c r="H444" s="44" t="n">
        <x:v>46295</x:v>
      </x:c>
      <x:c r="I444" s="45" t="n">
        <x:f>IF(OR(G444="",H444=""),"",SUMPRODUCT(('Cronograma'!$F$8:$P$8&lt;=H444)*('Cronograma'!$F$9:$P$9&gt;=G444)))</x:f>
        <x:v>1</x:v>
      </x:c>
      <x:c r="J444" s="46"/>
      <x:c r="K444" s="46"/>
      <x:c r="L444" s="47"/>
      <x:c r="M444" s="48" t="str"/>
      <x:c r="N444" s="48" t="str"/>
      <x:c r="O444" s="49" t="n">
        <x:v>46295</x:v>
      </x:c>
      <x:c r="P444" s="43" t="str">
        <x:v>Reporte fechado y código asociado</x:v>
      </x:c>
      <x:c r="Q444" s="43" t="str">
        <x:v>MIS01, COM02, PRO02</x:v>
      </x:c>
      <x:c r="R444" s="43" t="str"/>
      <x:c r="S444" s="43" t="str"/>
      <x:c r="T444" s="43" t="str">
        <x:v>S084, S085, S086</x:v>
      </x:c>
      <x:c r="U444" s="43" t="str">
        <x:v>docs/missions-redesign.md
docs/implementation/missions-redesign-progress.md
supabase/migrations/013_missions_redesign.sql</x:v>
      </x:c>
    </x:row>
    <x:row r="445" ht="44" customHeight="1">
      <x:c r="A445" s="42" t="str">
        <x:v>MIS02.010</x:v>
      </x:c>
      <x:c r="B445" s="42" t="str">
        <x:v>Rediseño del compositor y borradores de misión</x:v>
      </x:c>
      <x:c r="C445" s="42" t="str">
        <x:v>MIS02</x:v>
      </x:c>
      <x:c r="D445" s="43" t="str">
        <x:v>Bloquear compensación tras candidatura</x:v>
      </x:c>
      <x:c r="E445" s="43" t="str">
        <x:v>Mantener condiciones de participantes existentes.</x:v>
      </x:c>
      <x:c r="F445" s="43" t="str">
        <x:v>Completado</x:v>
      </x:c>
      <x:c r="G445" s="44" t="n">
        <x:v>46287</x:v>
      </x:c>
      <x:c r="H445" s="44" t="n">
        <x:v>46295</x:v>
      </x:c>
      <x:c r="I445" s="45" t="n">
        <x:f>IF(OR(G445="",H445=""),"",SUMPRODUCT(('Cronograma'!$F$8:$P$8&lt;=H445)*('Cronograma'!$F$9:$P$9&gt;=G445)))</x:f>
        <x:v>1</x:v>
      </x:c>
      <x:c r="J445" s="46"/>
      <x:c r="K445" s="46"/>
      <x:c r="L445" s="47"/>
      <x:c r="M445" s="48" t="str"/>
      <x:c r="N445" s="48" t="str"/>
      <x:c r="O445" s="49" t="n">
        <x:v>46295</x:v>
      </x:c>
      <x:c r="P445" s="43" t="str">
        <x:v>Reporte fechado y código asociado</x:v>
      </x:c>
      <x:c r="Q445" s="43" t="str">
        <x:v>MIS01, COM02, PRO02</x:v>
      </x:c>
      <x:c r="R445" s="43" t="str"/>
      <x:c r="S445" s="43" t="str"/>
      <x:c r="T445" s="43" t="str">
        <x:v>S084, S085, S086</x:v>
      </x:c>
      <x:c r="U445" s="43" t="str">
        <x:v>docs/missions-redesign.md
docs/implementation/missions-redesign-progress.md
supabase/migrations/013_missions_redesign.sql</x:v>
      </x:c>
    </x:row>
    <x:row r="446" ht="44" customHeight="1">
      <x:c r="A446" s="42" t="str">
        <x:v>MIS02.011</x:v>
      </x:c>
      <x:c r="B446" s="42" t="str">
        <x:v>Rediseño del compositor y borradores de misión</x:v>
      </x:c>
      <x:c r="C446" s="42" t="str">
        <x:v>MIS02</x:v>
      </x:c>
      <x:c r="D446" s="43" t="str">
        <x:v>Crear tabla de borradores privados</x:v>
      </x:c>
      <x:c r="E446" s="43" t="str">
        <x:v>Separar preparación del contenido público.</x:v>
      </x:c>
      <x:c r="F446" s="43" t="str">
        <x:v>Completado</x:v>
      </x:c>
      <x:c r="G446" s="44" t="n">
        <x:v>46287</x:v>
      </x:c>
      <x:c r="H446" s="44" t="n">
        <x:v>46295</x:v>
      </x:c>
      <x:c r="I446" s="45" t="n">
        <x:f>IF(OR(G446="",H446=""),"",SUMPRODUCT(('Cronograma'!$F$8:$P$8&lt;=H446)*('Cronograma'!$F$9:$P$9&gt;=G446)))</x:f>
        <x:v>1</x:v>
      </x:c>
      <x:c r="J446" s="46"/>
      <x:c r="K446" s="46"/>
      <x:c r="L446" s="47"/>
      <x:c r="M446" s="48" t="str"/>
      <x:c r="N446" s="48" t="str"/>
      <x:c r="O446" s="49" t="n">
        <x:v>46295</x:v>
      </x:c>
      <x:c r="P446" s="43" t="str">
        <x:v>Reporte fechado y código asociado</x:v>
      </x:c>
      <x:c r="Q446" s="43" t="str">
        <x:v>MIS01, COM02, PRO02</x:v>
      </x:c>
      <x:c r="R446" s="43" t="str"/>
      <x:c r="S446" s="43" t="str"/>
      <x:c r="T446" s="43" t="str">
        <x:v>S084, S085, S086</x:v>
      </x:c>
      <x:c r="U446" s="43" t="str">
        <x:v>docs/missions-redesign.md
docs/implementation/missions-redesign-progress.md
supabase/migrations/013_missions_redesign.sql</x:v>
      </x:c>
    </x:row>
    <x:row r="447" ht="44" customHeight="1">
      <x:c r="A447" s="42" t="str">
        <x:v>MIS02.012</x:v>
      </x:c>
      <x:c r="B447" s="42" t="str">
        <x:v>Rediseño del compositor y borradores de misión</x:v>
      </x:c>
      <x:c r="C447" s="42" t="str">
        <x:v>MIS02</x:v>
      </x:c>
      <x:c r="D447" s="43" t="str">
        <x:v>Guardar borradores incompletos</x:v>
      </x:c>
      <x:c r="E447" s="43" t="str">
        <x:v>Aceptar texto temporalmente inválido sin publicarlo.</x:v>
      </x:c>
      <x:c r="F447" s="43" t="str">
        <x:v>Completado</x:v>
      </x:c>
      <x:c r="G447" s="44" t="n">
        <x:v>46287</x:v>
      </x:c>
      <x:c r="H447" s="44" t="n">
        <x:v>46295</x:v>
      </x:c>
      <x:c r="I447" s="45" t="n">
        <x:f>IF(OR(G447="",H447=""),"",SUMPRODUCT(('Cronograma'!$F$8:$P$8&lt;=H447)*('Cronograma'!$F$9:$P$9&gt;=G447)))</x:f>
        <x:v>1</x:v>
      </x:c>
      <x:c r="J447" s="46"/>
      <x:c r="K447" s="46"/>
      <x:c r="L447" s="47"/>
      <x:c r="M447" s="48" t="str"/>
      <x:c r="N447" s="48" t="str"/>
      <x:c r="O447" s="49" t="n">
        <x:v>46295</x:v>
      </x:c>
      <x:c r="P447" s="43" t="str">
        <x:v>Reporte fechado y código asociado</x:v>
      </x:c>
      <x:c r="Q447" s="43" t="str">
        <x:v>MIS01, COM02, PRO02</x:v>
      </x:c>
      <x:c r="R447" s="43" t="str"/>
      <x:c r="S447" s="43" t="str"/>
      <x:c r="T447" s="43" t="str">
        <x:v>S084, S085, S086</x:v>
      </x:c>
      <x:c r="U447" s="43" t="str">
        <x:v>docs/missions-redesign.md
docs/implementation/missions-redesign-progress.md
supabase/migrations/013_missions_redesign.sql</x:v>
      </x:c>
    </x:row>
    <x:row r="448" ht="44" customHeight="1">
      <x:c r="A448" s="42" t="str">
        <x:v>MIS02.013</x:v>
      </x:c>
      <x:c r="B448" s="42" t="str">
        <x:v>Rediseño del compositor y borradores de misión</x:v>
      </x:c>
      <x:c r="C448" s="42" t="str">
        <x:v>MIS02</x:v>
      </x:c>
      <x:c r="D448" s="43" t="str">
        <x:v>Recuperar borrador desde Mis misiones</x:v>
      </x:c>
      <x:c r="E448" s="43" t="str">
        <x:v>Retomar preparación persistida.</x:v>
      </x:c>
      <x:c r="F448" s="43" t="str">
        <x:v>Completado</x:v>
      </x:c>
      <x:c r="G448" s="44" t="n">
        <x:v>46287</x:v>
      </x:c>
      <x:c r="H448" s="44" t="n">
        <x:v>46295</x:v>
      </x:c>
      <x:c r="I448" s="45" t="n">
        <x:f>IF(OR(G448="",H448=""),"",SUMPRODUCT(('Cronograma'!$F$8:$P$8&lt;=H448)*('Cronograma'!$F$9:$P$9&gt;=G448)))</x:f>
        <x:v>1</x:v>
      </x:c>
      <x:c r="J448" s="46"/>
      <x:c r="K448" s="46"/>
      <x:c r="L448" s="47"/>
      <x:c r="M448" s="48" t="str"/>
      <x:c r="N448" s="48" t="str"/>
      <x:c r="O448" s="49" t="n">
        <x:v>46295</x:v>
      </x:c>
      <x:c r="P448" s="43" t="str">
        <x:v>Reporte fechado y código asociado</x:v>
      </x:c>
      <x:c r="Q448" s="43" t="str">
        <x:v>MIS01, COM02, PRO02</x:v>
      </x:c>
      <x:c r="R448" s="43" t="str"/>
      <x:c r="S448" s="43" t="str"/>
      <x:c r="T448" s="43" t="str">
        <x:v>S084, S085, S086</x:v>
      </x:c>
      <x:c r="U448" s="43" t="str">
        <x:v>docs/missions-redesign.md
docs/implementation/missions-redesign-progress.md
supabase/migrations/013_missions_redesign.sql</x:v>
      </x:c>
    </x:row>
    <x:row r="449" ht="44" customHeight="1">
      <x:c r="A449" s="42" t="str">
        <x:v>MIS02.014</x:v>
      </x:c>
      <x:c r="B449" s="42" t="str">
        <x:v>Rediseño del compositor y borradores de misión</x:v>
      </x:c>
      <x:c r="C449" s="42" t="str">
        <x:v>MIS02</x:v>
      </x:c>
      <x:c r="D449" s="43" t="str">
        <x:v>Ofrecer guardar, descartar o continuar al salir</x:v>
      </x:c>
      <x:c r="E449" s="43" t="str">
        <x:v>Evitar pérdida silenciosa de edición.</x:v>
      </x:c>
      <x:c r="F449" s="43" t="str">
        <x:v>Completado</x:v>
      </x:c>
      <x:c r="G449" s="44" t="n">
        <x:v>46287</x:v>
      </x:c>
      <x:c r="H449" s="44" t="n">
        <x:v>46295</x:v>
      </x:c>
      <x:c r="I449" s="45" t="n">
        <x:f>IF(OR(G449="",H449=""),"",SUMPRODUCT(('Cronograma'!$F$8:$P$8&lt;=H449)*('Cronograma'!$F$9:$P$9&gt;=G449)))</x:f>
        <x:v>1</x:v>
      </x:c>
      <x:c r="J449" s="46"/>
      <x:c r="K449" s="46"/>
      <x:c r="L449" s="47"/>
      <x:c r="M449" s="48" t="str"/>
      <x:c r="N449" s="48" t="str"/>
      <x:c r="O449" s="49" t="n">
        <x:v>46295</x:v>
      </x:c>
      <x:c r="P449" s="43" t="str">
        <x:v>Reporte fechado y código asociado</x:v>
      </x:c>
      <x:c r="Q449" s="43" t="str">
        <x:v>MIS01, COM02, PRO02</x:v>
      </x:c>
      <x:c r="R449" s="43" t="str"/>
      <x:c r="S449" s="43" t="str"/>
      <x:c r="T449" s="43" t="str">
        <x:v>S084, S085, S086</x:v>
      </x:c>
      <x:c r="U449" s="43" t="str">
        <x:v>docs/missions-redesign.md
docs/implementation/missions-redesign-progress.md
supabase/migrations/013_missions_redesign.sql</x:v>
      </x:c>
    </x:row>
    <x:row r="450" ht="44" customHeight="1">
      <x:c r="A450" s="42" t="str">
        <x:v>MIS02.015</x:v>
      </x:c>
      <x:c r="B450" s="42" t="str">
        <x:v>Rediseño del compositor y borradores de misión</x:v>
      </x:c>
      <x:c r="C450" s="42" t="str">
        <x:v>MIS02</x:v>
      </x:c>
      <x:c r="D450" s="43" t="str">
        <x:v>Publicar borrador con UUID estable</x:v>
      </x:c>
      <x:c r="E450" s="43" t="str">
        <x:v>Evitar duplicación por reintentos.</x:v>
      </x:c>
      <x:c r="F450" s="43" t="str">
        <x:v>Completado</x:v>
      </x:c>
      <x:c r="G450" s="44" t="n">
        <x:v>46287</x:v>
      </x:c>
      <x:c r="H450" s="44" t="n">
        <x:v>46295</x:v>
      </x:c>
      <x:c r="I450" s="45" t="n">
        <x:f>IF(OR(G450="",H450=""),"",SUMPRODUCT(('Cronograma'!$F$8:$P$8&lt;=H450)*('Cronograma'!$F$9:$P$9&gt;=G450)))</x:f>
        <x:v>1</x:v>
      </x:c>
      <x:c r="J450" s="46"/>
      <x:c r="K450" s="46"/>
      <x:c r="L450" s="47"/>
      <x:c r="M450" s="48" t="str"/>
      <x:c r="N450" s="48" t="str"/>
      <x:c r="O450" s="49" t="n">
        <x:v>46295</x:v>
      </x:c>
      <x:c r="P450" s="43" t="str">
        <x:v>Reporte fechado y código asociado</x:v>
      </x:c>
      <x:c r="Q450" s="43" t="str">
        <x:v>MIS01, COM02, PRO02</x:v>
      </x:c>
      <x:c r="R450" s="43" t="str"/>
      <x:c r="S450" s="43" t="str"/>
      <x:c r="T450" s="43" t="str">
        <x:v>S084, S085, S086</x:v>
      </x:c>
      <x:c r="U450" s="43" t="str">
        <x:v>docs/missions-redesign.md
docs/implementation/missions-redesign-progress.md
supabase/migrations/013_missions_redesign.sql</x:v>
      </x:c>
    </x:row>
    <x:row r="451" ht="44" customHeight="1">
      <x:c r="A451" s="42" t="str">
        <x:v>MIS02.016</x:v>
      </x:c>
      <x:c r="B451" s="42" t="str">
        <x:v>Rediseño del compositor y borradores de misión</x:v>
      </x:c>
      <x:c r="C451" s="42" t="str">
        <x:v>MIS02</x:v>
      </x:c>
      <x:c r="D451" s="43" t="str">
        <x:v>Registrar journal de publicación</x:v>
      </x:c>
      <x:c r="E451" s="43" t="str">
        <x:v>Recuperar misión publicada tras respuesta perdida.</x:v>
      </x:c>
      <x:c r="F451" s="43" t="str">
        <x:v>Completado</x:v>
      </x:c>
      <x:c r="G451" s="44" t="n">
        <x:v>46287</x:v>
      </x:c>
      <x:c r="H451" s="44" t="n">
        <x:v>46295</x:v>
      </x:c>
      <x:c r="I451" s="45" t="n">
        <x:f>IF(OR(G451="",H451=""),"",SUMPRODUCT(('Cronograma'!$F$8:$P$8&lt;=H451)*('Cronograma'!$F$9:$P$9&gt;=G451)))</x:f>
        <x:v>1</x:v>
      </x:c>
      <x:c r="J451" s="46"/>
      <x:c r="K451" s="46"/>
      <x:c r="L451" s="47"/>
      <x:c r="M451" s="48" t="str"/>
      <x:c r="N451" s="48" t="str"/>
      <x:c r="O451" s="49" t="n">
        <x:v>46295</x:v>
      </x:c>
      <x:c r="P451" s="43" t="str">
        <x:v>Reporte fechado y código asociado</x:v>
      </x:c>
      <x:c r="Q451" s="43" t="str">
        <x:v>MIS01, COM02, PRO02</x:v>
      </x:c>
      <x:c r="R451" s="43" t="str"/>
      <x:c r="S451" s="43" t="str"/>
      <x:c r="T451" s="43" t="str">
        <x:v>S084, S085, S086</x:v>
      </x:c>
      <x:c r="U451" s="43" t="str">
        <x:v>docs/missions-redesign.md
docs/implementation/missions-redesign-progress.md
supabase/migrations/013_missions_redesign.sql</x:v>
      </x:c>
    </x:row>
    <x:row r="452" ht="44" customHeight="1">
      <x:c r="A452" s="42" t="str">
        <x:v>MIS02.017</x:v>
      </x:c>
      <x:c r="B452" s="42" t="str">
        <x:v>Rediseño del compositor y borradores de misión</x:v>
      </x:c>
      <x:c r="C452" s="42" t="str">
        <x:v>MIS02</x:v>
      </x:c>
      <x:c r="D452" s="43" t="str">
        <x:v>Evitar resurrección de misión eliminada</x:v>
      </x:c>
      <x:c r="E452" s="43" t="str">
        <x:v>No volver a mostrarla como borrador.</x:v>
      </x:c>
      <x:c r="F452" s="43" t="str">
        <x:v>Completado</x:v>
      </x:c>
      <x:c r="G452" s="44" t="n">
        <x:v>46287</x:v>
      </x:c>
      <x:c r="H452" s="44" t="n">
        <x:v>46295</x:v>
      </x:c>
      <x:c r="I452" s="45" t="n">
        <x:f>IF(OR(G452="",H452=""),"",SUMPRODUCT(('Cronograma'!$F$8:$P$8&lt;=H452)*('Cronograma'!$F$9:$P$9&gt;=G452)))</x:f>
        <x:v>1</x:v>
      </x:c>
      <x:c r="J452" s="46"/>
      <x:c r="K452" s="46"/>
      <x:c r="L452" s="47"/>
      <x:c r="M452" s="48" t="str"/>
      <x:c r="N452" s="48" t="str"/>
      <x:c r="O452" s="49" t="n">
        <x:v>46295</x:v>
      </x:c>
      <x:c r="P452" s="43" t="str">
        <x:v>Reporte fechado y código asociado</x:v>
      </x:c>
      <x:c r="Q452" s="43" t="str">
        <x:v>MIS01, COM02, PRO02</x:v>
      </x:c>
      <x:c r="R452" s="43" t="str"/>
      <x:c r="S452" s="43" t="str"/>
      <x:c r="T452" s="43" t="str">
        <x:v>S084, S085, S086</x:v>
      </x:c>
      <x:c r="U452" s="43" t="str">
        <x:v>docs/missions-redesign.md
docs/implementation/missions-redesign-progress.md
supabase/migrations/013_missions_redesign.sql</x:v>
      </x:c>
    </x:row>
    <x:row r="453" ht="44" customHeight="1">
      <x:c r="A453" s="42" t="str">
        <x:v>MIS02.018</x:v>
      </x:c>
      <x:c r="B453" s="42" t="str">
        <x:v>Rediseño del compositor y borradores de misión</x:v>
      </x:c>
      <x:c r="C453" s="42" t="str">
        <x:v>MIS02</x:v>
      </x:c>
      <x:c r="D453" s="43" t="str">
        <x:v>Limpiar portadas sin referencias</x:v>
      </x:c>
      <x:c r="E453" s="43" t="str">
        <x:v>Retirar imágenes tras borrar borrador o misión.</x:v>
      </x:c>
      <x:c r="F453" s="43" t="str">
        <x:v>Completado</x:v>
      </x:c>
      <x:c r="G453" s="44" t="n">
        <x:v>46287</x:v>
      </x:c>
      <x:c r="H453" s="44" t="n">
        <x:v>46295</x:v>
      </x:c>
      <x:c r="I453" s="45" t="n">
        <x:f>IF(OR(G453="",H453=""),"",SUMPRODUCT(('Cronograma'!$F$8:$P$8&lt;=H453)*('Cronograma'!$F$9:$P$9&gt;=G453)))</x:f>
        <x:v>1</x:v>
      </x:c>
      <x:c r="J453" s="46"/>
      <x:c r="K453" s="46"/>
      <x:c r="L453" s="47"/>
      <x:c r="M453" s="48" t="str"/>
      <x:c r="N453" s="48" t="str"/>
      <x:c r="O453" s="49" t="n">
        <x:v>46295</x:v>
      </x:c>
      <x:c r="P453" s="43" t="str">
        <x:v>Reporte fechado y código asociado</x:v>
      </x:c>
      <x:c r="Q453" s="43" t="str">
        <x:v>MIS01, COM02, PRO02</x:v>
      </x:c>
      <x:c r="R453" s="43" t="str"/>
      <x:c r="S453" s="43" t="str"/>
      <x:c r="T453" s="43" t="str">
        <x:v>S084, S085, S086</x:v>
      </x:c>
      <x:c r="U453" s="43" t="str">
        <x:v>docs/missions-redesign.md
docs/implementation/missions-redesign-progress.md
supabase/migrations/013_missions_redesign.sql</x:v>
      </x:c>
    </x:row>
    <x:row r="454" ht="44" customHeight="1">
      <x:c r="A454" s="42" t="str">
        <x:v>MIS03.001</x:v>
      </x:c>
      <x:c r="B454" s="42" t="str">
        <x:v>Candidatura estructurada y seguimiento</x:v>
      </x:c>
      <x:c r="C454" s="42" t="str">
        <x:v>MIS03</x:v>
      </x:c>
      <x:c r="D454" s="43" t="str">
        <x:v>Crear pantalla de candidatura en tres pasos</x:v>
      </x:c>
      <x:c r="E454" s="43" t="str">
        <x:v>Separar revisión, datos y envío.</x:v>
      </x:c>
      <x:c r="F454" s="43" t="str">
        <x:v>Completado</x:v>
      </x:c>
      <x:c r="G454" s="44" t="n">
        <x:v>46287</x:v>
      </x:c>
      <x:c r="H454" s="44" t="n">
        <x:v>46295</x:v>
      </x:c>
      <x:c r="I454" s="45" t="n">
        <x:f>IF(OR(G454="",H454=""),"",SUMPRODUCT(('Cronograma'!$F$8:$P$8&lt;=H454)*('Cronograma'!$F$9:$P$9&gt;=G454)))</x:f>
        <x:v>1</x:v>
      </x:c>
      <x:c r="J454" s="46"/>
      <x:c r="K454" s="46"/>
      <x:c r="L454" s="47"/>
      <x:c r="M454" s="48" t="str"/>
      <x:c r="N454" s="48" t="str"/>
      <x:c r="O454" s="49" t="n">
        <x:v>46295</x:v>
      </x:c>
      <x:c r="P454" s="43" t="str">
        <x:v>Reporte fechado y código asociado</x:v>
      </x:c>
      <x:c r="Q454" s="43" t="str">
        <x:v>MIS02, PRO02</x:v>
      </x:c>
      <x:c r="R454" s="43" t="str"/>
      <x:c r="S454" s="43" t="str"/>
      <x:c r="T454" s="43" t="str">
        <x:v>S084, S087, S086</x:v>
      </x:c>
      <x:c r="U454" s="43" t="str">
        <x:v>docs/missions-redesign.md
lib/features/community/presentation/mission_application_screen.dart
supabase/migrations/013_missions_redesign.sql</x:v>
      </x:c>
    </x:row>
    <x:row r="455" ht="44" customHeight="1">
      <x:c r="A455" s="42" t="str">
        <x:v>MIS03.002</x:v>
      </x:c>
      <x:c r="B455" s="42" t="str">
        <x:v>Candidatura estructurada y seguimiento</x:v>
      </x:c>
      <x:c r="C455" s="42" t="str">
        <x:v>MIS03</x:v>
      </x:c>
      <x:c r="D455" s="43" t="str">
        <x:v>Mostrar revisión inicial de misión</x:v>
      </x:c>
      <x:c r="E455" s="43" t="str">
        <x:v>Presentar condiciones y elegibilidad actual.</x:v>
      </x:c>
      <x:c r="F455" s="43" t="str">
        <x:v>Completado</x:v>
      </x:c>
      <x:c r="G455" s="44" t="n">
        <x:v>46287</x:v>
      </x:c>
      <x:c r="H455" s="44" t="n">
        <x:v>46295</x:v>
      </x:c>
      <x:c r="I455" s="45" t="n">
        <x:f>IF(OR(G455="",H455=""),"",SUMPRODUCT(('Cronograma'!$F$8:$P$8&lt;=H455)*('Cronograma'!$F$9:$P$9&gt;=G455)))</x:f>
        <x:v>1</x:v>
      </x:c>
      <x:c r="J455" s="46"/>
      <x:c r="K455" s="46"/>
      <x:c r="L455" s="47"/>
      <x:c r="M455" s="48" t="str"/>
      <x:c r="N455" s="48" t="str"/>
      <x:c r="O455" s="49" t="n">
        <x:v>46295</x:v>
      </x:c>
      <x:c r="P455" s="43" t="str">
        <x:v>Reporte fechado y código asociado</x:v>
      </x:c>
      <x:c r="Q455" s="43" t="str">
        <x:v>MIS02, PRO02</x:v>
      </x:c>
      <x:c r="R455" s="43" t="str"/>
      <x:c r="S455" s="43" t="str"/>
      <x:c r="T455" s="43" t="str">
        <x:v>S084, S087, S086</x:v>
      </x:c>
      <x:c r="U455" s="43" t="str">
        <x:v>docs/missions-redesign.md
lib/features/community/presentation/mission_application_screen.dart
supabase/migrations/013_missions_redesign.sql</x:v>
      </x:c>
    </x:row>
    <x:row r="456" ht="44" customHeight="1">
      <x:c r="A456" s="42" t="str">
        <x:v>MIS03.003</x:v>
      </x:c>
      <x:c r="B456" s="42" t="str">
        <x:v>Candidatura estructurada y seguimiento</x:v>
      </x:c>
      <x:c r="C456" s="42" t="str">
        <x:v>MIS03</x:v>
      </x:c>
      <x:c r="D456" s="43" t="str">
        <x:v>Capturar motivación de candidatura</x:v>
      </x:c>
      <x:c r="E456" s="43" t="str">
        <x:v>Guardar mensaje estructurado del participante.</x:v>
      </x:c>
      <x:c r="F456" s="43" t="str">
        <x:v>Completado</x:v>
      </x:c>
      <x:c r="G456" s="44" t="n">
        <x:v>46287</x:v>
      </x:c>
      <x:c r="H456" s="44" t="n">
        <x:v>46295</x:v>
      </x:c>
      <x:c r="I456" s="45" t="n">
        <x:f>IF(OR(G456="",H456=""),"",SUMPRODUCT(('Cronograma'!$F$8:$P$8&lt;=H456)*('Cronograma'!$F$9:$P$9&gt;=G456)))</x:f>
        <x:v>1</x:v>
      </x:c>
      <x:c r="J456" s="46"/>
      <x:c r="K456" s="46"/>
      <x:c r="L456" s="47"/>
      <x:c r="M456" s="48" t="str"/>
      <x:c r="N456" s="48" t="str"/>
      <x:c r="O456" s="49" t="n">
        <x:v>46295</x:v>
      </x:c>
      <x:c r="P456" s="43" t="str">
        <x:v>Reporte fechado y código asociado</x:v>
      </x:c>
      <x:c r="Q456" s="43" t="str">
        <x:v>MIS02, PRO02</x:v>
      </x:c>
      <x:c r="R456" s="43" t="str"/>
      <x:c r="S456" s="43" t="str"/>
      <x:c r="T456" s="43" t="str">
        <x:v>S084, S087, S086</x:v>
      </x:c>
      <x:c r="U456" s="43" t="str">
        <x:v>docs/missions-redesign.md
lib/features/community/presentation/mission_application_screen.dart
supabase/migrations/013_missions_redesign.sql</x:v>
      </x:c>
    </x:row>
    <x:row r="457" ht="44" customHeight="1">
      <x:c r="A457" s="42" t="str">
        <x:v>MIS03.004</x:v>
      </x:c>
      <x:c r="B457" s="42" t="str">
        <x:v>Candidatura estructurada y seguimiento</x:v>
      </x:c>
      <x:c r="C457" s="42" t="str">
        <x:v>MIS03</x:v>
      </x:c>
      <x:c r="D457" s="43" t="str">
        <x:v>Exigir confirmación de disponibilidad</x:v>
      </x:c>
      <x:c r="E457" s="43" t="str">
        <x:v>Confirmar participación con acción explícita.</x:v>
      </x:c>
      <x:c r="F457" s="43" t="str">
        <x:v>Completado</x:v>
      </x:c>
      <x:c r="G457" s="44" t="n">
        <x:v>46287</x:v>
      </x:c>
      <x:c r="H457" s="44" t="n">
        <x:v>46295</x:v>
      </x:c>
      <x:c r="I457" s="45" t="n">
        <x:f>IF(OR(G457="",H457=""),"",SUMPRODUCT(('Cronograma'!$F$8:$P$8&lt;=H457)*('Cronograma'!$F$9:$P$9&gt;=G457)))</x:f>
        <x:v>1</x:v>
      </x:c>
      <x:c r="J457" s="46"/>
      <x:c r="K457" s="46"/>
      <x:c r="L457" s="47"/>
      <x:c r="M457" s="48" t="str"/>
      <x:c r="N457" s="48" t="str"/>
      <x:c r="O457" s="49" t="n">
        <x:v>46295</x:v>
      </x:c>
      <x:c r="P457" s="43" t="str">
        <x:v>Reporte fechado y código asociado</x:v>
      </x:c>
      <x:c r="Q457" s="43" t="str">
        <x:v>MIS02, PRO02</x:v>
      </x:c>
      <x:c r="R457" s="43" t="str"/>
      <x:c r="S457" s="43" t="str"/>
      <x:c r="T457" s="43" t="str">
        <x:v>S084, S087, S086</x:v>
      </x:c>
      <x:c r="U457" s="43" t="str">
        <x:v>docs/missions-redesign.md
lib/features/community/presentation/mission_application_screen.dart
supabase/migrations/013_missions_redesign.sql</x:v>
      </x:c>
    </x:row>
    <x:row r="458" ht="44" customHeight="1">
      <x:c r="A458" s="42" t="str">
        <x:v>MIS03.005</x:v>
      </x:c>
      <x:c r="B458" s="42" t="str">
        <x:v>Candidatura estructurada y seguimiento</x:v>
      </x:c>
      <x:c r="C458" s="42" t="str">
        <x:v>MIS03</x:v>
      </x:c>
      <x:c r="D458" s="43" t="str">
        <x:v>Agregar hasta tres muestras opcionales</x:v>
      </x:c>
      <x:c r="E458" s="43" t="str">
        <x:v>Limitar evidencia profesional de la solicitud.</x:v>
      </x:c>
      <x:c r="F458" s="43" t="str">
        <x:v>Completado</x:v>
      </x:c>
      <x:c r="G458" s="44" t="n">
        <x:v>46287</x:v>
      </x:c>
      <x:c r="H458" s="44" t="n">
        <x:v>46295</x:v>
      </x:c>
      <x:c r="I458" s="45" t="n">
        <x:f>IF(OR(G458="",H458=""),"",SUMPRODUCT(('Cronograma'!$F$8:$P$8&lt;=H458)*('Cronograma'!$F$9:$P$9&gt;=G458)))</x:f>
        <x:v>1</x:v>
      </x:c>
      <x:c r="J458" s="46"/>
      <x:c r="K458" s="46"/>
      <x:c r="L458" s="47"/>
      <x:c r="M458" s="48" t="str"/>
      <x:c r="N458" s="48" t="str"/>
      <x:c r="O458" s="49" t="n">
        <x:v>46295</x:v>
      </x:c>
      <x:c r="P458" s="43" t="str">
        <x:v>Reporte fechado y código asociado</x:v>
      </x:c>
      <x:c r="Q458" s="43" t="str">
        <x:v>MIS02, PRO02</x:v>
      </x:c>
      <x:c r="R458" s="43" t="str"/>
      <x:c r="S458" s="43" t="str"/>
      <x:c r="T458" s="43" t="str">
        <x:v>S084, S087, S086</x:v>
      </x:c>
      <x:c r="U458" s="43" t="str">
        <x:v>docs/missions-redesign.md
lib/features/community/presentation/mission_application_screen.dart
supabase/migrations/013_missions_redesign.sql</x:v>
      </x:c>
    </x:row>
    <x:row r="459" ht="44" customHeight="1">
      <x:c r="A459" s="42" t="str">
        <x:v>MIS03.006</x:v>
      </x:c>
      <x:c r="B459" s="42" t="str">
        <x:v>Candidatura estructurada y seguimiento</x:v>
      </x:c>
      <x:c r="C459" s="42" t="str">
        <x:v>MIS03</x:v>
      </x:c>
      <x:c r="D459" s="43" t="str">
        <x:v>Seleccionar fichas propias publicadas</x:v>
      </x:c>
      <x:c r="E459" s="43" t="str">
        <x:v>Validar propiedad y disponibilidad en servidor.</x:v>
      </x:c>
      <x:c r="F459" s="43" t="str">
        <x:v>Completado</x:v>
      </x:c>
      <x:c r="G459" s="44" t="n">
        <x:v>46287</x:v>
      </x:c>
      <x:c r="H459" s="44" t="n">
        <x:v>46295</x:v>
      </x:c>
      <x:c r="I459" s="45" t="n">
        <x:f>IF(OR(G459="",H459=""),"",SUMPRODUCT(('Cronograma'!$F$8:$P$8&lt;=H459)*('Cronograma'!$F$9:$P$9&gt;=G459)))</x:f>
        <x:v>1</x:v>
      </x:c>
      <x:c r="J459" s="46"/>
      <x:c r="K459" s="46"/>
      <x:c r="L459" s="47"/>
      <x:c r="M459" s="48" t="str"/>
      <x:c r="N459" s="48" t="str"/>
      <x:c r="O459" s="49" t="n">
        <x:v>46295</x:v>
      </x:c>
      <x:c r="P459" s="43" t="str">
        <x:v>Reporte fechado y código asociado</x:v>
      </x:c>
      <x:c r="Q459" s="43" t="str">
        <x:v>MIS02, PRO02</x:v>
      </x:c>
      <x:c r="R459" s="43" t="str"/>
      <x:c r="S459" s="43" t="str"/>
      <x:c r="T459" s="43" t="str">
        <x:v>S084, S087, S086</x:v>
      </x:c>
      <x:c r="U459" s="43" t="str">
        <x:v>docs/missions-redesign.md
lib/features/community/presentation/mission_application_screen.dart
supabase/migrations/013_missions_redesign.sql</x:v>
      </x:c>
    </x:row>
    <x:row r="460" ht="44" customHeight="1">
      <x:c r="A460" s="42" t="str">
        <x:v>MIS03.007</x:v>
      </x:c>
      <x:c r="B460" s="42" t="str">
        <x:v>Candidatura estructurada y seguimiento</x:v>
      </x:c>
      <x:c r="C460" s="42" t="str">
        <x:v>MIS03</x:v>
      </x:c>
      <x:c r="D460" s="43" t="str">
        <x:v>Agregar enlaces HTTPS con título</x:v>
      </x:c>
      <x:c r="E460" s="43" t="str">
        <x:v>Permitir muestra externa identificable.</x:v>
      </x:c>
      <x:c r="F460" s="43" t="str">
        <x:v>Completado</x:v>
      </x:c>
      <x:c r="G460" s="44" t="n">
        <x:v>46287</x:v>
      </x:c>
      <x:c r="H460" s="44" t="n">
        <x:v>46295</x:v>
      </x:c>
      <x:c r="I460" s="45" t="n">
        <x:f>IF(OR(G460="",H460=""),"",SUMPRODUCT(('Cronograma'!$F$8:$P$8&lt;=H460)*('Cronograma'!$F$9:$P$9&gt;=G460)))</x:f>
        <x:v>1</x:v>
      </x:c>
      <x:c r="J460" s="46"/>
      <x:c r="K460" s="46"/>
      <x:c r="L460" s="47"/>
      <x:c r="M460" s="48" t="str"/>
      <x:c r="N460" s="48" t="str"/>
      <x:c r="O460" s="49" t="n">
        <x:v>46295</x:v>
      </x:c>
      <x:c r="P460" s="43" t="str">
        <x:v>Reporte fechado y código asociado</x:v>
      </x:c>
      <x:c r="Q460" s="43" t="str">
        <x:v>MIS02, PRO02</x:v>
      </x:c>
      <x:c r="R460" s="43" t="str"/>
      <x:c r="S460" s="43" t="str"/>
      <x:c r="T460" s="43" t="str">
        <x:v>S084, S087, S086</x:v>
      </x:c>
      <x:c r="U460" s="43" t="str">
        <x:v>docs/missions-redesign.md
lib/features/community/presentation/mission_application_screen.dart
supabase/migrations/013_missions_redesign.sql</x:v>
      </x:c>
    </x:row>
    <x:row r="461" ht="44" customHeight="1">
      <x:c r="A461" s="42" t="str">
        <x:v>MIS03.008</x:v>
      </x:c>
      <x:c r="B461" s="42" t="str">
        <x:v>Candidatura estructurada y seguimiento</x:v>
      </x:c>
      <x:c r="C461" s="42" t="str">
        <x:v>MIS03</x:v>
      </x:c>
      <x:c r="D461" s="43" t="str">
        <x:v>Mostrar muestra no disponible</x:v>
      </x:c>
      <x:c r="E461" s="43" t="str">
        <x:v>Explicar ficha retirada u oculta sin romper historial.</x:v>
      </x:c>
      <x:c r="F461" s="43" t="str">
        <x:v>Completado</x:v>
      </x:c>
      <x:c r="G461" s="44" t="n">
        <x:v>46287</x:v>
      </x:c>
      <x:c r="H461" s="44" t="n">
        <x:v>46295</x:v>
      </x:c>
      <x:c r="I461" s="45" t="n">
        <x:f>IF(OR(G461="",H461=""),"",SUMPRODUCT(('Cronograma'!$F$8:$P$8&lt;=H461)*('Cronograma'!$F$9:$P$9&gt;=G461)))</x:f>
        <x:v>1</x:v>
      </x:c>
      <x:c r="J461" s="46"/>
      <x:c r="K461" s="46"/>
      <x:c r="L461" s="47"/>
      <x:c r="M461" s="48" t="str"/>
      <x:c r="N461" s="48" t="str"/>
      <x:c r="O461" s="49" t="n">
        <x:v>46295</x:v>
      </x:c>
      <x:c r="P461" s="43" t="str">
        <x:v>Reporte fechado y código asociado</x:v>
      </x:c>
      <x:c r="Q461" s="43" t="str">
        <x:v>MIS02, PRO02</x:v>
      </x:c>
      <x:c r="R461" s="43" t="str"/>
      <x:c r="S461" s="43" t="str"/>
      <x:c r="T461" s="43" t="str">
        <x:v>S084, S087, S086</x:v>
      </x:c>
      <x:c r="U461" s="43" t="str">
        <x:v>docs/missions-redesign.md
lib/features/community/presentation/mission_application_screen.dart
supabase/migrations/013_missions_redesign.sql</x:v>
      </x:c>
    </x:row>
    <x:row r="462" ht="44" customHeight="1">
      <x:c r="A462" s="42" t="str">
        <x:v>MIS03.009</x:v>
      </x:c>
      <x:c r="B462" s="42" t="str">
        <x:v>Candidatura estructurada y seguimiento</x:v>
      </x:c>
      <x:c r="C462" s="42" t="str">
        <x:v>MIS03</x:v>
      </x:c>
      <x:c r="D462" s="43" t="str">
        <x:v>Mostrar revisión antes de enviar</x:v>
      </x:c>
      <x:c r="E462" s="43" t="str">
        <x:v>Permitir corregir información del formulario.</x:v>
      </x:c>
      <x:c r="F462" s="43" t="str">
        <x:v>Completado</x:v>
      </x:c>
      <x:c r="G462" s="44" t="n">
        <x:v>46287</x:v>
      </x:c>
      <x:c r="H462" s="44" t="n">
        <x:v>46295</x:v>
      </x:c>
      <x:c r="I462" s="45" t="n">
        <x:f>IF(OR(G462="",H462=""),"",SUMPRODUCT(('Cronograma'!$F$8:$P$8&lt;=H462)*('Cronograma'!$F$9:$P$9&gt;=G462)))</x:f>
        <x:v>1</x:v>
      </x:c>
      <x:c r="J462" s="46"/>
      <x:c r="K462" s="46"/>
      <x:c r="L462" s="47"/>
      <x:c r="M462" s="48" t="str"/>
      <x:c r="N462" s="48" t="str"/>
      <x:c r="O462" s="49" t="n">
        <x:v>46295</x:v>
      </x:c>
      <x:c r="P462" s="43" t="str">
        <x:v>Reporte fechado y código asociado</x:v>
      </x:c>
      <x:c r="Q462" s="43" t="str">
        <x:v>MIS02, PRO02</x:v>
      </x:c>
      <x:c r="R462" s="43" t="str"/>
      <x:c r="S462" s="43" t="str"/>
      <x:c r="T462" s="43" t="str">
        <x:v>S084, S087, S086</x:v>
      </x:c>
      <x:c r="U462" s="43" t="str">
        <x:v>docs/missions-redesign.md
lib/features/community/presentation/mission_application_screen.dart
supabase/migrations/013_missions_redesign.sql</x:v>
      </x:c>
    </x:row>
    <x:row r="463" ht="44" customHeight="1">
      <x:c r="A463" s="42" t="str">
        <x:v>MIS03.010</x:v>
      </x:c>
      <x:c r="B463" s="42" t="str">
        <x:v>Candidatura estructurada y seguimiento</x:v>
      </x:c>
      <x:c r="C463" s="42" t="str">
        <x:v>MIS03</x:v>
      </x:c>
      <x:c r="D463" s="43" t="str">
        <x:v>Enviar con ID estable de candidatura</x:v>
      </x:c>
      <x:c r="E463" s="43" t="str">
        <x:v>Recuperar reintentos sin solicitudes duplicadas.</x:v>
      </x:c>
      <x:c r="F463" s="43" t="str">
        <x:v>Completado</x:v>
      </x:c>
      <x:c r="G463" s="44" t="n">
        <x:v>46287</x:v>
      </x:c>
      <x:c r="H463" s="44" t="n">
        <x:v>46295</x:v>
      </x:c>
      <x:c r="I463" s="45" t="n">
        <x:f>IF(OR(G463="",H463=""),"",SUMPRODUCT(('Cronograma'!$F$8:$P$8&lt;=H463)*('Cronograma'!$F$9:$P$9&gt;=G463)))</x:f>
        <x:v>1</x:v>
      </x:c>
      <x:c r="J463" s="46"/>
      <x:c r="K463" s="46"/>
      <x:c r="L463" s="47"/>
      <x:c r="M463" s="48" t="str"/>
      <x:c r="N463" s="48" t="str"/>
      <x:c r="O463" s="49" t="n">
        <x:v>46295</x:v>
      </x:c>
      <x:c r="P463" s="43" t="str">
        <x:v>Reporte fechado y código asociado</x:v>
      </x:c>
      <x:c r="Q463" s="43" t="str">
        <x:v>MIS02, PRO02</x:v>
      </x:c>
      <x:c r="R463" s="43" t="str"/>
      <x:c r="S463" s="43" t="str"/>
      <x:c r="T463" s="43" t="str">
        <x:v>S084, S087, S086</x:v>
      </x:c>
      <x:c r="U463" s="43" t="str">
        <x:v>docs/missions-redesign.md
lib/features/community/presentation/mission_application_screen.dart
supabase/migrations/013_missions_redesign.sql</x:v>
      </x:c>
    </x:row>
    <x:row r="464" ht="44" customHeight="1">
      <x:c r="A464" s="42" t="str">
        <x:v>MIS03.011</x:v>
      </x:c>
      <x:c r="B464" s="42" t="str">
        <x:v>Candidatura estructurada y seguimiento</x:v>
      </x:c>
      <x:c r="C464" s="42" t="str">
        <x:v>MIS03</x:v>
      </x:c>
      <x:c r="D464" s="43" t="str">
        <x:v>Detectar conflicto de payload</x:v>
      </x:c>
      <x:c r="E464" s="43" t="str">
        <x:v>No aceptar otro contenido bajo el mismo ID.</x:v>
      </x:c>
      <x:c r="F464" s="43" t="str">
        <x:v>Completado</x:v>
      </x:c>
      <x:c r="G464" s="44" t="n">
        <x:v>46287</x:v>
      </x:c>
      <x:c r="H464" s="44" t="n">
        <x:v>46295</x:v>
      </x:c>
      <x:c r="I464" s="45" t="n">
        <x:f>IF(OR(G464="",H464=""),"",SUMPRODUCT(('Cronograma'!$F$8:$P$8&lt;=H464)*('Cronograma'!$F$9:$P$9&gt;=G464)))</x:f>
        <x:v>1</x:v>
      </x:c>
      <x:c r="J464" s="46"/>
      <x:c r="K464" s="46"/>
      <x:c r="L464" s="47"/>
      <x:c r="M464" s="48" t="str"/>
      <x:c r="N464" s="48" t="str"/>
      <x:c r="O464" s="49" t="n">
        <x:v>46295</x:v>
      </x:c>
      <x:c r="P464" s="43" t="str">
        <x:v>Reporte fechado y código asociado</x:v>
      </x:c>
      <x:c r="Q464" s="43" t="str">
        <x:v>MIS02, PRO02</x:v>
      </x:c>
      <x:c r="R464" s="43" t="str"/>
      <x:c r="S464" s="43" t="str"/>
      <x:c r="T464" s="43" t="str">
        <x:v>S084, S087, S086</x:v>
      </x:c>
      <x:c r="U464" s="43" t="str">
        <x:v>docs/missions-redesign.md
lib/features/community/presentation/mission_application_screen.dart
supabase/migrations/013_missions_redesign.sql</x:v>
      </x:c>
    </x:row>
    <x:row r="465" ht="44" customHeight="1">
      <x:c r="A465" s="42" t="str">
        <x:v>MIS03.012</x:v>
      </x:c>
      <x:c r="B465" s="42" t="str">
        <x:v>Candidatura estructurada y seguimiento</x:v>
      </x:c>
      <x:c r="C465" s="42" t="str">
        <x:v>MIS03</x:v>
      </x:c>
      <x:c r="D465" s="43" t="str">
        <x:v>Conservar formulario tras fallo</x:v>
      </x:c>
      <x:c r="E465" s="43" t="str">
        <x:v>Permitir reintento sin perder motivación ni muestras.</x:v>
      </x:c>
      <x:c r="F465" s="43" t="str">
        <x:v>Completado</x:v>
      </x:c>
      <x:c r="G465" s="44" t="n">
        <x:v>46287</x:v>
      </x:c>
      <x:c r="H465" s="44" t="n">
        <x:v>46295</x:v>
      </x:c>
      <x:c r="I465" s="45" t="n">
        <x:f>IF(OR(G465="",H465=""),"",SUMPRODUCT(('Cronograma'!$F$8:$P$8&lt;=H465)*('Cronograma'!$F$9:$P$9&gt;=G465)))</x:f>
        <x:v>1</x:v>
      </x:c>
      <x:c r="J465" s="46"/>
      <x:c r="K465" s="46"/>
      <x:c r="L465" s="47"/>
      <x:c r="M465" s="48" t="str"/>
      <x:c r="N465" s="48" t="str"/>
      <x:c r="O465" s="49" t="n">
        <x:v>46295</x:v>
      </x:c>
      <x:c r="P465" s="43" t="str">
        <x:v>Reporte fechado y código asociado</x:v>
      </x:c>
      <x:c r="Q465" s="43" t="str">
        <x:v>MIS02, PRO02</x:v>
      </x:c>
      <x:c r="R465" s="43" t="str"/>
      <x:c r="S465" s="43" t="str"/>
      <x:c r="T465" s="43" t="str">
        <x:v>S084, S087, S086</x:v>
      </x:c>
      <x:c r="U465" s="43" t="str">
        <x:v>docs/missions-redesign.md
lib/features/community/presentation/mission_application_screen.dart
supabase/migrations/013_missions_redesign.sql</x:v>
      </x:c>
    </x:row>
    <x:row r="466" ht="44" customHeight="1">
      <x:c r="A466" s="42" t="str">
        <x:v>MIS03.013</x:v>
      </x:c>
      <x:c r="B466" s="42" t="str">
        <x:v>Candidatura estructurada y seguimiento</x:v>
      </x:c>
      <x:c r="C466" s="42" t="str">
        <x:v>MIS03</x:v>
      </x:c>
      <x:c r="D466" s="43" t="str">
        <x:v>Refrescar elegibilidad al fallar</x:v>
      </x:c>
      <x:c r="E466" s="43" t="str">
        <x:v>Explicar cambios de cupo, fecha o estado.</x:v>
      </x:c>
      <x:c r="F466" s="43" t="str">
        <x:v>Completado</x:v>
      </x:c>
      <x:c r="G466" s="44" t="n">
        <x:v>46287</x:v>
      </x:c>
      <x:c r="H466" s="44" t="n">
        <x:v>46295</x:v>
      </x:c>
      <x:c r="I466" s="45" t="n">
        <x:f>IF(OR(G466="",H466=""),"",SUMPRODUCT(('Cronograma'!$F$8:$P$8&lt;=H466)*('Cronograma'!$F$9:$P$9&gt;=G466)))</x:f>
        <x:v>1</x:v>
      </x:c>
      <x:c r="J466" s="46"/>
      <x:c r="K466" s="46"/>
      <x:c r="L466" s="47"/>
      <x:c r="M466" s="48" t="str"/>
      <x:c r="N466" s="48" t="str"/>
      <x:c r="O466" s="49" t="n">
        <x:v>46295</x:v>
      </x:c>
      <x:c r="P466" s="43" t="str">
        <x:v>Reporte fechado y código asociado</x:v>
      </x:c>
      <x:c r="Q466" s="43" t="str">
        <x:v>MIS02, PRO02</x:v>
      </x:c>
      <x:c r="R466" s="43" t="str"/>
      <x:c r="S466" s="43" t="str"/>
      <x:c r="T466" s="43" t="str">
        <x:v>S084, S087, S086</x:v>
      </x:c>
      <x:c r="U466" s="43" t="str">
        <x:v>docs/missions-redesign.md
lib/features/community/presentation/mission_application_screen.dart
supabase/migrations/013_missions_redesign.sql</x:v>
      </x:c>
    </x:row>
    <x:row r="467" ht="44" customHeight="1">
      <x:c r="A467" s="42" t="str">
        <x:v>MIS03.014</x:v>
      </x:c>
      <x:c r="B467" s="42" t="str">
        <x:v>Candidatura estructurada y seguimiento</x:v>
      </x:c>
      <x:c r="C467" s="42" t="str">
        <x:v>MIS03</x:v>
      </x:c>
      <x:c r="D467" s="43" t="str">
        <x:v>Mostrar confirmación con misión real</x:v>
      </x:c>
      <x:c r="E467" s="43" t="str">
        <x:v>No prometer tiempos de respuesta del organizador.</x:v>
      </x:c>
      <x:c r="F467" s="43" t="str">
        <x:v>Completado</x:v>
      </x:c>
      <x:c r="G467" s="44" t="n">
        <x:v>46287</x:v>
      </x:c>
      <x:c r="H467" s="44" t="n">
        <x:v>46295</x:v>
      </x:c>
      <x:c r="I467" s="45" t="n">
        <x:f>IF(OR(G467="",H467=""),"",SUMPRODUCT(('Cronograma'!$F$8:$P$8&lt;=H467)*('Cronograma'!$F$9:$P$9&gt;=G467)))</x:f>
        <x:v>1</x:v>
      </x:c>
      <x:c r="J467" s="46"/>
      <x:c r="K467" s="46"/>
      <x:c r="L467" s="47"/>
      <x:c r="M467" s="48" t="str"/>
      <x:c r="N467" s="48" t="str"/>
      <x:c r="O467" s="49" t="n">
        <x:v>46295</x:v>
      </x:c>
      <x:c r="P467" s="43" t="str">
        <x:v>Reporte fechado y código asociado</x:v>
      </x:c>
      <x:c r="Q467" s="43" t="str">
        <x:v>MIS02, PRO02</x:v>
      </x:c>
      <x:c r="R467" s="43" t="str"/>
      <x:c r="S467" s="43" t="str"/>
      <x:c r="T467" s="43" t="str">
        <x:v>S084, S087, S086</x:v>
      </x:c>
      <x:c r="U467" s="43" t="str">
        <x:v>docs/missions-redesign.md
lib/features/community/presentation/mission_application_screen.dart
supabase/migrations/013_missions_redesign.sql</x:v>
      </x:c>
    </x:row>
    <x:row r="468" ht="44" customHeight="1">
      <x:c r="A468" s="42" t="str">
        <x:v>MIS03.015</x:v>
      </x:c>
      <x:c r="B468" s="42" t="str">
        <x:v>Candidatura estructurada y seguimiento</x:v>
      </x:c>
      <x:c r="C468" s="42" t="str">
        <x:v>MIS03</x:v>
      </x:c>
      <x:c r="D468" s="43" t="str">
        <x:v>Filtrar Mis candidaturas por estado</x:v>
      </x:c>
      <x:c r="E468" s="43" t="str">
        <x:v>Mostrar pendiente, aceptada, no seleccionada y retirada.</x:v>
      </x:c>
      <x:c r="F468" s="43" t="str">
        <x:v>Completado</x:v>
      </x:c>
      <x:c r="G468" s="44" t="n">
        <x:v>46287</x:v>
      </x:c>
      <x:c r="H468" s="44" t="n">
        <x:v>46295</x:v>
      </x:c>
      <x:c r="I468" s="45" t="n">
        <x:f>IF(OR(G468="",H468=""),"",SUMPRODUCT(('Cronograma'!$F$8:$P$8&lt;=H468)*('Cronograma'!$F$9:$P$9&gt;=G468)))</x:f>
        <x:v>1</x:v>
      </x:c>
      <x:c r="J468" s="46"/>
      <x:c r="K468" s="46"/>
      <x:c r="L468" s="47"/>
      <x:c r="M468" s="48" t="str"/>
      <x:c r="N468" s="48" t="str"/>
      <x:c r="O468" s="49" t="n">
        <x:v>46295</x:v>
      </x:c>
      <x:c r="P468" s="43" t="str">
        <x:v>Reporte fechado y código asociado</x:v>
      </x:c>
      <x:c r="Q468" s="43" t="str">
        <x:v>MIS02, PRO02</x:v>
      </x:c>
      <x:c r="R468" s="43" t="str"/>
      <x:c r="S468" s="43" t="str"/>
      <x:c r="T468" s="43" t="str">
        <x:v>S084, S087, S086</x:v>
      </x:c>
      <x:c r="U468" s="43" t="str">
        <x:v>docs/missions-redesign.md
lib/features/community/presentation/mission_application_screen.dart
supabase/migrations/013_missions_redesign.sql</x:v>
      </x:c>
    </x:row>
    <x:row r="469" ht="44" customHeight="1">
      <x:c r="A469" s="42" t="str">
        <x:v>MIS03.016</x:v>
      </x:c>
      <x:c r="B469" s="42" t="str">
        <x:v>Candidatura estructurada y seguimiento</x:v>
      </x:c>
      <x:c r="C469" s="42" t="str">
        <x:v>MIS03</x:v>
      </x:c>
      <x:c r="D469" s="43" t="str">
        <x:v>Permitir retirada y repostulación válida</x:v>
      </x:c>
      <x:c r="E469" s="43" t="str">
        <x:v>Conservar historial y restricciones del ciclo.</x:v>
      </x:c>
      <x:c r="F469" s="43" t="str">
        <x:v>Completado</x:v>
      </x:c>
      <x:c r="G469" s="44" t="n">
        <x:v>46287</x:v>
      </x:c>
      <x:c r="H469" s="44" t="n">
        <x:v>46295</x:v>
      </x:c>
      <x:c r="I469" s="45" t="n">
        <x:f>IF(OR(G469="",H469=""),"",SUMPRODUCT(('Cronograma'!$F$8:$P$8&lt;=H469)*('Cronograma'!$F$9:$P$9&gt;=G469)))</x:f>
        <x:v>1</x:v>
      </x:c>
      <x:c r="J469" s="46"/>
      <x:c r="K469" s="46"/>
      <x:c r="L469" s="47"/>
      <x:c r="M469" s="48" t="str"/>
      <x:c r="N469" s="48" t="str"/>
      <x:c r="O469" s="49" t="n">
        <x:v>46295</x:v>
      </x:c>
      <x:c r="P469" s="43" t="str">
        <x:v>Reporte fechado y código asociado</x:v>
      </x:c>
      <x:c r="Q469" s="43" t="str">
        <x:v>MIS02, PRO02</x:v>
      </x:c>
      <x:c r="R469" s="43" t="str"/>
      <x:c r="S469" s="43" t="str"/>
      <x:c r="T469" s="43" t="str">
        <x:v>S084, S087, S086</x:v>
      </x:c>
      <x:c r="U469" s="43" t="str">
        <x:v>docs/missions-redesign.md
lib/features/community/presentation/mission_application_screen.dart
supabase/migrations/013_missions_redesign.sql</x:v>
      </x:c>
    </x:row>
    <x:row r="470" ht="44" customHeight="1">
      <x:c r="A470" s="42" t="str">
        <x:v>MIS04.001</x:v>
      </x:c>
      <x:c r="B470" s="42" t="str">
        <x:v>Gestión privada y avisos del ciclo de misión</x:v>
      </x:c>
      <x:c r="C470" s="42" t="str">
        <x:v>MIS04</x:v>
      </x:c>
      <x:c r="D470" s="43" t="str">
        <x:v>Crear pantalla privada del organizador</x:v>
      </x:c>
      <x:c r="E470" s="43" t="str">
        <x:v>Excluir controles de gestión para visitantes.</x:v>
      </x:c>
      <x:c r="F470" s="43" t="str">
        <x:v>Completado</x:v>
      </x:c>
      <x:c r="G470" s="44" t="n">
        <x:v>46287</x:v>
      </x:c>
      <x:c r="H470" s="44" t="n">
        <x:v>46295</x:v>
      </x:c>
      <x:c r="I470" s="45" t="n">
        <x:f>IF(OR(G470="",H470=""),"",SUMPRODUCT(('Cronograma'!$F$8:$P$8&lt;=H470)*('Cronograma'!$F$9:$P$9&gt;=G470)))</x:f>
        <x:v>1</x:v>
      </x:c>
      <x:c r="J470" s="46"/>
      <x:c r="K470" s="46"/>
      <x:c r="L470" s="47"/>
      <x:c r="M470" s="48" t="str"/>
      <x:c r="N470" s="48" t="str"/>
      <x:c r="O470" s="49" t="n">
        <x:v>46295</x:v>
      </x:c>
      <x:c r="P470" s="43" t="str">
        <x:v>Reporte fechado y código asociado</x:v>
      </x:c>
      <x:c r="Q470" s="43" t="str">
        <x:v>MIS02, MIS03, SOC04</x:v>
      </x:c>
      <x:c r="R470" s="43" t="str"/>
      <x:c r="S470" s="43" t="str"/>
      <x:c r="T470" s="43" t="str">
        <x:v>S084, S088, S086</x:v>
      </x:c>
      <x:c r="U470" s="43" t="str">
        <x:v>docs/missions-redesign.md
lib/features/community/presentation/mission_management_screen.dart
supabase/migrations/013_missions_redesign.sql</x:v>
      </x:c>
    </x:row>
    <x:row r="471" ht="44" customHeight="1">
      <x:c r="A471" s="42" t="str">
        <x:v>MIS04.002</x:v>
      </x:c>
      <x:c r="B471" s="42" t="str">
        <x:v>Gestión privada y avisos del ciclo de misión</x:v>
      </x:c>
      <x:c r="C471" s="42" t="str">
        <x:v>MIS04</x:v>
      </x:c>
      <x:c r="D471" s="43" t="str">
        <x:v>Mostrar contadores reales de candidaturas</x:v>
      </x:c>
      <x:c r="E471" s="43" t="str">
        <x:v>Consultar estados desde backend.</x:v>
      </x:c>
      <x:c r="F471" s="43" t="str">
        <x:v>Completado</x:v>
      </x:c>
      <x:c r="G471" s="44" t="n">
        <x:v>46287</x:v>
      </x:c>
      <x:c r="H471" s="44" t="n">
        <x:v>46295</x:v>
      </x:c>
      <x:c r="I471" s="45" t="n">
        <x:f>IF(OR(G471="",H471=""),"",SUMPRODUCT(('Cronograma'!$F$8:$P$8&lt;=H471)*('Cronograma'!$F$9:$P$9&gt;=G471)))</x:f>
        <x:v>1</x:v>
      </x:c>
      <x:c r="J471" s="46"/>
      <x:c r="K471" s="46"/>
      <x:c r="L471" s="47"/>
      <x:c r="M471" s="48" t="str"/>
      <x:c r="N471" s="48" t="str"/>
      <x:c r="O471" s="49" t="n">
        <x:v>46295</x:v>
      </x:c>
      <x:c r="P471" s="43" t="str">
        <x:v>Reporte fechado y código asociado</x:v>
      </x:c>
      <x:c r="Q471" s="43" t="str">
        <x:v>MIS02, MIS03, SOC04</x:v>
      </x:c>
      <x:c r="R471" s="43" t="str"/>
      <x:c r="S471" s="43" t="str"/>
      <x:c r="T471" s="43" t="str">
        <x:v>S084, S088, S086</x:v>
      </x:c>
      <x:c r="U471" s="43" t="str">
        <x:v>docs/missions-redesign.md
lib/features/community/presentation/mission_management_screen.dart
supabase/migrations/013_missions_redesign.sql</x:v>
      </x:c>
    </x:row>
    <x:row r="472" ht="44" customHeight="1">
      <x:c r="A472" s="42" t="str">
        <x:v>MIS04.003</x:v>
      </x:c>
      <x:c r="B472" s="42" t="str">
        <x:v>Gestión privada y avisos del ciclo de misión</x:v>
      </x:c>
      <x:c r="C472" s="42" t="str">
        <x:v>MIS04</x:v>
      </x:c>
      <x:c r="D472" s="43" t="str">
        <x:v>Filtrar candidatos de gestión</x:v>
      </x:c>
      <x:c r="E472" s="43" t="str">
        <x:v>Conservar organización de solicitudes por estado.</x:v>
      </x:c>
      <x:c r="F472" s="43" t="str">
        <x:v>Completado</x:v>
      </x:c>
      <x:c r="G472" s="44" t="n">
        <x:v>46287</x:v>
      </x:c>
      <x:c r="H472" s="44" t="n">
        <x:v>46295</x:v>
      </x:c>
      <x:c r="I472" s="45" t="n">
        <x:f>IF(OR(G472="",H472=""),"",SUMPRODUCT(('Cronograma'!$F$8:$P$8&lt;=H472)*('Cronograma'!$F$9:$P$9&gt;=G472)))</x:f>
        <x:v>1</x:v>
      </x:c>
      <x:c r="J472" s="46"/>
      <x:c r="K472" s="46"/>
      <x:c r="L472" s="47"/>
      <x:c r="M472" s="48" t="str"/>
      <x:c r="N472" s="48" t="str"/>
      <x:c r="O472" s="49" t="n">
        <x:v>46295</x:v>
      </x:c>
      <x:c r="P472" s="43" t="str">
        <x:v>Reporte fechado y código asociado</x:v>
      </x:c>
      <x:c r="Q472" s="43" t="str">
        <x:v>MIS02, MIS03, SOC04</x:v>
      </x:c>
      <x:c r="R472" s="43" t="str"/>
      <x:c r="S472" s="43" t="str"/>
      <x:c r="T472" s="43" t="str">
        <x:v>S084, S088, S086</x:v>
      </x:c>
      <x:c r="U472" s="43" t="str">
        <x:v>docs/missions-redesign.md
lib/features/community/presentation/mission_management_screen.dart
supabase/migrations/013_missions_redesign.sql</x:v>
      </x:c>
    </x:row>
    <x:row r="473" ht="44" customHeight="1">
      <x:c r="A473" s="42" t="str">
        <x:v>MIS04.004</x:v>
      </x:c>
      <x:c r="B473" s="42" t="str">
        <x:v>Gestión privada y avisos del ciclo de misión</x:v>
      </x:c>
      <x:c r="C473" s="42" t="str">
        <x:v>MIS04</x:v>
      </x:c>
      <x:c r="D473" s="43" t="str">
        <x:v>Consultar perfil y muestras del candidato</x:v>
      </x:c>
      <x:c r="E473" s="43" t="str">
        <x:v>Respetar acceso privado de organizador y participante.</x:v>
      </x:c>
      <x:c r="F473" s="43" t="str">
        <x:v>Completado</x:v>
      </x:c>
      <x:c r="G473" s="44" t="n">
        <x:v>46287</x:v>
      </x:c>
      <x:c r="H473" s="44" t="n">
        <x:v>46295</x:v>
      </x:c>
      <x:c r="I473" s="45" t="n">
        <x:f>IF(OR(G473="",H473=""),"",SUMPRODUCT(('Cronograma'!$F$8:$P$8&lt;=H473)*('Cronograma'!$F$9:$P$9&gt;=G473)))</x:f>
        <x:v>1</x:v>
      </x:c>
      <x:c r="J473" s="46"/>
      <x:c r="K473" s="46"/>
      <x:c r="L473" s="47"/>
      <x:c r="M473" s="48" t="str"/>
      <x:c r="N473" s="48" t="str"/>
      <x:c r="O473" s="49" t="n">
        <x:v>46295</x:v>
      </x:c>
      <x:c r="P473" s="43" t="str">
        <x:v>Reporte fechado y código asociado</x:v>
      </x:c>
      <x:c r="Q473" s="43" t="str">
        <x:v>MIS02, MIS03, SOC04</x:v>
      </x:c>
      <x:c r="R473" s="43" t="str"/>
      <x:c r="S473" s="43" t="str"/>
      <x:c r="T473" s="43" t="str">
        <x:v>S084, S088, S086</x:v>
      </x:c>
      <x:c r="U473" s="43" t="str">
        <x:v>docs/missions-redesign.md
lib/features/community/presentation/mission_management_screen.dart
supabase/migrations/013_missions_redesign.sql</x:v>
      </x:c>
    </x:row>
    <x:row r="474" ht="44" customHeight="1">
      <x:c r="A474" s="42" t="str">
        <x:v>MIS04.005</x:v>
      </x:c>
      <x:c r="B474" s="42" t="str">
        <x:v>Gestión privada y avisos del ciclo de misión</x:v>
      </x:c>
      <x:c r="C474" s="42" t="str">
        <x:v>MIS04</x:v>
      </x:c>
      <x:c r="D474" s="43" t="str">
        <x:v>Marcar finalistas internos</x:v>
      </x:c>
      <x:c r="E474" s="43" t="str">
        <x:v>No cambiar estado público ni enviar aviso.</x:v>
      </x:c>
      <x:c r="F474" s="43" t="str">
        <x:v>Completado</x:v>
      </x:c>
      <x:c r="G474" s="44" t="n">
        <x:v>46287</x:v>
      </x:c>
      <x:c r="H474" s="44" t="n">
        <x:v>46295</x:v>
      </x:c>
      <x:c r="I474" s="45" t="n">
        <x:f>IF(OR(G474="",H474=""),"",SUMPRODUCT(('Cronograma'!$F$8:$P$8&lt;=H474)*('Cronograma'!$F$9:$P$9&gt;=G474)))</x:f>
        <x:v>1</x:v>
      </x:c>
      <x:c r="J474" s="46"/>
      <x:c r="K474" s="46"/>
      <x:c r="L474" s="47"/>
      <x:c r="M474" s="48" t="str"/>
      <x:c r="N474" s="48" t="str"/>
      <x:c r="O474" s="49" t="n">
        <x:v>46295</x:v>
      </x:c>
      <x:c r="P474" s="43" t="str">
        <x:v>Reporte fechado y código asociado</x:v>
      </x:c>
      <x:c r="Q474" s="43" t="str">
        <x:v>MIS02, MIS03, SOC04</x:v>
      </x:c>
      <x:c r="R474" s="43" t="str"/>
      <x:c r="S474" s="43" t="str"/>
      <x:c r="T474" s="43" t="str">
        <x:v>S084, S088, S086</x:v>
      </x:c>
      <x:c r="U474" s="43" t="str">
        <x:v>docs/missions-redesign.md
lib/features/community/presentation/mission_management_screen.dart
supabase/migrations/013_missions_redesign.sql</x:v>
      </x:c>
    </x:row>
    <x:row r="475" ht="44" customHeight="1">
      <x:c r="A475" s="42" t="str">
        <x:v>MIS04.006</x:v>
      </x:c>
      <x:c r="B475" s="42" t="str">
        <x:v>Gestión privada y avisos del ciclo de misión</x:v>
      </x:c>
      <x:c r="C475" s="42" t="str">
        <x:v>MIS04</x:v>
      </x:c>
      <x:c r="D475" s="43" t="str">
        <x:v>Crear selección provisional de grupo</x:v>
      </x:c>
      <x:c r="E475" s="43" t="str">
        <x:v>Permitir revisar personas antes de confirmar.</x:v>
      </x:c>
      <x:c r="F475" s="43" t="str">
        <x:v>Completado</x:v>
      </x:c>
      <x:c r="G475" s="44" t="n">
        <x:v>46287</x:v>
      </x:c>
      <x:c r="H475" s="44" t="n">
        <x:v>46295</x:v>
      </x:c>
      <x:c r="I475" s="45" t="n">
        <x:f>IF(OR(G475="",H475=""),"",SUMPRODUCT(('Cronograma'!$F$8:$P$8&lt;=H475)*('Cronograma'!$F$9:$P$9&gt;=G475)))</x:f>
        <x:v>1</x:v>
      </x:c>
      <x:c r="J475" s="46"/>
      <x:c r="K475" s="46"/>
      <x:c r="L475" s="47"/>
      <x:c r="M475" s="48" t="str"/>
      <x:c r="N475" s="48" t="str"/>
      <x:c r="O475" s="49" t="n">
        <x:v>46295</x:v>
      </x:c>
      <x:c r="P475" s="43" t="str">
        <x:v>Reporte fechado y código asociado</x:v>
      </x:c>
      <x:c r="Q475" s="43" t="str">
        <x:v>MIS02, MIS03, SOC04</x:v>
      </x:c>
      <x:c r="R475" s="43" t="str"/>
      <x:c r="S475" s="43" t="str"/>
      <x:c r="T475" s="43" t="str">
        <x:v>S084, S088, S086</x:v>
      </x:c>
      <x:c r="U475" s="43" t="str">
        <x:v>docs/missions-redesign.md
lib/features/community/presentation/mission_management_screen.dart
supabase/migrations/013_missions_redesign.sql</x:v>
      </x:c>
    </x:row>
    <x:row r="476" ht="44" customHeight="1">
      <x:c r="A476" s="42" t="str">
        <x:v>MIS04.007</x:v>
      </x:c>
      <x:c r="B476" s="42" t="str">
        <x:v>Gestión privada y avisos del ciclo de misión</x:v>
      </x:c>
      <x:c r="C476" s="42" t="str">
        <x:v>MIS04</x:v>
      </x:c>
      <x:c r="D476" s="43" t="str">
        <x:v>Confirmar selección atómica</x:v>
      </x:c>
      <x:c r="E476" s="43" t="str">
        <x:v>Aceptar grupo sin superar cupo en concurrencia.</x:v>
      </x:c>
      <x:c r="F476" s="43" t="str">
        <x:v>Completado</x:v>
      </x:c>
      <x:c r="G476" s="44" t="n">
        <x:v>46287</x:v>
      </x:c>
      <x:c r="H476" s="44" t="n">
        <x:v>46295</x:v>
      </x:c>
      <x:c r="I476" s="45" t="n">
        <x:f>IF(OR(G476="",H476=""),"",SUMPRODUCT(('Cronograma'!$F$8:$P$8&lt;=H476)*('Cronograma'!$F$9:$P$9&gt;=G476)))</x:f>
        <x:v>1</x:v>
      </x:c>
      <x:c r="J476" s="46"/>
      <x:c r="K476" s="46"/>
      <x:c r="L476" s="47"/>
      <x:c r="M476" s="48" t="str"/>
      <x:c r="N476" s="48" t="str"/>
      <x:c r="O476" s="49" t="n">
        <x:v>46295</x:v>
      </x:c>
      <x:c r="P476" s="43" t="str">
        <x:v>Reporte fechado y código asociado</x:v>
      </x:c>
      <x:c r="Q476" s="43" t="str">
        <x:v>MIS02, MIS03, SOC04</x:v>
      </x:c>
      <x:c r="R476" s="43" t="str"/>
      <x:c r="S476" s="43" t="str"/>
      <x:c r="T476" s="43" t="str">
        <x:v>S084, S088, S086</x:v>
      </x:c>
      <x:c r="U476" s="43" t="str">
        <x:v>docs/missions-redesign.md
lib/features/community/presentation/mission_management_screen.dart
supabase/migrations/013_missions_redesign.sql</x:v>
      </x:c>
    </x:row>
    <x:row r="477" ht="44" customHeight="1">
      <x:c r="A477" s="42" t="str">
        <x:v>MIS04.008</x:v>
      </x:c>
      <x:c r="B477" s="42" t="str">
        <x:v>Gestión privada y avisos del ciclo de misión</x:v>
      </x:c>
      <x:c r="C477" s="42" t="str">
        <x:v>MIS04</x:v>
      </x:c>
      <x:c r="D477" s="43" t="str">
        <x:v>Conservar rechazo individual</x:v>
      </x:c>
      <x:c r="E477" s="43" t="str">
        <x:v>Permitir decisión específica sin rechazar al resto.</x:v>
      </x:c>
      <x:c r="F477" s="43" t="str">
        <x:v>Completado</x:v>
      </x:c>
      <x:c r="G477" s="44" t="n">
        <x:v>46287</x:v>
      </x:c>
      <x:c r="H477" s="44" t="n">
        <x:v>46295</x:v>
      </x:c>
      <x:c r="I477" s="45" t="n">
        <x:f>IF(OR(G477="",H477=""),"",SUMPRODUCT(('Cronograma'!$F$8:$P$8&lt;=H477)*('Cronograma'!$F$9:$P$9&gt;=G477)))</x:f>
        <x:v>1</x:v>
      </x:c>
      <x:c r="J477" s="46"/>
      <x:c r="K477" s="46"/>
      <x:c r="L477" s="47"/>
      <x:c r="M477" s="48" t="str"/>
      <x:c r="N477" s="48" t="str"/>
      <x:c r="O477" s="49" t="n">
        <x:v>46295</x:v>
      </x:c>
      <x:c r="P477" s="43" t="str">
        <x:v>Reporte fechado y código asociado</x:v>
      </x:c>
      <x:c r="Q477" s="43" t="str">
        <x:v>MIS02, MIS03, SOC04</x:v>
      </x:c>
      <x:c r="R477" s="43" t="str"/>
      <x:c r="S477" s="43" t="str"/>
      <x:c r="T477" s="43" t="str">
        <x:v>S084, S088, S086</x:v>
      </x:c>
      <x:c r="U477" s="43" t="str">
        <x:v>docs/missions-redesign.md
lib/features/community/presentation/mission_management_screen.dart
supabase/migrations/013_missions_redesign.sql</x:v>
      </x:c>
    </x:row>
    <x:row r="478" ht="44" customHeight="1">
      <x:c r="A478" s="42" t="str">
        <x:v>MIS04.009</x:v>
      </x:c>
      <x:c r="B478" s="42" t="str">
        <x:v>Gestión privada y avisos del ciclo de misión</x:v>
      </x:c>
      <x:c r="C478" s="42" t="str">
        <x:v>MIS04</x:v>
      </x:c>
      <x:c r="D478" s="43" t="str">
        <x:v>Cerrar y reabrir sin selección automática</x:v>
      </x:c>
      <x:c r="E478" s="43" t="str">
        <x:v>Separar estado de convocatoria y candidaturas.</x:v>
      </x:c>
      <x:c r="F478" s="43" t="str">
        <x:v>Completado</x:v>
      </x:c>
      <x:c r="G478" s="44" t="n">
        <x:v>46287</x:v>
      </x:c>
      <x:c r="H478" s="44" t="n">
        <x:v>46295</x:v>
      </x:c>
      <x:c r="I478" s="45" t="n">
        <x:f>IF(OR(G478="",H478=""),"",SUMPRODUCT(('Cronograma'!$F$8:$P$8&lt;=H478)*('Cronograma'!$F$9:$P$9&gt;=G478)))</x:f>
        <x:v>1</x:v>
      </x:c>
      <x:c r="J478" s="46"/>
      <x:c r="K478" s="46"/>
      <x:c r="L478" s="47"/>
      <x:c r="M478" s="48" t="str"/>
      <x:c r="N478" s="48" t="str"/>
      <x:c r="O478" s="49" t="n">
        <x:v>46295</x:v>
      </x:c>
      <x:c r="P478" s="43" t="str">
        <x:v>Reporte fechado y código asociado</x:v>
      </x:c>
      <x:c r="Q478" s="43" t="str">
        <x:v>MIS02, MIS03, SOC04</x:v>
      </x:c>
      <x:c r="R478" s="43" t="str"/>
      <x:c r="S478" s="43" t="str"/>
      <x:c r="T478" s="43" t="str">
        <x:v>S084, S088, S086</x:v>
      </x:c>
      <x:c r="U478" s="43" t="str">
        <x:v>docs/missions-redesign.md
lib/features/community/presentation/mission_management_screen.dart
supabase/migrations/013_missions_redesign.sql</x:v>
      </x:c>
    </x:row>
    <x:row r="479" ht="44" customHeight="1">
      <x:c r="A479" s="42" t="str">
        <x:v>MIS04.010</x:v>
      </x:c>
      <x:c r="B479" s="42" t="str">
        <x:v>Gestión privada y avisos del ciclo de misión</x:v>
      </x:c>
      <x:c r="C479" s="42" t="str">
        <x:v>MIS04</x:v>
      </x:c>
      <x:c r="D479" s="43" t="str">
        <x:v>Avisar candidatura recibida</x:v>
      </x:c>
      <x:c r="E479" s="43" t="str">
        <x:v>Crear notificación idempotente para organizador.</x:v>
      </x:c>
      <x:c r="F479" s="43" t="str">
        <x:v>Completado</x:v>
      </x:c>
      <x:c r="G479" s="44" t="n">
        <x:v>46287</x:v>
      </x:c>
      <x:c r="H479" s="44" t="n">
        <x:v>46295</x:v>
      </x:c>
      <x:c r="I479" s="45" t="n">
        <x:f>IF(OR(G479="",H479=""),"",SUMPRODUCT(('Cronograma'!$F$8:$P$8&lt;=H479)*('Cronograma'!$F$9:$P$9&gt;=G479)))</x:f>
        <x:v>1</x:v>
      </x:c>
      <x:c r="J479" s="46"/>
      <x:c r="K479" s="46"/>
      <x:c r="L479" s="47"/>
      <x:c r="M479" s="48" t="str"/>
      <x:c r="N479" s="48" t="str"/>
      <x:c r="O479" s="49" t="n">
        <x:v>46295</x:v>
      </x:c>
      <x:c r="P479" s="43" t="str">
        <x:v>Reporte fechado y código asociado</x:v>
      </x:c>
      <x:c r="Q479" s="43" t="str">
        <x:v>MIS02, MIS03, SOC04</x:v>
      </x:c>
      <x:c r="R479" s="43" t="str"/>
      <x:c r="S479" s="43" t="str"/>
      <x:c r="T479" s="43" t="str">
        <x:v>S084, S088, S086</x:v>
      </x:c>
      <x:c r="U479" s="43" t="str">
        <x:v>docs/missions-redesign.md
lib/features/community/presentation/mission_management_screen.dart
supabase/migrations/013_missions_redesign.sql</x:v>
      </x:c>
    </x:row>
    <x:row r="480" ht="44" customHeight="1">
      <x:c r="A480" s="42" t="str">
        <x:v>MIS04.011</x:v>
      </x:c>
      <x:c r="B480" s="42" t="str">
        <x:v>Gestión privada y avisos del ciclo de misión</x:v>
      </x:c>
      <x:c r="C480" s="42" t="str">
        <x:v>MIS04</x:v>
      </x:c>
      <x:c r="D480" s="43" t="str">
        <x:v>Avisar aceptación y rechazo</x:v>
      </x:c>
      <x:c r="E480" s="43" t="str">
        <x:v>Informar resolución al participante autorizado.</x:v>
      </x:c>
      <x:c r="F480" s="43" t="str">
        <x:v>Completado</x:v>
      </x:c>
      <x:c r="G480" s="44" t="n">
        <x:v>46287</x:v>
      </x:c>
      <x:c r="H480" s="44" t="n">
        <x:v>46295</x:v>
      </x:c>
      <x:c r="I480" s="45" t="n">
        <x:f>IF(OR(G480="",H480=""),"",SUMPRODUCT(('Cronograma'!$F$8:$P$8&lt;=H480)*('Cronograma'!$F$9:$P$9&gt;=G480)))</x:f>
        <x:v>1</x:v>
      </x:c>
      <x:c r="J480" s="46"/>
      <x:c r="K480" s="46"/>
      <x:c r="L480" s="47"/>
      <x:c r="M480" s="48" t="str"/>
      <x:c r="N480" s="48" t="str"/>
      <x:c r="O480" s="49" t="n">
        <x:v>46295</x:v>
      </x:c>
      <x:c r="P480" s="43" t="str">
        <x:v>Reporte fechado y código asociado</x:v>
      </x:c>
      <x:c r="Q480" s="43" t="str">
        <x:v>MIS02, MIS03, SOC04</x:v>
      </x:c>
      <x:c r="R480" s="43" t="str"/>
      <x:c r="S480" s="43" t="str"/>
      <x:c r="T480" s="43" t="str">
        <x:v>S084, S088, S086</x:v>
      </x:c>
      <x:c r="U480" s="43" t="str">
        <x:v>docs/missions-redesign.md
lib/features/community/presentation/mission_management_screen.dart
supabase/migrations/013_missions_redesign.sql</x:v>
      </x:c>
    </x:row>
    <x:row r="481" ht="44" customHeight="1">
      <x:c r="A481" s="42" t="str">
        <x:v>MIS04.012</x:v>
      </x:c>
      <x:c r="B481" s="42" t="str">
        <x:v>Gestión privada y avisos del ciclo de misión</x:v>
      </x:c>
      <x:c r="C481" s="42" t="str">
        <x:v>MIS04</x:v>
      </x:c>
      <x:c r="D481" s="43" t="str">
        <x:v>Avisar retirada de candidatura</x:v>
      </x:c>
      <x:c r="E481" s="43" t="str">
        <x:v>Actualizar conocimiento del organizador.</x:v>
      </x:c>
      <x:c r="F481" s="43" t="str">
        <x:v>Completado</x:v>
      </x:c>
      <x:c r="G481" s="44" t="n">
        <x:v>46287</x:v>
      </x:c>
      <x:c r="H481" s="44" t="n">
        <x:v>46295</x:v>
      </x:c>
      <x:c r="I481" s="45" t="n">
        <x:f>IF(OR(G481="",H481=""),"",SUMPRODUCT(('Cronograma'!$F$8:$P$8&lt;=H481)*('Cronograma'!$F$9:$P$9&gt;=G481)))</x:f>
        <x:v>1</x:v>
      </x:c>
      <x:c r="J481" s="46"/>
      <x:c r="K481" s="46"/>
      <x:c r="L481" s="47"/>
      <x:c r="M481" s="48" t="str"/>
      <x:c r="N481" s="48" t="str"/>
      <x:c r="O481" s="49" t="n">
        <x:v>46295</x:v>
      </x:c>
      <x:c r="P481" s="43" t="str">
        <x:v>Reporte fechado y código asociado</x:v>
      </x:c>
      <x:c r="Q481" s="43" t="str">
        <x:v>MIS02, MIS03, SOC04</x:v>
      </x:c>
      <x:c r="R481" s="43" t="str"/>
      <x:c r="S481" s="43" t="str"/>
      <x:c r="T481" s="43" t="str">
        <x:v>S084, S088, S086</x:v>
      </x:c>
      <x:c r="U481" s="43" t="str">
        <x:v>docs/missions-redesign.md
lib/features/community/presentation/mission_management_screen.dart
supabase/migrations/013_missions_redesign.sql</x:v>
      </x:c>
    </x:row>
    <x:row r="482" ht="44" customHeight="1">
      <x:c r="A482" s="42" t="str">
        <x:v>MIS04.013</x:v>
      </x:c>
      <x:c r="B482" s="42" t="str">
        <x:v>Gestión privada y avisos del ciclo de misión</x:v>
      </x:c>
      <x:c r="C482" s="42" t="str">
        <x:v>MIS04</x:v>
      </x:c>
      <x:c r="D482" s="43" t="str">
        <x:v>Avisar cierre, reapertura y cancelación</x:v>
      </x:c>
      <x:c r="E482" s="43" t="str">
        <x:v>Notificar participantes activos según el evento.</x:v>
      </x:c>
      <x:c r="F482" s="43" t="str">
        <x:v>Completado</x:v>
      </x:c>
      <x:c r="G482" s="44" t="n">
        <x:v>46287</x:v>
      </x:c>
      <x:c r="H482" s="44" t="n">
        <x:v>46295</x:v>
      </x:c>
      <x:c r="I482" s="45" t="n">
        <x:f>IF(OR(G482="",H482=""),"",SUMPRODUCT(('Cronograma'!$F$8:$P$8&lt;=H482)*('Cronograma'!$F$9:$P$9&gt;=G482)))</x:f>
        <x:v>1</x:v>
      </x:c>
      <x:c r="J482" s="46"/>
      <x:c r="K482" s="46"/>
      <x:c r="L482" s="47"/>
      <x:c r="M482" s="48" t="str"/>
      <x:c r="N482" s="48" t="str"/>
      <x:c r="O482" s="49" t="n">
        <x:v>46295</x:v>
      </x:c>
      <x:c r="P482" s="43" t="str">
        <x:v>Reporte fechado y código asociado</x:v>
      </x:c>
      <x:c r="Q482" s="43" t="str">
        <x:v>MIS02, MIS03, SOC04</x:v>
      </x:c>
      <x:c r="R482" s="43" t="str"/>
      <x:c r="S482" s="43" t="str"/>
      <x:c r="T482" s="43" t="str">
        <x:v>S084, S088, S086</x:v>
      </x:c>
      <x:c r="U482" s="43" t="str">
        <x:v>docs/missions-redesign.md
lib/features/community/presentation/mission_management_screen.dart
supabase/migrations/013_missions_redesign.sql</x:v>
      </x:c>
    </x:row>
    <x:row r="483" ht="44" customHeight="1">
      <x:c r="A483" s="42" t="str">
        <x:v>MIS04.014</x:v>
      </x:c>
      <x:c r="B483" s="42" t="str">
        <x:v>Gestión privada y avisos del ciclo de misión</x:v>
      </x:c>
      <x:c r="C483" s="42" t="str">
        <x:v>MIS04</x:v>
      </x:c>
      <x:c r="D483" s="43" t="str">
        <x:v>Avisar finalización de misión</x:v>
      </x:c>
      <x:c r="E483" s="43" t="str">
        <x:v>Completar información del ciclo sin avisos duplicados.</x:v>
      </x:c>
      <x:c r="F483" s="43" t="str">
        <x:v>Completado</x:v>
      </x:c>
      <x:c r="G483" s="44" t="n">
        <x:v>46287</x:v>
      </x:c>
      <x:c r="H483" s="44" t="n">
        <x:v>46295</x:v>
      </x:c>
      <x:c r="I483" s="45" t="n">
        <x:f>IF(OR(G483="",H483=""),"",SUMPRODUCT(('Cronograma'!$F$8:$P$8&lt;=H483)*('Cronograma'!$F$9:$P$9&gt;=G483)))</x:f>
        <x:v>1</x:v>
      </x:c>
      <x:c r="J483" s="46"/>
      <x:c r="K483" s="46"/>
      <x:c r="L483" s="47"/>
      <x:c r="M483" s="48" t="str"/>
      <x:c r="N483" s="48" t="str"/>
      <x:c r="O483" s="49" t="n">
        <x:v>46295</x:v>
      </x:c>
      <x:c r="P483" s="43" t="str">
        <x:v>Reporte fechado y código asociado</x:v>
      </x:c>
      <x:c r="Q483" s="43" t="str">
        <x:v>MIS02, MIS03, SOC04</x:v>
      </x:c>
      <x:c r="R483" s="43" t="str"/>
      <x:c r="S483" s="43" t="str"/>
      <x:c r="T483" s="43" t="str">
        <x:v>S084, S088, S086</x:v>
      </x:c>
      <x:c r="U483" s="43" t="str">
        <x:v>docs/missions-redesign.md
lib/features/community/presentation/mission_management_screen.dart
supabase/migrations/013_missions_redesign.sql</x:v>
      </x:c>
    </x:row>
    <x:row r="484" ht="44" customHeight="1">
      <x:c r="A484" s="42" t="str">
        <x:v>MIS04.015</x:v>
      </x:c>
      <x:c r="B484" s="42" t="str">
        <x:v>Gestión privada y avisos del ciclo de misión</x:v>
      </x:c>
      <x:c r="C484" s="42" t="str">
        <x:v>MIS04</x:v>
      </x:c>
      <x:c r="D484" s="43" t="str">
        <x:v>Conservar navegación si falla lectura de aviso</x:v>
      </x:c>
      <x:c r="E484" s="43" t="str">
        <x:v>No impedir apertura por fallo de marcado leído.</x:v>
      </x:c>
      <x:c r="F484" s="43" t="str">
        <x:v>Completado</x:v>
      </x:c>
      <x:c r="G484" s="44" t="n">
        <x:v>46287</x:v>
      </x:c>
      <x:c r="H484" s="44" t="n">
        <x:v>46295</x:v>
      </x:c>
      <x:c r="I484" s="45" t="n">
        <x:f>IF(OR(G484="",H484=""),"",SUMPRODUCT(('Cronograma'!$F$8:$P$8&lt;=H484)*('Cronograma'!$F$9:$P$9&gt;=G484)))</x:f>
        <x:v>1</x:v>
      </x:c>
      <x:c r="J484" s="46"/>
      <x:c r="K484" s="46"/>
      <x:c r="L484" s="47"/>
      <x:c r="M484" s="48" t="str"/>
      <x:c r="N484" s="48" t="str"/>
      <x:c r="O484" s="49" t="n">
        <x:v>46295</x:v>
      </x:c>
      <x:c r="P484" s="43" t="str">
        <x:v>Reporte fechado y código asociado</x:v>
      </x:c>
      <x:c r="Q484" s="43" t="str">
        <x:v>MIS02, MIS03, SOC04</x:v>
      </x:c>
      <x:c r="R484" s="43" t="str"/>
      <x:c r="S484" s="43" t="str"/>
      <x:c r="T484" s="43" t="str">
        <x:v>S084, S088, S086</x:v>
      </x:c>
      <x:c r="U484" s="43" t="str">
        <x:v>docs/missions-redesign.md
lib/features/community/presentation/mission_management_screen.dart
supabase/migrations/013_missions_redesign.sql</x:v>
      </x:c>
    </x:row>
    <x:row r="485" ht="44" customHeight="1">
      <x:c r="A485" s="42" t="str">
        <x:v>MIS04.016</x:v>
      </x:c>
      <x:c r="B485" s="42" t="str">
        <x:v>Gestión privada y avisos del ciclo de misión</x:v>
      </x:c>
      <x:c r="C485" s="42" t="str">
        <x:v>MIS04</x:v>
      </x:c>
      <x:c r="D485" s="43" t="str">
        <x:v>Integrar panel Crear por tipo de perfil</x:v>
      </x:c>
      <x:c r="E485" s="43" t="str">
        <x:v>Ofrecer misión a todos y fichas profesionales autorizadas.</x:v>
      </x:c>
      <x:c r="F485" s="43" t="str">
        <x:v>Completado</x:v>
      </x:c>
      <x:c r="G485" s="44" t="n">
        <x:v>46287</x:v>
      </x:c>
      <x:c r="H485" s="44" t="n">
        <x:v>46295</x:v>
      </x:c>
      <x:c r="I485" s="45" t="n">
        <x:f>IF(OR(G485="",H485=""),"",SUMPRODUCT(('Cronograma'!$F$8:$P$8&lt;=H485)*('Cronograma'!$F$9:$P$9&gt;=G485)))</x:f>
        <x:v>1</x:v>
      </x:c>
      <x:c r="J485" s="46"/>
      <x:c r="K485" s="46"/>
      <x:c r="L485" s="47"/>
      <x:c r="M485" s="48" t="str"/>
      <x:c r="N485" s="48" t="str"/>
      <x:c r="O485" s="49" t="n">
        <x:v>46295</x:v>
      </x:c>
      <x:c r="P485" s="43" t="str">
        <x:v>Reporte fechado y código asociado</x:v>
      </x:c>
      <x:c r="Q485" s="43" t="str">
        <x:v>MIS02, MIS03, SOC04</x:v>
      </x:c>
      <x:c r="R485" s="43" t="str"/>
      <x:c r="S485" s="43" t="str"/>
      <x:c r="T485" s="43" t="str">
        <x:v>S084, S088, S086</x:v>
      </x:c>
      <x:c r="U485" s="43" t="str">
        <x:v>docs/missions-redesign.md
lib/features/community/presentation/mission_management_screen.dart
supabase/migrations/013_missions_redesign.sql</x:v>
      </x:c>
    </x:row>
    <x:row r="486" ht="44" customHeight="1">
      <x:c r="A486" s="42" t="str">
        <x:v>MIS04.017</x:v>
      </x:c>
      <x:c r="B486" s="42" t="str">
        <x:v>Gestión privada y avisos del ciclo de misión</x:v>
      </x:c>
      <x:c r="C486" s="42" t="str">
        <x:v>MIS04</x:v>
      </x:c>
      <x:c r="D486" s="43" t="str">
        <x:v>Guardar misiones en colección privada</x:v>
      </x:c>
      <x:c r="E486" s="43" t="str">
        <x:v>Ofrecer Guardadas dentro de Explorar.</x:v>
      </x:c>
      <x:c r="F486" s="43" t="str">
        <x:v>Completado</x:v>
      </x:c>
      <x:c r="G486" s="44" t="n">
        <x:v>46287</x:v>
      </x:c>
      <x:c r="H486" s="44" t="n">
        <x:v>46295</x:v>
      </x:c>
      <x:c r="I486" s="45" t="n">
        <x:f>IF(OR(G486="",H486=""),"",SUMPRODUCT(('Cronograma'!$F$8:$P$8&lt;=H486)*('Cronograma'!$F$9:$P$9&gt;=G486)))</x:f>
        <x:v>1</x:v>
      </x:c>
      <x:c r="J486" s="46"/>
      <x:c r="K486" s="46"/>
      <x:c r="L486" s="47"/>
      <x:c r="M486" s="48" t="str"/>
      <x:c r="N486" s="48" t="str"/>
      <x:c r="O486" s="49" t="n">
        <x:v>46295</x:v>
      </x:c>
      <x:c r="P486" s="43" t="str">
        <x:v>Reporte fechado y código asociado</x:v>
      </x:c>
      <x:c r="Q486" s="43" t="str">
        <x:v>MIS02, MIS03, SOC04</x:v>
      </x:c>
      <x:c r="R486" s="43" t="str"/>
      <x:c r="S486" s="43" t="str"/>
      <x:c r="T486" s="43" t="str">
        <x:v>S084, S088, S086</x:v>
      </x:c>
      <x:c r="U486" s="43" t="str">
        <x:v>docs/missions-redesign.md
lib/features/community/presentation/mission_management_screen.dart
supabase/migrations/013_missions_redesign.sql</x:v>
      </x:c>
    </x:row>
    <x:row r="487" ht="44" customHeight="1">
      <x:c r="A487" s="42" t="str">
        <x:v>MIS04.018</x:v>
      </x:c>
      <x:c r="B487" s="42" t="str">
        <x:v>Gestión privada y avisos del ciclo de misión</x:v>
      </x:c>
      <x:c r="C487" s="42" t="str">
        <x:v>MIS04</x:v>
      </x:c>
      <x:c r="D487" s="43" t="str">
        <x:v>Conservar filtros y scroll del listado</x:v>
      </x:c>
      <x:c r="E487" s="43" t="str">
        <x:v>Volver del detalle sin perder posición.</x:v>
      </x:c>
      <x:c r="F487" s="43" t="str">
        <x:v>Completado</x:v>
      </x:c>
      <x:c r="G487" s="44" t="n">
        <x:v>46287</x:v>
      </x:c>
      <x:c r="H487" s="44" t="n">
        <x:v>46295</x:v>
      </x:c>
      <x:c r="I487" s="45" t="n">
        <x:f>IF(OR(G487="",H487=""),"",SUMPRODUCT(('Cronograma'!$F$8:$P$8&lt;=H487)*('Cronograma'!$F$9:$P$9&gt;=G487)))</x:f>
        <x:v>1</x:v>
      </x:c>
      <x:c r="J487" s="46"/>
      <x:c r="K487" s="46"/>
      <x:c r="L487" s="47"/>
      <x:c r="M487" s="48" t="str"/>
      <x:c r="N487" s="48" t="str"/>
      <x:c r="O487" s="49" t="n">
        <x:v>46295</x:v>
      </x:c>
      <x:c r="P487" s="43" t="str">
        <x:v>Reporte fechado y código asociado</x:v>
      </x:c>
      <x:c r="Q487" s="43" t="str">
        <x:v>MIS02, MIS03, SOC04</x:v>
      </x:c>
      <x:c r="R487" s="43" t="str"/>
      <x:c r="S487" s="43" t="str"/>
      <x:c r="T487" s="43" t="str">
        <x:v>S084, S088, S086</x:v>
      </x:c>
      <x:c r="U487" s="43" t="str">
        <x:v>docs/missions-redesign.md
lib/features/community/presentation/mission_management_screen.dart
supabase/migrations/013_missions_redesign.sql</x:v>
      </x:c>
    </x:row>
    <x:row r="488" ht="44" customHeight="1">
      <x:c r="A488" s="42" t="str">
        <x:v>MIS05.001</x:v>
      </x:c>
      <x:c r="B488" s="42" t="str">
        <x:v>Verificación y despliegue del rediseño de misiones</x:v>
      </x:c>
      <x:c r="C488" s="42" t="str">
        <x:v>MIS05</x:v>
      </x:c>
      <x:c r="D488" s="43" t="str">
        <x:v>Validar contrato 013 en aislamiento</x:v>
      </x:c>
      <x:c r="E488" s="43" t="str">
        <x:v>Reporte acredita 146 comprobaciones específicas previas al despliegue.</x:v>
      </x:c>
      <x:c r="F488" s="43" t="str">
        <x:v>Completado</x:v>
      </x:c>
      <x:c r="G488" s="44" t="n">
        <x:v>46287</x:v>
      </x:c>
      <x:c r="H488" s="44" t="n">
        <x:v>46295</x:v>
      </x:c>
      <x:c r="I488" s="45" t="n">
        <x:f>IF(OR(G488="",H488=""),"",SUMPRODUCT(('Cronograma'!$F$8:$P$8&lt;=H488)*('Cronograma'!$F$9:$P$9&gt;=G488)))</x:f>
        <x:v>1</x:v>
      </x:c>
      <x:c r="J488" s="46"/>
      <x:c r="K488" s="46"/>
      <x:c r="L488" s="47"/>
      <x:c r="M488" s="48" t="str"/>
      <x:c r="N488" s="48" t="str"/>
      <x:c r="O488" s="49" t="n">
        <x:v>46295</x:v>
      </x:c>
      <x:c r="P488" s="43" t="str">
        <x:v>Reporte fechado y código asociado</x:v>
      </x:c>
      <x:c r="Q488" s="43" t="str">
        <x:v>MIS02, MIS03, MIS04</x:v>
      </x:c>
      <x:c r="R488" s="43" t="str"/>
      <x:c r="S488" s="43" t="str"/>
      <x:c r="T488" s="43" t="str">
        <x:v>S026, S085, S089</x:v>
      </x:c>
      <x:c r="U488" s="43" t="str">
        <x:v>docs/deployment-status.md
docs/implementation/missions-redesign-progress.md
tool/check_live_missions_flow.mjs</x:v>
      </x:c>
    </x:row>
    <x:row r="489" ht="44" customHeight="1">
      <x:c r="A489" s="42" t="str">
        <x:v>MIS05.002</x:v>
      </x:c>
      <x:c r="B489" s="42" t="str">
        <x:v>Verificación y despliegue del rediseño de misiones</x:v>
      </x:c>
      <x:c r="C489" s="42" t="str">
        <x:v>MIS05</x:v>
      </x:c>
      <x:c r="D489" s="43" t="str">
        <x:v>Aplicar únicamente migración 013</x:v>
      </x:c>
      <x:c r="E489" s="43" t="str">
        <x:v>Comparar historial y dry-run antes de actualizar.</x:v>
      </x:c>
      <x:c r="F489" s="43" t="str">
        <x:v>Completado</x:v>
      </x:c>
      <x:c r="G489" s="44" t="n">
        <x:v>46287</x:v>
      </x:c>
      <x:c r="H489" s="44" t="n">
        <x:v>46295</x:v>
      </x:c>
      <x:c r="I489" s="45" t="n">
        <x:f>IF(OR(G489="",H489=""),"",SUMPRODUCT(('Cronograma'!$F$8:$P$8&lt;=H489)*('Cronograma'!$F$9:$P$9&gt;=G489)))</x:f>
        <x:v>1</x:v>
      </x:c>
      <x:c r="J489" s="46"/>
      <x:c r="K489" s="46"/>
      <x:c r="L489" s="47"/>
      <x:c r="M489" s="48" t="str"/>
      <x:c r="N489" s="48" t="str"/>
      <x:c r="O489" s="49" t="n">
        <x:v>46295</x:v>
      </x:c>
      <x:c r="P489" s="43" t="str">
        <x:v>Reporte fechado y código asociado</x:v>
      </x:c>
      <x:c r="Q489" s="43" t="str">
        <x:v>MIS02, MIS03, MIS04</x:v>
      </x:c>
      <x:c r="R489" s="43" t="str"/>
      <x:c r="S489" s="43" t="str"/>
      <x:c r="T489" s="43" t="str">
        <x:v>S026, S085, S089</x:v>
      </x:c>
      <x:c r="U489" s="43" t="str">
        <x:v>docs/deployment-status.md
docs/implementation/missions-redesign-progress.md
tool/check_live_missions_flow.mjs</x:v>
      </x:c>
    </x:row>
    <x:row r="490" ht="44" customHeight="1">
      <x:c r="A490" s="42" t="str">
        <x:v>MIS05.003</x:v>
      </x:c>
      <x:c r="B490" s="42" t="str">
        <x:v>Verificación y despliegue del rediseño de misiones</x:v>
      </x:c>
      <x:c r="C490" s="42" t="str">
        <x:v>MIS05</x:v>
      </x:c>
      <x:c r="D490" s="43" t="str">
        <x:v>Verificar gate y lint remotos</x:v>
      </x:c>
      <x:c r="E490" s="43" t="str">
        <x:v>Confirmar contrato 001–013 y esquema sin errores.</x:v>
      </x:c>
      <x:c r="F490" s="43" t="str">
        <x:v>Completado</x:v>
      </x:c>
      <x:c r="G490" s="44" t="n">
        <x:v>46287</x:v>
      </x:c>
      <x:c r="H490" s="44" t="n">
        <x:v>46295</x:v>
      </x:c>
      <x:c r="I490" s="45" t="n">
        <x:f>IF(OR(G490="",H490=""),"",SUMPRODUCT(('Cronograma'!$F$8:$P$8&lt;=H490)*('Cronograma'!$F$9:$P$9&gt;=G490)))</x:f>
        <x:v>1</x:v>
      </x:c>
      <x:c r="J490" s="46"/>
      <x:c r="K490" s="46"/>
      <x:c r="L490" s="47"/>
      <x:c r="M490" s="48" t="str"/>
      <x:c r="N490" s="48" t="str"/>
      <x:c r="O490" s="49" t="n">
        <x:v>46295</x:v>
      </x:c>
      <x:c r="P490" s="43" t="str">
        <x:v>Reporte fechado y código asociado</x:v>
      </x:c>
      <x:c r="Q490" s="43" t="str">
        <x:v>MIS02, MIS03, MIS04</x:v>
      </x:c>
      <x:c r="R490" s="43" t="str"/>
      <x:c r="S490" s="43" t="str"/>
      <x:c r="T490" s="43" t="str">
        <x:v>S026, S085, S089</x:v>
      </x:c>
      <x:c r="U490" s="43" t="str">
        <x:v>docs/deployment-status.md
docs/implementation/missions-redesign-progress.md
tool/check_live_missions_flow.mjs</x:v>
      </x:c>
    </x:row>
    <x:row r="491" ht="44" customHeight="1">
      <x:c r="A491" s="42" t="str">
        <x:v>MIS05.004</x:v>
      </x:c>
      <x:c r="B491" s="42" t="str">
        <x:v>Verificación y despliegue del rediseño de misiones</x:v>
      </x:c>
      <x:c r="C491" s="42" t="str">
        <x:v>MIS05</x:v>
      </x:c>
      <x:c r="D491" s="43" t="str">
        <x:v>Probar publicación y candidatura idempotentes</x:v>
      </x:c>
      <x:c r="E491" s="43" t="str">
        <x:v>Cubrir reintentos y operaciones concurrentes.</x:v>
      </x:c>
      <x:c r="F491" s="43" t="str">
        <x:v>Completado</x:v>
      </x:c>
      <x:c r="G491" s="44" t="n">
        <x:v>46287</x:v>
      </x:c>
      <x:c r="H491" s="44" t="n">
        <x:v>46295</x:v>
      </x:c>
      <x:c r="I491" s="45" t="n">
        <x:f>IF(OR(G491="",H491=""),"",SUMPRODUCT(('Cronograma'!$F$8:$P$8&lt;=H491)*('Cronograma'!$F$9:$P$9&gt;=G491)))</x:f>
        <x:v>1</x:v>
      </x:c>
      <x:c r="J491" s="46"/>
      <x:c r="K491" s="46"/>
      <x:c r="L491" s="47"/>
      <x:c r="M491" s="48" t="str"/>
      <x:c r="N491" s="48" t="str"/>
      <x:c r="O491" s="49" t="n">
        <x:v>46295</x:v>
      </x:c>
      <x:c r="P491" s="43" t="str">
        <x:v>Reporte fechado y código asociado</x:v>
      </x:c>
      <x:c r="Q491" s="43" t="str">
        <x:v>MIS02, MIS03, MIS04</x:v>
      </x:c>
      <x:c r="R491" s="43" t="str"/>
      <x:c r="S491" s="43" t="str"/>
      <x:c r="T491" s="43" t="str">
        <x:v>S026, S085, S089</x:v>
      </x:c>
      <x:c r="U491" s="43" t="str">
        <x:v>docs/deployment-status.md
docs/implementation/missions-redesign-progress.md
tool/check_live_missions_flow.mjs</x:v>
      </x:c>
    </x:row>
    <x:row r="492" ht="44" customHeight="1">
      <x:c r="A492" s="42" t="str">
        <x:v>MIS05.005</x:v>
      </x:c>
      <x:c r="B492" s="42" t="str">
        <x:v>Verificación y despliegue del rediseño de misiones</x:v>
      </x:c>
      <x:c r="C492" s="42" t="str">
        <x:v>MIS05</x:v>
      </x:c>
      <x:c r="D492" s="43" t="str">
        <x:v>Probar selección atómica con cupo uno</x:v>
      </x:c>
      <x:c r="E492" s="43" t="str">
        <x:v>Evitar sobreadmisión en condiciones simultáneas.</x:v>
      </x:c>
      <x:c r="F492" s="43" t="str">
        <x:v>Completado</x:v>
      </x:c>
      <x:c r="G492" s="44" t="n">
        <x:v>46287</x:v>
      </x:c>
      <x:c r="H492" s="44" t="n">
        <x:v>46295</x:v>
      </x:c>
      <x:c r="I492" s="45" t="n">
        <x:f>IF(OR(G492="",H492=""),"",SUMPRODUCT(('Cronograma'!$F$8:$P$8&lt;=H492)*('Cronograma'!$F$9:$P$9&gt;=G492)))</x:f>
        <x:v>1</x:v>
      </x:c>
      <x:c r="J492" s="46"/>
      <x:c r="K492" s="46"/>
      <x:c r="L492" s="47"/>
      <x:c r="M492" s="48" t="str"/>
      <x:c r="N492" s="48" t="str"/>
      <x:c r="O492" s="49" t="n">
        <x:v>46295</x:v>
      </x:c>
      <x:c r="P492" s="43" t="str">
        <x:v>Reporte fechado y código asociado</x:v>
      </x:c>
      <x:c r="Q492" s="43" t="str">
        <x:v>MIS02, MIS03, MIS04</x:v>
      </x:c>
      <x:c r="R492" s="43" t="str"/>
      <x:c r="S492" s="43" t="str"/>
      <x:c r="T492" s="43" t="str">
        <x:v>S026, S085, S089</x:v>
      </x:c>
      <x:c r="U492" s="43" t="str">
        <x:v>docs/deployment-status.md
docs/implementation/missions-redesign-progress.md
tool/check_live_missions_flow.mjs</x:v>
      </x:c>
    </x:row>
    <x:row r="493" ht="44" customHeight="1">
      <x:c r="A493" s="42" t="str">
        <x:v>MIS05.006</x:v>
      </x:c>
      <x:c r="B493" s="42" t="str">
        <x:v>Verificación y despliegue del rediseño de misiones</x:v>
      </x:c>
      <x:c r="C493" s="42" t="str">
        <x:v>MIS05</x:v>
      </x:c>
      <x:c r="D493" s="43" t="str">
        <x:v>Probar privacidad de borradores y finalistas</x:v>
      </x:c>
      <x:c r="E493" s="43" t="str">
        <x:v>Separar datos de organización y contenido público.</x:v>
      </x:c>
      <x:c r="F493" s="43" t="str">
        <x:v>Completado</x:v>
      </x:c>
      <x:c r="G493" s="44" t="n">
        <x:v>46287</x:v>
      </x:c>
      <x:c r="H493" s="44" t="n">
        <x:v>46295</x:v>
      </x:c>
      <x:c r="I493" s="45" t="n">
        <x:f>IF(OR(G493="",H493=""),"",SUMPRODUCT(('Cronograma'!$F$8:$P$8&lt;=H493)*('Cronograma'!$F$9:$P$9&gt;=G493)))</x:f>
        <x:v>1</x:v>
      </x:c>
      <x:c r="J493" s="46"/>
      <x:c r="K493" s="46"/>
      <x:c r="L493" s="47"/>
      <x:c r="M493" s="48" t="str"/>
      <x:c r="N493" s="48" t="str"/>
      <x:c r="O493" s="49" t="n">
        <x:v>46295</x:v>
      </x:c>
      <x:c r="P493" s="43" t="str">
        <x:v>Reporte fechado y código asociado</x:v>
      </x:c>
      <x:c r="Q493" s="43" t="str">
        <x:v>MIS02, MIS03, MIS04</x:v>
      </x:c>
      <x:c r="R493" s="43" t="str"/>
      <x:c r="S493" s="43" t="str"/>
      <x:c r="T493" s="43" t="str">
        <x:v>S026, S085, S089</x:v>
      </x:c>
      <x:c r="U493" s="43" t="str">
        <x:v>docs/deployment-status.md
docs/implementation/missions-redesign-progress.md
tool/check_live_missions_flow.mjs</x:v>
      </x:c>
    </x:row>
    <x:row r="494" ht="44" customHeight="1">
      <x:c r="A494" s="42" t="str">
        <x:v>MIS05.007</x:v>
      </x:c>
      <x:c r="B494" s="42" t="str">
        <x:v>Verificación y despliegue del rediseño de misiones</x:v>
      </x:c>
      <x:c r="C494" s="42" t="str">
        <x:v>MIS05</x:v>
      </x:c>
      <x:c r="D494" s="43" t="str">
        <x:v>Probar bloqueo de compensación y muestras</x:v>
      </x:c>
      <x:c r="E494" s="43" t="str">
        <x:v>Validar propiedad y restricciones de edición.</x:v>
      </x:c>
      <x:c r="F494" s="43" t="str">
        <x:v>Completado</x:v>
      </x:c>
      <x:c r="G494" s="44" t="n">
        <x:v>46287</x:v>
      </x:c>
      <x:c r="H494" s="44" t="n">
        <x:v>46295</x:v>
      </x:c>
      <x:c r="I494" s="45" t="n">
        <x:f>IF(OR(G494="",H494=""),"",SUMPRODUCT(('Cronograma'!$F$8:$P$8&lt;=H494)*('Cronograma'!$F$9:$P$9&gt;=G494)))</x:f>
        <x:v>1</x:v>
      </x:c>
      <x:c r="J494" s="46"/>
      <x:c r="K494" s="46"/>
      <x:c r="L494" s="47"/>
      <x:c r="M494" s="48" t="str"/>
      <x:c r="N494" s="48" t="str"/>
      <x:c r="O494" s="49" t="n">
        <x:v>46295</x:v>
      </x:c>
      <x:c r="P494" s="43" t="str">
        <x:v>Reporte fechado y código asociado</x:v>
      </x:c>
      <x:c r="Q494" s="43" t="str">
        <x:v>MIS02, MIS03, MIS04</x:v>
      </x:c>
      <x:c r="R494" s="43" t="str"/>
      <x:c r="S494" s="43" t="str"/>
      <x:c r="T494" s="43" t="str">
        <x:v>S026, S085, S089</x:v>
      </x:c>
      <x:c r="U494" s="43" t="str">
        <x:v>docs/deployment-status.md
docs/implementation/missions-redesign-progress.md
tool/check_live_missions_flow.mjs</x:v>
      </x:c>
    </x:row>
    <x:row r="495" ht="44" customHeight="1">
      <x:c r="A495" s="42" t="str">
        <x:v>MIS05.008</x:v>
      </x:c>
      <x:c r="B495" s="42" t="str">
        <x:v>Verificación y despliegue del rediseño de misiones</x:v>
      </x:c>
      <x:c r="C495" s="42" t="str">
        <x:v>MIS05</x:v>
      </x:c>
      <x:c r="D495" s="43" t="str">
        <x:v>Probar retirada, repostulación y avisos</x:v>
      </x:c>
      <x:c r="E495" s="43" t="str">
        <x:v>Verificar ciclo entre sesiones.</x:v>
      </x:c>
      <x:c r="F495" s="43" t="str">
        <x:v>Completado</x:v>
      </x:c>
      <x:c r="G495" s="44" t="n">
        <x:v>46287</x:v>
      </x:c>
      <x:c r="H495" s="44" t="n">
        <x:v>46295</x:v>
      </x:c>
      <x:c r="I495" s="45" t="n">
        <x:f>IF(OR(G495="",H495=""),"",SUMPRODUCT(('Cronograma'!$F$8:$P$8&lt;=H495)*('Cronograma'!$F$9:$P$9&gt;=G495)))</x:f>
        <x:v>1</x:v>
      </x:c>
      <x:c r="J495" s="46"/>
      <x:c r="K495" s="46"/>
      <x:c r="L495" s="47"/>
      <x:c r="M495" s="48" t="str"/>
      <x:c r="N495" s="48" t="str"/>
      <x:c r="O495" s="49" t="n">
        <x:v>46295</x:v>
      </x:c>
      <x:c r="P495" s="43" t="str">
        <x:v>Reporte fechado y código asociado</x:v>
      </x:c>
      <x:c r="Q495" s="43" t="str">
        <x:v>MIS02, MIS03, MIS04</x:v>
      </x:c>
      <x:c r="R495" s="43" t="str"/>
      <x:c r="S495" s="43" t="str"/>
      <x:c r="T495" s="43" t="str">
        <x:v>S026, S085, S089</x:v>
      </x:c>
      <x:c r="U495" s="43" t="str">
        <x:v>docs/deployment-status.md
docs/implementation/missions-redesign-progress.md
tool/check_live_missions_flow.mjs</x:v>
      </x:c>
    </x:row>
    <x:row r="496" ht="44" customHeight="1">
      <x:c r="A496" s="42" t="str">
        <x:v>MIS05.009</x:v>
      </x:c>
      <x:c r="B496" s="42" t="str">
        <x:v>Verificación y despliegue del rediseño de misiones</x:v>
      </x:c>
      <x:c r="C496" s="42" t="str">
        <x:v>MIS05</x:v>
      </x:c>
      <x:c r="D496" s="43" t="str">
        <x:v>Registrar validación real de misiones</x:v>
      </x:c>
      <x:c r="E496" s="43" t="str">
        <x:v>Reporte acredita 54 comprobaciones remotas.</x:v>
      </x:c>
      <x:c r="F496" s="43" t="str">
        <x:v>Completado</x:v>
      </x:c>
      <x:c r="G496" s="44" t="n">
        <x:v>46287</x:v>
      </x:c>
      <x:c r="H496" s="44" t="n">
        <x:v>46295</x:v>
      </x:c>
      <x:c r="I496" s="45" t="n">
        <x:f>IF(OR(G496="",H496=""),"",SUMPRODUCT(('Cronograma'!$F$8:$P$8&lt;=H496)*('Cronograma'!$F$9:$P$9&gt;=G496)))</x:f>
        <x:v>1</x:v>
      </x:c>
      <x:c r="J496" s="46"/>
      <x:c r="K496" s="46"/>
      <x:c r="L496" s="47"/>
      <x:c r="M496" s="48" t="str"/>
      <x:c r="N496" s="48" t="str"/>
      <x:c r="O496" s="49" t="n">
        <x:v>46295</x:v>
      </x:c>
      <x:c r="P496" s="43" t="str">
        <x:v>Reporte fechado y código asociado</x:v>
      </x:c>
      <x:c r="Q496" s="43" t="str">
        <x:v>MIS02, MIS03, MIS04</x:v>
      </x:c>
      <x:c r="R496" s="43" t="str"/>
      <x:c r="S496" s="43" t="str"/>
      <x:c r="T496" s="43" t="str">
        <x:v>S026, S085, S089</x:v>
      </x:c>
      <x:c r="U496" s="43" t="str">
        <x:v>docs/deployment-status.md
docs/implementation/missions-redesign-progress.md
tool/check_live_missions_flow.mjs</x:v>
      </x:c>
    </x:row>
    <x:row r="497" ht="44" customHeight="1">
      <x:c r="A497" s="42" t="str">
        <x:v>MIS05.010</x:v>
      </x:c>
      <x:c r="B497" s="42" t="str">
        <x:v>Verificación y despliegue del rediseño de misiones</x:v>
      </x:c>
      <x:c r="C497" s="42" t="str">
        <x:v>MIS05</x:v>
      </x:c>
      <x:c r="D497" s="43" t="str">
        <x:v>Ejecutar regresión social del rediseño</x:v>
      </x:c>
      <x:c r="E497" s="43" t="str">
        <x:v>Reporte acredita otras 21 comprobaciones con Realtime.</x:v>
      </x:c>
      <x:c r="F497" s="43" t="str">
        <x:v>Completado</x:v>
      </x:c>
      <x:c r="G497" s="44" t="n">
        <x:v>46287</x:v>
      </x:c>
      <x:c r="H497" s="44" t="n">
        <x:v>46295</x:v>
      </x:c>
      <x:c r="I497" s="45" t="n">
        <x:f>IF(OR(G497="",H497=""),"",SUMPRODUCT(('Cronograma'!$F$8:$P$8&lt;=H497)*('Cronograma'!$F$9:$P$9&gt;=G497)))</x:f>
        <x:v>1</x:v>
      </x:c>
      <x:c r="J497" s="46"/>
      <x:c r="K497" s="46"/>
      <x:c r="L497" s="47"/>
      <x:c r="M497" s="48" t="str"/>
      <x:c r="N497" s="48" t="str"/>
      <x:c r="O497" s="49" t="n">
        <x:v>46295</x:v>
      </x:c>
      <x:c r="P497" s="43" t="str">
        <x:v>Reporte fechado y código asociado</x:v>
      </x:c>
      <x:c r="Q497" s="43" t="str">
        <x:v>MIS02, MIS03, MIS04</x:v>
      </x:c>
      <x:c r="R497" s="43" t="str"/>
      <x:c r="S497" s="43" t="str"/>
      <x:c r="T497" s="43" t="str">
        <x:v>S026, S085, S089</x:v>
      </x:c>
      <x:c r="U497" s="43" t="str">
        <x:v>docs/deployment-status.md
docs/implementation/missions-redesign-progress.md
tool/check_live_missions_flow.mjs</x:v>
      </x:c>
    </x:row>
    <x:row r="498" ht="44" customHeight="1">
      <x:c r="A498" s="42" t="str">
        <x:v>MIS05.011</x:v>
      </x:c>
      <x:c r="B498" s="42" t="str">
        <x:v>Verificación y despliegue del rediseño de misiones</x:v>
      </x:c>
      <x:c r="C498" s="42" t="str">
        <x:v>MIS05</x:v>
      </x:c>
      <x:c r="D498" s="43" t="str">
        <x:v>Registrar suite integrada de misiones</x:v>
      </x:c>
      <x:c r="E498" s="43" t="str">
        <x:v>Reporte acredita 387 Flutter, 720 SQL aislados y 10 del gate.</x:v>
      </x:c>
      <x:c r="F498" s="43" t="str">
        <x:v>Completado</x:v>
      </x:c>
      <x:c r="G498" s="44" t="n">
        <x:v>46287</x:v>
      </x:c>
      <x:c r="H498" s="44" t="n">
        <x:v>46295</x:v>
      </x:c>
      <x:c r="I498" s="45" t="n">
        <x:f>IF(OR(G498="",H498=""),"",SUMPRODUCT(('Cronograma'!$F$8:$P$8&lt;=H498)*('Cronograma'!$F$9:$P$9&gt;=G498)))</x:f>
        <x:v>1</x:v>
      </x:c>
      <x:c r="J498" s="46"/>
      <x:c r="K498" s="46"/>
      <x:c r="L498" s="47"/>
      <x:c r="M498" s="48" t="str"/>
      <x:c r="N498" s="48" t="str"/>
      <x:c r="O498" s="49" t="n">
        <x:v>46295</x:v>
      </x:c>
      <x:c r="P498" s="43" t="str">
        <x:v>Reporte fechado y código asociado</x:v>
      </x:c>
      <x:c r="Q498" s="43" t="str">
        <x:v>MIS02, MIS03, MIS04</x:v>
      </x:c>
      <x:c r="R498" s="43" t="str"/>
      <x:c r="S498" s="43" t="str"/>
      <x:c r="T498" s="43" t="str">
        <x:v>S026, S085, S089</x:v>
      </x:c>
      <x:c r="U498" s="43" t="str">
        <x:v>docs/deployment-status.md
docs/implementation/missions-redesign-progress.md
tool/check_live_missions_flow.mjs</x:v>
      </x:c>
    </x:row>
    <x:row r="499" ht="44" customHeight="1">
      <x:c r="A499" s="42" t="str">
        <x:v>MIS05.012</x:v>
      </x:c>
      <x:c r="B499" s="42" t="str">
        <x:v>Verificación y despliegue del rediseño de misiones</x:v>
      </x:c>
      <x:c r="C499" s="42" t="str">
        <x:v>MIS05</x:v>
      </x:c>
      <x:c r="D499" s="43" t="str">
        <x:v>Revisar móvil, tablet y escritorio</x:v>
      </x:c>
      <x:c r="E499" s="43" t="str">
        <x:v>Comprobar capturas, texto ampliado y teclado.</x:v>
      </x:c>
      <x:c r="F499" s="43" t="str">
        <x:v>Completado</x:v>
      </x:c>
      <x:c r="G499" s="44" t="n">
        <x:v>46287</x:v>
      </x:c>
      <x:c r="H499" s="44" t="n">
        <x:v>46295</x:v>
      </x:c>
      <x:c r="I499" s="45" t="n">
        <x:f>IF(OR(G499="",H499=""),"",SUMPRODUCT(('Cronograma'!$F$8:$P$8&lt;=H499)*('Cronograma'!$F$9:$P$9&gt;=G499)))</x:f>
        <x:v>1</x:v>
      </x:c>
      <x:c r="J499" s="46"/>
      <x:c r="K499" s="46"/>
      <x:c r="L499" s="47"/>
      <x:c r="M499" s="48" t="str"/>
      <x:c r="N499" s="48" t="str"/>
      <x:c r="O499" s="49" t="n">
        <x:v>46295</x:v>
      </x:c>
      <x:c r="P499" s="43" t="str">
        <x:v>Reporte fechado y código asociado</x:v>
      </x:c>
      <x:c r="Q499" s="43" t="str">
        <x:v>MIS02, MIS03, MIS04</x:v>
      </x:c>
      <x:c r="R499" s="43" t="str"/>
      <x:c r="S499" s="43" t="str"/>
      <x:c r="T499" s="43" t="str">
        <x:v>S026, S085, S089</x:v>
      </x:c>
      <x:c r="U499" s="43" t="str">
        <x:v>docs/deployment-status.md
docs/implementation/missions-redesign-progress.md
tool/check_live_missions_flow.mjs</x:v>
      </x:c>
    </x:row>
    <x:row r="500" ht="44" customHeight="1">
      <x:c r="A500" s="42" t="str">
        <x:v>MIS05.013</x:v>
      </x:c>
      <x:c r="B500" s="42" t="str">
        <x:v>Verificación y despliegue del rediseño de misiones</x:v>
      </x:c>
      <x:c r="C500" s="42" t="str">
        <x:v>MIS05</x:v>
      </x:c>
      <x:c r="D500" s="43" t="str">
        <x:v>Compilar clientes del rediseño</x:v>
      </x:c>
      <x:c r="E500" s="43" t="str">
        <x:v>Registrar Web, APK debug e iOS sin firma correctos.</x:v>
      </x:c>
      <x:c r="F500" s="43" t="str">
        <x:v>Completado</x:v>
      </x:c>
      <x:c r="G500" s="44" t="n">
        <x:v>46287</x:v>
      </x:c>
      <x:c r="H500" s="44" t="n">
        <x:v>46295</x:v>
      </x:c>
      <x:c r="I500" s="45" t="n">
        <x:f>IF(OR(G500="",H500=""),"",SUMPRODUCT(('Cronograma'!$F$8:$P$8&lt;=H500)*('Cronograma'!$F$9:$P$9&gt;=G500)))</x:f>
        <x:v>1</x:v>
      </x:c>
      <x:c r="J500" s="46"/>
      <x:c r="K500" s="46"/>
      <x:c r="L500" s="47"/>
      <x:c r="M500" s="48" t="str"/>
      <x:c r="N500" s="48" t="str"/>
      <x:c r="O500" s="49" t="n">
        <x:v>46295</x:v>
      </x:c>
      <x:c r="P500" s="43" t="str">
        <x:v>Reporte fechado y código asociado</x:v>
      </x:c>
      <x:c r="Q500" s="43" t="str">
        <x:v>MIS02, MIS03, MIS04</x:v>
      </x:c>
      <x:c r="R500" s="43" t="str"/>
      <x:c r="S500" s="43" t="str"/>
      <x:c r="T500" s="43" t="str">
        <x:v>S026, S085, S089</x:v>
      </x:c>
      <x:c r="U500" s="43" t="str">
        <x:v>docs/deployment-status.md
docs/implementation/missions-redesign-progress.md
tool/check_live_missions_flow.mjs</x:v>
      </x:c>
    </x:row>
    <x:row r="501" ht="44" customHeight="1">
      <x:c r="A501" s="42" t="str">
        <x:v>MIS05.014</x:v>
      </x:c>
      <x:c r="B501" s="42" t="str">
        <x:v>Verificación y despliegue del rediseño de misiones</x:v>
      </x:c>
      <x:c r="C501" s="42" t="str">
        <x:v>MIS05</x:v>
      </x:c>
      <x:c r="D501" s="43" t="str">
        <x:v>Limpiar recursos temporales de misiones</x:v>
      </x:c>
      <x:c r="E501" s="43" t="str">
        <x:v>Confirmar cero cuentas de pruebas remotas restantes.</x:v>
      </x:c>
      <x:c r="F501" s="43" t="str">
        <x:v>Completado</x:v>
      </x:c>
      <x:c r="G501" s="44" t="n">
        <x:v>46287</x:v>
      </x:c>
      <x:c r="H501" s="44" t="n">
        <x:v>46295</x:v>
      </x:c>
      <x:c r="I501" s="45" t="n">
        <x:f>IF(OR(G501="",H501=""),"",SUMPRODUCT(('Cronograma'!$F$8:$P$8&lt;=H501)*('Cronograma'!$F$9:$P$9&gt;=G501)))</x:f>
        <x:v>1</x:v>
      </x:c>
      <x:c r="J501" s="46"/>
      <x:c r="K501" s="46"/>
      <x:c r="L501" s="47"/>
      <x:c r="M501" s="48" t="str"/>
      <x:c r="N501" s="48" t="str"/>
      <x:c r="O501" s="49" t="n">
        <x:v>46295</x:v>
      </x:c>
      <x:c r="P501" s="43" t="str">
        <x:v>Reporte fechado y código asociado</x:v>
      </x:c>
      <x:c r="Q501" s="43" t="str">
        <x:v>MIS02, MIS03, MIS04</x:v>
      </x:c>
      <x:c r="R501" s="43" t="str"/>
      <x:c r="S501" s="43" t="str"/>
      <x:c r="T501" s="43" t="str">
        <x:v>S026, S085, S089</x:v>
      </x:c>
      <x:c r="U501" s="43" t="str">
        <x:v>docs/deployment-status.md
docs/implementation/missions-redesign-progress.md
tool/check_live_missions_flow.mjs</x:v>
      </x:c>
    </x:row>
    <x:row r="502" ht="44" customHeight="1">
      <x:c r="A502" s="42" t="str">
        <x:v>MAP01.001</x:v>
      </x:c>
      <x:c r="B502" s="42" t="str">
        <x:v>Mapa de misiones y consulta geográfica</x:v>
      </x:c>
      <x:c r="C502" s="42" t="str">
        <x:v>MAP01</x:v>
      </x:c>
      <x:c r="D502" s="43" t="str">
        <x:v>Crear ruta /map integrada al shell</x:v>
      </x:c>
      <x:c r="E502" s="43" t="str">
        <x:v>Conservar navegación y Crear en móvil.</x:v>
      </x:c>
      <x:c r="F502" s="43" t="str">
        <x:v>Completado</x:v>
      </x:c>
      <x:c r="G502" s="44" t="n">
        <x:v>46287</x:v>
      </x:c>
      <x:c r="H502" s="44" t="n">
        <x:v>46302</x:v>
      </x:c>
      <x:c r="I502" s="45" t="n">
        <x:f>IF(OR(G502="",H502=""),"",SUMPRODUCT(('Cronograma'!$F$8:$P$8&lt;=H502)*('Cronograma'!$F$9:$P$9&gt;=G502)))</x:f>
        <x:v>2</x:v>
      </x:c>
      <x:c r="J502" s="46"/>
      <x:c r="K502" s="46"/>
      <x:c r="L502" s="47"/>
      <x:c r="M502" s="48" t="str"/>
      <x:c r="N502" s="48" t="str"/>
      <x:c r="O502" s="49" t="n">
        <x:v>46297</x:v>
      </x:c>
      <x:c r="P502" s="43" t="str">
        <x:v>Commit de integración y documentos</x:v>
      </x:c>
      <x:c r="Q502" s="43" t="str">
        <x:v>COM02, MIS01, SOC01</x:v>
      </x:c>
      <x:c r="R502" s="43" t="str"/>
      <x:c r="S502" s="43" t="str">
        <x:v>El intervalo E es propuesto. El commit del 2 acredita integración de mapa, no duración real; despliegue posterior se acredita por el historial 001–015 del piloto.</x:v>
      </x:c>
      <x:c r="T502" s="43" t="str">
        <x:v>S007, S090, S091</x:v>
      </x:c>
      <x:c r="U502" s="43" t="str">
        <x:v>docs/map.md
supabase/migrations/012_mission_map.sql
git:ffd8990:lib/features/map/presentation/mission_map_screen.dart</x:v>
      </x:c>
    </x:row>
    <x:row r="503" ht="44" customHeight="1">
      <x:c r="A503" s="42" t="str">
        <x:v>MAP01.002</x:v>
      </x:c>
      <x:c r="B503" s="42" t="str">
        <x:v>Mapa de misiones y consulta geográfica</x:v>
      </x:c>
      <x:c r="C503" s="42" t="str">
        <x:v>MAP01</x:v>
      </x:c>
      <x:c r="D503" s="43" t="str">
        <x:v>Crear lienzo OpenStreetMap</x:v>
      </x:c>
      <x:c r="E503" s="43" t="str">
        <x:v>Ocupar área disponible con atribución visible.</x:v>
      </x:c>
      <x:c r="F503" s="43" t="str">
        <x:v>Completado</x:v>
      </x:c>
      <x:c r="G503" s="44" t="n">
        <x:v>46287</x:v>
      </x:c>
      <x:c r="H503" s="44" t="n">
        <x:v>46302</x:v>
      </x:c>
      <x:c r="I503" s="45" t="n">
        <x:f>IF(OR(G503="",H503=""),"",SUMPRODUCT(('Cronograma'!$F$8:$P$8&lt;=H503)*('Cronograma'!$F$9:$P$9&gt;=G503)))</x:f>
        <x:v>2</x:v>
      </x:c>
      <x:c r="J503" s="46"/>
      <x:c r="K503" s="46"/>
      <x:c r="L503" s="47"/>
      <x:c r="M503" s="48" t="str"/>
      <x:c r="N503" s="48" t="str"/>
      <x:c r="O503" s="49" t="n">
        <x:v>46297</x:v>
      </x:c>
      <x:c r="P503" s="43" t="str">
        <x:v>Commit de integración y documentos</x:v>
      </x:c>
      <x:c r="Q503" s="43" t="str">
        <x:v>COM02, MIS01, SOC01</x:v>
      </x:c>
      <x:c r="R503" s="43" t="str"/>
      <x:c r="S503" s="43" t="str">
        <x:v>El intervalo E es propuesto. El commit del 2 acredita integración de mapa, no duración real; despliegue posterior se acredita por el historial 001–015 del piloto.</x:v>
      </x:c>
      <x:c r="T503" s="43" t="str">
        <x:v>S007, S090, S091</x:v>
      </x:c>
      <x:c r="U503" s="43" t="str">
        <x:v>docs/map.md
supabase/migrations/012_mission_map.sql
git:ffd8990:lib/features/map/presentation/mission_map_screen.dart</x:v>
      </x:c>
    </x:row>
    <x:row r="504" ht="44" customHeight="1">
      <x:c r="A504" s="42" t="str">
        <x:v>MAP01.003</x:v>
      </x:c>
      <x:c r="B504" s="42" t="str">
        <x:v>Mapa de misiones y consulta geográfica</x:v>
      </x:c>
      <x:c r="C504" s="42" t="str">
        <x:v>MAP01</x:v>
      </x:c>
      <x:c r="D504" s="43" t="str">
        <x:v>Configurar proveedor de teselas por defines</x:v>
      </x:c>
      <x:c r="E504" s="43" t="str">
        <x:v>Permitir URL y atribución sin cambiar widgets.</x:v>
      </x:c>
      <x:c r="F504" s="43" t="str">
        <x:v>Completado</x:v>
      </x:c>
      <x:c r="G504" s="44" t="n">
        <x:v>46287</x:v>
      </x:c>
      <x:c r="H504" s="44" t="n">
        <x:v>46302</x:v>
      </x:c>
      <x:c r="I504" s="45" t="n">
        <x:f>IF(OR(G504="",H504=""),"",SUMPRODUCT(('Cronograma'!$F$8:$P$8&lt;=H504)*('Cronograma'!$F$9:$P$9&gt;=G504)))</x:f>
        <x:v>2</x:v>
      </x:c>
      <x:c r="J504" s="46"/>
      <x:c r="K504" s="46"/>
      <x:c r="L504" s="47"/>
      <x:c r="M504" s="48" t="str"/>
      <x:c r="N504" s="48" t="str"/>
      <x:c r="O504" s="49" t="n">
        <x:v>46297</x:v>
      </x:c>
      <x:c r="P504" s="43" t="str">
        <x:v>Commit de integración y documentos</x:v>
      </x:c>
      <x:c r="Q504" s="43" t="str">
        <x:v>COM02, MIS01, SOC01</x:v>
      </x:c>
      <x:c r="R504" s="43" t="str"/>
      <x:c r="S504" s="43" t="str">
        <x:v>El intervalo E es propuesto. El commit del 2 acredita integración de mapa, no duración real; despliegue posterior se acredita por el historial 001–015 del piloto.</x:v>
      </x:c>
      <x:c r="T504" s="43" t="str">
        <x:v>S007, S090, S091</x:v>
      </x:c>
      <x:c r="U504" s="43" t="str">
        <x:v>docs/map.md
supabase/migrations/012_mission_map.sql
git:ffd8990:lib/features/map/presentation/mission_map_screen.dart</x:v>
      </x:c>
    </x:row>
    <x:row r="505" ht="44" customHeight="1">
      <x:c r="A505" s="42" t="str">
        <x:v>MAP01.004</x:v>
      </x:c>
      <x:c r="B505" s="42" t="str">
        <x:v>Mapa de misiones y consulta geográfica</x:v>
      </x:c>
      <x:c r="C505" s="42" t="str">
        <x:v>MAP01</x:v>
      </x:c>
      <x:c r="D505" s="43" t="str">
        <x:v>Extraer DeviceLocationService</x:v>
      </x:c>
      <x:c r="E505" s="43" t="str">
        <x:v>Reutilizar permisos y ubicación del selector existente.</x:v>
      </x:c>
      <x:c r="F505" s="43" t="str">
        <x:v>Completado</x:v>
      </x:c>
      <x:c r="G505" s="44" t="n">
        <x:v>46287</x:v>
      </x:c>
      <x:c r="H505" s="44" t="n">
        <x:v>46302</x:v>
      </x:c>
      <x:c r="I505" s="45" t="n">
        <x:f>IF(OR(G505="",H505=""),"",SUMPRODUCT(('Cronograma'!$F$8:$P$8&lt;=H505)*('Cronograma'!$F$9:$P$9&gt;=G505)))</x:f>
        <x:v>2</x:v>
      </x:c>
      <x:c r="J505" s="46"/>
      <x:c r="K505" s="46"/>
      <x:c r="L505" s="47"/>
      <x:c r="M505" s="48" t="str"/>
      <x:c r="N505" s="48" t="str"/>
      <x:c r="O505" s="49" t="n">
        <x:v>46297</x:v>
      </x:c>
      <x:c r="P505" s="43" t="str">
        <x:v>Commit de integración y documentos</x:v>
      </x:c>
      <x:c r="Q505" s="43" t="str">
        <x:v>COM02, MIS01, SOC01</x:v>
      </x:c>
      <x:c r="R505" s="43" t="str"/>
      <x:c r="S505" s="43" t="str">
        <x:v>El intervalo E es propuesto. El commit del 2 acredita integración de mapa, no duración real; despliegue posterior se acredita por el historial 001–015 del piloto.</x:v>
      </x:c>
      <x:c r="T505" s="43" t="str">
        <x:v>S007, S090, S091</x:v>
      </x:c>
      <x:c r="U505" s="43" t="str">
        <x:v>docs/map.md
supabase/migrations/012_mission_map.sql
git:ffd8990:lib/features/map/presentation/mission_map_screen.dart</x:v>
      </x:c>
    </x:row>
    <x:row r="506" ht="44" customHeight="1">
      <x:c r="A506" s="42" t="str">
        <x:v>MAP01.005</x:v>
      </x:c>
      <x:c r="B506" s="42" t="str">
        <x:v>Mapa de misiones y consulta geográfica</x:v>
      </x:c>
      <x:c r="C506" s="42" t="str">
        <x:v>MAP01</x:v>
      </x:c>
      <x:c r="D506" s="43" t="str">
        <x:v>Consultar posición con permiso ya concedido</x:v>
      </x:c>
      <x:c r="E506" s="43" t="str">
        <x:v>No solicitar permiso automáticamente al abrir mapa.</x:v>
      </x:c>
      <x:c r="F506" s="43" t="str">
        <x:v>Completado</x:v>
      </x:c>
      <x:c r="G506" s="44" t="n">
        <x:v>46287</x:v>
      </x:c>
      <x:c r="H506" s="44" t="n">
        <x:v>46302</x:v>
      </x:c>
      <x:c r="I506" s="45" t="n">
        <x:f>IF(OR(G506="",H506=""),"",SUMPRODUCT(('Cronograma'!$F$8:$P$8&lt;=H506)*('Cronograma'!$F$9:$P$9&gt;=G506)))</x:f>
        <x:v>2</x:v>
      </x:c>
      <x:c r="J506" s="46"/>
      <x:c r="K506" s="46"/>
      <x:c r="L506" s="47"/>
      <x:c r="M506" s="48" t="str"/>
      <x:c r="N506" s="48" t="str"/>
      <x:c r="O506" s="49" t="n">
        <x:v>46297</x:v>
      </x:c>
      <x:c r="P506" s="43" t="str">
        <x:v>Commit de integración y documentos</x:v>
      </x:c>
      <x:c r="Q506" s="43" t="str">
        <x:v>COM02, MIS01, SOC01</x:v>
      </x:c>
      <x:c r="R506" s="43" t="str"/>
      <x:c r="S506" s="43" t="str">
        <x:v>El intervalo E es propuesto. El commit del 2 acredita integración de mapa, no duración real; despliegue posterior se acredita por el historial 001–015 del piloto.</x:v>
      </x:c>
      <x:c r="T506" s="43" t="str">
        <x:v>S007, S090, S091</x:v>
      </x:c>
      <x:c r="U506" s="43" t="str">
        <x:v>docs/map.md
supabase/migrations/012_mission_map.sql
git:ffd8990:lib/features/map/presentation/mission_map_screen.dart</x:v>
      </x:c>
    </x:row>
    <x:row r="507" ht="44" customHeight="1">
      <x:c r="A507" s="42" t="str">
        <x:v>MAP01.006</x:v>
      </x:c>
      <x:c r="B507" s="42" t="str">
        <x:v>Mapa de misiones y consulta geográfica</x:v>
      </x:c>
      <x:c r="C507" s="42" t="str">
        <x:v>MAP01</x:v>
      </x:c>
      <x:c r="D507" s="43" t="str">
        <x:v>Solicitar permiso desde botón de ubicación</x:v>
      </x:c>
      <x:c r="E507" s="43" t="str">
        <x:v>Mantener exploración manual si se rechaza.</x:v>
      </x:c>
      <x:c r="F507" s="43" t="str">
        <x:v>Completado</x:v>
      </x:c>
      <x:c r="G507" s="44" t="n">
        <x:v>46287</x:v>
      </x:c>
      <x:c r="H507" s="44" t="n">
        <x:v>46302</x:v>
      </x:c>
      <x:c r="I507" s="45" t="n">
        <x:f>IF(OR(G507="",H507=""),"",SUMPRODUCT(('Cronograma'!$F$8:$P$8&lt;=H507)*('Cronograma'!$F$9:$P$9&gt;=G507)))</x:f>
        <x:v>2</x:v>
      </x:c>
      <x:c r="J507" s="46"/>
      <x:c r="K507" s="46"/>
      <x:c r="L507" s="47"/>
      <x:c r="M507" s="48" t="str"/>
      <x:c r="N507" s="48" t="str"/>
      <x:c r="O507" s="49" t="n">
        <x:v>46297</x:v>
      </x:c>
      <x:c r="P507" s="43" t="str">
        <x:v>Commit de integración y documentos</x:v>
      </x:c>
      <x:c r="Q507" s="43" t="str">
        <x:v>COM02, MIS01, SOC01</x:v>
      </x:c>
      <x:c r="R507" s="43" t="str"/>
      <x:c r="S507" s="43" t="str">
        <x:v>El intervalo E es propuesto. El commit del 2 acredita integración de mapa, no duración real; despliegue posterior se acredita por el historial 001–015 del piloto.</x:v>
      </x:c>
      <x:c r="T507" s="43" t="str">
        <x:v>S007, S090, S091</x:v>
      </x:c>
      <x:c r="U507" s="43" t="str">
        <x:v>docs/map.md
supabase/migrations/012_mission_map.sql
git:ffd8990:lib/features/map/presentation/mission_map_screen.dart</x:v>
      </x:c>
    </x:row>
    <x:row r="508" ht="44" customHeight="1">
      <x:c r="A508" s="42" t="str">
        <x:v>MAP01.007</x:v>
      </x:c>
      <x:c r="B508" s="42" t="str">
        <x:v>Mapa de misiones y consulta geográfica</x:v>
      </x:c>
      <x:c r="C508" s="42" t="str">
        <x:v>MAP01</x:v>
      </x:c>
      <x:c r="D508" s="43" t="str">
        <x:v>Manejar rechazo permanente o timeout</x:v>
      </x:c>
      <x:c r="E508" s="43" t="str">
        <x:v>Mostrar alternativas sin seguimiento en segundo plano.</x:v>
      </x:c>
      <x:c r="F508" s="43" t="str">
        <x:v>Completado</x:v>
      </x:c>
      <x:c r="G508" s="44" t="n">
        <x:v>46287</x:v>
      </x:c>
      <x:c r="H508" s="44" t="n">
        <x:v>46302</x:v>
      </x:c>
      <x:c r="I508" s="45" t="n">
        <x:f>IF(OR(G508="",H508=""),"",SUMPRODUCT(('Cronograma'!$F$8:$P$8&lt;=H508)*('Cronograma'!$F$9:$P$9&gt;=G508)))</x:f>
        <x:v>2</x:v>
      </x:c>
      <x:c r="J508" s="46"/>
      <x:c r="K508" s="46"/>
      <x:c r="L508" s="47"/>
      <x:c r="M508" s="48" t="str"/>
      <x:c r="N508" s="48" t="str"/>
      <x:c r="O508" s="49" t="n">
        <x:v>46297</x:v>
      </x:c>
      <x:c r="P508" s="43" t="str">
        <x:v>Commit de integración y documentos</x:v>
      </x:c>
      <x:c r="Q508" s="43" t="str">
        <x:v>COM02, MIS01, SOC01</x:v>
      </x:c>
      <x:c r="R508" s="43" t="str"/>
      <x:c r="S508" s="43" t="str">
        <x:v>El intervalo E es propuesto. El commit del 2 acredita integración de mapa, no duración real; despliegue posterior se acredita por el historial 001–015 del piloto.</x:v>
      </x:c>
      <x:c r="T508" s="43" t="str">
        <x:v>S007, S090, S091</x:v>
      </x:c>
      <x:c r="U508" s="43" t="str">
        <x:v>docs/map.md
supabase/migrations/012_mission_map.sql
git:ffd8990:lib/features/map/presentation/mission_map_screen.dart</x:v>
      </x:c>
    </x:row>
    <x:row r="509" ht="44" customHeight="1">
      <x:c r="A509" s="42" t="str">
        <x:v>MAP01.008</x:v>
      </x:c>
      <x:c r="B509" s="42" t="str">
        <x:v>Mapa de misiones y consulta geográfica</x:v>
      </x:c>
      <x:c r="C509" s="42" t="str">
        <x:v>MAP01</x:v>
      </x:c>
      <x:c r="D509" s="43" t="str">
        <x:v>Aplicar centro de respaldo del mapa</x:v>
      </x:c>
      <x:c r="E509" s="43" t="str">
        <x:v>Usar perfil válido o centro CDMX sin fingir GPS actual.</x:v>
      </x:c>
      <x:c r="F509" s="43" t="str">
        <x:v>Completado</x:v>
      </x:c>
      <x:c r="G509" s="44" t="n">
        <x:v>46287</x:v>
      </x:c>
      <x:c r="H509" s="44" t="n">
        <x:v>46302</x:v>
      </x:c>
      <x:c r="I509" s="45" t="n">
        <x:f>IF(OR(G509="",H509=""),"",SUMPRODUCT(('Cronograma'!$F$8:$P$8&lt;=H509)*('Cronograma'!$F$9:$P$9&gt;=G509)))</x:f>
        <x:v>2</x:v>
      </x:c>
      <x:c r="J509" s="46"/>
      <x:c r="K509" s="46"/>
      <x:c r="L509" s="47"/>
      <x:c r="M509" s="48" t="str"/>
      <x:c r="N509" s="48" t="str"/>
      <x:c r="O509" s="49" t="n">
        <x:v>46297</x:v>
      </x:c>
      <x:c r="P509" s="43" t="str">
        <x:v>Commit de integración y documentos</x:v>
      </x:c>
      <x:c r="Q509" s="43" t="str">
        <x:v>COM02, MIS01, SOC01</x:v>
      </x:c>
      <x:c r="R509" s="43" t="str"/>
      <x:c r="S509" s="43" t="str">
        <x:v>El intervalo E es propuesto. El commit del 2 acredita integración de mapa, no duración real; despliegue posterior se acredita por el historial 001–015 del piloto.</x:v>
      </x:c>
      <x:c r="T509" s="43" t="str">
        <x:v>S007, S090, S091</x:v>
      </x:c>
      <x:c r="U509" s="43" t="str">
        <x:v>docs/map.md
supabase/migrations/012_mission_map.sql
git:ffd8990:lib/features/map/presentation/mission_map_screen.dart</x:v>
      </x:c>
    </x:row>
    <x:row r="510" ht="44" customHeight="1">
      <x:c r="A510" s="42" t="str">
        <x:v>MAP01.009</x:v>
      </x:c>
      <x:c r="B510" s="42" t="str">
        <x:v>Mapa de misiones y consulta geográfica</x:v>
      </x:c>
      <x:c r="C510" s="42" t="str">
        <x:v>MAP01</x:v>
      </x:c>
      <x:c r="D510" s="43" t="str">
        <x:v>Cancelar centrado tras interacción manual</x:v>
      </x:c>
      <x:c r="E510" s="43" t="str">
        <x:v>No mover cámara si la persona ya exploró.</x:v>
      </x:c>
      <x:c r="F510" s="43" t="str">
        <x:v>Completado</x:v>
      </x:c>
      <x:c r="G510" s="44" t="n">
        <x:v>46287</x:v>
      </x:c>
      <x:c r="H510" s="44" t="n">
        <x:v>46302</x:v>
      </x:c>
      <x:c r="I510" s="45" t="n">
        <x:f>IF(OR(G510="",H510=""),"",SUMPRODUCT(('Cronograma'!$F$8:$P$8&lt;=H510)*('Cronograma'!$F$9:$P$9&gt;=G510)))</x:f>
        <x:v>2</x:v>
      </x:c>
      <x:c r="J510" s="46"/>
      <x:c r="K510" s="46"/>
      <x:c r="L510" s="47"/>
      <x:c r="M510" s="48" t="str"/>
      <x:c r="N510" s="48" t="str"/>
      <x:c r="O510" s="49" t="n">
        <x:v>46297</x:v>
      </x:c>
      <x:c r="P510" s="43" t="str">
        <x:v>Commit de integración y documentos</x:v>
      </x:c>
      <x:c r="Q510" s="43" t="str">
        <x:v>COM02, MIS01, SOC01</x:v>
      </x:c>
      <x:c r="R510" s="43" t="str"/>
      <x:c r="S510" s="43" t="str">
        <x:v>El intervalo E es propuesto. El commit del 2 acredita integración de mapa, no duración real; despliegue posterior se acredita por el historial 001–015 del piloto.</x:v>
      </x:c>
      <x:c r="T510" s="43" t="str">
        <x:v>S007, S090, S091</x:v>
      </x:c>
      <x:c r="U510" s="43" t="str">
        <x:v>docs/map.md
supabase/migrations/012_mission_map.sql
git:ffd8990:lib/features/map/presentation/mission_map_screen.dart</x:v>
      </x:c>
    </x:row>
    <x:row r="511" ht="44" customHeight="1">
      <x:c r="A511" s="42" t="str">
        <x:v>MAP01.010</x:v>
      </x:c>
      <x:c r="B511" s="42" t="str">
        <x:v>Mapa de misiones y consulta geográfica</x:v>
      </x:c>
      <x:c r="C511" s="42" t="str">
        <x:v>MAP01</x:v>
      </x:c>
      <x:c r="D511" s="43" t="str">
        <x:v>Crear RPC list_map_missions</x:v>
      </x:c>
      <x:c r="E511" s="43" t="str">
        <x:v>Consultar viewport, texto, categoría, fechas y radio.</x:v>
      </x:c>
      <x:c r="F511" s="43" t="str">
        <x:v>Completado</x:v>
      </x:c>
      <x:c r="G511" s="44" t="n">
        <x:v>46287</x:v>
      </x:c>
      <x:c r="H511" s="44" t="n">
        <x:v>46302</x:v>
      </x:c>
      <x:c r="I511" s="45" t="n">
        <x:f>IF(OR(G511="",H511=""),"",SUMPRODUCT(('Cronograma'!$F$8:$P$8&lt;=H511)*('Cronograma'!$F$9:$P$9&gt;=G511)))</x:f>
        <x:v>2</x:v>
      </x:c>
      <x:c r="J511" s="46"/>
      <x:c r="K511" s="46"/>
      <x:c r="L511" s="47"/>
      <x:c r="M511" s="48" t="str"/>
      <x:c r="N511" s="48" t="str"/>
      <x:c r="O511" s="49" t="n">
        <x:v>46297</x:v>
      </x:c>
      <x:c r="P511" s="43" t="str">
        <x:v>Commit de integración y documentos</x:v>
      </x:c>
      <x:c r="Q511" s="43" t="str">
        <x:v>COM02, MIS01, SOC01</x:v>
      </x:c>
      <x:c r="R511" s="43" t="str"/>
      <x:c r="S511" s="43" t="str">
        <x:v>El intervalo E es propuesto. El commit del 2 acredita integración de mapa, no duración real; despliegue posterior se acredita por el historial 001–015 del piloto.</x:v>
      </x:c>
      <x:c r="T511" s="43" t="str">
        <x:v>S007, S090, S091</x:v>
      </x:c>
      <x:c r="U511" s="43" t="str">
        <x:v>docs/map.md
supabase/migrations/012_mission_map.sql
git:ffd8990:lib/features/map/presentation/mission_map_screen.dart</x:v>
      </x:c>
    </x:row>
    <x:row r="512" ht="44" customHeight="1">
      <x:c r="A512" s="42" t="str">
        <x:v>MAP01.011</x:v>
      </x:c>
      <x:c r="B512" s="42" t="str">
        <x:v>Mapa de misiones y consulta geográfica</x:v>
      </x:c>
      <x:c r="C512" s="42" t="str">
        <x:v>MAP01</x:v>
      </x:c>
      <x:c r="D512" s="43" t="str">
        <x:v>Crear índice parcial de misiones ubicadas</x:v>
      </x:c>
      <x:c r="E512" s="43" t="str">
        <x:v>Optimizar conjunto disponible del mapa.</x:v>
      </x:c>
      <x:c r="F512" s="43" t="str">
        <x:v>Completado</x:v>
      </x:c>
      <x:c r="G512" s="44" t="n">
        <x:v>46287</x:v>
      </x:c>
      <x:c r="H512" s="44" t="n">
        <x:v>46302</x:v>
      </x:c>
      <x:c r="I512" s="45" t="n">
        <x:f>IF(OR(G512="",H512=""),"",SUMPRODUCT(('Cronograma'!$F$8:$P$8&lt;=H512)*('Cronograma'!$F$9:$P$9&gt;=G512)))</x:f>
        <x:v>2</x:v>
      </x:c>
      <x:c r="J512" s="46"/>
      <x:c r="K512" s="46"/>
      <x:c r="L512" s="47"/>
      <x:c r="M512" s="48" t="str"/>
      <x:c r="N512" s="48" t="str"/>
      <x:c r="O512" s="49" t="n">
        <x:v>46297</x:v>
      </x:c>
      <x:c r="P512" s="43" t="str">
        <x:v>Commit de integración y documentos</x:v>
      </x:c>
      <x:c r="Q512" s="43" t="str">
        <x:v>COM02, MIS01, SOC01</x:v>
      </x:c>
      <x:c r="R512" s="43" t="str"/>
      <x:c r="S512" s="43" t="str">
        <x:v>El intervalo E es propuesto. El commit del 2 acredita integración de mapa, no duración real; despliegue posterior se acredita por el historial 001–015 del piloto.</x:v>
      </x:c>
      <x:c r="T512" s="43" t="str">
        <x:v>S007, S090, S091</x:v>
      </x:c>
      <x:c r="U512" s="43" t="str">
        <x:v>docs/map.md
supabase/migrations/012_mission_map.sql
git:ffd8990:lib/features/map/presentation/mission_map_screen.dart</x:v>
      </x:c>
    </x:row>
    <x:row r="513" ht="44" customHeight="1">
      <x:c r="A513" s="42" t="str">
        <x:v>MAP01.012</x:v>
      </x:c>
      <x:c r="B513" s="42" t="str">
        <x:v>Mapa de misiones y consulta geográfica</x:v>
      </x:c>
      <x:c r="C513" s="42" t="str">
        <x:v>MAP01</x:v>
      </x:c>
      <x:c r="D513" s="43" t="str">
        <x:v>Filtrar misiones abiertas y futuras</x:v>
      </x:c>
      <x:c r="E513" s="43" t="str">
        <x:v>Excluir ocultas, sin coordenadas o sin cupo.</x:v>
      </x:c>
      <x:c r="F513" s="43" t="str">
        <x:v>Completado</x:v>
      </x:c>
      <x:c r="G513" s="44" t="n">
        <x:v>46287</x:v>
      </x:c>
      <x:c r="H513" s="44" t="n">
        <x:v>46302</x:v>
      </x:c>
      <x:c r="I513" s="45" t="n">
        <x:f>IF(OR(G513="",H513=""),"",SUMPRODUCT(('Cronograma'!$F$8:$P$8&lt;=H513)*('Cronograma'!$F$9:$P$9&gt;=G513)))</x:f>
        <x:v>2</x:v>
      </x:c>
      <x:c r="J513" s="46"/>
      <x:c r="K513" s="46"/>
      <x:c r="L513" s="47"/>
      <x:c r="M513" s="48" t="str"/>
      <x:c r="N513" s="48" t="str"/>
      <x:c r="O513" s="49" t="n">
        <x:v>46297</x:v>
      </x:c>
      <x:c r="P513" s="43" t="str">
        <x:v>Commit de integración y documentos</x:v>
      </x:c>
      <x:c r="Q513" s="43" t="str">
        <x:v>COM02, MIS01, SOC01</x:v>
      </x:c>
      <x:c r="R513" s="43" t="str"/>
      <x:c r="S513" s="43" t="str">
        <x:v>El intervalo E es propuesto. El commit del 2 acredita integración de mapa, no duración real; despliegue posterior se acredita por el historial 001–015 del piloto.</x:v>
      </x:c>
      <x:c r="T513" s="43" t="str">
        <x:v>S007, S090, S091</x:v>
      </x:c>
      <x:c r="U513" s="43" t="str">
        <x:v>docs/map.md
supabase/migrations/012_mission_map.sql
git:ffd8990:lib/features/map/presentation/mission_map_screen.dart</x:v>
      </x:c>
    </x:row>
    <x:row r="514" ht="44" customHeight="1">
      <x:c r="A514" s="42" t="str">
        <x:v>MAP01.013</x:v>
      </x:c>
      <x:c r="B514" s="42" t="str">
        <x:v>Mapa de misiones y consulta geográfica</x:v>
      </x:c>
      <x:c r="C514" s="42" t="str">
        <x:v>MAP01</x:v>
      </x:c>
      <x:c r="D514" s="43" t="str">
        <x:v>Buscar texto dentro del viewport</x:v>
      </x:c>
      <x:c r="E514" s="43" t="str">
        <x:v>Consultar título, lugar, categoría y organizador.</x:v>
      </x:c>
      <x:c r="F514" s="43" t="str">
        <x:v>Completado</x:v>
      </x:c>
      <x:c r="G514" s="44" t="n">
        <x:v>46287</x:v>
      </x:c>
      <x:c r="H514" s="44" t="n">
        <x:v>46302</x:v>
      </x:c>
      <x:c r="I514" s="45" t="n">
        <x:f>IF(OR(G514="",H514=""),"",SUMPRODUCT(('Cronograma'!$F$8:$P$8&lt;=H514)*('Cronograma'!$F$9:$P$9&gt;=G514)))</x:f>
        <x:v>2</x:v>
      </x:c>
      <x:c r="J514" s="46"/>
      <x:c r="K514" s="46"/>
      <x:c r="L514" s="47"/>
      <x:c r="M514" s="48" t="str"/>
      <x:c r="N514" s="48" t="str"/>
      <x:c r="O514" s="49" t="n">
        <x:v>46297</x:v>
      </x:c>
      <x:c r="P514" s="43" t="str">
        <x:v>Commit de integración y documentos</x:v>
      </x:c>
      <x:c r="Q514" s="43" t="str">
        <x:v>COM02, MIS01, SOC01</x:v>
      </x:c>
      <x:c r="R514" s="43" t="str"/>
      <x:c r="S514" s="43" t="str">
        <x:v>El intervalo E es propuesto. El commit del 2 acredita integración de mapa, no duración real; despliegue posterior se acredita por el historial 001–015 del piloto.</x:v>
      </x:c>
      <x:c r="T514" s="43" t="str">
        <x:v>S007, S090, S091</x:v>
      </x:c>
      <x:c r="U514" s="43" t="str">
        <x:v>docs/map.md
supabase/migrations/012_mission_map.sql
git:ffd8990:lib/features/map/presentation/mission_map_screen.dart</x:v>
      </x:c>
    </x:row>
    <x:row r="515" ht="44" customHeight="1">
      <x:c r="A515" s="42" t="str">
        <x:v>MAP01.014</x:v>
      </x:c>
      <x:c r="B515" s="42" t="str">
        <x:v>Mapa de misiones y consulta geográfica</x:v>
      </x:c>
      <x:c r="C515" s="42" t="str">
        <x:v>MAP01</x:v>
      </x:c>
      <x:c r="D515" s="43" t="str">
        <x:v>Crear chips Todo y Hoy</x:v>
      </x:c>
      <x:c r="E515" s="43" t="str">
        <x:v>Compartir estado con los filtros.</x:v>
      </x:c>
      <x:c r="F515" s="43" t="str">
        <x:v>Completado</x:v>
      </x:c>
      <x:c r="G515" s="44" t="n">
        <x:v>46287</x:v>
      </x:c>
      <x:c r="H515" s="44" t="n">
        <x:v>46302</x:v>
      </x:c>
      <x:c r="I515" s="45" t="n">
        <x:f>IF(OR(G515="",H515=""),"",SUMPRODUCT(('Cronograma'!$F$8:$P$8&lt;=H515)*('Cronograma'!$F$9:$P$9&gt;=G515)))</x:f>
        <x:v>2</x:v>
      </x:c>
      <x:c r="J515" s="46"/>
      <x:c r="K515" s="46"/>
      <x:c r="L515" s="47"/>
      <x:c r="M515" s="48" t="str"/>
      <x:c r="N515" s="48" t="str"/>
      <x:c r="O515" s="49" t="n">
        <x:v>46297</x:v>
      </x:c>
      <x:c r="P515" s="43" t="str">
        <x:v>Commit de integración y documentos</x:v>
      </x:c>
      <x:c r="Q515" s="43" t="str">
        <x:v>COM02, MIS01, SOC01</x:v>
      </x:c>
      <x:c r="R515" s="43" t="str"/>
      <x:c r="S515" s="43" t="str">
        <x:v>El intervalo E es propuesto. El commit del 2 acredita integración de mapa, no duración real; despliegue posterior se acredita por el historial 001–015 del piloto.</x:v>
      </x:c>
      <x:c r="T515" s="43" t="str">
        <x:v>S007, S090, S091</x:v>
      </x:c>
      <x:c r="U515" s="43" t="str">
        <x:v>docs/map.md
supabase/migrations/012_mission_map.sql
git:ffd8990:lib/features/map/presentation/mission_map_screen.dart</x:v>
      </x:c>
    </x:row>
    <x:row r="516" ht="44" customHeight="1">
      <x:c r="A516" s="42" t="str">
        <x:v>MAP01.015</x:v>
      </x:c>
      <x:c r="B516" s="42" t="str">
        <x:v>Mapa de misiones y consulta geográfica</x:v>
      </x:c>
      <x:c r="C516" s="42" t="str">
        <x:v>MAP01</x:v>
      </x:c>
      <x:c r="D516" s="43" t="str">
        <x:v>Crear hoja de filtros de mapa</x:v>
      </x:c>
      <x:c r="E516" s="43" t="str">
        <x:v>Configurar categoría, fecha y radio 1/3/5/10 km.</x:v>
      </x:c>
      <x:c r="F516" s="43" t="str">
        <x:v>Completado</x:v>
      </x:c>
      <x:c r="G516" s="44" t="n">
        <x:v>46287</x:v>
      </x:c>
      <x:c r="H516" s="44" t="n">
        <x:v>46302</x:v>
      </x:c>
      <x:c r="I516" s="45" t="n">
        <x:f>IF(OR(G516="",H516=""),"",SUMPRODUCT(('Cronograma'!$F$8:$P$8&lt;=H516)*('Cronograma'!$F$9:$P$9&gt;=G516)))</x:f>
        <x:v>2</x:v>
      </x:c>
      <x:c r="J516" s="46"/>
      <x:c r="K516" s="46"/>
      <x:c r="L516" s="47"/>
      <x:c r="M516" s="48" t="str"/>
      <x:c r="N516" s="48" t="str"/>
      <x:c r="O516" s="49" t="n">
        <x:v>46297</x:v>
      </x:c>
      <x:c r="P516" s="43" t="str">
        <x:v>Commit de integración y documentos</x:v>
      </x:c>
      <x:c r="Q516" s="43" t="str">
        <x:v>COM02, MIS01, SOC01</x:v>
      </x:c>
      <x:c r="R516" s="43" t="str"/>
      <x:c r="S516" s="43" t="str">
        <x:v>El intervalo E es propuesto. El commit del 2 acredita integración de mapa, no duración real; despliegue posterior se acredita por el historial 001–015 del piloto.</x:v>
      </x:c>
      <x:c r="T516" s="43" t="str">
        <x:v>S007, S090, S091</x:v>
      </x:c>
      <x:c r="U516" s="43" t="str">
        <x:v>docs/map.md
supabase/migrations/012_mission_map.sql
git:ffd8990:lib/features/map/presentation/mission_map_screen.dart</x:v>
      </x:c>
    </x:row>
    <x:row r="517" ht="44" customHeight="1">
      <x:c r="A517" s="42" t="str">
        <x:v>MAP01.016</x:v>
      </x:c>
      <x:c r="B517" s="42" t="str">
        <x:v>Mapa de misiones y consulta geográfica</x:v>
      </x:c>
      <x:c r="C517" s="42" t="str">
        <x:v>MAP01</x:v>
      </x:c>
      <x:c r="D517" s="43" t="str">
        <x:v>Limpiar filtros conservando búsqueda</x:v>
      </x:c>
      <x:c r="E517" s="43" t="str">
        <x:v>Restablecer estado sin borrar el texto introducido.</x:v>
      </x:c>
      <x:c r="F517" s="43" t="str">
        <x:v>Completado</x:v>
      </x:c>
      <x:c r="G517" s="44" t="n">
        <x:v>46287</x:v>
      </x:c>
      <x:c r="H517" s="44" t="n">
        <x:v>46302</x:v>
      </x:c>
      <x:c r="I517" s="45" t="n">
        <x:f>IF(OR(G517="",H517=""),"",SUMPRODUCT(('Cronograma'!$F$8:$P$8&lt;=H517)*('Cronograma'!$F$9:$P$9&gt;=G517)))</x:f>
        <x:v>2</x:v>
      </x:c>
      <x:c r="J517" s="46"/>
      <x:c r="K517" s="46"/>
      <x:c r="L517" s="47"/>
      <x:c r="M517" s="48" t="str"/>
      <x:c r="N517" s="48" t="str"/>
      <x:c r="O517" s="49" t="n">
        <x:v>46297</x:v>
      </x:c>
      <x:c r="P517" s="43" t="str">
        <x:v>Commit de integración y documentos</x:v>
      </x:c>
      <x:c r="Q517" s="43" t="str">
        <x:v>COM02, MIS01, SOC01</x:v>
      </x:c>
      <x:c r="R517" s="43" t="str"/>
      <x:c r="S517" s="43" t="str">
        <x:v>El intervalo E es propuesto. El commit del 2 acredita integración de mapa, no duración real; despliegue posterior se acredita por el historial 001–015 del piloto.</x:v>
      </x:c>
      <x:c r="T517" s="43" t="str">
        <x:v>S007, S090, S091</x:v>
      </x:c>
      <x:c r="U517" s="43" t="str">
        <x:v>docs/map.md
supabase/migrations/012_mission_map.sql
git:ffd8990:lib/features/map/presentation/mission_map_screen.dart</x:v>
      </x:c>
    </x:row>
    <x:row r="518" ht="44" customHeight="1">
      <x:c r="A518" s="42" t="str">
        <x:v>MAP01.017</x:v>
      </x:c>
      <x:c r="B518" s="42" t="str">
        <x:v>Mapa de misiones y consulta geográfica</x:v>
      </x:c>
      <x:c r="C518" s="42" t="str">
        <x:v>MAP01</x:v>
      </x:c>
      <x:c r="D518" s="43" t="str">
        <x:v>Convertir límites de fecha a UTC</x:v>
      </x:c>
      <x:c r="E518" s="43" t="str">
        <x:v>Usar días locales y próximos siete días correctamente.</x:v>
      </x:c>
      <x:c r="F518" s="43" t="str">
        <x:v>Completado</x:v>
      </x:c>
      <x:c r="G518" s="44" t="n">
        <x:v>46287</x:v>
      </x:c>
      <x:c r="H518" s="44" t="n">
        <x:v>46302</x:v>
      </x:c>
      <x:c r="I518" s="45" t="n">
        <x:f>IF(OR(G518="",H518=""),"",SUMPRODUCT(('Cronograma'!$F$8:$P$8&lt;=H518)*('Cronograma'!$F$9:$P$9&gt;=G518)))</x:f>
        <x:v>2</x:v>
      </x:c>
      <x:c r="J518" s="46"/>
      <x:c r="K518" s="46"/>
      <x:c r="L518" s="47"/>
      <x:c r="M518" s="48" t="str"/>
      <x:c r="N518" s="48" t="str"/>
      <x:c r="O518" s="49" t="n">
        <x:v>46297</x:v>
      </x:c>
      <x:c r="P518" s="43" t="str">
        <x:v>Commit de integración y documentos</x:v>
      </x:c>
      <x:c r="Q518" s="43" t="str">
        <x:v>COM02, MIS01, SOC01</x:v>
      </x:c>
      <x:c r="R518" s="43" t="str"/>
      <x:c r="S518" s="43" t="str">
        <x:v>El intervalo E es propuesto. El commit del 2 acredita integración de mapa, no duración real; despliegue posterior se acredita por el historial 001–015 del piloto.</x:v>
      </x:c>
      <x:c r="T518" s="43" t="str">
        <x:v>S007, S090, S091</x:v>
      </x:c>
      <x:c r="U518" s="43" t="str">
        <x:v>docs/map.md
supabase/migrations/012_mission_map.sql
git:ffd8990:lib/features/map/presentation/mission_map_screen.dart</x:v>
      </x:c>
    </x:row>
    <x:row r="519" ht="44" customHeight="1">
      <x:c r="A519" s="42" t="str">
        <x:v>MAP01.018</x:v>
      </x:c>
      <x:c r="B519" s="42" t="str">
        <x:v>Mapa de misiones y consulta geográfica</x:v>
      </x:c>
      <x:c r="C519" s="42" t="str">
        <x:v>MAP01</x:v>
      </x:c>
      <x:c r="D519" s="43" t="str">
        <x:v>Crear clusters de puntos reales</x:v>
      </x:c>
      <x:c r="E519" s="43" t="str">
        <x:v>Contar miembros y desplegar posiciones coincidentes.</x:v>
      </x:c>
      <x:c r="F519" s="43" t="str">
        <x:v>Completado</x:v>
      </x:c>
      <x:c r="G519" s="44" t="n">
        <x:v>46287</x:v>
      </x:c>
      <x:c r="H519" s="44" t="n">
        <x:v>46302</x:v>
      </x:c>
      <x:c r="I519" s="45" t="n">
        <x:f>IF(OR(G519="",H519=""),"",SUMPRODUCT(('Cronograma'!$F$8:$P$8&lt;=H519)*('Cronograma'!$F$9:$P$9&gt;=G519)))</x:f>
        <x:v>2</x:v>
      </x:c>
      <x:c r="J519" s="46"/>
      <x:c r="K519" s="46"/>
      <x:c r="L519" s="47"/>
      <x:c r="M519" s="48" t="str"/>
      <x:c r="N519" s="48" t="str"/>
      <x:c r="O519" s="49" t="n">
        <x:v>46297</x:v>
      </x:c>
      <x:c r="P519" s="43" t="str">
        <x:v>Commit de integración y documentos</x:v>
      </x:c>
      <x:c r="Q519" s="43" t="str">
        <x:v>COM02, MIS01, SOC01</x:v>
      </x:c>
      <x:c r="R519" s="43" t="str"/>
      <x:c r="S519" s="43" t="str">
        <x:v>El intervalo E es propuesto. El commit del 2 acredita integración de mapa, no duración real; despliegue posterior se acredita por el historial 001–015 del piloto.</x:v>
      </x:c>
      <x:c r="T519" s="43" t="str">
        <x:v>S007, S090, S091</x:v>
      </x:c>
      <x:c r="U519" s="43" t="str">
        <x:v>docs/map.md
supabase/migrations/012_mission_map.sql
git:ffd8990:lib/features/map/presentation/mission_map_screen.dart</x:v>
      </x:c>
    </x:row>
    <x:row r="520" ht="44" customHeight="1">
      <x:c r="A520" s="42" t="str">
        <x:v>MAP01.019</x:v>
      </x:c>
      <x:c r="B520" s="42" t="str">
        <x:v>Mapa de misiones y consulta geográfica</x:v>
      </x:c>
      <x:c r="C520" s="42" t="str">
        <x:v>MAP01</x:v>
      </x:c>
      <x:c r="D520" s="43" t="str">
        <x:v>Crear preview de misión seleccionada</x:v>
      </x:c>
      <x:c r="E520" s="43" t="str">
        <x:v>Mostrar categoría, título, autor, fecha, lugar y foto.</x:v>
      </x:c>
      <x:c r="F520" s="43" t="str">
        <x:v>Completado</x:v>
      </x:c>
      <x:c r="G520" s="44" t="n">
        <x:v>46287</x:v>
      </x:c>
      <x:c r="H520" s="44" t="n">
        <x:v>46302</x:v>
      </x:c>
      <x:c r="I520" s="45" t="n">
        <x:f>IF(OR(G520="",H520=""),"",SUMPRODUCT(('Cronograma'!$F$8:$P$8&lt;=H520)*('Cronograma'!$F$9:$P$9&gt;=G520)))</x:f>
        <x:v>2</x:v>
      </x:c>
      <x:c r="J520" s="46"/>
      <x:c r="K520" s="46"/>
      <x:c r="L520" s="47"/>
      <x:c r="M520" s="48" t="str"/>
      <x:c r="N520" s="48" t="str"/>
      <x:c r="O520" s="49" t="n">
        <x:v>46297</x:v>
      </x:c>
      <x:c r="P520" s="43" t="str">
        <x:v>Commit de integración y documentos</x:v>
      </x:c>
      <x:c r="Q520" s="43" t="str">
        <x:v>COM02, MIS01, SOC01</x:v>
      </x:c>
      <x:c r="R520" s="43" t="str"/>
      <x:c r="S520" s="43" t="str">
        <x:v>El intervalo E es propuesto. El commit del 2 acredita integración de mapa, no duración real; despliegue posterior se acredita por el historial 001–015 del piloto.</x:v>
      </x:c>
      <x:c r="T520" s="43" t="str">
        <x:v>S007, S090, S091</x:v>
      </x:c>
      <x:c r="U520" s="43" t="str">
        <x:v>docs/map.md
supabase/migrations/012_mission_map.sql
git:ffd8990:lib/features/map/presentation/mission_map_screen.dart</x:v>
      </x:c>
    </x:row>
    <x:row r="521" ht="44" customHeight="1">
      <x:c r="A521" s="42" t="str">
        <x:v>MAP01.020</x:v>
      </x:c>
      <x:c r="B521" s="42" t="str">
        <x:v>Mapa de misiones y consulta geográfica</x:v>
      </x:c>
      <x:c r="C521" s="42" t="str">
        <x:v>MAP01</x:v>
      </x:c>
      <x:c r="D521" s="43" t="str">
        <x:v>Mostrar distancia solo con ubicación real</x:v>
      </x:c>
      <x:c r="E521" s="43" t="str">
        <x:v>Presentar aproximación sin tiempo de ruta inventado.</x:v>
      </x:c>
      <x:c r="F521" s="43" t="str">
        <x:v>Completado</x:v>
      </x:c>
      <x:c r="G521" s="44" t="n">
        <x:v>46287</x:v>
      </x:c>
      <x:c r="H521" s="44" t="n">
        <x:v>46302</x:v>
      </x:c>
      <x:c r="I521" s="45" t="n">
        <x:f>IF(OR(G521="",H521=""),"",SUMPRODUCT(('Cronograma'!$F$8:$P$8&lt;=H521)*('Cronograma'!$F$9:$P$9&gt;=G521)))</x:f>
        <x:v>2</x:v>
      </x:c>
      <x:c r="J521" s="46"/>
      <x:c r="K521" s="46"/>
      <x:c r="L521" s="47"/>
      <x:c r="M521" s="48" t="str"/>
      <x:c r="N521" s="48" t="str"/>
      <x:c r="O521" s="49" t="n">
        <x:v>46297</x:v>
      </x:c>
      <x:c r="P521" s="43" t="str">
        <x:v>Commit de integración y documentos</x:v>
      </x:c>
      <x:c r="Q521" s="43" t="str">
        <x:v>COM02, MIS01, SOC01</x:v>
      </x:c>
      <x:c r="R521" s="43" t="str"/>
      <x:c r="S521" s="43" t="str">
        <x:v>El intervalo E es propuesto. El commit del 2 acredita integración de mapa, no duración real; despliegue posterior se acredita por el historial 001–015 del piloto.</x:v>
      </x:c>
      <x:c r="T521" s="43" t="str">
        <x:v>S007, S090, S091</x:v>
      </x:c>
      <x:c r="U521" s="43" t="str">
        <x:v>docs/map.md
supabase/migrations/012_mission_map.sql
git:ffd8990:lib/features/map/presentation/mission_map_screen.dart</x:v>
      </x:c>
    </x:row>
    <x:row r="522" ht="44" customHeight="1">
      <x:c r="A522" s="42" t="str">
        <x:v>MAP01.021</x:v>
      </x:c>
      <x:c r="B522" s="42" t="str">
        <x:v>Mapa de misiones y consulta geográfica</x:v>
      </x:c>
      <x:c r="C522" s="42" t="str">
        <x:v>MAP01</x:v>
      </x:c>
      <x:c r="D522" s="43" t="str">
        <x:v>Cerrar preview con mapa o deslizamiento</x:v>
      </x:c>
      <x:c r="E522" s="43" t="str">
        <x:v>Mantener salidas explícitas de la tarjeta.</x:v>
      </x:c>
      <x:c r="F522" s="43" t="str">
        <x:v>Completado</x:v>
      </x:c>
      <x:c r="G522" s="44" t="n">
        <x:v>46287</x:v>
      </x:c>
      <x:c r="H522" s="44" t="n">
        <x:v>46302</x:v>
      </x:c>
      <x:c r="I522" s="45" t="n">
        <x:f>IF(OR(G522="",H522=""),"",SUMPRODUCT(('Cronograma'!$F$8:$P$8&lt;=H522)*('Cronograma'!$F$9:$P$9&gt;=G522)))</x:f>
        <x:v>2</x:v>
      </x:c>
      <x:c r="J522" s="46"/>
      <x:c r="K522" s="46"/>
      <x:c r="L522" s="47"/>
      <x:c r="M522" s="48" t="str"/>
      <x:c r="N522" s="48" t="str"/>
      <x:c r="O522" s="49" t="n">
        <x:v>46297</x:v>
      </x:c>
      <x:c r="P522" s="43" t="str">
        <x:v>Commit de integración y documentos</x:v>
      </x:c>
      <x:c r="Q522" s="43" t="str">
        <x:v>COM02, MIS01, SOC01</x:v>
      </x:c>
      <x:c r="R522" s="43" t="str"/>
      <x:c r="S522" s="43" t="str">
        <x:v>El intervalo E es propuesto. El commit del 2 acredita integración de mapa, no duración real; despliegue posterior se acredita por el historial 001–015 del piloto.</x:v>
      </x:c>
      <x:c r="T522" s="43" t="str">
        <x:v>S007, S090, S091</x:v>
      </x:c>
      <x:c r="U522" s="43" t="str">
        <x:v>docs/map.md
supabase/migrations/012_mission_map.sql
git:ffd8990:lib/features/map/presentation/mission_map_screen.dart</x:v>
      </x:c>
    </x:row>
    <x:row r="523" ht="44" customHeight="1">
      <x:c r="A523" s="42" t="str">
        <x:v>MAP01.022</x:v>
      </x:c>
      <x:c r="B523" s="42" t="str">
        <x:v>Mapa de misiones y consulta geográfica</x:v>
      </x:c>
      <x:c r="C523" s="42" t="str">
        <x:v>MAP01</x:v>
      </x:c>
      <x:c r="D523" s="43" t="str">
        <x:v>Conservar cámara y filtros al volver</x:v>
      </x:c>
      <x:c r="E523" s="43" t="str">
        <x:v>Actualizar disponibilidad tras visitar detalle.</x:v>
      </x:c>
      <x:c r="F523" s="43" t="str">
        <x:v>Completado</x:v>
      </x:c>
      <x:c r="G523" s="44" t="n">
        <x:v>46287</x:v>
      </x:c>
      <x:c r="H523" s="44" t="n">
        <x:v>46302</x:v>
      </x:c>
      <x:c r="I523" s="45" t="n">
        <x:f>IF(OR(G523="",H523=""),"",SUMPRODUCT(('Cronograma'!$F$8:$P$8&lt;=H523)*('Cronograma'!$F$9:$P$9&gt;=G523)))</x:f>
        <x:v>2</x:v>
      </x:c>
      <x:c r="J523" s="46"/>
      <x:c r="K523" s="46"/>
      <x:c r="L523" s="47"/>
      <x:c r="M523" s="48" t="str"/>
      <x:c r="N523" s="48" t="str"/>
      <x:c r="O523" s="49" t="n">
        <x:v>46297</x:v>
      </x:c>
      <x:c r="P523" s="43" t="str">
        <x:v>Commit de integración y documentos</x:v>
      </x:c>
      <x:c r="Q523" s="43" t="str">
        <x:v>COM02, MIS01, SOC01</x:v>
      </x:c>
      <x:c r="R523" s="43" t="str"/>
      <x:c r="S523" s="43" t="str">
        <x:v>El intervalo E es propuesto. El commit del 2 acredita integración de mapa, no duración real; despliegue posterior se acredita por el historial 001–015 del piloto.</x:v>
      </x:c>
      <x:c r="T523" s="43" t="str">
        <x:v>S007, S090, S091</x:v>
      </x:c>
      <x:c r="U523" s="43" t="str">
        <x:v>docs/map.md
supabase/migrations/012_mission_map.sql
git:ffd8990:lib/features/map/presentation/mission_map_screen.dart</x:v>
      </x:c>
    </x:row>
    <x:row r="524" ht="44" customHeight="1">
      <x:c r="A524" s="42" t="str">
        <x:v>MAP01.023</x:v>
      </x:c>
      <x:c r="B524" s="42" t="str">
        <x:v>Mapa de misiones y consulta geográfica</x:v>
      </x:c>
      <x:c r="C524" s="42" t="str">
        <x:v>MAP01</x:v>
      </x:c>
      <x:c r="D524" s="43" t="str">
        <x:v>Crear acción Buscar en esta zona</x:v>
      </x:c>
      <x:c r="E524" s="43" t="str">
        <x:v>Mostrarla tras cambio relevante sin consultar en cada gesto.</x:v>
      </x:c>
      <x:c r="F524" s="43" t="str">
        <x:v>Completado</x:v>
      </x:c>
      <x:c r="G524" s="44" t="n">
        <x:v>46287</x:v>
      </x:c>
      <x:c r="H524" s="44" t="n">
        <x:v>46302</x:v>
      </x:c>
      <x:c r="I524" s="45" t="n">
        <x:f>IF(OR(G524="",H524=""),"",SUMPRODUCT(('Cronograma'!$F$8:$P$8&lt;=H524)*('Cronograma'!$F$9:$P$9&gt;=G524)))</x:f>
        <x:v>2</x:v>
      </x:c>
      <x:c r="J524" s="46"/>
      <x:c r="K524" s="46"/>
      <x:c r="L524" s="47"/>
      <x:c r="M524" s="48" t="str"/>
      <x:c r="N524" s="48" t="str"/>
      <x:c r="O524" s="49" t="n">
        <x:v>46297</x:v>
      </x:c>
      <x:c r="P524" s="43" t="str">
        <x:v>Commit de integración y documentos</x:v>
      </x:c>
      <x:c r="Q524" s="43" t="str">
        <x:v>COM02, MIS01, SOC01</x:v>
      </x:c>
      <x:c r="R524" s="43" t="str"/>
      <x:c r="S524" s="43" t="str">
        <x:v>El intervalo E es propuesto. El commit del 2 acredita integración de mapa, no duración real; despliegue posterior se acredita por el historial 001–015 del piloto.</x:v>
      </x:c>
      <x:c r="T524" s="43" t="str">
        <x:v>S007, S090, S091</x:v>
      </x:c>
      <x:c r="U524" s="43" t="str">
        <x:v>docs/map.md
supabase/migrations/012_mission_map.sql
git:ffd8990:lib/features/map/presentation/mission_map_screen.dart</x:v>
      </x:c>
    </x:row>
    <x:row r="525" ht="44" customHeight="1">
      <x:c r="A525" s="42" t="str">
        <x:v>MAP01.024</x:v>
      </x:c>
      <x:c r="B525" s="42" t="str">
        <x:v>Mapa de misiones y consulta geográfica</x:v>
      </x:c>
      <x:c r="C525" s="42" t="str">
        <x:v>MAP01</x:v>
      </x:c>
      <x:c r="D525" s="43" t="str">
        <x:v>Descartar respuestas antiguas de mapa</x:v>
      </x:c>
      <x:c r="E525" s="43" t="str">
        <x:v>Proteger resultados frente a consultas obsoletas.</x:v>
      </x:c>
      <x:c r="F525" s="43" t="str">
        <x:v>Completado</x:v>
      </x:c>
      <x:c r="G525" s="44" t="n">
        <x:v>46287</x:v>
      </x:c>
      <x:c r="H525" s="44" t="n">
        <x:v>46302</x:v>
      </x:c>
      <x:c r="I525" s="45" t="n">
        <x:f>IF(OR(G525="",H525=""),"",SUMPRODUCT(('Cronograma'!$F$8:$P$8&lt;=H525)*('Cronograma'!$F$9:$P$9&gt;=G525)))</x:f>
        <x:v>2</x:v>
      </x:c>
      <x:c r="J525" s="46"/>
      <x:c r="K525" s="46"/>
      <x:c r="L525" s="47"/>
      <x:c r="M525" s="48" t="str"/>
      <x:c r="N525" s="48" t="str"/>
      <x:c r="O525" s="49" t="n">
        <x:v>46297</x:v>
      </x:c>
      <x:c r="P525" s="43" t="str">
        <x:v>Commit de integración y documentos</x:v>
      </x:c>
      <x:c r="Q525" s="43" t="str">
        <x:v>COM02, MIS01, SOC01</x:v>
      </x:c>
      <x:c r="R525" s="43" t="str"/>
      <x:c r="S525" s="43" t="str">
        <x:v>El intervalo E es propuesto. El commit del 2 acredita integración de mapa, no duración real; despliegue posterior se acredita por el historial 001–015 del piloto.</x:v>
      </x:c>
      <x:c r="T525" s="43" t="str">
        <x:v>S007, S090, S091</x:v>
      </x:c>
      <x:c r="U525" s="43" t="str">
        <x:v>docs/map.md
supabase/migrations/012_mission_map.sql
git:ffd8990:lib/features/map/presentation/mission_map_screen.dart</x:v>
      </x:c>
    </x:row>
    <x:row r="526" ht="44" customHeight="1">
      <x:c r="A526" s="42" t="str">
        <x:v>MAP01.025</x:v>
      </x:c>
      <x:c r="B526" s="42" t="str">
        <x:v>Mapa de misiones y consulta geográfica</x:v>
      </x:c>
      <x:c r="C526" s="42" t="str">
        <x:v>MAP01</x:v>
      </x:c>
      <x:c r="D526" s="43" t="str">
        <x:v>Conservar resultados ante error</x:v>
      </x:c>
      <x:c r="E526" s="43" t="str">
        <x:v>Ofrecer reintento sin vaciar contenido válido.</x:v>
      </x:c>
      <x:c r="F526" s="43" t="str">
        <x:v>Completado</x:v>
      </x:c>
      <x:c r="G526" s="44" t="n">
        <x:v>46287</x:v>
      </x:c>
      <x:c r="H526" s="44" t="n">
        <x:v>46302</x:v>
      </x:c>
      <x:c r="I526" s="45" t="n">
        <x:f>IF(OR(G526="",H526=""),"",SUMPRODUCT(('Cronograma'!$F$8:$P$8&lt;=H526)*('Cronograma'!$F$9:$P$9&gt;=G526)))</x:f>
        <x:v>2</x:v>
      </x:c>
      <x:c r="J526" s="46"/>
      <x:c r="K526" s="46"/>
      <x:c r="L526" s="47"/>
      <x:c r="M526" s="48" t="str"/>
      <x:c r="N526" s="48" t="str"/>
      <x:c r="O526" s="49" t="n">
        <x:v>46297</x:v>
      </x:c>
      <x:c r="P526" s="43" t="str">
        <x:v>Commit de integración y documentos</x:v>
      </x:c>
      <x:c r="Q526" s="43" t="str">
        <x:v>COM02, MIS01, SOC01</x:v>
      </x:c>
      <x:c r="R526" s="43" t="str"/>
      <x:c r="S526" s="43" t="str">
        <x:v>El intervalo E es propuesto. El commit del 2 acredita integración de mapa, no duración real; despliegue posterior se acredita por el historial 001–015 del piloto.</x:v>
      </x:c>
      <x:c r="T526" s="43" t="str">
        <x:v>S007, S090, S091</x:v>
      </x:c>
      <x:c r="U526" s="43" t="str">
        <x:v>docs/map.md
supabase/migrations/012_mission_map.sql
git:ffd8990:lib/features/map/presentation/mission_map_screen.dart</x:v>
      </x:c>
    </x:row>
    <x:row r="527" ht="44" customHeight="1">
      <x:c r="A527" s="42" t="str">
        <x:v>MAP01.026</x:v>
      </x:c>
      <x:c r="B527" s="42" t="str">
        <x:v>Mapa de misiones y consulta geográfica</x:v>
      </x:c>
      <x:c r="C527" s="42" t="str">
        <x:v>MAP01</x:v>
      </x:c>
      <x:c r="D527" s="43" t="str">
        <x:v>Manejar límite de 300 misiones</x:v>
      </x:c>
      <x:c r="E527" s="43" t="str">
        <x:v>Mostrar recorte y pedir acercamiento de zona.</x:v>
      </x:c>
      <x:c r="F527" s="43" t="str">
        <x:v>Completado</x:v>
      </x:c>
      <x:c r="G527" s="44" t="n">
        <x:v>46287</x:v>
      </x:c>
      <x:c r="H527" s="44" t="n">
        <x:v>46302</x:v>
      </x:c>
      <x:c r="I527" s="45" t="n">
        <x:f>IF(OR(G527="",H527=""),"",SUMPRODUCT(('Cronograma'!$F$8:$P$8&lt;=H527)*('Cronograma'!$F$9:$P$9&gt;=G527)))</x:f>
        <x:v>2</x:v>
      </x:c>
      <x:c r="J527" s="46"/>
      <x:c r="K527" s="46"/>
      <x:c r="L527" s="47"/>
      <x:c r="M527" s="48" t="str"/>
      <x:c r="N527" s="48" t="str"/>
      <x:c r="O527" s="49" t="n">
        <x:v>46297</x:v>
      </x:c>
      <x:c r="P527" s="43" t="str">
        <x:v>Commit de integración y documentos</x:v>
      </x:c>
      <x:c r="Q527" s="43" t="str">
        <x:v>COM02, MIS01, SOC01</x:v>
      </x:c>
      <x:c r="R527" s="43" t="str"/>
      <x:c r="S527" s="43" t="str">
        <x:v>El intervalo E es propuesto. El commit del 2 acredita integración de mapa, no duración real; despliegue posterior se acredita por el historial 001–015 del piloto.</x:v>
      </x:c>
      <x:c r="T527" s="43" t="str">
        <x:v>S007, S090, S091</x:v>
      </x:c>
      <x:c r="U527" s="43" t="str">
        <x:v>docs/map.md
supabase/migrations/012_mission_map.sql
git:ffd8990:lib/features/map/presentation/mission_map_screen.dart</x:v>
      </x:c>
    </x:row>
    <x:row r="528" ht="44" customHeight="1">
      <x:c r="A528" s="42" t="str">
        <x:v>MAP01.027</x:v>
      </x:c>
      <x:c r="B528" s="42" t="str">
        <x:v>Mapa de misiones y consulta geográfica</x:v>
      </x:c>
      <x:c r="C528" s="42" t="str">
        <x:v>MAP01</x:v>
      </x:c>
      <x:c r="D528" s="43" t="str">
        <x:v>Aceptar viewport sobre antimeridiano</x:v>
      </x:c>
      <x:c r="E528" s="43" t="str">
        <x:v>Tratar límites oeste mayores que este.</x:v>
      </x:c>
      <x:c r="F528" s="43" t="str">
        <x:v>Completado</x:v>
      </x:c>
      <x:c r="G528" s="44" t="n">
        <x:v>46287</x:v>
      </x:c>
      <x:c r="H528" s="44" t="n">
        <x:v>46302</x:v>
      </x:c>
      <x:c r="I528" s="45" t="n">
        <x:f>IF(OR(G528="",H528=""),"",SUMPRODUCT(('Cronograma'!$F$8:$P$8&lt;=H528)*('Cronograma'!$F$9:$P$9&gt;=G528)))</x:f>
        <x:v>2</x:v>
      </x:c>
      <x:c r="J528" s="46"/>
      <x:c r="K528" s="46"/>
      <x:c r="L528" s="47"/>
      <x:c r="M528" s="48" t="str"/>
      <x:c r="N528" s="48" t="str"/>
      <x:c r="O528" s="49" t="n">
        <x:v>46297</x:v>
      </x:c>
      <x:c r="P528" s="43" t="str">
        <x:v>Commit de integración y documentos</x:v>
      </x:c>
      <x:c r="Q528" s="43" t="str">
        <x:v>COM02, MIS01, SOC01</x:v>
      </x:c>
      <x:c r="R528" s="43" t="str"/>
      <x:c r="S528" s="43" t="str">
        <x:v>El intervalo E es propuesto. El commit del 2 acredita integración de mapa, no duración real; despliegue posterior se acredita por el historial 001–015 del piloto.</x:v>
      </x:c>
      <x:c r="T528" s="43" t="str">
        <x:v>S007, S090, S091</x:v>
      </x:c>
      <x:c r="U528" s="43" t="str">
        <x:v>docs/map.md
supabase/migrations/012_mission_map.sql
git:ffd8990:lib/features/map/presentation/mission_map_screen.dart</x:v>
      </x:c>
    </x:row>
    <x:row r="529" ht="44" customHeight="1">
      <x:c r="A529" s="42" t="str">
        <x:v>MAP01.028</x:v>
      </x:c>
      <x:c r="B529" s="42" t="str">
        <x:v>Mapa de misiones y consulta geográfica</x:v>
      </x:c>
      <x:c r="C529" s="42" t="str">
        <x:v>MAP01</x:v>
      </x:c>
      <x:c r="D529" s="43" t="str">
        <x:v>Proteger RPC de consulta anónima</x:v>
      </x:c>
      <x:c r="E529" s="43" t="str">
        <x:v>Exigir cuenta activa y campos públicos autorizados.</x:v>
      </x:c>
      <x:c r="F529" s="43" t="str">
        <x:v>Completado</x:v>
      </x:c>
      <x:c r="G529" s="44" t="n">
        <x:v>46287</x:v>
      </x:c>
      <x:c r="H529" s="44" t="n">
        <x:v>46302</x:v>
      </x:c>
      <x:c r="I529" s="45" t="n">
        <x:f>IF(OR(G529="",H529=""),"",SUMPRODUCT(('Cronograma'!$F$8:$P$8&lt;=H529)*('Cronograma'!$F$9:$P$9&gt;=G529)))</x:f>
        <x:v>2</x:v>
      </x:c>
      <x:c r="J529" s="46"/>
      <x:c r="K529" s="46"/>
      <x:c r="L529" s="47"/>
      <x:c r="M529" s="48" t="str"/>
      <x:c r="N529" s="48" t="str"/>
      <x:c r="O529" s="49" t="n">
        <x:v>46297</x:v>
      </x:c>
      <x:c r="P529" s="43" t="str">
        <x:v>Commit de integración y documentos</x:v>
      </x:c>
      <x:c r="Q529" s="43" t="str">
        <x:v>COM02, MIS01, SOC01</x:v>
      </x:c>
      <x:c r="R529" s="43" t="str"/>
      <x:c r="S529" s="43" t="str">
        <x:v>El intervalo E es propuesto. El commit del 2 acredita integración de mapa, no duración real; despliegue posterior se acredita por el historial 001–015 del piloto.</x:v>
      </x:c>
      <x:c r="T529" s="43" t="str">
        <x:v>S007, S090, S091</x:v>
      </x:c>
      <x:c r="U529" s="43" t="str">
        <x:v>docs/map.md
supabase/migrations/012_mission_map.sql
git:ffd8990:lib/features/map/presentation/mission_map_screen.dart</x:v>
      </x:c>
    </x:row>
    <x:row r="530" ht="44" customHeight="1">
      <x:c r="A530" s="42" t="str">
        <x:v>MAP01.029</x:v>
      </x:c>
      <x:c r="B530" s="42" t="str">
        <x:v>Mapa de misiones y consulta geográfica</x:v>
      </x:c>
      <x:c r="C530" s="42" t="str">
        <x:v>MAP01</x:v>
      </x:c>
      <x:c r="D530" s="43" t="str">
        <x:v>Crear pruebas y arnés de mapa</x:v>
      </x:c>
      <x:c r="E530" s="43" t="str">
        <x:v>Cubrir UI, ubicación, repositorio y consulta SQL.</x:v>
      </x:c>
      <x:c r="F530" s="43" t="str">
        <x:v>Completado</x:v>
      </x:c>
      <x:c r="G530" s="44" t="n">
        <x:v>46287</x:v>
      </x:c>
      <x:c r="H530" s="44" t="n">
        <x:v>46302</x:v>
      </x:c>
      <x:c r="I530" s="45" t="n">
        <x:f>IF(OR(G530="",H530=""),"",SUMPRODUCT(('Cronograma'!$F$8:$P$8&lt;=H530)*('Cronograma'!$F$9:$P$9&gt;=G530)))</x:f>
        <x:v>2</x:v>
      </x:c>
      <x:c r="J530" s="46"/>
      <x:c r="K530" s="46"/>
      <x:c r="L530" s="47"/>
      <x:c r="M530" s="48" t="str"/>
      <x:c r="N530" s="48" t="str"/>
      <x:c r="O530" s="49" t="n">
        <x:v>46297</x:v>
      </x:c>
      <x:c r="P530" s="43" t="str">
        <x:v>Commit de integración y documentos</x:v>
      </x:c>
      <x:c r="Q530" s="43" t="str">
        <x:v>COM02, MIS01, SOC01</x:v>
      </x:c>
      <x:c r="R530" s="43" t="str"/>
      <x:c r="S530" s="43" t="str">
        <x:v>El intervalo E es propuesto. El commit del 2 acredita integración de mapa, no duración real; despliegue posterior se acredita por el historial 001–015 del piloto.</x:v>
      </x:c>
      <x:c r="T530" s="43" t="str">
        <x:v>S007, S090, S091</x:v>
      </x:c>
      <x:c r="U530" s="43" t="str">
        <x:v>docs/map.md
supabase/migrations/012_mission_map.sql
git:ffd8990:lib/features/map/presentation/mission_map_screen.dart</x:v>
      </x:c>
    </x:row>
    <x:row r="531" ht="44" customHeight="1">
      <x:c r="A531" s="42" t="str">
        <x:v>MAR01.001</x:v>
      </x:c>
      <x:c r="B531" s="42" t="str">
        <x:v>Iconos y recursos de identidad de la aplicación</x:v>
      </x:c>
      <x:c r="C531" s="42" t="str">
        <x:v>MAR01</x:v>
      </x:c>
      <x:c r="D531" s="43" t="str">
        <x:v>Preparar imagen de icono de aplicación</x:v>
      </x:c>
      <x:c r="E531" s="43" t="str">
        <x:v>Agregar marea_app como recurso de marca.</x:v>
      </x:c>
      <x:c r="F531" s="43" t="str">
        <x:v>Completado</x:v>
      </x:c>
      <x:c r="G531" s="44" t="n">
        <x:v>46296</x:v>
      </x:c>
      <x:c r="H531" s="44" t="n">
        <x:v>46302</x:v>
      </x:c>
      <x:c r="I531" s="45" t="n">
        <x:f>IF(OR(G531="",H531=""),"",SUMPRODUCT(('Cronograma'!$F$8:$P$8&lt;=H531)*('Cronograma'!$F$9:$P$9&gt;=G531)))</x:f>
        <x:v>1</x:v>
      </x:c>
      <x:c r="J531" s="46"/>
      <x:c r="K531" s="46"/>
      <x:c r="L531" s="47"/>
      <x:c r="M531" s="48" t="str"/>
      <x:c r="N531" s="48" t="str"/>
      <x:c r="O531" s="49" t="n">
        <x:v>46297</x:v>
      </x:c>
      <x:c r="P531" s="43" t="str">
        <x:v>Commit de integración y documentos</x:v>
      </x:c>
      <x:c r="Q531" s="43" t="str">
        <x:v>DIS02</x:v>
      </x:c>
      <x:c r="R531" s="43" t="str"/>
      <x:c r="S531" s="43" t="str"/>
      <x:c r="T531" s="43" t="str">
        <x:v>S092, S093, S094</x:v>
      </x:c>
      <x:c r="U531" s="43" t="str">
        <x:v>git:ffd8990:assets/brand/marea_app.png
git:ffd8990:android/app/src/main/res/mipmap-hdpi/ic_launcher.png
git:ffd8990:ios/Runner/Assets.xcassets/AppIcon.appiconset/Contents.json</x:v>
      </x:c>
    </x:row>
    <x:row r="532" ht="44" customHeight="1">
      <x:c r="A532" s="42" t="str">
        <x:v>MAR01.002</x:v>
      </x:c>
      <x:c r="B532" s="42" t="str">
        <x:v>Iconos y recursos de identidad de la aplicación</x:v>
      </x:c>
      <x:c r="C532" s="42" t="str">
        <x:v>MAR01</x:v>
      </x:c>
      <x:c r="D532" s="43" t="str">
        <x:v>Generar iconos Android por densidad</x:v>
      </x:c>
      <x:c r="E532" s="43" t="str">
        <x:v>Actualizar hdpi, mdpi, xhdpi, xxhdpi y xxxhdpi.</x:v>
      </x:c>
      <x:c r="F532" s="43" t="str">
        <x:v>Completado</x:v>
      </x:c>
      <x:c r="G532" s="44" t="n">
        <x:v>46296</x:v>
      </x:c>
      <x:c r="H532" s="44" t="n">
        <x:v>46302</x:v>
      </x:c>
      <x:c r="I532" s="45" t="n">
        <x:f>IF(OR(G532="",H532=""),"",SUMPRODUCT(('Cronograma'!$F$8:$P$8&lt;=H532)*('Cronograma'!$F$9:$P$9&gt;=G532)))</x:f>
        <x:v>1</x:v>
      </x:c>
      <x:c r="J532" s="46"/>
      <x:c r="K532" s="46"/>
      <x:c r="L532" s="47"/>
      <x:c r="M532" s="48" t="str"/>
      <x:c r="N532" s="48" t="str"/>
      <x:c r="O532" s="49" t="n">
        <x:v>46297</x:v>
      </x:c>
      <x:c r="P532" s="43" t="str">
        <x:v>Commit de integración y documentos</x:v>
      </x:c>
      <x:c r="Q532" s="43" t="str">
        <x:v>DIS02</x:v>
      </x:c>
      <x:c r="R532" s="43" t="str"/>
      <x:c r="S532" s="43" t="str"/>
      <x:c r="T532" s="43" t="str">
        <x:v>S092, S093, S094</x:v>
      </x:c>
      <x:c r="U532" s="43" t="str">
        <x:v>git:ffd8990:assets/brand/marea_app.png
git:ffd8990:android/app/src/main/res/mipmap-hdpi/ic_launcher.png
git:ffd8990:ios/Runner/Assets.xcassets/AppIcon.appiconset/Contents.json</x:v>
      </x:c>
    </x:row>
    <x:row r="533" ht="44" customHeight="1">
      <x:c r="A533" s="42" t="str">
        <x:v>MAR01.003</x:v>
      </x:c>
      <x:c r="B533" s="42" t="str">
        <x:v>Iconos y recursos de identidad de la aplicación</x:v>
      </x:c>
      <x:c r="C533" s="42" t="str">
        <x:v>MAR01</x:v>
      </x:c>
      <x:c r="D533" s="43" t="str">
        <x:v>Generar variantes del icono iOS</x:v>
      </x:c>
      <x:c r="E533" s="43" t="str">
        <x:v>Actualizar AppIcon en los tamaños del proyecto.</x:v>
      </x:c>
      <x:c r="F533" s="43" t="str">
        <x:v>Completado</x:v>
      </x:c>
      <x:c r="G533" s="44" t="n">
        <x:v>46296</x:v>
      </x:c>
      <x:c r="H533" s="44" t="n">
        <x:v>46302</x:v>
      </x:c>
      <x:c r="I533" s="45" t="n">
        <x:f>IF(OR(G533="",H533=""),"",SUMPRODUCT(('Cronograma'!$F$8:$P$8&lt;=H533)*('Cronograma'!$F$9:$P$9&gt;=G533)))</x:f>
        <x:v>1</x:v>
      </x:c>
      <x:c r="J533" s="46"/>
      <x:c r="K533" s="46"/>
      <x:c r="L533" s="47"/>
      <x:c r="M533" s="48" t="str"/>
      <x:c r="N533" s="48" t="str"/>
      <x:c r="O533" s="49" t="n">
        <x:v>46297</x:v>
      </x:c>
      <x:c r="P533" s="43" t="str">
        <x:v>Commit de integración y documentos</x:v>
      </x:c>
      <x:c r="Q533" s="43" t="str">
        <x:v>DIS02</x:v>
      </x:c>
      <x:c r="R533" s="43" t="str"/>
      <x:c r="S533" s="43" t="str"/>
      <x:c r="T533" s="43" t="str">
        <x:v>S092, S093, S094</x:v>
      </x:c>
      <x:c r="U533" s="43" t="str">
        <x:v>git:ffd8990:assets/brand/marea_app.png
git:ffd8990:android/app/src/main/res/mipmap-hdpi/ic_launcher.png
git:ffd8990:ios/Runner/Assets.xcassets/AppIcon.appiconset/Contents.json</x:v>
      </x:c>
    </x:row>
    <x:row r="534" ht="44" customHeight="1">
      <x:c r="A534" s="42" t="str">
        <x:v>MAR01.004</x:v>
      </x:c>
      <x:c r="B534" s="42" t="str">
        <x:v>Iconos y recursos de identidad de la aplicación</x:v>
      </x:c>
      <x:c r="C534" s="42" t="str">
        <x:v>MAR01</x:v>
      </x:c>
      <x:c r="D534" s="43" t="str">
        <x:v>Actualizar catálogo AppIcon</x:v>
      </x:c>
      <x:c r="E534" s="43" t="str">
        <x:v>Relacionar archivos con sus tamaños y escalas.</x:v>
      </x:c>
      <x:c r="F534" s="43" t="str">
        <x:v>Completado</x:v>
      </x:c>
      <x:c r="G534" s="44" t="n">
        <x:v>46296</x:v>
      </x:c>
      <x:c r="H534" s="44" t="n">
        <x:v>46302</x:v>
      </x:c>
      <x:c r="I534" s="45" t="n">
        <x:f>IF(OR(G534="",H534=""),"",SUMPRODUCT(('Cronograma'!$F$8:$P$8&lt;=H534)*('Cronograma'!$F$9:$P$9&gt;=G534)))</x:f>
        <x:v>1</x:v>
      </x:c>
      <x:c r="J534" s="46"/>
      <x:c r="K534" s="46"/>
      <x:c r="L534" s="47"/>
      <x:c r="M534" s="48" t="str"/>
      <x:c r="N534" s="48" t="str"/>
      <x:c r="O534" s="49" t="n">
        <x:v>46297</x:v>
      </x:c>
      <x:c r="P534" s="43" t="str">
        <x:v>Commit de integración y documentos</x:v>
      </x:c>
      <x:c r="Q534" s="43" t="str">
        <x:v>DIS02</x:v>
      </x:c>
      <x:c r="R534" s="43" t="str"/>
      <x:c r="S534" s="43" t="str"/>
      <x:c r="T534" s="43" t="str">
        <x:v>S092, S093, S094</x:v>
      </x:c>
      <x:c r="U534" s="43" t="str">
        <x:v>git:ffd8990:assets/brand/marea_app.png
git:ffd8990:android/app/src/main/res/mipmap-hdpi/ic_launcher.png
git:ffd8990:ios/Runner/Assets.xcassets/AppIcon.appiconset/Contents.json</x:v>
      </x:c>
    </x:row>
    <x:row r="535" ht="44" customHeight="1">
      <x:c r="A535" s="42" t="str">
        <x:v>MAR01.005</x:v>
      </x:c>
      <x:c r="B535" s="42" t="str">
        <x:v>Iconos y recursos de identidad de la aplicación</x:v>
      </x:c>
      <x:c r="C535" s="42" t="str">
        <x:v>MAR01</x:v>
      </x:c>
      <x:c r="D535" s="43" t="str">
        <x:v>Actualizar configuración de identidad iOS</x:v>
      </x:c>
      <x:c r="E535" s="43" t="str">
        <x:v>Mantener referencia al icono y nombre de aplicación.</x:v>
      </x:c>
      <x:c r="F535" s="43" t="str">
        <x:v>Completado</x:v>
      </x:c>
      <x:c r="G535" s="44" t="n">
        <x:v>46296</x:v>
      </x:c>
      <x:c r="H535" s="44" t="n">
        <x:v>46302</x:v>
      </x:c>
      <x:c r="I535" s="45" t="n">
        <x:f>IF(OR(G535="",H535=""),"",SUMPRODUCT(('Cronograma'!$F$8:$P$8&lt;=H535)*('Cronograma'!$F$9:$P$9&gt;=G535)))</x:f>
        <x:v>1</x:v>
      </x:c>
      <x:c r="J535" s="46"/>
      <x:c r="K535" s="46"/>
      <x:c r="L535" s="47"/>
      <x:c r="M535" s="48" t="str"/>
      <x:c r="N535" s="48" t="str"/>
      <x:c r="O535" s="49" t="n">
        <x:v>46297</x:v>
      </x:c>
      <x:c r="P535" s="43" t="str">
        <x:v>Commit de integración y documentos</x:v>
      </x:c>
      <x:c r="Q535" s="43" t="str">
        <x:v>DIS02</x:v>
      </x:c>
      <x:c r="R535" s="43" t="str"/>
      <x:c r="S535" s="43" t="str"/>
      <x:c r="T535" s="43" t="str">
        <x:v>S092, S093, S094</x:v>
      </x:c>
      <x:c r="U535" s="43" t="str">
        <x:v>git:ffd8990:assets/brand/marea_app.png
git:ffd8990:android/app/src/main/res/mipmap-hdpi/ic_launcher.png
git:ffd8990:ios/Runner/Assets.xcassets/AppIcon.appiconset/Contents.json</x:v>
      </x:c>
    </x:row>
    <x:row r="536" ht="44" customHeight="1">
      <x:c r="A536" s="42" t="str">
        <x:v>MAR01.006</x:v>
      </x:c>
      <x:c r="B536" s="42" t="str">
        <x:v>Iconos y recursos de identidad de la aplicación</x:v>
      </x:c>
      <x:c r="C536" s="42" t="str">
        <x:v>MAR01</x:v>
      </x:c>
      <x:c r="D536" s="43" t="str">
        <x:v>Conservar logotipo e isotipo separados</x:v>
      </x:c>
      <x:c r="E536" s="43" t="str">
        <x:v>No reemplazar recursos de cabecera por icono de launcher.</x:v>
      </x:c>
      <x:c r="F536" s="43" t="str">
        <x:v>Completado</x:v>
      </x:c>
      <x:c r="G536" s="44" t="n">
        <x:v>46296</x:v>
      </x:c>
      <x:c r="H536" s="44" t="n">
        <x:v>46302</x:v>
      </x:c>
      <x:c r="I536" s="45" t="n">
        <x:f>IF(OR(G536="",H536=""),"",SUMPRODUCT(('Cronograma'!$F$8:$P$8&lt;=H536)*('Cronograma'!$F$9:$P$9&gt;=G536)))</x:f>
        <x:v>1</x:v>
      </x:c>
      <x:c r="J536" s="46"/>
      <x:c r="K536" s="46"/>
      <x:c r="L536" s="47"/>
      <x:c r="M536" s="48" t="str"/>
      <x:c r="N536" s="48" t="str"/>
      <x:c r="O536" s="49" t="n">
        <x:v>46297</x:v>
      </x:c>
      <x:c r="P536" s="43" t="str">
        <x:v>Commit de integración y documentos</x:v>
      </x:c>
      <x:c r="Q536" s="43" t="str">
        <x:v>DIS02</x:v>
      </x:c>
      <x:c r="R536" s="43" t="str"/>
      <x:c r="S536" s="43" t="str"/>
      <x:c r="T536" s="43" t="str">
        <x:v>S092, S093, S094</x:v>
      </x:c>
      <x:c r="U536" s="43" t="str">
        <x:v>git:ffd8990:assets/brand/marea_app.png
git:ffd8990:android/app/src/main/res/mipmap-hdpi/ic_launcher.png
git:ffd8990:ios/Runner/Assets.xcassets/AppIcon.appiconset/Contents.json</x:v>
      </x:c>
    </x:row>
    <x:row r="537" ht="44" customHeight="1">
      <x:c r="A537" s="42" t="str">
        <x:v>INT01.001</x:v>
      </x:c>
      <x:c r="B537" s="42" t="str">
        <x:v>Reacciones e interacciones modernas</x:v>
      </x:c>
      <x:c r="C537" s="42" t="str">
        <x:v>INT01</x:v>
      </x:c>
      <x:c r="D537" s="43" t="str">
        <x:v>Reaccionar con toque directo</x:v>
      </x:c>
      <x:c r="E537" s="43" t="str">
        <x:v>Activar reacción desde el control principal.</x:v>
      </x:c>
      <x:c r="F537" s="43" t="str">
        <x:v>Completado</x:v>
      </x:c>
      <x:c r="G537" s="44" t="n">
        <x:v>46296</x:v>
      </x:c>
      <x:c r="H537" s="44" t="n">
        <x:v>46302</x:v>
      </x:c>
      <x:c r="I537" s="45" t="n">
        <x:f>IF(OR(G537="",H537=""),"",SUMPRODUCT(('Cronograma'!$F$8:$P$8&lt;=H537)*('Cronograma'!$F$9:$P$9&gt;=G537)))</x:f>
        <x:v>1</x:v>
      </x:c>
      <x:c r="J537" s="46"/>
      <x:c r="K537" s="46"/>
      <x:c r="L537" s="47"/>
      <x:c r="M537" s="48" t="str"/>
      <x:c r="N537" s="48" t="str"/>
      <x:c r="O537" s="49" t="n">
        <x:v>46301</x:v>
      </x:c>
      <x:c r="P537" s="43" t="str">
        <x:v>Reporte/inspección del checkout al corte</x:v>
      </x:c>
      <x:c r="Q537" s="43" t="str">
        <x:v>SOC02, SOC04</x:v>
      </x:c>
      <x:c r="R537" s="43" t="str"/>
      <x:c r="S537" s="43" t="str">
        <x:v>Estado reconstruido por inspección del checkout al 06/10/2026 y reportes locales. La fecha de evidencia es la fecha de corte, salvo fecha individual explícita. Sin duración real registrada.</x:v>
      </x:c>
      <x:c r="T537" s="43" t="str">
        <x:v>S095, S096, S097</x:v>
      </x:c>
      <x:c r="U537" s="43" t="str">
        <x:v>docs/implementation/modern-interactions-push-progress.md
lib/features/community/presentation/reaction_button.dart
test/features/community/social_ui_test.dart</x:v>
      </x:c>
    </x:row>
    <x:row r="538" ht="44" customHeight="1">
      <x:c r="A538" s="42" t="str">
        <x:v>INT01.002</x:v>
      </x:c>
      <x:c r="B538" s="42" t="str">
        <x:v>Reacciones e interacciones modernas</x:v>
      </x:c>
      <x:c r="C538" s="42" t="str">
        <x:v>INT01</x:v>
      </x:c>
      <x:c r="D538" s="43" t="str">
        <x:v>Abrir selector manteniendo pulsado</x:v>
      </x:c>
      <x:c r="E538" s="43" t="str">
        <x:v>Mostrar alternativas mediante gesto sostenido.</x:v>
      </x:c>
      <x:c r="F538" s="43" t="str">
        <x:v>Completado</x:v>
      </x:c>
      <x:c r="G538" s="44" t="n">
        <x:v>46296</x:v>
      </x:c>
      <x:c r="H538" s="44" t="n">
        <x:v>46302</x:v>
      </x:c>
      <x:c r="I538" s="45" t="n">
        <x:f>IF(OR(G538="",H538=""),"",SUMPRODUCT(('Cronograma'!$F$8:$P$8&lt;=H538)*('Cronograma'!$F$9:$P$9&gt;=G538)))</x:f>
        <x:v>1</x:v>
      </x:c>
      <x:c r="J538" s="46"/>
      <x:c r="K538" s="46"/>
      <x:c r="L538" s="47"/>
      <x:c r="M538" s="48" t="str"/>
      <x:c r="N538" s="48" t="str"/>
      <x:c r="O538" s="49" t="n">
        <x:v>46301</x:v>
      </x:c>
      <x:c r="P538" s="43" t="str">
        <x:v>Reporte/inspección del checkout al corte</x:v>
      </x:c>
      <x:c r="Q538" s="43" t="str">
        <x:v>SOC02, SOC04</x:v>
      </x:c>
      <x:c r="R538" s="43" t="str"/>
      <x:c r="S538" s="43" t="str">
        <x:v>Estado reconstruido por inspección del checkout al 06/10/2026 y reportes locales. La fecha de evidencia es la fecha de corte, salvo fecha individual explícita. Sin duración real registrada.</x:v>
      </x:c>
      <x:c r="T538" s="43" t="str">
        <x:v>S095, S096, S097</x:v>
      </x:c>
      <x:c r="U538" s="43" t="str">
        <x:v>docs/implementation/modern-interactions-push-progress.md
lib/features/community/presentation/reaction_button.dart
test/features/community/social_ui_test.dart</x:v>
      </x:c>
    </x:row>
    <x:row r="539" ht="44" customHeight="1">
      <x:c r="A539" s="42" t="str">
        <x:v>INT01.003</x:v>
      </x:c>
      <x:c r="B539" s="42" t="str">
        <x:v>Reacciones e interacciones modernas</x:v>
      </x:c>
      <x:c r="C539" s="42" t="str">
        <x:v>INT01</x:v>
      </x:c>
      <x:c r="D539" s="43" t="str">
        <x:v>Seleccionar mediante deslizar y soltar</x:v>
      </x:c>
      <x:c r="E539" s="43" t="str">
        <x:v>Resolver reacción al finalizar el gesto.</x:v>
      </x:c>
      <x:c r="F539" s="43" t="str">
        <x:v>Completado</x:v>
      </x:c>
      <x:c r="G539" s="44" t="n">
        <x:v>46296</x:v>
      </x:c>
      <x:c r="H539" s="44" t="n">
        <x:v>46302</x:v>
      </x:c>
      <x:c r="I539" s="45" t="n">
        <x:f>IF(OR(G539="",H539=""),"",SUMPRODUCT(('Cronograma'!$F$8:$P$8&lt;=H539)*('Cronograma'!$F$9:$P$9&gt;=G539)))</x:f>
        <x:v>1</x:v>
      </x:c>
      <x:c r="J539" s="46"/>
      <x:c r="K539" s="46"/>
      <x:c r="L539" s="47"/>
      <x:c r="M539" s="48" t="str"/>
      <x:c r="N539" s="48" t="str"/>
      <x:c r="O539" s="49" t="n">
        <x:v>46301</x:v>
      </x:c>
      <x:c r="P539" s="43" t="str">
        <x:v>Reporte/inspección del checkout al corte</x:v>
      </x:c>
      <x:c r="Q539" s="43" t="str">
        <x:v>SOC02, SOC04</x:v>
      </x:c>
      <x:c r="R539" s="43" t="str"/>
      <x:c r="S539" s="43" t="str">
        <x:v>Estado reconstruido por inspección del checkout al 06/10/2026 y reportes locales. La fecha de evidencia es la fecha de corte, salvo fecha individual explícita. Sin duración real registrada.</x:v>
      </x:c>
      <x:c r="T539" s="43" t="str">
        <x:v>S095, S096, S097</x:v>
      </x:c>
      <x:c r="U539" s="43" t="str">
        <x:v>docs/implementation/modern-interactions-push-progress.md
lib/features/community/presentation/reaction_button.dart
test/features/community/social_ui_test.dart</x:v>
      </x:c>
    </x:row>
    <x:row r="540" ht="44" customHeight="1">
      <x:c r="A540" s="42" t="str">
        <x:v>INT01.004</x:v>
      </x:c>
      <x:c r="B540" s="42" t="str">
        <x:v>Reacciones e interacciones modernas</x:v>
      </x:c>
      <x:c r="C540" s="42" t="str">
        <x:v>INT01</x:v>
      </x:c>
      <x:c r="D540" s="43" t="str">
        <x:v>Actualizar reacción de forma optimista</x:v>
      </x:c>
      <x:c r="E540" s="43" t="str">
        <x:v>Mostrar selección inmediata mientras confirma servidor.</x:v>
      </x:c>
      <x:c r="F540" s="43" t="str">
        <x:v>Completado</x:v>
      </x:c>
      <x:c r="G540" s="44" t="n">
        <x:v>46296</x:v>
      </x:c>
      <x:c r="H540" s="44" t="n">
        <x:v>46302</x:v>
      </x:c>
      <x:c r="I540" s="45" t="n">
        <x:f>IF(OR(G540="",H540=""),"",SUMPRODUCT(('Cronograma'!$F$8:$P$8&lt;=H540)*('Cronograma'!$F$9:$P$9&gt;=G540)))</x:f>
        <x:v>1</x:v>
      </x:c>
      <x:c r="J540" s="46"/>
      <x:c r="K540" s="46"/>
      <x:c r="L540" s="47"/>
      <x:c r="M540" s="48" t="str"/>
      <x:c r="N540" s="48" t="str"/>
      <x:c r="O540" s="49" t="n">
        <x:v>46301</x:v>
      </x:c>
      <x:c r="P540" s="43" t="str">
        <x:v>Reporte/inspección del checkout al corte</x:v>
      </x:c>
      <x:c r="Q540" s="43" t="str">
        <x:v>SOC02, SOC04</x:v>
      </x:c>
      <x:c r="R540" s="43" t="str"/>
      <x:c r="S540" s="43" t="str">
        <x:v>Estado reconstruido por inspección del checkout al 06/10/2026 y reportes locales. La fecha de evidencia es la fecha de corte, salvo fecha individual explícita. Sin duración real registrada.</x:v>
      </x:c>
      <x:c r="T540" s="43" t="str">
        <x:v>S095, S096, S097</x:v>
      </x:c>
      <x:c r="U540" s="43" t="str">
        <x:v>docs/implementation/modern-interactions-push-progress.md
lib/features/community/presentation/reaction_button.dart
test/features/community/social_ui_test.dart</x:v>
      </x:c>
    </x:row>
    <x:row r="541" ht="44" customHeight="1">
      <x:c r="A541" s="42" t="str">
        <x:v>INT01.005</x:v>
      </x:c>
      <x:c r="B541" s="42" t="str">
        <x:v>Reacciones e interacciones modernas</x:v>
      </x:c>
      <x:c r="C541" s="42" t="str">
        <x:v>INT01</x:v>
      </x:c>
      <x:c r="D541" s="43" t="str">
        <x:v>Restaurar selección tras error</x:v>
      </x:c>
      <x:c r="E541" s="43" t="str">
        <x:v>Revertir cambio optimista y permitir reintento.</x:v>
      </x:c>
      <x:c r="F541" s="43" t="str">
        <x:v>Completado</x:v>
      </x:c>
      <x:c r="G541" s="44" t="n">
        <x:v>46296</x:v>
      </x:c>
      <x:c r="H541" s="44" t="n">
        <x:v>46302</x:v>
      </x:c>
      <x:c r="I541" s="45" t="n">
        <x:f>IF(OR(G541="",H541=""),"",SUMPRODUCT(('Cronograma'!$F$8:$P$8&lt;=H541)*('Cronograma'!$F$9:$P$9&gt;=G541)))</x:f>
        <x:v>1</x:v>
      </x:c>
      <x:c r="J541" s="46"/>
      <x:c r="K541" s="46"/>
      <x:c r="L541" s="47"/>
      <x:c r="M541" s="48" t="str"/>
      <x:c r="N541" s="48" t="str"/>
      <x:c r="O541" s="49" t="n">
        <x:v>46301</x:v>
      </x:c>
      <x:c r="P541" s="43" t="str">
        <x:v>Reporte/inspección del checkout al corte</x:v>
      </x:c>
      <x:c r="Q541" s="43" t="str">
        <x:v>SOC02, SOC04</x:v>
      </x:c>
      <x:c r="R541" s="43" t="str"/>
      <x:c r="S541" s="43" t="str">
        <x:v>Estado reconstruido por inspección del checkout al 06/10/2026 y reportes locales. La fecha de evidencia es la fecha de corte, salvo fecha individual explícita. Sin duración real registrada.</x:v>
      </x:c>
      <x:c r="T541" s="43" t="str">
        <x:v>S095, S096, S097</x:v>
      </x:c>
      <x:c r="U541" s="43" t="str">
        <x:v>docs/implementation/modern-interactions-push-progress.md
lib/features/community/presentation/reaction_button.dart
test/features/community/social_ui_test.dart</x:v>
      </x:c>
    </x:row>
    <x:row r="542" ht="44" customHeight="1">
      <x:c r="A542" s="42" t="str">
        <x:v>INT01.006</x:v>
      </x:c>
      <x:c r="B542" s="42" t="str">
        <x:v>Reacciones e interacciones modernas</x:v>
      </x:c>
      <x:c r="C542" s="42" t="str">
        <x:v>INT01</x:v>
      </x:c>
      <x:c r="D542" s="43" t="str">
        <x:v>Operar selector mediante teclado</x:v>
      </x:c>
      <x:c r="E542" s="43" t="str">
        <x:v>Mantener navegación y elección accesibles.</x:v>
      </x:c>
      <x:c r="F542" s="43" t="str">
        <x:v>Completado</x:v>
      </x:c>
      <x:c r="G542" s="44" t="n">
        <x:v>46296</x:v>
      </x:c>
      <x:c r="H542" s="44" t="n">
        <x:v>46302</x:v>
      </x:c>
      <x:c r="I542" s="45" t="n">
        <x:f>IF(OR(G542="",H542=""),"",SUMPRODUCT(('Cronograma'!$F$8:$P$8&lt;=H542)*('Cronograma'!$F$9:$P$9&gt;=G542)))</x:f>
        <x:v>1</x:v>
      </x:c>
      <x:c r="J542" s="46"/>
      <x:c r="K542" s="46"/>
      <x:c r="L542" s="47"/>
      <x:c r="M542" s="48" t="str"/>
      <x:c r="N542" s="48" t="str"/>
      <x:c r="O542" s="49" t="n">
        <x:v>46301</x:v>
      </x:c>
      <x:c r="P542" s="43" t="str">
        <x:v>Reporte/inspección del checkout al corte</x:v>
      </x:c>
      <x:c r="Q542" s="43" t="str">
        <x:v>SOC02, SOC04</x:v>
      </x:c>
      <x:c r="R542" s="43" t="str"/>
      <x:c r="S542" s="43" t="str">
        <x:v>Estado reconstruido por inspección del checkout al 06/10/2026 y reportes locales. La fecha de evidencia es la fecha de corte, salvo fecha individual explícita. Sin duración real registrada.</x:v>
      </x:c>
      <x:c r="T542" s="43" t="str">
        <x:v>S095, S096, S097</x:v>
      </x:c>
      <x:c r="U542" s="43" t="str">
        <x:v>docs/implementation/modern-interactions-push-progress.md
lib/features/community/presentation/reaction_button.dart
test/features/community/social_ui_test.dart</x:v>
      </x:c>
    </x:row>
    <x:row r="543" ht="44" customHeight="1">
      <x:c r="A543" s="42" t="str">
        <x:v>INT01.007</x:v>
      </x:c>
      <x:c r="B543" s="42" t="str">
        <x:v>Reacciones e interacciones modernas</x:v>
      </x:c>
      <x:c r="C543" s="42" t="str">
        <x:v>INT01</x:v>
      </x:c>
      <x:c r="D543" s="43" t="str">
        <x:v>Cancelar selector sin modificar reacción</x:v>
      </x:c>
      <x:c r="E543" s="43" t="str">
        <x:v>Cerrar con gesto o acción de cancelación.</x:v>
      </x:c>
      <x:c r="F543" s="43" t="str">
        <x:v>Completado</x:v>
      </x:c>
      <x:c r="G543" s="44" t="n">
        <x:v>46296</x:v>
      </x:c>
      <x:c r="H543" s="44" t="n">
        <x:v>46302</x:v>
      </x:c>
      <x:c r="I543" s="45" t="n">
        <x:f>IF(OR(G543="",H543=""),"",SUMPRODUCT(('Cronograma'!$F$8:$P$8&lt;=H543)*('Cronograma'!$F$9:$P$9&gt;=G543)))</x:f>
        <x:v>1</x:v>
      </x:c>
      <x:c r="J543" s="46"/>
      <x:c r="K543" s="46"/>
      <x:c r="L543" s="47"/>
      <x:c r="M543" s="48" t="str"/>
      <x:c r="N543" s="48" t="str"/>
      <x:c r="O543" s="49" t="n">
        <x:v>46301</x:v>
      </x:c>
      <x:c r="P543" s="43" t="str">
        <x:v>Reporte/inspección del checkout al corte</x:v>
      </x:c>
      <x:c r="Q543" s="43" t="str">
        <x:v>SOC02, SOC04</x:v>
      </x:c>
      <x:c r="R543" s="43" t="str"/>
      <x:c r="S543" s="43" t="str">
        <x:v>Estado reconstruido por inspección del checkout al 06/10/2026 y reportes locales. La fecha de evidencia es la fecha de corte, salvo fecha individual explícita. Sin duración real registrada.</x:v>
      </x:c>
      <x:c r="T543" s="43" t="str">
        <x:v>S095, S096, S097</x:v>
      </x:c>
      <x:c r="U543" s="43" t="str">
        <x:v>docs/implementation/modern-interactions-push-progress.md
lib/features/community/presentation/reaction_button.dart
test/features/community/social_ui_test.dart</x:v>
      </x:c>
    </x:row>
    <x:row r="544" ht="44" customHeight="1">
      <x:c r="A544" s="42" t="str">
        <x:v>INT01.008</x:v>
      </x:c>
      <x:c r="B544" s="42" t="str">
        <x:v>Reacciones e interacciones modernas</x:v>
      </x:c>
      <x:c r="C544" s="42" t="str">
        <x:v>INT01</x:v>
      </x:c>
      <x:c r="D544" s="43" t="str">
        <x:v>Ignorar respuesta tardía de cuenta anterior</x:v>
      </x:c>
      <x:c r="E544" s="43" t="str">
        <x:v>No aplicar reacción tras cambio de sesión.</x:v>
      </x:c>
      <x:c r="F544" s="43" t="str">
        <x:v>Completado</x:v>
      </x:c>
      <x:c r="G544" s="44" t="n">
        <x:v>46296</x:v>
      </x:c>
      <x:c r="H544" s="44" t="n">
        <x:v>46302</x:v>
      </x:c>
      <x:c r="I544" s="45" t="n">
        <x:f>IF(OR(G544="",H544=""),"",SUMPRODUCT(('Cronograma'!$F$8:$P$8&lt;=H544)*('Cronograma'!$F$9:$P$9&gt;=G544)))</x:f>
        <x:v>1</x:v>
      </x:c>
      <x:c r="J544" s="46"/>
      <x:c r="K544" s="46"/>
      <x:c r="L544" s="47"/>
      <x:c r="M544" s="48" t="str"/>
      <x:c r="N544" s="48" t="str"/>
      <x:c r="O544" s="49" t="n">
        <x:v>46301</x:v>
      </x:c>
      <x:c r="P544" s="43" t="str">
        <x:v>Reporte/inspección del checkout al corte</x:v>
      </x:c>
      <x:c r="Q544" s="43" t="str">
        <x:v>SOC02, SOC04</x:v>
      </x:c>
      <x:c r="R544" s="43" t="str"/>
      <x:c r="S544" s="43" t="str">
        <x:v>Estado reconstruido por inspección del checkout al 06/10/2026 y reportes locales. La fecha de evidencia es la fecha de corte, salvo fecha individual explícita. Sin duración real registrada.</x:v>
      </x:c>
      <x:c r="T544" s="43" t="str">
        <x:v>S095, S096, S097</x:v>
      </x:c>
      <x:c r="U544" s="43" t="str">
        <x:v>docs/implementation/modern-interactions-push-progress.md
lib/features/community/presentation/reaction_button.dart
test/features/community/social_ui_test.dart</x:v>
      </x:c>
    </x:row>
    <x:row r="545" ht="44" customHeight="1">
      <x:c r="A545" s="42" t="str">
        <x:v>INT01.009</x:v>
      </x:c>
      <x:c r="B545" s="42" t="str">
        <x:v>Reacciones e interacciones modernas</x:v>
      </x:c>
      <x:c r="C545" s="42" t="str">
        <x:v>INT01</x:v>
      </x:c>
      <x:c r="D545" s="43" t="str">
        <x:v>Evitar controles semánticos duplicados</x:v>
      </x:c>
      <x:c r="E545" s="43" t="str">
        <x:v>Presentar una acción accesible coherente.</x:v>
      </x:c>
      <x:c r="F545" s="43" t="str">
        <x:v>Completado</x:v>
      </x:c>
      <x:c r="G545" s="44" t="n">
        <x:v>46296</x:v>
      </x:c>
      <x:c r="H545" s="44" t="n">
        <x:v>46302</x:v>
      </x:c>
      <x:c r="I545" s="45" t="n">
        <x:f>IF(OR(G545="",H545=""),"",SUMPRODUCT(('Cronograma'!$F$8:$P$8&lt;=H545)*('Cronograma'!$F$9:$P$9&gt;=G545)))</x:f>
        <x:v>1</x:v>
      </x:c>
      <x:c r="J545" s="46"/>
      <x:c r="K545" s="46"/>
      <x:c r="L545" s="47"/>
      <x:c r="M545" s="48" t="str"/>
      <x:c r="N545" s="48" t="str"/>
      <x:c r="O545" s="49" t="n">
        <x:v>46301</x:v>
      </x:c>
      <x:c r="P545" s="43" t="str">
        <x:v>Reporte/inspección del checkout al corte</x:v>
      </x:c>
      <x:c r="Q545" s="43" t="str">
        <x:v>SOC02, SOC04</x:v>
      </x:c>
      <x:c r="R545" s="43" t="str"/>
      <x:c r="S545" s="43" t="str">
        <x:v>Estado reconstruido por inspección del checkout al 06/10/2026 y reportes locales. La fecha de evidencia es la fecha de corte, salvo fecha individual explícita. Sin duración real registrada.</x:v>
      </x:c>
      <x:c r="T545" s="43" t="str">
        <x:v>S095, S096, S097</x:v>
      </x:c>
      <x:c r="U545" s="43" t="str">
        <x:v>docs/implementation/modern-interactions-push-progress.md
lib/features/community/presentation/reaction_button.dart
test/features/community/social_ui_test.dart</x:v>
      </x:c>
    </x:row>
    <x:row r="546" ht="44" customHeight="1">
      <x:c r="A546" s="42" t="str">
        <x:v>INT01.010</x:v>
      </x:c>
      <x:c r="B546" s="42" t="str">
        <x:v>Reacciones e interacciones modernas</x:v>
      </x:c>
      <x:c r="C546" s="42" t="str">
        <x:v>INT01</x:v>
      </x:c>
      <x:c r="D546" s="43" t="str">
        <x:v>Usar InkRipple compatible con pruebas</x:v>
      </x:c>
      <x:c r="E546" s="43" t="str">
        <x:v>Conservar ondas Material y animación de escala.</x:v>
      </x:c>
      <x:c r="F546" s="43" t="str">
        <x:v>Completado</x:v>
      </x:c>
      <x:c r="G546" s="44" t="n">
        <x:v>46296</x:v>
      </x:c>
      <x:c r="H546" s="44" t="n">
        <x:v>46302</x:v>
      </x:c>
      <x:c r="I546" s="45" t="n">
        <x:f>IF(OR(G546="",H546=""),"",SUMPRODUCT(('Cronograma'!$F$8:$P$8&lt;=H546)*('Cronograma'!$F$9:$P$9&gt;=G546)))</x:f>
        <x:v>1</x:v>
      </x:c>
      <x:c r="J546" s="46"/>
      <x:c r="K546" s="46"/>
      <x:c r="L546" s="47"/>
      <x:c r="M546" s="48" t="str"/>
      <x:c r="N546" s="48" t="str"/>
      <x:c r="O546" s="49" t="n">
        <x:v>46301</x:v>
      </x:c>
      <x:c r="P546" s="43" t="str">
        <x:v>Reporte/inspección del checkout al corte</x:v>
      </x:c>
      <x:c r="Q546" s="43" t="str">
        <x:v>SOC02, SOC04</x:v>
      </x:c>
      <x:c r="R546" s="43" t="str"/>
      <x:c r="S546" s="43" t="str">
        <x:v>Estado reconstruido por inspección del checkout al 06/10/2026 y reportes locales. La fecha de evidencia es la fecha de corte, salvo fecha individual explícita. Sin duración real registrada.</x:v>
      </x:c>
      <x:c r="T546" s="43" t="str">
        <x:v>S095, S096, S097</x:v>
      </x:c>
      <x:c r="U546" s="43" t="str">
        <x:v>docs/implementation/modern-interactions-push-progress.md
lib/features/community/presentation/reaction_button.dart
test/features/community/social_ui_test.dart</x:v>
      </x:c>
    </x:row>
    <x:row r="547" ht="44" customHeight="1">
      <x:c r="A547" s="42" t="str">
        <x:v>INT01.011</x:v>
      </x:c>
      <x:c r="B547" s="42" t="str">
        <x:v>Reacciones e interacciones modernas</x:v>
      </x:c>
      <x:c r="C547" s="42" t="str">
        <x:v>INT01</x:v>
      </x:c>
      <x:c r="D547" s="43" t="str">
        <x:v>Coordinar paneles en navegación raíz</x:v>
      </x:c>
      <x:c r="E547" s="43" t="str">
        <x:v>Evitar desplazamiento inesperado del feed.</x:v>
      </x:c>
      <x:c r="F547" s="43" t="str">
        <x:v>Completado</x:v>
      </x:c>
      <x:c r="G547" s="44" t="n">
        <x:v>46296</x:v>
      </x:c>
      <x:c r="H547" s="44" t="n">
        <x:v>46302</x:v>
      </x:c>
      <x:c r="I547" s="45" t="n">
        <x:f>IF(OR(G547="",H547=""),"",SUMPRODUCT(('Cronograma'!$F$8:$P$8&lt;=H547)*('Cronograma'!$F$9:$P$9&gt;=G547)))</x:f>
        <x:v>1</x:v>
      </x:c>
      <x:c r="J547" s="46"/>
      <x:c r="K547" s="46"/>
      <x:c r="L547" s="47"/>
      <x:c r="M547" s="48" t="str"/>
      <x:c r="N547" s="48" t="str"/>
      <x:c r="O547" s="49" t="n">
        <x:v>46301</x:v>
      </x:c>
      <x:c r="P547" s="43" t="str">
        <x:v>Reporte/inspección del checkout al corte</x:v>
      </x:c>
      <x:c r="Q547" s="43" t="str">
        <x:v>SOC02, SOC04</x:v>
      </x:c>
      <x:c r="R547" s="43" t="str"/>
      <x:c r="S547" s="43" t="str">
        <x:v>Estado reconstruido por inspección del checkout al 06/10/2026 y reportes locales. La fecha de evidencia es la fecha de corte, salvo fecha individual explícita. Sin duración real registrada.</x:v>
      </x:c>
      <x:c r="T547" s="43" t="str">
        <x:v>S095, S096, S097</x:v>
      </x:c>
      <x:c r="U547" s="43" t="str">
        <x:v>docs/implementation/modern-interactions-push-progress.md
lib/features/community/presentation/reaction_button.dart
test/features/community/social_ui_test.dart</x:v>
      </x:c>
    </x:row>
    <x:row r="548" ht="44" customHeight="1">
      <x:c r="A548" s="42" t="str">
        <x:v>INT01.012</x:v>
      </x:c>
      <x:c r="B548" s="42" t="str">
        <x:v>Reacciones e interacciones modernas</x:v>
      </x:c>
      <x:c r="C548" s="42" t="str">
        <x:v>INT01</x:v>
      </x:c>
      <x:c r="D548" s="43" t="str">
        <x:v>Ocultar dock al abrir panel</x:v>
      </x:c>
      <x:c r="E548" s="43" t="str">
        <x:v>Mantener espacio y visibilidad coordinados.</x:v>
      </x:c>
      <x:c r="F548" s="43" t="str">
        <x:v>Completado</x:v>
      </x:c>
      <x:c r="G548" s="44" t="n">
        <x:v>46296</x:v>
      </x:c>
      <x:c r="H548" s="44" t="n">
        <x:v>46302</x:v>
      </x:c>
      <x:c r="I548" s="45" t="n">
        <x:f>IF(OR(G548="",H548=""),"",SUMPRODUCT(('Cronograma'!$F$8:$P$8&lt;=H548)*('Cronograma'!$F$9:$P$9&gt;=G548)))</x:f>
        <x:v>1</x:v>
      </x:c>
      <x:c r="J548" s="46"/>
      <x:c r="K548" s="46"/>
      <x:c r="L548" s="47"/>
      <x:c r="M548" s="48" t="str"/>
      <x:c r="N548" s="48" t="str"/>
      <x:c r="O548" s="49" t="n">
        <x:v>46301</x:v>
      </x:c>
      <x:c r="P548" s="43" t="str">
        <x:v>Reporte/inspección del checkout al corte</x:v>
      </x:c>
      <x:c r="Q548" s="43" t="str">
        <x:v>SOC02, SOC04</x:v>
      </x:c>
      <x:c r="R548" s="43" t="str"/>
      <x:c r="S548" s="43" t="str">
        <x:v>Estado reconstruido por inspección del checkout al 06/10/2026 y reportes locales. La fecha de evidencia es la fecha de corte, salvo fecha individual explícita. Sin duración real registrada.</x:v>
      </x:c>
      <x:c r="T548" s="43" t="str">
        <x:v>S095, S096, S097</x:v>
      </x:c>
      <x:c r="U548" s="43" t="str">
        <x:v>docs/implementation/modern-interactions-push-progress.md
lib/features/community/presentation/reaction_button.dart
test/features/community/social_ui_test.dart</x:v>
      </x:c>
    </x:row>
    <x:row r="549" ht="44" customHeight="1">
      <x:c r="A549" s="42" t="str">
        <x:v>INT01.013</x:v>
      </x:c>
      <x:c r="B549" s="42" t="str">
        <x:v>Reacciones e interacciones modernas</x:v>
      </x:c>
      <x:c r="C549" s="42" t="str">
        <x:v>INT01</x:v>
      </x:c>
      <x:c r="D549" s="43" t="str">
        <x:v>Restaurar dock al cerrar panel</x:v>
      </x:c>
      <x:c r="E549" s="43" t="str">
        <x:v>Recuperar navegación tras regresar.</x:v>
      </x:c>
      <x:c r="F549" s="43" t="str">
        <x:v>Completado</x:v>
      </x:c>
      <x:c r="G549" s="44" t="n">
        <x:v>46296</x:v>
      </x:c>
      <x:c r="H549" s="44" t="n">
        <x:v>46302</x:v>
      </x:c>
      <x:c r="I549" s="45" t="n">
        <x:f>IF(OR(G549="",H549=""),"",SUMPRODUCT(('Cronograma'!$F$8:$P$8&lt;=H549)*('Cronograma'!$F$9:$P$9&gt;=G549)))</x:f>
        <x:v>1</x:v>
      </x:c>
      <x:c r="J549" s="46"/>
      <x:c r="K549" s="46"/>
      <x:c r="L549" s="47"/>
      <x:c r="M549" s="48" t="str"/>
      <x:c r="N549" s="48" t="str"/>
      <x:c r="O549" s="49" t="n">
        <x:v>46301</x:v>
      </x:c>
      <x:c r="P549" s="43" t="str">
        <x:v>Reporte/inspección del checkout al corte</x:v>
      </x:c>
      <x:c r="Q549" s="43" t="str">
        <x:v>SOC02, SOC04</x:v>
      </x:c>
      <x:c r="R549" s="43" t="str"/>
      <x:c r="S549" s="43" t="str">
        <x:v>Estado reconstruido por inspección del checkout al 06/10/2026 y reportes locales. La fecha de evidencia es la fecha de corte, salvo fecha individual explícita. Sin duración real registrada.</x:v>
      </x:c>
      <x:c r="T549" s="43" t="str">
        <x:v>S095, S096, S097</x:v>
      </x:c>
      <x:c r="U549" s="43" t="str">
        <x:v>docs/implementation/modern-interactions-push-progress.md
lib/features/community/presentation/reaction_button.dart
test/features/community/social_ui_test.dart</x:v>
      </x:c>
    </x:row>
    <x:row r="550" ht="44" customHeight="1">
      <x:c r="A550" s="42" t="str">
        <x:v>INT01.014</x:v>
      </x:c>
      <x:c r="B550" s="42" t="str">
        <x:v>Reacciones e interacciones modernas</x:v>
      </x:c>
      <x:c r="C550" s="42" t="str">
        <x:v>INT01</x:v>
      </x:c>
      <x:c r="D550" s="43" t="str">
        <x:v>Proteger cierre de paneles anidados</x:v>
      </x:c>
      <x:c r="E550" s="43" t="str">
        <x:v>No dejar estado de navegación residual.</x:v>
      </x:c>
      <x:c r="F550" s="43" t="str">
        <x:v>Completado</x:v>
      </x:c>
      <x:c r="G550" s="44" t="n">
        <x:v>46296</x:v>
      </x:c>
      <x:c r="H550" s="44" t="n">
        <x:v>46302</x:v>
      </x:c>
      <x:c r="I550" s="45" t="n">
        <x:f>IF(OR(G550="",H550=""),"",SUMPRODUCT(('Cronograma'!$F$8:$P$8&lt;=H550)*('Cronograma'!$F$9:$P$9&gt;=G550)))</x:f>
        <x:v>1</x:v>
      </x:c>
      <x:c r="J550" s="46"/>
      <x:c r="K550" s="46"/>
      <x:c r="L550" s="47"/>
      <x:c r="M550" s="48" t="str"/>
      <x:c r="N550" s="48" t="str"/>
      <x:c r="O550" s="49" t="n">
        <x:v>46301</x:v>
      </x:c>
      <x:c r="P550" s="43" t="str">
        <x:v>Reporte/inspección del checkout al corte</x:v>
      </x:c>
      <x:c r="Q550" s="43" t="str">
        <x:v>SOC02, SOC04</x:v>
      </x:c>
      <x:c r="R550" s="43" t="str"/>
      <x:c r="S550" s="43" t="str">
        <x:v>Estado reconstruido por inspección del checkout al 06/10/2026 y reportes locales. La fecha de evidencia es la fecha de corte, salvo fecha individual explícita. Sin duración real registrada.</x:v>
      </x:c>
      <x:c r="T550" s="43" t="str">
        <x:v>S095, S096, S097</x:v>
      </x:c>
      <x:c r="U550" s="43" t="str">
        <x:v>docs/implementation/modern-interactions-push-progress.md
lib/features/community/presentation/reaction_button.dart
test/features/community/social_ui_test.dart</x:v>
      </x:c>
    </x:row>
    <x:row r="551" ht="56" customHeight="1">
      <x:c r="A551" s="42" t="str">
        <x:v>INT02.001</x:v>
      </x:c>
      <x:c r="B551" s="42" t="str">
        <x:v>Cargas, botones y paneles compartidos</x:v>
      </x:c>
      <x:c r="C551" s="42" t="str">
        <x:v>INT02</x:v>
      </x:c>
      <x:c r="D551" s="43" t="str">
        <x:v>Crear MareaSkeleton compartido</x:v>
      </x:c>
      <x:c r="E551" s="43" t="str">
        <x:v>Representar carga sin ruedas en contenido.</x:v>
      </x:c>
      <x:c r="F551" s="43" t="str">
        <x:v>Completado</x:v>
      </x:c>
      <x:c r="G551" s="44" t="n">
        <x:v>46296</x:v>
      </x:c>
      <x:c r="H551" s="44" t="n">
        <x:v>46302</x:v>
      </x:c>
      <x:c r="I551" s="45" t="n">
        <x:f>IF(OR(G551="",H551=""),"",SUMPRODUCT(('Cronograma'!$F$8:$P$8&lt;=H551)*('Cronograma'!$F$9:$P$9&gt;=G551)))</x:f>
        <x:v>1</x:v>
      </x:c>
      <x:c r="J551" s="46"/>
      <x:c r="K551" s="46"/>
      <x:c r="L551" s="47"/>
      <x:c r="M551" s="48" t="str"/>
      <x:c r="N551" s="48" t="str"/>
      <x:c r="O551" s="49" t="n">
        <x:v>46301</x:v>
      </x:c>
      <x:c r="P551" s="43" t="str">
        <x:v>Reporte/inspección del checkout al corte</x:v>
      </x:c>
      <x:c r="Q551" s="43" t="str">
        <x:v>INT01, SOC01, PRO02</x:v>
      </x:c>
      <x:c r="R551" s="43" t="str"/>
      <x:c r="S551" s="43" t="str">
        <x:v>Estado reconstruido por inspección del checkout al 06/10/2026 y reportes locales. La fecha de evidencia es la fecha de corte, salvo fecha individual explícita. Sin duración real registrada.</x:v>
      </x:c>
      <x:c r="T551" s="43" t="str">
        <x:v>S095, S098, S099, S100</x:v>
      </x:c>
      <x:c r="U551" s="43" t="str">
        <x:v>docs/implementation/modern-interactions-push-progress.md
lib/shared/widgets/marea_action_button.dart
lib/shared/widgets/marea_panel.dart
lib/shared/widgets/marea_skeleton.dart</x:v>
      </x:c>
    </x:row>
    <x:row r="552" ht="56" customHeight="1">
      <x:c r="A552" s="42" t="str">
        <x:v>INT02.002</x:v>
      </x:c>
      <x:c r="B552" s="42" t="str">
        <x:v>Cargas, botones y paneles compartidos</x:v>
      </x:c>
      <x:c r="C552" s="42" t="str">
        <x:v>INT02</x:v>
      </x:c>
      <x:c r="D552" s="43" t="str">
        <x:v>Agregar esqueletos al feed</x:v>
      </x:c>
      <x:c r="E552" s="43" t="str">
        <x:v>Mostrar estructura de publicaciones durante carga.</x:v>
      </x:c>
      <x:c r="F552" s="43" t="str">
        <x:v>Completado</x:v>
      </x:c>
      <x:c r="G552" s="44" t="n">
        <x:v>46296</x:v>
      </x:c>
      <x:c r="H552" s="44" t="n">
        <x:v>46302</x:v>
      </x:c>
      <x:c r="I552" s="45" t="n">
        <x:f>IF(OR(G552="",H552=""),"",SUMPRODUCT(('Cronograma'!$F$8:$P$8&lt;=H552)*('Cronograma'!$F$9:$P$9&gt;=G552)))</x:f>
        <x:v>1</x:v>
      </x:c>
      <x:c r="J552" s="46"/>
      <x:c r="K552" s="46"/>
      <x:c r="L552" s="47"/>
      <x:c r="M552" s="48" t="str"/>
      <x:c r="N552" s="48" t="str"/>
      <x:c r="O552" s="49" t="n">
        <x:v>46301</x:v>
      </x:c>
      <x:c r="P552" s="43" t="str">
        <x:v>Reporte/inspección del checkout al corte</x:v>
      </x:c>
      <x:c r="Q552" s="43" t="str">
        <x:v>INT01, SOC01, PRO02</x:v>
      </x:c>
      <x:c r="R552" s="43" t="str"/>
      <x:c r="S552" s="43" t="str">
        <x:v>Estado reconstruido por inspección del checkout al 06/10/2026 y reportes locales. La fecha de evidencia es la fecha de corte, salvo fecha individual explícita. Sin duración real registrada.</x:v>
      </x:c>
      <x:c r="T552" s="43" t="str">
        <x:v>S095, S098, S099, S100</x:v>
      </x:c>
      <x:c r="U552" s="43" t="str">
        <x:v>docs/implementation/modern-interactions-push-progress.md
lib/shared/widgets/marea_action_button.dart
lib/shared/widgets/marea_panel.dart
lib/shared/widgets/marea_skeleton.dart</x:v>
      </x:c>
    </x:row>
    <x:row r="553" ht="56" customHeight="1">
      <x:c r="A553" s="42" t="str">
        <x:v>INT02.003</x:v>
      </x:c>
      <x:c r="B553" s="42" t="str">
        <x:v>Cargas, botones y paneles compartidos</x:v>
      </x:c>
      <x:c r="C553" s="42" t="str">
        <x:v>INT02</x:v>
      </x:c>
      <x:c r="D553" s="43" t="str">
        <x:v>Agregar esqueletos a comentarios</x:v>
      </x:c>
      <x:c r="E553" s="43" t="str">
        <x:v>Mantener contexto del panel mientras consulta.</x:v>
      </x:c>
      <x:c r="F553" s="43" t="str">
        <x:v>Completado</x:v>
      </x:c>
      <x:c r="G553" s="44" t="n">
        <x:v>46296</x:v>
      </x:c>
      <x:c r="H553" s="44" t="n">
        <x:v>46302</x:v>
      </x:c>
      <x:c r="I553" s="45" t="n">
        <x:f>IF(OR(G553="",H553=""),"",SUMPRODUCT(('Cronograma'!$F$8:$P$8&lt;=H553)*('Cronograma'!$F$9:$P$9&gt;=G553)))</x:f>
        <x:v>1</x:v>
      </x:c>
      <x:c r="J553" s="46"/>
      <x:c r="K553" s="46"/>
      <x:c r="L553" s="47"/>
      <x:c r="M553" s="48" t="str"/>
      <x:c r="N553" s="48" t="str"/>
      <x:c r="O553" s="49" t="n">
        <x:v>46301</x:v>
      </x:c>
      <x:c r="P553" s="43" t="str">
        <x:v>Reporte/inspección del checkout al corte</x:v>
      </x:c>
      <x:c r="Q553" s="43" t="str">
        <x:v>INT01, SOC01, PRO02</x:v>
      </x:c>
      <x:c r="R553" s="43" t="str"/>
      <x:c r="S553" s="43" t="str">
        <x:v>Estado reconstruido por inspección del checkout al 06/10/2026 y reportes locales. La fecha de evidencia es la fecha de corte, salvo fecha individual explícita. Sin duración real registrada.</x:v>
      </x:c>
      <x:c r="T553" s="43" t="str">
        <x:v>S095, S098, S099, S100</x:v>
      </x:c>
      <x:c r="U553" s="43" t="str">
        <x:v>docs/implementation/modern-interactions-push-progress.md
lib/shared/widgets/marea_action_button.dart
lib/shared/widgets/marea_panel.dart
lib/shared/widgets/marea_skeleton.dart</x:v>
      </x:c>
    </x:row>
    <x:row r="554" ht="56" customHeight="1">
      <x:c r="A554" s="42" t="str">
        <x:v>INT02.004</x:v>
      </x:c>
      <x:c r="B554" s="42" t="str">
        <x:v>Cargas, botones y paneles compartidos</x:v>
      </x:c>
      <x:c r="C554" s="42" t="str">
        <x:v>INT02</x:v>
      </x:c>
      <x:c r="D554" s="43" t="str">
        <x:v>Agregar esqueletos a perfiles y fichas</x:v>
      </x:c>
      <x:c r="E554" s="43" t="str">
        <x:v>Adaptar cargas de recursos profesionales.</x:v>
      </x:c>
      <x:c r="F554" s="43" t="str">
        <x:v>Completado</x:v>
      </x:c>
      <x:c r="G554" s="44" t="n">
        <x:v>46296</x:v>
      </x:c>
      <x:c r="H554" s="44" t="n">
        <x:v>46302</x:v>
      </x:c>
      <x:c r="I554" s="45" t="n">
        <x:f>IF(OR(G554="",H554=""),"",SUMPRODUCT(('Cronograma'!$F$8:$P$8&lt;=H554)*('Cronograma'!$F$9:$P$9&gt;=G554)))</x:f>
        <x:v>1</x:v>
      </x:c>
      <x:c r="J554" s="46"/>
      <x:c r="K554" s="46"/>
      <x:c r="L554" s="47"/>
      <x:c r="M554" s="48" t="str"/>
      <x:c r="N554" s="48" t="str"/>
      <x:c r="O554" s="49" t="n">
        <x:v>46301</x:v>
      </x:c>
      <x:c r="P554" s="43" t="str">
        <x:v>Reporte/inspección del checkout al corte</x:v>
      </x:c>
      <x:c r="Q554" s="43" t="str">
        <x:v>INT01, SOC01, PRO02</x:v>
      </x:c>
      <x:c r="R554" s="43" t="str"/>
      <x:c r="S554" s="43" t="str">
        <x:v>Estado reconstruido por inspección del checkout al 06/10/2026 y reportes locales. La fecha de evidencia es la fecha de corte, salvo fecha individual explícita. Sin duración real registrada.</x:v>
      </x:c>
      <x:c r="T554" s="43" t="str">
        <x:v>S095, S098, S099, S100</x:v>
      </x:c>
      <x:c r="U554" s="43" t="str">
        <x:v>docs/implementation/modern-interactions-push-progress.md
lib/shared/widgets/marea_action_button.dart
lib/shared/widgets/marea_panel.dart
lib/shared/widgets/marea_skeleton.dart</x:v>
      </x:c>
    </x:row>
    <x:row r="555" ht="56" customHeight="1">
      <x:c r="A555" s="42" t="str">
        <x:v>INT02.005</x:v>
      </x:c>
      <x:c r="B555" s="42" t="str">
        <x:v>Cargas, botones y paneles compartidos</x:v>
      </x:c>
      <x:c r="C555" s="42" t="str">
        <x:v>INT02</x:v>
      </x:c>
      <x:c r="D555" s="43" t="str">
        <x:v>Agregar esqueletos a misiones y mapa</x:v>
      </x:c>
      <x:c r="E555" s="43" t="str">
        <x:v>Unificar estados de consulta disponibles.</x:v>
      </x:c>
      <x:c r="F555" s="43" t="str">
        <x:v>Completado</x:v>
      </x:c>
      <x:c r="G555" s="44" t="n">
        <x:v>46296</x:v>
      </x:c>
      <x:c r="H555" s="44" t="n">
        <x:v>46302</x:v>
      </x:c>
      <x:c r="I555" s="45" t="n">
        <x:f>IF(OR(G555="",H555=""),"",SUMPRODUCT(('Cronograma'!$F$8:$P$8&lt;=H555)*('Cronograma'!$F$9:$P$9&gt;=G555)))</x:f>
        <x:v>1</x:v>
      </x:c>
      <x:c r="J555" s="46"/>
      <x:c r="K555" s="46"/>
      <x:c r="L555" s="47"/>
      <x:c r="M555" s="48" t="str"/>
      <x:c r="N555" s="48" t="str"/>
      <x:c r="O555" s="49" t="n">
        <x:v>46301</x:v>
      </x:c>
      <x:c r="P555" s="43" t="str">
        <x:v>Reporte/inspección del checkout al corte</x:v>
      </x:c>
      <x:c r="Q555" s="43" t="str">
        <x:v>INT01, SOC01, PRO02</x:v>
      </x:c>
      <x:c r="R555" s="43" t="str"/>
      <x:c r="S555" s="43" t="str">
        <x:v>Estado reconstruido por inspección del checkout al 06/10/2026 y reportes locales. La fecha de evidencia es la fecha de corte, salvo fecha individual explícita. Sin duración real registrada.</x:v>
      </x:c>
      <x:c r="T555" s="43" t="str">
        <x:v>S095, S098, S099, S100</x:v>
      </x:c>
      <x:c r="U555" s="43" t="str">
        <x:v>docs/implementation/modern-interactions-push-progress.md
lib/shared/widgets/marea_action_button.dart
lib/shared/widgets/marea_panel.dart
lib/shared/widgets/marea_skeleton.dart</x:v>
      </x:c>
    </x:row>
    <x:row r="556" ht="56" customHeight="1">
      <x:c r="A556" s="42" t="str">
        <x:v>INT02.006</x:v>
      </x:c>
      <x:c r="B556" s="42" t="str">
        <x:v>Cargas, botones y paneles compartidos</x:v>
      </x:c>
      <x:c r="C556" s="42" t="str">
        <x:v>INT02</x:v>
      </x:c>
      <x:c r="D556" s="43" t="str">
        <x:v>Crear botón con texto de progreso</x:v>
      </x:c>
      <x:c r="E556" s="43" t="str">
        <x:v>Mostrar acción en curso sin perder nombre del control.</x:v>
      </x:c>
      <x:c r="F556" s="43" t="str">
        <x:v>Completado</x:v>
      </x:c>
      <x:c r="G556" s="44" t="n">
        <x:v>46296</x:v>
      </x:c>
      <x:c r="H556" s="44" t="n">
        <x:v>46302</x:v>
      </x:c>
      <x:c r="I556" s="45" t="n">
        <x:f>IF(OR(G556="",H556=""),"",SUMPRODUCT(('Cronograma'!$F$8:$P$8&lt;=H556)*('Cronograma'!$F$9:$P$9&gt;=G556)))</x:f>
        <x:v>1</x:v>
      </x:c>
      <x:c r="J556" s="46"/>
      <x:c r="K556" s="46"/>
      <x:c r="L556" s="47"/>
      <x:c r="M556" s="48" t="str"/>
      <x:c r="N556" s="48" t="str"/>
      <x:c r="O556" s="49" t="n">
        <x:v>46301</x:v>
      </x:c>
      <x:c r="P556" s="43" t="str">
        <x:v>Reporte/inspección del checkout al corte</x:v>
      </x:c>
      <x:c r="Q556" s="43" t="str">
        <x:v>INT01, SOC01, PRO02</x:v>
      </x:c>
      <x:c r="R556" s="43" t="str"/>
      <x:c r="S556" s="43" t="str">
        <x:v>Estado reconstruido por inspección del checkout al 06/10/2026 y reportes locales. La fecha de evidencia es la fecha de corte, salvo fecha individual explícita. Sin duración real registrada.</x:v>
      </x:c>
      <x:c r="T556" s="43" t="str">
        <x:v>S095, S098, S099, S100</x:v>
      </x:c>
      <x:c r="U556" s="43" t="str">
        <x:v>docs/implementation/modern-interactions-push-progress.md
lib/shared/widgets/marea_action_button.dart
lib/shared/widgets/marea_panel.dart
lib/shared/widgets/marea_skeleton.dart</x:v>
      </x:c>
    </x:row>
    <x:row r="557" ht="56" customHeight="1">
      <x:c r="A557" s="42" t="str">
        <x:v>INT02.007</x:v>
      </x:c>
      <x:c r="B557" s="42" t="str">
        <x:v>Cargas, botones y paneles compartidos</x:v>
      </x:c>
      <x:c r="C557" s="42" t="str">
        <x:v>INT02</x:v>
      </x:c>
      <x:c r="D557" s="43" t="str">
        <x:v>Bloquear doble envío en botones compartidos</x:v>
      </x:c>
      <x:c r="E557" s="43" t="str">
        <x:v>Evitar mutaciones repetidas mientras espera.</x:v>
      </x:c>
      <x:c r="F557" s="43" t="str">
        <x:v>Completado</x:v>
      </x:c>
      <x:c r="G557" s="44" t="n">
        <x:v>46296</x:v>
      </x:c>
      <x:c r="H557" s="44" t="n">
        <x:v>46302</x:v>
      </x:c>
      <x:c r="I557" s="45" t="n">
        <x:f>IF(OR(G557="",H557=""),"",SUMPRODUCT(('Cronograma'!$F$8:$P$8&lt;=H557)*('Cronograma'!$F$9:$P$9&gt;=G557)))</x:f>
        <x:v>1</x:v>
      </x:c>
      <x:c r="J557" s="46"/>
      <x:c r="K557" s="46"/>
      <x:c r="L557" s="47"/>
      <x:c r="M557" s="48" t="str"/>
      <x:c r="N557" s="48" t="str"/>
      <x:c r="O557" s="49" t="n">
        <x:v>46301</x:v>
      </x:c>
      <x:c r="P557" s="43" t="str">
        <x:v>Reporte/inspección del checkout al corte</x:v>
      </x:c>
      <x:c r="Q557" s="43" t="str">
        <x:v>INT01, SOC01, PRO02</x:v>
      </x:c>
      <x:c r="R557" s="43" t="str"/>
      <x:c r="S557" s="43" t="str">
        <x:v>Estado reconstruido por inspección del checkout al 06/10/2026 y reportes locales. La fecha de evidencia es la fecha de corte, salvo fecha individual explícita. Sin duración real registrada.</x:v>
      </x:c>
      <x:c r="T557" s="43" t="str">
        <x:v>S095, S098, S099, S100</x:v>
      </x:c>
      <x:c r="U557" s="43" t="str">
        <x:v>docs/implementation/modern-interactions-push-progress.md
lib/shared/widgets/marea_action_button.dart
lib/shared/widgets/marea_panel.dart
lib/shared/widgets/marea_skeleton.dart</x:v>
      </x:c>
    </x:row>
    <x:row r="558" ht="56" customHeight="1">
      <x:c r="A558" s="42" t="str">
        <x:v>INT02.008</x:v>
      </x:c>
      <x:c r="B558" s="42" t="str">
        <x:v>Cargas, botones y paneles compartidos</x:v>
      </x:c>
      <x:c r="C558" s="42" t="str">
        <x:v>INT02</x:v>
      </x:c>
      <x:c r="D558" s="43" t="str">
        <x:v>Crear panel compartido de acciones</x:v>
      </x:c>
      <x:c r="E558" s="43" t="str">
        <x:v>Unificar disposición y estados de superficies.</x:v>
      </x:c>
      <x:c r="F558" s="43" t="str">
        <x:v>Completado</x:v>
      </x:c>
      <x:c r="G558" s="44" t="n">
        <x:v>46296</x:v>
      </x:c>
      <x:c r="H558" s="44" t="n">
        <x:v>46302</x:v>
      </x:c>
      <x:c r="I558" s="45" t="n">
        <x:f>IF(OR(G558="",H558=""),"",SUMPRODUCT(('Cronograma'!$F$8:$P$8&lt;=H558)*('Cronograma'!$F$9:$P$9&gt;=G558)))</x:f>
        <x:v>1</x:v>
      </x:c>
      <x:c r="J558" s="46"/>
      <x:c r="K558" s="46"/>
      <x:c r="L558" s="47"/>
      <x:c r="M558" s="48" t="str"/>
      <x:c r="N558" s="48" t="str"/>
      <x:c r="O558" s="49" t="n">
        <x:v>46301</x:v>
      </x:c>
      <x:c r="P558" s="43" t="str">
        <x:v>Reporte/inspección del checkout al corte</x:v>
      </x:c>
      <x:c r="Q558" s="43" t="str">
        <x:v>INT01, SOC01, PRO02</x:v>
      </x:c>
      <x:c r="R558" s="43" t="str"/>
      <x:c r="S558" s="43" t="str">
        <x:v>Estado reconstruido por inspección del checkout al 06/10/2026 y reportes locales. La fecha de evidencia es la fecha de corte, salvo fecha individual explícita. Sin duración real registrada.</x:v>
      </x:c>
      <x:c r="T558" s="43" t="str">
        <x:v>S095, S098, S099, S100</x:v>
      </x:c>
      <x:c r="U558" s="43" t="str">
        <x:v>docs/implementation/modern-interactions-push-progress.md
lib/shared/widgets/marea_action_button.dart
lib/shared/widgets/marea_panel.dart
lib/shared/widgets/marea_skeleton.dart</x:v>
      </x:c>
    </x:row>
    <x:row r="559" ht="56" customHeight="1">
      <x:c r="A559" s="42" t="str">
        <x:v>INT02.009</x:v>
      </x:c>
      <x:c r="B559" s="42" t="str">
        <x:v>Cargas, botones y paneles compartidos</x:v>
      </x:c>
      <x:c r="C559" s="42" t="str">
        <x:v>INT02</x:v>
      </x:c>
      <x:c r="D559" s="43" t="str">
        <x:v>Reemplazar refresco por indicador lineal</x:v>
      </x:c>
      <x:c r="E559" s="43" t="str">
        <x:v>Conservar contenido durante actualización.</x:v>
      </x:c>
      <x:c r="F559" s="43" t="str">
        <x:v>Completado</x:v>
      </x:c>
      <x:c r="G559" s="44" t="n">
        <x:v>46296</x:v>
      </x:c>
      <x:c r="H559" s="44" t="n">
        <x:v>46302</x:v>
      </x:c>
      <x:c r="I559" s="45" t="n">
        <x:f>IF(OR(G559="",H559=""),"",SUMPRODUCT(('Cronograma'!$F$8:$P$8&lt;=H559)*('Cronograma'!$F$9:$P$9&gt;=G559)))</x:f>
        <x:v>1</x:v>
      </x:c>
      <x:c r="J559" s="46"/>
      <x:c r="K559" s="46"/>
      <x:c r="L559" s="47"/>
      <x:c r="M559" s="48" t="str"/>
      <x:c r="N559" s="48" t="str"/>
      <x:c r="O559" s="49" t="n">
        <x:v>46301</x:v>
      </x:c>
      <x:c r="P559" s="43" t="str">
        <x:v>Reporte/inspección del checkout al corte</x:v>
      </x:c>
      <x:c r="Q559" s="43" t="str">
        <x:v>INT01, SOC01, PRO02</x:v>
      </x:c>
      <x:c r="R559" s="43" t="str"/>
      <x:c r="S559" s="43" t="str">
        <x:v>Estado reconstruido por inspección del checkout al 06/10/2026 y reportes locales. La fecha de evidencia es la fecha de corte, salvo fecha individual explícita. Sin duración real registrada.</x:v>
      </x:c>
      <x:c r="T559" s="43" t="str">
        <x:v>S095, S098, S099, S100</x:v>
      </x:c>
      <x:c r="U559" s="43" t="str">
        <x:v>docs/implementation/modern-interactions-push-progress.md
lib/shared/widgets/marea_action_button.dart
lib/shared/widgets/marea_panel.dart
lib/shared/widgets/marea_skeleton.dart</x:v>
      </x:c>
    </x:row>
    <x:row r="560" ht="56" customHeight="1">
      <x:c r="A560" s="42" t="str">
        <x:v>INT02.010</x:v>
      </x:c>
      <x:c r="B560" s="42" t="str">
        <x:v>Cargas, botones y paneles compartidos</x:v>
      </x:c>
      <x:c r="C560" s="42" t="str">
        <x:v>INT02</x:v>
      </x:c>
      <x:c r="D560" s="43" t="str">
        <x:v>Conservar contenido de showcase al recargar</x:v>
      </x:c>
      <x:c r="E560" s="43" t="str">
        <x:v>No vaciar fichas mientras llega consulta.</x:v>
      </x:c>
      <x:c r="F560" s="43" t="str">
        <x:v>Completado</x:v>
      </x:c>
      <x:c r="G560" s="44" t="n">
        <x:v>46296</x:v>
      </x:c>
      <x:c r="H560" s="44" t="n">
        <x:v>46302</x:v>
      </x:c>
      <x:c r="I560" s="45" t="n">
        <x:f>IF(OR(G560="",H560=""),"",SUMPRODUCT(('Cronograma'!$F$8:$P$8&lt;=H560)*('Cronograma'!$F$9:$P$9&gt;=G560)))</x:f>
        <x:v>1</x:v>
      </x:c>
      <x:c r="J560" s="46"/>
      <x:c r="K560" s="46"/>
      <x:c r="L560" s="47"/>
      <x:c r="M560" s="48" t="str"/>
      <x:c r="N560" s="48" t="str"/>
      <x:c r="O560" s="49" t="n">
        <x:v>46301</x:v>
      </x:c>
      <x:c r="P560" s="43" t="str">
        <x:v>Reporte/inspección del checkout al corte</x:v>
      </x:c>
      <x:c r="Q560" s="43" t="str">
        <x:v>INT01, SOC01, PRO02</x:v>
      </x:c>
      <x:c r="R560" s="43" t="str"/>
      <x:c r="S560" s="43" t="str">
        <x:v>Estado reconstruido por inspección del checkout al 06/10/2026 y reportes locales. La fecha de evidencia es la fecha de corte, salvo fecha individual explícita. Sin duración real registrada.</x:v>
      </x:c>
      <x:c r="T560" s="43" t="str">
        <x:v>S095, S098, S099, S100</x:v>
      </x:c>
      <x:c r="U560" s="43" t="str">
        <x:v>docs/implementation/modern-interactions-push-progress.md
lib/shared/widgets/marea_action_button.dart
lib/shared/widgets/marea_panel.dart
lib/shared/widgets/marea_skeleton.dart</x:v>
      </x:c>
    </x:row>
    <x:row r="561" ht="56" customHeight="1">
      <x:c r="A561" s="42" t="str">
        <x:v>INT02.011</x:v>
      </x:c>
      <x:c r="B561" s="42" t="str">
        <x:v>Cargas, botones y paneles compartidos</x:v>
      </x:c>
      <x:c r="C561" s="42" t="str">
        <x:v>INT02</x:v>
      </x:c>
      <x:c r="D561" s="43" t="str">
        <x:v>Adaptar esqueletos pequeños</x:v>
      </x:c>
      <x:c r="E561" s="43" t="str">
        <x:v>Evitar errores con tamaños mínimos.</x:v>
      </x:c>
      <x:c r="F561" s="43" t="str">
        <x:v>Completado</x:v>
      </x:c>
      <x:c r="G561" s="44" t="n">
        <x:v>46296</x:v>
      </x:c>
      <x:c r="H561" s="44" t="n">
        <x:v>46302</x:v>
      </x:c>
      <x:c r="I561" s="45" t="n">
        <x:f>IF(OR(G561="",H561=""),"",SUMPRODUCT(('Cronograma'!$F$8:$P$8&lt;=H561)*('Cronograma'!$F$9:$P$9&gt;=G561)))</x:f>
        <x:v>1</x:v>
      </x:c>
      <x:c r="J561" s="46"/>
      <x:c r="K561" s="46"/>
      <x:c r="L561" s="47"/>
      <x:c r="M561" s="48" t="str"/>
      <x:c r="N561" s="48" t="str"/>
      <x:c r="O561" s="49" t="n">
        <x:v>46301</x:v>
      </x:c>
      <x:c r="P561" s="43" t="str">
        <x:v>Reporte/inspección del checkout al corte</x:v>
      </x:c>
      <x:c r="Q561" s="43" t="str">
        <x:v>INT01, SOC01, PRO02</x:v>
      </x:c>
      <x:c r="R561" s="43" t="str"/>
      <x:c r="S561" s="43" t="str">
        <x:v>Estado reconstruido por inspección del checkout al 06/10/2026 y reportes locales. La fecha de evidencia es la fecha de corte, salvo fecha individual explícita. Sin duración real registrada.</x:v>
      </x:c>
      <x:c r="T561" s="43" t="str">
        <x:v>S095, S098, S099, S100</x:v>
      </x:c>
      <x:c r="U561" s="43" t="str">
        <x:v>docs/implementation/modern-interactions-push-progress.md
lib/shared/widgets/marea_action_button.dart
lib/shared/widgets/marea_panel.dart
lib/shared/widgets/marea_skeleton.dart</x:v>
      </x:c>
    </x:row>
    <x:row r="562" ht="56" customHeight="1">
      <x:c r="A562" s="42" t="str">
        <x:v>INT02.012</x:v>
      </x:c>
      <x:c r="B562" s="42" t="str">
        <x:v>Cargas, botones y paneles compartidos</x:v>
      </x:c>
      <x:c r="C562" s="42" t="str">
        <x:v>INT02</x:v>
      </x:c>
      <x:c r="D562" s="43" t="str">
        <x:v>Respetar movimiento reducido</x:v>
      </x:c>
      <x:c r="E562" s="43" t="str">
        <x:v>Mantener experiencia usable sin animaciones innecesarias.</x:v>
      </x:c>
      <x:c r="F562" s="43" t="str">
        <x:v>Completado</x:v>
      </x:c>
      <x:c r="G562" s="44" t="n">
        <x:v>46296</x:v>
      </x:c>
      <x:c r="H562" s="44" t="n">
        <x:v>46302</x:v>
      </x:c>
      <x:c r="I562" s="45" t="n">
        <x:f>IF(OR(G562="",H562=""),"",SUMPRODUCT(('Cronograma'!$F$8:$P$8&lt;=H562)*('Cronograma'!$F$9:$P$9&gt;=G562)))</x:f>
        <x:v>1</x:v>
      </x:c>
      <x:c r="J562" s="46"/>
      <x:c r="K562" s="46"/>
      <x:c r="L562" s="47"/>
      <x:c r="M562" s="48" t="str"/>
      <x:c r="N562" s="48" t="str"/>
      <x:c r="O562" s="49" t="n">
        <x:v>46301</x:v>
      </x:c>
      <x:c r="P562" s="43" t="str">
        <x:v>Reporte/inspección del checkout al corte</x:v>
      </x:c>
      <x:c r="Q562" s="43" t="str">
        <x:v>INT01, SOC01, PRO02</x:v>
      </x:c>
      <x:c r="R562" s="43" t="str"/>
      <x:c r="S562" s="43" t="str">
        <x:v>Estado reconstruido por inspección del checkout al 06/10/2026 y reportes locales. La fecha de evidencia es la fecha de corte, salvo fecha individual explícita. Sin duración real registrada.</x:v>
      </x:c>
      <x:c r="T562" s="43" t="str">
        <x:v>S095, S098, S099, S100</x:v>
      </x:c>
      <x:c r="U562" s="43" t="str">
        <x:v>docs/implementation/modern-interactions-push-progress.md
lib/shared/widgets/marea_action_button.dart
lib/shared/widgets/marea_panel.dart
lib/shared/widgets/marea_skeleton.dart</x:v>
      </x:c>
    </x:row>
    <x:row r="563" ht="56" customHeight="1">
      <x:c r="A563" s="42" t="str">
        <x:v>INT02.013</x:v>
      </x:c>
      <x:c r="B563" s="42" t="str">
        <x:v>Cargas, botones y paneles compartidos</x:v>
      </x:c>
      <x:c r="C563" s="42" t="str">
        <x:v>INT02</x:v>
      </x:c>
      <x:c r="D563" s="43" t="str">
        <x:v>Abreviar Acciones a Más donde corresponde</x:v>
      </x:c>
      <x:c r="E563" s="43" t="str">
        <x:v>Evitar desbordamiento con texto ampliado.</x:v>
      </x:c>
      <x:c r="F563" s="43" t="str">
        <x:v>Completado</x:v>
      </x:c>
      <x:c r="G563" s="44" t="n">
        <x:v>46296</x:v>
      </x:c>
      <x:c r="H563" s="44" t="n">
        <x:v>46302</x:v>
      </x:c>
      <x:c r="I563" s="45" t="n">
        <x:f>IF(OR(G563="",H563=""),"",SUMPRODUCT(('Cronograma'!$F$8:$P$8&lt;=H563)*('Cronograma'!$F$9:$P$9&gt;=G563)))</x:f>
        <x:v>1</x:v>
      </x:c>
      <x:c r="J563" s="46"/>
      <x:c r="K563" s="46"/>
      <x:c r="L563" s="47"/>
      <x:c r="M563" s="48" t="str"/>
      <x:c r="N563" s="48" t="str"/>
      <x:c r="O563" s="49" t="n">
        <x:v>46301</x:v>
      </x:c>
      <x:c r="P563" s="43" t="str">
        <x:v>Reporte/inspección del checkout al corte</x:v>
      </x:c>
      <x:c r="Q563" s="43" t="str">
        <x:v>INT01, SOC01, PRO02</x:v>
      </x:c>
      <x:c r="R563" s="43" t="str"/>
      <x:c r="S563" s="43" t="str">
        <x:v>Estado reconstruido por inspección del checkout al 06/10/2026 y reportes locales. La fecha de evidencia es la fecha de corte, salvo fecha individual explícita. Sin duración real registrada.</x:v>
      </x:c>
      <x:c r="T563" s="43" t="str">
        <x:v>S095, S098, S099, S100</x:v>
      </x:c>
      <x:c r="U563" s="43" t="str">
        <x:v>docs/implementation/modern-interactions-push-progress.md
lib/shared/widgets/marea_action_button.dart
lib/shared/widgets/marea_panel.dart
lib/shared/widgets/marea_skeleton.dart</x:v>
      </x:c>
    </x:row>
    <x:row r="564" ht="56" customHeight="1">
      <x:c r="A564" s="42" t="str">
        <x:v>PUS01.001</x:v>
      </x:c>
      <x:c r="B564" s="42" t="str">
        <x:v>Cliente Android de notificaciones y preferencias</x:v>
      </x:c>
      <x:c r="C564" s="42" t="str">
        <x:v>PUS01</x:v>
      </x:c>
      <x:c r="D564" s="43" t="str">
        <x:v>Crear modelos de preferencias de notificación</x:v>
      </x:c>
      <x:c r="E564" s="43" t="str">
        <x:v>Representar permisos de eventos y mensajes.</x:v>
      </x:c>
      <x:c r="F564" s="43" t="str">
        <x:v>Completado</x:v>
      </x:c>
      <x:c r="G564" s="44" t="n">
        <x:v>46296</x:v>
      </x:c>
      <x:c r="H564" s="44" t="n">
        <x:v>46302</x:v>
      </x:c>
      <x:c r="I564" s="45" t="n">
        <x:f>IF(OR(G564="",H564=""),"",SUMPRODUCT(('Cronograma'!$F$8:$P$8&lt;=H564)*('Cronograma'!$F$9:$P$9&gt;=G564)))</x:f>
        <x:v>1</x:v>
      </x:c>
      <x:c r="J564" s="46"/>
      <x:c r="K564" s="46"/>
      <x:c r="L564" s="47"/>
      <x:c r="M564" s="48" t="str"/>
      <x:c r="N564" s="48" t="str"/>
      <x:c r="O564" s="49" t="n">
        <x:v>46301</x:v>
      </x:c>
      <x:c r="P564" s="43" t="str">
        <x:v>Reporte/inspección del checkout al corte</x:v>
      </x:c>
      <x:c r="Q564" s="43" t="str">
        <x:v>SOC04, INT02</x:v>
      </x:c>
      <x:c r="R564" s="43" t="str"/>
      <x:c r="S564" s="43" t="str">
        <x:v>Estado reconstruido por inspección del checkout al 06/10/2026 y reportes locales. La fecha de evidencia es la fecha de corte, salvo fecha individual explícita. Sin duración real registrada.</x:v>
      </x:c>
      <x:c r="T564" s="43" t="str">
        <x:v>S101, S102, S103, S104</x:v>
      </x:c>
      <x:c r="U564" s="43" t="str">
        <x:v>docs/android-push.md
lib/features/notifications/data/push_controller.dart
lib/features/notifications/data/android_push_gateway.dart
lib/features/notifications/presentation/notification_settings.dart</x:v>
      </x:c>
    </x:row>
    <x:row r="565" ht="56" customHeight="1">
      <x:c r="A565" s="42" t="str">
        <x:v>PUS01.002</x:v>
      </x:c>
      <x:c r="B565" s="42" t="str">
        <x:v>Cliente Android de notificaciones y preferencias</x:v>
      </x:c>
      <x:c r="C565" s="42" t="str">
        <x:v>PUS01</x:v>
      </x:c>
      <x:c r="D565" s="43" t="str">
        <x:v>Crear repositorio de preferencias</x:v>
      </x:c>
      <x:c r="E565" s="43" t="str">
        <x:v>Persistir opciones privadas en Supabase.</x:v>
      </x:c>
      <x:c r="F565" s="43" t="str">
        <x:v>Completado</x:v>
      </x:c>
      <x:c r="G565" s="44" t="n">
        <x:v>46296</x:v>
      </x:c>
      <x:c r="H565" s="44" t="n">
        <x:v>46302</x:v>
      </x:c>
      <x:c r="I565" s="45" t="n">
        <x:f>IF(OR(G565="",H565=""),"",SUMPRODUCT(('Cronograma'!$F$8:$P$8&lt;=H565)*('Cronograma'!$F$9:$P$9&gt;=G565)))</x:f>
        <x:v>1</x:v>
      </x:c>
      <x:c r="J565" s="46"/>
      <x:c r="K565" s="46"/>
      <x:c r="L565" s="47"/>
      <x:c r="M565" s="48" t="str"/>
      <x:c r="N565" s="48" t="str"/>
      <x:c r="O565" s="49" t="n">
        <x:v>46301</x:v>
      </x:c>
      <x:c r="P565" s="43" t="str">
        <x:v>Reporte/inspección del checkout al corte</x:v>
      </x:c>
      <x:c r="Q565" s="43" t="str">
        <x:v>SOC04, INT02</x:v>
      </x:c>
      <x:c r="R565" s="43" t="str"/>
      <x:c r="S565" s="43" t="str">
        <x:v>Estado reconstruido por inspección del checkout al 06/10/2026 y reportes locales. La fecha de evidencia es la fecha de corte, salvo fecha individual explícita. Sin duración real registrada.</x:v>
      </x:c>
      <x:c r="T565" s="43" t="str">
        <x:v>S101, S102, S103, S104</x:v>
      </x:c>
      <x:c r="U565" s="43" t="str">
        <x:v>docs/android-push.md
lib/features/notifications/data/push_controller.dart
lib/features/notifications/data/android_push_gateway.dart
lib/features/notifications/presentation/notification_settings.dart</x:v>
      </x:c>
    </x:row>
    <x:row r="566" ht="56" customHeight="1">
      <x:c r="A566" s="42" t="str">
        <x:v>PUS01.003</x:v>
      </x:c>
      <x:c r="B566" s="42" t="str">
        <x:v>Cliente Android de notificaciones y preferencias</x:v>
      </x:c>
      <x:c r="C566" s="42" t="str">
        <x:v>PUS01</x:v>
      </x:c>
      <x:c r="D566" s="43" t="str">
        <x:v>Crear abstracción PushGateway</x:v>
      </x:c>
      <x:c r="E566" s="43" t="str">
        <x:v>Separar Android de clientes con bandeja únicamente.</x:v>
      </x:c>
      <x:c r="F566" s="43" t="str">
        <x:v>Completado</x:v>
      </x:c>
      <x:c r="G566" s="44" t="n">
        <x:v>46296</x:v>
      </x:c>
      <x:c r="H566" s="44" t="n">
        <x:v>46302</x:v>
      </x:c>
      <x:c r="I566" s="45" t="n">
        <x:f>IF(OR(G566="",H566=""),"",SUMPRODUCT(('Cronograma'!$F$8:$P$8&lt;=H566)*('Cronograma'!$F$9:$P$9&gt;=G566)))</x:f>
        <x:v>1</x:v>
      </x:c>
      <x:c r="J566" s="46"/>
      <x:c r="K566" s="46"/>
      <x:c r="L566" s="47"/>
      <x:c r="M566" s="48" t="str"/>
      <x:c r="N566" s="48" t="str"/>
      <x:c r="O566" s="49" t="n">
        <x:v>46301</x:v>
      </x:c>
      <x:c r="P566" s="43" t="str">
        <x:v>Reporte/inspección del checkout al corte</x:v>
      </x:c>
      <x:c r="Q566" s="43" t="str">
        <x:v>SOC04, INT02</x:v>
      </x:c>
      <x:c r="R566" s="43" t="str"/>
      <x:c r="S566" s="43" t="str">
        <x:v>Estado reconstruido por inspección del checkout al 06/10/2026 y reportes locales. La fecha de evidencia es la fecha de corte, salvo fecha individual explícita. Sin duración real registrada.</x:v>
      </x:c>
      <x:c r="T566" s="43" t="str">
        <x:v>S101, S102, S103, S104</x:v>
      </x:c>
      <x:c r="U566" s="43" t="str">
        <x:v>docs/android-push.md
lib/features/notifications/data/push_controller.dart
lib/features/notifications/data/android_push_gateway.dart
lib/features/notifications/presentation/notification_settings.dart</x:v>
      </x:c>
    </x:row>
    <x:row r="567" ht="56" customHeight="1">
      <x:c r="A567" s="42" t="str">
        <x:v>PUS01.004</x:v>
      </x:c>
      <x:c r="B567" s="42" t="str">
        <x:v>Cliente Android de notificaciones y preferencias</x:v>
      </x:c>
      <x:c r="C567" s="42" t="str">
        <x:v>PUS01</x:v>
      </x:c>
      <x:c r="D567" s="43" t="str">
        <x:v>Inicializar Firebase solo en transporte Android</x:v>
      </x:c>
      <x:c r="E567" s="43" t="str">
        <x:v>Mantener Web e iOS con bandeja interna.</x:v>
      </x:c>
      <x:c r="F567" s="43" t="str">
        <x:v>Completado</x:v>
      </x:c>
      <x:c r="G567" s="44" t="n">
        <x:v>46296</x:v>
      </x:c>
      <x:c r="H567" s="44" t="n">
        <x:v>46302</x:v>
      </x:c>
      <x:c r="I567" s="45" t="n">
        <x:f>IF(OR(G567="",H567=""),"",SUMPRODUCT(('Cronograma'!$F$8:$P$8&lt;=H567)*('Cronograma'!$F$9:$P$9&gt;=G567)))</x:f>
        <x:v>1</x:v>
      </x:c>
      <x:c r="J567" s="46"/>
      <x:c r="K567" s="46"/>
      <x:c r="L567" s="47"/>
      <x:c r="M567" s="48" t="str"/>
      <x:c r="N567" s="48" t="str"/>
      <x:c r="O567" s="49" t="n">
        <x:v>46301</x:v>
      </x:c>
      <x:c r="P567" s="43" t="str">
        <x:v>Reporte/inspección del checkout al corte</x:v>
      </x:c>
      <x:c r="Q567" s="43" t="str">
        <x:v>SOC04, INT02</x:v>
      </x:c>
      <x:c r="R567" s="43" t="str"/>
      <x:c r="S567" s="43" t="str">
        <x:v>Estado reconstruido por inspección del checkout al 06/10/2026 y reportes locales. La fecha de evidencia es la fecha de corte, salvo fecha individual explícita. Sin duración real registrada.</x:v>
      </x:c>
      <x:c r="T567" s="43" t="str">
        <x:v>S101, S102, S103, S104</x:v>
      </x:c>
      <x:c r="U567" s="43" t="str">
        <x:v>docs/android-push.md
lib/features/notifications/data/push_controller.dart
lib/features/notifications/data/android_push_gateway.dart
lib/features/notifications/presentation/notification_settings.dart</x:v>
      </x:c>
    </x:row>
    <x:row r="568" ht="56" customHeight="1">
      <x:c r="A568" s="42" t="str">
        <x:v>PUS01.005</x:v>
      </x:c>
      <x:c r="B568" s="42" t="str">
        <x:v>Cliente Android de notificaciones y preferencias</x:v>
      </x:c>
      <x:c r="C568" s="42" t="str">
        <x:v>PUS01</x:v>
      </x:c>
      <x:c r="D568" s="43" t="str">
        <x:v>Solicitar permiso de avisos del celular</x:v>
      </x:c>
      <x:c r="E568" s="43" t="str">
        <x:v>Hacer explícita la autorización del dispositivo.</x:v>
      </x:c>
      <x:c r="F568" s="43" t="str">
        <x:v>Completado</x:v>
      </x:c>
      <x:c r="G568" s="44" t="n">
        <x:v>46296</x:v>
      </x:c>
      <x:c r="H568" s="44" t="n">
        <x:v>46302</x:v>
      </x:c>
      <x:c r="I568" s="45" t="n">
        <x:f>IF(OR(G568="",H568=""),"",SUMPRODUCT(('Cronograma'!$F$8:$P$8&lt;=H568)*('Cronograma'!$F$9:$P$9&gt;=G568)))</x:f>
        <x:v>1</x:v>
      </x:c>
      <x:c r="J568" s="46"/>
      <x:c r="K568" s="46"/>
      <x:c r="L568" s="47"/>
      <x:c r="M568" s="48" t="str"/>
      <x:c r="N568" s="48" t="str"/>
      <x:c r="O568" s="49" t="n">
        <x:v>46301</x:v>
      </x:c>
      <x:c r="P568" s="43" t="str">
        <x:v>Reporte/inspección del checkout al corte</x:v>
      </x:c>
      <x:c r="Q568" s="43" t="str">
        <x:v>SOC04, INT02</x:v>
      </x:c>
      <x:c r="R568" s="43" t="str"/>
      <x:c r="S568" s="43" t="str">
        <x:v>Estado reconstruido por inspección del checkout al 06/10/2026 y reportes locales. La fecha de evidencia es la fecha de corte, salvo fecha individual explícita. Sin duración real registrada.</x:v>
      </x:c>
      <x:c r="T568" s="43" t="str">
        <x:v>S101, S102, S103, S104</x:v>
      </x:c>
      <x:c r="U568" s="43" t="str">
        <x:v>docs/android-push.md
lib/features/notifications/data/push_controller.dart
lib/features/notifications/data/android_push_gateway.dart
lib/features/notifications/presentation/notification_settings.dart</x:v>
      </x:c>
    </x:row>
    <x:row r="569" ht="56" customHeight="1">
      <x:c r="A569" s="42" t="str">
        <x:v>PUS01.006</x:v>
      </x:c>
      <x:c r="B569" s="42" t="str">
        <x:v>Cliente Android de notificaciones y preferencias</x:v>
      </x:c>
      <x:c r="C569" s="42" t="str">
        <x:v>PUS01</x:v>
      </x:c>
      <x:c r="D569" s="43" t="str">
        <x:v>Registrar dispositivo y token FCM</x:v>
      </x:c>
      <x:c r="E569" s="43" t="str">
        <x:v>Asociar versión del token a la cuenta activa.</x:v>
      </x:c>
      <x:c r="F569" s="43" t="str">
        <x:v>Completado</x:v>
      </x:c>
      <x:c r="G569" s="44" t="n">
        <x:v>46296</x:v>
      </x:c>
      <x:c r="H569" s="44" t="n">
        <x:v>46302</x:v>
      </x:c>
      <x:c r="I569" s="45" t="n">
        <x:f>IF(OR(G569="",H569=""),"",SUMPRODUCT(('Cronograma'!$F$8:$P$8&lt;=H569)*('Cronograma'!$F$9:$P$9&gt;=G569)))</x:f>
        <x:v>1</x:v>
      </x:c>
      <x:c r="J569" s="46"/>
      <x:c r="K569" s="46"/>
      <x:c r="L569" s="47"/>
      <x:c r="M569" s="48" t="str"/>
      <x:c r="N569" s="48" t="str"/>
      <x:c r="O569" s="49" t="n">
        <x:v>46301</x:v>
      </x:c>
      <x:c r="P569" s="43" t="str">
        <x:v>Reporte/inspección del checkout al corte</x:v>
      </x:c>
      <x:c r="Q569" s="43" t="str">
        <x:v>SOC04, INT02</x:v>
      </x:c>
      <x:c r="R569" s="43" t="str"/>
      <x:c r="S569" s="43" t="str">
        <x:v>Estado reconstruido por inspección del checkout al 06/10/2026 y reportes locales. La fecha de evidencia es la fecha de corte, salvo fecha individual explícita. Sin duración real registrada.</x:v>
      </x:c>
      <x:c r="T569" s="43" t="str">
        <x:v>S101, S102, S103, S104</x:v>
      </x:c>
      <x:c r="U569" s="43" t="str">
        <x:v>docs/android-push.md
lib/features/notifications/data/push_controller.dart
lib/features/notifications/data/android_push_gateway.dart
lib/features/notifications/presentation/notification_settings.dart</x:v>
      </x:c>
    </x:row>
    <x:row r="570" ht="56" customHeight="1">
      <x:c r="A570" s="42" t="str">
        <x:v>PUS01.007</x:v>
      </x:c>
      <x:c r="B570" s="42" t="str">
        <x:v>Cliente Android de notificaciones y preferencias</x:v>
      </x:c>
      <x:c r="C570" s="42" t="str">
        <x:v>PUS01</x:v>
      </x:c>
      <x:c r="D570" s="43" t="str">
        <x:v>Actualizar registro tras renovación del token</x:v>
      </x:c>
      <x:c r="E570" s="43" t="str">
        <x:v>Evitar conservar un token anterior como vigente.</x:v>
      </x:c>
      <x:c r="F570" s="43" t="str">
        <x:v>Completado</x:v>
      </x:c>
      <x:c r="G570" s="44" t="n">
        <x:v>46296</x:v>
      </x:c>
      <x:c r="H570" s="44" t="n">
        <x:v>46302</x:v>
      </x:c>
      <x:c r="I570" s="45" t="n">
        <x:f>IF(OR(G570="",H570=""),"",SUMPRODUCT(('Cronograma'!$F$8:$P$8&lt;=H570)*('Cronograma'!$F$9:$P$9&gt;=G570)))</x:f>
        <x:v>1</x:v>
      </x:c>
      <x:c r="J570" s="46"/>
      <x:c r="K570" s="46"/>
      <x:c r="L570" s="47"/>
      <x:c r="M570" s="48" t="str"/>
      <x:c r="N570" s="48" t="str"/>
      <x:c r="O570" s="49" t="n">
        <x:v>46301</x:v>
      </x:c>
      <x:c r="P570" s="43" t="str">
        <x:v>Reporte/inspección del checkout al corte</x:v>
      </x:c>
      <x:c r="Q570" s="43" t="str">
        <x:v>SOC04, INT02</x:v>
      </x:c>
      <x:c r="R570" s="43" t="str"/>
      <x:c r="S570" s="43" t="str">
        <x:v>Estado reconstruido por inspección del checkout al 06/10/2026 y reportes locales. La fecha de evidencia es la fecha de corte, salvo fecha individual explícita. Sin duración real registrada.</x:v>
      </x:c>
      <x:c r="T570" s="43" t="str">
        <x:v>S101, S102, S103, S104</x:v>
      </x:c>
      <x:c r="U570" s="43" t="str">
        <x:v>docs/android-push.md
lib/features/notifications/data/push_controller.dart
lib/features/notifications/data/android_push_gateway.dart
lib/features/notifications/presentation/notification_settings.dart</x:v>
      </x:c>
    </x:row>
    <x:row r="571" ht="56" customHeight="1">
      <x:c r="A571" s="42" t="str">
        <x:v>PUS01.008</x:v>
      </x:c>
      <x:c r="B571" s="42" t="str">
        <x:v>Cliente Android de notificaciones y preferencias</x:v>
      </x:c>
      <x:c r="C571" s="42" t="str">
        <x:v>PUS01</x:v>
      </x:c>
      <x:c r="D571" s="43" t="str">
        <x:v>Mostrar configuración de notificaciones</x:v>
      </x:c>
      <x:c r="E571" s="43" t="str">
        <x:v>Permitir cambiar preferencias desde ajustes.</x:v>
      </x:c>
      <x:c r="F571" s="43" t="str">
        <x:v>Completado</x:v>
      </x:c>
      <x:c r="G571" s="44" t="n">
        <x:v>46296</x:v>
      </x:c>
      <x:c r="H571" s="44" t="n">
        <x:v>46302</x:v>
      </x:c>
      <x:c r="I571" s="45" t="n">
        <x:f>IF(OR(G571="",H571=""),"",SUMPRODUCT(('Cronograma'!$F$8:$P$8&lt;=H571)*('Cronograma'!$F$9:$P$9&gt;=G571)))</x:f>
        <x:v>1</x:v>
      </x:c>
      <x:c r="J571" s="46"/>
      <x:c r="K571" s="46"/>
      <x:c r="L571" s="47"/>
      <x:c r="M571" s="48" t="str"/>
      <x:c r="N571" s="48" t="str"/>
      <x:c r="O571" s="49" t="n">
        <x:v>46301</x:v>
      </x:c>
      <x:c r="P571" s="43" t="str">
        <x:v>Reporte/inspección del checkout al corte</x:v>
      </x:c>
      <x:c r="Q571" s="43" t="str">
        <x:v>SOC04, INT02</x:v>
      </x:c>
      <x:c r="R571" s="43" t="str"/>
      <x:c r="S571" s="43" t="str">
        <x:v>Estado reconstruido por inspección del checkout al 06/10/2026 y reportes locales. La fecha de evidencia es la fecha de corte, salvo fecha individual explícita. Sin duración real registrada.</x:v>
      </x:c>
      <x:c r="T571" s="43" t="str">
        <x:v>S101, S102, S103, S104</x:v>
      </x:c>
      <x:c r="U571" s="43" t="str">
        <x:v>docs/android-push.md
lib/features/notifications/data/push_controller.dart
lib/features/notifications/data/android_push_gateway.dart
lib/features/notifications/presentation/notification_settings.dart</x:v>
      </x:c>
    </x:row>
    <x:row r="572" ht="56" customHeight="1">
      <x:c r="A572" s="42" t="str">
        <x:v>PUS01.009</x:v>
      </x:c>
      <x:c r="B572" s="42" t="str">
        <x:v>Cliente Android de notificaciones y preferencias</x:v>
      </x:c>
      <x:c r="C572" s="42" t="str">
        <x:v>PUS01</x:v>
      </x:c>
      <x:c r="D572" s="43" t="str">
        <x:v>Desactivar mensajes ocasionales</x:v>
      </x:c>
      <x:c r="E572" s="43" t="str">
        <x:v>Cancelar pendientes al retirar preferencia.</x:v>
      </x:c>
      <x:c r="F572" s="43" t="str">
        <x:v>Completado</x:v>
      </x:c>
      <x:c r="G572" s="44" t="n">
        <x:v>46296</x:v>
      </x:c>
      <x:c r="H572" s="44" t="n">
        <x:v>46302</x:v>
      </x:c>
      <x:c r="I572" s="45" t="n">
        <x:f>IF(OR(G572="",H572=""),"",SUMPRODUCT(('Cronograma'!$F$8:$P$8&lt;=H572)*('Cronograma'!$F$9:$P$9&gt;=G572)))</x:f>
        <x:v>1</x:v>
      </x:c>
      <x:c r="J572" s="46"/>
      <x:c r="K572" s="46"/>
      <x:c r="L572" s="47"/>
      <x:c r="M572" s="48" t="str"/>
      <x:c r="N572" s="48" t="str"/>
      <x:c r="O572" s="49" t="n">
        <x:v>46301</x:v>
      </x:c>
      <x:c r="P572" s="43" t="str">
        <x:v>Reporte/inspección del checkout al corte</x:v>
      </x:c>
      <x:c r="Q572" s="43" t="str">
        <x:v>SOC04, INT02</x:v>
      </x:c>
      <x:c r="R572" s="43" t="str"/>
      <x:c r="S572" s="43" t="str">
        <x:v>Estado reconstruido por inspección del checkout al 06/10/2026 y reportes locales. La fecha de evidencia es la fecha de corte, salvo fecha individual explícita. Sin duración real registrada.</x:v>
      </x:c>
      <x:c r="T572" s="43" t="str">
        <x:v>S101, S102, S103, S104</x:v>
      </x:c>
      <x:c r="U572" s="43" t="str">
        <x:v>docs/android-push.md
lib/features/notifications/data/push_controller.dart
lib/features/notifications/data/android_push_gateway.dart
lib/features/notifications/presentation/notification_settings.dart</x:v>
      </x:c>
    </x:row>
    <x:row r="573" ht="56" customHeight="1">
      <x:c r="A573" s="42" t="str">
        <x:v>PUS01.010</x:v>
      </x:c>
      <x:c r="B573" s="42" t="str">
        <x:v>Cliente Android de notificaciones y preferencias</x:v>
      </x:c>
      <x:c r="C573" s="42" t="str">
        <x:v>PUS01</x:v>
      </x:c>
      <x:c r="D573" s="43" t="str">
        <x:v>Presentar aviso local en primer plano</x:v>
      </x:c>
      <x:c r="E573" s="43" t="str">
        <x:v>Evitar duplicación del mismo evento.</x:v>
      </x:c>
      <x:c r="F573" s="43" t="str">
        <x:v>Completado</x:v>
      </x:c>
      <x:c r="G573" s="44" t="n">
        <x:v>46296</x:v>
      </x:c>
      <x:c r="H573" s="44" t="n">
        <x:v>46302</x:v>
      </x:c>
      <x:c r="I573" s="45" t="n">
        <x:f>IF(OR(G573="",H573=""),"",SUMPRODUCT(('Cronograma'!$F$8:$P$8&lt;=H573)*('Cronograma'!$F$9:$P$9&gt;=G573)))</x:f>
        <x:v>1</x:v>
      </x:c>
      <x:c r="J573" s="46"/>
      <x:c r="K573" s="46"/>
      <x:c r="L573" s="47"/>
      <x:c r="M573" s="48" t="str"/>
      <x:c r="N573" s="48" t="str"/>
      <x:c r="O573" s="49" t="n">
        <x:v>46301</x:v>
      </x:c>
      <x:c r="P573" s="43" t="str">
        <x:v>Reporte/inspección del checkout al corte</x:v>
      </x:c>
      <x:c r="Q573" s="43" t="str">
        <x:v>SOC04, INT02</x:v>
      </x:c>
      <x:c r="R573" s="43" t="str"/>
      <x:c r="S573" s="43" t="str">
        <x:v>Estado reconstruido por inspección del checkout al 06/10/2026 y reportes locales. La fecha de evidencia es la fecha de corte, salvo fecha individual explícita. Sin duración real registrada.</x:v>
      </x:c>
      <x:c r="T573" s="43" t="str">
        <x:v>S101, S102, S103, S104</x:v>
      </x:c>
      <x:c r="U573" s="43" t="str">
        <x:v>docs/android-push.md
lib/features/notifications/data/push_controller.dart
lib/features/notifications/data/android_push_gateway.dart
lib/features/notifications/presentation/notification_settings.dart</x:v>
      </x:c>
    </x:row>
    <x:row r="574" ht="56" customHeight="1">
      <x:c r="A574" s="42" t="str">
        <x:v>PUS01.011</x:v>
      </x:c>
      <x:c r="B574" s="42" t="str">
        <x:v>Cliente Android de notificaciones y preferencias</x:v>
      </x:c>
      <x:c r="C574" s="42" t="str">
        <x:v>PUS01</x:v>
      </x:c>
      <x:c r="D574" s="43" t="str">
        <x:v>Recibir apertura de aviso en segundo plano</x:v>
      </x:c>
      <x:c r="E574" s="43" t="str">
        <x:v>Resolver destino compartido con la bandeja.</x:v>
      </x:c>
      <x:c r="F574" s="43" t="str">
        <x:v>Completado</x:v>
      </x:c>
      <x:c r="G574" s="44" t="n">
        <x:v>46296</x:v>
      </x:c>
      <x:c r="H574" s="44" t="n">
        <x:v>46302</x:v>
      </x:c>
      <x:c r="I574" s="45" t="n">
        <x:f>IF(OR(G574="",H574=""),"",SUMPRODUCT(('Cronograma'!$F$8:$P$8&lt;=H574)*('Cronograma'!$F$9:$P$9&gt;=G574)))</x:f>
        <x:v>1</x:v>
      </x:c>
      <x:c r="J574" s="46"/>
      <x:c r="K574" s="46"/>
      <x:c r="L574" s="47"/>
      <x:c r="M574" s="48" t="str"/>
      <x:c r="N574" s="48" t="str"/>
      <x:c r="O574" s="49" t="n">
        <x:v>46301</x:v>
      </x:c>
      <x:c r="P574" s="43" t="str">
        <x:v>Reporte/inspección del checkout al corte</x:v>
      </x:c>
      <x:c r="Q574" s="43" t="str">
        <x:v>SOC04, INT02</x:v>
      </x:c>
      <x:c r="R574" s="43" t="str"/>
      <x:c r="S574" s="43" t="str">
        <x:v>Estado reconstruido por inspección del checkout al 06/10/2026 y reportes locales. La fecha de evidencia es la fecha de corte, salvo fecha individual explícita. Sin duración real registrada.</x:v>
      </x:c>
      <x:c r="T574" s="43" t="str">
        <x:v>S101, S102, S103, S104</x:v>
      </x:c>
      <x:c r="U574" s="43" t="str">
        <x:v>docs/android-push.md
lib/features/notifications/data/push_controller.dart
lib/features/notifications/data/android_push_gateway.dart
lib/features/notifications/presentation/notification_settings.dart</x:v>
      </x:c>
    </x:row>
    <x:row r="575" ht="56" customHeight="1">
      <x:c r="A575" s="42" t="str">
        <x:v>PUS01.012</x:v>
      </x:c>
      <x:c r="B575" s="42" t="str">
        <x:v>Cliente Android de notificaciones y preferencias</x:v>
      </x:c>
      <x:c r="C575" s="42" t="str">
        <x:v>PUS01</x:v>
      </x:c>
      <x:c r="D575" s="43" t="str">
        <x:v>Recibir apertura con proceso cerrado</x:v>
      </x:c>
      <x:c r="E575" s="43" t="str">
        <x:v>Recuperar ruta desde arranque en frío.</x:v>
      </x:c>
      <x:c r="F575" s="43" t="str">
        <x:v>Completado</x:v>
      </x:c>
      <x:c r="G575" s="44" t="n">
        <x:v>46296</x:v>
      </x:c>
      <x:c r="H575" s="44" t="n">
        <x:v>46302</x:v>
      </x:c>
      <x:c r="I575" s="45" t="n">
        <x:f>IF(OR(G575="",H575=""),"",SUMPRODUCT(('Cronograma'!$F$8:$P$8&lt;=H575)*('Cronograma'!$F$9:$P$9&gt;=G575)))</x:f>
        <x:v>1</x:v>
      </x:c>
      <x:c r="J575" s="46"/>
      <x:c r="K575" s="46"/>
      <x:c r="L575" s="47"/>
      <x:c r="M575" s="48" t="str"/>
      <x:c r="N575" s="48" t="str"/>
      <x:c r="O575" s="49" t="n">
        <x:v>46301</x:v>
      </x:c>
      <x:c r="P575" s="43" t="str">
        <x:v>Reporte/inspección del checkout al corte</x:v>
      </x:c>
      <x:c r="Q575" s="43" t="str">
        <x:v>SOC04, INT02</x:v>
      </x:c>
      <x:c r="R575" s="43" t="str"/>
      <x:c r="S575" s="43" t="str">
        <x:v>Estado reconstruido por inspección del checkout al 06/10/2026 y reportes locales. La fecha de evidencia es la fecha de corte, salvo fecha individual explícita. Sin duración real registrada.</x:v>
      </x:c>
      <x:c r="T575" s="43" t="str">
        <x:v>S101, S102, S103, S104</x:v>
      </x:c>
      <x:c r="U575" s="43" t="str">
        <x:v>docs/android-push.md
lib/features/notifications/data/push_controller.dart
lib/features/notifications/data/android_push_gateway.dart
lib/features/notifications/presentation/notification_settings.dart</x:v>
      </x:c>
    </x:row>
    <x:row r="576" ht="56" customHeight="1">
      <x:c r="A576" s="42" t="str">
        <x:v>PUS01.013</x:v>
      </x:c>
      <x:c r="B576" s="42" t="str">
        <x:v>Cliente Android de notificaciones y preferencias</x:v>
      </x:c>
      <x:c r="C576" s="42" t="str">
        <x:v>PUS01</x:v>
      </x:c>
      <x:c r="D576" s="43" t="str">
        <x:v>Marcar lectura al abrir destino de push</x:v>
      </x:c>
      <x:c r="E576" s="43" t="str">
        <x:v>Coordinar navegación con read_at.</x:v>
      </x:c>
      <x:c r="F576" s="43" t="str">
        <x:v>Completado</x:v>
      </x:c>
      <x:c r="G576" s="44" t="n">
        <x:v>46296</x:v>
      </x:c>
      <x:c r="H576" s="44" t="n">
        <x:v>46302</x:v>
      </x:c>
      <x:c r="I576" s="45" t="n">
        <x:f>IF(OR(G576="",H576=""),"",SUMPRODUCT(('Cronograma'!$F$8:$P$8&lt;=H576)*('Cronograma'!$F$9:$P$9&gt;=G576)))</x:f>
        <x:v>1</x:v>
      </x:c>
      <x:c r="J576" s="46"/>
      <x:c r="K576" s="46"/>
      <x:c r="L576" s="47"/>
      <x:c r="M576" s="48" t="str"/>
      <x:c r="N576" s="48" t="str"/>
      <x:c r="O576" s="49" t="n">
        <x:v>46301</x:v>
      </x:c>
      <x:c r="P576" s="43" t="str">
        <x:v>Reporte/inspección del checkout al corte</x:v>
      </x:c>
      <x:c r="Q576" s="43" t="str">
        <x:v>SOC04, INT02</x:v>
      </x:c>
      <x:c r="R576" s="43" t="str"/>
      <x:c r="S576" s="43" t="str">
        <x:v>Estado reconstruido por inspección del checkout al 06/10/2026 y reportes locales. La fecha de evidencia es la fecha de corte, salvo fecha individual explícita. Sin duración real registrada.</x:v>
      </x:c>
      <x:c r="T576" s="43" t="str">
        <x:v>S101, S102, S103, S104</x:v>
      </x:c>
      <x:c r="U576" s="43" t="str">
        <x:v>docs/android-push.md
lib/features/notifications/data/push_controller.dart
lib/features/notifications/data/android_push_gateway.dart
lib/features/notifications/presentation/notification_settings.dart</x:v>
      </x:c>
    </x:row>
    <x:row r="577" ht="56" customHeight="1">
      <x:c r="A577" s="42" t="str">
        <x:v>PUS01.014</x:v>
      </x:c>
      <x:c r="B577" s="42" t="str">
        <x:v>Cliente Android de notificaciones y preferencias</x:v>
      </x:c>
      <x:c r="C577" s="42" t="str">
        <x:v>PUS01</x:v>
      </x:c>
      <x:c r="D577" s="43" t="str">
        <x:v>Actualizar actividad durante sesión</x:v>
      </x:c>
      <x:c r="E577" s="43" t="str">
        <x:v>Registrar entrada, reanudación y actividad periódica.</x:v>
      </x:c>
      <x:c r="F577" s="43" t="str">
        <x:v>Completado</x:v>
      </x:c>
      <x:c r="G577" s="44" t="n">
        <x:v>46296</x:v>
      </x:c>
      <x:c r="H577" s="44" t="n">
        <x:v>46302</x:v>
      </x:c>
      <x:c r="I577" s="45" t="n">
        <x:f>IF(OR(G577="",H577=""),"",SUMPRODUCT(('Cronograma'!$F$8:$P$8&lt;=H577)*('Cronograma'!$F$9:$P$9&gt;=G577)))</x:f>
        <x:v>1</x:v>
      </x:c>
      <x:c r="J577" s="46"/>
      <x:c r="K577" s="46"/>
      <x:c r="L577" s="47"/>
      <x:c r="M577" s="48" t="str"/>
      <x:c r="N577" s="48" t="str"/>
      <x:c r="O577" s="49" t="n">
        <x:v>46301</x:v>
      </x:c>
      <x:c r="P577" s="43" t="str">
        <x:v>Reporte/inspección del checkout al corte</x:v>
      </x:c>
      <x:c r="Q577" s="43" t="str">
        <x:v>SOC04, INT02</x:v>
      </x:c>
      <x:c r="R577" s="43" t="str"/>
      <x:c r="S577" s="43" t="str">
        <x:v>Estado reconstruido por inspección del checkout al 06/10/2026 y reportes locales. La fecha de evidencia es la fecha de corte, salvo fecha individual explícita. Sin duración real registrada.</x:v>
      </x:c>
      <x:c r="T577" s="43" t="str">
        <x:v>S101, S102, S103, S104</x:v>
      </x:c>
      <x:c r="U577" s="43" t="str">
        <x:v>docs/android-push.md
lib/features/notifications/data/push_controller.dart
lib/features/notifications/data/android_push_gateway.dart
lib/features/notifications/presentation/notification_settings.dart</x:v>
      </x:c>
    </x:row>
    <x:row r="578" ht="56" customHeight="1">
      <x:c r="A578" s="42" t="str">
        <x:v>PUS01.015</x:v>
      </x:c>
      <x:c r="B578" s="42" t="str">
        <x:v>Cliente Android de notificaciones y preferencias</x:v>
      </x:c>
      <x:c r="C578" s="42" t="str">
        <x:v>PUS01</x:v>
      </x:c>
      <x:c r="D578" s="43" t="str">
        <x:v>Cancelar programación al volver</x:v>
      </x:c>
      <x:c r="E578" s="43" t="str">
        <x:v>No enviar mensaje de inactividad a una cuenta activa.</x:v>
      </x:c>
      <x:c r="F578" s="43" t="str">
        <x:v>Completado</x:v>
      </x:c>
      <x:c r="G578" s="44" t="n">
        <x:v>46296</x:v>
      </x:c>
      <x:c r="H578" s="44" t="n">
        <x:v>46302</x:v>
      </x:c>
      <x:c r="I578" s="45" t="n">
        <x:f>IF(OR(G578="",H578=""),"",SUMPRODUCT(('Cronograma'!$F$8:$P$8&lt;=H578)*('Cronograma'!$F$9:$P$9&gt;=G578)))</x:f>
        <x:v>1</x:v>
      </x:c>
      <x:c r="J578" s="46"/>
      <x:c r="K578" s="46"/>
      <x:c r="L578" s="47"/>
      <x:c r="M578" s="48" t="str"/>
      <x:c r="N578" s="48" t="str"/>
      <x:c r="O578" s="49" t="n">
        <x:v>46301</x:v>
      </x:c>
      <x:c r="P578" s="43" t="str">
        <x:v>Reporte/inspección del checkout al corte</x:v>
      </x:c>
      <x:c r="Q578" s="43" t="str">
        <x:v>SOC04, INT02</x:v>
      </x:c>
      <x:c r="R578" s="43" t="str"/>
      <x:c r="S578" s="43" t="str">
        <x:v>Estado reconstruido por inspección del checkout al 06/10/2026 y reportes locales. La fecha de evidencia es la fecha de corte, salvo fecha individual explícita. Sin duración real registrada.</x:v>
      </x:c>
      <x:c r="T578" s="43" t="str">
        <x:v>S101, S102, S103, S104</x:v>
      </x:c>
      <x:c r="U578" s="43" t="str">
        <x:v>docs/android-push.md
lib/features/notifications/data/push_controller.dart
lib/features/notifications/data/android_push_gateway.dart
lib/features/notifications/presentation/notification_settings.dart</x:v>
      </x:c>
    </x:row>
    <x:row r="579" ht="56" customHeight="1">
      <x:c r="A579" s="42" t="str">
        <x:v>PUS01.016</x:v>
      </x:c>
      <x:c r="B579" s="42" t="str">
        <x:v>Cliente Android de notificaciones y preferencias</x:v>
      </x:c>
      <x:c r="C579" s="42" t="str">
        <x:v>PUS01</x:v>
      </x:c>
      <x:c r="D579" s="43" t="str">
        <x:v>Limpiar registro al cerrar sesión</x:v>
      </x:c>
      <x:c r="E579" s="43" t="str">
        <x:v>Conservar seguridad entre cuentas y recuperación offline.</x:v>
      </x:c>
      <x:c r="F579" s="43" t="str">
        <x:v>Completado</x:v>
      </x:c>
      <x:c r="G579" s="44" t="n">
        <x:v>46296</x:v>
      </x:c>
      <x:c r="H579" s="44" t="n">
        <x:v>46302</x:v>
      </x:c>
      <x:c r="I579" s="45" t="n">
        <x:f>IF(OR(G579="",H579=""),"",SUMPRODUCT(('Cronograma'!$F$8:$P$8&lt;=H579)*('Cronograma'!$F$9:$P$9&gt;=G579)))</x:f>
        <x:v>1</x:v>
      </x:c>
      <x:c r="J579" s="46"/>
      <x:c r="K579" s="46"/>
      <x:c r="L579" s="47"/>
      <x:c r="M579" s="48" t="str"/>
      <x:c r="N579" s="48" t="str"/>
      <x:c r="O579" s="49" t="n">
        <x:v>46301</x:v>
      </x:c>
      <x:c r="P579" s="43" t="str">
        <x:v>Reporte/inspección del checkout al corte</x:v>
      </x:c>
      <x:c r="Q579" s="43" t="str">
        <x:v>SOC04, INT02</x:v>
      </x:c>
      <x:c r="R579" s="43" t="str"/>
      <x:c r="S579" s="43" t="str">
        <x:v>Estado reconstruido por inspección del checkout al 06/10/2026 y reportes locales. La fecha de evidencia es la fecha de corte, salvo fecha individual explícita. Sin duración real registrada.</x:v>
      </x:c>
      <x:c r="T579" s="43" t="str">
        <x:v>S101, S102, S103, S104</x:v>
      </x:c>
      <x:c r="U579" s="43" t="str">
        <x:v>docs/android-push.md
lib/features/notifications/data/push_controller.dart
lib/features/notifications/data/android_push_gateway.dart
lib/features/notifications/presentation/notification_settings.dart</x:v>
      </x:c>
    </x:row>
    <x:row r="580" ht="56" customHeight="1">
      <x:c r="A580" s="42" t="str">
        <x:v>PUS01.017</x:v>
      </x:c>
      <x:c r="B580" s="42" t="str">
        <x:v>Cliente Android de notificaciones y preferencias</x:v>
      </x:c>
      <x:c r="C580" s="42" t="str">
        <x:v>PUS01</x:v>
      </x:c>
      <x:c r="D580" s="43" t="str">
        <x:v>Mostrar ausencia de configuración Firebase</x:v>
      </x:c>
      <x:c r="E580" s="43" t="str">
        <x:v>Mantener bandeja sin afirmar avisos disponibles.</x:v>
      </x:c>
      <x:c r="F580" s="43" t="str">
        <x:v>Completado</x:v>
      </x:c>
      <x:c r="G580" s="44" t="n">
        <x:v>46296</x:v>
      </x:c>
      <x:c r="H580" s="44" t="n">
        <x:v>46302</x:v>
      </x:c>
      <x:c r="I580" s="45" t="n">
        <x:f>IF(OR(G580="",H580=""),"",SUMPRODUCT(('Cronograma'!$F$8:$P$8&lt;=H580)*('Cronograma'!$F$9:$P$9&gt;=G580)))</x:f>
        <x:v>1</x:v>
      </x:c>
      <x:c r="J580" s="46"/>
      <x:c r="K580" s="46"/>
      <x:c r="L580" s="47"/>
      <x:c r="M580" s="48" t="str"/>
      <x:c r="N580" s="48" t="str"/>
      <x:c r="O580" s="49" t="n">
        <x:v>46301</x:v>
      </x:c>
      <x:c r="P580" s="43" t="str">
        <x:v>Reporte/inspección del checkout al corte</x:v>
      </x:c>
      <x:c r="Q580" s="43" t="str">
        <x:v>SOC04, INT02</x:v>
      </x:c>
      <x:c r="R580" s="43" t="str"/>
      <x:c r="S580" s="43" t="str">
        <x:v>Estado reconstruido por inspección del checkout al 06/10/2026 y reportes locales. La fecha de evidencia es la fecha de corte, salvo fecha individual explícita. Sin duración real registrada.</x:v>
      </x:c>
      <x:c r="T580" s="43" t="str">
        <x:v>S101, S102, S103, S104</x:v>
      </x:c>
      <x:c r="U580" s="43" t="str">
        <x:v>docs/android-push.md
lib/features/notifications/data/push_controller.dart
lib/features/notifications/data/android_push_gateway.dart
lib/features/notifications/presentation/notification_settings.dart</x:v>
      </x:c>
    </x:row>
    <x:row r="581" ht="56" customHeight="1">
      <x:c r="A581" s="42" t="str">
        <x:v>PUS02.001</x:v>
      </x:c>
      <x:c r="B581" s="42" t="str">
        <x:v>Cola y entrega push en Supabase</x:v>
      </x:c>
      <x:c r="C581" s="42" t="str">
        <x:v>PUS02</x:v>
      </x:c>
      <x:c r="D581" s="43" t="str">
        <x:v>Crear migración 014 de push</x:v>
      </x:c>
      <x:c r="E581" s="43" t="str">
        <x:v>Agregar dispositivos, preferencias y cola privada.</x:v>
      </x:c>
      <x:c r="F581" s="43" t="str">
        <x:v>Completado</x:v>
      </x:c>
      <x:c r="G581" s="44" t="n">
        <x:v>46296</x:v>
      </x:c>
      <x:c r="H581" s="44" t="n">
        <x:v>46302</x:v>
      </x:c>
      <x:c r="I581" s="45" t="n">
        <x:f>IF(OR(G581="",H581=""),"",SUMPRODUCT(('Cronograma'!$F$8:$P$8&lt;=H581)*('Cronograma'!$F$9:$P$9&gt;=G581)))</x:f>
        <x:v>1</x:v>
      </x:c>
      <x:c r="J581" s="46"/>
      <x:c r="K581" s="46"/>
      <x:c r="L581" s="47"/>
      <x:c r="M581" s="48" t="str"/>
      <x:c r="N581" s="48" t="str"/>
      <x:c r="O581" s="49" t="n">
        <x:v>46301</x:v>
      </x:c>
      <x:c r="P581" s="43" t="str">
        <x:v>Reporte/inspección del checkout al corte</x:v>
      </x:c>
      <x:c r="Q581" s="43" t="str">
        <x:v>PUS01, SOC04</x:v>
      </x:c>
      <x:c r="R581" s="43" t="str"/>
      <x:c r="S581" s="43" t="str">
        <x:v>Estado reconstruido por inspección del checkout al 06/10/2026 y reportes locales. La fecha de evidencia es la fecha de corte, salvo fecha individual explícita. Sin duración real registrada.</x:v>
      </x:c>
      <x:c r="T581" s="43" t="str">
        <x:v>S105, S106, S107, S101</x:v>
      </x:c>
      <x:c r="U581" s="43" t="str">
        <x:v>supabase/migrations/014_android_push.sql
supabase/functions/send-push/index.ts
supabase/functions/send-push/delivery.ts
docs/android-push.md</x:v>
      </x:c>
    </x:row>
    <x:row r="582" ht="56" customHeight="1">
      <x:c r="A582" s="42" t="str">
        <x:v>PUS02.002</x:v>
      </x:c>
      <x:c r="B582" s="42" t="str">
        <x:v>Cola y entrega push en Supabase</x:v>
      </x:c>
      <x:c r="C582" s="42" t="str">
        <x:v>PUS02</x:v>
      </x:c>
      <x:c r="D582" s="43" t="str">
        <x:v>Proteger dispositivos con permisos de servidor</x:v>
      </x:c>
      <x:c r="E582" s="43" t="str">
        <x:v>No exponer tokens de otras cuentas.</x:v>
      </x:c>
      <x:c r="F582" s="43" t="str">
        <x:v>Completado</x:v>
      </x:c>
      <x:c r="G582" s="44" t="n">
        <x:v>46296</x:v>
      </x:c>
      <x:c r="H582" s="44" t="n">
        <x:v>46302</x:v>
      </x:c>
      <x:c r="I582" s="45" t="n">
        <x:f>IF(OR(G582="",H582=""),"",SUMPRODUCT(('Cronograma'!$F$8:$P$8&lt;=H582)*('Cronograma'!$F$9:$P$9&gt;=G582)))</x:f>
        <x:v>1</x:v>
      </x:c>
      <x:c r="J582" s="46"/>
      <x:c r="K582" s="46"/>
      <x:c r="L582" s="47"/>
      <x:c r="M582" s="48" t="str"/>
      <x:c r="N582" s="48" t="str"/>
      <x:c r="O582" s="49" t="n">
        <x:v>46301</x:v>
      </x:c>
      <x:c r="P582" s="43" t="str">
        <x:v>Reporte/inspección del checkout al corte</x:v>
      </x:c>
      <x:c r="Q582" s="43" t="str">
        <x:v>PUS01, SOC04</x:v>
      </x:c>
      <x:c r="R582" s="43" t="str"/>
      <x:c r="S582" s="43" t="str">
        <x:v>Estado reconstruido por inspección del checkout al 06/10/2026 y reportes locales. La fecha de evidencia es la fecha de corte, salvo fecha individual explícita. Sin duración real registrada.</x:v>
      </x:c>
      <x:c r="T582" s="43" t="str">
        <x:v>S105, S106, S107, S101</x:v>
      </x:c>
      <x:c r="U582" s="43" t="str">
        <x:v>supabase/migrations/014_android_push.sql
supabase/functions/send-push/index.ts
supabase/functions/send-push/delivery.ts
docs/android-push.md</x:v>
      </x:c>
    </x:row>
    <x:row r="583" ht="56" customHeight="1">
      <x:c r="A583" s="42" t="str">
        <x:v>PUS02.003</x:v>
      </x:c>
      <x:c r="B583" s="42" t="str">
        <x:v>Cola y entrega push en Supabase</x:v>
      </x:c>
      <x:c r="C583" s="42" t="str">
        <x:v>PUS02</x:v>
      </x:c>
      <x:c r="D583" s="43" t="str">
        <x:v>Crear settings privados de envío</x:v>
      </x:c>
      <x:c r="E583" s="43" t="str">
        <x:v>Permitir activar o pausar backend.</x:v>
      </x:c>
      <x:c r="F583" s="43" t="str">
        <x:v>Completado</x:v>
      </x:c>
      <x:c r="G583" s="44" t="n">
        <x:v>46296</x:v>
      </x:c>
      <x:c r="H583" s="44" t="n">
        <x:v>46302</x:v>
      </x:c>
      <x:c r="I583" s="45" t="n">
        <x:f>IF(OR(G583="",H583=""),"",SUMPRODUCT(('Cronograma'!$F$8:$P$8&lt;=H583)*('Cronograma'!$F$9:$P$9&gt;=G583)))</x:f>
        <x:v>1</x:v>
      </x:c>
      <x:c r="J583" s="46"/>
      <x:c r="K583" s="46"/>
      <x:c r="L583" s="47"/>
      <x:c r="M583" s="48" t="str"/>
      <x:c r="N583" s="48" t="str"/>
      <x:c r="O583" s="49" t="n">
        <x:v>46301</x:v>
      </x:c>
      <x:c r="P583" s="43" t="str">
        <x:v>Reporte/inspección del checkout al corte</x:v>
      </x:c>
      <x:c r="Q583" s="43" t="str">
        <x:v>PUS01, SOC04</x:v>
      </x:c>
      <x:c r="R583" s="43" t="str"/>
      <x:c r="S583" s="43" t="str">
        <x:v>Estado reconstruido por inspección del checkout al 06/10/2026 y reportes locales. La fecha de evidencia es la fecha de corte, salvo fecha individual explícita. Sin duración real registrada.</x:v>
      </x:c>
      <x:c r="T583" s="43" t="str">
        <x:v>S105, S106, S107, S101</x:v>
      </x:c>
      <x:c r="U583" s="43" t="str">
        <x:v>supabase/migrations/014_android_push.sql
supabase/functions/send-push/index.ts
supabase/functions/send-push/delivery.ts
docs/android-push.md</x:v>
      </x:c>
    </x:row>
    <x:row r="584" ht="56" customHeight="1">
      <x:c r="A584" s="42" t="str">
        <x:v>PUS02.004</x:v>
      </x:c>
      <x:c r="B584" s="42" t="str">
        <x:v>Cola y entrega push en Supabase</x:v>
      </x:c>
      <x:c r="C584" s="42" t="str">
        <x:v>PUS02</x:v>
      </x:c>
      <x:c r="D584" s="43" t="str">
        <x:v>Encolar eventos sociales autorizados</x:v>
      </x:c>
      <x:c r="E584" s="43" t="str">
        <x:v>Relacionar notificación y trabajo de entrega.</x:v>
      </x:c>
      <x:c r="F584" s="43" t="str">
        <x:v>Completado</x:v>
      </x:c>
      <x:c r="G584" s="44" t="n">
        <x:v>46296</x:v>
      </x:c>
      <x:c r="H584" s="44" t="n">
        <x:v>46302</x:v>
      </x:c>
      <x:c r="I584" s="45" t="n">
        <x:f>IF(OR(G584="",H584=""),"",SUMPRODUCT(('Cronograma'!$F$8:$P$8&lt;=H584)*('Cronograma'!$F$9:$P$9&gt;=G584)))</x:f>
        <x:v>1</x:v>
      </x:c>
      <x:c r="J584" s="46"/>
      <x:c r="K584" s="46"/>
      <x:c r="L584" s="47"/>
      <x:c r="M584" s="48" t="str"/>
      <x:c r="N584" s="48" t="str"/>
      <x:c r="O584" s="49" t="n">
        <x:v>46301</x:v>
      </x:c>
      <x:c r="P584" s="43" t="str">
        <x:v>Reporte/inspección del checkout al corte</x:v>
      </x:c>
      <x:c r="Q584" s="43" t="str">
        <x:v>PUS01, SOC04</x:v>
      </x:c>
      <x:c r="R584" s="43" t="str"/>
      <x:c r="S584" s="43" t="str">
        <x:v>Estado reconstruido por inspección del checkout al 06/10/2026 y reportes locales. La fecha de evidencia es la fecha de corte, salvo fecha individual explícita. Sin duración real registrada.</x:v>
      </x:c>
      <x:c r="T584" s="43" t="str">
        <x:v>S105, S106, S107, S101</x:v>
      </x:c>
      <x:c r="U584" s="43" t="str">
        <x:v>supabase/migrations/014_android_push.sql
supabase/functions/send-push/index.ts
supabase/functions/send-push/delivery.ts
docs/android-push.md</x:v>
      </x:c>
    </x:row>
    <x:row r="585" ht="56" customHeight="1">
      <x:c r="A585" s="42" t="str">
        <x:v>PUS02.005</x:v>
      </x:c>
      <x:c r="B585" s="42" t="str">
        <x:v>Cola y entrega push en Supabase</x:v>
      </x:c>
      <x:c r="C585" s="42" t="str">
        <x:v>PUS02</x:v>
      </x:c>
      <x:c r="D585" s="43" t="str">
        <x:v>Crear worker send-push</x:v>
      </x:c>
      <x:c r="E585" s="43" t="str">
        <x:v>Procesar trabajos fuera del cliente Flutter.</x:v>
      </x:c>
      <x:c r="F585" s="43" t="str">
        <x:v>Completado</x:v>
      </x:c>
      <x:c r="G585" s="44" t="n">
        <x:v>46296</x:v>
      </x:c>
      <x:c r="H585" s="44" t="n">
        <x:v>46302</x:v>
      </x:c>
      <x:c r="I585" s="45" t="n">
        <x:f>IF(OR(G585="",H585=""),"",SUMPRODUCT(('Cronograma'!$F$8:$P$8&lt;=H585)*('Cronograma'!$F$9:$P$9&gt;=G585)))</x:f>
        <x:v>1</x:v>
      </x:c>
      <x:c r="J585" s="46"/>
      <x:c r="K585" s="46"/>
      <x:c r="L585" s="47"/>
      <x:c r="M585" s="48" t="str"/>
      <x:c r="N585" s="48" t="str"/>
      <x:c r="O585" s="49" t="n">
        <x:v>46301</x:v>
      </x:c>
      <x:c r="P585" s="43" t="str">
        <x:v>Reporte/inspección del checkout al corte</x:v>
      </x:c>
      <x:c r="Q585" s="43" t="str">
        <x:v>PUS01, SOC04</x:v>
      </x:c>
      <x:c r="R585" s="43" t="str"/>
      <x:c r="S585" s="43" t="str">
        <x:v>Estado reconstruido por inspección del checkout al 06/10/2026 y reportes locales. La fecha de evidencia es la fecha de corte, salvo fecha individual explícita. Sin duración real registrada.</x:v>
      </x:c>
      <x:c r="T585" s="43" t="str">
        <x:v>S105, S106, S107, S101</x:v>
      </x:c>
      <x:c r="U585" s="43" t="str">
        <x:v>supabase/migrations/014_android_push.sql
supabase/functions/send-push/index.ts
supabase/functions/send-push/delivery.ts
docs/android-push.md</x:v>
      </x:c>
    </x:row>
    <x:row r="586" ht="56" customHeight="1">
      <x:c r="A586" s="42" t="str">
        <x:v>PUS02.006</x:v>
      </x:c>
      <x:c r="B586" s="42" t="str">
        <x:v>Cola y entrega push en Supabase</x:v>
      </x:c>
      <x:c r="C586" s="42" t="str">
        <x:v>PUS02</x:v>
      </x:c>
      <x:c r="D586" s="43" t="str">
        <x:v>Autenticar worker con secreto propio</x:v>
      </x:c>
      <x:c r="E586" s="43" t="str">
        <x:v>Rechazar llamadas sin autorización.</x:v>
      </x:c>
      <x:c r="F586" s="43" t="str">
        <x:v>Completado</x:v>
      </x:c>
      <x:c r="G586" s="44" t="n">
        <x:v>46296</x:v>
      </x:c>
      <x:c r="H586" s="44" t="n">
        <x:v>46302</x:v>
      </x:c>
      <x:c r="I586" s="45" t="n">
        <x:f>IF(OR(G586="",H586=""),"",SUMPRODUCT(('Cronograma'!$F$8:$P$8&lt;=H586)*('Cronograma'!$F$9:$P$9&gt;=G586)))</x:f>
        <x:v>1</x:v>
      </x:c>
      <x:c r="J586" s="46"/>
      <x:c r="K586" s="46"/>
      <x:c r="L586" s="47"/>
      <x:c r="M586" s="48" t="str"/>
      <x:c r="N586" s="48" t="str"/>
      <x:c r="O586" s="49" t="n">
        <x:v>46301</x:v>
      </x:c>
      <x:c r="P586" s="43" t="str">
        <x:v>Reporte/inspección del checkout al corte</x:v>
      </x:c>
      <x:c r="Q586" s="43" t="str">
        <x:v>PUS01, SOC04</x:v>
      </x:c>
      <x:c r="R586" s="43" t="str"/>
      <x:c r="S586" s="43" t="str">
        <x:v>Estado reconstruido por inspección del checkout al 06/10/2026 y reportes locales. La fecha de evidencia es la fecha de corte, salvo fecha individual explícita. Sin duración real registrada.</x:v>
      </x:c>
      <x:c r="T586" s="43" t="str">
        <x:v>S105, S106, S107, S101</x:v>
      </x:c>
      <x:c r="U586" s="43" t="str">
        <x:v>supabase/migrations/014_android_push.sql
supabase/functions/send-push/index.ts
supabase/functions/send-push/delivery.ts
docs/android-push.md</x:v>
      </x:c>
    </x:row>
    <x:row r="587" ht="56" customHeight="1">
      <x:c r="A587" s="42" t="str">
        <x:v>PUS02.007</x:v>
      </x:c>
      <x:c r="B587" s="42" t="str">
        <x:v>Cola y entrega push en Supabase</x:v>
      </x:c>
      <x:c r="C587" s="42" t="str">
        <x:v>PUS02</x:v>
      </x:c>
      <x:c r="D587" s="43" t="str">
        <x:v>Obtener OAuth de cuenta FCM</x:v>
      </x:c>
      <x:c r="E587" s="43" t="str">
        <x:v>Usar credencial de backend para HTTP v1.</x:v>
      </x:c>
      <x:c r="F587" s="43" t="str">
        <x:v>Completado</x:v>
      </x:c>
      <x:c r="G587" s="44" t="n">
        <x:v>46296</x:v>
      </x:c>
      <x:c r="H587" s="44" t="n">
        <x:v>46302</x:v>
      </x:c>
      <x:c r="I587" s="45" t="n">
        <x:f>IF(OR(G587="",H587=""),"",SUMPRODUCT(('Cronograma'!$F$8:$P$8&lt;=H587)*('Cronograma'!$F$9:$P$9&gt;=G587)))</x:f>
        <x:v>1</x:v>
      </x:c>
      <x:c r="J587" s="46"/>
      <x:c r="K587" s="46"/>
      <x:c r="L587" s="47"/>
      <x:c r="M587" s="48" t="str"/>
      <x:c r="N587" s="48" t="str"/>
      <x:c r="O587" s="49" t="n">
        <x:v>46301</x:v>
      </x:c>
      <x:c r="P587" s="43" t="str">
        <x:v>Reporte/inspección del checkout al corte</x:v>
      </x:c>
      <x:c r="Q587" s="43" t="str">
        <x:v>PUS01, SOC04</x:v>
      </x:c>
      <x:c r="R587" s="43" t="str"/>
      <x:c r="S587" s="43" t="str">
        <x:v>Estado reconstruido por inspección del checkout al 06/10/2026 y reportes locales. La fecha de evidencia es la fecha de corte, salvo fecha individual explícita. Sin duración real registrada.</x:v>
      </x:c>
      <x:c r="T587" s="43" t="str">
        <x:v>S105, S106, S107, S101</x:v>
      </x:c>
      <x:c r="U587" s="43" t="str">
        <x:v>supabase/migrations/014_android_push.sql
supabase/functions/send-push/index.ts
supabase/functions/send-push/delivery.ts
docs/android-push.md</x:v>
      </x:c>
    </x:row>
    <x:row r="588" ht="56" customHeight="1">
      <x:c r="A588" s="42" t="str">
        <x:v>PUS02.008</x:v>
      </x:c>
      <x:c r="B588" s="42" t="str">
        <x:v>Cola y entrega push en Supabase</x:v>
      </x:c>
      <x:c r="C588" s="42" t="str">
        <x:v>PUS02</x:v>
      </x:c>
      <x:c r="D588" s="43" t="str">
        <x:v>Enviar aviso mediante FCM HTTP v1</x:v>
      </x:c>
      <x:c r="E588" s="43" t="str">
        <x:v>Transportar notificación al Android registrado.</x:v>
      </x:c>
      <x:c r="F588" s="43" t="str">
        <x:v>Completado</x:v>
      </x:c>
      <x:c r="G588" s="44" t="n">
        <x:v>46296</x:v>
      </x:c>
      <x:c r="H588" s="44" t="n">
        <x:v>46302</x:v>
      </x:c>
      <x:c r="I588" s="45" t="n">
        <x:f>IF(OR(G588="",H588=""),"",SUMPRODUCT(('Cronograma'!$F$8:$P$8&lt;=H588)*('Cronograma'!$F$9:$P$9&gt;=G588)))</x:f>
        <x:v>1</x:v>
      </x:c>
      <x:c r="J588" s="46"/>
      <x:c r="K588" s="46"/>
      <x:c r="L588" s="47"/>
      <x:c r="M588" s="48" t="str"/>
      <x:c r="N588" s="48" t="str"/>
      <x:c r="O588" s="49" t="n">
        <x:v>46301</x:v>
      </x:c>
      <x:c r="P588" s="43" t="str">
        <x:v>Reporte/inspección del checkout al corte</x:v>
      </x:c>
      <x:c r="Q588" s="43" t="str">
        <x:v>PUS01, SOC04</x:v>
      </x:c>
      <x:c r="R588" s="43" t="str"/>
      <x:c r="S588" s="43" t="str">
        <x:v>Estado reconstruido por inspección del checkout al 06/10/2026 y reportes locales. La fecha de evidencia es la fecha de corte, salvo fecha individual explícita. Sin duración real registrada.</x:v>
      </x:c>
      <x:c r="T588" s="43" t="str">
        <x:v>S105, S106, S107, S101</x:v>
      </x:c>
      <x:c r="U588" s="43" t="str">
        <x:v>supabase/migrations/014_android_push.sql
supabase/functions/send-push/index.ts
supabase/functions/send-push/delivery.ts
docs/android-push.md</x:v>
      </x:c>
    </x:row>
    <x:row r="589" ht="56" customHeight="1">
      <x:c r="A589" s="42" t="str">
        <x:v>PUS02.009</x:v>
      </x:c>
      <x:c r="B589" s="42" t="str">
        <x:v>Cola y entrega push en Supabase</x:v>
      </x:c>
      <x:c r="C589" s="42" t="str">
        <x:v>PUS02</x:v>
      </x:c>
      <x:c r="D589" s="43" t="str">
        <x:v>Reintentar fallos de entrega</x:v>
      </x:c>
      <x:c r="E589" s="43" t="str">
        <x:v>Mantener intentos y estado de cola.</x:v>
      </x:c>
      <x:c r="F589" s="43" t="str">
        <x:v>Completado</x:v>
      </x:c>
      <x:c r="G589" s="44" t="n">
        <x:v>46296</x:v>
      </x:c>
      <x:c r="H589" s="44" t="n">
        <x:v>46302</x:v>
      </x:c>
      <x:c r="I589" s="45" t="n">
        <x:f>IF(OR(G589="",H589=""),"",SUMPRODUCT(('Cronograma'!$F$8:$P$8&lt;=H589)*('Cronograma'!$F$9:$P$9&gt;=G589)))</x:f>
        <x:v>1</x:v>
      </x:c>
      <x:c r="J589" s="46"/>
      <x:c r="K589" s="46"/>
      <x:c r="L589" s="47"/>
      <x:c r="M589" s="48" t="str"/>
      <x:c r="N589" s="48" t="str"/>
      <x:c r="O589" s="49" t="n">
        <x:v>46301</x:v>
      </x:c>
      <x:c r="P589" s="43" t="str">
        <x:v>Reporte/inspección del checkout al corte</x:v>
      </x:c>
      <x:c r="Q589" s="43" t="str">
        <x:v>PUS01, SOC04</x:v>
      </x:c>
      <x:c r="R589" s="43" t="str"/>
      <x:c r="S589" s="43" t="str">
        <x:v>Estado reconstruido por inspección del checkout al 06/10/2026 y reportes locales. La fecha de evidencia es la fecha de corte, salvo fecha individual explícita. Sin duración real registrada.</x:v>
      </x:c>
      <x:c r="T589" s="43" t="str">
        <x:v>S105, S106, S107, S101</x:v>
      </x:c>
      <x:c r="U589" s="43" t="str">
        <x:v>supabase/migrations/014_android_push.sql
supabase/functions/send-push/index.ts
supabase/functions/send-push/delivery.ts
docs/android-push.md</x:v>
      </x:c>
    </x:row>
    <x:row r="590" ht="56" customHeight="1">
      <x:c r="A590" s="42" t="str">
        <x:v>PUS02.010</x:v>
      </x:c>
      <x:c r="B590" s="42" t="str">
        <x:v>Cola y entrega push en Supabase</x:v>
      </x:c>
      <x:c r="C590" s="42" t="str">
        <x:v>PUS02</x:v>
      </x:c>
      <x:c r="D590" s="43" t="str">
        <x:v>Terminar trabajos tras cinco fallos</x:v>
      </x:c>
      <x:c r="E590" s="43" t="str">
        <x:v>Evitar reintentos indefinidos.</x:v>
      </x:c>
      <x:c r="F590" s="43" t="str">
        <x:v>Completado</x:v>
      </x:c>
      <x:c r="G590" s="44" t="n">
        <x:v>46296</x:v>
      </x:c>
      <x:c r="H590" s="44" t="n">
        <x:v>46302</x:v>
      </x:c>
      <x:c r="I590" s="45" t="n">
        <x:f>IF(OR(G590="",H590=""),"",SUMPRODUCT(('Cronograma'!$F$8:$P$8&lt;=H590)*('Cronograma'!$F$9:$P$9&gt;=G590)))</x:f>
        <x:v>1</x:v>
      </x:c>
      <x:c r="J590" s="46"/>
      <x:c r="K590" s="46"/>
      <x:c r="L590" s="47"/>
      <x:c r="M590" s="48" t="str"/>
      <x:c r="N590" s="48" t="str"/>
      <x:c r="O590" s="49" t="n">
        <x:v>46301</x:v>
      </x:c>
      <x:c r="P590" s="43" t="str">
        <x:v>Reporte/inspección del checkout al corte</x:v>
      </x:c>
      <x:c r="Q590" s="43" t="str">
        <x:v>PUS01, SOC04</x:v>
      </x:c>
      <x:c r="R590" s="43" t="str"/>
      <x:c r="S590" s="43" t="str">
        <x:v>Estado reconstruido por inspección del checkout al 06/10/2026 y reportes locales. La fecha de evidencia es la fecha de corte, salvo fecha individual explícita. Sin duración real registrada.</x:v>
      </x:c>
      <x:c r="T590" s="43" t="str">
        <x:v>S105, S106, S107, S101</x:v>
      </x:c>
      <x:c r="U590" s="43" t="str">
        <x:v>supabase/migrations/014_android_push.sql
supabase/functions/send-push/index.ts
supabase/functions/send-push/delivery.ts
docs/android-push.md</x:v>
      </x:c>
    </x:row>
    <x:row r="591" ht="56" customHeight="1">
      <x:c r="A591" s="42" t="str">
        <x:v>PUS02.011</x:v>
      </x:c>
      <x:c r="B591" s="42" t="str">
        <x:v>Cola y entrega push en Supabase</x:v>
      </x:c>
      <x:c r="C591" s="42" t="str">
        <x:v>PUS02</x:v>
      </x:c>
      <x:c r="D591" s="43" t="str">
        <x:v>Desactivar versión reclamada de token inválido</x:v>
      </x:c>
      <x:c r="E591" s="43" t="str">
        <x:v>No afectar una renovación posterior del dispositivo.</x:v>
      </x:c>
      <x:c r="F591" s="43" t="str">
        <x:v>Completado</x:v>
      </x:c>
      <x:c r="G591" s="44" t="n">
        <x:v>46296</x:v>
      </x:c>
      <x:c r="H591" s="44" t="n">
        <x:v>46302</x:v>
      </x:c>
      <x:c r="I591" s="45" t="n">
        <x:f>IF(OR(G591="",H591=""),"",SUMPRODUCT(('Cronograma'!$F$8:$P$8&lt;=H591)*('Cronograma'!$F$9:$P$9&gt;=G591)))</x:f>
        <x:v>1</x:v>
      </x:c>
      <x:c r="J591" s="46"/>
      <x:c r="K591" s="46"/>
      <x:c r="L591" s="47"/>
      <x:c r="M591" s="48" t="str"/>
      <x:c r="N591" s="48" t="str"/>
      <x:c r="O591" s="49" t="n">
        <x:v>46301</x:v>
      </x:c>
      <x:c r="P591" s="43" t="str">
        <x:v>Reporte/inspección del checkout al corte</x:v>
      </x:c>
      <x:c r="Q591" s="43" t="str">
        <x:v>PUS01, SOC04</x:v>
      </x:c>
      <x:c r="R591" s="43" t="str"/>
      <x:c r="S591" s="43" t="str">
        <x:v>Estado reconstruido por inspección del checkout al 06/10/2026 y reportes locales. La fecha de evidencia es la fecha de corte, salvo fecha individual explícita. Sin duración real registrada.</x:v>
      </x:c>
      <x:c r="T591" s="43" t="str">
        <x:v>S105, S106, S107, S101</x:v>
      </x:c>
      <x:c r="U591" s="43" t="str">
        <x:v>supabase/migrations/014_android_push.sql
supabase/functions/send-push/index.ts
supabase/functions/send-push/delivery.ts
docs/android-push.md</x:v>
      </x:c>
    </x:row>
    <x:row r="592" ht="56" customHeight="1">
      <x:c r="A592" s="42" t="str">
        <x:v>PUS02.012</x:v>
      </x:c>
      <x:c r="B592" s="42" t="str">
        <x:v>Cola y entrega push en Supabase</x:v>
      </x:c>
      <x:c r="C592" s="42" t="str">
        <x:v>PUS02</x:v>
      </x:c>
      <x:c r="D592" s="43" t="str">
        <x:v>Programar mensaje tras 72 horas sin actividad</x:v>
      </x:c>
      <x:c r="E592" s="43" t="str">
        <x:v>Separar evento ocasional de actividad social.</x:v>
      </x:c>
      <x:c r="F592" s="43" t="str">
        <x:v>Completado</x:v>
      </x:c>
      <x:c r="G592" s="44" t="n">
        <x:v>46296</x:v>
      </x:c>
      <x:c r="H592" s="44" t="n">
        <x:v>46302</x:v>
      </x:c>
      <x:c r="I592" s="45" t="n">
        <x:f>IF(OR(G592="",H592=""),"",SUMPRODUCT(('Cronograma'!$F$8:$P$8&lt;=H592)*('Cronograma'!$F$9:$P$9&gt;=G592)))</x:f>
        <x:v>1</x:v>
      </x:c>
      <x:c r="J592" s="46"/>
      <x:c r="K592" s="46"/>
      <x:c r="L592" s="47"/>
      <x:c r="M592" s="48" t="str"/>
      <x:c r="N592" s="48" t="str"/>
      <x:c r="O592" s="49" t="n">
        <x:v>46301</x:v>
      </x:c>
      <x:c r="P592" s="43" t="str">
        <x:v>Reporte/inspección del checkout al corte</x:v>
      </x:c>
      <x:c r="Q592" s="43" t="str">
        <x:v>PUS01, SOC04</x:v>
      </x:c>
      <x:c r="R592" s="43" t="str"/>
      <x:c r="S592" s="43" t="str">
        <x:v>Estado reconstruido por inspección del checkout al 06/10/2026 y reportes locales. La fecha de evidencia es la fecha de corte, salvo fecha individual explícita. Sin duración real registrada.</x:v>
      </x:c>
      <x:c r="T592" s="43" t="str">
        <x:v>S105, S106, S107, S101</x:v>
      </x:c>
      <x:c r="U592" s="43" t="str">
        <x:v>supabase/migrations/014_android_push.sql
supabase/functions/send-push/index.ts
supabase/functions/send-push/delivery.ts
docs/android-push.md</x:v>
      </x:c>
    </x:row>
    <x:row r="593" ht="56" customHeight="1">
      <x:c r="A593" s="42" t="str">
        <x:v>PUS02.013</x:v>
      </x:c>
      <x:c r="B593" s="42" t="str">
        <x:v>Cola y entrega push en Supabase</x:v>
      </x:c>
      <x:c r="C593" s="42" t="str">
        <x:v>PUS02</x:v>
      </x:c>
      <x:c r="D593" s="43" t="str">
        <x:v>Respetar horario 10:00 a 19:00 local</x:v>
      </x:c>
      <x:c r="E593" s="43" t="str">
        <x:v>Usar zona registrada de la cuenta.</x:v>
      </x:c>
      <x:c r="F593" s="43" t="str">
        <x:v>Completado</x:v>
      </x:c>
      <x:c r="G593" s="44" t="n">
        <x:v>46296</x:v>
      </x:c>
      <x:c r="H593" s="44" t="n">
        <x:v>46302</x:v>
      </x:c>
      <x:c r="I593" s="45" t="n">
        <x:f>IF(OR(G593="",H593=""),"",SUMPRODUCT(('Cronograma'!$F$8:$P$8&lt;=H593)*('Cronograma'!$F$9:$P$9&gt;=G593)))</x:f>
        <x:v>1</x:v>
      </x:c>
      <x:c r="J593" s="46"/>
      <x:c r="K593" s="46"/>
      <x:c r="L593" s="47"/>
      <x:c r="M593" s="48" t="str"/>
      <x:c r="N593" s="48" t="str"/>
      <x:c r="O593" s="49" t="n">
        <x:v>46301</x:v>
      </x:c>
      <x:c r="P593" s="43" t="str">
        <x:v>Reporte/inspección del checkout al corte</x:v>
      </x:c>
      <x:c r="Q593" s="43" t="str">
        <x:v>PUS01, SOC04</x:v>
      </x:c>
      <x:c r="R593" s="43" t="str"/>
      <x:c r="S593" s="43" t="str">
        <x:v>Estado reconstruido por inspección del checkout al 06/10/2026 y reportes locales. La fecha de evidencia es la fecha de corte, salvo fecha individual explícita. Sin duración real registrada.</x:v>
      </x:c>
      <x:c r="T593" s="43" t="str">
        <x:v>S105, S106, S107, S101</x:v>
      </x:c>
      <x:c r="U593" s="43" t="str">
        <x:v>supabase/migrations/014_android_push.sql
supabase/functions/send-push/index.ts
supabase/functions/send-push/delivery.ts
docs/android-push.md</x:v>
      </x:c>
    </x:row>
    <x:row r="594" ht="56" customHeight="1">
      <x:c r="A594" s="42" t="str">
        <x:v>PUS02.014</x:v>
      </x:c>
      <x:c r="B594" s="42" t="str">
        <x:v>Cola y entrega push en Supabase</x:v>
      </x:c>
      <x:c r="C594" s="42" t="str">
        <x:v>PUS02</x:v>
      </x:c>
      <x:c r="D594" s="43" t="str">
        <x:v>Limitar mensajes a dos en siete días</x:v>
      </x:c>
      <x:c r="E594" s="43" t="str">
        <x:v>Mantener separación de 72 horas.</x:v>
      </x:c>
      <x:c r="F594" s="43" t="str">
        <x:v>Completado</x:v>
      </x:c>
      <x:c r="G594" s="44" t="n">
        <x:v>46296</x:v>
      </x:c>
      <x:c r="H594" s="44" t="n">
        <x:v>46302</x:v>
      </x:c>
      <x:c r="I594" s="45" t="n">
        <x:f>IF(OR(G594="",H594=""),"",SUMPRODUCT(('Cronograma'!$F$8:$P$8&lt;=H594)*('Cronograma'!$F$9:$P$9&gt;=G594)))</x:f>
        <x:v>1</x:v>
      </x:c>
      <x:c r="J594" s="46"/>
      <x:c r="K594" s="46"/>
      <x:c r="L594" s="47"/>
      <x:c r="M594" s="48" t="str"/>
      <x:c r="N594" s="48" t="str"/>
      <x:c r="O594" s="49" t="n">
        <x:v>46301</x:v>
      </x:c>
      <x:c r="P594" s="43" t="str">
        <x:v>Reporte/inspección del checkout al corte</x:v>
      </x:c>
      <x:c r="Q594" s="43" t="str">
        <x:v>PUS01, SOC04</x:v>
      </x:c>
      <x:c r="R594" s="43" t="str"/>
      <x:c r="S594" s="43" t="str">
        <x:v>Estado reconstruido por inspección del checkout al 06/10/2026 y reportes locales. La fecha de evidencia es la fecha de corte, salvo fecha individual explícita. Sin duración real registrada.</x:v>
      </x:c>
      <x:c r="T594" s="43" t="str">
        <x:v>S105, S106, S107, S101</x:v>
      </x:c>
      <x:c r="U594" s="43" t="str">
        <x:v>supabase/migrations/014_android_push.sql
supabase/functions/send-push/index.ts
supabase/functions/send-push/delivery.ts
docs/android-push.md</x:v>
      </x:c>
    </x:row>
    <x:row r="595" ht="56" customHeight="1">
      <x:c r="A595" s="42" t="str">
        <x:v>PUS02.015</x:v>
      </x:c>
      <x:c r="B595" s="42" t="str">
        <x:v>Cola y entrega push en Supabase</x:v>
      </x:c>
      <x:c r="C595" s="42" t="str">
        <x:v>PUS02</x:v>
      </x:c>
      <x:c r="D595" s="43" t="str">
        <x:v>Cancelar mensaje al desactivar preferencia</x:v>
      </x:c>
      <x:c r="E595" s="43" t="str">
        <x:v>Conservar bandeja sin entregar pendientes cancelados.</x:v>
      </x:c>
      <x:c r="F595" s="43" t="str">
        <x:v>Completado</x:v>
      </x:c>
      <x:c r="G595" s="44" t="n">
        <x:v>46296</x:v>
      </x:c>
      <x:c r="H595" s="44" t="n">
        <x:v>46302</x:v>
      </x:c>
      <x:c r="I595" s="45" t="n">
        <x:f>IF(OR(G595="",H595=""),"",SUMPRODUCT(('Cronograma'!$F$8:$P$8&lt;=H595)*('Cronograma'!$F$9:$P$9&gt;=G595)))</x:f>
        <x:v>1</x:v>
      </x:c>
      <x:c r="J595" s="46"/>
      <x:c r="K595" s="46"/>
      <x:c r="L595" s="47"/>
      <x:c r="M595" s="48" t="str"/>
      <x:c r="N595" s="48" t="str"/>
      <x:c r="O595" s="49" t="n">
        <x:v>46301</x:v>
      </x:c>
      <x:c r="P595" s="43" t="str">
        <x:v>Reporte/inspección del checkout al corte</x:v>
      </x:c>
      <x:c r="Q595" s="43" t="str">
        <x:v>PUS01, SOC04</x:v>
      </x:c>
      <x:c r="R595" s="43" t="str"/>
      <x:c r="S595" s="43" t="str">
        <x:v>Estado reconstruido por inspección del checkout al 06/10/2026 y reportes locales. La fecha de evidencia es la fecha de corte, salvo fecha individual explícita. Sin duración real registrada.</x:v>
      </x:c>
      <x:c r="T595" s="43" t="str">
        <x:v>S105, S106, S107, S101</x:v>
      </x:c>
      <x:c r="U595" s="43" t="str">
        <x:v>supabase/migrations/014_android_push.sql
supabase/functions/send-push/index.ts
supabase/functions/send-push/delivery.ts
docs/android-push.md</x:v>
      </x:c>
    </x:row>
    <x:row r="596" ht="56" customHeight="1">
      <x:c r="A596" s="42" t="str">
        <x:v>PUS02.016</x:v>
      </x:c>
      <x:c r="B596" s="42" t="str">
        <x:v>Cola y entrega push en Supabase</x:v>
      </x:c>
      <x:c r="C596" s="42" t="str">
        <x:v>PUS02</x:v>
      </x:c>
      <x:c r="D596" s="43" t="str">
        <x:v>Despertar worker desde triggers</x:v>
      </x:c>
      <x:c r="E596" s="43" t="str">
        <x:v>Ejecutar entrega inmediata y dejar cron para continuidad.</x:v>
      </x:c>
      <x:c r="F596" s="43" t="str">
        <x:v>Completado</x:v>
      </x:c>
      <x:c r="G596" s="44" t="n">
        <x:v>46296</x:v>
      </x:c>
      <x:c r="H596" s="44" t="n">
        <x:v>46302</x:v>
      </x:c>
      <x:c r="I596" s="45" t="n">
        <x:f>IF(OR(G596="",H596=""),"",SUMPRODUCT(('Cronograma'!$F$8:$P$8&lt;=H596)*('Cronograma'!$F$9:$P$9&gt;=G596)))</x:f>
        <x:v>1</x:v>
      </x:c>
      <x:c r="J596" s="46"/>
      <x:c r="K596" s="46"/>
      <x:c r="L596" s="47"/>
      <x:c r="M596" s="48" t="str"/>
      <x:c r="N596" s="48" t="str"/>
      <x:c r="O596" s="49" t="n">
        <x:v>46301</x:v>
      </x:c>
      <x:c r="P596" s="43" t="str">
        <x:v>Reporte/inspección del checkout al corte</x:v>
      </x:c>
      <x:c r="Q596" s="43" t="str">
        <x:v>PUS01, SOC04</x:v>
      </x:c>
      <x:c r="R596" s="43" t="str"/>
      <x:c r="S596" s="43" t="str">
        <x:v>Estado reconstruido por inspección del checkout al 06/10/2026 y reportes locales. La fecha de evidencia es la fecha de corte, salvo fecha individual explícita. Sin duración real registrada.</x:v>
      </x:c>
      <x:c r="T596" s="43" t="str">
        <x:v>S105, S106, S107, S101</x:v>
      </x:c>
      <x:c r="U596" s="43" t="str">
        <x:v>supabase/migrations/014_android_push.sql
supabase/functions/send-push/index.ts
supabase/functions/send-push/delivery.ts
docs/android-push.md</x:v>
      </x:c>
    </x:row>
    <x:row r="597" ht="56" customHeight="1">
      <x:c r="A597" s="42" t="str">
        <x:v>PUS02.017</x:v>
      </x:c>
      <x:c r="B597" s="42" t="str">
        <x:v>Cola y entrega push en Supabase</x:v>
      </x:c>
      <x:c r="C597" s="42" t="str">
        <x:v>PUS02</x:v>
      </x:c>
      <x:c r="D597" s="43" t="str">
        <x:v>Crear activación idempotente del scheduler</x:v>
      </x:c>
      <x:c r="E597" s="43" t="str">
        <x:v>Instalar un proceso por minuto con nombre estable.</x:v>
      </x:c>
      <x:c r="F597" s="43" t="str">
        <x:v>Completado</x:v>
      </x:c>
      <x:c r="G597" s="44" t="n">
        <x:v>46296</x:v>
      </x:c>
      <x:c r="H597" s="44" t="n">
        <x:v>46302</x:v>
      </x:c>
      <x:c r="I597" s="45" t="n">
        <x:f>IF(OR(G597="",H597=""),"",SUMPRODUCT(('Cronograma'!$F$8:$P$8&lt;=H597)*('Cronograma'!$F$9:$P$9&gt;=G597)))</x:f>
        <x:v>1</x:v>
      </x:c>
      <x:c r="J597" s="46"/>
      <x:c r="K597" s="46"/>
      <x:c r="L597" s="47"/>
      <x:c r="M597" s="48" t="str"/>
      <x:c r="N597" s="48" t="str"/>
      <x:c r="O597" s="49" t="n">
        <x:v>46301</x:v>
      </x:c>
      <x:c r="P597" s="43" t="str">
        <x:v>Reporte/inspección del checkout al corte</x:v>
      </x:c>
      <x:c r="Q597" s="43" t="str">
        <x:v>PUS01, SOC04</x:v>
      </x:c>
      <x:c r="R597" s="43" t="str"/>
      <x:c r="S597" s="43" t="str">
        <x:v>Estado reconstruido por inspección del checkout al 06/10/2026 y reportes locales. La fecha de evidencia es la fecha de corte, salvo fecha individual explícita. Sin duración real registrada.</x:v>
      </x:c>
      <x:c r="T597" s="43" t="str">
        <x:v>S105, S106, S107, S101</x:v>
      </x:c>
      <x:c r="U597" s="43" t="str">
        <x:v>supabase/migrations/014_android_push.sql
supabase/functions/send-push/index.ts
supabase/functions/send-push/delivery.ts
docs/android-push.md</x:v>
      </x:c>
    </x:row>
    <x:row r="598" ht="56" customHeight="1">
      <x:c r="A598" s="42" t="str">
        <x:v>PUS03.001</x:v>
      </x:c>
      <x:c r="B598" s="42" t="str">
        <x:v>Configuración Firebase, despliegue y distribución</x:v>
      </x:c>
      <x:c r="C598" s="42" t="str">
        <x:v>PUS03</x:v>
      </x:c>
      <x:c r="D598" s="43" t="str">
        <x:v>Crear proyecto Firebase MAREA</x:v>
      </x:c>
      <x:c r="E598" s="43" t="str">
        <x:v>Registrar proyecto sin Analytics para transporte de avisos.</x:v>
      </x:c>
      <x:c r="F598" s="43" t="str">
        <x:v>Completado</x:v>
      </x:c>
      <x:c r="G598" s="44" t="n">
        <x:v>46296</x:v>
      </x:c>
      <x:c r="H598" s="44" t="n">
        <x:v>46302</x:v>
      </x:c>
      <x:c r="I598" s="45" t="n">
        <x:f>IF(OR(G598="",H598=""),"",SUMPRODUCT(('Cronograma'!$F$8:$P$8&lt;=H598)*('Cronograma'!$F$9:$P$9&gt;=G598)))</x:f>
        <x:v>1</x:v>
      </x:c>
      <x:c r="J598" s="46"/>
      <x:c r="K598" s="46"/>
      <x:c r="L598" s="47"/>
      <x:c r="M598" s="48" t="str"/>
      <x:c r="N598" s="48" t="str"/>
      <x:c r="O598" s="49" t="n">
        <x:v>46301</x:v>
      </x:c>
      <x:c r="P598" s="43" t="str">
        <x:v>Reporte/inspección del checkout al corte</x:v>
      </x:c>
      <x:c r="Q598" s="43" t="str">
        <x:v>PUS01, PUS02</x:v>
      </x:c>
      <x:c r="R598" s="43" t="str"/>
      <x:c r="S598" s="43" t="str">
        <x:v>Estado reconstruido por inspección del checkout al 06/10/2026 y reportes locales. La fecha de evidencia es la fecha de corte, salvo fecha individual explícita. Sin duración real registrada.</x:v>
      </x:c>
      <x:c r="T598" s="43" t="str">
        <x:v>S101, S095, S108, S109</x:v>
      </x:c>
      <x:c r="U598" s="43" t="str">
        <x:v>docs/android-push.md
docs/implementation/modern-interactions-push-progress.md
supabase/push/activate.sql
android/app/build.gradle.kts</x:v>
      </x:c>
    </x:row>
    <x:row r="599" ht="56" customHeight="1">
      <x:c r="A599" s="42" t="str">
        <x:v>PUS03.002</x:v>
      </x:c>
      <x:c r="B599" s="42" t="str">
        <x:v>Configuración Firebase, despliegue y distribución</x:v>
      </x:c>
      <x:c r="C599" s="42" t="str">
        <x:v>PUS03</x:v>
      </x:c>
      <x:c r="D599" s="43" t="str">
        <x:v>Registrar Android com.marea.app</x:v>
      </x:c>
      <x:c r="E599" s="43" t="str">
        <x:v>Vincular aplicación con proyecto FCM.</x:v>
      </x:c>
      <x:c r="F599" s="43" t="str">
        <x:v>Completado</x:v>
      </x:c>
      <x:c r="G599" s="44" t="n">
        <x:v>46296</x:v>
      </x:c>
      <x:c r="H599" s="44" t="n">
        <x:v>46302</x:v>
      </x:c>
      <x:c r="I599" s="45" t="n">
        <x:f>IF(OR(G599="",H599=""),"",SUMPRODUCT(('Cronograma'!$F$8:$P$8&lt;=H599)*('Cronograma'!$F$9:$P$9&gt;=G599)))</x:f>
        <x:v>1</x:v>
      </x:c>
      <x:c r="J599" s="46"/>
      <x:c r="K599" s="46"/>
      <x:c r="L599" s="47"/>
      <x:c r="M599" s="48" t="str"/>
      <x:c r="N599" s="48" t="str"/>
      <x:c r="O599" s="49" t="n">
        <x:v>46301</x:v>
      </x:c>
      <x:c r="P599" s="43" t="str">
        <x:v>Reporte/inspección del checkout al corte</x:v>
      </x:c>
      <x:c r="Q599" s="43" t="str">
        <x:v>PUS01, PUS02</x:v>
      </x:c>
      <x:c r="R599" s="43" t="str"/>
      <x:c r="S599" s="43" t="str">
        <x:v>Estado reconstruido por inspección del checkout al 06/10/2026 y reportes locales. La fecha de evidencia es la fecha de corte, salvo fecha individual explícita. Sin duración real registrada.</x:v>
      </x:c>
      <x:c r="T599" s="43" t="str">
        <x:v>S101, S095, S108, S109</x:v>
      </x:c>
      <x:c r="U599" s="43" t="str">
        <x:v>docs/android-push.md
docs/implementation/modern-interactions-push-progress.md
supabase/push/activate.sql
android/app/build.gradle.kts</x:v>
      </x:c>
    </x:row>
    <x:row r="600" ht="56" customHeight="1">
      <x:c r="A600" s="42" t="str">
        <x:v>PUS03.003</x:v>
      </x:c>
      <x:c r="B600" s="42" t="str">
        <x:v>Configuración Firebase, despliegue y distribución</x:v>
      </x:c>
      <x:c r="C600" s="42" t="str">
        <x:v>PUS03</x:v>
      </x:c>
      <x:c r="D600" s="43" t="str">
        <x:v>Obtener configuración pública Firebase</x:v>
      </x:c>
      <x:c r="E600" s="43" t="str">
        <x:v>Guardar defines Android en archivo ignorado.</x:v>
      </x:c>
      <x:c r="F600" s="43" t="str">
        <x:v>Completado</x:v>
      </x:c>
      <x:c r="G600" s="44" t="n">
        <x:v>46296</x:v>
      </x:c>
      <x:c r="H600" s="44" t="n">
        <x:v>46302</x:v>
      </x:c>
      <x:c r="I600" s="45" t="n">
        <x:f>IF(OR(G600="",H600=""),"",SUMPRODUCT(('Cronograma'!$F$8:$P$8&lt;=H600)*('Cronograma'!$F$9:$P$9&gt;=G600)))</x:f>
        <x:v>1</x:v>
      </x:c>
      <x:c r="J600" s="46"/>
      <x:c r="K600" s="46"/>
      <x:c r="L600" s="47"/>
      <x:c r="M600" s="48" t="str"/>
      <x:c r="N600" s="48" t="str"/>
      <x:c r="O600" s="49" t="n">
        <x:v>46301</x:v>
      </x:c>
      <x:c r="P600" s="43" t="str">
        <x:v>Reporte/inspección del checkout al corte</x:v>
      </x:c>
      <x:c r="Q600" s="43" t="str">
        <x:v>PUS01, PUS02</x:v>
      </x:c>
      <x:c r="R600" s="43" t="str"/>
      <x:c r="S600" s="43" t="str">
        <x:v>Estado reconstruido por inspección del checkout al 06/10/2026 y reportes locales. La fecha de evidencia es la fecha de corte, salvo fecha individual explícita. Sin duración real registrada.</x:v>
      </x:c>
      <x:c r="T600" s="43" t="str">
        <x:v>S101, S095, S108, S109</x:v>
      </x:c>
      <x:c r="U600" s="43" t="str">
        <x:v>docs/android-push.md
docs/implementation/modern-interactions-push-progress.md
supabase/push/activate.sql
android/app/build.gradle.kts</x:v>
      </x:c>
    </x:row>
    <x:row r="601" ht="56" customHeight="1">
      <x:c r="A601" s="42" t="str">
        <x:v>PUS03.004</x:v>
      </x:c>
      <x:c r="B601" s="42" t="str">
        <x:v>Configuración Firebase, despliegue y distribución</x:v>
      </x:c>
      <x:c r="C601" s="42" t="str">
        <x:v>PUS03</x:v>
      </x:c>
      <x:c r="D601" s="43" t="str">
        <x:v>Habilitar API FCM HTTP v1</x:v>
      </x:c>
      <x:c r="E601" s="43" t="str">
        <x:v>Preparar transporte de envío desde backend.</x:v>
      </x:c>
      <x:c r="F601" s="43" t="str">
        <x:v>Completado</x:v>
      </x:c>
      <x:c r="G601" s="44" t="n">
        <x:v>46296</x:v>
      </x:c>
      <x:c r="H601" s="44" t="n">
        <x:v>46302</x:v>
      </x:c>
      <x:c r="I601" s="45" t="n">
        <x:f>IF(OR(G601="",H601=""),"",SUMPRODUCT(('Cronograma'!$F$8:$P$8&lt;=H601)*('Cronograma'!$F$9:$P$9&gt;=G601)))</x:f>
        <x:v>1</x:v>
      </x:c>
      <x:c r="J601" s="46"/>
      <x:c r="K601" s="46"/>
      <x:c r="L601" s="47"/>
      <x:c r="M601" s="48" t="str"/>
      <x:c r="N601" s="48" t="str"/>
      <x:c r="O601" s="49" t="n">
        <x:v>46301</x:v>
      </x:c>
      <x:c r="P601" s="43" t="str">
        <x:v>Reporte/inspección del checkout al corte</x:v>
      </x:c>
      <x:c r="Q601" s="43" t="str">
        <x:v>PUS01, PUS02</x:v>
      </x:c>
      <x:c r="R601" s="43" t="str"/>
      <x:c r="S601" s="43" t="str">
        <x:v>Estado reconstruido por inspección del checkout al 06/10/2026 y reportes locales. La fecha de evidencia es la fecha de corte, salvo fecha individual explícita. Sin duración real registrada.</x:v>
      </x:c>
      <x:c r="T601" s="43" t="str">
        <x:v>S101, S095, S108, S109</x:v>
      </x:c>
      <x:c r="U601" s="43" t="str">
        <x:v>docs/android-push.md
docs/implementation/modern-interactions-push-progress.md
supabase/push/activate.sql
android/app/build.gradle.kts</x:v>
      </x:c>
    </x:row>
    <x:row r="602" ht="56" customHeight="1">
      <x:c r="A602" s="42" t="str">
        <x:v>PUS03.005</x:v>
      </x:c>
      <x:c r="B602" s="42" t="str">
        <x:v>Configuración Firebase, despliegue y distribución</x:v>
      </x:c>
      <x:c r="C602" s="42" t="str">
        <x:v>PUS03</x:v>
      </x:c>
      <x:c r="D602" s="43" t="str">
        <x:v>Crear cuenta dedicada de envío</x:v>
      </x:c>
      <x:c r="E602" s="43" t="str">
        <x:v>Asignar rol autorizado de Firebase Cloud Messaging.</x:v>
      </x:c>
      <x:c r="F602" s="43" t="str">
        <x:v>Completado</x:v>
      </x:c>
      <x:c r="G602" s="44" t="n">
        <x:v>46296</x:v>
      </x:c>
      <x:c r="H602" s="44" t="n">
        <x:v>46302</x:v>
      </x:c>
      <x:c r="I602" s="45" t="n">
        <x:f>IF(OR(G602="",H602=""),"",SUMPRODUCT(('Cronograma'!$F$8:$P$8&lt;=H602)*('Cronograma'!$F$9:$P$9&gt;=G602)))</x:f>
        <x:v>1</x:v>
      </x:c>
      <x:c r="J602" s="46"/>
      <x:c r="K602" s="46"/>
      <x:c r="L602" s="47"/>
      <x:c r="M602" s="48" t="str"/>
      <x:c r="N602" s="48" t="str"/>
      <x:c r="O602" s="49" t="n">
        <x:v>46301</x:v>
      </x:c>
      <x:c r="P602" s="43" t="str">
        <x:v>Reporte/inspección del checkout al corte</x:v>
      </x:c>
      <x:c r="Q602" s="43" t="str">
        <x:v>PUS01, PUS02</x:v>
      </x:c>
      <x:c r="R602" s="43" t="str"/>
      <x:c r="S602" s="43" t="str">
        <x:v>Estado reconstruido por inspección del checkout al 06/10/2026 y reportes locales. La fecha de evidencia es la fecha de corte, salvo fecha individual explícita. Sin duración real registrada.</x:v>
      </x:c>
      <x:c r="T602" s="43" t="str">
        <x:v>S101, S095, S108, S109</x:v>
      </x:c>
      <x:c r="U602" s="43" t="str">
        <x:v>docs/android-push.md
docs/implementation/modern-interactions-push-progress.md
supabase/push/activate.sql
android/app/build.gradle.kts</x:v>
      </x:c>
    </x:row>
    <x:row r="603" ht="56" customHeight="1">
      <x:c r="A603" s="42" t="str">
        <x:v>PUS03.006</x:v>
      </x:c>
      <x:c r="B603" s="42" t="str">
        <x:v>Configuración Firebase, despliegue y distribución</x:v>
      </x:c>
      <x:c r="C603" s="42" t="str">
        <x:v>PUS03</x:v>
      </x:c>
      <x:c r="D603" s="43" t="str">
        <x:v>Transferir credencial FCM a Supabase</x:v>
      </x:c>
      <x:c r="E603" s="43" t="str">
        <x:v>Conservar clave privada únicamente en backend.</x:v>
      </x:c>
      <x:c r="F603" s="43" t="str">
        <x:v>Completado</x:v>
      </x:c>
      <x:c r="G603" s="44" t="n">
        <x:v>46296</x:v>
      </x:c>
      <x:c r="H603" s="44" t="n">
        <x:v>46302</x:v>
      </x:c>
      <x:c r="I603" s="45" t="n">
        <x:f>IF(OR(G603="",H603=""),"",SUMPRODUCT(('Cronograma'!$F$8:$P$8&lt;=H603)*('Cronograma'!$F$9:$P$9&gt;=G603)))</x:f>
        <x:v>1</x:v>
      </x:c>
      <x:c r="J603" s="46"/>
      <x:c r="K603" s="46"/>
      <x:c r="L603" s="47"/>
      <x:c r="M603" s="48" t="str"/>
      <x:c r="N603" s="48" t="str"/>
      <x:c r="O603" s="49" t="n">
        <x:v>46301</x:v>
      </x:c>
      <x:c r="P603" s="43" t="str">
        <x:v>Reporte/inspección del checkout al corte</x:v>
      </x:c>
      <x:c r="Q603" s="43" t="str">
        <x:v>PUS01, PUS02</x:v>
      </x:c>
      <x:c r="R603" s="43" t="str"/>
      <x:c r="S603" s="43" t="str">
        <x:v>Estado reconstruido por inspección del checkout al 06/10/2026 y reportes locales. La fecha de evidencia es la fecha de corte, salvo fecha individual explícita. Sin duración real registrada.</x:v>
      </x:c>
      <x:c r="T603" s="43" t="str">
        <x:v>S101, S095, S108, S109</x:v>
      </x:c>
      <x:c r="U603" s="43" t="str">
        <x:v>docs/android-push.md
docs/implementation/modern-interactions-push-progress.md
supabase/push/activate.sql
android/app/build.gradle.kts</x:v>
      </x:c>
    </x:row>
    <x:row r="604" ht="56" customHeight="1">
      <x:c r="A604" s="42" t="str">
        <x:v>PUS03.007</x:v>
      </x:c>
      <x:c r="B604" s="42" t="str">
        <x:v>Configuración Firebase, despliegue y distribución</x:v>
      </x:c>
      <x:c r="C604" s="42" t="str">
        <x:v>PUS03</x:v>
      </x:c>
      <x:c r="D604" s="43" t="str">
        <x:v>Desactivar credencial fallida anterior</x:v>
      </x:c>
      <x:c r="E604" s="43" t="str">
        <x:v>Evitar claves duplicadas activas tras descarga fallida.</x:v>
      </x:c>
      <x:c r="F604" s="43" t="str">
        <x:v>Completado</x:v>
      </x:c>
      <x:c r="G604" s="44" t="n">
        <x:v>46296</x:v>
      </x:c>
      <x:c r="H604" s="44" t="n">
        <x:v>46302</x:v>
      </x:c>
      <x:c r="I604" s="45" t="n">
        <x:f>IF(OR(G604="",H604=""),"",SUMPRODUCT(('Cronograma'!$F$8:$P$8&lt;=H604)*('Cronograma'!$F$9:$P$9&gt;=G604)))</x:f>
        <x:v>1</x:v>
      </x:c>
      <x:c r="J604" s="46"/>
      <x:c r="K604" s="46"/>
      <x:c r="L604" s="47"/>
      <x:c r="M604" s="48" t="str"/>
      <x:c r="N604" s="48" t="str"/>
      <x:c r="O604" s="49" t="n">
        <x:v>46301</x:v>
      </x:c>
      <x:c r="P604" s="43" t="str">
        <x:v>Reporte/inspección del checkout al corte</x:v>
      </x:c>
      <x:c r="Q604" s="43" t="str">
        <x:v>PUS01, PUS02</x:v>
      </x:c>
      <x:c r="R604" s="43" t="str"/>
      <x:c r="S604" s="43" t="str">
        <x:v>Estado reconstruido por inspección del checkout al 06/10/2026 y reportes locales. La fecha de evidencia es la fecha de corte, salvo fecha individual explícita. Sin duración real registrada.</x:v>
      </x:c>
      <x:c r="T604" s="43" t="str">
        <x:v>S101, S095, S108, S109</x:v>
      </x:c>
      <x:c r="U604" s="43" t="str">
        <x:v>docs/android-push.md
docs/implementation/modern-interactions-push-progress.md
supabase/push/activate.sql
android/app/build.gradle.kts</x:v>
      </x:c>
    </x:row>
    <x:row r="605" ht="56" customHeight="1">
      <x:c r="A605" s="42" t="str">
        <x:v>PUS03.008</x:v>
      </x:c>
      <x:c r="B605" s="42" t="str">
        <x:v>Configuración Firebase, despliegue y distribución</x:v>
      </x:c>
      <x:c r="C605" s="42" t="str">
        <x:v>PUS03</x:v>
      </x:c>
      <x:c r="D605" s="43" t="str">
        <x:v>Eliminar copias temporales de credenciales</x:v>
      </x:c>
      <x:c r="E605" s="43" t="str">
        <x:v>Retirar archivos usados en la transferencia.</x:v>
      </x:c>
      <x:c r="F605" s="43" t="str">
        <x:v>Completado</x:v>
      </x:c>
      <x:c r="G605" s="44" t="n">
        <x:v>46296</x:v>
      </x:c>
      <x:c r="H605" s="44" t="n">
        <x:v>46302</x:v>
      </x:c>
      <x:c r="I605" s="45" t="n">
        <x:f>IF(OR(G605="",H605=""),"",SUMPRODUCT(('Cronograma'!$F$8:$P$8&lt;=H605)*('Cronograma'!$F$9:$P$9&gt;=G605)))</x:f>
        <x:v>1</x:v>
      </x:c>
      <x:c r="J605" s="46"/>
      <x:c r="K605" s="46"/>
      <x:c r="L605" s="47"/>
      <x:c r="M605" s="48" t="str"/>
      <x:c r="N605" s="48" t="str"/>
      <x:c r="O605" s="49" t="n">
        <x:v>46301</x:v>
      </x:c>
      <x:c r="P605" s="43" t="str">
        <x:v>Reporte/inspección del checkout al corte</x:v>
      </x:c>
      <x:c r="Q605" s="43" t="str">
        <x:v>PUS01, PUS02</x:v>
      </x:c>
      <x:c r="R605" s="43" t="str"/>
      <x:c r="S605" s="43" t="str">
        <x:v>Estado reconstruido por inspección del checkout al 06/10/2026 y reportes locales. La fecha de evidencia es la fecha de corte, salvo fecha individual explícita. Sin duración real registrada.</x:v>
      </x:c>
      <x:c r="T605" s="43" t="str">
        <x:v>S101, S095, S108, S109</x:v>
      </x:c>
      <x:c r="U605" s="43" t="str">
        <x:v>docs/android-push.md
docs/implementation/modern-interactions-push-progress.md
supabase/push/activate.sql
android/app/build.gradle.kts</x:v>
      </x:c>
    </x:row>
    <x:row r="606" ht="56" customHeight="1">
      <x:c r="A606" s="42" t="str">
        <x:v>PUS03.009</x:v>
      </x:c>
      <x:c r="B606" s="42" t="str">
        <x:v>Configuración Firebase, despliegue y distribución</x:v>
      </x:c>
      <x:c r="C606" s="42" t="str">
        <x:v>PUS03</x:v>
      </x:c>
      <x:c r="D606" s="43" t="str">
        <x:v>Aplicar migración 014 al proyecto</x:v>
      </x:c>
      <x:c r="E606" s="43" t="str">
        <x:v>Confirmar contrato remoto antes de activar.</x:v>
      </x:c>
      <x:c r="F606" s="43" t="str">
        <x:v>Completado</x:v>
      </x:c>
      <x:c r="G606" s="44" t="n">
        <x:v>46296</x:v>
      </x:c>
      <x:c r="H606" s="44" t="n">
        <x:v>46302</x:v>
      </x:c>
      <x:c r="I606" s="45" t="n">
        <x:f>IF(OR(G606="",H606=""),"",SUMPRODUCT(('Cronograma'!$F$8:$P$8&lt;=H606)*('Cronograma'!$F$9:$P$9&gt;=G606)))</x:f>
        <x:v>1</x:v>
      </x:c>
      <x:c r="J606" s="46"/>
      <x:c r="K606" s="46"/>
      <x:c r="L606" s="47"/>
      <x:c r="M606" s="48" t="str"/>
      <x:c r="N606" s="48" t="str"/>
      <x:c r="O606" s="49" t="n">
        <x:v>46301</x:v>
      </x:c>
      <x:c r="P606" s="43" t="str">
        <x:v>Reporte/inspección del checkout al corte</x:v>
      </x:c>
      <x:c r="Q606" s="43" t="str">
        <x:v>PUS01, PUS02</x:v>
      </x:c>
      <x:c r="R606" s="43" t="str"/>
      <x:c r="S606" s="43" t="str">
        <x:v>Estado reconstruido por inspección del checkout al 06/10/2026 y reportes locales. La fecha de evidencia es la fecha de corte, salvo fecha individual explícita. Sin duración real registrada.</x:v>
      </x:c>
      <x:c r="T606" s="43" t="str">
        <x:v>S101, S095, S108, S109</x:v>
      </x:c>
      <x:c r="U606" s="43" t="str">
        <x:v>docs/android-push.md
docs/implementation/modern-interactions-push-progress.md
supabase/push/activate.sql
android/app/build.gradle.kts</x:v>
      </x:c>
    </x:row>
    <x:row r="607" ht="56" customHeight="1">
      <x:c r="A607" s="42" t="str">
        <x:v>PUS03.010</x:v>
      </x:c>
      <x:c r="B607" s="42" t="str">
        <x:v>Configuración Firebase, despliegue y distribución</x:v>
      </x:c>
      <x:c r="C607" s="42" t="str">
        <x:v>PUS03</x:v>
      </x:c>
      <x:c r="D607" s="43" t="str">
        <x:v>Desplegar send-push</x:v>
      </x:c>
      <x:c r="E607" s="43" t="str">
        <x:v>Configurar secretos y comprobar worker remoto.</x:v>
      </x:c>
      <x:c r="F607" s="43" t="str">
        <x:v>Completado</x:v>
      </x:c>
      <x:c r="G607" s="44" t="n">
        <x:v>46296</x:v>
      </x:c>
      <x:c r="H607" s="44" t="n">
        <x:v>46302</x:v>
      </x:c>
      <x:c r="I607" s="45" t="n">
        <x:f>IF(OR(G607="",H607=""),"",SUMPRODUCT(('Cronograma'!$F$8:$P$8&lt;=H607)*('Cronograma'!$F$9:$P$9&gt;=G607)))</x:f>
        <x:v>1</x:v>
      </x:c>
      <x:c r="J607" s="46"/>
      <x:c r="K607" s="46"/>
      <x:c r="L607" s="47"/>
      <x:c r="M607" s="48" t="str"/>
      <x:c r="N607" s="48" t="str"/>
      <x:c r="O607" s="49" t="n">
        <x:v>46301</x:v>
      </x:c>
      <x:c r="P607" s="43" t="str">
        <x:v>Reporte/inspección del checkout al corte</x:v>
      </x:c>
      <x:c r="Q607" s="43" t="str">
        <x:v>PUS01, PUS02</x:v>
      </x:c>
      <x:c r="R607" s="43" t="str"/>
      <x:c r="S607" s="43" t="str">
        <x:v>Estado reconstruido por inspección del checkout al 06/10/2026 y reportes locales. La fecha de evidencia es la fecha de corte, salvo fecha individual explícita. Sin duración real registrada.</x:v>
      </x:c>
      <x:c r="T607" s="43" t="str">
        <x:v>S101, S095, S108, S109</x:v>
      </x:c>
      <x:c r="U607" s="43" t="str">
        <x:v>docs/android-push.md
docs/implementation/modern-interactions-push-progress.md
supabase/push/activate.sql
android/app/build.gradle.kts</x:v>
      </x:c>
    </x:row>
    <x:row r="608" ht="56" customHeight="1">
      <x:c r="A608" s="42" t="str">
        <x:v>PUS03.011</x:v>
      </x:c>
      <x:c r="B608" s="42" t="str">
        <x:v>Configuración Firebase, despliegue y distribución</x:v>
      </x:c>
      <x:c r="C608" s="42" t="str">
        <x:v>PUS03</x:v>
      </x:c>
      <x:c r="D608" s="43" t="str">
        <x:v>Configurar URL y secreto en Vault</x:v>
      </x:c>
      <x:c r="E608" s="43" t="str">
        <x:v>Preparar invocación privada del scheduler.</x:v>
      </x:c>
      <x:c r="F608" s="43" t="str">
        <x:v>Completado</x:v>
      </x:c>
      <x:c r="G608" s="44" t="n">
        <x:v>46296</x:v>
      </x:c>
      <x:c r="H608" s="44" t="n">
        <x:v>46302</x:v>
      </x:c>
      <x:c r="I608" s="45" t="n">
        <x:f>IF(OR(G608="",H608=""),"",SUMPRODUCT(('Cronograma'!$F$8:$P$8&lt;=H608)*('Cronograma'!$F$9:$P$9&gt;=G608)))</x:f>
        <x:v>1</x:v>
      </x:c>
      <x:c r="J608" s="46"/>
      <x:c r="K608" s="46"/>
      <x:c r="L608" s="47"/>
      <x:c r="M608" s="48" t="str"/>
      <x:c r="N608" s="48" t="str"/>
      <x:c r="O608" s="49" t="n">
        <x:v>46301</x:v>
      </x:c>
      <x:c r="P608" s="43" t="str">
        <x:v>Reporte/inspección del checkout al corte</x:v>
      </x:c>
      <x:c r="Q608" s="43" t="str">
        <x:v>PUS01, PUS02</x:v>
      </x:c>
      <x:c r="R608" s="43" t="str"/>
      <x:c r="S608" s="43" t="str">
        <x:v>Estado reconstruido por inspección del checkout al 06/10/2026 y reportes locales. La fecha de evidencia es la fecha de corte, salvo fecha individual explícita. Sin duración real registrada.</x:v>
      </x:c>
      <x:c r="T608" s="43" t="str">
        <x:v>S101, S095, S108, S109</x:v>
      </x:c>
      <x:c r="U608" s="43" t="str">
        <x:v>docs/android-push.md
docs/implementation/modern-interactions-push-progress.md
supabase/push/activate.sql
android/app/build.gradle.kts</x:v>
      </x:c>
    </x:row>
    <x:row r="609" ht="56" customHeight="1">
      <x:c r="A609" s="42" t="str">
        <x:v>PUS03.012</x:v>
      </x:c>
      <x:c r="B609" s="42" t="str">
        <x:v>Configuración Firebase, despliegue y distribución</x:v>
      </x:c>
      <x:c r="C609" s="42" t="str">
        <x:v>PUS03</x:v>
      </x:c>
      <x:c r="D609" s="43" t="str">
        <x:v>Generar recursos públicos Firebase en Gradle</x:v>
      </x:c>
      <x:c r="E609" s="43" t="str">
        <x:v>Permitir inicialización nativa al despertar proceso cerrado.</x:v>
      </x:c>
      <x:c r="F609" s="43" t="str">
        <x:v>Completado</x:v>
      </x:c>
      <x:c r="G609" s="44" t="n">
        <x:v>46296</x:v>
      </x:c>
      <x:c r="H609" s="44" t="n">
        <x:v>46302</x:v>
      </x:c>
      <x:c r="I609" s="45" t="n">
        <x:f>IF(OR(G609="",H609=""),"",SUMPRODUCT(('Cronograma'!$F$8:$P$8&lt;=H609)*('Cronograma'!$F$9:$P$9&gt;=G609)))</x:f>
        <x:v>1</x:v>
      </x:c>
      <x:c r="J609" s="46"/>
      <x:c r="K609" s="46"/>
      <x:c r="L609" s="47"/>
      <x:c r="M609" s="48" t="str"/>
      <x:c r="N609" s="48" t="str"/>
      <x:c r="O609" s="49" t="n">
        <x:v>46301</x:v>
      </x:c>
      <x:c r="P609" s="43" t="str">
        <x:v>Reporte/inspección del checkout al corte</x:v>
      </x:c>
      <x:c r="Q609" s="43" t="str">
        <x:v>PUS01, PUS02</x:v>
      </x:c>
      <x:c r="R609" s="43" t="str"/>
      <x:c r="S609" s="43" t="str">
        <x:v>Estado reconstruido por inspección del checkout al 06/10/2026 y reportes locales. La fecha de evidencia es la fecha de corte, salvo fecha individual explícita. Sin duración real registrada.</x:v>
      </x:c>
      <x:c r="T609" s="43" t="str">
        <x:v>S101, S095, S108, S109</x:v>
      </x:c>
      <x:c r="U609" s="43" t="str">
        <x:v>docs/android-push.md
docs/implementation/modern-interactions-push-progress.md
supabase/push/activate.sql
android/app/build.gradle.kts</x:v>
      </x:c>
    </x:row>
    <x:row r="610" ht="56" customHeight="1">
      <x:c r="A610" s="42" t="str">
        <x:v>PUS03.013</x:v>
      </x:c>
      <x:c r="B610" s="42" t="str">
        <x:v>Configuración Firebase, despliegue y distribución</x:v>
      </x:c>
      <x:c r="C610" s="42" t="str">
        <x:v>PUS03</x:v>
      </x:c>
      <x:c r="D610" s="43" t="str">
        <x:v>Mantener auto-init bajo permiso</x:v>
      </x:c>
      <x:c r="E610" s="43" t="str">
        <x:v>No registrar avisos antes de autorización del dispositivo.</x:v>
      </x:c>
      <x:c r="F610" s="43" t="str">
        <x:v>Completado</x:v>
      </x:c>
      <x:c r="G610" s="44" t="n">
        <x:v>46296</x:v>
      </x:c>
      <x:c r="H610" s="44" t="n">
        <x:v>46302</x:v>
      </x:c>
      <x:c r="I610" s="45" t="n">
        <x:f>IF(OR(G610="",H610=""),"",SUMPRODUCT(('Cronograma'!$F$8:$P$8&lt;=H610)*('Cronograma'!$F$9:$P$9&gt;=G610)))</x:f>
        <x:v>1</x:v>
      </x:c>
      <x:c r="J610" s="46"/>
      <x:c r="K610" s="46"/>
      <x:c r="L610" s="47"/>
      <x:c r="M610" s="48" t="str"/>
      <x:c r="N610" s="48" t="str"/>
      <x:c r="O610" s="49" t="n">
        <x:v>46301</x:v>
      </x:c>
      <x:c r="P610" s="43" t="str">
        <x:v>Reporte/inspección del checkout al corte</x:v>
      </x:c>
      <x:c r="Q610" s="43" t="str">
        <x:v>PUS01, PUS02</x:v>
      </x:c>
      <x:c r="R610" s="43" t="str"/>
      <x:c r="S610" s="43" t="str">
        <x:v>Estado reconstruido por inspección del checkout al 06/10/2026 y reportes locales. La fecha de evidencia es la fecha de corte, salvo fecha individual explícita. Sin duración real registrada.</x:v>
      </x:c>
      <x:c r="T610" s="43" t="str">
        <x:v>S101, S095, S108, S109</x:v>
      </x:c>
      <x:c r="U610" s="43" t="str">
        <x:v>docs/android-push.md
docs/implementation/modern-interactions-push-progress.md
supabase/push/activate.sql
android/app/build.gradle.kts</x:v>
      </x:c>
    </x:row>
    <x:row r="611" ht="56" customHeight="1">
      <x:c r="A611" s="42" t="str">
        <x:v>PUS03.014</x:v>
      </x:c>
      <x:c r="B611" s="42" t="str">
        <x:v>Configuración Firebase, despliegue y distribución</x:v>
      </x:c>
      <x:c r="C611" s="42" t="str">
        <x:v>PUS03</x:v>
      </x:c>
      <x:c r="D611" s="43" t="str">
        <x:v>Actualizar target iOS a 15</x:v>
      </x:c>
      <x:c r="E611" s="43" t="str">
        <x:v>Conservar compatibilidad de compilación con plugins Firebase.</x:v>
      </x:c>
      <x:c r="F611" s="43" t="str">
        <x:v>Completado</x:v>
      </x:c>
      <x:c r="G611" s="44" t="n">
        <x:v>46296</x:v>
      </x:c>
      <x:c r="H611" s="44" t="n">
        <x:v>46302</x:v>
      </x:c>
      <x:c r="I611" s="45" t="n">
        <x:f>IF(OR(G611="",H611=""),"",SUMPRODUCT(('Cronograma'!$F$8:$P$8&lt;=H611)*('Cronograma'!$F$9:$P$9&gt;=G611)))</x:f>
        <x:v>1</x:v>
      </x:c>
      <x:c r="J611" s="46"/>
      <x:c r="K611" s="46"/>
      <x:c r="L611" s="47"/>
      <x:c r="M611" s="48" t="str"/>
      <x:c r="N611" s="48" t="str"/>
      <x:c r="O611" s="49" t="n">
        <x:v>46301</x:v>
      </x:c>
      <x:c r="P611" s="43" t="str">
        <x:v>Reporte/inspección del checkout al corte</x:v>
      </x:c>
      <x:c r="Q611" s="43" t="str">
        <x:v>PUS01, PUS02</x:v>
      </x:c>
      <x:c r="R611" s="43" t="str"/>
      <x:c r="S611" s="43" t="str">
        <x:v>Estado reconstruido por inspección del checkout al 06/10/2026 y reportes locales. La fecha de evidencia es la fecha de corte, salvo fecha individual explícita. Sin duración real registrada.</x:v>
      </x:c>
      <x:c r="T611" s="43" t="str">
        <x:v>S101, S095, S108, S109</x:v>
      </x:c>
      <x:c r="U611" s="43" t="str">
        <x:v>docs/android-push.md
docs/implementation/modern-interactions-push-progress.md
supabase/push/activate.sql
android/app/build.gradle.kts</x:v>
      </x:c>
    </x:row>
    <x:row r="612" ht="56" customHeight="1">
      <x:c r="A612" s="42" t="str">
        <x:v>PUS03.015</x:v>
      </x:c>
      <x:c r="B612" s="42" t="str">
        <x:v>Configuración Firebase, despliegue y distribución</x:v>
      </x:c>
      <x:c r="C612" s="42" t="str">
        <x:v>PUS03</x:v>
      </x:c>
      <x:c r="D612" s="43" t="str">
        <x:v>Compilar APK con configuración Firebase</x:v>
      </x:c>
      <x:c r="E612" s="43" t="str">
        <x:v>Preparar cliente Android para pruebas reales.</x:v>
      </x:c>
      <x:c r="F612" s="43" t="str">
        <x:v>Completado</x:v>
      </x:c>
      <x:c r="G612" s="44" t="n">
        <x:v>46296</x:v>
      </x:c>
      <x:c r="H612" s="44" t="n">
        <x:v>46302</x:v>
      </x:c>
      <x:c r="I612" s="45" t="n">
        <x:f>IF(OR(G612="",H612=""),"",SUMPRODUCT(('Cronograma'!$F$8:$P$8&lt;=H612)*('Cronograma'!$F$9:$P$9&gt;=G612)))</x:f>
        <x:v>1</x:v>
      </x:c>
      <x:c r="J612" s="46"/>
      <x:c r="K612" s="46"/>
      <x:c r="L612" s="47"/>
      <x:c r="M612" s="48" t="str"/>
      <x:c r="N612" s="48" t="str"/>
      <x:c r="O612" s="49" t="n">
        <x:v>46301</x:v>
      </x:c>
      <x:c r="P612" s="43" t="str">
        <x:v>Reporte/inspección del checkout al corte</x:v>
      </x:c>
      <x:c r="Q612" s="43" t="str">
        <x:v>PUS01, PUS02</x:v>
      </x:c>
      <x:c r="R612" s="43" t="str"/>
      <x:c r="S612" s="43" t="str">
        <x:v>Estado reconstruido por inspección del checkout al 06/10/2026 y reportes locales. La fecha de evidencia es la fecha de corte, salvo fecha individual explícita. Sin duración real registrada.</x:v>
      </x:c>
      <x:c r="T612" s="43" t="str">
        <x:v>S101, S095, S108, S109</x:v>
      </x:c>
      <x:c r="U612" s="43" t="str">
        <x:v>docs/android-push.md
docs/implementation/modern-interactions-push-progress.md
supabase/push/activate.sql
android/app/build.gradle.kts</x:v>
      </x:c>
    </x:row>
    <x:row r="613" ht="56" customHeight="1">
      <x:c r="A613" s="42" t="str">
        <x:v>PUS03.016</x:v>
      </x:c>
      <x:c r="B613" s="42" t="str">
        <x:v>Configuración Firebase, despliegue y distribución</x:v>
      </x:c>
      <x:c r="C613" s="42" t="str">
        <x:v>PUS03</x:v>
      </x:c>
      <x:c r="D613" s="43" t="str">
        <x:v>Instalar APK en Samsung SM-A556E</x:v>
      </x:c>
      <x:c r="E613" s="43" t="str">
        <x:v>Actualizar dispositivo autorizado para validar recepción.</x:v>
      </x:c>
      <x:c r="F613" s="43" t="str">
        <x:v>Completado</x:v>
      </x:c>
      <x:c r="G613" s="44" t="n">
        <x:v>46296</x:v>
      </x:c>
      <x:c r="H613" s="44" t="n">
        <x:v>46302</x:v>
      </x:c>
      <x:c r="I613" s="45" t="n">
        <x:f>IF(OR(G613="",H613=""),"",SUMPRODUCT(('Cronograma'!$F$8:$P$8&lt;=H613)*('Cronograma'!$F$9:$P$9&gt;=G613)))</x:f>
        <x:v>1</x:v>
      </x:c>
      <x:c r="J613" s="46"/>
      <x:c r="K613" s="46"/>
      <x:c r="L613" s="47"/>
      <x:c r="M613" s="48" t="str"/>
      <x:c r="N613" s="48" t="str"/>
      <x:c r="O613" s="49" t="n">
        <x:v>46301</x:v>
      </x:c>
      <x:c r="P613" s="43" t="str">
        <x:v>Reporte/inspección del checkout al corte</x:v>
      </x:c>
      <x:c r="Q613" s="43" t="str">
        <x:v>PUS01, PUS02</x:v>
      </x:c>
      <x:c r="R613" s="43" t="str"/>
      <x:c r="S613" s="43" t="str">
        <x:v>Estado reconstruido por inspección del checkout al 06/10/2026 y reportes locales. La fecha de evidencia es la fecha de corte, salvo fecha individual explícita. Sin duración real registrada.</x:v>
      </x:c>
      <x:c r="T613" s="43" t="str">
        <x:v>S101, S095, S108, S109</x:v>
      </x:c>
      <x:c r="U613" s="43" t="str">
        <x:v>docs/android-push.md
docs/implementation/modern-interactions-push-progress.md
supabase/push/activate.sql
android/app/build.gradle.kts</x:v>
      </x:c>
    </x:row>
    <x:row r="614" ht="56" customHeight="1">
      <x:c r="A614" s="42" t="str">
        <x:v>PUS03.017</x:v>
      </x:c>
      <x:c r="B614" s="42" t="str">
        <x:v>Configuración Firebase, despliegue y distribución</x:v>
      </x:c>
      <x:c r="C614" s="42" t="str">
        <x:v>PUS03</x:v>
      </x:c>
      <x:c r="D614" s="43" t="str">
        <x:v>Publicar Web compatible en Netlify</x:v>
      </x:c>
      <x:c r="E614" s="43" t="str">
        <x:v>El documento acredita publicación del 05/10/2026.</x:v>
      </x:c>
      <x:c r="F614" s="43" t="str">
        <x:v>Completado</x:v>
      </x:c>
      <x:c r="G614" s="44" t="n">
        <x:v>46296</x:v>
      </x:c>
      <x:c r="H614" s="44" t="n">
        <x:v>46302</x:v>
      </x:c>
      <x:c r="I614" s="45" t="n">
        <x:f>IF(OR(G614="",H614=""),"",SUMPRODUCT(('Cronograma'!$F$8:$P$8&lt;=H614)*('Cronograma'!$F$9:$P$9&gt;=G614)))</x:f>
        <x:v>1</x:v>
      </x:c>
      <x:c r="J614" s="46"/>
      <x:c r="K614" s="46"/>
      <x:c r="L614" s="47"/>
      <x:c r="M614" s="48" t="str"/>
      <x:c r="N614" s="48" t="str"/>
      <x:c r="O614" s="49" t="n">
        <x:v>46300</x:v>
      </x:c>
      <x:c r="P614" s="43" t="str">
        <x:v>Reporte fechado y código asociado</x:v>
      </x:c>
      <x:c r="Q614" s="43" t="str">
        <x:v>PUS01, PUS02</x:v>
      </x:c>
      <x:c r="R614" s="43" t="str"/>
      <x:c r="S614" s="43" t="str">
        <x:v>docs/android-push.md fecha la publicación Web el 05/10/2026; no acredita duración de publicación.</x:v>
      </x:c>
      <x:c r="T614" s="43" t="str">
        <x:v>S101, S095, S108, S109</x:v>
      </x:c>
      <x:c r="U614" s="43" t="str">
        <x:v>docs/android-push.md
docs/implementation/modern-interactions-push-progress.md
supabase/push/activate.sql
android/app/build.gradle.kts</x:v>
      </x:c>
    </x:row>
    <x:row r="615" ht="56" customHeight="1">
      <x:c r="A615" s="42" t="str">
        <x:v>PUS03.018</x:v>
      </x:c>
      <x:c r="B615" s="42" t="str">
        <x:v>Configuración Firebase, despliegue y distribución</x:v>
      </x:c>
      <x:c r="C615" s="42" t="str">
        <x:v>PUS03</x:v>
      </x:c>
      <x:c r="D615" s="43" t="str">
        <x:v>Comparar main.dart.js público y local</x:v>
      </x:c>
      <x:c r="E615" s="43" t="str">
        <x:v>Confirmar hash idéntico de la compilación publicada.</x:v>
      </x:c>
      <x:c r="F615" s="43" t="str">
        <x:v>Completado</x:v>
      </x:c>
      <x:c r="G615" s="44" t="n">
        <x:v>46296</x:v>
      </x:c>
      <x:c r="H615" s="44" t="n">
        <x:v>46302</x:v>
      </x:c>
      <x:c r="I615" s="45" t="n">
        <x:f>IF(OR(G615="",H615=""),"",SUMPRODUCT(('Cronograma'!$F$8:$P$8&lt;=H615)*('Cronograma'!$F$9:$P$9&gt;=G615)))</x:f>
        <x:v>1</x:v>
      </x:c>
      <x:c r="J615" s="46"/>
      <x:c r="K615" s="46"/>
      <x:c r="L615" s="47"/>
      <x:c r="M615" s="48" t="str"/>
      <x:c r="N615" s="48" t="str"/>
      <x:c r="O615" s="49" t="n">
        <x:v>46301</x:v>
      </x:c>
      <x:c r="P615" s="43" t="str">
        <x:v>Reporte/inspección del checkout al corte</x:v>
      </x:c>
      <x:c r="Q615" s="43" t="str">
        <x:v>PUS01, PUS02</x:v>
      </x:c>
      <x:c r="R615" s="43" t="str"/>
      <x:c r="S615" s="43" t="str">
        <x:v>Estado reconstruido por inspección del checkout al 06/10/2026 y reportes locales. La fecha de evidencia es la fecha de corte, salvo fecha individual explícita. Sin duración real registrada.</x:v>
      </x:c>
      <x:c r="T615" s="43" t="str">
        <x:v>S101, S095, S108, S109</x:v>
      </x:c>
      <x:c r="U615" s="43" t="str">
        <x:v>docs/android-push.md
docs/implementation/modern-interactions-push-progress.md
supabase/push/activate.sql
android/app/build.gradle.kts</x:v>
      </x:c>
    </x:row>
    <x:row r="616" ht="56" customHeight="1">
      <x:c r="A616" s="42" t="str">
        <x:v>PUS03.019</x:v>
      </x:c>
      <x:c r="B616" s="42" t="str">
        <x:v>Configuración Firebase, despliegue y distribución</x:v>
      </x:c>
      <x:c r="C616" s="42" t="str">
        <x:v>PUS03</x:v>
      </x:c>
      <x:c r="D616" s="43" t="str">
        <x:v>Activar cron y bandera de envíos</x:v>
      </x:c>
      <x:c r="E616" s="43" t="str">
        <x:v>Habilitar procesamiento tras validar Android y Web.</x:v>
      </x:c>
      <x:c r="F616" s="43" t="str">
        <x:v>Completado</x:v>
      </x:c>
      <x:c r="G616" s="44" t="n">
        <x:v>46296</x:v>
      </x:c>
      <x:c r="H616" s="44" t="n">
        <x:v>46302</x:v>
      </x:c>
      <x:c r="I616" s="45" t="n">
        <x:f>IF(OR(G616="",H616=""),"",SUMPRODUCT(('Cronograma'!$F$8:$P$8&lt;=H616)*('Cronograma'!$F$9:$P$9&gt;=G616)))</x:f>
        <x:v>1</x:v>
      </x:c>
      <x:c r="J616" s="46"/>
      <x:c r="K616" s="46"/>
      <x:c r="L616" s="47"/>
      <x:c r="M616" s="48" t="str"/>
      <x:c r="N616" s="48" t="str"/>
      <x:c r="O616" s="49" t="n">
        <x:v>46301</x:v>
      </x:c>
      <x:c r="P616" s="43" t="str">
        <x:v>Reporte/inspección del checkout al corte</x:v>
      </x:c>
      <x:c r="Q616" s="43" t="str">
        <x:v>PUS01, PUS02</x:v>
      </x:c>
      <x:c r="R616" s="43" t="str"/>
      <x:c r="S616" s="43" t="str">
        <x:v>Estado reconstruido por inspección del checkout al 06/10/2026 y reportes locales. La fecha de evidencia es la fecha de corte, salvo fecha individual explícita. Sin duración real registrada.</x:v>
      </x:c>
      <x:c r="T616" s="43" t="str">
        <x:v>S101, S095, S108, S109</x:v>
      </x:c>
      <x:c r="U616" s="43" t="str">
        <x:v>docs/android-push.md
docs/implementation/modern-interactions-push-progress.md
supabase/push/activate.sql
android/app/build.gradle.kts</x:v>
      </x:c>
    </x:row>
    <x:row r="617" ht="56" customHeight="1">
      <x:c r="A617" s="42" t="str">
        <x:v>PUS03.020</x:v>
      </x:c>
      <x:c r="B617" s="42" t="str">
        <x:v>Configuración Firebase, despliegue y distribución</x:v>
      </x:c>
      <x:c r="C617" s="42" t="str">
        <x:v>PUS03</x:v>
      </x:c>
      <x:c r="D617" s="43" t="str">
        <x:v>Verificar una sola ejecución por minuto</x:v>
      </x:c>
      <x:c r="E617" s="43" t="str">
        <x:v>Comprobar cron succeeded y cola vacía.</x:v>
      </x:c>
      <x:c r="F617" s="43" t="str">
        <x:v>Completado</x:v>
      </x:c>
      <x:c r="G617" s="44" t="n">
        <x:v>46296</x:v>
      </x:c>
      <x:c r="H617" s="44" t="n">
        <x:v>46302</x:v>
      </x:c>
      <x:c r="I617" s="45" t="n">
        <x:f>IF(OR(G617="",H617=""),"",SUMPRODUCT(('Cronograma'!$F$8:$P$8&lt;=H617)*('Cronograma'!$F$9:$P$9&gt;=G617)))</x:f>
        <x:v>1</x:v>
      </x:c>
      <x:c r="J617" s="46"/>
      <x:c r="K617" s="46"/>
      <x:c r="L617" s="47"/>
      <x:c r="M617" s="48" t="str"/>
      <x:c r="N617" s="48" t="str"/>
      <x:c r="O617" s="49" t="n">
        <x:v>46301</x:v>
      </x:c>
      <x:c r="P617" s="43" t="str">
        <x:v>Reporte/inspección del checkout al corte</x:v>
      </x:c>
      <x:c r="Q617" s="43" t="str">
        <x:v>PUS01, PUS02</x:v>
      </x:c>
      <x:c r="R617" s="43" t="str"/>
      <x:c r="S617" s="43" t="str">
        <x:v>Estado reconstruido por inspección del checkout al 06/10/2026 y reportes locales. La fecha de evidencia es la fecha de corte, salvo fecha individual explícita. Sin duración real registrada.</x:v>
      </x:c>
      <x:c r="T617" s="43" t="str">
        <x:v>S101, S095, S108, S109</x:v>
      </x:c>
      <x:c r="U617" s="43" t="str">
        <x:v>docs/android-push.md
docs/implementation/modern-interactions-push-progress.md
supabase/push/activate.sql
android/app/build.gradle.kts</x:v>
      </x:c>
    </x:row>
    <x:row r="618" ht="44" customHeight="1">
      <x:c r="A618" s="42" t="str">
        <x:v>PUS04.001</x:v>
      </x:c>
      <x:c r="B618" s="42" t="str">
        <x:v>Correcciones y pruebas de push ejecutadas</x:v>
      </x:c>
      <x:c r="C618" s="42" t="str">
        <x:v>PUS04</x:v>
      </x:c>
      <x:c r="D618" s="43" t="str">
        <x:v>Corregir logout offline o colgado</x:v>
      </x:c>
      <x:c r="E618" s="43" t="str">
        <x:v>Evitar conservar registro de una sesión finalizada.</x:v>
      </x:c>
      <x:c r="F618" s="43" t="str">
        <x:v>Completado</x:v>
      </x:c>
      <x:c r="G618" s="44" t="n">
        <x:v>46296</x:v>
      </x:c>
      <x:c r="H618" s="44" t="n">
        <x:v>46302</x:v>
      </x:c>
      <x:c r="I618" s="45" t="n">
        <x:f>IF(OR(G618="",H618=""),"",SUMPRODUCT(('Cronograma'!$F$8:$P$8&lt;=H618)*('Cronograma'!$F$9:$P$9&gt;=G618)))</x:f>
        <x:v>1</x:v>
      </x:c>
      <x:c r="J618" s="46"/>
      <x:c r="K618" s="46"/>
      <x:c r="L618" s="47"/>
      <x:c r="M618" s="48" t="str"/>
      <x:c r="N618" s="48" t="str"/>
      <x:c r="O618" s="49" t="n">
        <x:v>46301</x:v>
      </x:c>
      <x:c r="P618" s="43" t="str">
        <x:v>Reporte/inspección del checkout al corte</x:v>
      </x:c>
      <x:c r="Q618" s="43" t="str">
        <x:v>PUS01, PUS02, PUS03</x:v>
      </x:c>
      <x:c r="R618" s="43" t="str"/>
      <x:c r="S618" s="43" t="str">
        <x:v>Estado reconstruido por inspección del checkout al 06/10/2026 y reportes locales. La fecha de evidencia es la fecha de corte, salvo fecha individual explícita. Sin duración real registrada.</x:v>
      </x:c>
      <x:c r="T618" s="43" t="str">
        <x:v>S101, S095, S110</x:v>
      </x:c>
      <x:c r="U618" s="43" t="str">
        <x:v>docs/android-push.md
docs/implementation/modern-interactions-push-progress.md
test/features/notifications/push_controller_test.dart</x:v>
      </x:c>
    </x:row>
    <x:row r="619" ht="44" customHeight="1">
      <x:c r="A619" s="42" t="str">
        <x:v>PUS04.002</x:v>
      </x:c>
      <x:c r="B619" s="42" t="str">
        <x:v>Correcciones y pruebas de push ejecutadas</x:v>
      </x:c>
      <x:c r="C619" s="42" t="str">
        <x:v>PUS04</x:v>
      </x:c>
      <x:c r="D619" s="43" t="str">
        <x:v>Corregir reset tardío entre cuentas</x:v>
      </x:c>
      <x:c r="E619" s="43" t="str">
        <x:v>No borrar estado nuevo por respuesta anterior.</x:v>
      </x:c>
      <x:c r="F619" s="43" t="str">
        <x:v>Completado</x:v>
      </x:c>
      <x:c r="G619" s="44" t="n">
        <x:v>46296</x:v>
      </x:c>
      <x:c r="H619" s="44" t="n">
        <x:v>46302</x:v>
      </x:c>
      <x:c r="I619" s="45" t="n">
        <x:f>IF(OR(G619="",H619=""),"",SUMPRODUCT(('Cronograma'!$F$8:$P$8&lt;=H619)*('Cronograma'!$F$9:$P$9&gt;=G619)))</x:f>
        <x:v>1</x:v>
      </x:c>
      <x:c r="J619" s="46"/>
      <x:c r="K619" s="46"/>
      <x:c r="L619" s="47"/>
      <x:c r="M619" s="48" t="str"/>
      <x:c r="N619" s="48" t="str"/>
      <x:c r="O619" s="49" t="n">
        <x:v>46301</x:v>
      </x:c>
      <x:c r="P619" s="43" t="str">
        <x:v>Reporte/inspección del checkout al corte</x:v>
      </x:c>
      <x:c r="Q619" s="43" t="str">
        <x:v>PUS01, PUS02, PUS03</x:v>
      </x:c>
      <x:c r="R619" s="43" t="str"/>
      <x:c r="S619" s="43" t="str">
        <x:v>Estado reconstruido por inspección del checkout al 06/10/2026 y reportes locales. La fecha de evidencia es la fecha de corte, salvo fecha individual explícita. Sin duración real registrada.</x:v>
      </x:c>
      <x:c r="T619" s="43" t="str">
        <x:v>S101, S095, S110</x:v>
      </x:c>
      <x:c r="U619" s="43" t="str">
        <x:v>docs/android-push.md
docs/implementation/modern-interactions-push-progress.md
test/features/notifications/push_controller_test.dart</x:v>
      </x:c>
    </x:row>
    <x:row r="620" ht="44" customHeight="1">
      <x:c r="A620" s="42" t="str">
        <x:v>PUS04.003</x:v>
      </x:c>
      <x:c r="B620" s="42" t="str">
        <x:v>Correcciones y pruebas de push ejecutadas</x:v>
      </x:c>
      <x:c r="C620" s="42" t="str">
        <x:v>PUS04</x:v>
      </x:c>
      <x:c r="D620" s="43" t="str">
        <x:v>Corregir clasificación refresh_token_not_found</x:v>
      </x:c>
      <x:c r="E620" s="43" t="str">
        <x:v>Recuperar acceso al reconocer sesión inválida.</x:v>
      </x:c>
      <x:c r="F620" s="43" t="str">
        <x:v>Completado</x:v>
      </x:c>
      <x:c r="G620" s="44" t="n">
        <x:v>46296</x:v>
      </x:c>
      <x:c r="H620" s="44" t="n">
        <x:v>46302</x:v>
      </x:c>
      <x:c r="I620" s="45" t="n">
        <x:f>IF(OR(G620="",H620=""),"",SUMPRODUCT(('Cronograma'!$F$8:$P$8&lt;=H620)*('Cronograma'!$F$9:$P$9&gt;=G620)))</x:f>
        <x:v>1</x:v>
      </x:c>
      <x:c r="J620" s="46"/>
      <x:c r="K620" s="46"/>
      <x:c r="L620" s="47"/>
      <x:c r="M620" s="48" t="str"/>
      <x:c r="N620" s="48" t="str"/>
      <x:c r="O620" s="49" t="n">
        <x:v>46301</x:v>
      </x:c>
      <x:c r="P620" s="43" t="str">
        <x:v>Reporte/inspección del checkout al corte</x:v>
      </x:c>
      <x:c r="Q620" s="43" t="str">
        <x:v>PUS01, PUS02, PUS03</x:v>
      </x:c>
      <x:c r="R620" s="43" t="str"/>
      <x:c r="S620" s="43" t="str">
        <x:v>Estado reconstruido por inspección del checkout al 06/10/2026 y reportes locales. La fecha de evidencia es la fecha de corte, salvo fecha individual explícita. Sin duración real registrada.</x:v>
      </x:c>
      <x:c r="T620" s="43" t="str">
        <x:v>S101, S095, S110</x:v>
      </x:c>
      <x:c r="U620" s="43" t="str">
        <x:v>docs/android-push.md
docs/implementation/modern-interactions-push-progress.md
test/features/notifications/push_controller_test.dart</x:v>
      </x:c>
    </x:row>
    <x:row r="621" ht="44" customHeight="1">
      <x:c r="A621" s="42" t="str">
        <x:v>PUS04.004</x:v>
      </x:c>
      <x:c r="B621" s="42" t="str">
        <x:v>Correcciones y pruebas de push ejecutadas</x:v>
      </x:c>
      <x:c r="C621" s="42" t="str">
        <x:v>PUS04</x:v>
      </x:c>
      <x:c r="D621" s="43" t="str">
        <x:v>Corregir recuperación de diálogo de permiso</x:v>
      </x:c>
      <x:c r="E621" s="43" t="str">
        <x:v>Persistir solicitud solo después de terminar.</x:v>
      </x:c>
      <x:c r="F621" s="43" t="str">
        <x:v>Completado</x:v>
      </x:c>
      <x:c r="G621" s="44" t="n">
        <x:v>46296</x:v>
      </x:c>
      <x:c r="H621" s="44" t="n">
        <x:v>46302</x:v>
      </x:c>
      <x:c r="I621" s="45" t="n">
        <x:f>IF(OR(G621="",H621=""),"",SUMPRODUCT(('Cronograma'!$F$8:$P$8&lt;=H621)*('Cronograma'!$F$9:$P$9&gt;=G621)))</x:f>
        <x:v>1</x:v>
      </x:c>
      <x:c r="J621" s="46"/>
      <x:c r="K621" s="46"/>
      <x:c r="L621" s="47"/>
      <x:c r="M621" s="48" t="str"/>
      <x:c r="N621" s="48" t="str"/>
      <x:c r="O621" s="49" t="n">
        <x:v>46301</x:v>
      </x:c>
      <x:c r="P621" s="43" t="str">
        <x:v>Reporte/inspección del checkout al corte</x:v>
      </x:c>
      <x:c r="Q621" s="43" t="str">
        <x:v>PUS01, PUS02, PUS03</x:v>
      </x:c>
      <x:c r="R621" s="43" t="str"/>
      <x:c r="S621" s="43" t="str">
        <x:v>Estado reconstruido por inspección del checkout al 06/10/2026 y reportes locales. La fecha de evidencia es la fecha de corte, salvo fecha individual explícita. Sin duración real registrada.</x:v>
      </x:c>
      <x:c r="T621" s="43" t="str">
        <x:v>S101, S095, S110</x:v>
      </x:c>
      <x:c r="U621" s="43" t="str">
        <x:v>docs/android-push.md
docs/implementation/modern-interactions-push-progress.md
test/features/notifications/push_controller_test.dart</x:v>
      </x:c>
    </x:row>
    <x:row r="622" ht="44" customHeight="1">
      <x:c r="A622" s="42" t="str">
        <x:v>PUS04.005</x:v>
      </x:c>
      <x:c r="B622" s="42" t="str">
        <x:v>Correcciones y pruebas de push ejecutadas</x:v>
      </x:c>
      <x:c r="C622" s="42" t="str">
        <x:v>PUS04</x:v>
      </x:c>
      <x:c r="D622" s="43" t="str">
        <x:v>Usar promptOnce al refrescar permiso</x:v>
      </x:c>
      <x:c r="E622" s="43" t="str">
        <x:v>Permitir recuperación sin diálogos repetidos.</x:v>
      </x:c>
      <x:c r="F622" s="43" t="str">
        <x:v>Completado</x:v>
      </x:c>
      <x:c r="G622" s="44" t="n">
        <x:v>46296</x:v>
      </x:c>
      <x:c r="H622" s="44" t="n">
        <x:v>46302</x:v>
      </x:c>
      <x:c r="I622" s="45" t="n">
        <x:f>IF(OR(G622="",H622=""),"",SUMPRODUCT(('Cronograma'!$F$8:$P$8&lt;=H622)*('Cronograma'!$F$9:$P$9&gt;=G622)))</x:f>
        <x:v>1</x:v>
      </x:c>
      <x:c r="J622" s="46"/>
      <x:c r="K622" s="46"/>
      <x:c r="L622" s="47"/>
      <x:c r="M622" s="48" t="str"/>
      <x:c r="N622" s="48" t="str"/>
      <x:c r="O622" s="49" t="n">
        <x:v>46301</x:v>
      </x:c>
      <x:c r="P622" s="43" t="str">
        <x:v>Reporte/inspección del checkout al corte</x:v>
      </x:c>
      <x:c r="Q622" s="43" t="str">
        <x:v>PUS01, PUS02, PUS03</x:v>
      </x:c>
      <x:c r="R622" s="43" t="str"/>
      <x:c r="S622" s="43" t="str">
        <x:v>Estado reconstruido por inspección del checkout al 06/10/2026 y reportes locales. La fecha de evidencia es la fecha de corte, salvo fecha individual explícita. Sin duración real registrada.</x:v>
      </x:c>
      <x:c r="T622" s="43" t="str">
        <x:v>S101, S095, S110</x:v>
      </x:c>
      <x:c r="U622" s="43" t="str">
        <x:v>docs/android-push.md
docs/implementation/modern-interactions-push-progress.md
test/features/notifications/push_controller_test.dart</x:v>
      </x:c>
    </x:row>
    <x:row r="623" ht="44" customHeight="1">
      <x:c r="A623" s="42" t="str">
        <x:v>PUS04.006</x:v>
      </x:c>
      <x:c r="B623" s="42" t="str">
        <x:v>Correcciones y pruebas de push ejecutadas</x:v>
      </x:c>
      <x:c r="C623" s="42" t="str">
        <x:v>PUS04</x:v>
      </x:c>
      <x:c r="D623" s="43" t="str">
        <x:v>Corregir inicialización nativa en segundo plano</x:v>
      </x:c>
      <x:c r="E623" s="43" t="str">
        <x:v>Resolver primer aviso físico que no llegó.</x:v>
      </x:c>
      <x:c r="F623" s="43" t="str">
        <x:v>Completado</x:v>
      </x:c>
      <x:c r="G623" s="44" t="n">
        <x:v>46296</x:v>
      </x:c>
      <x:c r="H623" s="44" t="n">
        <x:v>46302</x:v>
      </x:c>
      <x:c r="I623" s="45" t="n">
        <x:f>IF(OR(G623="",H623=""),"",SUMPRODUCT(('Cronograma'!$F$8:$P$8&lt;=H623)*('Cronograma'!$F$9:$P$9&gt;=G623)))</x:f>
        <x:v>1</x:v>
      </x:c>
      <x:c r="J623" s="46"/>
      <x:c r="K623" s="46"/>
      <x:c r="L623" s="47"/>
      <x:c r="M623" s="48" t="str"/>
      <x:c r="N623" s="48" t="str"/>
      <x:c r="O623" s="49" t="n">
        <x:v>46301</x:v>
      </x:c>
      <x:c r="P623" s="43" t="str">
        <x:v>Reporte/inspección del checkout al corte</x:v>
      </x:c>
      <x:c r="Q623" s="43" t="str">
        <x:v>PUS01, PUS02, PUS03</x:v>
      </x:c>
      <x:c r="R623" s="43" t="str"/>
      <x:c r="S623" s="43" t="str">
        <x:v>Estado reconstruido por inspección del checkout al 06/10/2026 y reportes locales. La fecha de evidencia es la fecha de corte, salvo fecha individual explícita. Sin duración real registrada.</x:v>
      </x:c>
      <x:c r="T623" s="43" t="str">
        <x:v>S101, S095, S110</x:v>
      </x:c>
      <x:c r="U623" s="43" t="str">
        <x:v>docs/android-push.md
docs/implementation/modern-interactions-push-progress.md
test/features/notifications/push_controller_test.dart</x:v>
      </x:c>
    </x:row>
    <x:row r="624" ht="44" customHeight="1">
      <x:c r="A624" s="42" t="str">
        <x:v>PUS04.007</x:v>
      </x:c>
      <x:c r="B624" s="42" t="str">
        <x:v>Correcciones y pruebas de push ejecutadas</x:v>
      </x:c>
      <x:c r="C624" s="42" t="str">
        <x:v>PUS04</x:v>
      </x:c>
      <x:c r="D624" s="43" t="str">
        <x:v>Probar aviso con aplicación abierta</x:v>
      </x:c>
      <x:c r="E624" s="43" t="str">
        <x:v>Usuario confirmó un único aviso del sistema.</x:v>
      </x:c>
      <x:c r="F624" s="43" t="str">
        <x:v>Completado</x:v>
      </x:c>
      <x:c r="G624" s="44" t="n">
        <x:v>46296</x:v>
      </x:c>
      <x:c r="H624" s="44" t="n">
        <x:v>46302</x:v>
      </x:c>
      <x:c r="I624" s="45" t="n">
        <x:f>IF(OR(G624="",H624=""),"",SUMPRODUCT(('Cronograma'!$F$8:$P$8&lt;=H624)*('Cronograma'!$F$9:$P$9&gt;=G624)))</x:f>
        <x:v>1</x:v>
      </x:c>
      <x:c r="J624" s="46"/>
      <x:c r="K624" s="46"/>
      <x:c r="L624" s="47"/>
      <x:c r="M624" s="48" t="str"/>
      <x:c r="N624" s="48" t="str"/>
      <x:c r="O624" s="49" t="n">
        <x:v>46301</x:v>
      </x:c>
      <x:c r="P624" s="43" t="str">
        <x:v>Reporte/inspección del checkout al corte</x:v>
      </x:c>
      <x:c r="Q624" s="43" t="str">
        <x:v>PUS01, PUS02, PUS03</x:v>
      </x:c>
      <x:c r="R624" s="43" t="str"/>
      <x:c r="S624" s="43" t="str">
        <x:v>Estado reconstruido por inspección del checkout al 06/10/2026 y reportes locales. La fecha de evidencia es la fecha de corte, salvo fecha individual explícita. Sin duración real registrada.</x:v>
      </x:c>
      <x:c r="T624" s="43" t="str">
        <x:v>S101, S095, S110</x:v>
      </x:c>
      <x:c r="U624" s="43" t="str">
        <x:v>docs/android-push.md
docs/implementation/modern-interactions-push-progress.md
test/features/notifications/push_controller_test.dart</x:v>
      </x:c>
    </x:row>
    <x:row r="625" ht="44" customHeight="1">
      <x:c r="A625" s="42" t="str">
        <x:v>PUS04.008</x:v>
      </x:c>
      <x:c r="B625" s="42" t="str">
        <x:v>Correcciones y pruebas de push ejecutadas</x:v>
      </x:c>
      <x:c r="C625" s="42" t="str">
        <x:v>PUS04</x:v>
      </x:c>
      <x:c r="D625" s="43" t="str">
        <x:v>Probar aviso visible en segundo plano</x:v>
      </x:c>
      <x:c r="E625" s="43" t="str">
        <x:v>Reporte acredita recepción tras corregir recursos nativos.</x:v>
      </x:c>
      <x:c r="F625" s="43" t="str">
        <x:v>Completado</x:v>
      </x:c>
      <x:c r="G625" s="44" t="n">
        <x:v>46296</x:v>
      </x:c>
      <x:c r="H625" s="44" t="n">
        <x:v>46302</x:v>
      </x:c>
      <x:c r="I625" s="45" t="n">
        <x:f>IF(OR(G625="",H625=""),"",SUMPRODUCT(('Cronograma'!$F$8:$P$8&lt;=H625)*('Cronograma'!$F$9:$P$9&gt;=G625)))</x:f>
        <x:v>1</x:v>
      </x:c>
      <x:c r="J625" s="46"/>
      <x:c r="K625" s="46"/>
      <x:c r="L625" s="47"/>
      <x:c r="M625" s="48" t="str"/>
      <x:c r="N625" s="48" t="str"/>
      <x:c r="O625" s="49" t="n">
        <x:v>46301</x:v>
      </x:c>
      <x:c r="P625" s="43" t="str">
        <x:v>Reporte/inspección del checkout al corte</x:v>
      </x:c>
      <x:c r="Q625" s="43" t="str">
        <x:v>PUS01, PUS02, PUS03</x:v>
      </x:c>
      <x:c r="R625" s="43" t="str"/>
      <x:c r="S625" s="43" t="str">
        <x:v>Estado reconstruido por inspección del checkout al 06/10/2026 y reportes locales. La fecha de evidencia es la fecha de corte, salvo fecha individual explícita. Sin duración real registrada.</x:v>
      </x:c>
      <x:c r="T625" s="43" t="str">
        <x:v>S101, S095, S110</x:v>
      </x:c>
      <x:c r="U625" s="43" t="str">
        <x:v>docs/android-push.md
docs/implementation/modern-interactions-push-progress.md
test/features/notifications/push_controller_test.dart</x:v>
      </x:c>
    </x:row>
    <x:row r="626" ht="44" customHeight="1">
      <x:c r="A626" s="42" t="str">
        <x:v>PUS04.009</x:v>
      </x:c>
      <x:c r="B626" s="42" t="str">
        <x:v>Correcciones y pruebas de push ejecutadas</x:v>
      </x:c>
      <x:c r="C626" s="42" t="str">
        <x:v>PUS04</x:v>
      </x:c>
      <x:c r="D626" s="43" t="str">
        <x:v>Probar aviso con proceso realmente cerrado</x:v>
      </x:c>
      <x:c r="E626" s="43" t="str">
        <x:v>Reporte acredita aviso y apertura desde arranque en frío.</x:v>
      </x:c>
      <x:c r="F626" s="43" t="str">
        <x:v>Completado</x:v>
      </x:c>
      <x:c r="G626" s="44" t="n">
        <x:v>46296</x:v>
      </x:c>
      <x:c r="H626" s="44" t="n">
        <x:v>46302</x:v>
      </x:c>
      <x:c r="I626" s="45" t="n">
        <x:f>IF(OR(G626="",H626=""),"",SUMPRODUCT(('Cronograma'!$F$8:$P$8&lt;=H626)*('Cronograma'!$F$9:$P$9&gt;=G626)))</x:f>
        <x:v>1</x:v>
      </x:c>
      <x:c r="J626" s="46"/>
      <x:c r="K626" s="46"/>
      <x:c r="L626" s="47"/>
      <x:c r="M626" s="48" t="str"/>
      <x:c r="N626" s="48" t="str"/>
      <x:c r="O626" s="49" t="n">
        <x:v>46301</x:v>
      </x:c>
      <x:c r="P626" s="43" t="str">
        <x:v>Reporte/inspección del checkout al corte</x:v>
      </x:c>
      <x:c r="Q626" s="43" t="str">
        <x:v>PUS01, PUS02, PUS03</x:v>
      </x:c>
      <x:c r="R626" s="43" t="str"/>
      <x:c r="S626" s="43" t="str">
        <x:v>Estado reconstruido por inspección del checkout al 06/10/2026 y reportes locales. La fecha de evidencia es la fecha de corte, salvo fecha individual explícita. Sin duración real registrada.</x:v>
      </x:c>
      <x:c r="T626" s="43" t="str">
        <x:v>S101, S095, S110</x:v>
      </x:c>
      <x:c r="U626" s="43" t="str">
        <x:v>docs/android-push.md
docs/implementation/modern-interactions-push-progress.md
test/features/notifications/push_controller_test.dart</x:v>
      </x:c>
    </x:row>
    <x:row r="627" ht="44" customHeight="1">
      <x:c r="A627" s="42" t="str">
        <x:v>PUS04.010</x:v>
      </x:c>
      <x:c r="B627" s="42" t="str">
        <x:v>Correcciones y pruebas de push ejecutadas</x:v>
      </x:c>
      <x:c r="C627" s="42" t="str">
        <x:v>PUS04</x:v>
      </x:c>
      <x:c r="D627" s="43" t="str">
        <x:v>Verificar apertura y read_at de avisos</x:v>
      </x:c>
      <x:c r="E627" s="43" t="str">
        <x:v>Confirmar destino Inicio y evento leído en pruebas físicas.</x:v>
      </x:c>
      <x:c r="F627" s="43" t="str">
        <x:v>Completado</x:v>
      </x:c>
      <x:c r="G627" s="44" t="n">
        <x:v>46296</x:v>
      </x:c>
      <x:c r="H627" s="44" t="n">
        <x:v>46302</x:v>
      </x:c>
      <x:c r="I627" s="45" t="n">
        <x:f>IF(OR(G627="",H627=""),"",SUMPRODUCT(('Cronograma'!$F$8:$P$8&lt;=H627)*('Cronograma'!$F$9:$P$9&gt;=G627)))</x:f>
        <x:v>1</x:v>
      </x:c>
      <x:c r="J627" s="46"/>
      <x:c r="K627" s="46"/>
      <x:c r="L627" s="47"/>
      <x:c r="M627" s="48" t="str"/>
      <x:c r="N627" s="48" t="str"/>
      <x:c r="O627" s="49" t="n">
        <x:v>46301</x:v>
      </x:c>
      <x:c r="P627" s="43" t="str">
        <x:v>Reporte/inspección del checkout al corte</x:v>
      </x:c>
      <x:c r="Q627" s="43" t="str">
        <x:v>PUS01, PUS02, PUS03</x:v>
      </x:c>
      <x:c r="R627" s="43" t="str"/>
      <x:c r="S627" s="43" t="str">
        <x:v>Estado reconstruido por inspección del checkout al 06/10/2026 y reportes locales. La fecha de evidencia es la fecha de corte, salvo fecha individual explícita. Sin duración real registrada.</x:v>
      </x:c>
      <x:c r="T627" s="43" t="str">
        <x:v>S101, S095, S110</x:v>
      </x:c>
      <x:c r="U627" s="43" t="str">
        <x:v>docs/android-push.md
docs/implementation/modern-interactions-push-progress.md
test/features/notifications/push_controller_test.dart</x:v>
      </x:c>
    </x:row>
    <x:row r="628" ht="44" customHeight="1">
      <x:c r="A628" s="42" t="str">
        <x:v>PUS04.011</x:v>
      </x:c>
      <x:c r="B628" s="42" t="str">
        <x:v>Correcciones y pruebas de push ejecutadas</x:v>
      </x:c>
      <x:c r="C628" s="42" t="str">
        <x:v>PUS04</x:v>
      </x:c>
      <x:c r="D628" s="43" t="str">
        <x:v>Limpiar cinco eventos de diagnóstico</x:v>
      </x:c>
      <x:c r="E628" s="43" t="str">
        <x:v>Restaurar actividad y zona antes de activar cron.</x:v>
      </x:c>
      <x:c r="F628" s="43" t="str">
        <x:v>Completado</x:v>
      </x:c>
      <x:c r="G628" s="44" t="n">
        <x:v>46296</x:v>
      </x:c>
      <x:c r="H628" s="44" t="n">
        <x:v>46302</x:v>
      </x:c>
      <x:c r="I628" s="45" t="n">
        <x:f>IF(OR(G628="",H628=""),"",SUMPRODUCT(('Cronograma'!$F$8:$P$8&lt;=H628)*('Cronograma'!$F$9:$P$9&gt;=G628)))</x:f>
        <x:v>1</x:v>
      </x:c>
      <x:c r="J628" s="46"/>
      <x:c r="K628" s="46"/>
      <x:c r="L628" s="47"/>
      <x:c r="M628" s="48" t="str"/>
      <x:c r="N628" s="48" t="str"/>
      <x:c r="O628" s="49" t="n">
        <x:v>46301</x:v>
      </x:c>
      <x:c r="P628" s="43" t="str">
        <x:v>Reporte/inspección del checkout al corte</x:v>
      </x:c>
      <x:c r="Q628" s="43" t="str">
        <x:v>PUS01, PUS02, PUS03</x:v>
      </x:c>
      <x:c r="R628" s="43" t="str"/>
      <x:c r="S628" s="43" t="str">
        <x:v>Estado reconstruido por inspección del checkout al 06/10/2026 y reportes locales. La fecha de evidencia es la fecha de corte, salvo fecha individual explícita. Sin duración real registrada.</x:v>
      </x:c>
      <x:c r="T628" s="43" t="str">
        <x:v>S101, S095, S110</x:v>
      </x:c>
      <x:c r="U628" s="43" t="str">
        <x:v>docs/android-push.md
docs/implementation/modern-interactions-push-progress.md
test/features/notifications/push_controller_test.dart</x:v>
      </x:c>
    </x:row>
    <x:row r="629" ht="44" customHeight="1">
      <x:c r="A629" s="42" t="str">
        <x:v>PUS04.012</x:v>
      </x:c>
      <x:c r="B629" s="42" t="str">
        <x:v>Correcciones y pruebas de push ejecutadas</x:v>
      </x:c>
      <x:c r="C629" s="42" t="str">
        <x:v>PUS04</x:v>
      </x:c>
      <x:c r="D629" s="43" t="str">
        <x:v>Validar cola y worker reales</x:v>
      </x:c>
      <x:c r="E629" s="43" t="str">
        <x:v>Comprobar configuración activa y dispositivo habilitado.</x:v>
      </x:c>
      <x:c r="F629" s="43" t="str">
        <x:v>Completado</x:v>
      </x:c>
      <x:c r="G629" s="44" t="n">
        <x:v>46296</x:v>
      </x:c>
      <x:c r="H629" s="44" t="n">
        <x:v>46302</x:v>
      </x:c>
      <x:c r="I629" s="45" t="n">
        <x:f>IF(OR(G629="",H629=""),"",SUMPRODUCT(('Cronograma'!$F$8:$P$8&lt;=H629)*('Cronograma'!$F$9:$P$9&gt;=G629)))</x:f>
        <x:v>1</x:v>
      </x:c>
      <x:c r="J629" s="46"/>
      <x:c r="K629" s="46"/>
      <x:c r="L629" s="47"/>
      <x:c r="M629" s="48" t="str"/>
      <x:c r="N629" s="48" t="str"/>
      <x:c r="O629" s="49" t="n">
        <x:v>46301</x:v>
      </x:c>
      <x:c r="P629" s="43" t="str">
        <x:v>Reporte/inspección del checkout al corte</x:v>
      </x:c>
      <x:c r="Q629" s="43" t="str">
        <x:v>PUS01, PUS02, PUS03</x:v>
      </x:c>
      <x:c r="R629" s="43" t="str"/>
      <x:c r="S629" s="43" t="str">
        <x:v>Estado reconstruido por inspección del checkout al 06/10/2026 y reportes locales. La fecha de evidencia es la fecha de corte, salvo fecha individual explícita. Sin duración real registrada.</x:v>
      </x:c>
      <x:c r="T629" s="43" t="str">
        <x:v>S101, S095, S110</x:v>
      </x:c>
      <x:c r="U629" s="43" t="str">
        <x:v>docs/android-push.md
docs/implementation/modern-interactions-push-progress.md
test/features/notifications/push_controller_test.dart</x:v>
      </x:c>
    </x:row>
    <x:row r="630" ht="44" customHeight="1">
      <x:c r="A630" s="42" t="str">
        <x:v>PUS04.013</x:v>
      </x:c>
      <x:c r="B630" s="42" t="str">
        <x:v>Correcciones y pruebas de push ejecutadas</x:v>
      </x:c>
      <x:c r="C630" s="42" t="str">
        <x:v>PUS04</x:v>
      </x:c>
      <x:c r="D630" s="43" t="str">
        <x:v>Registrar suite automática de push</x:v>
      </x:c>
      <x:c r="E630" s="43" t="str">
        <x:v>Reporte acredita 439 Flutter y 28 de comunidad posteriores.</x:v>
      </x:c>
      <x:c r="F630" s="43" t="str">
        <x:v>Completado</x:v>
      </x:c>
      <x:c r="G630" s="44" t="n">
        <x:v>46296</x:v>
      </x:c>
      <x:c r="H630" s="44" t="n">
        <x:v>46302</x:v>
      </x:c>
      <x:c r="I630" s="45" t="n">
        <x:f>IF(OR(G630="",H630=""),"",SUMPRODUCT(('Cronograma'!$F$8:$P$8&lt;=H630)*('Cronograma'!$F$9:$P$9&gt;=G630)))</x:f>
        <x:v>1</x:v>
      </x:c>
      <x:c r="J630" s="46"/>
      <x:c r="K630" s="46"/>
      <x:c r="L630" s="47"/>
      <x:c r="M630" s="48" t="str"/>
      <x:c r="N630" s="48" t="str"/>
      <x:c r="O630" s="49" t="n">
        <x:v>46301</x:v>
      </x:c>
      <x:c r="P630" s="43" t="str">
        <x:v>Reporte/inspección del checkout al corte</x:v>
      </x:c>
      <x:c r="Q630" s="43" t="str">
        <x:v>PUS01, PUS02, PUS03</x:v>
      </x:c>
      <x:c r="R630" s="43" t="str"/>
      <x:c r="S630" s="43" t="str">
        <x:v>Estado reconstruido por inspección del checkout al 06/10/2026 y reportes locales. La fecha de evidencia es la fecha de corte, salvo fecha individual explícita. Sin duración real registrada.</x:v>
      </x:c>
      <x:c r="T630" s="43" t="str">
        <x:v>S101, S095, S110</x:v>
      </x:c>
      <x:c r="U630" s="43" t="str">
        <x:v>docs/android-push.md
docs/implementation/modern-interactions-push-progress.md
test/features/notifications/push_controller_test.dart</x:v>
      </x:c>
    </x:row>
    <x:row r="631" ht="44" customHeight="1">
      <x:c r="A631" s="42" t="str">
        <x:v>PUS04.014</x:v>
      </x:c>
      <x:c r="B631" s="42" t="str">
        <x:v>Correcciones y pruebas de push ejecutadas</x:v>
      </x:c>
      <x:c r="C631" s="42" t="str">
        <x:v>PUS04</x:v>
      </x:c>
      <x:c r="D631" s="43" t="str">
        <x:v>Validar backend y gate de push</x:v>
      </x:c>
      <x:c r="E631" s="43" t="str">
        <x:v>Reporte acredita nueve pruebas backend y once del gate.</x:v>
      </x:c>
      <x:c r="F631" s="43" t="str">
        <x:v>Completado</x:v>
      </x:c>
      <x:c r="G631" s="44" t="n">
        <x:v>46296</x:v>
      </x:c>
      <x:c r="H631" s="44" t="n">
        <x:v>46302</x:v>
      </x:c>
      <x:c r="I631" s="45" t="n">
        <x:f>IF(OR(G631="",H631=""),"",SUMPRODUCT(('Cronograma'!$F$8:$P$8&lt;=H631)*('Cronograma'!$F$9:$P$9&gt;=G631)))</x:f>
        <x:v>1</x:v>
      </x:c>
      <x:c r="J631" s="46"/>
      <x:c r="K631" s="46"/>
      <x:c r="L631" s="47"/>
      <x:c r="M631" s="48" t="str"/>
      <x:c r="N631" s="48" t="str"/>
      <x:c r="O631" s="49" t="n">
        <x:v>46301</x:v>
      </x:c>
      <x:c r="P631" s="43" t="str">
        <x:v>Reporte/inspección del checkout al corte</x:v>
      </x:c>
      <x:c r="Q631" s="43" t="str">
        <x:v>PUS01, PUS02, PUS03</x:v>
      </x:c>
      <x:c r="R631" s="43" t="str"/>
      <x:c r="S631" s="43" t="str">
        <x:v>Estado reconstruido por inspección del checkout al 06/10/2026 y reportes locales. La fecha de evidencia es la fecha de corte, salvo fecha individual explícita. Sin duración real registrada.</x:v>
      </x:c>
      <x:c r="T631" s="43" t="str">
        <x:v>S101, S095, S110</x:v>
      </x:c>
      <x:c r="U631" s="43" t="str">
        <x:v>docs/android-push.md
docs/implementation/modern-interactions-push-progress.md
test/features/notifications/push_controller_test.dart</x:v>
      </x:c>
    </x:row>
    <x:row r="632" ht="44" customHeight="1">
      <x:c r="A632" s="42" t="str">
        <x:v>TOU01.001</x:v>
      </x:c>
      <x:c r="B632" s="42" t="str">
        <x:v>Diseño de recorridos y experiencia presencial</x:v>
      </x:c>
      <x:c r="C632" s="42" t="str">
        <x:v>TOU01</x:v>
      </x:c>
      <x:c r="D632" s="43" t="str">
        <x:v>Separar visita 360° y recorrido con cámara</x:v>
      </x:c>
      <x:c r="E632" s="43" t="str">
        <x:v>Definir experiencias diferentes sobre el mismo recorrido.</x:v>
      </x:c>
      <x:c r="F632" s="43" t="str">
        <x:v>Completado</x:v>
      </x:c>
      <x:c r="G632" s="44" t="n">
        <x:v>46296</x:v>
      </x:c>
      <x:c r="H632" s="44" t="n">
        <x:v>46302</x:v>
      </x:c>
      <x:c r="I632" s="45" t="n">
        <x:f>IF(OR(G632="",H632=""),"",SUMPRODUCT(('Cronograma'!$F$8:$P$8&lt;=H632)*('Cronograma'!$F$9:$P$9&gt;=G632)))</x:f>
        <x:v>1</x:v>
      </x:c>
      <x:c r="J632" s="46"/>
      <x:c r="K632" s="46"/>
      <x:c r="L632" s="47"/>
      <x:c r="M632" s="48" t="str"/>
      <x:c r="N632" s="48" t="str"/>
      <x:c r="O632" s="49" t="n">
        <x:v>46301</x:v>
      </x:c>
      <x:c r="P632" s="43" t="str">
        <x:v>Reporte/inspección del checkout al corte</x:v>
      </x:c>
      <x:c r="Q632" s="43" t="str">
        <x:v>INV03, PRO04, MAP01</x:v>
      </x:c>
      <x:c r="R632" s="43" t="str"/>
      <x:c r="S632" s="43" t="str"/>
      <x:c r="T632" s="43" t="str">
        <x:v>S008, S111, S112</x:v>
      </x:c>
      <x:c r="U632" s="43" t="str">
        <x:v>docs/ar-experience-design.md
docs/implementation/tours-360-plan.md
output/imagegen/ar/README.md</x:v>
      </x:c>
    </x:row>
    <x:row r="633" ht="44" customHeight="1">
      <x:c r="A633" s="42" t="str">
        <x:v>TOU01.002</x:v>
      </x:c>
      <x:c r="B633" s="42" t="str">
        <x:v>Diseño de recorridos y experiencia presencial</x:v>
      </x:c>
      <x:c r="C633" s="42" t="str">
        <x:v>TOU01</x:v>
      </x:c>
      <x:c r="D633" s="43" t="str">
        <x:v>Definir jerarquía espacial</x:v>
      </x:c>
      <x:c r="E633" s="43" t="str">
        <x:v>Organizar local, zonas, posiciones, puntos y contenido vinculado.</x:v>
      </x:c>
      <x:c r="F633" s="43" t="str">
        <x:v>Completado</x:v>
      </x:c>
      <x:c r="G633" s="44" t="n">
        <x:v>46296</x:v>
      </x:c>
      <x:c r="H633" s="44" t="n">
        <x:v>46302</x:v>
      </x:c>
      <x:c r="I633" s="45" t="n">
        <x:f>IF(OR(G633="",H633=""),"",SUMPRODUCT(('Cronograma'!$F$8:$P$8&lt;=H633)*('Cronograma'!$F$9:$P$9&gt;=G633)))</x:f>
        <x:v>1</x:v>
      </x:c>
      <x:c r="J633" s="46"/>
      <x:c r="K633" s="46"/>
      <x:c r="L633" s="47"/>
      <x:c r="M633" s="48" t="str"/>
      <x:c r="N633" s="48" t="str"/>
      <x:c r="O633" s="49" t="n">
        <x:v>46301</x:v>
      </x:c>
      <x:c r="P633" s="43" t="str">
        <x:v>Reporte/inspección del checkout al corte</x:v>
      </x:c>
      <x:c r="Q633" s="43" t="str">
        <x:v>INV03, PRO04, MAP01</x:v>
      </x:c>
      <x:c r="R633" s="43" t="str"/>
      <x:c r="S633" s="43" t="str"/>
      <x:c r="T633" s="43" t="str">
        <x:v>S008, S111, S112</x:v>
      </x:c>
      <x:c r="U633" s="43" t="str">
        <x:v>docs/ar-experience-design.md
docs/implementation/tours-360-plan.md
output/imagegen/ar/README.md</x:v>
      </x:c>
    </x:row>
    <x:row r="634" ht="44" customHeight="1">
      <x:c r="A634" s="42" t="str">
        <x:v>TOU01.003</x:v>
      </x:c>
      <x:c r="B634" s="42" t="str">
        <x:v>Diseño de recorridos y experiencia presencial</x:v>
      </x:c>
      <x:c r="C634" s="42" t="str">
        <x:v>TOU01</x:v>
      </x:c>
      <x:c r="D634" s="43" t="str">
        <x:v>Definir versiones públicas y borradores</x:v>
      </x:c>
      <x:c r="E634" s="43" t="str">
        <x:v>Separar lectura del visitante y edición privada.</x:v>
      </x:c>
      <x:c r="F634" s="43" t="str">
        <x:v>Completado</x:v>
      </x:c>
      <x:c r="G634" s="44" t="n">
        <x:v>46296</x:v>
      </x:c>
      <x:c r="H634" s="44" t="n">
        <x:v>46302</x:v>
      </x:c>
      <x:c r="I634" s="45" t="n">
        <x:f>IF(OR(G634="",H634=""),"",SUMPRODUCT(('Cronograma'!$F$8:$P$8&lt;=H634)*('Cronograma'!$F$9:$P$9&gt;=G634)))</x:f>
        <x:v>1</x:v>
      </x:c>
      <x:c r="J634" s="46"/>
      <x:c r="K634" s="46"/>
      <x:c r="L634" s="47"/>
      <x:c r="M634" s="48" t="str"/>
      <x:c r="N634" s="48" t="str"/>
      <x:c r="O634" s="49" t="n">
        <x:v>46301</x:v>
      </x:c>
      <x:c r="P634" s="43" t="str">
        <x:v>Reporte/inspección del checkout al corte</x:v>
      </x:c>
      <x:c r="Q634" s="43" t="str">
        <x:v>INV03, PRO04, MAP01</x:v>
      </x:c>
      <x:c r="R634" s="43" t="str"/>
      <x:c r="S634" s="43" t="str"/>
      <x:c r="T634" s="43" t="str">
        <x:v>S008, S111, S112</x:v>
      </x:c>
      <x:c r="U634" s="43" t="str">
        <x:v>docs/ar-experience-design.md
docs/implementation/tours-360-plan.md
output/imagegen/ar/README.md</x:v>
      </x:c>
    </x:row>
    <x:row r="635" ht="44" customHeight="1">
      <x:c r="A635" s="42" t="str">
        <x:v>TOU01.004</x:v>
      </x:c>
      <x:c r="B635" s="42" t="str">
        <x:v>Diseño de recorridos y experiencia presencial</x:v>
      </x:c>
      <x:c r="C635" s="42" t="str">
        <x:v>TOU01</x:v>
      </x:c>
      <x:c r="D635" s="43" t="str">
        <x:v>Definir responsabilidad del espacio</x:v>
      </x:c>
      <x:c r="E635" s="43" t="str">
        <x:v>No acreditar local por ser tipo Negocio.</x:v>
      </x:c>
      <x:c r="F635" s="43" t="str">
        <x:v>Completado</x:v>
      </x:c>
      <x:c r="G635" s="44" t="n">
        <x:v>46296</x:v>
      </x:c>
      <x:c r="H635" s="44" t="n">
        <x:v>46302</x:v>
      </x:c>
      <x:c r="I635" s="45" t="n">
        <x:f>IF(OR(G635="",H635=""),"",SUMPRODUCT(('Cronograma'!$F$8:$P$8&lt;=H635)*('Cronograma'!$F$9:$P$9&gt;=G635)))</x:f>
        <x:v>1</x:v>
      </x:c>
      <x:c r="J635" s="46"/>
      <x:c r="K635" s="46"/>
      <x:c r="L635" s="47"/>
      <x:c r="M635" s="48" t="str"/>
      <x:c r="N635" s="48" t="str"/>
      <x:c r="O635" s="49" t="n">
        <x:v>46301</x:v>
      </x:c>
      <x:c r="P635" s="43" t="str">
        <x:v>Reporte/inspección del checkout al corte</x:v>
      </x:c>
      <x:c r="Q635" s="43" t="str">
        <x:v>INV03, PRO04, MAP01</x:v>
      </x:c>
      <x:c r="R635" s="43" t="str"/>
      <x:c r="S635" s="43" t="str"/>
      <x:c r="T635" s="43" t="str">
        <x:v>S008, S111, S112</x:v>
      </x:c>
      <x:c r="U635" s="43" t="str">
        <x:v>docs/ar-experience-design.md
docs/implementation/tours-360-plan.md
output/imagegen/ar/README.md</x:v>
      </x:c>
    </x:row>
    <x:row r="636" ht="44" customHeight="1">
      <x:c r="A636" s="42" t="str">
        <x:v>TOU01.005</x:v>
      </x:c>
      <x:c r="B636" s="42" t="str">
        <x:v>Diseño de recorridos y experiencia presencial</x:v>
      </x:c>
      <x:c r="C636" s="42" t="str">
        <x:v>TOU01</x:v>
      </x:c>
      <x:c r="D636" s="43" t="str">
        <x:v>Definir permisos de contenido vinculado</x:v>
      </x:c>
      <x:c r="E636" s="43" t="str">
        <x:v>Separar autor del contenido y responsable del local.</x:v>
      </x:c>
      <x:c r="F636" s="43" t="str">
        <x:v>Completado</x:v>
      </x:c>
      <x:c r="G636" s="44" t="n">
        <x:v>46296</x:v>
      </x:c>
      <x:c r="H636" s="44" t="n">
        <x:v>46302</x:v>
      </x:c>
      <x:c r="I636" s="45" t="n">
        <x:f>IF(OR(G636="",H636=""),"",SUMPRODUCT(('Cronograma'!$F$8:$P$8&lt;=H636)*('Cronograma'!$F$9:$P$9&gt;=G636)))</x:f>
        <x:v>1</x:v>
      </x:c>
      <x:c r="J636" s="46"/>
      <x:c r="K636" s="46"/>
      <x:c r="L636" s="47"/>
      <x:c r="M636" s="48" t="str"/>
      <x:c r="N636" s="48" t="str"/>
      <x:c r="O636" s="49" t="n">
        <x:v>46301</x:v>
      </x:c>
      <x:c r="P636" s="43" t="str">
        <x:v>Reporte/inspección del checkout al corte</x:v>
      </x:c>
      <x:c r="Q636" s="43" t="str">
        <x:v>INV03, PRO04, MAP01</x:v>
      </x:c>
      <x:c r="R636" s="43" t="str"/>
      <x:c r="S636" s="43" t="str"/>
      <x:c r="T636" s="43" t="str">
        <x:v>S008, S111, S112</x:v>
      </x:c>
      <x:c r="U636" s="43" t="str">
        <x:v>docs/ar-experience-design.md
docs/implementation/tours-360-plan.md
output/imagegen/ar/README.md</x:v>
      </x:c>
    </x:row>
    <x:row r="637" ht="44" customHeight="1">
      <x:c r="A637" s="42" t="str">
        <x:v>TOU01.006</x:v>
      </x:c>
      <x:c r="B637" s="42" t="str">
        <x:v>Diseño de recorridos y experiencia presencial</x:v>
      </x:c>
      <x:c r="C637" s="42" t="str">
        <x:v>TOU01</x:v>
      </x:c>
      <x:c r="D637" s="43" t="str">
        <x:v>Diseñar asistente de preparación</x:v>
      </x:c>
      <x:c r="E637" s="43" t="str">
        <x:v>Organizar Local, Zonas, Puntos, Conexiones, Preview y Publicación.</x:v>
      </x:c>
      <x:c r="F637" s="43" t="str">
        <x:v>Completado</x:v>
      </x:c>
      <x:c r="G637" s="44" t="n">
        <x:v>46296</x:v>
      </x:c>
      <x:c r="H637" s="44" t="n">
        <x:v>46302</x:v>
      </x:c>
      <x:c r="I637" s="45" t="n">
        <x:f>IF(OR(G637="",H637=""),"",SUMPRODUCT(('Cronograma'!$F$8:$P$8&lt;=H637)*('Cronograma'!$F$9:$P$9&gt;=G637)))</x:f>
        <x:v>1</x:v>
      </x:c>
      <x:c r="J637" s="46"/>
      <x:c r="K637" s="46"/>
      <x:c r="L637" s="47"/>
      <x:c r="M637" s="48" t="str"/>
      <x:c r="N637" s="48" t="str"/>
      <x:c r="O637" s="49" t="n">
        <x:v>46301</x:v>
      </x:c>
      <x:c r="P637" s="43" t="str">
        <x:v>Reporte/inspección del checkout al corte</x:v>
      </x:c>
      <x:c r="Q637" s="43" t="str">
        <x:v>INV03, PRO04, MAP01</x:v>
      </x:c>
      <x:c r="R637" s="43" t="str"/>
      <x:c r="S637" s="43" t="str"/>
      <x:c r="T637" s="43" t="str">
        <x:v>S008, S111, S112</x:v>
      </x:c>
      <x:c r="U637" s="43" t="str">
        <x:v>docs/ar-experience-design.md
docs/implementation/tours-360-plan.md
output/imagegen/ar/README.md</x:v>
      </x:c>
    </x:row>
    <x:row r="638" ht="44" customHeight="1">
      <x:c r="A638" s="42" t="str">
        <x:v>TOU01.007</x:v>
      </x:c>
      <x:c r="B638" s="42" t="str">
        <x:v>Diseño de recorridos y experiencia presencial</x:v>
      </x:c>
      <x:c r="C638" s="42" t="str">
        <x:v>TOU01</x:v>
      </x:c>
      <x:c r="D638" s="43" t="str">
        <x:v>Diseñar captura desde posición fija</x:v>
      </x:c>
      <x:c r="E638" s="43" t="str">
        <x:v>Evitar prometer reconstrucción navegable 3D.</x:v>
      </x:c>
      <x:c r="F638" s="43" t="str">
        <x:v>Completado</x:v>
      </x:c>
      <x:c r="G638" s="44" t="n">
        <x:v>46296</x:v>
      </x:c>
      <x:c r="H638" s="44" t="n">
        <x:v>46302</x:v>
      </x:c>
      <x:c r="I638" s="45" t="n">
        <x:f>IF(OR(G638="",H638=""),"",SUMPRODUCT(('Cronograma'!$F$8:$P$8&lt;=H638)*('Cronograma'!$F$9:$P$9&gt;=G638)))</x:f>
        <x:v>1</x:v>
      </x:c>
      <x:c r="J638" s="46"/>
      <x:c r="K638" s="46"/>
      <x:c r="L638" s="47"/>
      <x:c r="M638" s="48" t="str"/>
      <x:c r="N638" s="48" t="str"/>
      <x:c r="O638" s="49" t="n">
        <x:v>46301</x:v>
      </x:c>
      <x:c r="P638" s="43" t="str">
        <x:v>Reporte/inspección del checkout al corte</x:v>
      </x:c>
      <x:c r="Q638" s="43" t="str">
        <x:v>INV03, PRO04, MAP01</x:v>
      </x:c>
      <x:c r="R638" s="43" t="str"/>
      <x:c r="S638" s="43" t="str"/>
      <x:c r="T638" s="43" t="str">
        <x:v>S008, S111, S112</x:v>
      </x:c>
      <x:c r="U638" s="43" t="str">
        <x:v>docs/ar-experience-design.md
docs/implementation/tours-360-plan.md
output/imagegen/ar/README.md</x:v>
      </x:c>
    </x:row>
    <x:row r="639" ht="44" customHeight="1">
      <x:c r="A639" s="42" t="str">
        <x:v>TOU01.008</x:v>
      </x:c>
      <x:c r="B639" s="42" t="str">
        <x:v>Diseño de recorridos y experiencia presencial</x:v>
      </x:c>
      <x:c r="C639" s="42" t="str">
        <x:v>TOU01</x:v>
      </x:c>
      <x:c r="D639" s="43" t="str">
        <x:v>Diseñar visita sin permisos de cámara</x:v>
      </x:c>
      <x:c r="E639" s="43" t="str">
        <x:v>Permitir explorar panoramas desde casa.</x:v>
      </x:c>
      <x:c r="F639" s="43" t="str">
        <x:v>Completado</x:v>
      </x:c>
      <x:c r="G639" s="44" t="n">
        <x:v>46296</x:v>
      </x:c>
      <x:c r="H639" s="44" t="n">
        <x:v>46302</x:v>
      </x:c>
      <x:c r="I639" s="45" t="n">
        <x:f>IF(OR(G639="",H639=""),"",SUMPRODUCT(('Cronograma'!$F$8:$P$8&lt;=H639)*('Cronograma'!$F$9:$P$9&gt;=G639)))</x:f>
        <x:v>1</x:v>
      </x:c>
      <x:c r="J639" s="46"/>
      <x:c r="K639" s="46"/>
      <x:c r="L639" s="47"/>
      <x:c r="M639" s="48" t="str"/>
      <x:c r="N639" s="48" t="str"/>
      <x:c r="O639" s="49" t="n">
        <x:v>46301</x:v>
      </x:c>
      <x:c r="P639" s="43" t="str">
        <x:v>Reporte/inspección del checkout al corte</x:v>
      </x:c>
      <x:c r="Q639" s="43" t="str">
        <x:v>INV03, PRO04, MAP01</x:v>
      </x:c>
      <x:c r="R639" s="43" t="str"/>
      <x:c r="S639" s="43" t="str"/>
      <x:c r="T639" s="43" t="str">
        <x:v>S008, S111, S112</x:v>
      </x:c>
      <x:c r="U639" s="43" t="str">
        <x:v>docs/ar-experience-design.md
docs/implementation/tours-360-plan.md
output/imagegen/ar/README.md</x:v>
      </x:c>
    </x:row>
    <x:row r="640" ht="44" customHeight="1">
      <x:c r="A640" s="42" t="str">
        <x:v>TOU01.009</x:v>
      </x:c>
      <x:c r="B640" s="42" t="str">
        <x:v>Diseño de recorridos y experiencia presencial</x:v>
      </x:c>
      <x:c r="C640" s="42" t="str">
        <x:v>TOU01</x:v>
      </x:c>
      <x:c r="D640" s="43" t="str">
        <x:v>Diseñar alternativa de lista en AR</x:v>
      </x:c>
      <x:c r="E640" s="43" t="str">
        <x:v>Mantener lectura cuando no hay soporte o permiso.</x:v>
      </x:c>
      <x:c r="F640" s="43" t="str">
        <x:v>Completado</x:v>
      </x:c>
      <x:c r="G640" s="44" t="n">
        <x:v>46296</x:v>
      </x:c>
      <x:c r="H640" s="44" t="n">
        <x:v>46302</x:v>
      </x:c>
      <x:c r="I640" s="45" t="n">
        <x:f>IF(OR(G640="",H640=""),"",SUMPRODUCT(('Cronograma'!$F$8:$P$8&lt;=H640)*('Cronograma'!$F$9:$P$9&gt;=G640)))</x:f>
        <x:v>1</x:v>
      </x:c>
      <x:c r="J640" s="46"/>
      <x:c r="K640" s="46"/>
      <x:c r="L640" s="47"/>
      <x:c r="M640" s="48" t="str"/>
      <x:c r="N640" s="48" t="str"/>
      <x:c r="O640" s="49" t="n">
        <x:v>46301</x:v>
      </x:c>
      <x:c r="P640" s="43" t="str">
        <x:v>Reporte/inspección del checkout al corte</x:v>
      </x:c>
      <x:c r="Q640" s="43" t="str">
        <x:v>INV03, PRO04, MAP01</x:v>
      </x:c>
      <x:c r="R640" s="43" t="str"/>
      <x:c r="S640" s="43" t="str"/>
      <x:c r="T640" s="43" t="str">
        <x:v>S008, S111, S112</x:v>
      </x:c>
      <x:c r="U640" s="43" t="str">
        <x:v>docs/ar-experience-design.md
docs/implementation/tours-360-plan.md
output/imagegen/ar/README.md</x:v>
      </x:c>
    </x:row>
    <x:row r="641" ht="44" customHeight="1">
      <x:c r="A641" s="42" t="str">
        <x:v>TOU01.010</x:v>
      </x:c>
      <x:c r="B641" s="42" t="str">
        <x:v>Diseño de recorridos y experiencia presencial</x:v>
      </x:c>
      <x:c r="C641" s="42" t="str">
        <x:v>TOU01</x:v>
      </x:c>
      <x:c r="D641" s="43" t="str">
        <x:v>Crear seis láminas de referencia</x:v>
      </x:c>
      <x:c r="E641" s="43" t="str">
        <x:v>Conservar diseño y prompts sin tratarlos como pruebas físicas.</x:v>
      </x:c>
      <x:c r="F641" s="43" t="str">
        <x:v>Completado</x:v>
      </x:c>
      <x:c r="G641" s="44" t="n">
        <x:v>46296</x:v>
      </x:c>
      <x:c r="H641" s="44" t="n">
        <x:v>46302</x:v>
      </x:c>
      <x:c r="I641" s="45" t="n">
        <x:f>IF(OR(G641="",H641=""),"",SUMPRODUCT(('Cronograma'!$F$8:$P$8&lt;=H641)*('Cronograma'!$F$9:$P$9&gt;=G641)))</x:f>
        <x:v>1</x:v>
      </x:c>
      <x:c r="J641" s="46"/>
      <x:c r="K641" s="46"/>
      <x:c r="L641" s="47"/>
      <x:c r="M641" s="48" t="str"/>
      <x:c r="N641" s="48" t="str"/>
      <x:c r="O641" s="49" t="n">
        <x:v>46301</x:v>
      </x:c>
      <x:c r="P641" s="43" t="str">
        <x:v>Reporte/inspección del checkout al corte</x:v>
      </x:c>
      <x:c r="Q641" s="43" t="str">
        <x:v>INV03, PRO04, MAP01</x:v>
      </x:c>
      <x:c r="R641" s="43" t="str"/>
      <x:c r="S641" s="43" t="str"/>
      <x:c r="T641" s="43" t="str">
        <x:v>S008, S111, S112</x:v>
      </x:c>
      <x:c r="U641" s="43" t="str">
        <x:v>docs/ar-experience-design.md
docs/implementation/tours-360-plan.md
output/imagegen/ar/README.md</x:v>
      </x:c>
    </x:row>
    <x:row r="642" ht="44" customHeight="1">
      <x:c r="A642" s="42" t="str">
        <x:v>TOU01.011</x:v>
      </x:c>
      <x:c r="B642" s="42" t="str">
        <x:v>Diseño de recorridos y experiencia presencial</x:v>
      </x:c>
      <x:c r="C642" s="42" t="str">
        <x:v>TOU01</x:v>
      </x:c>
      <x:c r="D642" s="43" t="str">
        <x:v>Actualizar fichas de pantalla del recorrido</x:v>
      </x:c>
      <x:c r="E642" s="43" t="str">
        <x:v>Describir acciones, regreso y estados por flujo.</x:v>
      </x:c>
      <x:c r="F642" s="43" t="str">
        <x:v>Completado</x:v>
      </x:c>
      <x:c r="G642" s="44" t="n">
        <x:v>46296</x:v>
      </x:c>
      <x:c r="H642" s="44" t="n">
        <x:v>46302</x:v>
      </x:c>
      <x:c r="I642" s="45" t="n">
        <x:f>IF(OR(G642="",H642=""),"",SUMPRODUCT(('Cronograma'!$F$8:$P$8&lt;=H642)*('Cronograma'!$F$9:$P$9&gt;=G642)))</x:f>
        <x:v>1</x:v>
      </x:c>
      <x:c r="J642" s="46"/>
      <x:c r="K642" s="46"/>
      <x:c r="L642" s="47"/>
      <x:c r="M642" s="48" t="str"/>
      <x:c r="N642" s="48" t="str"/>
      <x:c r="O642" s="49" t="n">
        <x:v>46301</x:v>
      </x:c>
      <x:c r="P642" s="43" t="str">
        <x:v>Reporte/inspección del checkout al corte</x:v>
      </x:c>
      <x:c r="Q642" s="43" t="str">
        <x:v>INV03, PRO04, MAP01</x:v>
      </x:c>
      <x:c r="R642" s="43" t="str"/>
      <x:c r="S642" s="43" t="str"/>
      <x:c r="T642" s="43" t="str">
        <x:v>S008, S111, S112</x:v>
      </x:c>
      <x:c r="U642" s="43" t="str">
        <x:v>docs/ar-experience-design.md
docs/implementation/tours-360-plan.md
output/imagegen/ar/README.md</x:v>
      </x:c>
    </x:row>
    <x:row r="643" ht="44" customHeight="1">
      <x:c r="A643" s="42" t="str">
        <x:v>TOU01.012</x:v>
      </x:c>
      <x:c r="B643" s="42" t="str">
        <x:v>Diseño de recorridos y experiencia presencial</x:v>
      </x:c>
      <x:c r="C643" s="42" t="str">
        <x:v>TOU01</x:v>
      </x:c>
      <x:c r="D643" s="43" t="str">
        <x:v>Definir criterios de aceptación física</x:v>
      </x:c>
      <x:c r="E643" s="43" t="str">
        <x:v>Exigir captura, recuperación, procesamiento y reconocimiento reales.</x:v>
      </x:c>
      <x:c r="F643" s="43" t="str">
        <x:v>Completado</x:v>
      </x:c>
      <x:c r="G643" s="44" t="n">
        <x:v>46296</x:v>
      </x:c>
      <x:c r="H643" s="44" t="n">
        <x:v>46302</x:v>
      </x:c>
      <x:c r="I643" s="45" t="n">
        <x:f>IF(OR(G643="",H643=""),"",SUMPRODUCT(('Cronograma'!$F$8:$P$8&lt;=H643)*('Cronograma'!$F$9:$P$9&gt;=G643)))</x:f>
        <x:v>1</x:v>
      </x:c>
      <x:c r="J643" s="46"/>
      <x:c r="K643" s="46"/>
      <x:c r="L643" s="47"/>
      <x:c r="M643" s="48" t="str"/>
      <x:c r="N643" s="48" t="str"/>
      <x:c r="O643" s="49" t="n">
        <x:v>46301</x:v>
      </x:c>
      <x:c r="P643" s="43" t="str">
        <x:v>Reporte/inspección del checkout al corte</x:v>
      </x:c>
      <x:c r="Q643" s="43" t="str">
        <x:v>INV03, PRO04, MAP01</x:v>
      </x:c>
      <x:c r="R643" s="43" t="str"/>
      <x:c r="S643" s="43" t="str"/>
      <x:c r="T643" s="43" t="str">
        <x:v>S008, S111, S112</x:v>
      </x:c>
      <x:c r="U643" s="43" t="str">
        <x:v>docs/ar-experience-design.md
docs/implementation/tours-360-plan.md
output/imagegen/ar/README.md</x:v>
      </x:c>
    </x:row>
    <x:row r="644" ht="56" customHeight="1">
      <x:c r="A644" s="42" t="str">
        <x:v>TOU02.001</x:v>
      </x:c>
      <x:c r="B644" s="42" t="str">
        <x:v>Editor del local, zonas, puntos y versiones</x:v>
      </x:c>
      <x:c r="C644" s="42" t="str">
        <x:v>TOU02</x:v>
      </x:c>
      <x:c r="D644" s="43" t="str">
        <x:v>Crear modelos tipados del recorrido</x:v>
      </x:c>
      <x:c r="E644" s="43" t="str">
        <x:v>Representar documento, zonas, posiciones, puntos y progreso.</x:v>
      </x:c>
      <x:c r="F644" s="43" t="str">
        <x:v>Completado</x:v>
      </x:c>
      <x:c r="G644" s="44" t="n">
        <x:v>46296</x:v>
      </x:c>
      <x:c r="H644" s="44" t="n">
        <x:v>46302</x:v>
      </x:c>
      <x:c r="I644" s="45" t="n">
        <x:f>IF(OR(G644="",H644=""),"",SUMPRODUCT(('Cronograma'!$F$8:$P$8&lt;=H644)*('Cronograma'!$F$9:$P$9&gt;=G644)))</x:f>
        <x:v>1</x:v>
      </x:c>
      <x:c r="J644" s="46"/>
      <x:c r="K644" s="46"/>
      <x:c r="L644" s="47"/>
      <x:c r="M644" s="48" t="str"/>
      <x:c r="N644" s="48" t="str"/>
      <x:c r="O644" s="49" t="n">
        <x:v>46301</x:v>
      </x:c>
      <x:c r="P644" s="43" t="str">
        <x:v>Reporte/inspección del checkout al corte</x:v>
      </x:c>
      <x:c r="Q644" s="43" t="str">
        <x:v>TOU01, PRO04</x:v>
      </x:c>
      <x:c r="R644" s="43" t="str"/>
      <x:c r="S644" s="43" t="str"/>
      <x:c r="T644" s="43" t="str">
        <x:v>S008, S113, S114, S115</x:v>
      </x:c>
      <x:c r="U644" s="43" t="str">
        <x:v>docs/ar-experience-design.md
docs/implementation/tours-360-delivery.md
lib/features/tours/presentation/tour_editor_screen.dart
lib/features/tours/models/tour_models.dart</x:v>
      </x:c>
    </x:row>
    <x:row r="645" ht="56" customHeight="1">
      <x:c r="A645" s="42" t="str">
        <x:v>TOU02.002</x:v>
      </x:c>
      <x:c r="B645" s="42" t="str">
        <x:v>Editor del local, zonas, puntos y versiones</x:v>
      </x:c>
      <x:c r="C645" s="42" t="str">
        <x:v>TOU02</x:v>
      </x:c>
      <x:c r="D645" s="43" t="str">
        <x:v>Crear repositorio de recorridos</x:v>
      </x:c>
      <x:c r="E645" s="43" t="str">
        <x:v>Conectar editor, publicación y lectura con RPC del servidor.</x:v>
      </x:c>
      <x:c r="F645" s="43" t="str">
        <x:v>Completado</x:v>
      </x:c>
      <x:c r="G645" s="44" t="n">
        <x:v>46296</x:v>
      </x:c>
      <x:c r="H645" s="44" t="n">
        <x:v>46302</x:v>
      </x:c>
      <x:c r="I645" s="45" t="n">
        <x:f>IF(OR(G645="",H645=""),"",SUMPRODUCT(('Cronograma'!$F$8:$P$8&lt;=H645)*('Cronograma'!$F$9:$P$9&gt;=G645)))</x:f>
        <x:v>1</x:v>
      </x:c>
      <x:c r="J645" s="46"/>
      <x:c r="K645" s="46"/>
      <x:c r="L645" s="47"/>
      <x:c r="M645" s="48" t="str"/>
      <x:c r="N645" s="48" t="str"/>
      <x:c r="O645" s="49" t="n">
        <x:v>46301</x:v>
      </x:c>
      <x:c r="P645" s="43" t="str">
        <x:v>Reporte/inspección del checkout al corte</x:v>
      </x:c>
      <x:c r="Q645" s="43" t="str">
        <x:v>TOU01, PRO04</x:v>
      </x:c>
      <x:c r="R645" s="43" t="str"/>
      <x:c r="S645" s="43" t="str"/>
      <x:c r="T645" s="43" t="str">
        <x:v>S008, S113, S114, S115</x:v>
      </x:c>
      <x:c r="U645" s="43" t="str">
        <x:v>docs/ar-experience-design.md
docs/implementation/tours-360-delivery.md
lib/features/tours/presentation/tour_editor_screen.dart
lib/features/tours/models/tour_models.dart</x:v>
      </x:c>
    </x:row>
    <x:row r="646" ht="56" customHeight="1">
      <x:c r="A646" s="42" t="str">
        <x:v>TOU02.003</x:v>
      </x:c>
      <x:c r="B646" s="42" t="str">
        <x:v>Editor del local, zonas, puntos y versiones</x:v>
      </x:c>
      <x:c r="C646" s="42" t="str">
        <x:v>TOU02</x:v>
      </x:c>
      <x:c r="D646" s="43" t="str">
        <x:v>Crear administración de recorridos</x:v>
      </x:c>
      <x:c r="E646" s="43" t="str">
        <x:v>Consultar propios, solicitudes y acciones disponibles.</x:v>
      </x:c>
      <x:c r="F646" s="43" t="str">
        <x:v>Completado</x:v>
      </x:c>
      <x:c r="G646" s="44" t="n">
        <x:v>46296</x:v>
      </x:c>
      <x:c r="H646" s="44" t="n">
        <x:v>46302</x:v>
      </x:c>
      <x:c r="I646" s="45" t="n">
        <x:f>IF(OR(G646="",H646=""),"",SUMPRODUCT(('Cronograma'!$F$8:$P$8&lt;=H646)*('Cronograma'!$F$9:$P$9&gt;=G646)))</x:f>
        <x:v>1</x:v>
      </x:c>
      <x:c r="J646" s="46"/>
      <x:c r="K646" s="46"/>
      <x:c r="L646" s="47"/>
      <x:c r="M646" s="48" t="str"/>
      <x:c r="N646" s="48" t="str"/>
      <x:c r="O646" s="49" t="n">
        <x:v>46301</x:v>
      </x:c>
      <x:c r="P646" s="43" t="str">
        <x:v>Reporte/inspección del checkout al corte</x:v>
      </x:c>
      <x:c r="Q646" s="43" t="str">
        <x:v>TOU01, PRO04</x:v>
      </x:c>
      <x:c r="R646" s="43" t="str"/>
      <x:c r="S646" s="43" t="str"/>
      <x:c r="T646" s="43" t="str">
        <x:v>S008, S113, S114, S115</x:v>
      </x:c>
      <x:c r="U646" s="43" t="str">
        <x:v>docs/ar-experience-design.md
docs/implementation/tours-360-delivery.md
lib/features/tours/presentation/tour_editor_screen.dart
lib/features/tours/models/tour_models.dart</x:v>
      </x:c>
    </x:row>
    <x:row r="647" ht="56" customHeight="1">
      <x:c r="A647" s="42" t="str">
        <x:v>TOU02.004</x:v>
      </x:c>
      <x:c r="B647" s="42" t="str">
        <x:v>Editor del local, zonas, puntos y versiones</x:v>
      </x:c>
      <x:c r="C647" s="42" t="str">
        <x:v>TOU02</x:v>
      </x:c>
      <x:c r="D647" s="43" t="str">
        <x:v>Confirmar nombre y ubicación del local</x:v>
      </x:c>
      <x:c r="E647" s="43" t="str">
        <x:v>Recuperar datos de perfil y permitir completarlos.</x:v>
      </x:c>
      <x:c r="F647" s="43" t="str">
        <x:v>Completado</x:v>
      </x:c>
      <x:c r="G647" s="44" t="n">
        <x:v>46296</x:v>
      </x:c>
      <x:c r="H647" s="44" t="n">
        <x:v>46302</x:v>
      </x:c>
      <x:c r="I647" s="45" t="n">
        <x:f>IF(OR(G647="",H647=""),"",SUMPRODUCT(('Cronograma'!$F$8:$P$8&lt;=H647)*('Cronograma'!$F$9:$P$9&gt;=G647)))</x:f>
        <x:v>1</x:v>
      </x:c>
      <x:c r="J647" s="46"/>
      <x:c r="K647" s="46"/>
      <x:c r="L647" s="47"/>
      <x:c r="M647" s="48" t="str"/>
      <x:c r="N647" s="48" t="str"/>
      <x:c r="O647" s="49" t="n">
        <x:v>46301</x:v>
      </x:c>
      <x:c r="P647" s="43" t="str">
        <x:v>Reporte/inspección del checkout al corte</x:v>
      </x:c>
      <x:c r="Q647" s="43" t="str">
        <x:v>TOU01, PRO04</x:v>
      </x:c>
      <x:c r="R647" s="43" t="str"/>
      <x:c r="S647" s="43" t="str"/>
      <x:c r="T647" s="43" t="str">
        <x:v>S008, S113, S114, S115</x:v>
      </x:c>
      <x:c r="U647" s="43" t="str">
        <x:v>docs/ar-experience-design.md
docs/implementation/tours-360-delivery.md
lib/features/tours/presentation/tour_editor_screen.dart
lib/features/tours/models/tour_models.dart</x:v>
      </x:c>
    </x:row>
    <x:row r="648" ht="56" customHeight="1">
      <x:c r="A648" s="42" t="str">
        <x:v>TOU02.005</x:v>
      </x:c>
      <x:c r="B648" s="42" t="str">
        <x:v>Editor del local, zonas, puntos y versiones</x:v>
      </x:c>
      <x:c r="C648" s="42" t="str">
        <x:v>TOU02</x:v>
      </x:c>
      <x:c r="D648" s="43" t="str">
        <x:v>Capturar contexto y evidencia privada</x:v>
      </x:c>
      <x:c r="E648" s="43" t="str">
        <x:v>Separar responsabilidad del espacio de presentación pública.</x:v>
      </x:c>
      <x:c r="F648" s="43" t="str">
        <x:v>Completado</x:v>
      </x:c>
      <x:c r="G648" s="44" t="n">
        <x:v>46296</x:v>
      </x:c>
      <x:c r="H648" s="44" t="n">
        <x:v>46302</x:v>
      </x:c>
      <x:c r="I648" s="45" t="n">
        <x:f>IF(OR(G648="",H648=""),"",SUMPRODUCT(('Cronograma'!$F$8:$P$8&lt;=H648)*('Cronograma'!$F$9:$P$9&gt;=G648)))</x:f>
        <x:v>1</x:v>
      </x:c>
      <x:c r="J648" s="46"/>
      <x:c r="K648" s="46"/>
      <x:c r="L648" s="47"/>
      <x:c r="M648" s="48" t="str"/>
      <x:c r="N648" s="48" t="str"/>
      <x:c r="O648" s="49" t="n">
        <x:v>46301</x:v>
      </x:c>
      <x:c r="P648" s="43" t="str">
        <x:v>Reporte/inspección del checkout al corte</x:v>
      </x:c>
      <x:c r="Q648" s="43" t="str">
        <x:v>TOU01, PRO04</x:v>
      </x:c>
      <x:c r="R648" s="43" t="str"/>
      <x:c r="S648" s="43" t="str"/>
      <x:c r="T648" s="43" t="str">
        <x:v>S008, S113, S114, S115</x:v>
      </x:c>
      <x:c r="U648" s="43" t="str">
        <x:v>docs/ar-experience-design.md
docs/implementation/tours-360-delivery.md
lib/features/tours/presentation/tour_editor_screen.dart
lib/features/tours/models/tour_models.dart</x:v>
      </x:c>
    </x:row>
    <x:row r="649" ht="56" customHeight="1">
      <x:c r="A649" s="42" t="str">
        <x:v>TOU02.006</x:v>
      </x:c>
      <x:c r="B649" s="42" t="str">
        <x:v>Editor del local, zonas, puntos y versiones</x:v>
      </x:c>
      <x:c r="C649" s="42" t="str">
        <x:v>TOU02</x:v>
      </x:c>
      <x:c r="D649" s="43" t="str">
        <x:v>Crear y editar zonas</x:v>
      </x:c>
      <x:c r="E649" s="43" t="str">
        <x:v>Agrupar varias posiciones del local.</x:v>
      </x:c>
      <x:c r="F649" s="43" t="str">
        <x:v>Completado</x:v>
      </x:c>
      <x:c r="G649" s="44" t="n">
        <x:v>46296</x:v>
      </x:c>
      <x:c r="H649" s="44" t="n">
        <x:v>46302</x:v>
      </x:c>
      <x:c r="I649" s="45" t="n">
        <x:f>IF(OR(G649="",H649=""),"",SUMPRODUCT(('Cronograma'!$F$8:$P$8&lt;=H649)*('Cronograma'!$F$9:$P$9&gt;=G649)))</x:f>
        <x:v>1</x:v>
      </x:c>
      <x:c r="J649" s="46"/>
      <x:c r="K649" s="46"/>
      <x:c r="L649" s="47"/>
      <x:c r="M649" s="48" t="str"/>
      <x:c r="N649" s="48" t="str"/>
      <x:c r="O649" s="49" t="n">
        <x:v>46301</x:v>
      </x:c>
      <x:c r="P649" s="43" t="str">
        <x:v>Reporte/inspección del checkout al corte</x:v>
      </x:c>
      <x:c r="Q649" s="43" t="str">
        <x:v>TOU01, PRO04</x:v>
      </x:c>
      <x:c r="R649" s="43" t="str"/>
      <x:c r="S649" s="43" t="str"/>
      <x:c r="T649" s="43" t="str">
        <x:v>S008, S113, S114, S115</x:v>
      </x:c>
      <x:c r="U649" s="43" t="str">
        <x:v>docs/ar-experience-design.md
docs/implementation/tours-360-delivery.md
lib/features/tours/presentation/tour_editor_screen.dart
lib/features/tours/models/tour_models.dart</x:v>
      </x:c>
    </x:row>
    <x:row r="650" ht="56" customHeight="1">
      <x:c r="A650" s="42" t="str">
        <x:v>TOU02.007</x:v>
      </x:c>
      <x:c r="B650" s="42" t="str">
        <x:v>Editor del local, zonas, puntos y versiones</x:v>
      </x:c>
      <x:c r="C650" s="42" t="str">
        <x:v>TOU02</x:v>
      </x:c>
      <x:c r="D650" s="43" t="str">
        <x:v>Crear y editar posiciones 360°</x:v>
      </x:c>
      <x:c r="E650" s="43" t="str">
        <x:v>Definir nombre, panorama y orientación inicial.</x:v>
      </x:c>
      <x:c r="F650" s="43" t="str">
        <x:v>Completado</x:v>
      </x:c>
      <x:c r="G650" s="44" t="n">
        <x:v>46296</x:v>
      </x:c>
      <x:c r="H650" s="44" t="n">
        <x:v>46302</x:v>
      </x:c>
      <x:c r="I650" s="45" t="n">
        <x:f>IF(OR(G650="",H650=""),"",SUMPRODUCT(('Cronograma'!$F$8:$P$8&lt;=H650)*('Cronograma'!$F$9:$P$9&gt;=G650)))</x:f>
        <x:v>1</x:v>
      </x:c>
      <x:c r="J650" s="46"/>
      <x:c r="K650" s="46"/>
      <x:c r="L650" s="47"/>
      <x:c r="M650" s="48" t="str"/>
      <x:c r="N650" s="48" t="str"/>
      <x:c r="O650" s="49" t="n">
        <x:v>46301</x:v>
      </x:c>
      <x:c r="P650" s="43" t="str">
        <x:v>Reporte/inspección del checkout al corte</x:v>
      </x:c>
      <x:c r="Q650" s="43" t="str">
        <x:v>TOU01, PRO04</x:v>
      </x:c>
      <x:c r="R650" s="43" t="str"/>
      <x:c r="S650" s="43" t="str"/>
      <x:c r="T650" s="43" t="str">
        <x:v>S008, S113, S114, S115</x:v>
      </x:c>
      <x:c r="U650" s="43" t="str">
        <x:v>docs/ar-experience-design.md
docs/implementation/tours-360-delivery.md
lib/features/tours/presentation/tour_editor_screen.dart
lib/features/tours/models/tour_models.dart</x:v>
      </x:c>
    </x:row>
    <x:row r="651" ht="56" customHeight="1">
      <x:c r="A651" s="42" t="str">
        <x:v>TOU02.008</x:v>
      </x:c>
      <x:c r="B651" s="42" t="str">
        <x:v>Editor del local, zonas, puntos y versiones</x:v>
      </x:c>
      <x:c r="C651" s="42" t="str">
        <x:v>TOU02</x:v>
      </x:c>
      <x:c r="D651" s="43" t="str">
        <x:v>Seleccionar posición de inicio</x:v>
      </x:c>
      <x:c r="E651" s="43" t="str">
        <x:v>Determinar primera vista del recorrido.</x:v>
      </x:c>
      <x:c r="F651" s="43" t="str">
        <x:v>Completado</x:v>
      </x:c>
      <x:c r="G651" s="44" t="n">
        <x:v>46296</x:v>
      </x:c>
      <x:c r="H651" s="44" t="n">
        <x:v>46302</x:v>
      </x:c>
      <x:c r="I651" s="45" t="n">
        <x:f>IF(OR(G651="",H651=""),"",SUMPRODUCT(('Cronograma'!$F$8:$P$8&lt;=H651)*('Cronograma'!$F$9:$P$9&gt;=G651)))</x:f>
        <x:v>1</x:v>
      </x:c>
      <x:c r="J651" s="46"/>
      <x:c r="K651" s="46"/>
      <x:c r="L651" s="47"/>
      <x:c r="M651" s="48" t="str"/>
      <x:c r="N651" s="48" t="str"/>
      <x:c r="O651" s="49" t="n">
        <x:v>46301</x:v>
      </x:c>
      <x:c r="P651" s="43" t="str">
        <x:v>Reporte/inspección del checkout al corte</x:v>
      </x:c>
      <x:c r="Q651" s="43" t="str">
        <x:v>TOU01, PRO04</x:v>
      </x:c>
      <x:c r="R651" s="43" t="str"/>
      <x:c r="S651" s="43" t="str"/>
      <x:c r="T651" s="43" t="str">
        <x:v>S008, S113, S114, S115</x:v>
      </x:c>
      <x:c r="U651" s="43" t="str">
        <x:v>docs/ar-experience-design.md
docs/implementation/tours-360-delivery.md
lib/features/tours/presentation/tour_editor_screen.dart
lib/features/tours/models/tour_models.dart</x:v>
      </x:c>
    </x:row>
    <x:row r="652" ht="56" customHeight="1">
      <x:c r="A652" s="42" t="str">
        <x:v>TOU02.009</x:v>
      </x:c>
      <x:c r="B652" s="42" t="str">
        <x:v>Editor del local, zonas, puntos y versiones</x:v>
      </x:c>
      <x:c r="C652" s="42" t="str">
        <x:v>TOU02</x:v>
      </x:c>
      <x:c r="D652" s="43" t="str">
        <x:v>Crear puntos con explicación propia</x:v>
      </x:c>
      <x:c r="E652" s="43" t="str">
        <x:v>Conservar información aunque falle un vínculo externo.</x:v>
      </x:c>
      <x:c r="F652" s="43" t="str">
        <x:v>Completado</x:v>
      </x:c>
      <x:c r="G652" s="44" t="n">
        <x:v>46296</x:v>
      </x:c>
      <x:c r="H652" s="44" t="n">
        <x:v>46302</x:v>
      </x:c>
      <x:c r="I652" s="45" t="n">
        <x:f>IF(OR(G652="",H652=""),"",SUMPRODUCT(('Cronograma'!$F$8:$P$8&lt;=H652)*('Cronograma'!$F$9:$P$9&gt;=G652)))</x:f>
        <x:v>1</x:v>
      </x:c>
      <x:c r="J652" s="46"/>
      <x:c r="K652" s="46"/>
      <x:c r="L652" s="47"/>
      <x:c r="M652" s="48" t="str"/>
      <x:c r="N652" s="48" t="str"/>
      <x:c r="O652" s="49" t="n">
        <x:v>46301</x:v>
      </x:c>
      <x:c r="P652" s="43" t="str">
        <x:v>Reporte/inspección del checkout al corte</x:v>
      </x:c>
      <x:c r="Q652" s="43" t="str">
        <x:v>TOU01, PRO04</x:v>
      </x:c>
      <x:c r="R652" s="43" t="str"/>
      <x:c r="S652" s="43" t="str"/>
      <x:c r="T652" s="43" t="str">
        <x:v>S008, S113, S114, S115</x:v>
      </x:c>
      <x:c r="U652" s="43" t="str">
        <x:v>docs/ar-experience-design.md
docs/implementation/tours-360-delivery.md
lib/features/tours/presentation/tour_editor_screen.dart
lib/features/tours/models/tour_models.dart</x:v>
      </x:c>
    </x:row>
    <x:row r="653" ht="56" customHeight="1">
      <x:c r="A653" s="42" t="str">
        <x:v>TOU02.010</x:v>
      </x:c>
      <x:c r="B653" s="42" t="str">
        <x:v>Editor del local, zonas, puntos y versiones</x:v>
      </x:c>
      <x:c r="C653" s="42" t="str">
        <x:v>TOU02</x:v>
      </x:c>
      <x:c r="D653" s="43" t="str">
        <x:v>Ubicar puntos mediante yaw y pitch</x:v>
      </x:c>
      <x:c r="E653" s="43" t="str">
        <x:v>Normalizar ángulos dentro del panorama.</x:v>
      </x:c>
      <x:c r="F653" s="43" t="str">
        <x:v>Completado</x:v>
      </x:c>
      <x:c r="G653" s="44" t="n">
        <x:v>46296</x:v>
      </x:c>
      <x:c r="H653" s="44" t="n">
        <x:v>46302</x:v>
      </x:c>
      <x:c r="I653" s="45" t="n">
        <x:f>IF(OR(G653="",H653=""),"",SUMPRODUCT(('Cronograma'!$F$8:$P$8&lt;=H653)*('Cronograma'!$F$9:$P$9&gt;=G653)))</x:f>
        <x:v>1</x:v>
      </x:c>
      <x:c r="J653" s="46"/>
      <x:c r="K653" s="46"/>
      <x:c r="L653" s="47"/>
      <x:c r="M653" s="48" t="str"/>
      <x:c r="N653" s="48" t="str"/>
      <x:c r="O653" s="49" t="n">
        <x:v>46301</x:v>
      </x:c>
      <x:c r="P653" s="43" t="str">
        <x:v>Reporte/inspección del checkout al corte</x:v>
      </x:c>
      <x:c r="Q653" s="43" t="str">
        <x:v>TOU01, PRO04</x:v>
      </x:c>
      <x:c r="R653" s="43" t="str"/>
      <x:c r="S653" s="43" t="str"/>
      <x:c r="T653" s="43" t="str">
        <x:v>S008, S113, S114, S115</x:v>
      </x:c>
      <x:c r="U653" s="43" t="str">
        <x:v>docs/ar-experience-design.md
docs/implementation/tours-360-delivery.md
lib/features/tours/presentation/tour_editor_screen.dart
lib/features/tours/models/tour_models.dart</x:v>
      </x:c>
    </x:row>
    <x:row r="654" ht="56" customHeight="1">
      <x:c r="A654" s="42" t="str">
        <x:v>TOU02.011</x:v>
      </x:c>
      <x:c r="B654" s="42" t="str">
        <x:v>Editor del local, zonas, puntos y versiones</x:v>
      </x:c>
      <x:c r="C654" s="42" t="str">
        <x:v>TOU02</x:v>
      </x:c>
      <x:c r="D654" s="43" t="str">
        <x:v>Crear puntos solo en lista</x:v>
      </x:c>
      <x:c r="E654" s="43" t="str">
        <x:v>Permitir detalle sin posición angular.</x:v>
      </x:c>
      <x:c r="F654" s="43" t="str">
        <x:v>Completado</x:v>
      </x:c>
      <x:c r="G654" s="44" t="n">
        <x:v>46296</x:v>
      </x:c>
      <x:c r="H654" s="44" t="n">
        <x:v>46302</x:v>
      </x:c>
      <x:c r="I654" s="45" t="n">
        <x:f>IF(OR(G654="",H654=""),"",SUMPRODUCT(('Cronograma'!$F$8:$P$8&lt;=H654)*('Cronograma'!$F$9:$P$9&gt;=G654)))</x:f>
        <x:v>1</x:v>
      </x:c>
      <x:c r="J654" s="46"/>
      <x:c r="K654" s="46"/>
      <x:c r="L654" s="47"/>
      <x:c r="M654" s="48" t="str"/>
      <x:c r="N654" s="48" t="str"/>
      <x:c r="O654" s="49" t="n">
        <x:v>46301</x:v>
      </x:c>
      <x:c r="P654" s="43" t="str">
        <x:v>Reporte/inspección del checkout al corte</x:v>
      </x:c>
      <x:c r="Q654" s="43" t="str">
        <x:v>TOU01, PRO04</x:v>
      </x:c>
      <x:c r="R654" s="43" t="str"/>
      <x:c r="S654" s="43" t="str"/>
      <x:c r="T654" s="43" t="str">
        <x:v>S008, S113, S114, S115</x:v>
      </x:c>
      <x:c r="U654" s="43" t="str">
        <x:v>docs/ar-experience-design.md
docs/implementation/tours-360-delivery.md
lib/features/tours/presentation/tour_editor_screen.dart
lib/features/tours/models/tour_models.dart</x:v>
      </x:c>
    </x:row>
    <x:row r="655" ht="56" customHeight="1">
      <x:c r="A655" s="42" t="str">
        <x:v>TOU02.012</x:v>
      </x:c>
      <x:c r="B655" s="42" t="str">
        <x:v>Editor del local, zonas, puntos y versiones</x:v>
      </x:c>
      <x:c r="C655" s="42" t="str">
        <x:v>TOU02</x:v>
      </x:c>
      <x:c r="D655" s="43" t="str">
        <x:v>Vincular contenido existente</x:v>
      </x:c>
      <x:c r="E655" s="43" t="str">
        <x:v>Referenciar posts, obras, productos, servicios y misiones sin duplicarlos.</x:v>
      </x:c>
      <x:c r="F655" s="43" t="str">
        <x:v>Completado</x:v>
      </x:c>
      <x:c r="G655" s="44" t="n">
        <x:v>46296</x:v>
      </x:c>
      <x:c r="H655" s="44" t="n">
        <x:v>46302</x:v>
      </x:c>
      <x:c r="I655" s="45" t="n">
        <x:f>IF(OR(G655="",H655=""),"",SUMPRODUCT(('Cronograma'!$F$8:$P$8&lt;=H655)*('Cronograma'!$F$9:$P$9&gt;=G655)))</x:f>
        <x:v>1</x:v>
      </x:c>
      <x:c r="J655" s="46"/>
      <x:c r="K655" s="46"/>
      <x:c r="L655" s="47"/>
      <x:c r="M655" s="48" t="str"/>
      <x:c r="N655" s="48" t="str"/>
      <x:c r="O655" s="49" t="n">
        <x:v>46301</x:v>
      </x:c>
      <x:c r="P655" s="43" t="str">
        <x:v>Reporte/inspección del checkout al corte</x:v>
      </x:c>
      <x:c r="Q655" s="43" t="str">
        <x:v>TOU01, PRO04</x:v>
      </x:c>
      <x:c r="R655" s="43" t="str"/>
      <x:c r="S655" s="43" t="str"/>
      <x:c r="T655" s="43" t="str">
        <x:v>S008, S113, S114, S115</x:v>
      </x:c>
      <x:c r="U655" s="43" t="str">
        <x:v>docs/ar-experience-design.md
docs/implementation/tours-360-delivery.md
lib/features/tours/presentation/tour_editor_screen.dart
lib/features/tours/models/tour_models.dart</x:v>
      </x:c>
    </x:row>
    <x:row r="656" ht="56" customHeight="1">
      <x:c r="A656" s="42" t="str">
        <x:v>TOU02.013</x:v>
      </x:c>
      <x:c r="B656" s="42" t="str">
        <x:v>Editor del local, zonas, puntos y versiones</x:v>
      </x:c>
      <x:c r="C656" s="42" t="str">
        <x:v>TOU02</x:v>
      </x:c>
      <x:c r="D656" s="43" t="str">
        <x:v>Solicitar permiso al autor vinculado</x:v>
      </x:c>
      <x:c r="E656" s="43" t="str">
        <x:v>Distinguir disponible, pendiente y retirado.</x:v>
      </x:c>
      <x:c r="F656" s="43" t="str">
        <x:v>Completado</x:v>
      </x:c>
      <x:c r="G656" s="44" t="n">
        <x:v>46296</x:v>
      </x:c>
      <x:c r="H656" s="44" t="n">
        <x:v>46302</x:v>
      </x:c>
      <x:c r="I656" s="45" t="n">
        <x:f>IF(OR(G656="",H656=""),"",SUMPRODUCT(('Cronograma'!$F$8:$P$8&lt;=H656)*('Cronograma'!$F$9:$P$9&gt;=G656)))</x:f>
        <x:v>1</x:v>
      </x:c>
      <x:c r="J656" s="46"/>
      <x:c r="K656" s="46"/>
      <x:c r="L656" s="47"/>
      <x:c r="M656" s="48" t="str"/>
      <x:c r="N656" s="48" t="str"/>
      <x:c r="O656" s="49" t="n">
        <x:v>46301</x:v>
      </x:c>
      <x:c r="P656" s="43" t="str">
        <x:v>Reporte/inspección del checkout al corte</x:v>
      </x:c>
      <x:c r="Q656" s="43" t="str">
        <x:v>TOU01, PRO04</x:v>
      </x:c>
      <x:c r="R656" s="43" t="str"/>
      <x:c r="S656" s="43" t="str"/>
      <x:c r="T656" s="43" t="str">
        <x:v>S008, S113, S114, S115</x:v>
      </x:c>
      <x:c r="U656" s="43" t="str">
        <x:v>docs/ar-experience-design.md
docs/implementation/tours-360-delivery.md
lib/features/tours/presentation/tour_editor_screen.dart
lib/features/tours/models/tour_models.dart</x:v>
      </x:c>
    </x:row>
    <x:row r="657" ht="56" customHeight="1">
      <x:c r="A657" s="42" t="str">
        <x:v>TOU02.014</x:v>
      </x:c>
      <x:c r="B657" s="42" t="str">
        <x:v>Editor del local, zonas, puntos y versiones</x:v>
      </x:c>
      <x:c r="C657" s="42" t="str">
        <x:v>TOU02</x:v>
      </x:c>
      <x:c r="D657" s="43" t="str">
        <x:v>Crear conexiones entre posiciones</x:v>
      </x:c>
      <x:c r="E657" s="43" t="str">
        <x:v>Guardar destino, nombre e indicación escrita.</x:v>
      </x:c>
      <x:c r="F657" s="43" t="str">
        <x:v>Completado</x:v>
      </x:c>
      <x:c r="G657" s="44" t="n">
        <x:v>46296</x:v>
      </x:c>
      <x:c r="H657" s="44" t="n">
        <x:v>46302</x:v>
      </x:c>
      <x:c r="I657" s="45" t="n">
        <x:f>IF(OR(G657="",H657=""),"",SUMPRODUCT(('Cronograma'!$F$8:$P$8&lt;=H657)*('Cronograma'!$F$9:$P$9&gt;=G657)))</x:f>
        <x:v>1</x:v>
      </x:c>
      <x:c r="J657" s="46"/>
      <x:c r="K657" s="46"/>
      <x:c r="L657" s="47"/>
      <x:c r="M657" s="48" t="str"/>
      <x:c r="N657" s="48" t="str"/>
      <x:c r="O657" s="49" t="n">
        <x:v>46301</x:v>
      </x:c>
      <x:c r="P657" s="43" t="str">
        <x:v>Reporte/inspección del checkout al corte</x:v>
      </x:c>
      <x:c r="Q657" s="43" t="str">
        <x:v>TOU01, PRO04</x:v>
      </x:c>
      <x:c r="R657" s="43" t="str"/>
      <x:c r="S657" s="43" t="str"/>
      <x:c r="T657" s="43" t="str">
        <x:v>S008, S113, S114, S115</x:v>
      </x:c>
      <x:c r="U657" s="43" t="str">
        <x:v>docs/ar-experience-design.md
docs/implementation/tours-360-delivery.md
lib/features/tours/presentation/tour_editor_screen.dart
lib/features/tours/models/tour_models.dart</x:v>
      </x:c>
    </x:row>
    <x:row r="658" ht="56" customHeight="1">
      <x:c r="A658" s="42" t="str">
        <x:v>TOU02.015</x:v>
      </x:c>
      <x:c r="B658" s="42" t="str">
        <x:v>Editor del local, zonas, puntos y versiones</x:v>
      </x:c>
      <x:c r="C658" s="42" t="str">
        <x:v>TOU02</x:v>
      </x:c>
      <x:c r="D658" s="43" t="str">
        <x:v>Ordenar paradas del recorrido</x:v>
      </x:c>
      <x:c r="E658" s="43" t="str">
        <x:v>Definir secuencia de visita y alternativas.</x:v>
      </x:c>
      <x:c r="F658" s="43" t="str">
        <x:v>Completado</x:v>
      </x:c>
      <x:c r="G658" s="44" t="n">
        <x:v>46296</x:v>
      </x:c>
      <x:c r="H658" s="44" t="n">
        <x:v>46302</x:v>
      </x:c>
      <x:c r="I658" s="45" t="n">
        <x:f>IF(OR(G658="",H658=""),"",SUMPRODUCT(('Cronograma'!$F$8:$P$8&lt;=H658)*('Cronograma'!$F$9:$P$9&gt;=G658)))</x:f>
        <x:v>1</x:v>
      </x:c>
      <x:c r="J658" s="46"/>
      <x:c r="K658" s="46"/>
      <x:c r="L658" s="47"/>
      <x:c r="M658" s="48" t="str"/>
      <x:c r="N658" s="48" t="str"/>
      <x:c r="O658" s="49" t="n">
        <x:v>46301</x:v>
      </x:c>
      <x:c r="P658" s="43" t="str">
        <x:v>Reporte/inspección del checkout al corte</x:v>
      </x:c>
      <x:c r="Q658" s="43" t="str">
        <x:v>TOU01, PRO04</x:v>
      </x:c>
      <x:c r="R658" s="43" t="str"/>
      <x:c r="S658" s="43" t="str"/>
      <x:c r="T658" s="43" t="str">
        <x:v>S008, S113, S114, S115</x:v>
      </x:c>
      <x:c r="U658" s="43" t="str">
        <x:v>docs/ar-experience-design.md
docs/implementation/tours-360-delivery.md
lib/features/tours/presentation/tour_editor_screen.dart
lib/features/tours/models/tour_models.dart</x:v>
      </x:c>
    </x:row>
    <x:row r="659" ht="56" customHeight="1">
      <x:c r="A659" s="42" t="str">
        <x:v>TOU02.016</x:v>
      </x:c>
      <x:c r="B659" s="42" t="str">
        <x:v>Editor del local, zonas, puntos y versiones</x:v>
      </x:c>
      <x:c r="C659" s="42" t="str">
        <x:v>TOU02</x:v>
      </x:c>
      <x:c r="D659" s="43" t="str">
        <x:v>Configurar vigencia de versión</x:v>
      </x:c>
      <x:c r="E659" s="43" t="str">
        <x:v>Persistir inicio y fin coherentes en UTC.</x:v>
      </x:c>
      <x:c r="F659" s="43" t="str">
        <x:v>Completado</x:v>
      </x:c>
      <x:c r="G659" s="44" t="n">
        <x:v>46296</x:v>
      </x:c>
      <x:c r="H659" s="44" t="n">
        <x:v>46302</x:v>
      </x:c>
      <x:c r="I659" s="45" t="n">
        <x:f>IF(OR(G659="",H659=""),"",SUMPRODUCT(('Cronograma'!$F$8:$P$8&lt;=H659)*('Cronograma'!$F$9:$P$9&gt;=G659)))</x:f>
        <x:v>1</x:v>
      </x:c>
      <x:c r="J659" s="46"/>
      <x:c r="K659" s="46"/>
      <x:c r="L659" s="47"/>
      <x:c r="M659" s="48" t="str"/>
      <x:c r="N659" s="48" t="str"/>
      <x:c r="O659" s="49" t="n">
        <x:v>46301</x:v>
      </x:c>
      <x:c r="P659" s="43" t="str">
        <x:v>Reporte/inspección del checkout al corte</x:v>
      </x:c>
      <x:c r="Q659" s="43" t="str">
        <x:v>TOU01, PRO04</x:v>
      </x:c>
      <x:c r="R659" s="43" t="str"/>
      <x:c r="S659" s="43" t="str"/>
      <x:c r="T659" s="43" t="str">
        <x:v>S008, S113, S114, S115</x:v>
      </x:c>
      <x:c r="U659" s="43" t="str">
        <x:v>docs/ar-experience-design.md
docs/implementation/tours-360-delivery.md
lib/features/tours/presentation/tour_editor_screen.dart
lib/features/tours/models/tour_models.dart</x:v>
      </x:c>
    </x:row>
    <x:row r="660" ht="56" customHeight="1">
      <x:c r="A660" s="42" t="str">
        <x:v>TOU02.017</x:v>
      </x:c>
      <x:c r="B660" s="42" t="str">
        <x:v>Editor del local, zonas, puntos y versiones</x:v>
      </x:c>
      <x:c r="C660" s="42" t="str">
        <x:v>TOU02</x:v>
      </x:c>
      <x:c r="D660" s="43" t="str">
        <x:v>Crear vista previa privada</x:v>
      </x:c>
      <x:c r="E660" s="43" t="str">
        <x:v>Revisar borrador antes del envío.</x:v>
      </x:c>
      <x:c r="F660" s="43" t="str">
        <x:v>Completado</x:v>
      </x:c>
      <x:c r="G660" s="44" t="n">
        <x:v>46296</x:v>
      </x:c>
      <x:c r="H660" s="44" t="n">
        <x:v>46302</x:v>
      </x:c>
      <x:c r="I660" s="45" t="n">
        <x:f>IF(OR(G660="",H660=""),"",SUMPRODUCT(('Cronograma'!$F$8:$P$8&lt;=H660)*('Cronograma'!$F$9:$P$9&gt;=G660)))</x:f>
        <x:v>1</x:v>
      </x:c>
      <x:c r="J660" s="46"/>
      <x:c r="K660" s="46"/>
      <x:c r="L660" s="47"/>
      <x:c r="M660" s="48" t="str"/>
      <x:c r="N660" s="48" t="str"/>
      <x:c r="O660" s="49" t="n">
        <x:v>46301</x:v>
      </x:c>
      <x:c r="P660" s="43" t="str">
        <x:v>Reporte/inspección del checkout al corte</x:v>
      </x:c>
      <x:c r="Q660" s="43" t="str">
        <x:v>TOU01, PRO04</x:v>
      </x:c>
      <x:c r="R660" s="43" t="str"/>
      <x:c r="S660" s="43" t="str"/>
      <x:c r="T660" s="43" t="str">
        <x:v>S008, S113, S114, S115</x:v>
      </x:c>
      <x:c r="U660" s="43" t="str">
        <x:v>docs/ar-experience-design.md
docs/implementation/tours-360-delivery.md
lib/features/tours/presentation/tour_editor_screen.dart
lib/features/tours/models/tour_models.dart</x:v>
      </x:c>
    </x:row>
    <x:row r="661" ht="56" customHeight="1">
      <x:c r="A661" s="42" t="str">
        <x:v>TOU02.018</x:v>
      </x:c>
      <x:c r="B661" s="42" t="str">
        <x:v>Editor del local, zonas, puntos y versiones</x:v>
      </x:c>
      <x:c r="C661" s="42" t="str">
        <x:v>TOU02</x:v>
      </x:c>
      <x:c r="D661" s="43" t="str">
        <x:v>Guardar borrador inmediatamente en local</x:v>
      </x:c>
      <x:c r="E661" s="43" t="str">
        <x:v>Conservar cambios antes de sincronizar.</x:v>
      </x:c>
      <x:c r="F661" s="43" t="str">
        <x:v>Completado</x:v>
      </x:c>
      <x:c r="G661" s="44" t="n">
        <x:v>46296</x:v>
      </x:c>
      <x:c r="H661" s="44" t="n">
        <x:v>46302</x:v>
      </x:c>
      <x:c r="I661" s="45" t="n">
        <x:f>IF(OR(G661="",H661=""),"",SUMPRODUCT(('Cronograma'!$F$8:$P$8&lt;=H661)*('Cronograma'!$F$9:$P$9&gt;=G661)))</x:f>
        <x:v>1</x:v>
      </x:c>
      <x:c r="J661" s="46"/>
      <x:c r="K661" s="46"/>
      <x:c r="L661" s="47"/>
      <x:c r="M661" s="48" t="str"/>
      <x:c r="N661" s="48" t="str"/>
      <x:c r="O661" s="49" t="n">
        <x:v>46301</x:v>
      </x:c>
      <x:c r="P661" s="43" t="str">
        <x:v>Reporte/inspección del checkout al corte</x:v>
      </x:c>
      <x:c r="Q661" s="43" t="str">
        <x:v>TOU01, PRO04</x:v>
      </x:c>
      <x:c r="R661" s="43" t="str"/>
      <x:c r="S661" s="43" t="str"/>
      <x:c r="T661" s="43" t="str">
        <x:v>S008, S113, S114, S115</x:v>
      </x:c>
      <x:c r="U661" s="43" t="str">
        <x:v>docs/ar-experience-design.md
docs/implementation/tours-360-delivery.md
lib/features/tours/presentation/tour_editor_screen.dart
lib/features/tours/models/tour_models.dart</x:v>
      </x:c>
    </x:row>
    <x:row r="662" ht="56" customHeight="1">
      <x:c r="A662" s="42" t="str">
        <x:v>TOU02.019</x:v>
      </x:c>
      <x:c r="B662" s="42" t="str">
        <x:v>Editor del local, zonas, puntos y versiones</x:v>
      </x:c>
      <x:c r="C662" s="42" t="str">
        <x:v>TOU02</x:v>
      </x:c>
      <x:c r="D662" s="43" t="str">
        <x:v>Recuperar edición sin red</x:v>
      </x:c>
      <x:c r="E662" s="43" t="str">
        <x:v>Abrir documento local por cuenta.</x:v>
      </x:c>
      <x:c r="F662" s="43" t="str">
        <x:v>Completado</x:v>
      </x:c>
      <x:c r="G662" s="44" t="n">
        <x:v>46296</x:v>
      </x:c>
      <x:c r="H662" s="44" t="n">
        <x:v>46302</x:v>
      </x:c>
      <x:c r="I662" s="45" t="n">
        <x:f>IF(OR(G662="",H662=""),"",SUMPRODUCT(('Cronograma'!$F$8:$P$8&lt;=H662)*('Cronograma'!$F$9:$P$9&gt;=G662)))</x:f>
        <x:v>1</x:v>
      </x:c>
      <x:c r="J662" s="46"/>
      <x:c r="K662" s="46"/>
      <x:c r="L662" s="47"/>
      <x:c r="M662" s="48" t="str"/>
      <x:c r="N662" s="48" t="str"/>
      <x:c r="O662" s="49" t="n">
        <x:v>46301</x:v>
      </x:c>
      <x:c r="P662" s="43" t="str">
        <x:v>Reporte/inspección del checkout al corte</x:v>
      </x:c>
      <x:c r="Q662" s="43" t="str">
        <x:v>TOU01, PRO04</x:v>
      </x:c>
      <x:c r="R662" s="43" t="str"/>
      <x:c r="S662" s="43" t="str"/>
      <x:c r="T662" s="43" t="str">
        <x:v>S008, S113, S114, S115</x:v>
      </x:c>
      <x:c r="U662" s="43" t="str">
        <x:v>docs/ar-experience-design.md
docs/implementation/tours-360-delivery.md
lib/features/tours/presentation/tour_editor_screen.dart
lib/features/tours/models/tour_models.dart</x:v>
      </x:c>
    </x:row>
    <x:row r="663" ht="56" customHeight="1">
      <x:c r="A663" s="42" t="str">
        <x:v>TOU02.020</x:v>
      </x:c>
      <x:c r="B663" s="42" t="str">
        <x:v>Editor del local, zonas, puntos y versiones</x:v>
      </x:c>
      <x:c r="C663" s="42" t="str">
        <x:v>TOU02</x:v>
      </x:c>
      <x:c r="D663" s="43" t="str">
        <x:v>Esperar guardado al salir del editor</x:v>
      </x:c>
      <x:c r="E663" s="43" t="str">
        <x:v>Evitar pérdida del último cambio.</x:v>
      </x:c>
      <x:c r="F663" s="43" t="str">
        <x:v>Completado</x:v>
      </x:c>
      <x:c r="G663" s="44" t="n">
        <x:v>46296</x:v>
      </x:c>
      <x:c r="H663" s="44" t="n">
        <x:v>46302</x:v>
      </x:c>
      <x:c r="I663" s="45" t="n">
        <x:f>IF(OR(G663="",H663=""),"",SUMPRODUCT(('Cronograma'!$F$8:$P$8&lt;=H663)*('Cronograma'!$F$9:$P$9&gt;=G663)))</x:f>
        <x:v>1</x:v>
      </x:c>
      <x:c r="J663" s="46"/>
      <x:c r="K663" s="46"/>
      <x:c r="L663" s="47"/>
      <x:c r="M663" s="48" t="str"/>
      <x:c r="N663" s="48" t="str"/>
      <x:c r="O663" s="49" t="n">
        <x:v>46301</x:v>
      </x:c>
      <x:c r="P663" s="43" t="str">
        <x:v>Reporte/inspección del checkout al corte</x:v>
      </x:c>
      <x:c r="Q663" s="43" t="str">
        <x:v>TOU01, PRO04</x:v>
      </x:c>
      <x:c r="R663" s="43" t="str"/>
      <x:c r="S663" s="43" t="str"/>
      <x:c r="T663" s="43" t="str">
        <x:v>S008, S113, S114, S115</x:v>
      </x:c>
      <x:c r="U663" s="43" t="str">
        <x:v>docs/ar-experience-design.md
docs/implementation/tours-360-delivery.md
lib/features/tours/presentation/tour_editor_screen.dart
lib/features/tours/models/tour_models.dart</x:v>
      </x:c>
    </x:row>
    <x:row r="664" ht="56" customHeight="1">
      <x:c r="A664" s="42" t="str">
        <x:v>TOU02.021</x:v>
      </x:c>
      <x:c r="B664" s="42" t="str">
        <x:v>Editor del local, zonas, puntos y versiones</x:v>
      </x:c>
      <x:c r="C664" s="42" t="str">
        <x:v>TOU02</x:v>
      </x:c>
      <x:c r="D664" s="43" t="str">
        <x:v>Congelar snapshot al enviar versión</x:v>
      </x:c>
      <x:c r="E664" s="43" t="str">
        <x:v>No reemplazar envío en revisión con edición posterior.</x:v>
      </x:c>
      <x:c r="F664" s="43" t="str">
        <x:v>Completado</x:v>
      </x:c>
      <x:c r="G664" s="44" t="n">
        <x:v>46296</x:v>
      </x:c>
      <x:c r="H664" s="44" t="n">
        <x:v>46302</x:v>
      </x:c>
      <x:c r="I664" s="45" t="n">
        <x:f>IF(OR(G664="",H664=""),"",SUMPRODUCT(('Cronograma'!$F$8:$P$8&lt;=H664)*('Cronograma'!$F$9:$P$9&gt;=G664)))</x:f>
        <x:v>1</x:v>
      </x:c>
      <x:c r="J664" s="46"/>
      <x:c r="K664" s="46"/>
      <x:c r="L664" s="47"/>
      <x:c r="M664" s="48" t="str"/>
      <x:c r="N664" s="48" t="str"/>
      <x:c r="O664" s="49" t="n">
        <x:v>46301</x:v>
      </x:c>
      <x:c r="P664" s="43" t="str">
        <x:v>Reporte/inspección del checkout al corte</x:v>
      </x:c>
      <x:c r="Q664" s="43" t="str">
        <x:v>TOU01, PRO04</x:v>
      </x:c>
      <x:c r="R664" s="43" t="str"/>
      <x:c r="S664" s="43" t="str"/>
      <x:c r="T664" s="43" t="str">
        <x:v>S008, S113, S114, S115</x:v>
      </x:c>
      <x:c r="U664" s="43" t="str">
        <x:v>docs/ar-experience-design.md
docs/implementation/tours-360-delivery.md
lib/features/tours/presentation/tour_editor_screen.dart
lib/features/tours/models/tour_models.dart</x:v>
      </x:c>
    </x:row>
    <x:row r="665" ht="56" customHeight="1">
      <x:c r="A665" s="42" t="str">
        <x:v>TOU02.022</x:v>
      </x:c>
      <x:c r="B665" s="42" t="str">
        <x:v>Editor del local, zonas, puntos y versiones</x:v>
      </x:c>
      <x:c r="C665" s="42" t="str">
        <x:v>TOU02</x:v>
      </x:c>
      <x:c r="D665" s="43" t="str">
        <x:v>Recuperar envío tras respuesta perdida</x:v>
      </x:c>
      <x:c r="E665" s="43" t="str">
        <x:v>Consultar journal antes de repetir.</x:v>
      </x:c>
      <x:c r="F665" s="43" t="str">
        <x:v>Completado</x:v>
      </x:c>
      <x:c r="G665" s="44" t="n">
        <x:v>46296</x:v>
      </x:c>
      <x:c r="H665" s="44" t="n">
        <x:v>46302</x:v>
      </x:c>
      <x:c r="I665" s="45" t="n">
        <x:f>IF(OR(G665="",H665=""),"",SUMPRODUCT(('Cronograma'!$F$8:$P$8&lt;=H665)*('Cronograma'!$F$9:$P$9&gt;=G665)))</x:f>
        <x:v>1</x:v>
      </x:c>
      <x:c r="J665" s="46"/>
      <x:c r="K665" s="46"/>
      <x:c r="L665" s="47"/>
      <x:c r="M665" s="48" t="str"/>
      <x:c r="N665" s="48" t="str"/>
      <x:c r="O665" s="49" t="n">
        <x:v>46301</x:v>
      </x:c>
      <x:c r="P665" s="43" t="str">
        <x:v>Reporte/inspección del checkout al corte</x:v>
      </x:c>
      <x:c r="Q665" s="43" t="str">
        <x:v>TOU01, PRO04</x:v>
      </x:c>
      <x:c r="R665" s="43" t="str"/>
      <x:c r="S665" s="43" t="str"/>
      <x:c r="T665" s="43" t="str">
        <x:v>S008, S113, S114, S115</x:v>
      </x:c>
      <x:c r="U665" s="43" t="str">
        <x:v>docs/ar-experience-design.md
docs/implementation/tours-360-delivery.md
lib/features/tours/presentation/tour_editor_screen.dart
lib/features/tours/models/tour_models.dart</x:v>
      </x:c>
    </x:row>
    <x:row r="666" ht="56" customHeight="1">
      <x:c r="A666" s="42" t="str">
        <x:v>TOU02.023</x:v>
      </x:c>
      <x:c r="B666" s="42" t="str">
        <x:v>Editor del local, zonas, puntos y versiones</x:v>
      </x:c>
      <x:c r="C666" s="42" t="str">
        <x:v>TOU02</x:v>
      </x:c>
      <x:c r="D666" s="43" t="str">
        <x:v>Pausar recorrido público</x:v>
      </x:c>
      <x:c r="E666" s="43" t="str">
        <x:v>Retirar descubrimiento mientras se actualiza.</x:v>
      </x:c>
      <x:c r="F666" s="43" t="str">
        <x:v>Completado</x:v>
      </x:c>
      <x:c r="G666" s="44" t="n">
        <x:v>46296</x:v>
      </x:c>
      <x:c r="H666" s="44" t="n">
        <x:v>46302</x:v>
      </x:c>
      <x:c r="I666" s="45" t="n">
        <x:f>IF(OR(G666="",H666=""),"",SUMPRODUCT(('Cronograma'!$F$8:$P$8&lt;=H666)*('Cronograma'!$F$9:$P$9&gt;=G666)))</x:f>
        <x:v>1</x:v>
      </x:c>
      <x:c r="J666" s="46"/>
      <x:c r="K666" s="46"/>
      <x:c r="L666" s="47"/>
      <x:c r="M666" s="48" t="str"/>
      <x:c r="N666" s="48" t="str"/>
      <x:c r="O666" s="49" t="n">
        <x:v>46301</x:v>
      </x:c>
      <x:c r="P666" s="43" t="str">
        <x:v>Reporte/inspección del checkout al corte</x:v>
      </x:c>
      <x:c r="Q666" s="43" t="str">
        <x:v>TOU01, PRO04</x:v>
      </x:c>
      <x:c r="R666" s="43" t="str"/>
      <x:c r="S666" s="43" t="str"/>
      <x:c r="T666" s="43" t="str">
        <x:v>S008, S113, S114, S115</x:v>
      </x:c>
      <x:c r="U666" s="43" t="str">
        <x:v>docs/ar-experience-design.md
docs/implementation/tours-360-delivery.md
lib/features/tours/presentation/tour_editor_screen.dart
lib/features/tours/models/tour_models.dart</x:v>
      </x:c>
    </x:row>
    <x:row r="667" ht="56" customHeight="1">
      <x:c r="A667" s="42" t="str">
        <x:v>TOU02.024</x:v>
      </x:c>
      <x:c r="B667" s="42" t="str">
        <x:v>Editor del local, zonas, puntos y versiones</x:v>
      </x:c>
      <x:c r="C667" s="42" t="str">
        <x:v>TOU02</x:v>
      </x:c>
      <x:c r="D667" s="43" t="str">
        <x:v>Invalidar puntos al reemplazar panorama</x:v>
      </x:c>
      <x:c r="E667" s="43" t="str">
        <x:v>Exigir revisión de puntos y conexiones afectados.</x:v>
      </x:c>
      <x:c r="F667" s="43" t="str">
        <x:v>Completado</x:v>
      </x:c>
      <x:c r="G667" s="44" t="n">
        <x:v>46296</x:v>
      </x:c>
      <x:c r="H667" s="44" t="n">
        <x:v>46302</x:v>
      </x:c>
      <x:c r="I667" s="45" t="n">
        <x:f>IF(OR(G667="",H667=""),"",SUMPRODUCT(('Cronograma'!$F$8:$P$8&lt;=H667)*('Cronograma'!$F$9:$P$9&gt;=G667)))</x:f>
        <x:v>1</x:v>
      </x:c>
      <x:c r="J667" s="46"/>
      <x:c r="K667" s="46"/>
      <x:c r="L667" s="47"/>
      <x:c r="M667" s="48" t="str"/>
      <x:c r="N667" s="48" t="str"/>
      <x:c r="O667" s="49" t="n">
        <x:v>46301</x:v>
      </x:c>
      <x:c r="P667" s="43" t="str">
        <x:v>Reporte/inspección del checkout al corte</x:v>
      </x:c>
      <x:c r="Q667" s="43" t="str">
        <x:v>TOU01, PRO04</x:v>
      </x:c>
      <x:c r="R667" s="43" t="str"/>
      <x:c r="S667" s="43" t="str"/>
      <x:c r="T667" s="43" t="str">
        <x:v>S008, S113, S114, S115</x:v>
      </x:c>
      <x:c r="U667" s="43" t="str">
        <x:v>docs/ar-experience-design.md
docs/implementation/tours-360-delivery.md
lib/features/tours/presentation/tour_editor_screen.dart
lib/features/tours/models/tour_models.dart</x:v>
      </x:c>
    </x:row>
    <x:row r="668" ht="56" customHeight="1">
      <x:c r="A668" s="42" t="str">
        <x:v>TOU03.001</x:v>
      </x:c>
      <x:c r="B668" s="42" t="str">
        <x:v>Captura guiada y persistencia local</x:v>
      </x:c>
      <x:c r="C668" s="42" t="str">
        <x:v>TOU03</x:v>
      </x:c>
      <x:c r="D668" s="43" t="str">
        <x:v>Abrir cámara principal posterior a 1×</x:v>
      </x:c>
      <x:c r="E668" s="43" t="str">
        <x:v>Mantener lente y zoom coherentes para captura.</x:v>
      </x:c>
      <x:c r="F668" s="43" t="str">
        <x:v>Completado</x:v>
      </x:c>
      <x:c r="G668" s="44" t="n">
        <x:v>46296</x:v>
      </x:c>
      <x:c r="H668" s="44" t="n">
        <x:v>46302</x:v>
      </x:c>
      <x:c r="I668" s="45" t="n">
        <x:f>IF(OR(G668="",H668=""),"",SUMPRODUCT(('Cronograma'!$F$8:$P$8&lt;=H668)*('Cronograma'!$F$9:$P$9&gt;=G668)))</x:f>
        <x:v>1</x:v>
      </x:c>
      <x:c r="J668" s="46"/>
      <x:c r="K668" s="46"/>
      <x:c r="L668" s="47"/>
      <x:c r="M668" s="48" t="str"/>
      <x:c r="N668" s="48" t="str"/>
      <x:c r="O668" s="49" t="n">
        <x:v>46301</x:v>
      </x:c>
      <x:c r="P668" s="43" t="str">
        <x:v>Reporte/inspección del checkout al corte</x:v>
      </x:c>
      <x:c r="Q668" s="43" t="str">
        <x:v>TOU02, INV03</x:v>
      </x:c>
      <x:c r="R668" s="43" t="str"/>
      <x:c r="S668" s="43" t="str">
        <x:v>Implementación y pruebas de recuperación documentadas; calibración y captura óptica reales permanecen pendientes en FIS01.</x:v>
      </x:c>
      <x:c r="T668" s="43" t="str">
        <x:v>S008, S009, S116, S117</x:v>
      </x:c>
      <x:c r="U668" s="43" t="str">
        <x:v>docs/ar-experience-design.md
docs/implementation/tours-native.md
lib/features/tours/capture/tour_capture_screen.dart
lib/features/tours/capture/capture_plan.dart</x:v>
      </x:c>
    </x:row>
    <x:row r="669" ht="56" customHeight="1">
      <x:c r="A669" s="42" t="str">
        <x:v>TOU03.002</x:v>
      </x:c>
      <x:c r="B669" s="42" t="str">
        <x:v>Captura guiada y persistencia local</x:v>
      </x:c>
      <x:c r="C669" s="42" t="str">
        <x:v>TOU03</x:v>
      </x:c>
      <x:c r="D669" s="43" t="str">
        <x:v>Bloquear orientación de captura en retrato</x:v>
      </x:c>
      <x:c r="E669" s="43" t="str">
        <x:v>Conservar eje óptico esperado.</x:v>
      </x:c>
      <x:c r="F669" s="43" t="str">
        <x:v>Completado</x:v>
      </x:c>
      <x:c r="G669" s="44" t="n">
        <x:v>46296</x:v>
      </x:c>
      <x:c r="H669" s="44" t="n">
        <x:v>46302</x:v>
      </x:c>
      <x:c r="I669" s="45" t="n">
        <x:f>IF(OR(G669="",H669=""),"",SUMPRODUCT(('Cronograma'!$F$8:$P$8&lt;=H669)*('Cronograma'!$F$9:$P$9&gt;=G669)))</x:f>
        <x:v>1</x:v>
      </x:c>
      <x:c r="J669" s="46"/>
      <x:c r="K669" s="46"/>
      <x:c r="L669" s="47"/>
      <x:c r="M669" s="48" t="str"/>
      <x:c r="N669" s="48" t="str"/>
      <x:c r="O669" s="49" t="n">
        <x:v>46301</x:v>
      </x:c>
      <x:c r="P669" s="43" t="str">
        <x:v>Reporte/inspección del checkout al corte</x:v>
      </x:c>
      <x:c r="Q669" s="43" t="str">
        <x:v>TOU02, INV03</x:v>
      </x:c>
      <x:c r="R669" s="43" t="str"/>
      <x:c r="S669" s="43" t="str">
        <x:v>Implementación y pruebas de recuperación documentadas; calibración y captura óptica reales permanecen pendientes en FIS01.</x:v>
      </x:c>
      <x:c r="T669" s="43" t="str">
        <x:v>S008, S009, S116, S117</x:v>
      </x:c>
      <x:c r="U669" s="43" t="str">
        <x:v>docs/ar-experience-design.md
docs/implementation/tours-native.md
lib/features/tours/capture/tour_capture_screen.dart
lib/features/tours/capture/capture_plan.dart</x:v>
      </x:c>
    </x:row>
    <x:row r="670" ht="56" customHeight="1">
      <x:c r="A670" s="42" t="str">
        <x:v>TOU03.003</x:v>
      </x:c>
      <x:c r="B670" s="42" t="str">
        <x:v>Captura guiada y persistencia local</x:v>
      </x:c>
      <x:c r="C670" s="42" t="str">
        <x:v>TOU03</x:v>
      </x:c>
      <x:c r="D670" s="43" t="str">
        <x:v>Tomar JPEG de calibración</x:v>
      </x:c>
      <x:c r="E670" s="43" t="str">
        <x:v>Medir proporción real con EXIF aplicado.</x:v>
      </x:c>
      <x:c r="F670" s="43" t="str">
        <x:v>Completado</x:v>
      </x:c>
      <x:c r="G670" s="44" t="n">
        <x:v>46296</x:v>
      </x:c>
      <x:c r="H670" s="44" t="n">
        <x:v>46302</x:v>
      </x:c>
      <x:c r="I670" s="45" t="n">
        <x:f>IF(OR(G670="",H670=""),"",SUMPRODUCT(('Cronograma'!$F$8:$P$8&lt;=H670)*('Cronograma'!$F$9:$P$9&gt;=G670)))</x:f>
        <x:v>1</x:v>
      </x:c>
      <x:c r="J670" s="46"/>
      <x:c r="K670" s="46"/>
      <x:c r="L670" s="47"/>
      <x:c r="M670" s="48" t="str"/>
      <x:c r="N670" s="48" t="str"/>
      <x:c r="O670" s="49" t="n">
        <x:v>46301</x:v>
      </x:c>
      <x:c r="P670" s="43" t="str">
        <x:v>Reporte/inspección del checkout al corte</x:v>
      </x:c>
      <x:c r="Q670" s="43" t="str">
        <x:v>TOU02, INV03</x:v>
      </x:c>
      <x:c r="R670" s="43" t="str"/>
      <x:c r="S670" s="43" t="str">
        <x:v>Implementación y pruebas de recuperación documentadas; calibración y captura óptica reales permanecen pendientes en FIS01.</x:v>
      </x:c>
      <x:c r="T670" s="43" t="str">
        <x:v>S008, S009, S116, S117</x:v>
      </x:c>
      <x:c r="U670" s="43" t="str">
        <x:v>docs/ar-experience-design.md
docs/implementation/tours-native.md
lib/features/tours/capture/tour_capture_screen.dart
lib/features/tours/capture/capture_plan.dart</x:v>
      </x:c>
    </x:row>
    <x:row r="671" ht="56" customHeight="1">
      <x:c r="A671" s="42" t="str">
        <x:v>TOU03.004</x:v>
      </x:c>
      <x:c r="B671" s="42" t="str">
        <x:v>Captura guiada y persistencia local</x:v>
      </x:c>
      <x:c r="C671" s="42" t="str">
        <x:v>TOU03</x:v>
      </x:c>
      <x:c r="D671" s="43" t="str">
        <x:v>Excluir calibración del conteo de tomas</x:v>
      </x:c>
      <x:c r="E671" s="43" t="str">
        <x:v>No incorporarla como fotografía aceptada.</x:v>
      </x:c>
      <x:c r="F671" s="43" t="str">
        <x:v>Completado</x:v>
      </x:c>
      <x:c r="G671" s="44" t="n">
        <x:v>46296</x:v>
      </x:c>
      <x:c r="H671" s="44" t="n">
        <x:v>46302</x:v>
      </x:c>
      <x:c r="I671" s="45" t="n">
        <x:f>IF(OR(G671="",H671=""),"",SUMPRODUCT(('Cronograma'!$F$8:$P$8&lt;=H671)*('Cronograma'!$F$9:$P$9&gt;=G671)))</x:f>
        <x:v>1</x:v>
      </x:c>
      <x:c r="J671" s="46"/>
      <x:c r="K671" s="46"/>
      <x:c r="L671" s="47"/>
      <x:c r="M671" s="48" t="str"/>
      <x:c r="N671" s="48" t="str"/>
      <x:c r="O671" s="49" t="n">
        <x:v>46301</x:v>
      </x:c>
      <x:c r="P671" s="43" t="str">
        <x:v>Reporte/inspección del checkout al corte</x:v>
      </x:c>
      <x:c r="Q671" s="43" t="str">
        <x:v>TOU02, INV03</x:v>
      </x:c>
      <x:c r="R671" s="43" t="str"/>
      <x:c r="S671" s="43" t="str">
        <x:v>Implementación y pruebas de recuperación documentadas; calibración y captura óptica reales permanecen pendientes en FIS01.</x:v>
      </x:c>
      <x:c r="T671" s="43" t="str">
        <x:v>S008, S009, S116, S117</x:v>
      </x:c>
      <x:c r="U671" s="43" t="str">
        <x:v>docs/ar-experience-design.md
docs/implementation/tours-native.md
lib/features/tours/capture/tour_capture_screen.dart
lib/features/tours/capture/capture_plan.dart</x:v>
      </x:c>
    </x:row>
    <x:row r="672" ht="56" customHeight="1">
      <x:c r="A672" s="42" t="str">
        <x:v>TOU03.005</x:v>
      </x:c>
      <x:c r="B672" s="42" t="str">
        <x:v>Captura guiada y persistencia local</x:v>
      </x:c>
      <x:c r="C672" s="42" t="str">
        <x:v>TOU03</x:v>
      </x:c>
      <x:c r="D672" s="43" t="str">
        <x:v>Consultar FOV nativo de la cámara</x:v>
      </x:c>
      <x:c r="E672" s="43" t="str">
        <x:v>No usar apertura constante de respaldo.</x:v>
      </x:c>
      <x:c r="F672" s="43" t="str">
        <x:v>Completado</x:v>
      </x:c>
      <x:c r="G672" s="44" t="n">
        <x:v>46296</x:v>
      </x:c>
      <x:c r="H672" s="44" t="n">
        <x:v>46302</x:v>
      </x:c>
      <x:c r="I672" s="45" t="n">
        <x:f>IF(OR(G672="",H672=""),"",SUMPRODUCT(('Cronograma'!$F$8:$P$8&lt;=H672)*('Cronograma'!$F$9:$P$9&gt;=G672)))</x:f>
        <x:v>1</x:v>
      </x:c>
      <x:c r="J672" s="46"/>
      <x:c r="K672" s="46"/>
      <x:c r="L672" s="47"/>
      <x:c r="M672" s="48" t="str"/>
      <x:c r="N672" s="48" t="str"/>
      <x:c r="O672" s="49" t="n">
        <x:v>46301</x:v>
      </x:c>
      <x:c r="P672" s="43" t="str">
        <x:v>Reporte/inspección del checkout al corte</x:v>
      </x:c>
      <x:c r="Q672" s="43" t="str">
        <x:v>TOU02, INV03</x:v>
      </x:c>
      <x:c r="R672" s="43" t="str"/>
      <x:c r="S672" s="43" t="str">
        <x:v>Implementación y pruebas de recuperación documentadas; calibración y captura óptica reales permanecen pendientes en FIS01.</x:v>
      </x:c>
      <x:c r="T672" s="43" t="str">
        <x:v>S008, S009, S116, S117</x:v>
      </x:c>
      <x:c r="U672" s="43" t="str">
        <x:v>docs/ar-experience-design.md
docs/implementation/tours-native.md
lib/features/tours/capture/tour_capture_screen.dart
lib/features/tours/capture/capture_plan.dart</x:v>
      </x:c>
    </x:row>
    <x:row r="673" ht="56" customHeight="1">
      <x:c r="A673" s="42" t="str">
        <x:v>TOU03.006</x:v>
      </x:c>
      <x:c r="B673" s="42" t="str">
        <x:v>Captura guiada y persistencia local</x:v>
      </x:c>
      <x:c r="C673" s="42" t="str">
        <x:v>TOU03</x:v>
      </x:c>
      <x:c r="D673" s="43" t="str">
        <x:v>Crear objetivos según FOV</x:v>
      </x:c>
      <x:c r="E673" s="43" t="str">
        <x:v>Distribuir anillos con al menos 40% de solapamiento.</x:v>
      </x:c>
      <x:c r="F673" s="43" t="str">
        <x:v>Completado</x:v>
      </x:c>
      <x:c r="G673" s="44" t="n">
        <x:v>46296</x:v>
      </x:c>
      <x:c r="H673" s="44" t="n">
        <x:v>46302</x:v>
      </x:c>
      <x:c r="I673" s="45" t="n">
        <x:f>IF(OR(G673="",H673=""),"",SUMPRODUCT(('Cronograma'!$F$8:$P$8&lt;=H673)*('Cronograma'!$F$9:$P$9&gt;=G673)))</x:f>
        <x:v>1</x:v>
      </x:c>
      <x:c r="J673" s="46"/>
      <x:c r="K673" s="46"/>
      <x:c r="L673" s="47"/>
      <x:c r="M673" s="48" t="str"/>
      <x:c r="N673" s="48" t="str"/>
      <x:c r="O673" s="49" t="n">
        <x:v>46301</x:v>
      </x:c>
      <x:c r="P673" s="43" t="str">
        <x:v>Reporte/inspección del checkout al corte</x:v>
      </x:c>
      <x:c r="Q673" s="43" t="str">
        <x:v>TOU02, INV03</x:v>
      </x:c>
      <x:c r="R673" s="43" t="str"/>
      <x:c r="S673" s="43" t="str">
        <x:v>Implementación y pruebas de recuperación documentadas; calibración y captura óptica reales permanecen pendientes en FIS01.</x:v>
      </x:c>
      <x:c r="T673" s="43" t="str">
        <x:v>S008, S009, S116, S117</x:v>
      </x:c>
      <x:c r="U673" s="43" t="str">
        <x:v>docs/ar-experience-design.md
docs/implementation/tours-native.md
lib/features/tours/capture/tour_capture_screen.dart
lib/features/tours/capture/capture_plan.dart</x:v>
      </x:c>
    </x:row>
    <x:row r="674" ht="56" customHeight="1">
      <x:c r="A674" s="42" t="str">
        <x:v>TOU03.007</x:v>
      </x:c>
      <x:c r="B674" s="42" t="str">
        <x:v>Captura guiada y persistencia local</x:v>
      </x:c>
      <x:c r="C674" s="42" t="str">
        <x:v>TOU03</x:v>
      </x:c>
      <x:c r="D674" s="43" t="str">
        <x:v>Agregar objetivos de cenit y nadir</x:v>
      </x:c>
      <x:c r="E674" s="43" t="str">
        <x:v>Incluir techo y piso de la esfera.</x:v>
      </x:c>
      <x:c r="F674" s="43" t="str">
        <x:v>Completado</x:v>
      </x:c>
      <x:c r="G674" s="44" t="n">
        <x:v>46296</x:v>
      </x:c>
      <x:c r="H674" s="44" t="n">
        <x:v>46302</x:v>
      </x:c>
      <x:c r="I674" s="45" t="n">
        <x:f>IF(OR(G674="",H674=""),"",SUMPRODUCT(('Cronograma'!$F$8:$P$8&lt;=H674)*('Cronograma'!$F$9:$P$9&gt;=G674)))</x:f>
        <x:v>1</x:v>
      </x:c>
      <x:c r="J674" s="46"/>
      <x:c r="K674" s="46"/>
      <x:c r="L674" s="47"/>
      <x:c r="M674" s="48" t="str"/>
      <x:c r="N674" s="48" t="str"/>
      <x:c r="O674" s="49" t="n">
        <x:v>46301</x:v>
      </x:c>
      <x:c r="P674" s="43" t="str">
        <x:v>Reporte/inspección del checkout al corte</x:v>
      </x:c>
      <x:c r="Q674" s="43" t="str">
        <x:v>TOU02, INV03</x:v>
      </x:c>
      <x:c r="R674" s="43" t="str"/>
      <x:c r="S674" s="43" t="str">
        <x:v>Implementación y pruebas de recuperación documentadas; calibración y captura óptica reales permanecen pendientes en FIS01.</x:v>
      </x:c>
      <x:c r="T674" s="43" t="str">
        <x:v>S008, S009, S116, S117</x:v>
      </x:c>
      <x:c r="U674" s="43" t="str">
        <x:v>docs/ar-experience-design.md
docs/implementation/tours-native.md
lib/features/tours/capture/tour_capture_screen.dart
lib/features/tours/capture/capture_plan.dart</x:v>
      </x:c>
    </x:row>
    <x:row r="675" ht="56" customHeight="1">
      <x:c r="A675" s="42" t="str">
        <x:v>TOU03.008</x:v>
      </x:c>
      <x:c r="B675" s="42" t="str">
        <x:v>Captura guiada y persistencia local</x:v>
      </x:c>
      <x:c r="C675" s="42" t="str">
        <x:v>TOU03</x:v>
      </x:c>
      <x:c r="D675" s="43" t="str">
        <x:v>Mostrar objetivo y estabilidad</x:v>
      </x:c>
      <x:c r="E675" s="43" t="str">
        <x:v>Guiar siguiente captura con orientación.</x:v>
      </x:c>
      <x:c r="F675" s="43" t="str">
        <x:v>Completado</x:v>
      </x:c>
      <x:c r="G675" s="44" t="n">
        <x:v>46296</x:v>
      </x:c>
      <x:c r="H675" s="44" t="n">
        <x:v>46302</x:v>
      </x:c>
      <x:c r="I675" s="45" t="n">
        <x:f>IF(OR(G675="",H675=""),"",SUMPRODUCT(('Cronograma'!$F$8:$P$8&lt;=H675)*('Cronograma'!$F$9:$P$9&gt;=G675)))</x:f>
        <x:v>1</x:v>
      </x:c>
      <x:c r="J675" s="46"/>
      <x:c r="K675" s="46"/>
      <x:c r="L675" s="47"/>
      <x:c r="M675" s="48" t="str"/>
      <x:c r="N675" s="48" t="str"/>
      <x:c r="O675" s="49" t="n">
        <x:v>46301</x:v>
      </x:c>
      <x:c r="P675" s="43" t="str">
        <x:v>Reporte/inspección del checkout al corte</x:v>
      </x:c>
      <x:c r="Q675" s="43" t="str">
        <x:v>TOU02, INV03</x:v>
      </x:c>
      <x:c r="R675" s="43" t="str"/>
      <x:c r="S675" s="43" t="str">
        <x:v>Implementación y pruebas de recuperación documentadas; calibración y captura óptica reales permanecen pendientes en FIS01.</x:v>
      </x:c>
      <x:c r="T675" s="43" t="str">
        <x:v>S008, S009, S116, S117</x:v>
      </x:c>
      <x:c r="U675" s="43" t="str">
        <x:v>docs/ar-experience-design.md
docs/implementation/tours-native.md
lib/features/tours/capture/tour_capture_screen.dart
lib/features/tours/capture/capture_plan.dart</x:v>
      </x:c>
    </x:row>
    <x:row r="676" ht="56" customHeight="1">
      <x:c r="A676" s="42" t="str">
        <x:v>TOU03.009</x:v>
      </x:c>
      <x:c r="B676" s="42" t="str">
        <x:v>Captura guiada y persistencia local</x:v>
      </x:c>
      <x:c r="C676" s="42" t="str">
        <x:v>TOU03</x:v>
      </x:c>
      <x:c r="D676" s="43" t="str">
        <x:v>Aceptar y contar tomas confirmadas</x:v>
      </x:c>
      <x:c r="E676" s="43" t="str">
        <x:v>Conservar solo imágenes válidas de la sesión.</x:v>
      </x:c>
      <x:c r="F676" s="43" t="str">
        <x:v>Completado</x:v>
      </x:c>
      <x:c r="G676" s="44" t="n">
        <x:v>46296</x:v>
      </x:c>
      <x:c r="H676" s="44" t="n">
        <x:v>46302</x:v>
      </x:c>
      <x:c r="I676" s="45" t="n">
        <x:f>IF(OR(G676="",H676=""),"",SUMPRODUCT(('Cronograma'!$F$8:$P$8&lt;=H676)*('Cronograma'!$F$9:$P$9&gt;=G676)))</x:f>
        <x:v>1</x:v>
      </x:c>
      <x:c r="J676" s="46"/>
      <x:c r="K676" s="46"/>
      <x:c r="L676" s="47"/>
      <x:c r="M676" s="48" t="str"/>
      <x:c r="N676" s="48" t="str"/>
      <x:c r="O676" s="49" t="n">
        <x:v>46301</x:v>
      </x:c>
      <x:c r="P676" s="43" t="str">
        <x:v>Reporte/inspección del checkout al corte</x:v>
      </x:c>
      <x:c r="Q676" s="43" t="str">
        <x:v>TOU02, INV03</x:v>
      </x:c>
      <x:c r="R676" s="43" t="str"/>
      <x:c r="S676" s="43" t="str">
        <x:v>Implementación y pruebas de recuperación documentadas; calibración y captura óptica reales permanecen pendientes en FIS01.</x:v>
      </x:c>
      <x:c r="T676" s="43" t="str">
        <x:v>S008, S009, S116, S117</x:v>
      </x:c>
      <x:c r="U676" s="43" t="str">
        <x:v>docs/ar-experience-design.md
docs/implementation/tours-native.md
lib/features/tours/capture/tour_capture_screen.dart
lib/features/tours/capture/capture_plan.dart</x:v>
      </x:c>
    </x:row>
    <x:row r="677" ht="56" customHeight="1">
      <x:c r="A677" s="42" t="str">
        <x:v>TOU03.010</x:v>
      </x:c>
      <x:c r="B677" s="42" t="str">
        <x:v>Captura guiada y persistencia local</x:v>
      </x:c>
      <x:c r="C677" s="42" t="str">
        <x:v>TOU03</x:v>
      </x:c>
      <x:c r="D677" s="43" t="str">
        <x:v>Repetir una toma confirmada</x:v>
      </x:c>
      <x:c r="E677" s="43" t="str">
        <x:v>Permitir corregir fotografía eliminando la previa.</x:v>
      </x:c>
      <x:c r="F677" s="43" t="str">
        <x:v>Completado</x:v>
      </x:c>
      <x:c r="G677" s="44" t="n">
        <x:v>46296</x:v>
      </x:c>
      <x:c r="H677" s="44" t="n">
        <x:v>46302</x:v>
      </x:c>
      <x:c r="I677" s="45" t="n">
        <x:f>IF(OR(G677="",H677=""),"",SUMPRODUCT(('Cronograma'!$F$8:$P$8&lt;=H677)*('Cronograma'!$F$9:$P$9&gt;=G677)))</x:f>
        <x:v>1</x:v>
      </x:c>
      <x:c r="J677" s="46"/>
      <x:c r="K677" s="46"/>
      <x:c r="L677" s="47"/>
      <x:c r="M677" s="48" t="str"/>
      <x:c r="N677" s="48" t="str"/>
      <x:c r="O677" s="49" t="n">
        <x:v>46301</x:v>
      </x:c>
      <x:c r="P677" s="43" t="str">
        <x:v>Reporte/inspección del checkout al corte</x:v>
      </x:c>
      <x:c r="Q677" s="43" t="str">
        <x:v>TOU02, INV03</x:v>
      </x:c>
      <x:c r="R677" s="43" t="str"/>
      <x:c r="S677" s="43" t="str">
        <x:v>Implementación y pruebas de recuperación documentadas; calibración y captura óptica reales permanecen pendientes en FIS01.</x:v>
      </x:c>
      <x:c r="T677" s="43" t="str">
        <x:v>S008, S009, S116, S117</x:v>
      </x:c>
      <x:c r="U677" s="43" t="str">
        <x:v>docs/ar-experience-design.md
docs/implementation/tours-native.md
lib/features/tours/capture/tour_capture_screen.dart
lib/features/tours/capture/capture_plan.dart</x:v>
      </x:c>
    </x:row>
    <x:row r="678" ht="56" customHeight="1">
      <x:c r="A678" s="42" t="str">
        <x:v>TOU03.011</x:v>
      </x:c>
      <x:c r="B678" s="42" t="str">
        <x:v>Captura guiada y persistencia local</x:v>
      </x:c>
      <x:c r="C678" s="42" t="str">
        <x:v>TOU03</x:v>
      </x:c>
      <x:c r="D678" s="43" t="str">
        <x:v>Guardar fotos por cuenta en dispositivo</x:v>
      </x:c>
      <x:c r="E678" s="43" t="str">
        <x:v>Separar archivos entre sesiones de usuario.</x:v>
      </x:c>
      <x:c r="F678" s="43" t="str">
        <x:v>Completado</x:v>
      </x:c>
      <x:c r="G678" s="44" t="n">
        <x:v>46296</x:v>
      </x:c>
      <x:c r="H678" s="44" t="n">
        <x:v>46302</x:v>
      </x:c>
      <x:c r="I678" s="45" t="n">
        <x:f>IF(OR(G678="",H678=""),"",SUMPRODUCT(('Cronograma'!$F$8:$P$8&lt;=H678)*('Cronograma'!$F$9:$P$9&gt;=G678)))</x:f>
        <x:v>1</x:v>
      </x:c>
      <x:c r="J678" s="46"/>
      <x:c r="K678" s="46"/>
      <x:c r="L678" s="47"/>
      <x:c r="M678" s="48" t="str"/>
      <x:c r="N678" s="48" t="str"/>
      <x:c r="O678" s="49" t="n">
        <x:v>46301</x:v>
      </x:c>
      <x:c r="P678" s="43" t="str">
        <x:v>Reporte/inspección del checkout al corte</x:v>
      </x:c>
      <x:c r="Q678" s="43" t="str">
        <x:v>TOU02, INV03</x:v>
      </x:c>
      <x:c r="R678" s="43" t="str"/>
      <x:c r="S678" s="43" t="str">
        <x:v>Implementación y pruebas de recuperación documentadas; calibración y captura óptica reales permanecen pendientes en FIS01.</x:v>
      </x:c>
      <x:c r="T678" s="43" t="str">
        <x:v>S008, S009, S116, S117</x:v>
      </x:c>
      <x:c r="U678" s="43" t="str">
        <x:v>docs/ar-experience-design.md
docs/implementation/tours-native.md
lib/features/tours/capture/tour_capture_screen.dart
lib/features/tours/capture/capture_plan.dart</x:v>
      </x:c>
    </x:row>
    <x:row r="679" ht="56" customHeight="1">
      <x:c r="A679" s="42" t="str">
        <x:v>TOU03.012</x:v>
      </x:c>
      <x:c r="B679" s="42" t="str">
        <x:v>Captura guiada y persistencia local</x:v>
      </x:c>
      <x:c r="C679" s="42" t="str">
        <x:v>TOU03</x:v>
      </x:c>
      <x:c r="D679" s="43" t="str">
        <x:v>Guardar manifiesto y orientación de tomas</x:v>
      </x:c>
      <x:c r="E679" s="43" t="str">
        <x:v>Persistir dimensiones, FOV y objetivo asociado.</x:v>
      </x:c>
      <x:c r="F679" s="43" t="str">
        <x:v>Completado</x:v>
      </x:c>
      <x:c r="G679" s="44" t="n">
        <x:v>46296</x:v>
      </x:c>
      <x:c r="H679" s="44" t="n">
        <x:v>46302</x:v>
      </x:c>
      <x:c r="I679" s="45" t="n">
        <x:f>IF(OR(G679="",H679=""),"",SUMPRODUCT(('Cronograma'!$F$8:$P$8&lt;=H679)*('Cronograma'!$F$9:$P$9&gt;=G679)))</x:f>
        <x:v>1</x:v>
      </x:c>
      <x:c r="J679" s="46"/>
      <x:c r="K679" s="46"/>
      <x:c r="L679" s="47"/>
      <x:c r="M679" s="48" t="str"/>
      <x:c r="N679" s="48" t="str"/>
      <x:c r="O679" s="49" t="n">
        <x:v>46301</x:v>
      </x:c>
      <x:c r="P679" s="43" t="str">
        <x:v>Reporte/inspección del checkout al corte</x:v>
      </x:c>
      <x:c r="Q679" s="43" t="str">
        <x:v>TOU02, INV03</x:v>
      </x:c>
      <x:c r="R679" s="43" t="str"/>
      <x:c r="S679" s="43" t="str">
        <x:v>Implementación y pruebas de recuperación documentadas; calibración y captura óptica reales permanecen pendientes en FIS01.</x:v>
      </x:c>
      <x:c r="T679" s="43" t="str">
        <x:v>S008, S009, S116, S117</x:v>
      </x:c>
      <x:c r="U679" s="43" t="str">
        <x:v>docs/ar-experience-design.md
docs/implementation/tours-native.md
lib/features/tours/capture/tour_capture_screen.dart
lib/features/tours/capture/capture_plan.dart</x:v>
      </x:c>
    </x:row>
    <x:row r="680" ht="56" customHeight="1">
      <x:c r="A680" s="42" t="str">
        <x:v>TOU03.013</x:v>
      </x:c>
      <x:c r="B680" s="42" t="str">
        <x:v>Captura guiada y persistencia local</x:v>
      </x:c>
      <x:c r="C680" s="42" t="str">
        <x:v>TOU03</x:v>
      </x:c>
      <x:c r="D680" s="43" t="str">
        <x:v>Recuperar sesión de captura interrumpida</x:v>
      </x:c>
      <x:c r="E680" s="43" t="str">
        <x:v>Mantener tomas aceptadas al regresar.</x:v>
      </x:c>
      <x:c r="F680" s="43" t="str">
        <x:v>Completado</x:v>
      </x:c>
      <x:c r="G680" s="44" t="n">
        <x:v>46296</x:v>
      </x:c>
      <x:c r="H680" s="44" t="n">
        <x:v>46302</x:v>
      </x:c>
      <x:c r="I680" s="45" t="n">
        <x:f>IF(OR(G680="",H680=""),"",SUMPRODUCT(('Cronograma'!$F$8:$P$8&lt;=H680)*('Cronograma'!$F$9:$P$9&gt;=G680)))</x:f>
        <x:v>1</x:v>
      </x:c>
      <x:c r="J680" s="46"/>
      <x:c r="K680" s="46"/>
      <x:c r="L680" s="47"/>
      <x:c r="M680" s="48" t="str"/>
      <x:c r="N680" s="48" t="str"/>
      <x:c r="O680" s="49" t="n">
        <x:v>46301</x:v>
      </x:c>
      <x:c r="P680" s="43" t="str">
        <x:v>Reporte/inspección del checkout al corte</x:v>
      </x:c>
      <x:c r="Q680" s="43" t="str">
        <x:v>TOU02, INV03</x:v>
      </x:c>
      <x:c r="R680" s="43" t="str"/>
      <x:c r="S680" s="43" t="str">
        <x:v>Implementación y pruebas de recuperación documentadas; calibración y captura óptica reales permanecen pendientes en FIS01.</x:v>
      </x:c>
      <x:c r="T680" s="43" t="str">
        <x:v>S008, S009, S116, S117</x:v>
      </x:c>
      <x:c r="U680" s="43" t="str">
        <x:v>docs/ar-experience-design.md
docs/implementation/tours-native.md
lib/features/tours/capture/tour_capture_screen.dart
lib/features/tours/capture/capture_plan.dart</x:v>
      </x:c>
    </x:row>
    <x:row r="681" ht="56" customHeight="1">
      <x:c r="A681" s="42" t="str">
        <x:v>TOU03.014</x:v>
      </x:c>
      <x:c r="B681" s="42" t="str">
        <x:v>Captura guiada y persistencia local</x:v>
      </x:c>
      <x:c r="C681" s="42" t="str">
        <x:v>TOU03</x:v>
      </x:c>
      <x:c r="D681" s="43" t="str">
        <x:v>Comprobar lente y FOV al retomar</x:v>
      </x:c>
      <x:c r="E681" s="43" t="str">
        <x:v>Rechazar recuperación incompatible con la cámara original.</x:v>
      </x:c>
      <x:c r="F681" s="43" t="str">
        <x:v>Completado</x:v>
      </x:c>
      <x:c r="G681" s="44" t="n">
        <x:v>46296</x:v>
      </x:c>
      <x:c r="H681" s="44" t="n">
        <x:v>46302</x:v>
      </x:c>
      <x:c r="I681" s="45" t="n">
        <x:f>IF(OR(G681="",H681=""),"",SUMPRODUCT(('Cronograma'!$F$8:$P$8&lt;=H681)*('Cronograma'!$F$9:$P$9&gt;=G681)))</x:f>
        <x:v>1</x:v>
      </x:c>
      <x:c r="J681" s="46"/>
      <x:c r="K681" s="46"/>
      <x:c r="L681" s="47"/>
      <x:c r="M681" s="48" t="str"/>
      <x:c r="N681" s="48" t="str"/>
      <x:c r="O681" s="49" t="n">
        <x:v>46301</x:v>
      </x:c>
      <x:c r="P681" s="43" t="str">
        <x:v>Reporte/inspección del checkout al corte</x:v>
      </x:c>
      <x:c r="Q681" s="43" t="str">
        <x:v>TOU02, INV03</x:v>
      </x:c>
      <x:c r="R681" s="43" t="str"/>
      <x:c r="S681" s="43" t="str">
        <x:v>Implementación y pruebas de recuperación documentadas; calibración y captura óptica reales permanecen pendientes en FIS01.</x:v>
      </x:c>
      <x:c r="T681" s="43" t="str">
        <x:v>S008, S009, S116, S117</x:v>
      </x:c>
      <x:c r="U681" s="43" t="str">
        <x:v>docs/ar-experience-design.md
docs/implementation/tours-native.md
lib/features/tours/capture/tour_capture_screen.dart
lib/features/tours/capture/capture_plan.dart</x:v>
      </x:c>
    </x:row>
    <x:row r="682" ht="56" customHeight="1">
      <x:c r="A682" s="42" t="str">
        <x:v>TOU03.015</x:v>
      </x:c>
      <x:c r="B682" s="42" t="str">
        <x:v>Captura guiada y persistencia local</x:v>
      </x:c>
      <x:c r="C682" s="42" t="str">
        <x:v>TOU03</x:v>
      </x:c>
      <x:c r="D682" s="43" t="str">
        <x:v>Realinear con primera foto al retomar</x:v>
      </x:c>
      <x:c r="E682" s="43" t="str">
        <x:v>Exigir volver a posición antes de reiniciar yaw.</x:v>
      </x:c>
      <x:c r="F682" s="43" t="str">
        <x:v>Completado</x:v>
      </x:c>
      <x:c r="G682" s="44" t="n">
        <x:v>46296</x:v>
      </x:c>
      <x:c r="H682" s="44" t="n">
        <x:v>46302</x:v>
      </x:c>
      <x:c r="I682" s="45" t="n">
        <x:f>IF(OR(G682="",H682=""),"",SUMPRODUCT(('Cronograma'!$F$8:$P$8&lt;=H682)*('Cronograma'!$F$9:$P$9&gt;=G682)))</x:f>
        <x:v>1</x:v>
      </x:c>
      <x:c r="J682" s="46"/>
      <x:c r="K682" s="46"/>
      <x:c r="L682" s="47"/>
      <x:c r="M682" s="48" t="str"/>
      <x:c r="N682" s="48" t="str"/>
      <x:c r="O682" s="49" t="n">
        <x:v>46301</x:v>
      </x:c>
      <x:c r="P682" s="43" t="str">
        <x:v>Reporte/inspección del checkout al corte</x:v>
      </x:c>
      <x:c r="Q682" s="43" t="str">
        <x:v>TOU02, INV03</x:v>
      </x:c>
      <x:c r="R682" s="43" t="str"/>
      <x:c r="S682" s="43" t="str">
        <x:v>Implementación y pruebas de recuperación documentadas; calibración y captura óptica reales permanecen pendientes en FIS01.</x:v>
      </x:c>
      <x:c r="T682" s="43" t="str">
        <x:v>S008, S009, S116, S117</x:v>
      </x:c>
      <x:c r="U682" s="43" t="str">
        <x:v>docs/ar-experience-design.md
docs/implementation/tours-native.md
lib/features/tours/capture/tour_capture_screen.dart
lib/features/tours/capture/capture_plan.dart</x:v>
      </x:c>
    </x:row>
    <x:row r="683" ht="56" customHeight="1">
      <x:c r="A683" s="42" t="str">
        <x:v>TOU03.016</x:v>
      </x:c>
      <x:c r="B683" s="42" t="str">
        <x:v>Captura guiada y persistencia local</x:v>
      </x:c>
      <x:c r="C683" s="42" t="str">
        <x:v>TOU03</x:v>
      </x:c>
      <x:c r="D683" s="43" t="str">
        <x:v>Ofrecer nueva captura si cambia lente</x:v>
      </x:c>
      <x:c r="E683" s="43" t="str">
        <x:v>Conservar versión publicada mientras se repite trabajo.</x:v>
      </x:c>
      <x:c r="F683" s="43" t="str">
        <x:v>Completado</x:v>
      </x:c>
      <x:c r="G683" s="44" t="n">
        <x:v>46296</x:v>
      </x:c>
      <x:c r="H683" s="44" t="n">
        <x:v>46302</x:v>
      </x:c>
      <x:c r="I683" s="45" t="n">
        <x:f>IF(OR(G683="",H683=""),"",SUMPRODUCT(('Cronograma'!$F$8:$P$8&lt;=H683)*('Cronograma'!$F$9:$P$9&gt;=G683)))</x:f>
        <x:v>1</x:v>
      </x:c>
      <x:c r="J683" s="46"/>
      <x:c r="K683" s="46"/>
      <x:c r="L683" s="47"/>
      <x:c r="M683" s="48" t="str"/>
      <x:c r="N683" s="48" t="str"/>
      <x:c r="O683" s="49" t="n">
        <x:v>46301</x:v>
      </x:c>
      <x:c r="P683" s="43" t="str">
        <x:v>Reporte/inspección del checkout al corte</x:v>
      </x:c>
      <x:c r="Q683" s="43" t="str">
        <x:v>TOU02, INV03</x:v>
      </x:c>
      <x:c r="R683" s="43" t="str"/>
      <x:c r="S683" s="43" t="str">
        <x:v>Implementación y pruebas de recuperación documentadas; calibración y captura óptica reales permanecen pendientes en FIS01.</x:v>
      </x:c>
      <x:c r="T683" s="43" t="str">
        <x:v>S008, S009, S116, S117</x:v>
      </x:c>
      <x:c r="U683" s="43" t="str">
        <x:v>docs/ar-experience-design.md
docs/implementation/tours-native.md
lib/features/tours/capture/tour_capture_screen.dart
lib/features/tours/capture/capture_plan.dart</x:v>
      </x:c>
    </x:row>
    <x:row r="684" ht="56" customHeight="1">
      <x:c r="A684" s="42" t="str">
        <x:v>TOU03.017</x:v>
      </x:c>
      <x:c r="B684" s="42" t="str">
        <x:v>Captura guiada y persistencia local</x:v>
      </x:c>
      <x:c r="C684" s="42" t="str">
        <x:v>TOU03</x:v>
      </x:c>
      <x:c r="D684" s="43" t="str">
        <x:v>Detener cámara al salir o cambiar cuenta</x:v>
      </x:c>
      <x:c r="E684" s="43" t="str">
        <x:v>Evitar recursos activos en otra sesión.</x:v>
      </x:c>
      <x:c r="F684" s="43" t="str">
        <x:v>Completado</x:v>
      </x:c>
      <x:c r="G684" s="44" t="n">
        <x:v>46296</x:v>
      </x:c>
      <x:c r="H684" s="44" t="n">
        <x:v>46302</x:v>
      </x:c>
      <x:c r="I684" s="45" t="n">
        <x:f>IF(OR(G684="",H684=""),"",SUMPRODUCT(('Cronograma'!$F$8:$P$8&lt;=H684)*('Cronograma'!$F$9:$P$9&gt;=G684)))</x:f>
        <x:v>1</x:v>
      </x:c>
      <x:c r="J684" s="46"/>
      <x:c r="K684" s="46"/>
      <x:c r="L684" s="47"/>
      <x:c r="M684" s="48" t="str"/>
      <x:c r="N684" s="48" t="str"/>
      <x:c r="O684" s="49" t="n">
        <x:v>46301</x:v>
      </x:c>
      <x:c r="P684" s="43" t="str">
        <x:v>Reporte/inspección del checkout al corte</x:v>
      </x:c>
      <x:c r="Q684" s="43" t="str">
        <x:v>TOU02, INV03</x:v>
      </x:c>
      <x:c r="R684" s="43" t="str"/>
      <x:c r="S684" s="43" t="str">
        <x:v>Implementación y pruebas de recuperación documentadas; calibración y captura óptica reales permanecen pendientes en FIS01.</x:v>
      </x:c>
      <x:c r="T684" s="43" t="str">
        <x:v>S008, S009, S116, S117</x:v>
      </x:c>
      <x:c r="U684" s="43" t="str">
        <x:v>docs/ar-experience-design.md
docs/implementation/tours-native.md
lib/features/tours/capture/tour_capture_screen.dart
lib/features/tours/capture/capture_plan.dart</x:v>
      </x:c>
    </x:row>
    <x:row r="685" ht="56" customHeight="1">
      <x:c r="A685" s="42" t="str">
        <x:v>TOU03.018</x:v>
      </x:c>
      <x:c r="B685" s="42" t="str">
        <x:v>Captura guiada y persistencia local</x:v>
      </x:c>
      <x:c r="C685" s="42" t="str">
        <x:v>TOU03</x:v>
      </x:c>
      <x:c r="D685" s="43" t="str">
        <x:v>Separar captura y vista AR</x:v>
      </x:c>
      <x:c r="E685" s="43" t="str">
        <x:v>Liberar CameraController antes del tracking.</x:v>
      </x:c>
      <x:c r="F685" s="43" t="str">
        <x:v>Completado</x:v>
      </x:c>
      <x:c r="G685" s="44" t="n">
        <x:v>46296</x:v>
      </x:c>
      <x:c r="H685" s="44" t="n">
        <x:v>46302</x:v>
      </x:c>
      <x:c r="I685" s="45" t="n">
        <x:f>IF(OR(G685="",H685=""),"",SUMPRODUCT(('Cronograma'!$F$8:$P$8&lt;=H685)*('Cronograma'!$F$9:$P$9&gt;=G685)))</x:f>
        <x:v>1</x:v>
      </x:c>
      <x:c r="J685" s="46"/>
      <x:c r="K685" s="46"/>
      <x:c r="L685" s="47"/>
      <x:c r="M685" s="48" t="str"/>
      <x:c r="N685" s="48" t="str"/>
      <x:c r="O685" s="49" t="n">
        <x:v>46301</x:v>
      </x:c>
      <x:c r="P685" s="43" t="str">
        <x:v>Reporte/inspección del checkout al corte</x:v>
      </x:c>
      <x:c r="Q685" s="43" t="str">
        <x:v>TOU02, INV03</x:v>
      </x:c>
      <x:c r="R685" s="43" t="str"/>
      <x:c r="S685" s="43" t="str">
        <x:v>Implementación y pruebas de recuperación documentadas; calibración y captura óptica reales permanecen pendientes en FIS01.</x:v>
      </x:c>
      <x:c r="T685" s="43" t="str">
        <x:v>S008, S009, S116, S117</x:v>
      </x:c>
      <x:c r="U685" s="43" t="str">
        <x:v>docs/ar-experience-design.md
docs/implementation/tours-native.md
lib/features/tours/capture/tour_capture_screen.dart
lib/features/tours/capture/capture_plan.dart</x:v>
      </x:c>
    </x:row>
    <x:row r="686" ht="56" customHeight="1">
      <x:c r="A686" s="42" t="str">
        <x:v>TOU04.001</x:v>
      </x:c>
      <x:c r="B686" s="42" t="str">
        <x:v>Orientación nativa Android e iOS</x:v>
      </x:c>
      <x:c r="C686" s="42" t="str">
        <x:v>TOU04</x:v>
      </x:c>
      <x:c r="D686" s="43" t="str">
        <x:v>Registrar canal marea/tour_motion Android</x:v>
      </x:c>
      <x:c r="E686" s="43" t="str">
        <x:v>Integrar start, stop y cameraInfo sin romper notificaciones.</x:v>
      </x:c>
      <x:c r="F686" s="43" t="str">
        <x:v>Completado</x:v>
      </x:c>
      <x:c r="G686" s="44" t="n">
        <x:v>46296</x:v>
      </x:c>
      <x:c r="H686" s="44" t="n">
        <x:v>46302</x:v>
      </x:c>
      <x:c r="I686" s="45" t="n">
        <x:f>IF(OR(G686="",H686=""),"",SUMPRODUCT(('Cronograma'!$F$8:$P$8&lt;=H686)*('Cronograma'!$F$9:$P$9&gt;=G686)))</x:f>
        <x:v>1</x:v>
      </x:c>
      <x:c r="J686" s="46"/>
      <x:c r="K686" s="46"/>
      <x:c r="L686" s="47"/>
      <x:c r="M686" s="48" t="str"/>
      <x:c r="N686" s="48" t="str"/>
      <x:c r="O686" s="49" t="n">
        <x:v>46301</x:v>
      </x:c>
      <x:c r="P686" s="43" t="str">
        <x:v>Reporte/inspección del checkout al corte</x:v>
      </x:c>
      <x:c r="Q686" s="43" t="str">
        <x:v>TOU03</x:v>
      </x:c>
      <x:c r="R686" s="43" t="str"/>
      <x:c r="S686" s="43" t="str">
        <x:v>Las pruebas nativas no acreditan sensor, óptica ni AR físico en teléfonos.</x:v>
      </x:c>
      <x:c r="T686" s="43" t="str">
        <x:v>S009, S118, S119, S120</x:v>
      </x:c>
      <x:c r="U686" s="43" t="str">
        <x:v>docs/implementation/tours-native.md
android/app/src/main/kotlin/com/marea/app/TourNative.kt
ios/Runner/TourOrientation.swift
ios/NativeTests/orientation.swift</x:v>
      </x:c>
    </x:row>
    <x:row r="687" ht="56" customHeight="1">
      <x:c r="A687" s="42" t="str">
        <x:v>TOU04.002</x:v>
      </x:c>
      <x:c r="B687" s="42" t="str">
        <x:v>Orientación nativa Android e iOS</x:v>
      </x:c>
      <x:c r="C687" s="42" t="str">
        <x:v>TOU04</x:v>
      </x:c>
      <x:c r="D687" s="43" t="str">
        <x:v>Registrar canal de orientación en iOS</x:v>
      </x:c>
      <x:c r="E687" s="43" t="str">
        <x:v>Usar motor implícito de Flutter.</x:v>
      </x:c>
      <x:c r="F687" s="43" t="str">
        <x:v>Completado</x:v>
      </x:c>
      <x:c r="G687" s="44" t="n">
        <x:v>46296</x:v>
      </x:c>
      <x:c r="H687" s="44" t="n">
        <x:v>46302</x:v>
      </x:c>
      <x:c r="I687" s="45" t="n">
        <x:f>IF(OR(G687="",H687=""),"",SUMPRODUCT(('Cronograma'!$F$8:$P$8&lt;=H687)*('Cronograma'!$F$9:$P$9&gt;=G687)))</x:f>
        <x:v>1</x:v>
      </x:c>
      <x:c r="J687" s="46"/>
      <x:c r="K687" s="46"/>
      <x:c r="L687" s="47"/>
      <x:c r="M687" s="48" t="str"/>
      <x:c r="N687" s="48" t="str"/>
      <x:c r="O687" s="49" t="n">
        <x:v>46301</x:v>
      </x:c>
      <x:c r="P687" s="43" t="str">
        <x:v>Reporte/inspección del checkout al corte</x:v>
      </x:c>
      <x:c r="Q687" s="43" t="str">
        <x:v>TOU03</x:v>
      </x:c>
      <x:c r="R687" s="43" t="str"/>
      <x:c r="S687" s="43" t="str">
        <x:v>Las pruebas nativas no acreditan sensor, óptica ni AR físico en teléfonos.</x:v>
      </x:c>
      <x:c r="T687" s="43" t="str">
        <x:v>S009, S118, S119, S120</x:v>
      </x:c>
      <x:c r="U687" s="43" t="str">
        <x:v>docs/implementation/tours-native.md
android/app/src/main/kotlin/com/marea/app/TourNative.kt
ios/Runner/TourOrientation.swift
ios/NativeTests/orientation.swift</x:v>
      </x:c>
    </x:row>
    <x:row r="688" ht="56" customHeight="1">
      <x:c r="A688" s="42" t="str">
        <x:v>TOU04.003</x:v>
      </x:c>
      <x:c r="B688" s="42" t="str">
        <x:v>Orientación nativa Android e iOS</x:v>
      </x:c>
      <x:c r="C688" s="42" t="str">
        <x:v>TOU04</x:v>
      </x:c>
      <x:c r="D688" s="43" t="str">
        <x:v>Transformar RotationVector Android</x:v>
      </x:c>
      <x:c r="E688" s="43" t="str">
        <x:v>Calcular yaw, pitch y roll desde eje óptico posterior.</x:v>
      </x:c>
      <x:c r="F688" s="43" t="str">
        <x:v>Completado</x:v>
      </x:c>
      <x:c r="G688" s="44" t="n">
        <x:v>46296</x:v>
      </x:c>
      <x:c r="H688" s="44" t="n">
        <x:v>46302</x:v>
      </x:c>
      <x:c r="I688" s="45" t="n">
        <x:f>IF(OR(G688="",H688=""),"",SUMPRODUCT(('Cronograma'!$F$8:$P$8&lt;=H688)*('Cronograma'!$F$9:$P$9&gt;=G688)))</x:f>
        <x:v>1</x:v>
      </x:c>
      <x:c r="J688" s="46"/>
      <x:c r="K688" s="46"/>
      <x:c r="L688" s="47"/>
      <x:c r="M688" s="48" t="str"/>
      <x:c r="N688" s="48" t="str"/>
      <x:c r="O688" s="49" t="n">
        <x:v>46301</x:v>
      </x:c>
      <x:c r="P688" s="43" t="str">
        <x:v>Reporte/inspección del checkout al corte</x:v>
      </x:c>
      <x:c r="Q688" s="43" t="str">
        <x:v>TOU03</x:v>
      </x:c>
      <x:c r="R688" s="43" t="str"/>
      <x:c r="S688" s="43" t="str">
        <x:v>Las pruebas nativas no acreditan sensor, óptica ni AR físico en teléfonos.</x:v>
      </x:c>
      <x:c r="T688" s="43" t="str">
        <x:v>S009, S118, S119, S120</x:v>
      </x:c>
      <x:c r="U688" s="43" t="str">
        <x:v>docs/implementation/tours-native.md
android/app/src/main/kotlin/com/marea/app/TourNative.kt
ios/Runner/TourOrientation.swift
ios/NativeTests/orientation.swift</x:v>
      </x:c>
    </x:row>
    <x:row r="689" ht="56" customHeight="1">
      <x:c r="A689" s="42" t="str">
        <x:v>TOU04.004</x:v>
      </x:c>
      <x:c r="B689" s="42" t="str">
        <x:v>Orientación nativa Android e iOS</x:v>
      </x:c>
      <x:c r="C689" s="42" t="str">
        <x:v>TOU04</x:v>
      </x:c>
      <x:c r="D689" s="43" t="str">
        <x:v>Invertir quaternion CoreMotion iOS</x:v>
      </x:c>
      <x:c r="E689" s="43" t="str">
        <x:v>Transformar referencia y dispositivo en orden correcto.</x:v>
      </x:c>
      <x:c r="F689" s="43" t="str">
        <x:v>Completado</x:v>
      </x:c>
      <x:c r="G689" s="44" t="n">
        <x:v>46296</x:v>
      </x:c>
      <x:c r="H689" s="44" t="n">
        <x:v>46302</x:v>
      </x:c>
      <x:c r="I689" s="45" t="n">
        <x:f>IF(OR(G689="",H689=""),"",SUMPRODUCT(('Cronograma'!$F$8:$P$8&lt;=H689)*('Cronograma'!$F$9:$P$9&gt;=G689)))</x:f>
        <x:v>1</x:v>
      </x:c>
      <x:c r="J689" s="46"/>
      <x:c r="K689" s="46"/>
      <x:c r="L689" s="47"/>
      <x:c r="M689" s="48" t="str"/>
      <x:c r="N689" s="48" t="str"/>
      <x:c r="O689" s="49" t="n">
        <x:v>46301</x:v>
      </x:c>
      <x:c r="P689" s="43" t="str">
        <x:v>Reporte/inspección del checkout al corte</x:v>
      </x:c>
      <x:c r="Q689" s="43" t="str">
        <x:v>TOU03</x:v>
      </x:c>
      <x:c r="R689" s="43" t="str"/>
      <x:c r="S689" s="43" t="str">
        <x:v>Las pruebas nativas no acreditan sensor, óptica ni AR físico en teléfonos.</x:v>
      </x:c>
      <x:c r="T689" s="43" t="str">
        <x:v>S009, S118, S119, S120</x:v>
      </x:c>
      <x:c r="U689" s="43" t="str">
        <x:v>docs/implementation/tours-native.md
android/app/src/main/kotlin/com/marea/app/TourNative.kt
ios/Runner/TourOrientation.swift
ios/NativeTests/orientation.swift</x:v>
      </x:c>
    </x:row>
    <x:row r="690" ht="56" customHeight="1">
      <x:c r="A690" s="42" t="str">
        <x:v>TOU04.005</x:v>
      </x:c>
      <x:c r="B690" s="42" t="str">
        <x:v>Orientación nativa Android e iOS</x:v>
      </x:c>
      <x:c r="C690" s="42" t="str">
        <x:v>TOU04</x:v>
      </x:c>
      <x:c r="D690" s="43" t="str">
        <x:v>Normalizar yaw respecto del inicio</x:v>
      </x:c>
      <x:c r="E690" s="43" t="str">
        <x:v>Conservar pitch del horizonte y los polos.</x:v>
      </x:c>
      <x:c r="F690" s="43" t="str">
        <x:v>Completado</x:v>
      </x:c>
      <x:c r="G690" s="44" t="n">
        <x:v>46296</x:v>
      </x:c>
      <x:c r="H690" s="44" t="n">
        <x:v>46302</x:v>
      </x:c>
      <x:c r="I690" s="45" t="n">
        <x:f>IF(OR(G690="",H690=""),"",SUMPRODUCT(('Cronograma'!$F$8:$P$8&lt;=H690)*('Cronograma'!$F$9:$P$9&gt;=G690)))</x:f>
        <x:v>1</x:v>
      </x:c>
      <x:c r="J690" s="46"/>
      <x:c r="K690" s="46"/>
      <x:c r="L690" s="47"/>
      <x:c r="M690" s="48" t="str"/>
      <x:c r="N690" s="48" t="str"/>
      <x:c r="O690" s="49" t="n">
        <x:v>46301</x:v>
      </x:c>
      <x:c r="P690" s="43" t="str">
        <x:v>Reporte/inspección del checkout al corte</x:v>
      </x:c>
      <x:c r="Q690" s="43" t="str">
        <x:v>TOU03</x:v>
      </x:c>
      <x:c r="R690" s="43" t="str"/>
      <x:c r="S690" s="43" t="str">
        <x:v>Las pruebas nativas no acreditan sensor, óptica ni AR físico en teléfonos.</x:v>
      </x:c>
      <x:c r="T690" s="43" t="str">
        <x:v>S009, S118, S119, S120</x:v>
      </x:c>
      <x:c r="U690" s="43" t="str">
        <x:v>docs/implementation/tours-native.md
android/app/src/main/kotlin/com/marea/app/TourNative.kt
ios/Runner/TourOrientation.swift
ios/NativeTests/orientation.swift</x:v>
      </x:c>
    </x:row>
    <x:row r="691" ht="56" customHeight="1">
      <x:c r="A691" s="42" t="str">
        <x:v>TOU04.006</x:v>
      </x:c>
      <x:c r="B691" s="42" t="str">
        <x:v>Orientación nativa Android e iOS</x:v>
      </x:c>
      <x:c r="C691" s="42" t="str">
        <x:v>TOU04</x:v>
      </x:c>
      <x:c r="D691" s="43" t="str">
        <x:v>Diferir origen azimutal en inicio polar</x:v>
      </x:c>
      <x:c r="E691" s="43" t="str">
        <x:v>Evitar yaw indefinido en cenit o nadir.</x:v>
      </x:c>
      <x:c r="F691" s="43" t="str">
        <x:v>Completado</x:v>
      </x:c>
      <x:c r="G691" s="44" t="n">
        <x:v>46296</x:v>
      </x:c>
      <x:c r="H691" s="44" t="n">
        <x:v>46302</x:v>
      </x:c>
      <x:c r="I691" s="45" t="n">
        <x:f>IF(OR(G691="",H691=""),"",SUMPRODUCT(('Cronograma'!$F$8:$P$8&lt;=H691)*('Cronograma'!$F$9:$P$9&gt;=G691)))</x:f>
        <x:v>1</x:v>
      </x:c>
      <x:c r="J691" s="46"/>
      <x:c r="K691" s="46"/>
      <x:c r="L691" s="47"/>
      <x:c r="M691" s="48" t="str"/>
      <x:c r="N691" s="48" t="str"/>
      <x:c r="O691" s="49" t="n">
        <x:v>46301</x:v>
      </x:c>
      <x:c r="P691" s="43" t="str">
        <x:v>Reporte/inspección del checkout al corte</x:v>
      </x:c>
      <x:c r="Q691" s="43" t="str">
        <x:v>TOU03</x:v>
      </x:c>
      <x:c r="R691" s="43" t="str"/>
      <x:c r="S691" s="43" t="str">
        <x:v>Las pruebas nativas no acreditan sensor, óptica ni AR físico en teléfonos.</x:v>
      </x:c>
      <x:c r="T691" s="43" t="str">
        <x:v>S009, S118, S119, S120</x:v>
      </x:c>
      <x:c r="U691" s="43" t="str">
        <x:v>docs/implementation/tours-native.md
android/app/src/main/kotlin/com/marea/app/TourNative.kt
ios/Runner/TourOrientation.swift
ios/NativeTests/orientation.swift</x:v>
      </x:c>
    </x:row>
    <x:row r="692" ht="56" customHeight="1">
      <x:c r="A692" s="42" t="str">
        <x:v>TOU04.007</x:v>
      </x:c>
      <x:c r="B692" s="42" t="str">
        <x:v>Orientación nativa Android e iOS</x:v>
      </x:c>
      <x:c r="C692" s="42" t="str">
        <x:v>TOU04</x:v>
      </x:c>
      <x:c r="D692" s="43" t="str">
        <x:v>Calcular FOV Android desde características</x:v>
      </x:c>
      <x:c r="E692" s="43" t="str">
        <x:v>Aplicar focal, área activa y crop real del JPEG.</x:v>
      </x:c>
      <x:c r="F692" s="43" t="str">
        <x:v>Completado</x:v>
      </x:c>
      <x:c r="G692" s="44" t="n">
        <x:v>46296</x:v>
      </x:c>
      <x:c r="H692" s="44" t="n">
        <x:v>46302</x:v>
      </x:c>
      <x:c r="I692" s="45" t="n">
        <x:f>IF(OR(G692="",H692=""),"",SUMPRODUCT(('Cronograma'!$F$8:$P$8&lt;=H692)*('Cronograma'!$F$9:$P$9&gt;=G692)))</x:f>
        <x:v>1</x:v>
      </x:c>
      <x:c r="J692" s="46"/>
      <x:c r="K692" s="46"/>
      <x:c r="L692" s="47"/>
      <x:c r="M692" s="48" t="str"/>
      <x:c r="N692" s="48" t="str"/>
      <x:c r="O692" s="49" t="n">
        <x:v>46301</x:v>
      </x:c>
      <x:c r="P692" s="43" t="str">
        <x:v>Reporte/inspección del checkout al corte</x:v>
      </x:c>
      <x:c r="Q692" s="43" t="str">
        <x:v>TOU03</x:v>
      </x:c>
      <x:c r="R692" s="43" t="str"/>
      <x:c r="S692" s="43" t="str">
        <x:v>Las pruebas nativas no acreditan sensor, óptica ni AR físico en teléfonos.</x:v>
      </x:c>
      <x:c r="T692" s="43" t="str">
        <x:v>S009, S118, S119, S120</x:v>
      </x:c>
      <x:c r="U692" s="43" t="str">
        <x:v>docs/implementation/tours-native.md
android/app/src/main/kotlin/com/marea/app/TourNative.kt
ios/Runner/TourOrientation.swift
ios/NativeTests/orientation.swift</x:v>
      </x:c>
    </x:row>
    <x:row r="693" ht="56" customHeight="1">
      <x:c r="A693" s="42" t="str">
        <x:v>TOU04.008</x:v>
      </x:c>
      <x:c r="B693" s="42" t="str">
        <x:v>Orientación nativa Android e iOS</x:v>
      </x:c>
      <x:c r="C693" s="42" t="str">
        <x:v>TOU04</x:v>
      </x:c>
      <x:c r="D693" s="43" t="str">
        <x:v>Rechazar cámaras Android ambiguas</x:v>
      </x:c>
      <x:c r="E693" s="43" t="str">
        <x:v>No inferir apertura de múltiples focales incompatibles.</x:v>
      </x:c>
      <x:c r="F693" s="43" t="str">
        <x:v>Completado</x:v>
      </x:c>
      <x:c r="G693" s="44" t="n">
        <x:v>46296</x:v>
      </x:c>
      <x:c r="H693" s="44" t="n">
        <x:v>46302</x:v>
      </x:c>
      <x:c r="I693" s="45" t="n">
        <x:f>IF(OR(G693="",H693=""),"",SUMPRODUCT(('Cronograma'!$F$8:$P$8&lt;=H693)*('Cronograma'!$F$9:$P$9&gt;=G693)))</x:f>
        <x:v>1</x:v>
      </x:c>
      <x:c r="J693" s="46"/>
      <x:c r="K693" s="46"/>
      <x:c r="L693" s="47"/>
      <x:c r="M693" s="48" t="str"/>
      <x:c r="N693" s="48" t="str"/>
      <x:c r="O693" s="49" t="n">
        <x:v>46301</x:v>
      </x:c>
      <x:c r="P693" s="43" t="str">
        <x:v>Reporte/inspección del checkout al corte</x:v>
      </x:c>
      <x:c r="Q693" s="43" t="str">
        <x:v>TOU03</x:v>
      </x:c>
      <x:c r="R693" s="43" t="str"/>
      <x:c r="S693" s="43" t="str">
        <x:v>Las pruebas nativas no acreditan sensor, óptica ni AR físico en teléfonos.</x:v>
      </x:c>
      <x:c r="T693" s="43" t="str">
        <x:v>S009, S118, S119, S120</x:v>
      </x:c>
      <x:c r="U693" s="43" t="str">
        <x:v>docs/implementation/tours-native.md
android/app/src/main/kotlin/com/marea/app/TourNative.kt
ios/Runner/TourOrientation.swift
ios/NativeTests/orientation.swift</x:v>
      </x:c>
    </x:row>
    <x:row r="694" ht="56" customHeight="1">
      <x:c r="A694" s="42" t="str">
        <x:v>TOU04.009</x:v>
      </x:c>
      <x:c r="B694" s="42" t="str">
        <x:v>Orientación nativa Android e iOS</x:v>
      </x:c>
      <x:c r="C694" s="42" t="str">
        <x:v>TOU04</x:v>
      </x:c>
      <x:c r="D694" s="43" t="str">
        <x:v>Calcular FOV iOS desde cámara identificada</x:v>
      </x:c>
      <x:c r="E694" s="43" t="str">
        <x:v>Usar activeFormat y proporción JPEG a zoom 1×.</x:v>
      </x:c>
      <x:c r="F694" s="43" t="str">
        <x:v>Completado</x:v>
      </x:c>
      <x:c r="G694" s="44" t="n">
        <x:v>46296</x:v>
      </x:c>
      <x:c r="H694" s="44" t="n">
        <x:v>46302</x:v>
      </x:c>
      <x:c r="I694" s="45" t="n">
        <x:f>IF(OR(G694="",H694=""),"",SUMPRODUCT(('Cronograma'!$F$8:$P$8&lt;=H694)*('Cronograma'!$F$9:$P$9&gt;=G694)))</x:f>
        <x:v>1</x:v>
      </x:c>
      <x:c r="J694" s="46"/>
      <x:c r="K694" s="46"/>
      <x:c r="L694" s="47"/>
      <x:c r="M694" s="48" t="str"/>
      <x:c r="N694" s="48" t="str"/>
      <x:c r="O694" s="49" t="n">
        <x:v>46301</x:v>
      </x:c>
      <x:c r="P694" s="43" t="str">
        <x:v>Reporte/inspección del checkout al corte</x:v>
      </x:c>
      <x:c r="Q694" s="43" t="str">
        <x:v>TOU03</x:v>
      </x:c>
      <x:c r="R694" s="43" t="str"/>
      <x:c r="S694" s="43" t="str">
        <x:v>Las pruebas nativas no acreditan sensor, óptica ni AR físico en teléfonos.</x:v>
      </x:c>
      <x:c r="T694" s="43" t="str">
        <x:v>S009, S118, S119, S120</x:v>
      </x:c>
      <x:c r="U694" s="43" t="str">
        <x:v>docs/implementation/tours-native.md
android/app/src/main/kotlin/com/marea/app/TourNative.kt
ios/Runner/TourOrientation.swift
ios/NativeTests/orientation.swift</x:v>
      </x:c>
    </x:row>
    <x:row r="695" ht="56" customHeight="1">
      <x:c r="A695" s="42" t="str">
        <x:v>TOU04.010</x:v>
      </x:c>
      <x:c r="B695" s="42" t="str">
        <x:v>Orientación nativa Android e iOS</x:v>
      </x:c>
      <x:c r="C695" s="42" t="str">
        <x:v>TOU04</x:v>
      </x:c>
      <x:c r="D695" s="43" t="str">
        <x:v>Emitir error sin datos de cámara</x:v>
      </x:c>
      <x:c r="E695" s="43" t="str">
        <x:v>Mostrar camera_info_unavailable en lugar de constante ficticia.</x:v>
      </x:c>
      <x:c r="F695" s="43" t="str">
        <x:v>Completado</x:v>
      </x:c>
      <x:c r="G695" s="44" t="n">
        <x:v>46296</x:v>
      </x:c>
      <x:c r="H695" s="44" t="n">
        <x:v>46302</x:v>
      </x:c>
      <x:c r="I695" s="45" t="n">
        <x:f>IF(OR(G695="",H695=""),"",SUMPRODUCT(('Cronograma'!$F$8:$P$8&lt;=H695)*('Cronograma'!$F$9:$P$9&gt;=G695)))</x:f>
        <x:v>1</x:v>
      </x:c>
      <x:c r="J695" s="46"/>
      <x:c r="K695" s="46"/>
      <x:c r="L695" s="47"/>
      <x:c r="M695" s="48" t="str"/>
      <x:c r="N695" s="48" t="str"/>
      <x:c r="O695" s="49" t="n">
        <x:v>46301</x:v>
      </x:c>
      <x:c r="P695" s="43" t="str">
        <x:v>Reporte/inspección del checkout al corte</x:v>
      </x:c>
      <x:c r="Q695" s="43" t="str">
        <x:v>TOU03</x:v>
      </x:c>
      <x:c r="R695" s="43" t="str"/>
      <x:c r="S695" s="43" t="str">
        <x:v>Las pruebas nativas no acreditan sensor, óptica ni AR físico en teléfonos.</x:v>
      </x:c>
      <x:c r="T695" s="43" t="str">
        <x:v>S009, S118, S119, S120</x:v>
      </x:c>
      <x:c r="U695" s="43" t="str">
        <x:v>docs/implementation/tours-native.md
android/app/src/main/kotlin/com/marea/app/TourNative.kt
ios/Runner/TourOrientation.swift
ios/NativeTests/orientation.swift</x:v>
      </x:c>
    </x:row>
    <x:row r="696" ht="56" customHeight="1">
      <x:c r="A696" s="42" t="str">
        <x:v>TOU04.011</x:v>
      </x:c>
      <x:c r="B696" s="42" t="str">
        <x:v>Orientación nativa Android e iOS</x:v>
      </x:c>
      <x:c r="C696" s="42" t="str">
        <x:v>TOU04</x:v>
      </x:c>
      <x:c r="D696" s="43" t="str">
        <x:v>Liberar sensores al pausar</x:v>
      </x:c>
      <x:c r="E696" s="43" t="str">
        <x:v>Detener canales y recursos cuando dejan de usarse.</x:v>
      </x:c>
      <x:c r="F696" s="43" t="str">
        <x:v>Completado</x:v>
      </x:c>
      <x:c r="G696" s="44" t="n">
        <x:v>46296</x:v>
      </x:c>
      <x:c r="H696" s="44" t="n">
        <x:v>46302</x:v>
      </x:c>
      <x:c r="I696" s="45" t="n">
        <x:f>IF(OR(G696="",H696=""),"",SUMPRODUCT(('Cronograma'!$F$8:$P$8&lt;=H696)*('Cronograma'!$F$9:$P$9&gt;=G696)))</x:f>
        <x:v>1</x:v>
      </x:c>
      <x:c r="J696" s="46"/>
      <x:c r="K696" s="46"/>
      <x:c r="L696" s="47"/>
      <x:c r="M696" s="48" t="str"/>
      <x:c r="N696" s="48" t="str"/>
      <x:c r="O696" s="49" t="n">
        <x:v>46301</x:v>
      </x:c>
      <x:c r="P696" s="43" t="str">
        <x:v>Reporte/inspección del checkout al corte</x:v>
      </x:c>
      <x:c r="Q696" s="43" t="str">
        <x:v>TOU03</x:v>
      </x:c>
      <x:c r="R696" s="43" t="str"/>
      <x:c r="S696" s="43" t="str">
        <x:v>Las pruebas nativas no acreditan sensor, óptica ni AR físico en teléfonos.</x:v>
      </x:c>
      <x:c r="T696" s="43" t="str">
        <x:v>S009, S118, S119, S120</x:v>
      </x:c>
      <x:c r="U696" s="43" t="str">
        <x:v>docs/implementation/tours-native.md
android/app/src/main/kotlin/com/marea/app/TourNative.kt
ios/Runner/TourOrientation.swift
ios/NativeTests/orientation.swift</x:v>
      </x:c>
    </x:row>
    <x:row r="697" ht="56" customHeight="1">
      <x:c r="A697" s="42" t="str">
        <x:v>TOU04.012</x:v>
      </x:c>
      <x:c r="B697" s="42" t="str">
        <x:v>Orientación nativa Android e iOS</x:v>
      </x:c>
      <x:c r="C697" s="42" t="str">
        <x:v>TOU04</x:v>
      </x:c>
      <x:c r="D697" s="43" t="str">
        <x:v>Verificar matemáticas y callbacks nativos</x:v>
      </x:c>
      <x:c r="E697" s="43" t="str">
        <x:v>Reporte acredita tres pruebas Android, siete matemáticas y ocho de orden Swift.</x:v>
      </x:c>
      <x:c r="F697" s="43" t="str">
        <x:v>Completado</x:v>
      </x:c>
      <x:c r="G697" s="44" t="n">
        <x:v>46296</x:v>
      </x:c>
      <x:c r="H697" s="44" t="n">
        <x:v>46302</x:v>
      </x:c>
      <x:c r="I697" s="45" t="n">
        <x:f>IF(OR(G697="",H697=""),"",SUMPRODUCT(('Cronograma'!$F$8:$P$8&lt;=H697)*('Cronograma'!$F$9:$P$9&gt;=G697)))</x:f>
        <x:v>1</x:v>
      </x:c>
      <x:c r="J697" s="46"/>
      <x:c r="K697" s="46"/>
      <x:c r="L697" s="47"/>
      <x:c r="M697" s="48" t="str"/>
      <x:c r="N697" s="48" t="str"/>
      <x:c r="O697" s="49" t="n">
        <x:v>46301</x:v>
      </x:c>
      <x:c r="P697" s="43" t="str">
        <x:v>Reporte/inspección del checkout al corte</x:v>
      </x:c>
      <x:c r="Q697" s="43" t="str">
        <x:v>TOU03</x:v>
      </x:c>
      <x:c r="R697" s="43" t="str"/>
      <x:c r="S697" s="43" t="str">
        <x:v>Las pruebas nativas no acreditan sensor, óptica ni AR físico en teléfonos.</x:v>
      </x:c>
      <x:c r="T697" s="43" t="str">
        <x:v>S009, S118, S119, S120</x:v>
      </x:c>
      <x:c r="U697" s="43" t="str">
        <x:v>docs/implementation/tours-native.md
android/app/src/main/kotlin/com/marea/app/TourNative.kt
ios/Runner/TourOrientation.swift
ios/NativeTests/orientation.swift</x:v>
      </x:c>
    </x:row>
    <x:row r="698" ht="56" customHeight="1">
      <x:c r="A698" s="42" t="str">
        <x:v>TOU05.001</x:v>
      </x:c>
      <x:c r="B698" s="42" t="str">
        <x:v>Importación GPano y carga privada reanudable</x:v>
      </x:c>
      <x:c r="C698" s="42" t="str">
        <x:v>TOU05</x:v>
      </x:c>
      <x:c r="D698" s="43" t="str">
        <x:v>Importar JPEG equirectangular GPano</x:v>
      </x:c>
      <x:c r="E698" s="43" t="str">
        <x:v>Exigir metadatos de esfera completa.</x:v>
      </x:c>
      <x:c r="F698" s="43" t="str">
        <x:v>Completado</x:v>
      </x:c>
      <x:c r="G698" s="44" t="n">
        <x:v>46296</x:v>
      </x:c>
      <x:c r="H698" s="44" t="n">
        <x:v>46302</x:v>
      </x:c>
      <x:c r="I698" s="45" t="n">
        <x:f>IF(OR(G698="",H698=""),"",SUMPRODUCT(('Cronograma'!$F$8:$P$8&lt;=H698)*('Cronograma'!$F$9:$P$9&gt;=G698)))</x:f>
        <x:v>1</x:v>
      </x:c>
      <x:c r="J698" s="46"/>
      <x:c r="K698" s="46"/>
      <x:c r="L698" s="47"/>
      <x:c r="M698" s="48" t="str"/>
      <x:c r="N698" s="48" t="str"/>
      <x:c r="O698" s="49" t="n">
        <x:v>46301</x:v>
      </x:c>
      <x:c r="P698" s="43" t="str">
        <x:v>Reporte/inspección del checkout al corte</x:v>
      </x:c>
      <x:c r="Q698" s="43" t="str">
        <x:v>TOU02, TOU03</x:v>
      </x:c>
      <x:c r="R698" s="43" t="str"/>
      <x:c r="S698" s="43" t="str"/>
      <x:c r="T698" s="43" t="str">
        <x:v>S008, S121, S122, S123</x:v>
      </x:c>
      <x:c r="U698" s="43" t="str">
        <x:v>docs/ar-experience-design.md
lib/features/tours/data/tus_uploader.dart
lib/features/tours/data/tour_local_store_io.dart
lib/features/tours/data/tour_local_store_web.dart</x:v>
      </x:c>
    </x:row>
    <x:row r="699" ht="56" customHeight="1">
      <x:c r="A699" s="42" t="str">
        <x:v>TOU05.002</x:v>
      </x:c>
      <x:c r="B699" s="42" t="str">
        <x:v>Importación GPano y carga privada reanudable</x:v>
      </x:c>
      <x:c r="C699" s="42" t="str">
        <x:v>TOU05</x:v>
      </x:c>
      <x:c r="D699" s="43" t="str">
        <x:v>Validar dimensiones y área GPano</x:v>
      </x:c>
      <x:c r="E699" s="43" t="str">
        <x:v>Rechazar relación 2:1 que no acredita proyección.</x:v>
      </x:c>
      <x:c r="F699" s="43" t="str">
        <x:v>Completado</x:v>
      </x:c>
      <x:c r="G699" s="44" t="n">
        <x:v>46296</x:v>
      </x:c>
      <x:c r="H699" s="44" t="n">
        <x:v>46302</x:v>
      </x:c>
      <x:c r="I699" s="45" t="n">
        <x:f>IF(OR(G699="",H699=""),"",SUMPRODUCT(('Cronograma'!$F$8:$P$8&lt;=H699)*('Cronograma'!$F$9:$P$9&gt;=G699)))</x:f>
        <x:v>1</x:v>
      </x:c>
      <x:c r="J699" s="46"/>
      <x:c r="K699" s="46"/>
      <x:c r="L699" s="47"/>
      <x:c r="M699" s="48" t="str"/>
      <x:c r="N699" s="48" t="str"/>
      <x:c r="O699" s="49" t="n">
        <x:v>46301</x:v>
      </x:c>
      <x:c r="P699" s="43" t="str">
        <x:v>Reporte/inspección del checkout al corte</x:v>
      </x:c>
      <x:c r="Q699" s="43" t="str">
        <x:v>TOU02, TOU03</x:v>
      </x:c>
      <x:c r="R699" s="43" t="str"/>
      <x:c r="S699" s="43" t="str"/>
      <x:c r="T699" s="43" t="str">
        <x:v>S008, S121, S122, S123</x:v>
      </x:c>
      <x:c r="U699" s="43" t="str">
        <x:v>docs/ar-experience-design.md
lib/features/tours/data/tus_uploader.dart
lib/features/tours/data/tour_local_store_io.dart
lib/features/tours/data/tour_local_store_web.dart</x:v>
      </x:c>
    </x:row>
    <x:row r="700" ht="56" customHeight="1">
      <x:c r="A700" s="42" t="str">
        <x:v>TOU05.003</x:v>
      </x:c>
      <x:c r="B700" s="42" t="str">
        <x:v>Importación GPano y carga privada reanudable</x:v>
      </x:c>
      <x:c r="C700" s="42" t="str">
        <x:v>TOU05</x:v>
      </x:c>
      <x:c r="D700" s="43" t="str">
        <x:v>Permitir administración e importación web</x:v>
      </x:c>
      <x:c r="E700" s="43" t="str">
        <x:v>No ofrecer captura guiada ni tracking Web.</x:v>
      </x:c>
      <x:c r="F700" s="43" t="str">
        <x:v>Completado</x:v>
      </x:c>
      <x:c r="G700" s="44" t="n">
        <x:v>46296</x:v>
      </x:c>
      <x:c r="H700" s="44" t="n">
        <x:v>46302</x:v>
      </x:c>
      <x:c r="I700" s="45" t="n">
        <x:f>IF(OR(G700="",H700=""),"",SUMPRODUCT(('Cronograma'!$F$8:$P$8&lt;=H700)*('Cronograma'!$F$9:$P$9&gt;=G700)))</x:f>
        <x:v>1</x:v>
      </x:c>
      <x:c r="J700" s="46"/>
      <x:c r="K700" s="46"/>
      <x:c r="L700" s="47"/>
      <x:c r="M700" s="48" t="str"/>
      <x:c r="N700" s="48" t="str"/>
      <x:c r="O700" s="49" t="n">
        <x:v>46301</x:v>
      </x:c>
      <x:c r="P700" s="43" t="str">
        <x:v>Reporte/inspección del checkout al corte</x:v>
      </x:c>
      <x:c r="Q700" s="43" t="str">
        <x:v>TOU02, TOU03</x:v>
      </x:c>
      <x:c r="R700" s="43" t="str"/>
      <x:c r="S700" s="43" t="str"/>
      <x:c r="T700" s="43" t="str">
        <x:v>S008, S121, S122, S123</x:v>
      </x:c>
      <x:c r="U700" s="43" t="str">
        <x:v>docs/ar-experience-design.md
lib/features/tours/data/tus_uploader.dart
lib/features/tours/data/tour_local_store_io.dart
lib/features/tours/data/tour_local_store_web.dart</x:v>
      </x:c>
    </x:row>
    <x:row r="701" ht="56" customHeight="1">
      <x:c r="A701" s="42" t="str">
        <x:v>TOU05.004</x:v>
      </x:c>
      <x:c r="B701" s="42" t="str">
        <x:v>Importación GPano y carga privada reanudable</x:v>
      </x:c>
      <x:c r="C701" s="42" t="str">
        <x:v>TOU05</x:v>
      </x:c>
      <x:c r="D701" s="43" t="str">
        <x:v>Explicar reselección de archivo Web</x:v>
      </x:c>
      <x:c r="E701" s="43" t="str">
        <x:v>No fingir persistencia de bytes tras cerrar pantalla.</x:v>
      </x:c>
      <x:c r="F701" s="43" t="str">
        <x:v>Completado</x:v>
      </x:c>
      <x:c r="G701" s="44" t="n">
        <x:v>46296</x:v>
      </x:c>
      <x:c r="H701" s="44" t="n">
        <x:v>46302</x:v>
      </x:c>
      <x:c r="I701" s="45" t="n">
        <x:f>IF(OR(G701="",H701=""),"",SUMPRODUCT(('Cronograma'!$F$8:$P$8&lt;=H701)*('Cronograma'!$F$9:$P$9&gt;=G701)))</x:f>
        <x:v>1</x:v>
      </x:c>
      <x:c r="J701" s="46"/>
      <x:c r="K701" s="46"/>
      <x:c r="L701" s="47"/>
      <x:c r="M701" s="48" t="str"/>
      <x:c r="N701" s="48" t="str"/>
      <x:c r="O701" s="49" t="n">
        <x:v>46301</x:v>
      </x:c>
      <x:c r="P701" s="43" t="str">
        <x:v>Reporte/inspección del checkout al corte</x:v>
      </x:c>
      <x:c r="Q701" s="43" t="str">
        <x:v>TOU02, TOU03</x:v>
      </x:c>
      <x:c r="R701" s="43" t="str"/>
      <x:c r="S701" s="43" t="str"/>
      <x:c r="T701" s="43" t="str">
        <x:v>S008, S121, S122, S123</x:v>
      </x:c>
      <x:c r="U701" s="43" t="str">
        <x:v>docs/ar-experience-design.md
lib/features/tours/data/tus_uploader.dart
lib/features/tours/data/tour_local_store_io.dart
lib/features/tours/data/tour_local_store_web.dart</x:v>
      </x:c>
    </x:row>
    <x:row r="702" ht="56" customHeight="1">
      <x:c r="A702" s="42" t="str">
        <x:v>TOU05.005</x:v>
      </x:c>
      <x:c r="B702" s="42" t="str">
        <x:v>Importación GPano y carga privada reanudable</x:v>
      </x:c>
      <x:c r="C702" s="42" t="str">
        <x:v>TOU05</x:v>
      </x:c>
      <x:c r="D702" s="43" t="str">
        <x:v>Crear carga TUS de fragmentos 6 MiB</x:v>
      </x:c>
      <x:c r="E702" s="43" t="str">
        <x:v>Subir originales a bucket privado.</x:v>
      </x:c>
      <x:c r="F702" s="43" t="str">
        <x:v>Completado</x:v>
      </x:c>
      <x:c r="G702" s="44" t="n">
        <x:v>46296</x:v>
      </x:c>
      <x:c r="H702" s="44" t="n">
        <x:v>46302</x:v>
      </x:c>
      <x:c r="I702" s="45" t="n">
        <x:f>IF(OR(G702="",H702=""),"",SUMPRODUCT(('Cronograma'!$F$8:$P$8&lt;=H702)*('Cronograma'!$F$9:$P$9&gt;=G702)))</x:f>
        <x:v>1</x:v>
      </x:c>
      <x:c r="J702" s="46"/>
      <x:c r="K702" s="46"/>
      <x:c r="L702" s="47"/>
      <x:c r="M702" s="48" t="str"/>
      <x:c r="N702" s="48" t="str"/>
      <x:c r="O702" s="49" t="n">
        <x:v>46301</x:v>
      </x:c>
      <x:c r="P702" s="43" t="str">
        <x:v>Reporte/inspección del checkout al corte</x:v>
      </x:c>
      <x:c r="Q702" s="43" t="str">
        <x:v>TOU02, TOU03</x:v>
      </x:c>
      <x:c r="R702" s="43" t="str"/>
      <x:c r="S702" s="43" t="str"/>
      <x:c r="T702" s="43" t="str">
        <x:v>S008, S121, S122, S123</x:v>
      </x:c>
      <x:c r="U702" s="43" t="str">
        <x:v>docs/ar-experience-design.md
lib/features/tours/data/tus_uploader.dart
lib/features/tours/data/tour_local_store_io.dart
lib/features/tours/data/tour_local_store_web.dart</x:v>
      </x:c>
    </x:row>
    <x:row r="703" ht="56" customHeight="1">
      <x:c r="A703" s="42" t="str">
        <x:v>TOU05.006</x:v>
      </x:c>
      <x:c r="B703" s="42" t="str">
        <x:v>Importación GPano y carga privada reanudable</x:v>
      </x:c>
      <x:c r="C703" s="42" t="str">
        <x:v>TOU05</x:v>
      </x:c>
      <x:c r="D703" s="43" t="str">
        <x:v>Guardar URL y offset de carga</x:v>
      </x:c>
      <x:c r="E703" s="43" t="str">
        <x:v>Crear checkpoint durable por sesión.</x:v>
      </x:c>
      <x:c r="F703" s="43" t="str">
        <x:v>Completado</x:v>
      </x:c>
      <x:c r="G703" s="44" t="n">
        <x:v>46296</x:v>
      </x:c>
      <x:c r="H703" s="44" t="n">
        <x:v>46302</x:v>
      </x:c>
      <x:c r="I703" s="45" t="n">
        <x:f>IF(OR(G703="",H703=""),"",SUMPRODUCT(('Cronograma'!$F$8:$P$8&lt;=H703)*('Cronograma'!$F$9:$P$9&gt;=G703)))</x:f>
        <x:v>1</x:v>
      </x:c>
      <x:c r="J703" s="46"/>
      <x:c r="K703" s="46"/>
      <x:c r="L703" s="47"/>
      <x:c r="M703" s="48" t="str"/>
      <x:c r="N703" s="48" t="str"/>
      <x:c r="O703" s="49" t="n">
        <x:v>46301</x:v>
      </x:c>
      <x:c r="P703" s="43" t="str">
        <x:v>Reporte/inspección del checkout al corte</x:v>
      </x:c>
      <x:c r="Q703" s="43" t="str">
        <x:v>TOU02, TOU03</x:v>
      </x:c>
      <x:c r="R703" s="43" t="str"/>
      <x:c r="S703" s="43" t="str"/>
      <x:c r="T703" s="43" t="str">
        <x:v>S008, S121, S122, S123</x:v>
      </x:c>
      <x:c r="U703" s="43" t="str">
        <x:v>docs/ar-experience-design.md
lib/features/tours/data/tus_uploader.dart
lib/features/tours/data/tour_local_store_io.dart
lib/features/tours/data/tour_local_store_web.dart</x:v>
      </x:c>
    </x:row>
    <x:row r="704" ht="56" customHeight="1">
      <x:c r="A704" s="42" t="str">
        <x:v>TOU05.007</x:v>
      </x:c>
      <x:c r="B704" s="42" t="str">
        <x:v>Importación GPano y carga privada reanudable</x:v>
      </x:c>
      <x:c r="C704" s="42" t="str">
        <x:v>TOU05</x:v>
      </x:c>
      <x:c r="D704" s="43" t="str">
        <x:v>Consultar HEAD al reanudar</x:v>
      </x:c>
      <x:c r="E704" s="43" t="str">
        <x:v>Recuperar offset real del servidor.</x:v>
      </x:c>
      <x:c r="F704" s="43" t="str">
        <x:v>Completado</x:v>
      </x:c>
      <x:c r="G704" s="44" t="n">
        <x:v>46296</x:v>
      </x:c>
      <x:c r="H704" s="44" t="n">
        <x:v>46302</x:v>
      </x:c>
      <x:c r="I704" s="45" t="n">
        <x:f>IF(OR(G704="",H704=""),"",SUMPRODUCT(('Cronograma'!$F$8:$P$8&lt;=H704)*('Cronograma'!$F$9:$P$9&gt;=G704)))</x:f>
        <x:v>1</x:v>
      </x:c>
      <x:c r="J704" s="46"/>
      <x:c r="K704" s="46"/>
      <x:c r="L704" s="47"/>
      <x:c r="M704" s="48" t="str"/>
      <x:c r="N704" s="48" t="str"/>
      <x:c r="O704" s="49" t="n">
        <x:v>46301</x:v>
      </x:c>
      <x:c r="P704" s="43" t="str">
        <x:v>Reporte/inspección del checkout al corte</x:v>
      </x:c>
      <x:c r="Q704" s="43" t="str">
        <x:v>TOU02, TOU03</x:v>
      </x:c>
      <x:c r="R704" s="43" t="str"/>
      <x:c r="S704" s="43" t="str"/>
      <x:c r="T704" s="43" t="str">
        <x:v>S008, S121, S122, S123</x:v>
      </x:c>
      <x:c r="U704" s="43" t="str">
        <x:v>docs/ar-experience-design.md
lib/features/tours/data/tus_uploader.dart
lib/features/tours/data/tour_local_store_io.dart
lib/features/tours/data/tour_local_store_web.dart</x:v>
      </x:c>
    </x:row>
    <x:row r="705" ht="56" customHeight="1">
      <x:c r="A705" s="42" t="str">
        <x:v>TOU05.008</x:v>
      </x:c>
      <x:c r="B705" s="42" t="str">
        <x:v>Importación GPano y carga privada reanudable</x:v>
      </x:c>
      <x:c r="C705" s="42" t="str">
        <x:v>TOU05</x:v>
      </x:c>
      <x:c r="D705" s="43" t="str">
        <x:v>Validar host del endpoint TUS</x:v>
      </x:c>
      <x:c r="E705" s="43" t="str">
        <x:v>Evitar uso de destino no autorizado.</x:v>
      </x:c>
      <x:c r="F705" s="43" t="str">
        <x:v>Completado</x:v>
      </x:c>
      <x:c r="G705" s="44" t="n">
        <x:v>46296</x:v>
      </x:c>
      <x:c r="H705" s="44" t="n">
        <x:v>46302</x:v>
      </x:c>
      <x:c r="I705" s="45" t="n">
        <x:f>IF(OR(G705="",H705=""),"",SUMPRODUCT(('Cronograma'!$F$8:$P$8&lt;=H705)*('Cronograma'!$F$9:$P$9&gt;=G705)))</x:f>
        <x:v>1</x:v>
      </x:c>
      <x:c r="J705" s="46"/>
      <x:c r="K705" s="46"/>
      <x:c r="L705" s="47"/>
      <x:c r="M705" s="48" t="str"/>
      <x:c r="N705" s="48" t="str"/>
      <x:c r="O705" s="49" t="n">
        <x:v>46301</x:v>
      </x:c>
      <x:c r="P705" s="43" t="str">
        <x:v>Reporte/inspección del checkout al corte</x:v>
      </x:c>
      <x:c r="Q705" s="43" t="str">
        <x:v>TOU02, TOU03</x:v>
      </x:c>
      <x:c r="R705" s="43" t="str"/>
      <x:c r="S705" s="43" t="str"/>
      <x:c r="T705" s="43" t="str">
        <x:v>S008, S121, S122, S123</x:v>
      </x:c>
      <x:c r="U705" s="43" t="str">
        <x:v>docs/ar-experience-design.md
lib/features/tours/data/tus_uploader.dart
lib/features/tours/data/tour_local_store_io.dart
lib/features/tours/data/tour_local_store_web.dart</x:v>
      </x:c>
    </x:row>
    <x:row r="706" ht="56" customHeight="1">
      <x:c r="A706" s="42" t="str">
        <x:v>TOU05.009</x:v>
      </x:c>
      <x:c r="B706" s="42" t="str">
        <x:v>Importación GPano y carga privada reanudable</x:v>
      </x:c>
      <x:c r="C706" s="42" t="str">
        <x:v>TOU05</x:v>
      </x:c>
      <x:c r="D706" s="43" t="str">
        <x:v>Validar cuenta activa durante carga</x:v>
      </x:c>
      <x:c r="E706" s="43" t="str">
        <x:v>No continuar escritura tras cambio de sesión.</x:v>
      </x:c>
      <x:c r="F706" s="43" t="str">
        <x:v>Completado</x:v>
      </x:c>
      <x:c r="G706" s="44" t="n">
        <x:v>46296</x:v>
      </x:c>
      <x:c r="H706" s="44" t="n">
        <x:v>46302</x:v>
      </x:c>
      <x:c r="I706" s="45" t="n">
        <x:f>IF(OR(G706="",H706=""),"",SUMPRODUCT(('Cronograma'!$F$8:$P$8&lt;=H706)*('Cronograma'!$F$9:$P$9&gt;=G706)))</x:f>
        <x:v>1</x:v>
      </x:c>
      <x:c r="J706" s="46"/>
      <x:c r="K706" s="46"/>
      <x:c r="L706" s="47"/>
      <x:c r="M706" s="48" t="str"/>
      <x:c r="N706" s="48" t="str"/>
      <x:c r="O706" s="49" t="n">
        <x:v>46301</x:v>
      </x:c>
      <x:c r="P706" s="43" t="str">
        <x:v>Reporte/inspección del checkout al corte</x:v>
      </x:c>
      <x:c r="Q706" s="43" t="str">
        <x:v>TOU02, TOU03</x:v>
      </x:c>
      <x:c r="R706" s="43" t="str"/>
      <x:c r="S706" s="43" t="str"/>
      <x:c r="T706" s="43" t="str">
        <x:v>S008, S121, S122, S123</x:v>
      </x:c>
      <x:c r="U706" s="43" t="str">
        <x:v>docs/ar-experience-design.md
lib/features/tours/data/tus_uploader.dart
lib/features/tours/data/tour_local_store_io.dart
lib/features/tours/data/tour_local_store_web.dart</x:v>
      </x:c>
    </x:row>
    <x:row r="707" ht="56" customHeight="1">
      <x:c r="A707" s="42" t="str">
        <x:v>TOU05.010</x:v>
      </x:c>
      <x:c r="B707" s="42" t="str">
        <x:v>Importación GPano y carga privada reanudable</x:v>
      </x:c>
      <x:c r="C707" s="42" t="str">
        <x:v>TOU05</x:v>
      </x:c>
      <x:c r="D707" s="43" t="str">
        <x:v>Subir todos los archivos del manifiesto</x:v>
      </x:c>
      <x:c r="E707" s="43" t="str">
        <x:v>No iniciar procesamiento de captura incompleta.</x:v>
      </x:c>
      <x:c r="F707" s="43" t="str">
        <x:v>Completado</x:v>
      </x:c>
      <x:c r="G707" s="44" t="n">
        <x:v>46296</x:v>
      </x:c>
      <x:c r="H707" s="44" t="n">
        <x:v>46302</x:v>
      </x:c>
      <x:c r="I707" s="45" t="n">
        <x:f>IF(OR(G707="",H707=""),"",SUMPRODUCT(('Cronograma'!$F$8:$P$8&lt;=H707)*('Cronograma'!$F$9:$P$9&gt;=G707)))</x:f>
        <x:v>1</x:v>
      </x:c>
      <x:c r="J707" s="46"/>
      <x:c r="K707" s="46"/>
      <x:c r="L707" s="47"/>
      <x:c r="M707" s="48" t="str"/>
      <x:c r="N707" s="48" t="str"/>
      <x:c r="O707" s="49" t="n">
        <x:v>46301</x:v>
      </x:c>
      <x:c r="P707" s="43" t="str">
        <x:v>Reporte/inspección del checkout al corte</x:v>
      </x:c>
      <x:c r="Q707" s="43" t="str">
        <x:v>TOU02, TOU03</x:v>
      </x:c>
      <x:c r="R707" s="43" t="str"/>
      <x:c r="S707" s="43" t="str"/>
      <x:c r="T707" s="43" t="str">
        <x:v>S008, S121, S122, S123</x:v>
      </x:c>
      <x:c r="U707" s="43" t="str">
        <x:v>docs/ar-experience-design.md
lib/features/tours/data/tus_uploader.dart
lib/features/tours/data/tour_local_store_io.dart
lib/features/tours/data/tour_local_store_web.dart</x:v>
      </x:c>
    </x:row>
    <x:row r="708" ht="56" customHeight="1">
      <x:c r="A708" s="42" t="str">
        <x:v>TOU05.011</x:v>
      </x:c>
      <x:c r="B708" s="42" t="str">
        <x:v>Importación GPano y carga privada reanudable</x:v>
      </x:c>
      <x:c r="C708" s="42" t="str">
        <x:v>TOU05</x:v>
      </x:c>
      <x:c r="D708" s="43" t="str">
        <x:v>Confirmar captura enviada inmutable</x:v>
      </x:c>
      <x:c r="E708" s="43" t="str">
        <x:v>Separar edición local del envío congelado.</x:v>
      </x:c>
      <x:c r="F708" s="43" t="str">
        <x:v>Completado</x:v>
      </x:c>
      <x:c r="G708" s="44" t="n">
        <x:v>46296</x:v>
      </x:c>
      <x:c r="H708" s="44" t="n">
        <x:v>46302</x:v>
      </x:c>
      <x:c r="I708" s="45" t="n">
        <x:f>IF(OR(G708="",H708=""),"",SUMPRODUCT(('Cronograma'!$F$8:$P$8&lt;=H708)*('Cronograma'!$F$9:$P$9&gt;=G708)))</x:f>
        <x:v>1</x:v>
      </x:c>
      <x:c r="J708" s="46"/>
      <x:c r="K708" s="46"/>
      <x:c r="L708" s="47"/>
      <x:c r="M708" s="48" t="str"/>
      <x:c r="N708" s="48" t="str"/>
      <x:c r="O708" s="49" t="n">
        <x:v>46301</x:v>
      </x:c>
      <x:c r="P708" s="43" t="str">
        <x:v>Reporte/inspección del checkout al corte</x:v>
      </x:c>
      <x:c r="Q708" s="43" t="str">
        <x:v>TOU02, TOU03</x:v>
      </x:c>
      <x:c r="R708" s="43" t="str"/>
      <x:c r="S708" s="43" t="str"/>
      <x:c r="T708" s="43" t="str">
        <x:v>S008, S121, S122, S123</x:v>
      </x:c>
      <x:c r="U708" s="43" t="str">
        <x:v>docs/ar-experience-design.md
lib/features/tours/data/tus_uploader.dart
lib/features/tours/data/tour_local_store_io.dart
lib/features/tours/data/tour_local_store_web.dart</x:v>
      </x:c>
    </x:row>
    <x:row r="709" ht="56" customHeight="1">
      <x:c r="A709" s="42" t="str">
        <x:v>TOU05.012</x:v>
      </x:c>
      <x:c r="B709" s="42" t="str">
        <x:v>Importación GPano y carga privada reanudable</x:v>
      </x:c>
      <x:c r="C709" s="42" t="str">
        <x:v>TOU05</x:v>
      </x:c>
      <x:c r="D709" s="43" t="str">
        <x:v>Recuperar respuesta perdida de envío</x:v>
      </x:c>
      <x:c r="E709" s="43" t="str">
        <x:v>Consultar estado persistido antes de repetir.</x:v>
      </x:c>
      <x:c r="F709" s="43" t="str">
        <x:v>Completado</x:v>
      </x:c>
      <x:c r="G709" s="44" t="n">
        <x:v>46296</x:v>
      </x:c>
      <x:c r="H709" s="44" t="n">
        <x:v>46302</x:v>
      </x:c>
      <x:c r="I709" s="45" t="n">
        <x:f>IF(OR(G709="",H709=""),"",SUMPRODUCT(('Cronograma'!$F$8:$P$8&lt;=H709)*('Cronograma'!$F$9:$P$9&gt;=G709)))</x:f>
        <x:v>1</x:v>
      </x:c>
      <x:c r="J709" s="46"/>
      <x:c r="K709" s="46"/>
      <x:c r="L709" s="47"/>
      <x:c r="M709" s="48" t="str"/>
      <x:c r="N709" s="48" t="str"/>
      <x:c r="O709" s="49" t="n">
        <x:v>46301</x:v>
      </x:c>
      <x:c r="P709" s="43" t="str">
        <x:v>Reporte/inspección del checkout al corte</x:v>
      </x:c>
      <x:c r="Q709" s="43" t="str">
        <x:v>TOU02, TOU03</x:v>
      </x:c>
      <x:c r="R709" s="43" t="str"/>
      <x:c r="S709" s="43" t="str"/>
      <x:c r="T709" s="43" t="str">
        <x:v>S008, S121, S122, S123</x:v>
      </x:c>
      <x:c r="U709" s="43" t="str">
        <x:v>docs/ar-experience-design.md
lib/features/tours/data/tus_uploader.dart
lib/features/tours/data/tour_local_store_io.dart
lib/features/tours/data/tour_local_store_web.dart</x:v>
      </x:c>
    </x:row>
    <x:row r="710" ht="56" customHeight="1">
      <x:c r="A710" s="42" t="str">
        <x:v>TOU05.013</x:v>
      </x:c>
      <x:c r="B710" s="42" t="str">
        <x:v>Importación GPano y carga privada reanudable</x:v>
      </x:c>
      <x:c r="C710" s="42" t="str">
        <x:v>TOU05</x:v>
      </x:c>
      <x:c r="D710" s="43" t="str">
        <x:v>Mantener cuenta original de archivos locales</x:v>
      </x:c>
      <x:c r="E710" s="43" t="str">
        <x:v>No trasladar fotos al cambiar sesión.</x:v>
      </x:c>
      <x:c r="F710" s="43" t="str">
        <x:v>Completado</x:v>
      </x:c>
      <x:c r="G710" s="44" t="n">
        <x:v>46296</x:v>
      </x:c>
      <x:c r="H710" s="44" t="n">
        <x:v>46302</x:v>
      </x:c>
      <x:c r="I710" s="45" t="n">
        <x:f>IF(OR(G710="",H710=""),"",SUMPRODUCT(('Cronograma'!$F$8:$P$8&lt;=H710)*('Cronograma'!$F$9:$P$9&gt;=G710)))</x:f>
        <x:v>1</x:v>
      </x:c>
      <x:c r="J710" s="46"/>
      <x:c r="K710" s="46"/>
      <x:c r="L710" s="47"/>
      <x:c r="M710" s="48" t="str"/>
      <x:c r="N710" s="48" t="str"/>
      <x:c r="O710" s="49" t="n">
        <x:v>46301</x:v>
      </x:c>
      <x:c r="P710" s="43" t="str">
        <x:v>Reporte/inspección del checkout al corte</x:v>
      </x:c>
      <x:c r="Q710" s="43" t="str">
        <x:v>TOU02, TOU03</x:v>
      </x:c>
      <x:c r="R710" s="43" t="str"/>
      <x:c r="S710" s="43" t="str"/>
      <x:c r="T710" s="43" t="str">
        <x:v>S008, S121, S122, S123</x:v>
      </x:c>
      <x:c r="U710" s="43" t="str">
        <x:v>docs/ar-experience-design.md
lib/features/tours/data/tus_uploader.dart
lib/features/tours/data/tour_local_store_io.dart
lib/features/tours/data/tour_local_store_web.dart</x:v>
      </x:c>
    </x:row>
    <x:row r="711" ht="56" customHeight="1">
      <x:c r="A711" s="42" t="str">
        <x:v>TOU05.014</x:v>
      </x:c>
      <x:c r="B711" s="42" t="str">
        <x:v>Importación GPano y carga privada reanudable</x:v>
      </x:c>
      <x:c r="C711" s="42" t="str">
        <x:v>TOU05</x:v>
      </x:c>
      <x:c r="D711" s="43" t="str">
        <x:v>Probar interrupción y hash de TUS</x:v>
      </x:c>
      <x:c r="E711" s="43" t="str">
        <x:v>Piloto acredita reanudación con bytes idénticos.</x:v>
      </x:c>
      <x:c r="F711" s="43" t="str">
        <x:v>Completado</x:v>
      </x:c>
      <x:c r="G711" s="44" t="n">
        <x:v>46296</x:v>
      </x:c>
      <x:c r="H711" s="44" t="n">
        <x:v>46302</x:v>
      </x:c>
      <x:c r="I711" s="45" t="n">
        <x:f>IF(OR(G711="",H711=""),"",SUMPRODUCT(('Cronograma'!$F$8:$P$8&lt;=H711)*('Cronograma'!$F$9:$P$9&gt;=G711)))</x:f>
        <x:v>1</x:v>
      </x:c>
      <x:c r="J711" s="46"/>
      <x:c r="K711" s="46"/>
      <x:c r="L711" s="47"/>
      <x:c r="M711" s="48" t="str"/>
      <x:c r="N711" s="48" t="str"/>
      <x:c r="O711" s="49" t="n">
        <x:v>46301</x:v>
      </x:c>
      <x:c r="P711" s="43" t="str">
        <x:v>Reporte/inspección del checkout al corte</x:v>
      </x:c>
      <x:c r="Q711" s="43" t="str">
        <x:v>TOU02, TOU03</x:v>
      </x:c>
      <x:c r="R711" s="43" t="str"/>
      <x:c r="S711" s="43" t="str"/>
      <x:c r="T711" s="43" t="str">
        <x:v>S008, S121, S122, S123</x:v>
      </x:c>
      <x:c r="U711" s="43" t="str">
        <x:v>docs/ar-experience-design.md
lib/features/tours/data/tus_uploader.dart
lib/features/tours/data/tour_local_store_io.dart
lib/features/tours/data/tour_local_store_web.dart</x:v>
      </x:c>
    </x:row>
    <x:row r="712" ht="56" customHeight="1">
      <x:c r="A712" s="42" t="str">
        <x:v>TOU06.001</x:v>
      </x:c>
      <x:c r="B712" s="42" t="str">
        <x:v>Backend de recorridos, permisos y limpieza</x:v>
      </x:c>
      <x:c r="C712" s="42" t="str">
        <x:v>TOU06</x:v>
      </x:c>
      <x:c r="D712" s="43" t="str">
        <x:v>Crear migración 015 de recorridos</x:v>
      </x:c>
      <x:c r="E712" s="43" t="str">
        <x:v>Agregar documentos, revisiones, permisos y progreso.</x:v>
      </x:c>
      <x:c r="F712" s="43" t="str">
        <x:v>Completado</x:v>
      </x:c>
      <x:c r="G712" s="44" t="n">
        <x:v>46296</x:v>
      </x:c>
      <x:c r="H712" s="44" t="n">
        <x:v>46302</x:v>
      </x:c>
      <x:c r="I712" s="45" t="n">
        <x:f>IF(OR(G712="",H712=""),"",SUMPRODUCT(('Cronograma'!$F$8:$P$8&lt;=H712)*('Cronograma'!$F$9:$P$9&gt;=G712)))</x:f>
        <x:v>1</x:v>
      </x:c>
      <x:c r="J712" s="46"/>
      <x:c r="K712" s="46"/>
      <x:c r="L712" s="47"/>
      <x:c r="M712" s="48" t="str"/>
      <x:c r="N712" s="48" t="str"/>
      <x:c r="O712" s="49" t="n">
        <x:v>46301</x:v>
      </x:c>
      <x:c r="P712" s="43" t="str">
        <x:v>Reporte/inspección del checkout al corte</x:v>
      </x:c>
      <x:c r="Q712" s="43" t="str">
        <x:v>TOU02, TOU05</x:v>
      </x:c>
      <x:c r="R712" s="43" t="str"/>
      <x:c r="S712" s="43" t="str"/>
      <x:c r="T712" s="43" t="str">
        <x:v>S124, S125, S126, S127</x:v>
      </x:c>
      <x:c r="U712" s="43" t="str">
        <x:v>supabase/migrations/015_tours.sql
supabase/functions/delete-account/tour-storage.ts
supabase/tours/repair-cleanup-lease.sql
docs/implementation/tours-local-pilot-report.md</x:v>
      </x:c>
    </x:row>
    <x:row r="713" ht="56" customHeight="1">
      <x:c r="A713" s="42" t="str">
        <x:v>TOU06.002</x:v>
      </x:c>
      <x:c r="B713" s="42" t="str">
        <x:v>Backend de recorridos, permisos y limpieza</x:v>
      </x:c>
      <x:c r="C713" s="42" t="str">
        <x:v>TOU06</x:v>
      </x:c>
      <x:c r="D713" s="43" t="str">
        <x:v>Crear buckets tour-inputs y tour-assets</x:v>
      </x:c>
      <x:c r="E713" s="43" t="str">
        <x:v>Mantener originales, evidencias y borradores privados.</x:v>
      </x:c>
      <x:c r="F713" s="43" t="str">
        <x:v>Completado</x:v>
      </x:c>
      <x:c r="G713" s="44" t="n">
        <x:v>46296</x:v>
      </x:c>
      <x:c r="H713" s="44" t="n">
        <x:v>46302</x:v>
      </x:c>
      <x:c r="I713" s="45" t="n">
        <x:f>IF(OR(G713="",H713=""),"",SUMPRODUCT(('Cronograma'!$F$8:$P$8&lt;=H713)*('Cronograma'!$F$9:$P$9&gt;=G713)))</x:f>
        <x:v>1</x:v>
      </x:c>
      <x:c r="J713" s="46"/>
      <x:c r="K713" s="46"/>
      <x:c r="L713" s="47"/>
      <x:c r="M713" s="48" t="str"/>
      <x:c r="N713" s="48" t="str"/>
      <x:c r="O713" s="49" t="n">
        <x:v>46301</x:v>
      </x:c>
      <x:c r="P713" s="43" t="str">
        <x:v>Reporte/inspección del checkout al corte</x:v>
      </x:c>
      <x:c r="Q713" s="43" t="str">
        <x:v>TOU02, TOU05</x:v>
      </x:c>
      <x:c r="R713" s="43" t="str"/>
      <x:c r="S713" s="43" t="str"/>
      <x:c r="T713" s="43" t="str">
        <x:v>S124, S125, S126, S127</x:v>
      </x:c>
      <x:c r="U713" s="43" t="str">
        <x:v>supabase/migrations/015_tours.sql
supabase/functions/delete-account/tour-storage.ts
supabase/tours/repair-cleanup-lease.sql
docs/implementation/tours-local-pilot-report.md</x:v>
      </x:c>
    </x:row>
    <x:row r="714" ht="56" customHeight="1">
      <x:c r="A714" s="42" t="str">
        <x:v>TOU06.003</x:v>
      </x:c>
      <x:c r="B714" s="42" t="str">
        <x:v>Backend de recorridos, permisos y limpieza</x:v>
      </x:c>
      <x:c r="C714" s="42" t="str">
        <x:v>TOU06</x:v>
      </x:c>
      <x:c r="D714" s="43" t="str">
        <x:v>Crear cola privada de procesamiento</x:v>
      </x:c>
      <x:c r="E714" s="43" t="str">
        <x:v>Separar trabajos de datos expuestos al visitante.</x:v>
      </x:c>
      <x:c r="F714" s="43" t="str">
        <x:v>Completado</x:v>
      </x:c>
      <x:c r="G714" s="44" t="n">
        <x:v>46296</x:v>
      </x:c>
      <x:c r="H714" s="44" t="n">
        <x:v>46302</x:v>
      </x:c>
      <x:c r="I714" s="45" t="n">
        <x:f>IF(OR(G714="",H714=""),"",SUMPRODUCT(('Cronograma'!$F$8:$P$8&lt;=H714)*('Cronograma'!$F$9:$P$9&gt;=G714)))</x:f>
        <x:v>1</x:v>
      </x:c>
      <x:c r="J714" s="46"/>
      <x:c r="K714" s="46"/>
      <x:c r="L714" s="47"/>
      <x:c r="M714" s="48" t="str"/>
      <x:c r="N714" s="48" t="str"/>
      <x:c r="O714" s="49" t="n">
        <x:v>46301</x:v>
      </x:c>
      <x:c r="P714" s="43" t="str">
        <x:v>Reporte/inspección del checkout al corte</x:v>
      </x:c>
      <x:c r="Q714" s="43" t="str">
        <x:v>TOU02, TOU05</x:v>
      </x:c>
      <x:c r="R714" s="43" t="str"/>
      <x:c r="S714" s="43" t="str"/>
      <x:c r="T714" s="43" t="str">
        <x:v>S124, S125, S126, S127</x:v>
      </x:c>
      <x:c r="U714" s="43" t="str">
        <x:v>supabase/migrations/015_tours.sql
supabase/functions/delete-account/tour-storage.ts
supabase/tours/repair-cleanup-lease.sql
docs/implementation/tours-local-pilot-report.md</x:v>
      </x:c>
    </x:row>
    <x:row r="715" ht="56" customHeight="1">
      <x:c r="A715" s="42" t="str">
        <x:v>TOU06.004</x:v>
      </x:c>
      <x:c r="B715" s="42" t="str">
        <x:v>Backend de recorridos, permisos y limpieza</x:v>
      </x:c>
      <x:c r="C715" s="42" t="str">
        <x:v>TOU06</x:v>
      </x:c>
      <x:c r="D715" s="43" t="str">
        <x:v>Crear leases transaccionales de ejecución</x:v>
      </x:c>
      <x:c r="E715" s="43" t="str">
        <x:v>Limitar reclamación concurrente de trabajos.</x:v>
      </x:c>
      <x:c r="F715" s="43" t="str">
        <x:v>Completado</x:v>
      </x:c>
      <x:c r="G715" s="44" t="n">
        <x:v>46296</x:v>
      </x:c>
      <x:c r="H715" s="44" t="n">
        <x:v>46302</x:v>
      </x:c>
      <x:c r="I715" s="45" t="n">
        <x:f>IF(OR(G715="",H715=""),"",SUMPRODUCT(('Cronograma'!$F$8:$P$8&lt;=H715)*('Cronograma'!$F$9:$P$9&gt;=G715)))</x:f>
        <x:v>1</x:v>
      </x:c>
      <x:c r="J715" s="46"/>
      <x:c r="K715" s="46"/>
      <x:c r="L715" s="47"/>
      <x:c r="M715" s="48" t="str"/>
      <x:c r="N715" s="48" t="str"/>
      <x:c r="O715" s="49" t="n">
        <x:v>46301</x:v>
      </x:c>
      <x:c r="P715" s="43" t="str">
        <x:v>Reporte/inspección del checkout al corte</x:v>
      </x:c>
      <x:c r="Q715" s="43" t="str">
        <x:v>TOU02, TOU05</x:v>
      </x:c>
      <x:c r="R715" s="43" t="str"/>
      <x:c r="S715" s="43" t="str"/>
      <x:c r="T715" s="43" t="str">
        <x:v>S124, S125, S126, S127</x:v>
      </x:c>
      <x:c r="U715" s="43" t="str">
        <x:v>supabase/migrations/015_tours.sql
supabase/functions/delete-account/tour-storage.ts
supabase/tours/repair-cleanup-lease.sql
docs/implementation/tours-local-pilot-report.md</x:v>
      </x:c>
    </x:row>
    <x:row r="716" ht="56" customHeight="1">
      <x:c r="A716" s="42" t="str">
        <x:v>TOU06.005</x:v>
      </x:c>
      <x:c r="B716" s="42" t="str">
        <x:v>Backend de recorridos, permisos y limpieza</x:v>
      </x:c>
      <x:c r="C716" s="42" t="str">
        <x:v>TOU06</x:v>
      </x:c>
      <x:c r="D716" s="43" t="str">
        <x:v>Imponer dos trabajos activos globales</x:v>
      </x:c>
      <x:c r="E716" s="43" t="str">
        <x:v>Controlar cupo desde PostgreSQL.</x:v>
      </x:c>
      <x:c r="F716" s="43" t="str">
        <x:v>Completado</x:v>
      </x:c>
      <x:c r="G716" s="44" t="n">
        <x:v>46296</x:v>
      </x:c>
      <x:c r="H716" s="44" t="n">
        <x:v>46302</x:v>
      </x:c>
      <x:c r="I716" s="45" t="n">
        <x:f>IF(OR(G716="",H716=""),"",SUMPRODUCT(('Cronograma'!$F$8:$P$8&lt;=H716)*('Cronograma'!$F$9:$P$9&gt;=G716)))</x:f>
        <x:v>1</x:v>
      </x:c>
      <x:c r="J716" s="46"/>
      <x:c r="K716" s="46"/>
      <x:c r="L716" s="47"/>
      <x:c r="M716" s="48" t="str"/>
      <x:c r="N716" s="48" t="str"/>
      <x:c r="O716" s="49" t="n">
        <x:v>46301</x:v>
      </x:c>
      <x:c r="P716" s="43" t="str">
        <x:v>Reporte/inspección del checkout al corte</x:v>
      </x:c>
      <x:c r="Q716" s="43" t="str">
        <x:v>TOU02, TOU05</x:v>
      </x:c>
      <x:c r="R716" s="43" t="str"/>
      <x:c r="S716" s="43" t="str"/>
      <x:c r="T716" s="43" t="str">
        <x:v>S124, S125, S126, S127</x:v>
      </x:c>
      <x:c r="U716" s="43" t="str">
        <x:v>supabase/migrations/015_tours.sql
supabase/functions/delete-account/tour-storage.ts
supabase/tours/repair-cleanup-lease.sql
docs/implementation/tours-local-pilot-report.md</x:v>
      </x:c>
    </x:row>
    <x:row r="717" ht="56" customHeight="1">
      <x:c r="A717" s="42" t="str">
        <x:v>TOU06.006</x:v>
      </x:c>
      <x:c r="B717" s="42" t="str">
        <x:v>Backend de recorridos, permisos y limpieza</x:v>
      </x:c>
      <x:c r="C717" s="42" t="str">
        <x:v>TOU06</x:v>
      </x:c>
      <x:c r="D717" s="43" t="str">
        <x:v>Proteger escritura de resultados</x:v>
      </x:c>
      <x:c r="E717" s="43" t="str">
        <x:v>Reservar confirmaciones al backend autorizado.</x:v>
      </x:c>
      <x:c r="F717" s="43" t="str">
        <x:v>Completado</x:v>
      </x:c>
      <x:c r="G717" s="44" t="n">
        <x:v>46296</x:v>
      </x:c>
      <x:c r="H717" s="44" t="n">
        <x:v>46302</x:v>
      </x:c>
      <x:c r="I717" s="45" t="n">
        <x:f>IF(OR(G717="",H717=""),"",SUMPRODUCT(('Cronograma'!$F$8:$P$8&lt;=H717)*('Cronograma'!$F$9:$P$9&gt;=G717)))</x:f>
        <x:v>1</x:v>
      </x:c>
      <x:c r="J717" s="46"/>
      <x:c r="K717" s="46"/>
      <x:c r="L717" s="47"/>
      <x:c r="M717" s="48" t="str"/>
      <x:c r="N717" s="48" t="str"/>
      <x:c r="O717" s="49" t="n">
        <x:v>46301</x:v>
      </x:c>
      <x:c r="P717" s="43" t="str">
        <x:v>Reporte/inspección del checkout al corte</x:v>
      </x:c>
      <x:c r="Q717" s="43" t="str">
        <x:v>TOU02, TOU05</x:v>
      </x:c>
      <x:c r="R717" s="43" t="str"/>
      <x:c r="S717" s="43" t="str"/>
      <x:c r="T717" s="43" t="str">
        <x:v>S124, S125, S126, S127</x:v>
      </x:c>
      <x:c r="U717" s="43" t="str">
        <x:v>supabase/migrations/015_tours.sql
supabase/functions/delete-account/tour-storage.ts
supabase/tours/repair-cleanup-lease.sql
docs/implementation/tours-local-pilot-report.md</x:v>
      </x:c>
    </x:row>
    <x:row r="718" ht="56" customHeight="1">
      <x:c r="A718" s="42" t="str">
        <x:v>TOU06.007</x:v>
      </x:c>
      <x:c r="B718" s="42" t="str">
        <x:v>Backend de recorridos, permisos y limpieza</x:v>
      </x:c>
      <x:c r="C718" s="42" t="str">
        <x:v>TOU06</x:v>
      </x:c>
      <x:c r="D718" s="43" t="str">
        <x:v>Crear recibo durable del lease</x:v>
      </x:c>
      <x:c r="E718" s="43" t="str">
        <x:v>Resolver respuesta perdida tras completar trabajo.</x:v>
      </x:c>
      <x:c r="F718" s="43" t="str">
        <x:v>Completado</x:v>
      </x:c>
      <x:c r="G718" s="44" t="n">
        <x:v>46296</x:v>
      </x:c>
      <x:c r="H718" s="44" t="n">
        <x:v>46302</x:v>
      </x:c>
      <x:c r="I718" s="45" t="n">
        <x:f>IF(OR(G718="",H718=""),"",SUMPRODUCT(('Cronograma'!$F$8:$P$8&lt;=H718)*('Cronograma'!$F$9:$P$9&gt;=G718)))</x:f>
        <x:v>1</x:v>
      </x:c>
      <x:c r="J718" s="46"/>
      <x:c r="K718" s="46"/>
      <x:c r="L718" s="47"/>
      <x:c r="M718" s="48" t="str"/>
      <x:c r="N718" s="48" t="str"/>
      <x:c r="O718" s="49" t="n">
        <x:v>46301</x:v>
      </x:c>
      <x:c r="P718" s="43" t="str">
        <x:v>Reporte/inspección del checkout al corte</x:v>
      </x:c>
      <x:c r="Q718" s="43" t="str">
        <x:v>TOU02, TOU05</x:v>
      </x:c>
      <x:c r="R718" s="43" t="str"/>
      <x:c r="S718" s="43" t="str"/>
      <x:c r="T718" s="43" t="str">
        <x:v>S124, S125, S126, S127</x:v>
      </x:c>
      <x:c r="U718" s="43" t="str">
        <x:v>supabase/migrations/015_tours.sql
supabase/functions/delete-account/tour-storage.ts
supabase/tours/repair-cleanup-lease.sql
docs/implementation/tours-local-pilot-report.md</x:v>
      </x:c>
    </x:row>
    <x:row r="719" ht="56" customHeight="1">
      <x:c r="A719" s="42" t="str">
        <x:v>TOU06.008</x:v>
      </x:c>
      <x:c r="B719" s="42" t="str">
        <x:v>Backend de recorridos, permisos y limpieza</x:v>
      </x:c>
      <x:c r="C719" s="42" t="str">
        <x:v>TOU06</x:v>
      </x:c>
      <x:c r="D719" s="43" t="str">
        <x:v>Rechazar ejecución antigua o duplicada</x:v>
      </x:c>
      <x:c r="E719" s="43" t="str">
        <x:v>No sustituir una recaptura posterior.</x:v>
      </x:c>
      <x:c r="F719" s="43" t="str">
        <x:v>Completado</x:v>
      </x:c>
      <x:c r="G719" s="44" t="n">
        <x:v>46296</x:v>
      </x:c>
      <x:c r="H719" s="44" t="n">
        <x:v>46302</x:v>
      </x:c>
      <x:c r="I719" s="45" t="n">
        <x:f>IF(OR(G719="",H719=""),"",SUMPRODUCT(('Cronograma'!$F$8:$P$8&lt;=H719)*('Cronograma'!$F$9:$P$9&gt;=G719)))</x:f>
        <x:v>1</x:v>
      </x:c>
      <x:c r="J719" s="46"/>
      <x:c r="K719" s="46"/>
      <x:c r="L719" s="47"/>
      <x:c r="M719" s="48" t="str"/>
      <x:c r="N719" s="48" t="str"/>
      <x:c r="O719" s="49" t="n">
        <x:v>46301</x:v>
      </x:c>
      <x:c r="P719" s="43" t="str">
        <x:v>Reporte/inspección del checkout al corte</x:v>
      </x:c>
      <x:c r="Q719" s="43" t="str">
        <x:v>TOU02, TOU05</x:v>
      </x:c>
      <x:c r="R719" s="43" t="str"/>
      <x:c r="S719" s="43" t="str"/>
      <x:c r="T719" s="43" t="str">
        <x:v>S124, S125, S126, S127</x:v>
      </x:c>
      <x:c r="U719" s="43" t="str">
        <x:v>supabase/migrations/015_tours.sql
supabase/functions/delete-account/tour-storage.ts
supabase/tours/repair-cleanup-lease.sql
docs/implementation/tours-local-pilot-report.md</x:v>
      </x:c>
    </x:row>
    <x:row r="720" ht="56" customHeight="1">
      <x:c r="A720" s="42" t="str">
        <x:v>TOU06.009</x:v>
      </x:c>
      <x:c r="B720" s="42" t="str">
        <x:v>Backend de recorridos, permisos y limpieza</x:v>
      </x:c>
      <x:c r="C720" s="42" t="str">
        <x:v>TOU06</x:v>
      </x:c>
      <x:c r="D720" s="43" t="str">
        <x:v>Cancelar trabajo sin sobrescribir resultado</x:v>
      </x:c>
      <x:c r="E720" s="43" t="str">
        <x:v>Aplicar estado y guardas de ejecución.</x:v>
      </x:c>
      <x:c r="F720" s="43" t="str">
        <x:v>Completado</x:v>
      </x:c>
      <x:c r="G720" s="44" t="n">
        <x:v>46296</x:v>
      </x:c>
      <x:c r="H720" s="44" t="n">
        <x:v>46302</x:v>
      </x:c>
      <x:c r="I720" s="45" t="n">
        <x:f>IF(OR(G720="",H720=""),"",SUMPRODUCT(('Cronograma'!$F$8:$P$8&lt;=H720)*('Cronograma'!$F$9:$P$9&gt;=G720)))</x:f>
        <x:v>1</x:v>
      </x:c>
      <x:c r="J720" s="46"/>
      <x:c r="K720" s="46"/>
      <x:c r="L720" s="47"/>
      <x:c r="M720" s="48" t="str"/>
      <x:c r="N720" s="48" t="str"/>
      <x:c r="O720" s="49" t="n">
        <x:v>46301</x:v>
      </x:c>
      <x:c r="P720" s="43" t="str">
        <x:v>Reporte/inspección del checkout al corte</x:v>
      </x:c>
      <x:c r="Q720" s="43" t="str">
        <x:v>TOU02, TOU05</x:v>
      </x:c>
      <x:c r="R720" s="43" t="str"/>
      <x:c r="S720" s="43" t="str"/>
      <x:c r="T720" s="43" t="str">
        <x:v>S124, S125, S126, S127</x:v>
      </x:c>
      <x:c r="U720" s="43" t="str">
        <x:v>supabase/migrations/015_tours.sql
supabase/functions/delete-account/tour-storage.ts
supabase/tours/repair-cleanup-lease.sql
docs/implementation/tours-local-pilot-report.md</x:v>
      </x:c>
    </x:row>
    <x:row r="721" ht="56" customHeight="1">
      <x:c r="A721" s="42" t="str">
        <x:v>TOU06.010</x:v>
      </x:c>
      <x:c r="B721" s="42" t="str">
        <x:v>Backend de recorridos, permisos y limpieza</x:v>
      </x:c>
      <x:c r="C721" s="42" t="str">
        <x:v>TOU06</x:v>
      </x:c>
      <x:c r="D721" s="43" t="str">
        <x:v>Crear acreditación administrativa del espacio</x:v>
      </x:c>
      <x:c r="E721" s="43" t="str">
        <x:v>Autorizar responsabilidad mediante revisión.</x:v>
      </x:c>
      <x:c r="F721" s="43" t="str">
        <x:v>Completado</x:v>
      </x:c>
      <x:c r="G721" s="44" t="n">
        <x:v>46296</x:v>
      </x:c>
      <x:c r="H721" s="44" t="n">
        <x:v>46302</x:v>
      </x:c>
      <x:c r="I721" s="45" t="n">
        <x:f>IF(OR(G721="",H721=""),"",SUMPRODUCT(('Cronograma'!$F$8:$P$8&lt;=H721)*('Cronograma'!$F$9:$P$9&gt;=G721)))</x:f>
        <x:v>1</x:v>
      </x:c>
      <x:c r="J721" s="46"/>
      <x:c r="K721" s="46"/>
      <x:c r="L721" s="47"/>
      <x:c r="M721" s="48" t="str"/>
      <x:c r="N721" s="48" t="str"/>
      <x:c r="O721" s="49" t="n">
        <x:v>46301</x:v>
      </x:c>
      <x:c r="P721" s="43" t="str">
        <x:v>Reporte/inspección del checkout al corte</x:v>
      </x:c>
      <x:c r="Q721" s="43" t="str">
        <x:v>TOU02, TOU05</x:v>
      </x:c>
      <x:c r="R721" s="43" t="str"/>
      <x:c r="S721" s="43" t="str"/>
      <x:c r="T721" s="43" t="str">
        <x:v>S124, S125, S126, S127</x:v>
      </x:c>
      <x:c r="U721" s="43" t="str">
        <x:v>supabase/migrations/015_tours.sql
supabase/functions/delete-account/tour-storage.ts
supabase/tours/repair-cleanup-lease.sql
docs/implementation/tours-local-pilot-report.md</x:v>
      </x:c>
    </x:row>
    <x:row r="722" ht="56" customHeight="1">
      <x:c r="A722" s="42" t="str">
        <x:v>TOU06.011</x:v>
      </x:c>
      <x:c r="B722" s="42" t="str">
        <x:v>Backend de recorridos, permisos y limpieza</x:v>
      </x:c>
      <x:c r="C722" s="42" t="str">
        <x:v>TOU06</x:v>
      </x:c>
      <x:c r="D722" s="43" t="str">
        <x:v>Separar revisión espacial y permiso de autor</x:v>
      </x:c>
      <x:c r="E722" s="43" t="str">
        <x:v>No conceder derechos por un vínculo de contenido.</x:v>
      </x:c>
      <x:c r="F722" s="43" t="str">
        <x:v>Completado</x:v>
      </x:c>
      <x:c r="G722" s="44" t="n">
        <x:v>46296</x:v>
      </x:c>
      <x:c r="H722" s="44" t="n">
        <x:v>46302</x:v>
      </x:c>
      <x:c r="I722" s="45" t="n">
        <x:f>IF(OR(G722="",H722=""),"",SUMPRODUCT(('Cronograma'!$F$8:$P$8&lt;=H722)*('Cronograma'!$F$9:$P$9&gt;=G722)))</x:f>
        <x:v>1</x:v>
      </x:c>
      <x:c r="J722" s="46"/>
      <x:c r="K722" s="46"/>
      <x:c r="L722" s="47"/>
      <x:c r="M722" s="48" t="str"/>
      <x:c r="N722" s="48" t="str"/>
      <x:c r="O722" s="49" t="n">
        <x:v>46301</x:v>
      </x:c>
      <x:c r="P722" s="43" t="str">
        <x:v>Reporte/inspección del checkout al corte</x:v>
      </x:c>
      <x:c r="Q722" s="43" t="str">
        <x:v>TOU02, TOU05</x:v>
      </x:c>
      <x:c r="R722" s="43" t="str"/>
      <x:c r="S722" s="43" t="str"/>
      <x:c r="T722" s="43" t="str">
        <x:v>S124, S125, S126, S127</x:v>
      </x:c>
      <x:c r="U722" s="43" t="str">
        <x:v>supabase/migrations/015_tours.sql
supabase/functions/delete-account/tour-storage.ts
supabase/tours/repair-cleanup-lease.sql
docs/implementation/tours-local-pilot-report.md</x:v>
      </x:c>
    </x:row>
    <x:row r="723" ht="56" customHeight="1">
      <x:c r="A723" s="42" t="str">
        <x:v>TOU06.012</x:v>
      </x:c>
      <x:c r="B723" s="42" t="str">
        <x:v>Backend de recorridos, permisos y limpieza</x:v>
      </x:c>
      <x:c r="C723" s="42" t="str">
        <x:v>TOU06</x:v>
      </x:c>
      <x:c r="D723" s="43" t="str">
        <x:v>Excluir evidencia de local al revisor de vínculo</x:v>
      </x:c>
      <x:c r="E723" s="43" t="str">
        <x:v>Mantener privada documentación espacial.</x:v>
      </x:c>
      <x:c r="F723" s="43" t="str">
        <x:v>Completado</x:v>
      </x:c>
      <x:c r="G723" s="44" t="n">
        <x:v>46296</x:v>
      </x:c>
      <x:c r="H723" s="44" t="n">
        <x:v>46302</x:v>
      </x:c>
      <x:c r="I723" s="45" t="n">
        <x:f>IF(OR(G723="",H723=""),"",SUMPRODUCT(('Cronograma'!$F$8:$P$8&lt;=H723)*('Cronograma'!$F$9:$P$9&gt;=G723)))</x:f>
        <x:v>1</x:v>
      </x:c>
      <x:c r="J723" s="46"/>
      <x:c r="K723" s="46"/>
      <x:c r="L723" s="47"/>
      <x:c r="M723" s="48" t="str"/>
      <x:c r="N723" s="48" t="str"/>
      <x:c r="O723" s="49" t="n">
        <x:v>46301</x:v>
      </x:c>
      <x:c r="P723" s="43" t="str">
        <x:v>Reporte/inspección del checkout al corte</x:v>
      </x:c>
      <x:c r="Q723" s="43" t="str">
        <x:v>TOU02, TOU05</x:v>
      </x:c>
      <x:c r="R723" s="43" t="str"/>
      <x:c r="S723" s="43" t="str"/>
      <x:c r="T723" s="43" t="str">
        <x:v>S124, S125, S126, S127</x:v>
      </x:c>
      <x:c r="U723" s="43" t="str">
        <x:v>supabase/migrations/015_tours.sql
supabase/functions/delete-account/tour-storage.ts
supabase/tours/repair-cleanup-lease.sql
docs/implementation/tours-local-pilot-report.md</x:v>
      </x:c>
    </x:row>
    <x:row r="724" ht="56" customHeight="1">
      <x:c r="A724" s="42" t="str">
        <x:v>TOU06.013</x:v>
      </x:c>
      <x:c r="B724" s="42" t="str">
        <x:v>Backend de recorridos, permisos y limpieza</x:v>
      </x:c>
      <x:c r="C724" s="42" t="str">
        <x:v>TOU06</x:v>
      </x:c>
      <x:c r="D724" s="43" t="str">
        <x:v>Publicar versión activa atómicamente</x:v>
      </x:c>
      <x:c r="E724" s="43" t="str">
        <x:v>Conservar borrador más nuevo y snapshot aprobado.</x:v>
      </x:c>
      <x:c r="F724" s="43" t="str">
        <x:v>Completado</x:v>
      </x:c>
      <x:c r="G724" s="44" t="n">
        <x:v>46296</x:v>
      </x:c>
      <x:c r="H724" s="44" t="n">
        <x:v>46302</x:v>
      </x:c>
      <x:c r="I724" s="45" t="n">
        <x:f>IF(OR(G724="",H724=""),"",SUMPRODUCT(('Cronograma'!$F$8:$P$8&lt;=H724)*('Cronograma'!$F$9:$P$9&gt;=G724)))</x:f>
        <x:v>1</x:v>
      </x:c>
      <x:c r="J724" s="46"/>
      <x:c r="K724" s="46"/>
      <x:c r="L724" s="47"/>
      <x:c r="M724" s="48" t="str"/>
      <x:c r="N724" s="48" t="str"/>
      <x:c r="O724" s="49" t="n">
        <x:v>46301</x:v>
      </x:c>
      <x:c r="P724" s="43" t="str">
        <x:v>Reporte/inspección del checkout al corte</x:v>
      </x:c>
      <x:c r="Q724" s="43" t="str">
        <x:v>TOU02, TOU05</x:v>
      </x:c>
      <x:c r="R724" s="43" t="str"/>
      <x:c r="S724" s="43" t="str"/>
      <x:c r="T724" s="43" t="str">
        <x:v>S124, S125, S126, S127</x:v>
      </x:c>
      <x:c r="U724" s="43" t="str">
        <x:v>supabase/migrations/015_tours.sql
supabase/functions/delete-account/tour-storage.ts
supabase/tours/repair-cleanup-lease.sql
docs/implementation/tours-local-pilot-report.md</x:v>
      </x:c>
    </x:row>
    <x:row r="725" ht="56" customHeight="1">
      <x:c r="A725" s="42" t="str">
        <x:v>TOU06.014</x:v>
      </x:c>
      <x:c r="B725" s="42" t="str">
        <x:v>Backend de recorridos, permisos y limpieza</x:v>
      </x:c>
      <x:c r="C725" s="42" t="str">
        <x:v>TOU06</x:v>
      </x:c>
      <x:c r="D725" s="43" t="str">
        <x:v>Filtrar recursos públicos por vigencia</x:v>
      </x:c>
      <x:c r="E725" s="43" t="str">
        <x:v>Servir únicamente versión disponible al visitante.</x:v>
      </x:c>
      <x:c r="F725" s="43" t="str">
        <x:v>Completado</x:v>
      </x:c>
      <x:c r="G725" s="44" t="n">
        <x:v>46296</x:v>
      </x:c>
      <x:c r="H725" s="44" t="n">
        <x:v>46302</x:v>
      </x:c>
      <x:c r="I725" s="45" t="n">
        <x:f>IF(OR(G725="",H725=""),"",SUMPRODUCT(('Cronograma'!$F$8:$P$8&lt;=H725)*('Cronograma'!$F$9:$P$9&gt;=G725)))</x:f>
        <x:v>1</x:v>
      </x:c>
      <x:c r="J725" s="46"/>
      <x:c r="K725" s="46"/>
      <x:c r="L725" s="47"/>
      <x:c r="M725" s="48" t="str"/>
      <x:c r="N725" s="48" t="str"/>
      <x:c r="O725" s="49" t="n">
        <x:v>46301</x:v>
      </x:c>
      <x:c r="P725" s="43" t="str">
        <x:v>Reporte/inspección del checkout al corte</x:v>
      </x:c>
      <x:c r="Q725" s="43" t="str">
        <x:v>TOU02, TOU05</x:v>
      </x:c>
      <x:c r="R725" s="43" t="str"/>
      <x:c r="S725" s="43" t="str"/>
      <x:c r="T725" s="43" t="str">
        <x:v>S124, S125, S126, S127</x:v>
      </x:c>
      <x:c r="U725" s="43" t="str">
        <x:v>supabase/migrations/015_tours.sql
supabase/functions/delete-account/tour-storage.ts
supabase/tours/repair-cleanup-lease.sql
docs/implementation/tours-local-pilot-report.md</x:v>
      </x:c>
    </x:row>
    <x:row r="726" ht="56" customHeight="1">
      <x:c r="A726" s="42" t="str">
        <x:v>TOU06.015</x:v>
      </x:c>
      <x:c r="B726" s="42" t="str">
        <x:v>Backend de recorridos, permisos y limpieza</x:v>
      </x:c>
      <x:c r="C726" s="42" t="str">
        <x:v>TOU06</x:v>
      </x:c>
      <x:c r="D726" s="43" t="str">
        <x:v>Revalidar contenido ajeno al leer</x:v>
      </x:c>
      <x:c r="E726" s="43" t="str">
        <x:v>Omitir vínculos retirados o sin permiso.</x:v>
      </x:c>
      <x:c r="F726" s="43" t="str">
        <x:v>Completado</x:v>
      </x:c>
      <x:c r="G726" s="44" t="n">
        <x:v>46296</x:v>
      </x:c>
      <x:c r="H726" s="44" t="n">
        <x:v>46302</x:v>
      </x:c>
      <x:c r="I726" s="45" t="n">
        <x:f>IF(OR(G726="",H726=""),"",SUMPRODUCT(('Cronograma'!$F$8:$P$8&lt;=H726)*('Cronograma'!$F$9:$P$9&gt;=G726)))</x:f>
        <x:v>1</x:v>
      </x:c>
      <x:c r="J726" s="46"/>
      <x:c r="K726" s="46"/>
      <x:c r="L726" s="47"/>
      <x:c r="M726" s="48" t="str"/>
      <x:c r="N726" s="48" t="str"/>
      <x:c r="O726" s="49" t="n">
        <x:v>46301</x:v>
      </x:c>
      <x:c r="P726" s="43" t="str">
        <x:v>Reporte/inspección del checkout al corte</x:v>
      </x:c>
      <x:c r="Q726" s="43" t="str">
        <x:v>TOU02, TOU05</x:v>
      </x:c>
      <x:c r="R726" s="43" t="str"/>
      <x:c r="S726" s="43" t="str"/>
      <x:c r="T726" s="43" t="str">
        <x:v>S124, S125, S126, S127</x:v>
      </x:c>
      <x:c r="U726" s="43" t="str">
        <x:v>supabase/migrations/015_tours.sql
supabase/functions/delete-account/tour-storage.ts
supabase/tours/repair-cleanup-lease.sql
docs/implementation/tours-local-pilot-report.md</x:v>
      </x:c>
    </x:row>
    <x:row r="727" ht="56" customHeight="1">
      <x:c r="A727" s="42" t="str">
        <x:v>TOU06.016</x:v>
      </x:c>
      <x:c r="B727" s="42" t="str">
        <x:v>Backend de recorridos, permisos y limpieza</x:v>
      </x:c>
      <x:c r="C727" s="42" t="str">
        <x:v>TOU06</x:v>
      </x:c>
      <x:c r="D727" s="43" t="str">
        <x:v>Revocar responsabilidad espacial</x:v>
      </x:c>
      <x:c r="E727" s="43" t="str">
        <x:v>Impedir reanudar sin otro permiso válido.</x:v>
      </x:c>
      <x:c r="F727" s="43" t="str">
        <x:v>Completado</x:v>
      </x:c>
      <x:c r="G727" s="44" t="n">
        <x:v>46296</x:v>
      </x:c>
      <x:c r="H727" s="44" t="n">
        <x:v>46302</x:v>
      </x:c>
      <x:c r="I727" s="45" t="n">
        <x:f>IF(OR(G727="",H727=""),"",SUMPRODUCT(('Cronograma'!$F$8:$P$8&lt;=H727)*('Cronograma'!$F$9:$P$9&gt;=G727)))</x:f>
        <x:v>1</x:v>
      </x:c>
      <x:c r="J727" s="46"/>
      <x:c r="K727" s="46"/>
      <x:c r="L727" s="47"/>
      <x:c r="M727" s="48" t="str"/>
      <x:c r="N727" s="48" t="str"/>
      <x:c r="O727" s="49" t="n">
        <x:v>46301</x:v>
      </x:c>
      <x:c r="P727" s="43" t="str">
        <x:v>Reporte/inspección del checkout al corte</x:v>
      </x:c>
      <x:c r="Q727" s="43" t="str">
        <x:v>TOU02, TOU05</x:v>
      </x:c>
      <x:c r="R727" s="43" t="str"/>
      <x:c r="S727" s="43" t="str"/>
      <x:c r="T727" s="43" t="str">
        <x:v>S124, S125, S126, S127</x:v>
      </x:c>
      <x:c r="U727" s="43" t="str">
        <x:v>supabase/migrations/015_tours.sql
supabase/functions/delete-account/tour-storage.ts
supabase/tours/repair-cleanup-lease.sql
docs/implementation/tours-local-pilot-report.md</x:v>
      </x:c>
    </x:row>
    <x:row r="728" ht="56" customHeight="1">
      <x:c r="A728" s="42" t="str">
        <x:v>TOU06.017</x:v>
      </x:c>
      <x:c r="B728" s="42" t="str">
        <x:v>Backend de recorridos, permisos y limpieza</x:v>
      </x:c>
      <x:c r="C728" s="42" t="str">
        <x:v>TOU06</x:v>
      </x:c>
      <x:c r="D728" s="43" t="str">
        <x:v>Cancelar trabajos al eliminar cuenta</x:v>
      </x:c>
      <x:c r="E728" s="43" t="str">
        <x:v>Bloquear nuevas escrituras antes de limpiar.</x:v>
      </x:c>
      <x:c r="F728" s="43" t="str">
        <x:v>Completado</x:v>
      </x:c>
      <x:c r="G728" s="44" t="n">
        <x:v>46296</x:v>
      </x:c>
      <x:c r="H728" s="44" t="n">
        <x:v>46302</x:v>
      </x:c>
      <x:c r="I728" s="45" t="n">
        <x:f>IF(OR(G728="",H728=""),"",SUMPRODUCT(('Cronograma'!$F$8:$P$8&lt;=H728)*('Cronograma'!$F$9:$P$9&gt;=G728)))</x:f>
        <x:v>1</x:v>
      </x:c>
      <x:c r="J728" s="46"/>
      <x:c r="K728" s="46"/>
      <x:c r="L728" s="47"/>
      <x:c r="M728" s="48" t="str"/>
      <x:c r="N728" s="48" t="str"/>
      <x:c r="O728" s="49" t="n">
        <x:v>46301</x:v>
      </x:c>
      <x:c r="P728" s="43" t="str">
        <x:v>Reporte/inspección del checkout al corte</x:v>
      </x:c>
      <x:c r="Q728" s="43" t="str">
        <x:v>TOU02, TOU05</x:v>
      </x:c>
      <x:c r="R728" s="43" t="str"/>
      <x:c r="S728" s="43" t="str"/>
      <x:c r="T728" s="43" t="str">
        <x:v>S124, S125, S126, S127</x:v>
      </x:c>
      <x:c r="U728" s="43" t="str">
        <x:v>supabase/migrations/015_tours.sql
supabase/functions/delete-account/tour-storage.ts
supabase/tours/repair-cleanup-lease.sql
docs/implementation/tours-local-pilot-report.md</x:v>
      </x:c>
    </x:row>
    <x:row r="729" ht="56" customHeight="1">
      <x:c r="A729" s="42" t="str">
        <x:v>TOU06.018</x:v>
      </x:c>
      <x:c r="B729" s="42" t="str">
        <x:v>Backend de recorridos, permisos y limpieza</x:v>
      </x:c>
      <x:c r="C729" s="42" t="str">
        <x:v>TOU06</x:v>
      </x:c>
      <x:c r="D729" s="43" t="str">
        <x:v>Eliminar recursos anidados de tours</x:v>
      </x:c>
      <x:c r="E729" s="43" t="str">
        <x:v>Limpiar ambos buckets recursivamente.</x:v>
      </x:c>
      <x:c r="F729" s="43" t="str">
        <x:v>Completado</x:v>
      </x:c>
      <x:c r="G729" s="44" t="n">
        <x:v>46296</x:v>
      </x:c>
      <x:c r="H729" s="44" t="n">
        <x:v>46302</x:v>
      </x:c>
      <x:c r="I729" s="45" t="n">
        <x:f>IF(OR(G729="",H729=""),"",SUMPRODUCT(('Cronograma'!$F$8:$P$8&lt;=H729)*('Cronograma'!$F$9:$P$9&gt;=G729)))</x:f>
        <x:v>1</x:v>
      </x:c>
      <x:c r="J729" s="46"/>
      <x:c r="K729" s="46"/>
      <x:c r="L729" s="47"/>
      <x:c r="M729" s="48" t="str"/>
      <x:c r="N729" s="48" t="str"/>
      <x:c r="O729" s="49" t="n">
        <x:v>46301</x:v>
      </x:c>
      <x:c r="P729" s="43" t="str">
        <x:v>Reporte/inspección del checkout al corte</x:v>
      </x:c>
      <x:c r="Q729" s="43" t="str">
        <x:v>TOU02, TOU05</x:v>
      </x:c>
      <x:c r="R729" s="43" t="str"/>
      <x:c r="S729" s="43" t="str"/>
      <x:c r="T729" s="43" t="str">
        <x:v>S124, S125, S126, S127</x:v>
      </x:c>
      <x:c r="U729" s="43" t="str">
        <x:v>supabase/migrations/015_tours.sql
supabase/functions/delete-account/tour-storage.ts
supabase/tours/repair-cleanup-lease.sql
docs/implementation/tours-local-pilot-report.md</x:v>
      </x:c>
    </x:row>
    <x:row r="730" ht="56" customHeight="1">
      <x:c r="A730" s="42" t="str">
        <x:v>TOU06.019</x:v>
      </x:c>
      <x:c r="B730" s="42" t="str">
        <x:v>Backend de recorridos, permisos y limpieza</x:v>
      </x:c>
      <x:c r="C730" s="42" t="str">
        <x:v>TOU06</x:v>
      </x:c>
      <x:c r="D730" s="43" t="str">
        <x:v>Renovar lease de limpieza</x:v>
      </x:c>
      <x:c r="E730" s="43" t="str">
        <x:v>Evitar que GC borre recursos con token vencido.</x:v>
      </x:c>
      <x:c r="F730" s="43" t="str">
        <x:v>Completado</x:v>
      </x:c>
      <x:c r="G730" s="44" t="n">
        <x:v>46296</x:v>
      </x:c>
      <x:c r="H730" s="44" t="n">
        <x:v>46302</x:v>
      </x:c>
      <x:c r="I730" s="45" t="n">
        <x:f>IF(OR(G730="",H730=""),"",SUMPRODUCT(('Cronograma'!$F$8:$P$8&lt;=H730)*('Cronograma'!$F$9:$P$9&gt;=G730)))</x:f>
        <x:v>1</x:v>
      </x:c>
      <x:c r="J730" s="46"/>
      <x:c r="K730" s="46"/>
      <x:c r="L730" s="47"/>
      <x:c r="M730" s="48" t="str"/>
      <x:c r="N730" s="48" t="str"/>
      <x:c r="O730" s="49" t="n">
        <x:v>46301</x:v>
      </x:c>
      <x:c r="P730" s="43" t="str">
        <x:v>Reporte/inspección del checkout al corte</x:v>
      </x:c>
      <x:c r="Q730" s="43" t="str">
        <x:v>TOU02, TOU05</x:v>
      </x:c>
      <x:c r="R730" s="43" t="str"/>
      <x:c r="S730" s="43" t="str"/>
      <x:c r="T730" s="43" t="str">
        <x:v>S124, S125, S126, S127</x:v>
      </x:c>
      <x:c r="U730" s="43" t="str">
        <x:v>supabase/migrations/015_tours.sql
supabase/functions/delete-account/tour-storage.ts
supabase/tours/repair-cleanup-lease.sql
docs/implementation/tours-local-pilot-report.md</x:v>
      </x:c>
    </x:row>
    <x:row r="731" ht="56" customHeight="1">
      <x:c r="A731" s="42" t="str">
        <x:v>TOU06.020</x:v>
      </x:c>
      <x:c r="B731" s="42" t="str">
        <x:v>Backend de recorridos, permisos y limpieza</x:v>
      </x:c>
      <x:c r="C731" s="42" t="str">
        <x:v>TOU06</x:v>
      </x:c>
      <x:c r="D731" s="43" t="str">
        <x:v>Desplegar correctivo de cleanup lease</x:v>
      </x:c>
      <x:c r="E731" s="43" t="str">
        <x:v>Piloto acredita repair-cleanup-lease aplicado y comprobado.</x:v>
      </x:c>
      <x:c r="F731" s="43" t="str">
        <x:v>Completado</x:v>
      </x:c>
      <x:c r="G731" s="44" t="n">
        <x:v>46296</x:v>
      </x:c>
      <x:c r="H731" s="44" t="n">
        <x:v>46302</x:v>
      </x:c>
      <x:c r="I731" s="45" t="n">
        <x:f>IF(OR(G731="",H731=""),"",SUMPRODUCT(('Cronograma'!$F$8:$P$8&lt;=H731)*('Cronograma'!$F$9:$P$9&gt;=G731)))</x:f>
        <x:v>1</x:v>
      </x:c>
      <x:c r="J731" s="46"/>
      <x:c r="K731" s="46"/>
      <x:c r="L731" s="47"/>
      <x:c r="M731" s="48" t="str"/>
      <x:c r="N731" s="48" t="str"/>
      <x:c r="O731" s="49" t="n">
        <x:v>46301</x:v>
      </x:c>
      <x:c r="P731" s="43" t="str">
        <x:v>Reporte/inspección del checkout al corte</x:v>
      </x:c>
      <x:c r="Q731" s="43" t="str">
        <x:v>TOU02, TOU05</x:v>
      </x:c>
      <x:c r="R731" s="43" t="str"/>
      <x:c r="S731" s="43" t="str"/>
      <x:c r="T731" s="43" t="str">
        <x:v>S124, S125, S126, S127</x:v>
      </x:c>
      <x:c r="U731" s="43" t="str">
        <x:v>supabase/migrations/015_tours.sql
supabase/functions/delete-account/tour-storage.ts
supabase/tours/repair-cleanup-lease.sql
docs/implementation/tours-local-pilot-report.md</x:v>
      </x:c>
    </x:row>
    <x:row r="732" ht="56" customHeight="1">
      <x:c r="A732" s="42" t="str">
        <x:v>TOU07.001</x:v>
      </x:c>
      <x:c r="B732" s="42" t="str">
        <x:v>Procesador Hugin y Enblend</x:v>
      </x:c>
      <x:c r="C732" s="42" t="str">
        <x:v>TOU07</x:v>
      </x:c>
      <x:c r="D732" s="43" t="str">
        <x:v>Crear contenedor de procesamiento</x:v>
      </x:c>
      <x:c r="E732" s="43" t="str">
        <x:v>Empaquetar herramientas Hugin/Enblend y worker Python.</x:v>
      </x:c>
      <x:c r="F732" s="43" t="str">
        <x:v>Completado</x:v>
      </x:c>
      <x:c r="G732" s="44" t="n">
        <x:v>46296</x:v>
      </x:c>
      <x:c r="H732" s="44" t="n">
        <x:v>46302</x:v>
      </x:c>
      <x:c r="I732" s="45" t="n">
        <x:f>IF(OR(G732="",H732=""),"",SUMPRODUCT(('Cronograma'!$F$8:$P$8&lt;=H732)*('Cronograma'!$F$9:$P$9&gt;=G732)))</x:f>
        <x:v>1</x:v>
      </x:c>
      <x:c r="J732" s="46"/>
      <x:c r="K732" s="46"/>
      <x:c r="L732" s="47"/>
      <x:c r="M732" s="48" t="str"/>
      <x:c r="N732" s="48" t="str"/>
      <x:c r="O732" s="49" t="n">
        <x:v>46301</x:v>
      </x:c>
      <x:c r="P732" s="43" t="str">
        <x:v>Reporte/inspección del checkout al corte</x:v>
      </x:c>
      <x:c r="Q732" s="43" t="str">
        <x:v>TOU05, TOU06</x:v>
      </x:c>
      <x:c r="R732" s="43" t="str"/>
      <x:c r="S732" s="43" t="str"/>
      <x:c r="T732" s="43" t="str">
        <x:v>S010, S128, S129, S127</x:v>
      </x:c>
      <x:c r="U732" s="43" t="str">
        <x:v>processing/tours/README.md
processing/tours/worker.py
processing/tours/Dockerfile
docs/implementation/tours-local-pilot-report.md</x:v>
      </x:c>
    </x:row>
    <x:row r="733" ht="56" customHeight="1">
      <x:c r="A733" s="42" t="str">
        <x:v>TOU07.002</x:v>
      </x:c>
      <x:c r="B733" s="42" t="str">
        <x:v>Procesador Hugin y Enblend</x:v>
      </x:c>
      <x:c r="C733" s="42" t="str">
        <x:v>TOU07</x:v>
      </x:c>
      <x:c r="D733" s="43" t="str">
        <x:v>Descargar originales de captura autorizada</x:v>
      </x:c>
      <x:c r="E733" s="43" t="str">
        <x:v>Usar manifiesto y recursos privados del backend.</x:v>
      </x:c>
      <x:c r="F733" s="43" t="str">
        <x:v>Completado</x:v>
      </x:c>
      <x:c r="G733" s="44" t="n">
        <x:v>46296</x:v>
      </x:c>
      <x:c r="H733" s="44" t="n">
        <x:v>46302</x:v>
      </x:c>
      <x:c r="I733" s="45" t="n">
        <x:f>IF(OR(G733="",H733=""),"",SUMPRODUCT(('Cronograma'!$F$8:$P$8&lt;=H733)*('Cronograma'!$F$9:$P$9&gt;=G733)))</x:f>
        <x:v>1</x:v>
      </x:c>
      <x:c r="J733" s="46"/>
      <x:c r="K733" s="46"/>
      <x:c r="L733" s="47"/>
      <x:c r="M733" s="48" t="str"/>
      <x:c r="N733" s="48" t="str"/>
      <x:c r="O733" s="49" t="n">
        <x:v>46301</x:v>
      </x:c>
      <x:c r="P733" s="43" t="str">
        <x:v>Reporte/inspección del checkout al corte</x:v>
      </x:c>
      <x:c r="Q733" s="43" t="str">
        <x:v>TOU05, TOU06</x:v>
      </x:c>
      <x:c r="R733" s="43" t="str"/>
      <x:c r="S733" s="43" t="str"/>
      <x:c r="T733" s="43" t="str">
        <x:v>S010, S128, S129, S127</x:v>
      </x:c>
      <x:c r="U733" s="43" t="str">
        <x:v>processing/tours/README.md
processing/tours/worker.py
processing/tours/Dockerfile
docs/implementation/tours-local-pilot-report.md</x:v>
      </x:c>
    </x:row>
    <x:row r="734" ht="56" customHeight="1">
      <x:c r="A734" s="42" t="str">
        <x:v>TOU07.003</x:v>
      </x:c>
      <x:c r="B734" s="42" t="str">
        <x:v>Procesador Hugin y Enblend</x:v>
      </x:c>
      <x:c r="C734" s="42" t="str">
        <x:v>TOU07</x:v>
      </x:c>
      <x:c r="D734" s="43" t="str">
        <x:v>Generar archivo PTO</x:v>
      </x:c>
      <x:c r="E734" s="43" t="str">
        <x:v>Representar fotografías y orientación para cosido.</x:v>
      </x:c>
      <x:c r="F734" s="43" t="str">
        <x:v>Completado</x:v>
      </x:c>
      <x:c r="G734" s="44" t="n">
        <x:v>46296</x:v>
      </x:c>
      <x:c r="H734" s="44" t="n">
        <x:v>46302</x:v>
      </x:c>
      <x:c r="I734" s="45" t="n">
        <x:f>IF(OR(G734="",H734=""),"",SUMPRODUCT(('Cronograma'!$F$8:$P$8&lt;=H734)*('Cronograma'!$F$9:$P$9&gt;=G734)))</x:f>
        <x:v>1</x:v>
      </x:c>
      <x:c r="J734" s="46"/>
      <x:c r="K734" s="46"/>
      <x:c r="L734" s="47"/>
      <x:c r="M734" s="48" t="str"/>
      <x:c r="N734" s="48" t="str"/>
      <x:c r="O734" s="49" t="n">
        <x:v>46301</x:v>
      </x:c>
      <x:c r="P734" s="43" t="str">
        <x:v>Reporte/inspección del checkout al corte</x:v>
      </x:c>
      <x:c r="Q734" s="43" t="str">
        <x:v>TOU05, TOU06</x:v>
      </x:c>
      <x:c r="R734" s="43" t="str"/>
      <x:c r="S734" s="43" t="str"/>
      <x:c r="T734" s="43" t="str">
        <x:v>S010, S128, S129, S127</x:v>
      </x:c>
      <x:c r="U734" s="43" t="str">
        <x:v>processing/tours/README.md
processing/tours/worker.py
processing/tours/Dockerfile
docs/implementation/tours-local-pilot-report.md</x:v>
      </x:c>
    </x:row>
    <x:row r="735" ht="56" customHeight="1">
      <x:c r="A735" s="42" t="str">
        <x:v>TOU07.004</x:v>
      </x:c>
      <x:c r="B735" s="42" t="str">
        <x:v>Procesador Hugin y Enblend</x:v>
      </x:c>
      <x:c r="C735" s="42" t="str">
        <x:v>TOU07</x:v>
      </x:c>
      <x:c r="D735" s="43" t="str">
        <x:v>Detectar puntos con cpfind</x:v>
      </x:c>
      <x:c r="E735" s="43" t="str">
        <x:v>Encontrar coincidencias reales entre fotografías.</x:v>
      </x:c>
      <x:c r="F735" s="43" t="str">
        <x:v>Completado</x:v>
      </x:c>
      <x:c r="G735" s="44" t="n">
        <x:v>46296</x:v>
      </x:c>
      <x:c r="H735" s="44" t="n">
        <x:v>46302</x:v>
      </x:c>
      <x:c r="I735" s="45" t="n">
        <x:f>IF(OR(G735="",H735=""),"",SUMPRODUCT(('Cronograma'!$F$8:$P$8&lt;=H735)*('Cronograma'!$F$9:$P$9&gt;=G735)))</x:f>
        <x:v>1</x:v>
      </x:c>
      <x:c r="J735" s="46"/>
      <x:c r="K735" s="46"/>
      <x:c r="L735" s="47"/>
      <x:c r="M735" s="48" t="str"/>
      <x:c r="N735" s="48" t="str"/>
      <x:c r="O735" s="49" t="n">
        <x:v>46301</x:v>
      </x:c>
      <x:c r="P735" s="43" t="str">
        <x:v>Reporte/inspección del checkout al corte</x:v>
      </x:c>
      <x:c r="Q735" s="43" t="str">
        <x:v>TOU05, TOU06</x:v>
      </x:c>
      <x:c r="R735" s="43" t="str"/>
      <x:c r="S735" s="43" t="str"/>
      <x:c r="T735" s="43" t="str">
        <x:v>S010, S128, S129, S127</x:v>
      </x:c>
      <x:c r="U735" s="43" t="str">
        <x:v>processing/tours/README.md
processing/tours/worker.py
processing/tours/Dockerfile
docs/implementation/tours-local-pilot-report.md</x:v>
      </x:c>
    </x:row>
    <x:row r="736" ht="56" customHeight="1">
      <x:c r="A736" s="42" t="str">
        <x:v>TOU07.005</x:v>
      </x:c>
      <x:c r="B736" s="42" t="str">
        <x:v>Procesador Hugin y Enblend</x:v>
      </x:c>
      <x:c r="C736" s="42" t="str">
        <x:v>TOU07</x:v>
      </x:c>
      <x:c r="D736" s="43" t="str">
        <x:v>Limpiar coincidencias con cpclean</x:v>
      </x:c>
      <x:c r="E736" s="43" t="str">
        <x:v>Eliminar puntos inconsistentes antes de optimizar.</x:v>
      </x:c>
      <x:c r="F736" s="43" t="str">
        <x:v>Completado</x:v>
      </x:c>
      <x:c r="G736" s="44" t="n">
        <x:v>46296</x:v>
      </x:c>
      <x:c r="H736" s="44" t="n">
        <x:v>46302</x:v>
      </x:c>
      <x:c r="I736" s="45" t="n">
        <x:f>IF(OR(G736="",H736=""),"",SUMPRODUCT(('Cronograma'!$F$8:$P$8&lt;=H736)*('Cronograma'!$F$9:$P$9&gt;=G736)))</x:f>
        <x:v>1</x:v>
      </x:c>
      <x:c r="J736" s="46"/>
      <x:c r="K736" s="46"/>
      <x:c r="L736" s="47"/>
      <x:c r="M736" s="48" t="str"/>
      <x:c r="N736" s="48" t="str"/>
      <x:c r="O736" s="49" t="n">
        <x:v>46301</x:v>
      </x:c>
      <x:c r="P736" s="43" t="str">
        <x:v>Reporte/inspección del checkout al corte</x:v>
      </x:c>
      <x:c r="Q736" s="43" t="str">
        <x:v>TOU05, TOU06</x:v>
      </x:c>
      <x:c r="R736" s="43" t="str"/>
      <x:c r="S736" s="43" t="str"/>
      <x:c r="T736" s="43" t="str">
        <x:v>S010, S128, S129, S127</x:v>
      </x:c>
      <x:c r="U736" s="43" t="str">
        <x:v>processing/tours/README.md
processing/tours/worker.py
processing/tours/Dockerfile
docs/implementation/tours-local-pilot-report.md</x:v>
      </x:c>
    </x:row>
    <x:row r="737" ht="56" customHeight="1">
      <x:c r="A737" s="42" t="str">
        <x:v>TOU07.006</x:v>
      </x:c>
      <x:c r="B737" s="42" t="str">
        <x:v>Procesador Hugin y Enblend</x:v>
      </x:c>
      <x:c r="C737" s="42" t="str">
        <x:v>TOU07</x:v>
      </x:c>
      <x:c r="D737" s="43" t="str">
        <x:v>Comprobar grafo conectado</x:v>
      </x:c>
      <x:c r="E737" s="43" t="str">
        <x:v>Rechazar conjunto sin relaciones suficientes.</x:v>
      </x:c>
      <x:c r="F737" s="43" t="str">
        <x:v>Completado</x:v>
      </x:c>
      <x:c r="G737" s="44" t="n">
        <x:v>46296</x:v>
      </x:c>
      <x:c r="H737" s="44" t="n">
        <x:v>46302</x:v>
      </x:c>
      <x:c r="I737" s="45" t="n">
        <x:f>IF(OR(G737="",H737=""),"",SUMPRODUCT(('Cronograma'!$F$8:$P$8&lt;=H737)*('Cronograma'!$F$9:$P$9&gt;=G737)))</x:f>
        <x:v>1</x:v>
      </x:c>
      <x:c r="J737" s="46"/>
      <x:c r="K737" s="46"/>
      <x:c r="L737" s="47"/>
      <x:c r="M737" s="48" t="str"/>
      <x:c r="N737" s="48" t="str"/>
      <x:c r="O737" s="49" t="n">
        <x:v>46301</x:v>
      </x:c>
      <x:c r="P737" s="43" t="str">
        <x:v>Reporte/inspección del checkout al corte</x:v>
      </x:c>
      <x:c r="Q737" s="43" t="str">
        <x:v>TOU05, TOU06</x:v>
      </x:c>
      <x:c r="R737" s="43" t="str"/>
      <x:c r="S737" s="43" t="str"/>
      <x:c r="T737" s="43" t="str">
        <x:v>S010, S128, S129, S127</x:v>
      </x:c>
      <x:c r="U737" s="43" t="str">
        <x:v>processing/tours/README.md
processing/tours/worker.py
processing/tours/Dockerfile
docs/implementation/tours-local-pilot-report.md</x:v>
      </x:c>
    </x:row>
    <x:row r="738" ht="56" customHeight="1">
      <x:c r="A738" s="42" t="str">
        <x:v>TOU07.007</x:v>
      </x:c>
      <x:c r="B738" s="42" t="str">
        <x:v>Procesador Hugin y Enblend</x:v>
      </x:c>
      <x:c r="C738" s="42" t="str">
        <x:v>TOU07</x:v>
      </x:c>
      <x:c r="D738" s="43" t="str">
        <x:v>Optimizar geometría con autooptimiser</x:v>
      </x:c>
      <x:c r="E738" s="43" t="str">
        <x:v>Ajustar alineación de las tomas.</x:v>
      </x:c>
      <x:c r="F738" s="43" t="str">
        <x:v>Completado</x:v>
      </x:c>
      <x:c r="G738" s="44" t="n">
        <x:v>46296</x:v>
      </x:c>
      <x:c r="H738" s="44" t="n">
        <x:v>46302</x:v>
      </x:c>
      <x:c r="I738" s="45" t="n">
        <x:f>IF(OR(G738="",H738=""),"",SUMPRODUCT(('Cronograma'!$F$8:$P$8&lt;=H738)*('Cronograma'!$F$9:$P$9&gt;=G738)))</x:f>
        <x:v>1</x:v>
      </x:c>
      <x:c r="J738" s="46"/>
      <x:c r="K738" s="46"/>
      <x:c r="L738" s="47"/>
      <x:c r="M738" s="48" t="str"/>
      <x:c r="N738" s="48" t="str"/>
      <x:c r="O738" s="49" t="n">
        <x:v>46301</x:v>
      </x:c>
      <x:c r="P738" s="43" t="str">
        <x:v>Reporte/inspección del checkout al corte</x:v>
      </x:c>
      <x:c r="Q738" s="43" t="str">
        <x:v>TOU05, TOU06</x:v>
      </x:c>
      <x:c r="R738" s="43" t="str"/>
      <x:c r="S738" s="43" t="str"/>
      <x:c r="T738" s="43" t="str">
        <x:v>S010, S128, S129, S127</x:v>
      </x:c>
      <x:c r="U738" s="43" t="str">
        <x:v>processing/tours/README.md
processing/tours/worker.py
processing/tours/Dockerfile
docs/implementation/tours-local-pilot-report.md</x:v>
      </x:c>
    </x:row>
    <x:row r="739" ht="56" customHeight="1">
      <x:c r="A739" s="42" t="str">
        <x:v>TOU07.008</x:v>
      </x:c>
      <x:c r="B739" s="42" t="str">
        <x:v>Procesador Hugin y Enblend</x:v>
      </x:c>
      <x:c r="C739" s="42" t="str">
        <x:v>TOU07</x:v>
      </x:c>
      <x:c r="D739" s="43" t="str">
        <x:v>Definir canvas 360°×180° con pano_modify</x:v>
      </x:c>
      <x:c r="E739" s="43" t="str">
        <x:v>Preparar proyección equirectangular completa.</x:v>
      </x:c>
      <x:c r="F739" s="43" t="str">
        <x:v>Completado</x:v>
      </x:c>
      <x:c r="G739" s="44" t="n">
        <x:v>46296</x:v>
      </x:c>
      <x:c r="H739" s="44" t="n">
        <x:v>46302</x:v>
      </x:c>
      <x:c r="I739" s="45" t="n">
        <x:f>IF(OR(G739="",H739=""),"",SUMPRODUCT(('Cronograma'!$F$8:$P$8&lt;=H739)*('Cronograma'!$F$9:$P$9&gt;=G739)))</x:f>
        <x:v>1</x:v>
      </x:c>
      <x:c r="J739" s="46"/>
      <x:c r="K739" s="46"/>
      <x:c r="L739" s="47"/>
      <x:c r="M739" s="48" t="str"/>
      <x:c r="N739" s="48" t="str"/>
      <x:c r="O739" s="49" t="n">
        <x:v>46301</x:v>
      </x:c>
      <x:c r="P739" s="43" t="str">
        <x:v>Reporte/inspección del checkout al corte</x:v>
      </x:c>
      <x:c r="Q739" s="43" t="str">
        <x:v>TOU05, TOU06</x:v>
      </x:c>
      <x:c r="R739" s="43" t="str"/>
      <x:c r="S739" s="43" t="str"/>
      <x:c r="T739" s="43" t="str">
        <x:v>S010, S128, S129, S127</x:v>
      </x:c>
      <x:c r="U739" s="43" t="str">
        <x:v>processing/tours/README.md
processing/tours/worker.py
processing/tours/Dockerfile
docs/implementation/tours-local-pilot-report.md</x:v>
      </x:c>
    </x:row>
    <x:row r="740" ht="56" customHeight="1">
      <x:c r="A740" s="42" t="str">
        <x:v>TOU07.009</x:v>
      </x:c>
      <x:c r="B740" s="42" t="str">
        <x:v>Procesador Hugin y Enblend</x:v>
      </x:c>
      <x:c r="C740" s="42" t="str">
        <x:v>TOU07</x:v>
      </x:c>
      <x:c r="D740" s="43" t="str">
        <x:v>Remapear fotografías con nona</x:v>
      </x:c>
      <x:c r="E740" s="43" t="str">
        <x:v>Crear contribuciones por imagen al panorama.</x:v>
      </x:c>
      <x:c r="F740" s="43" t="str">
        <x:v>Completado</x:v>
      </x:c>
      <x:c r="G740" s="44" t="n">
        <x:v>46296</x:v>
      </x:c>
      <x:c r="H740" s="44" t="n">
        <x:v>46302</x:v>
      </x:c>
      <x:c r="I740" s="45" t="n">
        <x:f>IF(OR(G740="",H740=""),"",SUMPRODUCT(('Cronograma'!$F$8:$P$8&lt;=H740)*('Cronograma'!$F$9:$P$9&gt;=G740)))</x:f>
        <x:v>1</x:v>
      </x:c>
      <x:c r="J740" s="46"/>
      <x:c r="K740" s="46"/>
      <x:c r="L740" s="47"/>
      <x:c r="M740" s="48" t="str"/>
      <x:c r="N740" s="48" t="str"/>
      <x:c r="O740" s="49" t="n">
        <x:v>46301</x:v>
      </x:c>
      <x:c r="P740" s="43" t="str">
        <x:v>Reporte/inspección del checkout al corte</x:v>
      </x:c>
      <x:c r="Q740" s="43" t="str">
        <x:v>TOU05, TOU06</x:v>
      </x:c>
      <x:c r="R740" s="43" t="str"/>
      <x:c r="S740" s="43" t="str"/>
      <x:c r="T740" s="43" t="str">
        <x:v>S010, S128, S129, S127</x:v>
      </x:c>
      <x:c r="U740" s="43" t="str">
        <x:v>processing/tours/README.md
processing/tours/worker.py
processing/tours/Dockerfile
docs/implementation/tours-local-pilot-report.md</x:v>
      </x:c>
    </x:row>
    <x:row r="741" ht="56" customHeight="1">
      <x:c r="A741" s="42" t="str">
        <x:v>TOU07.010</x:v>
      </x:c>
      <x:c r="B741" s="42" t="str">
        <x:v>Procesador Hugin y Enblend</x:v>
      </x:c>
      <x:c r="C741" s="42" t="str">
        <x:v>TOU07</x:v>
      </x:c>
      <x:c r="D741" s="43" t="str">
        <x:v>Comprobar cobertura alpha</x:v>
      </x:c>
      <x:c r="E741" s="43" t="str">
        <x:v>Rechazar huecos sin inventar techo o piso.</x:v>
      </x:c>
      <x:c r="F741" s="43" t="str">
        <x:v>Completado</x:v>
      </x:c>
      <x:c r="G741" s="44" t="n">
        <x:v>46296</x:v>
      </x:c>
      <x:c r="H741" s="44" t="n">
        <x:v>46302</x:v>
      </x:c>
      <x:c r="I741" s="45" t="n">
        <x:f>IF(OR(G741="",H741=""),"",SUMPRODUCT(('Cronograma'!$F$8:$P$8&lt;=H741)*('Cronograma'!$F$9:$P$9&gt;=G741)))</x:f>
        <x:v>1</x:v>
      </x:c>
      <x:c r="J741" s="46"/>
      <x:c r="K741" s="46"/>
      <x:c r="L741" s="47"/>
      <x:c r="M741" s="48" t="str"/>
      <x:c r="N741" s="48" t="str"/>
      <x:c r="O741" s="49" t="n">
        <x:v>46301</x:v>
      </x:c>
      <x:c r="P741" s="43" t="str">
        <x:v>Reporte/inspección del checkout al corte</x:v>
      </x:c>
      <x:c r="Q741" s="43" t="str">
        <x:v>TOU05, TOU06</x:v>
      </x:c>
      <x:c r="R741" s="43" t="str"/>
      <x:c r="S741" s="43" t="str"/>
      <x:c r="T741" s="43" t="str">
        <x:v>S010, S128, S129, S127</x:v>
      </x:c>
      <x:c r="U741" s="43" t="str">
        <x:v>processing/tours/README.md
processing/tours/worker.py
processing/tours/Dockerfile
docs/implementation/tours-local-pilot-report.md</x:v>
      </x:c>
    </x:row>
    <x:row r="742" ht="56" customHeight="1">
      <x:c r="A742" s="42" t="str">
        <x:v>TOU07.011</x:v>
      </x:c>
      <x:c r="B742" s="42" t="str">
        <x:v>Procesador Hugin y Enblend</x:v>
      </x:c>
      <x:c r="C742" s="42" t="str">
        <x:v>TOU07</x:v>
      </x:c>
      <x:c r="D742" s="43" t="str">
        <x:v>Mezclar remapeos con Enblend</x:v>
      </x:c>
      <x:c r="E742" s="43" t="str">
        <x:v>Unir exposición y costuras del conjunto.</x:v>
      </x:c>
      <x:c r="F742" s="43" t="str">
        <x:v>Completado</x:v>
      </x:c>
      <x:c r="G742" s="44" t="n">
        <x:v>46296</x:v>
      </x:c>
      <x:c r="H742" s="44" t="n">
        <x:v>46302</x:v>
      </x:c>
      <x:c r="I742" s="45" t="n">
        <x:f>IF(OR(G742="",H742=""),"",SUMPRODUCT(('Cronograma'!$F$8:$P$8&lt;=H742)*('Cronograma'!$F$9:$P$9&gt;=G742)))</x:f>
        <x:v>1</x:v>
      </x:c>
      <x:c r="J742" s="46"/>
      <x:c r="K742" s="46"/>
      <x:c r="L742" s="47"/>
      <x:c r="M742" s="48" t="str"/>
      <x:c r="N742" s="48" t="str"/>
      <x:c r="O742" s="49" t="n">
        <x:v>46301</x:v>
      </x:c>
      <x:c r="P742" s="43" t="str">
        <x:v>Reporte/inspección del checkout al corte</x:v>
      </x:c>
      <x:c r="Q742" s="43" t="str">
        <x:v>TOU05, TOU06</x:v>
      </x:c>
      <x:c r="R742" s="43" t="str"/>
      <x:c r="S742" s="43" t="str"/>
      <x:c r="T742" s="43" t="str">
        <x:v>S010, S128, S129, S127</x:v>
      </x:c>
      <x:c r="U742" s="43" t="str">
        <x:v>processing/tours/README.md
processing/tours/worker.py
processing/tours/Dockerfile
docs/implementation/tours-local-pilot-report.md</x:v>
      </x:c>
    </x:row>
    <x:row r="743" ht="56" customHeight="1">
      <x:c r="A743" s="42" t="str">
        <x:v>TOU07.012</x:v>
      </x:c>
      <x:c r="B743" s="42" t="str">
        <x:v>Procesador Hugin y Enblend</x:v>
      </x:c>
      <x:c r="C743" s="42" t="str">
        <x:v>TOU07</x:v>
      </x:c>
      <x:c r="D743" s="43" t="str">
        <x:v>Generar panorama 4096×2048</x:v>
      </x:c>
      <x:c r="E743" s="43" t="str">
        <x:v>Guardar JPEG final con GPano.</x:v>
      </x:c>
      <x:c r="F743" s="43" t="str">
        <x:v>Completado</x:v>
      </x:c>
      <x:c r="G743" s="44" t="n">
        <x:v>46296</x:v>
      </x:c>
      <x:c r="H743" s="44" t="n">
        <x:v>46302</x:v>
      </x:c>
      <x:c r="I743" s="45" t="n">
        <x:f>IF(OR(G743="",H743=""),"",SUMPRODUCT(('Cronograma'!$F$8:$P$8&lt;=H743)*('Cronograma'!$F$9:$P$9&gt;=G743)))</x:f>
        <x:v>1</x:v>
      </x:c>
      <x:c r="J743" s="46"/>
      <x:c r="K743" s="46"/>
      <x:c r="L743" s="47"/>
      <x:c r="M743" s="48" t="str"/>
      <x:c r="N743" s="48" t="str"/>
      <x:c r="O743" s="49" t="n">
        <x:v>46301</x:v>
      </x:c>
      <x:c r="P743" s="43" t="str">
        <x:v>Reporte/inspección del checkout al corte</x:v>
      </x:c>
      <x:c r="Q743" s="43" t="str">
        <x:v>TOU05, TOU06</x:v>
      </x:c>
      <x:c r="R743" s="43" t="str"/>
      <x:c r="S743" s="43" t="str"/>
      <x:c r="T743" s="43" t="str">
        <x:v>S010, S128, S129, S127</x:v>
      </x:c>
      <x:c r="U743" s="43" t="str">
        <x:v>processing/tours/README.md
processing/tours/worker.py
processing/tours/Dockerfile
docs/implementation/tours-local-pilot-report.md</x:v>
      </x:c>
    </x:row>
    <x:row r="744" ht="56" customHeight="1">
      <x:c r="A744" s="42" t="str">
        <x:v>TOU07.013</x:v>
      </x:c>
      <x:c r="B744" s="42" t="str">
        <x:v>Procesador Hugin y Enblend</x:v>
      </x:c>
      <x:c r="C744" s="42" t="str">
        <x:v>TOU07</x:v>
      </x:c>
      <x:c r="D744" s="43" t="str">
        <x:v>Generar preview 2048×1024</x:v>
      </x:c>
      <x:c r="E744" s="43" t="str">
        <x:v>Preparar recurso de visualización de menor tamaño.</x:v>
      </x:c>
      <x:c r="F744" s="43" t="str">
        <x:v>Completado</x:v>
      </x:c>
      <x:c r="G744" s="44" t="n">
        <x:v>46296</x:v>
      </x:c>
      <x:c r="H744" s="44" t="n">
        <x:v>46302</x:v>
      </x:c>
      <x:c r="I744" s="45" t="n">
        <x:f>IF(OR(G744="",H744=""),"",SUMPRODUCT(('Cronograma'!$F$8:$P$8&lt;=H744)*('Cronograma'!$F$9:$P$9&gt;=G744)))</x:f>
        <x:v>1</x:v>
      </x:c>
      <x:c r="J744" s="46"/>
      <x:c r="K744" s="46"/>
      <x:c r="L744" s="47"/>
      <x:c r="M744" s="48" t="str"/>
      <x:c r="N744" s="48" t="str"/>
      <x:c r="O744" s="49" t="n">
        <x:v>46301</x:v>
      </x:c>
      <x:c r="P744" s="43" t="str">
        <x:v>Reporte/inspección del checkout al corte</x:v>
      </x:c>
      <x:c r="Q744" s="43" t="str">
        <x:v>TOU05, TOU06</x:v>
      </x:c>
      <x:c r="R744" s="43" t="str"/>
      <x:c r="S744" s="43" t="str"/>
      <x:c r="T744" s="43" t="str">
        <x:v>S010, S128, S129, S127</x:v>
      </x:c>
      <x:c r="U744" s="43" t="str">
        <x:v>processing/tours/README.md
processing/tours/worker.py
processing/tours/Dockerfile
docs/implementation/tours-local-pilot-report.md</x:v>
      </x:c>
    </x:row>
    <x:row r="745" ht="56" customHeight="1">
      <x:c r="A745" s="42" t="str">
        <x:v>TOU07.014</x:v>
      </x:c>
      <x:c r="B745" s="42" t="str">
        <x:v>Procesador Hugin y Enblend</x:v>
      </x:c>
      <x:c r="C745" s="42" t="str">
        <x:v>TOU07</x:v>
      </x:c>
      <x:c r="D745" s="43" t="str">
        <x:v>Generar miniatura 512×256</x:v>
      </x:c>
      <x:c r="E745" s="43" t="str">
        <x:v>Preparar descubrimiento y tarjetas.</x:v>
      </x:c>
      <x:c r="F745" s="43" t="str">
        <x:v>Completado</x:v>
      </x:c>
      <x:c r="G745" s="44" t="n">
        <x:v>46296</x:v>
      </x:c>
      <x:c r="H745" s="44" t="n">
        <x:v>46302</x:v>
      </x:c>
      <x:c r="I745" s="45" t="n">
        <x:f>IF(OR(G745="",H745=""),"",SUMPRODUCT(('Cronograma'!$F$8:$P$8&lt;=H745)*('Cronograma'!$F$9:$P$9&gt;=G745)))</x:f>
        <x:v>1</x:v>
      </x:c>
      <x:c r="J745" s="46"/>
      <x:c r="K745" s="46"/>
      <x:c r="L745" s="47"/>
      <x:c r="M745" s="48" t="str"/>
      <x:c r="N745" s="48" t="str"/>
      <x:c r="O745" s="49" t="n">
        <x:v>46301</x:v>
      </x:c>
      <x:c r="P745" s="43" t="str">
        <x:v>Reporte/inspección del checkout al corte</x:v>
      </x:c>
      <x:c r="Q745" s="43" t="str">
        <x:v>TOU05, TOU06</x:v>
      </x:c>
      <x:c r="R745" s="43" t="str"/>
      <x:c r="S745" s="43" t="str"/>
      <x:c r="T745" s="43" t="str">
        <x:v>S010, S128, S129, S127</x:v>
      </x:c>
      <x:c r="U745" s="43" t="str">
        <x:v>processing/tours/README.md
processing/tours/worker.py
processing/tours/Dockerfile
docs/implementation/tours-local-pilot-report.md</x:v>
      </x:c>
    </x:row>
    <x:row r="746" ht="56" customHeight="1">
      <x:c r="A746" s="42" t="str">
        <x:v>TOU07.015</x:v>
      </x:c>
      <x:c r="B746" s="42" t="str">
        <x:v>Procesador Hugin y Enblend</x:v>
      </x:c>
      <x:c r="C746" s="42" t="str">
        <x:v>TOU07</x:v>
      </x:c>
      <x:c r="D746" s="43" t="str">
        <x:v>Clasificar errores transitorios</x:v>
      </x:c>
      <x:c r="E746" s="43" t="str">
        <x:v>Reintentar solo fallos recuperables y con límite.</x:v>
      </x:c>
      <x:c r="F746" s="43" t="str">
        <x:v>Completado</x:v>
      </x:c>
      <x:c r="G746" s="44" t="n">
        <x:v>46296</x:v>
      </x:c>
      <x:c r="H746" s="44" t="n">
        <x:v>46302</x:v>
      </x:c>
      <x:c r="I746" s="45" t="n">
        <x:f>IF(OR(G746="",H746=""),"",SUMPRODUCT(('Cronograma'!$F$8:$P$8&lt;=H746)*('Cronograma'!$F$9:$P$9&gt;=G746)))</x:f>
        <x:v>1</x:v>
      </x:c>
      <x:c r="J746" s="46"/>
      <x:c r="K746" s="46"/>
      <x:c r="L746" s="47"/>
      <x:c r="M746" s="48" t="str"/>
      <x:c r="N746" s="48" t="str"/>
      <x:c r="O746" s="49" t="n">
        <x:v>46301</x:v>
      </x:c>
      <x:c r="P746" s="43" t="str">
        <x:v>Reporte/inspección del checkout al corte</x:v>
      </x:c>
      <x:c r="Q746" s="43" t="str">
        <x:v>TOU05, TOU06</x:v>
      </x:c>
      <x:c r="R746" s="43" t="str"/>
      <x:c r="S746" s="43" t="str"/>
      <x:c r="T746" s="43" t="str">
        <x:v>S010, S128, S129, S127</x:v>
      </x:c>
      <x:c r="U746" s="43" t="str">
        <x:v>processing/tours/README.md
processing/tours/worker.py
processing/tours/Dockerfile
docs/implementation/tours-local-pilot-report.md</x:v>
      </x:c>
    </x:row>
    <x:row r="747" ht="56" customHeight="1">
      <x:c r="A747" s="42" t="str">
        <x:v>TOU07.016</x:v>
      </x:c>
      <x:c r="B747" s="42" t="str">
        <x:v>Procesador Hugin y Enblend</x:v>
      </x:c>
      <x:c r="C747" s="42" t="str">
        <x:v>TOU07</x:v>
      </x:c>
      <x:c r="D747" s="43" t="str">
        <x:v>Confirmar resultado con recibo persistido</x:v>
      </x:c>
      <x:c r="E747" s="43" t="str">
        <x:v>No interpretar exit0 como ready sin aceptación del servidor.</x:v>
      </x:c>
      <x:c r="F747" s="43" t="str">
        <x:v>Completado</x:v>
      </x:c>
      <x:c r="G747" s="44" t="n">
        <x:v>46296</x:v>
      </x:c>
      <x:c r="H747" s="44" t="n">
        <x:v>46302</x:v>
      </x:c>
      <x:c r="I747" s="45" t="n">
        <x:f>IF(OR(G747="",H747=""),"",SUMPRODUCT(('Cronograma'!$F$8:$P$8&lt;=H747)*('Cronograma'!$F$9:$P$9&gt;=G747)))</x:f>
        <x:v>1</x:v>
      </x:c>
      <x:c r="J747" s="46"/>
      <x:c r="K747" s="46"/>
      <x:c r="L747" s="47"/>
      <x:c r="M747" s="48" t="str"/>
      <x:c r="N747" s="48" t="str"/>
      <x:c r="O747" s="49" t="n">
        <x:v>46301</x:v>
      </x:c>
      <x:c r="P747" s="43" t="str">
        <x:v>Reporte/inspección del checkout al corte</x:v>
      </x:c>
      <x:c r="Q747" s="43" t="str">
        <x:v>TOU05, TOU06</x:v>
      </x:c>
      <x:c r="R747" s="43" t="str"/>
      <x:c r="S747" s="43" t="str"/>
      <x:c r="T747" s="43" t="str">
        <x:v>S010, S128, S129, S127</x:v>
      </x:c>
      <x:c r="U747" s="43" t="str">
        <x:v>processing/tours/README.md
processing/tours/worker.py
processing/tours/Dockerfile
docs/implementation/tours-local-pilot-report.md</x:v>
      </x:c>
    </x:row>
    <x:row r="748" ht="56" customHeight="1">
      <x:c r="A748" s="42" t="str">
        <x:v>TOU07.017</x:v>
      </x:c>
      <x:c r="B748" s="42" t="str">
        <x:v>Procesador Hugin y Enblend</x:v>
      </x:c>
      <x:c r="C748" s="42" t="str">
        <x:v>TOU07</x:v>
      </x:c>
      <x:c r="D748" s="43" t="str">
        <x:v>Corregir SIGSEGV de Enblend 4.2</x:v>
      </x:c>
      <x:c r="E748" s="43" t="str">
        <x:v>Usar --no-optimize conservando mezcla y cobertura estricta.</x:v>
      </x:c>
      <x:c r="F748" s="43" t="str">
        <x:v>Completado</x:v>
      </x:c>
      <x:c r="G748" s="44" t="n">
        <x:v>46296</x:v>
      </x:c>
      <x:c r="H748" s="44" t="n">
        <x:v>46302</x:v>
      </x:c>
      <x:c r="I748" s="45" t="n">
        <x:f>IF(OR(G748="",H748=""),"",SUMPRODUCT(('Cronograma'!$F$8:$P$8&lt;=H748)*('Cronograma'!$F$9:$P$9&gt;=G748)))</x:f>
        <x:v>1</x:v>
      </x:c>
      <x:c r="J748" s="46"/>
      <x:c r="K748" s="46"/>
      <x:c r="L748" s="47"/>
      <x:c r="M748" s="48" t="str"/>
      <x:c r="N748" s="48" t="str"/>
      <x:c r="O748" s="49" t="n">
        <x:v>46301</x:v>
      </x:c>
      <x:c r="P748" s="43" t="str">
        <x:v>Reporte/inspección del checkout al corte</x:v>
      </x:c>
      <x:c r="Q748" s="43" t="str">
        <x:v>TOU05, TOU06</x:v>
      </x:c>
      <x:c r="R748" s="43" t="str"/>
      <x:c r="S748" s="43" t="str"/>
      <x:c r="T748" s="43" t="str">
        <x:v>S010, S128, S129, S127</x:v>
      </x:c>
      <x:c r="U748" s="43" t="str">
        <x:v>processing/tours/README.md
processing/tours/worker.py
processing/tours/Dockerfile
docs/implementation/tours-local-pilot-report.md</x:v>
      </x:c>
    </x:row>
    <x:row r="749" ht="56" customHeight="1">
      <x:c r="A749" s="42" t="str">
        <x:v>TOU07.018</x:v>
      </x:c>
      <x:c r="B749" s="42" t="str">
        <x:v>Procesador Hugin y Enblend</x:v>
      </x:c>
      <x:c r="C749" s="42" t="str">
        <x:v>TOU07</x:v>
      </x:c>
      <x:c r="D749" s="43" t="str">
        <x:v>Corregir respuesta PostgREST 204</x:v>
      </x:c>
      <x:c r="E749" s="43" t="str">
        <x:v>No intentar decodificar JSON inexistente.</x:v>
      </x:c>
      <x:c r="F749" s="43" t="str">
        <x:v>Completado</x:v>
      </x:c>
      <x:c r="G749" s="44" t="n">
        <x:v>46296</x:v>
      </x:c>
      <x:c r="H749" s="44" t="n">
        <x:v>46302</x:v>
      </x:c>
      <x:c r="I749" s="45" t="n">
        <x:f>IF(OR(G749="",H749=""),"",SUMPRODUCT(('Cronograma'!$F$8:$P$8&lt;=H749)*('Cronograma'!$F$9:$P$9&gt;=G749)))</x:f>
        <x:v>1</x:v>
      </x:c>
      <x:c r="J749" s="46"/>
      <x:c r="K749" s="46"/>
      <x:c r="L749" s="47"/>
      <x:c r="M749" s="48" t="str"/>
      <x:c r="N749" s="48" t="str"/>
      <x:c r="O749" s="49" t="n">
        <x:v>46301</x:v>
      </x:c>
      <x:c r="P749" s="43" t="str">
        <x:v>Reporte/inspección del checkout al corte</x:v>
      </x:c>
      <x:c r="Q749" s="43" t="str">
        <x:v>TOU05, TOU06</x:v>
      </x:c>
      <x:c r="R749" s="43" t="str"/>
      <x:c r="S749" s="43" t="str"/>
      <x:c r="T749" s="43" t="str">
        <x:v>S010, S128, S129, S127</x:v>
      </x:c>
      <x:c r="U749" s="43" t="str">
        <x:v>processing/tours/README.md
processing/tours/worker.py
processing/tours/Dockerfile
docs/implementation/tours-local-pilot-report.md</x:v>
      </x:c>
    </x:row>
    <x:row r="750" ht="56" customHeight="1">
      <x:c r="A750" s="42" t="str">
        <x:v>TOU07.019</x:v>
      </x:c>
      <x:c r="B750" s="42" t="str">
        <x:v>Procesador Hugin y Enblend</x:v>
      </x:c>
      <x:c r="C750" s="42" t="str">
        <x:v>TOU07</x:v>
      </x:c>
      <x:c r="D750" s="43" t="str">
        <x:v>Corregir descargas parciales interrumpidas</x:v>
      </x:c>
      <x:c r="E750" s="43" t="str">
        <x:v>Cerrar respuesta y clasificar fallo transitorio.</x:v>
      </x:c>
      <x:c r="F750" s="43" t="str">
        <x:v>Completado</x:v>
      </x:c>
      <x:c r="G750" s="44" t="n">
        <x:v>46296</x:v>
      </x:c>
      <x:c r="H750" s="44" t="n">
        <x:v>46302</x:v>
      </x:c>
      <x:c r="I750" s="45" t="n">
        <x:f>IF(OR(G750="",H750=""),"",SUMPRODUCT(('Cronograma'!$F$8:$P$8&lt;=H750)*('Cronograma'!$F$9:$P$9&gt;=G750)))</x:f>
        <x:v>1</x:v>
      </x:c>
      <x:c r="J750" s="46"/>
      <x:c r="K750" s="46"/>
      <x:c r="L750" s="47"/>
      <x:c r="M750" s="48" t="str"/>
      <x:c r="N750" s="48" t="str"/>
      <x:c r="O750" s="49" t="n">
        <x:v>46301</x:v>
      </x:c>
      <x:c r="P750" s="43" t="str">
        <x:v>Reporte/inspección del checkout al corte</x:v>
      </x:c>
      <x:c r="Q750" s="43" t="str">
        <x:v>TOU05, TOU06</x:v>
      </x:c>
      <x:c r="R750" s="43" t="str"/>
      <x:c r="S750" s="43" t="str"/>
      <x:c r="T750" s="43" t="str">
        <x:v>S010, S128, S129, S127</x:v>
      </x:c>
      <x:c r="U750" s="43" t="str">
        <x:v>processing/tours/README.md
processing/tours/worker.py
processing/tours/Dockerfile
docs/implementation/tours-local-pilot-report.md</x:v>
      </x:c>
    </x:row>
    <x:row r="751" ht="56" customHeight="1">
      <x:c r="A751" s="42" t="str">
        <x:v>TOU08.001</x:v>
      </x:c>
      <x:c r="B751" s="42" t="str">
        <x:v>Visor 360° y navegación del recorrido</x:v>
      </x:c>
      <x:c r="C751" s="42" t="str">
        <x:v>TOU08</x:v>
      </x:c>
      <x:c r="D751" s="43" t="str">
        <x:v>Mostrar presentación pública del recorrido</x:v>
      </x:c>
      <x:c r="E751" s="43" t="str">
        <x:v>Cargar versión vigente desde perfil o enlace.</x:v>
      </x:c>
      <x:c r="F751" s="43" t="str">
        <x:v>Completado</x:v>
      </x:c>
      <x:c r="G751" s="44" t="n">
        <x:v>46296</x:v>
      </x:c>
      <x:c r="H751" s="44" t="n">
        <x:v>46302</x:v>
      </x:c>
      <x:c r="I751" s="45" t="n">
        <x:f>IF(OR(G751="",H751=""),"",SUMPRODUCT(('Cronograma'!$F$8:$P$8&lt;=H751)*('Cronograma'!$F$9:$P$9&gt;=G751)))</x:f>
        <x:v>1</x:v>
      </x:c>
      <x:c r="J751" s="46"/>
      <x:c r="K751" s="46"/>
      <x:c r="L751" s="47"/>
      <x:c r="M751" s="48" t="str"/>
      <x:c r="N751" s="48" t="str"/>
      <x:c r="O751" s="49" t="n">
        <x:v>46301</x:v>
      </x:c>
      <x:c r="P751" s="43" t="str">
        <x:v>Reporte/inspección del checkout al corte</x:v>
      </x:c>
      <x:c r="Q751" s="43" t="str">
        <x:v>TOU02, TOU07</x:v>
      </x:c>
      <x:c r="R751" s="43" t="str"/>
      <x:c r="S751" s="43" t="str"/>
      <x:c r="T751" s="43" t="str">
        <x:v>S008, S130, S131, S132</x:v>
      </x:c>
      <x:c r="U751" s="43" t="str">
        <x:v>docs/ar-experience-design.md
lib/features/tours/presentation/tour_panorama.dart
lib/features/tours/presentation/tour_visit_screen.dart
test/features/tours/tour_ui_test.dart</x:v>
      </x:c>
    </x:row>
    <x:row r="752" ht="56" customHeight="1">
      <x:c r="A752" s="42" t="str">
        <x:v>TOU08.002</x:v>
      </x:c>
      <x:c r="B752" s="42" t="str">
        <x:v>Visor 360° y navegación del recorrido</x:v>
      </x:c>
      <x:c r="C752" s="42" t="str">
        <x:v>TOU08</x:v>
      </x:c>
      <x:c r="D752" s="43" t="str">
        <x:v>Renderizar panorama por arrastre</x:v>
      </x:c>
      <x:c r="E752" s="43" t="str">
        <x:v>Permitir mirar alrededor sin solicitar cámara.</x:v>
      </x:c>
      <x:c r="F752" s="43" t="str">
        <x:v>Completado</x:v>
      </x:c>
      <x:c r="G752" s="44" t="n">
        <x:v>46296</x:v>
      </x:c>
      <x:c r="H752" s="44" t="n">
        <x:v>46302</x:v>
      </x:c>
      <x:c r="I752" s="45" t="n">
        <x:f>IF(OR(G752="",H752=""),"",SUMPRODUCT(('Cronograma'!$F$8:$P$8&lt;=H752)*('Cronograma'!$F$9:$P$9&gt;=G752)))</x:f>
        <x:v>1</x:v>
      </x:c>
      <x:c r="J752" s="46"/>
      <x:c r="K752" s="46"/>
      <x:c r="L752" s="47"/>
      <x:c r="M752" s="48" t="str"/>
      <x:c r="N752" s="48" t="str"/>
      <x:c r="O752" s="49" t="n">
        <x:v>46301</x:v>
      </x:c>
      <x:c r="P752" s="43" t="str">
        <x:v>Reporte/inspección del checkout al corte</x:v>
      </x:c>
      <x:c r="Q752" s="43" t="str">
        <x:v>TOU02, TOU07</x:v>
      </x:c>
      <x:c r="R752" s="43" t="str"/>
      <x:c r="S752" s="43" t="str"/>
      <x:c r="T752" s="43" t="str">
        <x:v>S008, S130, S131, S132</x:v>
      </x:c>
      <x:c r="U752" s="43" t="str">
        <x:v>docs/ar-experience-design.md
lib/features/tours/presentation/tour_panorama.dart
lib/features/tours/presentation/tour_visit_screen.dart
test/features/tours/tour_ui_test.dart</x:v>
      </x:c>
    </x:row>
    <x:row r="753" ht="56" customHeight="1">
      <x:c r="A753" s="42" t="str">
        <x:v>TOU08.003</x:v>
      </x:c>
      <x:c r="B753" s="42" t="str">
        <x:v>Visor 360° y navegación del recorrido</x:v>
      </x:c>
      <x:c r="C753" s="42" t="str">
        <x:v>TOU08</x:v>
      </x:c>
      <x:c r="D753" s="43" t="str">
        <x:v>Normalizar costura angular y polos</x:v>
      </x:c>
      <x:c r="E753" s="43" t="str">
        <x:v>Evitar bordes de fotografía plana en la esfera.</x:v>
      </x:c>
      <x:c r="F753" s="43" t="str">
        <x:v>Completado</x:v>
      </x:c>
      <x:c r="G753" s="44" t="n">
        <x:v>46296</x:v>
      </x:c>
      <x:c r="H753" s="44" t="n">
        <x:v>46302</x:v>
      </x:c>
      <x:c r="I753" s="45" t="n">
        <x:f>IF(OR(G753="",H753=""),"",SUMPRODUCT(('Cronograma'!$F$8:$P$8&lt;=H753)*('Cronograma'!$F$9:$P$9&gt;=G753)))</x:f>
        <x:v>1</x:v>
      </x:c>
      <x:c r="J753" s="46"/>
      <x:c r="K753" s="46"/>
      <x:c r="L753" s="47"/>
      <x:c r="M753" s="48" t="str"/>
      <x:c r="N753" s="48" t="str"/>
      <x:c r="O753" s="49" t="n">
        <x:v>46301</x:v>
      </x:c>
      <x:c r="P753" s="43" t="str">
        <x:v>Reporte/inspección del checkout al corte</x:v>
      </x:c>
      <x:c r="Q753" s="43" t="str">
        <x:v>TOU02, TOU07</x:v>
      </x:c>
      <x:c r="R753" s="43" t="str"/>
      <x:c r="S753" s="43" t="str"/>
      <x:c r="T753" s="43" t="str">
        <x:v>S008, S130, S131, S132</x:v>
      </x:c>
      <x:c r="U753" s="43" t="str">
        <x:v>docs/ar-experience-design.md
lib/features/tours/presentation/tour_panorama.dart
lib/features/tours/presentation/tour_visit_screen.dart
test/features/tours/tour_ui_test.dart</x:v>
      </x:c>
    </x:row>
    <x:row r="754" ht="56" customHeight="1">
      <x:c r="A754" s="42" t="str">
        <x:v>TOU08.004</x:v>
      </x:c>
      <x:c r="B754" s="42" t="str">
        <x:v>Visor 360° y navegación del recorrido</x:v>
      </x:c>
      <x:c r="C754" s="42" t="str">
        <x:v>TOU08</x:v>
      </x:c>
      <x:c r="D754" s="43" t="str">
        <x:v>Mostrar conexiones sobre panorama</x:v>
      </x:c>
      <x:c r="E754" s="43" t="str">
        <x:v>Permitir cambiar de posición con indicación.</x:v>
      </x:c>
      <x:c r="F754" s="43" t="str">
        <x:v>Completado</x:v>
      </x:c>
      <x:c r="G754" s="44" t="n">
        <x:v>46296</x:v>
      </x:c>
      <x:c r="H754" s="44" t="n">
        <x:v>46302</x:v>
      </x:c>
      <x:c r="I754" s="45" t="n">
        <x:f>IF(OR(G754="",H754=""),"",SUMPRODUCT(('Cronograma'!$F$8:$P$8&lt;=H754)*('Cronograma'!$F$9:$P$9&gt;=G754)))</x:f>
        <x:v>1</x:v>
      </x:c>
      <x:c r="J754" s="46"/>
      <x:c r="K754" s="46"/>
      <x:c r="L754" s="47"/>
      <x:c r="M754" s="48" t="str"/>
      <x:c r="N754" s="48" t="str"/>
      <x:c r="O754" s="49" t="n">
        <x:v>46301</x:v>
      </x:c>
      <x:c r="P754" s="43" t="str">
        <x:v>Reporte/inspección del checkout al corte</x:v>
      </x:c>
      <x:c r="Q754" s="43" t="str">
        <x:v>TOU02, TOU07</x:v>
      </x:c>
      <x:c r="R754" s="43" t="str"/>
      <x:c r="S754" s="43" t="str"/>
      <x:c r="T754" s="43" t="str">
        <x:v>S008, S130, S131, S132</x:v>
      </x:c>
      <x:c r="U754" s="43" t="str">
        <x:v>docs/ar-experience-design.md
lib/features/tours/presentation/tour_panorama.dart
lib/features/tours/presentation/tour_visit_screen.dart
test/features/tours/tour_ui_test.dart</x:v>
      </x:c>
    </x:row>
    <x:row r="755" ht="56" customHeight="1">
      <x:c r="A755" s="42" t="str">
        <x:v>TOU08.005</x:v>
      </x:c>
      <x:c r="B755" s="42" t="str">
        <x:v>Visor 360° y navegación del recorrido</x:v>
      </x:c>
      <x:c r="C755" s="42" t="str">
        <x:v>TOU08</x:v>
      </x:c>
      <x:c r="D755" s="43" t="str">
        <x:v>Mostrar lista alternativa de posiciones</x:v>
      </x:c>
      <x:c r="E755" s="43" t="str">
        <x:v>Ofrecer navegación sin gesto espacial.</x:v>
      </x:c>
      <x:c r="F755" s="43" t="str">
        <x:v>Completado</x:v>
      </x:c>
      <x:c r="G755" s="44" t="n">
        <x:v>46296</x:v>
      </x:c>
      <x:c r="H755" s="44" t="n">
        <x:v>46302</x:v>
      </x:c>
      <x:c r="I755" s="45" t="n">
        <x:f>IF(OR(G755="",H755=""),"",SUMPRODUCT(('Cronograma'!$F$8:$P$8&lt;=H755)*('Cronograma'!$F$9:$P$9&gt;=G755)))</x:f>
        <x:v>1</x:v>
      </x:c>
      <x:c r="J755" s="46"/>
      <x:c r="K755" s="46"/>
      <x:c r="L755" s="47"/>
      <x:c r="M755" s="48" t="str"/>
      <x:c r="N755" s="48" t="str"/>
      <x:c r="O755" s="49" t="n">
        <x:v>46301</x:v>
      </x:c>
      <x:c r="P755" s="43" t="str">
        <x:v>Reporte/inspección del checkout al corte</x:v>
      </x:c>
      <x:c r="Q755" s="43" t="str">
        <x:v>TOU02, TOU07</x:v>
      </x:c>
      <x:c r="R755" s="43" t="str"/>
      <x:c r="S755" s="43" t="str"/>
      <x:c r="T755" s="43" t="str">
        <x:v>S008, S130, S131, S132</x:v>
      </x:c>
      <x:c r="U755" s="43" t="str">
        <x:v>docs/ar-experience-design.md
lib/features/tours/presentation/tour_panorama.dart
lib/features/tours/presentation/tour_visit_screen.dart
test/features/tours/tour_ui_test.dart</x:v>
      </x:c>
    </x:row>
    <x:row r="756" ht="56" customHeight="1">
      <x:c r="A756" s="42" t="str">
        <x:v>TOU08.006</x:v>
      </x:c>
      <x:c r="B756" s="42" t="str">
        <x:v>Visor 360° y navegación del recorrido</x:v>
      </x:c>
      <x:c r="C756" s="42" t="str">
        <x:v>TOU08</x:v>
      </x:c>
      <x:c r="D756" s="43" t="str">
        <x:v>Mostrar puntos angulares en panorama</x:v>
      </x:c>
      <x:c r="E756" s="43" t="str">
        <x:v>Abrir explicación de la parada.</x:v>
      </x:c>
      <x:c r="F756" s="43" t="str">
        <x:v>Completado</x:v>
      </x:c>
      <x:c r="G756" s="44" t="n">
        <x:v>46296</x:v>
      </x:c>
      <x:c r="H756" s="44" t="n">
        <x:v>46302</x:v>
      </x:c>
      <x:c r="I756" s="45" t="n">
        <x:f>IF(OR(G756="",H756=""),"",SUMPRODUCT(('Cronograma'!$F$8:$P$8&lt;=H756)*('Cronograma'!$F$9:$P$9&gt;=G756)))</x:f>
        <x:v>1</x:v>
      </x:c>
      <x:c r="J756" s="46"/>
      <x:c r="K756" s="46"/>
      <x:c r="L756" s="47"/>
      <x:c r="M756" s="48" t="str"/>
      <x:c r="N756" s="48" t="str"/>
      <x:c r="O756" s="49" t="n">
        <x:v>46301</x:v>
      </x:c>
      <x:c r="P756" s="43" t="str">
        <x:v>Reporte/inspección del checkout al corte</x:v>
      </x:c>
      <x:c r="Q756" s="43" t="str">
        <x:v>TOU02, TOU07</x:v>
      </x:c>
      <x:c r="R756" s="43" t="str"/>
      <x:c r="S756" s="43" t="str"/>
      <x:c r="T756" s="43" t="str">
        <x:v>S008, S130, S131, S132</x:v>
      </x:c>
      <x:c r="U756" s="43" t="str">
        <x:v>docs/ar-experience-design.md
lib/features/tours/presentation/tour_panorama.dart
lib/features/tours/presentation/tour_visit_screen.dart
test/features/tours/tour_ui_test.dart</x:v>
      </x:c>
    </x:row>
    <x:row r="757" ht="56" customHeight="1">
      <x:c r="A757" s="42" t="str">
        <x:v>TOU08.007</x:v>
      </x:c>
      <x:c r="B757" s="42" t="str">
        <x:v>Visor 360° y navegación del recorrido</x:v>
      </x:c>
      <x:c r="C757" s="42" t="str">
        <x:v>TOU08</x:v>
      </x:c>
      <x:c r="D757" s="43" t="str">
        <x:v>Mostrar puntos solo en lista</x:v>
      </x:c>
      <x:c r="E757" s="43" t="str">
        <x:v>Mantener contenido sin anclaje en esfera.</x:v>
      </x:c>
      <x:c r="F757" s="43" t="str">
        <x:v>Completado</x:v>
      </x:c>
      <x:c r="G757" s="44" t="n">
        <x:v>46296</x:v>
      </x:c>
      <x:c r="H757" s="44" t="n">
        <x:v>46302</x:v>
      </x:c>
      <x:c r="I757" s="45" t="n">
        <x:f>IF(OR(G757="",H757=""),"",SUMPRODUCT(('Cronograma'!$F$8:$P$8&lt;=H757)*('Cronograma'!$F$9:$P$9&gt;=G757)))</x:f>
        <x:v>1</x:v>
      </x:c>
      <x:c r="J757" s="46"/>
      <x:c r="K757" s="46"/>
      <x:c r="L757" s="47"/>
      <x:c r="M757" s="48" t="str"/>
      <x:c r="N757" s="48" t="str"/>
      <x:c r="O757" s="49" t="n">
        <x:v>46301</x:v>
      </x:c>
      <x:c r="P757" s="43" t="str">
        <x:v>Reporte/inspección del checkout al corte</x:v>
      </x:c>
      <x:c r="Q757" s="43" t="str">
        <x:v>TOU02, TOU07</x:v>
      </x:c>
      <x:c r="R757" s="43" t="str"/>
      <x:c r="S757" s="43" t="str"/>
      <x:c r="T757" s="43" t="str">
        <x:v>S008, S130, S131, S132</x:v>
      </x:c>
      <x:c r="U757" s="43" t="str">
        <x:v>docs/ar-experience-design.md
lib/features/tours/presentation/tour_panorama.dart
lib/features/tours/presentation/tour_visit_screen.dart
test/features/tours/tour_ui_test.dart</x:v>
      </x:c>
    </x:row>
    <x:row r="758" ht="56" customHeight="1">
      <x:c r="A758" s="42" t="str">
        <x:v>TOU08.008</x:v>
      </x:c>
      <x:c r="B758" s="42" t="str">
        <x:v>Visor 360° y navegación del recorrido</x:v>
      </x:c>
      <x:c r="C758" s="42" t="str">
        <x:v>TOU08</x:v>
      </x:c>
      <x:c r="D758" s="43" t="str">
        <x:v>Abrir detalle del punto</x:v>
      </x:c>
      <x:c r="E758" s="43" t="str">
        <x:v>Conservar texto independiente y vínculo disponible.</x:v>
      </x:c>
      <x:c r="F758" s="43" t="str">
        <x:v>Completado</x:v>
      </x:c>
      <x:c r="G758" s="44" t="n">
        <x:v>46296</x:v>
      </x:c>
      <x:c r="H758" s="44" t="n">
        <x:v>46302</x:v>
      </x:c>
      <x:c r="I758" s="45" t="n">
        <x:f>IF(OR(G758="",H758=""),"",SUMPRODUCT(('Cronograma'!$F$8:$P$8&lt;=H758)*('Cronograma'!$F$9:$P$9&gt;=G758)))</x:f>
        <x:v>1</x:v>
      </x:c>
      <x:c r="J758" s="46"/>
      <x:c r="K758" s="46"/>
      <x:c r="L758" s="47"/>
      <x:c r="M758" s="48" t="str"/>
      <x:c r="N758" s="48" t="str"/>
      <x:c r="O758" s="49" t="n">
        <x:v>46301</x:v>
      </x:c>
      <x:c r="P758" s="43" t="str">
        <x:v>Reporte/inspección del checkout al corte</x:v>
      </x:c>
      <x:c r="Q758" s="43" t="str">
        <x:v>TOU02, TOU07</x:v>
      </x:c>
      <x:c r="R758" s="43" t="str"/>
      <x:c r="S758" s="43" t="str"/>
      <x:c r="T758" s="43" t="str">
        <x:v>S008, S130, S131, S132</x:v>
      </x:c>
      <x:c r="U758" s="43" t="str">
        <x:v>docs/ar-experience-design.md
lib/features/tours/presentation/tour_panorama.dart
lib/features/tours/presentation/tour_visit_screen.dart
test/features/tours/tour_ui_test.dart</x:v>
      </x:c>
    </x:row>
    <x:row r="759" ht="56" customHeight="1">
      <x:c r="A759" s="42" t="str">
        <x:v>TOU08.009</x:v>
      </x:c>
      <x:c r="B759" s="42" t="str">
        <x:v>Visor 360° y navegación del recorrido</x:v>
      </x:c>
      <x:c r="C759" s="42" t="str">
        <x:v>TOU08</x:v>
      </x:c>
      <x:c r="D759" s="43" t="str">
        <x:v>Abrir detalle existente del contenido</x:v>
      </x:c>
      <x:c r="E759" s="43" t="str">
        <x:v>Reutilizar rutas de publicaciones y fichas.</x:v>
      </x:c>
      <x:c r="F759" s="43" t="str">
        <x:v>Completado</x:v>
      </x:c>
      <x:c r="G759" s="44" t="n">
        <x:v>46296</x:v>
      </x:c>
      <x:c r="H759" s="44" t="n">
        <x:v>46302</x:v>
      </x:c>
      <x:c r="I759" s="45" t="n">
        <x:f>IF(OR(G759="",H759=""),"",SUMPRODUCT(('Cronograma'!$F$8:$P$8&lt;=H759)*('Cronograma'!$F$9:$P$9&gt;=G759)))</x:f>
        <x:v>1</x:v>
      </x:c>
      <x:c r="J759" s="46"/>
      <x:c r="K759" s="46"/>
      <x:c r="L759" s="47"/>
      <x:c r="M759" s="48" t="str"/>
      <x:c r="N759" s="48" t="str"/>
      <x:c r="O759" s="49" t="n">
        <x:v>46301</x:v>
      </x:c>
      <x:c r="P759" s="43" t="str">
        <x:v>Reporte/inspección del checkout al corte</x:v>
      </x:c>
      <x:c r="Q759" s="43" t="str">
        <x:v>TOU02, TOU07</x:v>
      </x:c>
      <x:c r="R759" s="43" t="str"/>
      <x:c r="S759" s="43" t="str"/>
      <x:c r="T759" s="43" t="str">
        <x:v>S008, S130, S131, S132</x:v>
      </x:c>
      <x:c r="U759" s="43" t="str">
        <x:v>docs/ar-experience-design.md
lib/features/tours/presentation/tour_panorama.dart
lib/features/tours/presentation/tour_visit_screen.dart
test/features/tours/tour_ui_test.dart</x:v>
      </x:c>
    </x:row>
    <x:row r="760" ht="56" customHeight="1">
      <x:c r="A760" s="42" t="str">
        <x:v>TOU08.010</x:v>
      </x:c>
      <x:c r="B760" s="42" t="str">
        <x:v>Visor 360° y navegación del recorrido</x:v>
      </x:c>
      <x:c r="C760" s="42" t="str">
        <x:v>TOU08</x:v>
      </x:c>
      <x:c r="D760" s="43" t="str">
        <x:v>Volver al panorama de origen</x:v>
      </x:c>
      <x:c r="E760" s="43" t="str">
        <x:v>Conservar posición y contexto tras consultar detalle.</x:v>
      </x:c>
      <x:c r="F760" s="43" t="str">
        <x:v>Completado</x:v>
      </x:c>
      <x:c r="G760" s="44" t="n">
        <x:v>46296</x:v>
      </x:c>
      <x:c r="H760" s="44" t="n">
        <x:v>46302</x:v>
      </x:c>
      <x:c r="I760" s="45" t="n">
        <x:f>IF(OR(G760="",H760=""),"",SUMPRODUCT(('Cronograma'!$F$8:$P$8&lt;=H760)*('Cronograma'!$F$9:$P$9&gt;=G760)))</x:f>
        <x:v>1</x:v>
      </x:c>
      <x:c r="J760" s="46"/>
      <x:c r="K760" s="46"/>
      <x:c r="L760" s="47"/>
      <x:c r="M760" s="48" t="str"/>
      <x:c r="N760" s="48" t="str"/>
      <x:c r="O760" s="49" t="n">
        <x:v>46301</x:v>
      </x:c>
      <x:c r="P760" s="43" t="str">
        <x:v>Reporte/inspección del checkout al corte</x:v>
      </x:c>
      <x:c r="Q760" s="43" t="str">
        <x:v>TOU02, TOU07</x:v>
      </x:c>
      <x:c r="R760" s="43" t="str"/>
      <x:c r="S760" s="43" t="str"/>
      <x:c r="T760" s="43" t="str">
        <x:v>S008, S130, S131, S132</x:v>
      </x:c>
      <x:c r="U760" s="43" t="str">
        <x:v>docs/ar-experience-design.md
lib/features/tours/presentation/tour_panorama.dart
lib/features/tours/presentation/tour_visit_screen.dart
test/features/tours/tour_ui_test.dart</x:v>
      </x:c>
    </x:row>
    <x:row r="761" ht="56" customHeight="1">
      <x:c r="A761" s="42" t="str">
        <x:v>TOU08.011</x:v>
      </x:c>
      <x:c r="B761" s="42" t="str">
        <x:v>Visor 360° y navegación del recorrido</x:v>
      </x:c>
      <x:c r="C761" s="42" t="str">
        <x:v>TOU08</x:v>
      </x:c>
      <x:c r="D761" s="43" t="str">
        <x:v>Informar contenido retirado o vencido</x:v>
      </x:c>
      <x:c r="E761" s="43" t="str">
        <x:v>No dejar enlaces activos hacia recursos inaccesibles.</x:v>
      </x:c>
      <x:c r="F761" s="43" t="str">
        <x:v>Completado</x:v>
      </x:c>
      <x:c r="G761" s="44" t="n">
        <x:v>46296</x:v>
      </x:c>
      <x:c r="H761" s="44" t="n">
        <x:v>46302</x:v>
      </x:c>
      <x:c r="I761" s="45" t="n">
        <x:f>IF(OR(G761="",H761=""),"",SUMPRODUCT(('Cronograma'!$F$8:$P$8&lt;=H761)*('Cronograma'!$F$9:$P$9&gt;=G761)))</x:f>
        <x:v>1</x:v>
      </x:c>
      <x:c r="J761" s="46"/>
      <x:c r="K761" s="46"/>
      <x:c r="L761" s="47"/>
      <x:c r="M761" s="48" t="str"/>
      <x:c r="N761" s="48" t="str"/>
      <x:c r="O761" s="49" t="n">
        <x:v>46301</x:v>
      </x:c>
      <x:c r="P761" s="43" t="str">
        <x:v>Reporte/inspección del checkout al corte</x:v>
      </x:c>
      <x:c r="Q761" s="43" t="str">
        <x:v>TOU02, TOU07</x:v>
      </x:c>
      <x:c r="R761" s="43" t="str"/>
      <x:c r="S761" s="43" t="str"/>
      <x:c r="T761" s="43" t="str">
        <x:v>S008, S130, S131, S132</x:v>
      </x:c>
      <x:c r="U761" s="43" t="str">
        <x:v>docs/ar-experience-design.md
lib/features/tours/presentation/tour_panorama.dart
lib/features/tours/presentation/tour_visit_screen.dart
test/features/tours/tour_ui_test.dart</x:v>
      </x:c>
    </x:row>
    <x:row r="762" ht="56" customHeight="1">
      <x:c r="A762" s="42" t="str">
        <x:v>TOU08.012</x:v>
      </x:c>
      <x:c r="B762" s="42" t="str">
        <x:v>Visor 360° y navegación del recorrido</x:v>
      </x:c>
      <x:c r="C762" s="42" t="str">
        <x:v>TOU08</x:v>
      </x:c>
      <x:c r="D762" s="43" t="str">
        <x:v>Dar regreso explícito en enlaces directos</x:v>
      </x:c>
      <x:c r="E762" s="43" t="str">
        <x:v>Mantener salida de visita y editor.</x:v>
      </x:c>
      <x:c r="F762" s="43" t="str">
        <x:v>Completado</x:v>
      </x:c>
      <x:c r="G762" s="44" t="n">
        <x:v>46296</x:v>
      </x:c>
      <x:c r="H762" s="44" t="n">
        <x:v>46302</x:v>
      </x:c>
      <x:c r="I762" s="45" t="n">
        <x:f>IF(OR(G762="",H762=""),"",SUMPRODUCT(('Cronograma'!$F$8:$P$8&lt;=H762)*('Cronograma'!$F$9:$P$9&gt;=G762)))</x:f>
        <x:v>1</x:v>
      </x:c>
      <x:c r="J762" s="46"/>
      <x:c r="K762" s="46"/>
      <x:c r="L762" s="47"/>
      <x:c r="M762" s="48" t="str"/>
      <x:c r="N762" s="48" t="str"/>
      <x:c r="O762" s="49" t="n">
        <x:v>46301</x:v>
      </x:c>
      <x:c r="P762" s="43" t="str">
        <x:v>Reporte/inspección del checkout al corte</x:v>
      </x:c>
      <x:c r="Q762" s="43" t="str">
        <x:v>TOU02, TOU07</x:v>
      </x:c>
      <x:c r="R762" s="43" t="str"/>
      <x:c r="S762" s="43" t="str"/>
      <x:c r="T762" s="43" t="str">
        <x:v>S008, S130, S131, S132</x:v>
      </x:c>
      <x:c r="U762" s="43" t="str">
        <x:v>docs/ar-experience-design.md
lib/features/tours/presentation/tour_panorama.dart
lib/features/tours/presentation/tour_visit_screen.dart
test/features/tours/tour_ui_test.dart</x:v>
      </x:c>
    </x:row>
    <x:row r="763" ht="56" customHeight="1">
      <x:c r="A763" s="42" t="str">
        <x:v>TOU08.013</x:v>
      </x:c>
      <x:c r="B763" s="42" t="str">
        <x:v>Visor 360° y navegación del recorrido</x:v>
      </x:c>
      <x:c r="C763" s="42" t="str">
        <x:v>TOU08</x:v>
      </x:c>
      <x:c r="D763" s="43" t="str">
        <x:v>Revisar visor a 320 px</x:v>
      </x:c>
      <x:c r="E763" s="43" t="str">
        <x:v>Reporte acredita interfaz real y navegación A→B→A.</x:v>
      </x:c>
      <x:c r="F763" s="43" t="str">
        <x:v>Completado</x:v>
      </x:c>
      <x:c r="G763" s="44" t="n">
        <x:v>46296</x:v>
      </x:c>
      <x:c r="H763" s="44" t="n">
        <x:v>46302</x:v>
      </x:c>
      <x:c r="I763" s="45" t="n">
        <x:f>IF(OR(G763="",H763=""),"",SUMPRODUCT(('Cronograma'!$F$8:$P$8&lt;=H763)*('Cronograma'!$F$9:$P$9&gt;=G763)))</x:f>
        <x:v>1</x:v>
      </x:c>
      <x:c r="J763" s="46"/>
      <x:c r="K763" s="46"/>
      <x:c r="L763" s="47"/>
      <x:c r="M763" s="48" t="str"/>
      <x:c r="N763" s="48" t="str"/>
      <x:c r="O763" s="49" t="n">
        <x:v>46301</x:v>
      </x:c>
      <x:c r="P763" s="43" t="str">
        <x:v>Reporte/inspección del checkout al corte</x:v>
      </x:c>
      <x:c r="Q763" s="43" t="str">
        <x:v>TOU02, TOU07</x:v>
      </x:c>
      <x:c r="R763" s="43" t="str"/>
      <x:c r="S763" s="43" t="str"/>
      <x:c r="T763" s="43" t="str">
        <x:v>S008, S130, S131, S132</x:v>
      </x:c>
      <x:c r="U763" s="43" t="str">
        <x:v>docs/ar-experience-design.md
lib/features/tours/presentation/tour_panorama.dart
lib/features/tours/presentation/tour_visit_screen.dart
test/features/tours/tour_ui_test.dart</x:v>
      </x:c>
    </x:row>
    <x:row r="764" ht="56" customHeight="1">
      <x:c r="A764" s="42" t="str">
        <x:v>AR01.001</x:v>
      </x:c>
      <x:c r="B764" s="42" t="str">
        <x:v>Implementación AR nativa y recuperación — WIP</x:v>
      </x:c>
      <x:c r="C764" s="42" t="str">
        <x:v>AR01</x:v>
      </x:c>
      <x:c r="D764" s="43" t="str">
        <x:v>Consultar soporte AR del dispositivo</x:v>
      </x:c>
      <x:c r="E764" s="43" t="str">
        <x:v>Código incorpora supported; falta aceptación en hardware real.</x:v>
      </x:c>
      <x:c r="F764" s="43" t="str">
        <x:v>WIP</x:v>
      </x:c>
      <x:c r="G764" s="44" t="n">
        <x:v>46296</x:v>
      </x:c>
      <x:c r="H764" s="44" t="n">
        <x:v>46316</x:v>
      </x:c>
      <x:c r="I764" s="45" t="n">
        <x:f>IF(OR(G764="",H764=""),"",SUMPRODUCT(('Cronograma'!$F$8:$P$8&lt;=H764)*('Cronograma'!$F$9:$P$9&gt;=G764)))</x:f>
        <x:v>3</x:v>
      </x:c>
      <x:c r="J764" s="46"/>
      <x:c r="K764" s="46"/>
      <x:c r="L764" s="47"/>
      <x:c r="M764" s="48" t="str"/>
      <x:c r="N764" s="48" t="str"/>
      <x:c r="O764" s="49" t="n">
        <x:v>46301</x:v>
      </x:c>
      <x:c r="P764" s="43" t="str">
        <x:v>Reporte/inspección del checkout al corte</x:v>
      </x:c>
      <x:c r="Q764" s="43" t="str">
        <x:v>TOU02, TOU04, TOU08</x:v>
      </x:c>
      <x:c r="R764" s="43" t="str">
        <x:v>Validación física/aceptación del módulo pendiente.</x:v>
      </x:c>
      <x:c r="S764" s="43" t="str">
        <x:v>Código presente y compilaciones reportadas. Estado WIP por validación física/aceptación pendiente; no se afirma que falta escribir toda la implementación.</x:v>
      </x:c>
      <x:c r="T764" s="43" t="str">
        <x:v>S009, S008, S133, S134</x:v>
      </x:c>
      <x:c r="U764" s="43" t="str">
        <x:v>docs/implementation/tours-native.md
docs/ar-experience-design.md
android/app/src/main/kotlin/com/marea/app/TourAR.kt
ios/Runner/AppDelegate.swift</x:v>
      </x:c>
    </x:row>
    <x:row r="765" ht="56" customHeight="1">
      <x:c r="A765" s="42" t="str">
        <x:v>AR01.002</x:v>
      </x:c>
      <x:c r="B765" s="42" t="str">
        <x:v>Implementación AR nativa y recuperación — WIP</x:v>
      </x:c>
      <x:c r="C765" s="42" t="str">
        <x:v>AR01</x:v>
      </x:c>
      <x:c r="D765" s="43" t="str">
        <x:v>Preparar referencia JPEG de activador</x:v>
      </x:c>
      <x:c r="E765" s="43" t="str">
        <x:v>Código usa archivo local identificable; falta reconocimiento físico.</x:v>
      </x:c>
      <x:c r="F765" s="43" t="str">
        <x:v>WIP</x:v>
      </x:c>
      <x:c r="G765" s="44" t="n">
        <x:v>46296</x:v>
      </x:c>
      <x:c r="H765" s="44" t="n">
        <x:v>46316</x:v>
      </x:c>
      <x:c r="I765" s="45" t="n">
        <x:f>IF(OR(G765="",H765=""),"",SUMPRODUCT(('Cronograma'!$F$8:$P$8&lt;=H765)*('Cronograma'!$F$9:$P$9&gt;=G765)))</x:f>
        <x:v>3</x:v>
      </x:c>
      <x:c r="J765" s="46"/>
      <x:c r="K765" s="46"/>
      <x:c r="L765" s="47"/>
      <x:c r="M765" s="48" t="str"/>
      <x:c r="N765" s="48" t="str"/>
      <x:c r="O765" s="49" t="n">
        <x:v>46301</x:v>
      </x:c>
      <x:c r="P765" s="43" t="str">
        <x:v>Reporte/inspección del checkout al corte</x:v>
      </x:c>
      <x:c r="Q765" s="43" t="str">
        <x:v>TOU02, TOU04, TOU08</x:v>
      </x:c>
      <x:c r="R765" s="43" t="str">
        <x:v>Validación física/aceptación del módulo pendiente.</x:v>
      </x:c>
      <x:c r="S765" s="43" t="str">
        <x:v>Código presente y compilaciones reportadas. Estado WIP por validación física/aceptación pendiente; no se afirma que falta escribir toda la implementación.</x:v>
      </x:c>
      <x:c r="T765" s="43" t="str">
        <x:v>S009, S008, S133, S134</x:v>
      </x:c>
      <x:c r="U765" s="43" t="str">
        <x:v>docs/implementation/tours-native.md
docs/ar-experience-design.md
android/app/src/main/kotlin/com/marea/app/TourAR.kt
ios/Runner/AppDelegate.swift</x:v>
      </x:c>
    </x:row>
    <x:row r="766" ht="56" customHeight="1">
      <x:c r="A766" s="42" t="str">
        <x:v>AR01.003</x:v>
      </x:c>
      <x:c r="B766" s="42" t="str">
        <x:v>Implementación AR nativa y recuperación — WIP</x:v>
      </x:c>
      <x:c r="C766" s="42" t="str">
        <x:v>AR01</x:v>
      </x:c>
      <x:c r="D766" s="43" t="str">
        <x:v>Validar ancho físico positivo</x:v>
      </x:c>
      <x:c r="E766" s="43" t="str">
        <x:v>La referencia requiere widthMeters; falta comprobar medidas en local.</x:v>
      </x:c>
      <x:c r="F766" s="43" t="str">
        <x:v>WIP</x:v>
      </x:c>
      <x:c r="G766" s="44" t="n">
        <x:v>46296</x:v>
      </x:c>
      <x:c r="H766" s="44" t="n">
        <x:v>46316</x:v>
      </x:c>
      <x:c r="I766" s="45" t="n">
        <x:f>IF(OR(G766="",H766=""),"",SUMPRODUCT(('Cronograma'!$F$8:$P$8&lt;=H766)*('Cronograma'!$F$9:$P$9&gt;=G766)))</x:f>
        <x:v>3</x:v>
      </x:c>
      <x:c r="J766" s="46"/>
      <x:c r="K766" s="46"/>
      <x:c r="L766" s="47"/>
      <x:c r="M766" s="48" t="str"/>
      <x:c r="N766" s="48" t="str"/>
      <x:c r="O766" s="49" t="n">
        <x:v>46301</x:v>
      </x:c>
      <x:c r="P766" s="43" t="str">
        <x:v>Reporte/inspección del checkout al corte</x:v>
      </x:c>
      <x:c r="Q766" s="43" t="str">
        <x:v>TOU02, TOU04, TOU08</x:v>
      </x:c>
      <x:c r="R766" s="43" t="str">
        <x:v>Validación física/aceptación del módulo pendiente.</x:v>
      </x:c>
      <x:c r="S766" s="43" t="str">
        <x:v>Código presente y compilaciones reportadas. Estado WIP por validación física/aceptación pendiente; no se afirma que falta escribir toda la implementación.</x:v>
      </x:c>
      <x:c r="T766" s="43" t="str">
        <x:v>S009, S008, S133, S134</x:v>
      </x:c>
      <x:c r="U766" s="43" t="str">
        <x:v>docs/implementation/tours-native.md
docs/ar-experience-design.md
android/app/src/main/kotlin/com/marea/app/TourAR.kt
ios/Runner/AppDelegate.swift</x:v>
      </x:c>
    </x:row>
    <x:row r="767" ht="56" customHeight="1">
      <x:c r="A767" s="42" t="str">
        <x:v>AR01.004</x:v>
      </x:c>
      <x:c r="B767" s="42" t="str">
        <x:v>Implementación AR nativa y recuperación — WIP</x:v>
      </x:c>
      <x:c r="C767" s="42" t="str">
        <x:v>AR01</x:v>
      </x:c>
      <x:c r="D767" s="43" t="str">
        <x:v>Invalidar prueba al cambiar referencia</x:v>
      </x:c>
      <x:c r="E767" s="43" t="str">
        <x:v>Cambiar ancho o versión exige otra prueba física.</x:v>
      </x:c>
      <x:c r="F767" s="43" t="str">
        <x:v>WIP</x:v>
      </x:c>
      <x:c r="G767" s="44" t="n">
        <x:v>46296</x:v>
      </x:c>
      <x:c r="H767" s="44" t="n">
        <x:v>46316</x:v>
      </x:c>
      <x:c r="I767" s="45" t="n">
        <x:f>IF(OR(G767="",H767=""),"",SUMPRODUCT(('Cronograma'!$F$8:$P$8&lt;=H767)*('Cronograma'!$F$9:$P$9&gt;=G767)))</x:f>
        <x:v>3</x:v>
      </x:c>
      <x:c r="J767" s="46"/>
      <x:c r="K767" s="46"/>
      <x:c r="L767" s="47"/>
      <x:c r="M767" s="48" t="str"/>
      <x:c r="N767" s="48" t="str"/>
      <x:c r="O767" s="49" t="n">
        <x:v>46301</x:v>
      </x:c>
      <x:c r="P767" s="43" t="str">
        <x:v>Reporte/inspección del checkout al corte</x:v>
      </x:c>
      <x:c r="Q767" s="43" t="str">
        <x:v>TOU02, TOU04, TOU08</x:v>
      </x:c>
      <x:c r="R767" s="43" t="str">
        <x:v>Validación física/aceptación del módulo pendiente.</x:v>
      </x:c>
      <x:c r="S767" s="43" t="str">
        <x:v>Código presente y compilaciones reportadas. Estado WIP por validación física/aceptación pendiente; no se afirma que falta escribir toda la implementación.</x:v>
      </x:c>
      <x:c r="T767" s="43" t="str">
        <x:v>S009, S008, S133, S134</x:v>
      </x:c>
      <x:c r="U767" s="43" t="str">
        <x:v>docs/implementation/tours-native.md
docs/ar-experience-design.md
android/app/src/main/kotlin/com/marea/app/TourAR.kt
ios/Runner/AppDelegate.swift</x:v>
      </x:c>
    </x:row>
    <x:row r="768" ht="56" customHeight="1">
      <x:c r="A768" s="42" t="str">
        <x:v>AR01.005</x:v>
      </x:c>
      <x:c r="B768" s="42" t="str">
        <x:v>Implementación AR nativa y recuperación — WIP</x:v>
      </x:c>
      <x:c r="C768" s="42" t="str">
        <x:v>AR01</x:v>
      </x:c>
      <x:c r="D768" s="43" t="str">
        <x:v>Crear PlatformView Android ARCore</x:v>
      </x:c>
      <x:c r="E768" s="43" t="str">
        <x:v>Vista nativa implementada; falta validar en Android compatible.</x:v>
      </x:c>
      <x:c r="F768" s="43" t="str">
        <x:v>WIP</x:v>
      </x:c>
      <x:c r="G768" s="44" t="n">
        <x:v>46296</x:v>
      </x:c>
      <x:c r="H768" s="44" t="n">
        <x:v>46316</x:v>
      </x:c>
      <x:c r="I768" s="45" t="n">
        <x:f>IF(OR(G768="",H768=""),"",SUMPRODUCT(('Cronograma'!$F$8:$P$8&lt;=H768)*('Cronograma'!$F$9:$P$9&gt;=G768)))</x:f>
        <x:v>3</x:v>
      </x:c>
      <x:c r="J768" s="46"/>
      <x:c r="K768" s="46"/>
      <x:c r="L768" s="47"/>
      <x:c r="M768" s="48" t="str"/>
      <x:c r="N768" s="48" t="str"/>
      <x:c r="O768" s="49" t="n">
        <x:v>46301</x:v>
      </x:c>
      <x:c r="P768" s="43" t="str">
        <x:v>Reporte/inspección del checkout al corte</x:v>
      </x:c>
      <x:c r="Q768" s="43" t="str">
        <x:v>TOU02, TOU04, TOU08</x:v>
      </x:c>
      <x:c r="R768" s="43" t="str">
        <x:v>Validación física/aceptación del módulo pendiente.</x:v>
      </x:c>
      <x:c r="S768" s="43" t="str">
        <x:v>Código presente y compilaciones reportadas. Estado WIP por validación física/aceptación pendiente; no se afirma que falta escribir toda la implementación.</x:v>
      </x:c>
      <x:c r="T768" s="43" t="str">
        <x:v>S009, S008, S133, S134</x:v>
      </x:c>
      <x:c r="U768" s="43" t="str">
        <x:v>docs/implementation/tours-native.md
docs/ar-experience-design.md
android/app/src/main/kotlin/com/marea/app/TourAR.kt
ios/Runner/AppDelegate.swift</x:v>
      </x:c>
    </x:row>
    <x:row r="769" ht="56" customHeight="1">
      <x:c r="A769" s="42" t="str">
        <x:v>AR01.006</x:v>
      </x:c>
      <x:c r="B769" s="42" t="str">
        <x:v>Implementación AR nativa y recuperación — WIP</x:v>
      </x:c>
      <x:c r="C769" s="42" t="str">
        <x:v>AR01</x:v>
      </x:c>
      <x:c r="D769" s="43" t="str">
        <x:v>Crear AugmentedImageDatabase</x:v>
      </x:c>
      <x:c r="E769" s="43" t="str">
        <x:v>Referencia incorporada a base de reconocimiento de ARCore.</x:v>
      </x:c>
      <x:c r="F769" s="43" t="str">
        <x:v>WIP</x:v>
      </x:c>
      <x:c r="G769" s="44" t="n">
        <x:v>46296</x:v>
      </x:c>
      <x:c r="H769" s="44" t="n">
        <x:v>46316</x:v>
      </x:c>
      <x:c r="I769" s="45" t="n">
        <x:f>IF(OR(G769="",H769=""),"",SUMPRODUCT(('Cronograma'!$F$8:$P$8&lt;=H769)*('Cronograma'!$F$9:$P$9&gt;=G769)))</x:f>
        <x:v>3</x:v>
      </x:c>
      <x:c r="J769" s="46"/>
      <x:c r="K769" s="46"/>
      <x:c r="L769" s="47"/>
      <x:c r="M769" s="48" t="str"/>
      <x:c r="N769" s="48" t="str"/>
      <x:c r="O769" s="49" t="n">
        <x:v>46301</x:v>
      </x:c>
      <x:c r="P769" s="43" t="str">
        <x:v>Reporte/inspección del checkout al corte</x:v>
      </x:c>
      <x:c r="Q769" s="43" t="str">
        <x:v>TOU02, TOU04, TOU08</x:v>
      </x:c>
      <x:c r="R769" s="43" t="str">
        <x:v>Validación física/aceptación del módulo pendiente.</x:v>
      </x:c>
      <x:c r="S769" s="43" t="str">
        <x:v>Código presente y compilaciones reportadas. Estado WIP por validación física/aceptación pendiente; no se afirma que falta escribir toda la implementación.</x:v>
      </x:c>
      <x:c r="T769" s="43" t="str">
        <x:v>S009, S008, S133, S134</x:v>
      </x:c>
      <x:c r="U769" s="43" t="str">
        <x:v>docs/implementation/tours-native.md
docs/ar-experience-design.md
android/app/src/main/kotlin/com/marea/app/TourAR.kt
ios/Runner/AppDelegate.swift</x:v>
      </x:c>
    </x:row>
    <x:row r="770" ht="56" customHeight="1">
      <x:c r="A770" s="42" t="str">
        <x:v>AR01.007</x:v>
      </x:c>
      <x:c r="B770" s="42" t="str">
        <x:v>Implementación AR nativa y recuperación — WIP</x:v>
      </x:c>
      <x:c r="C770" s="42" t="str">
        <x:v>AR01</x:v>
      </x:c>
      <x:c r="D770" s="43" t="str">
        <x:v>Renderizar cámara Android con textura OES</x:v>
      </x:c>
      <x:c r="E770" s="43" t="str">
        <x:v>Render implementado; falta validar imagen y lifecycle físicos.</x:v>
      </x:c>
      <x:c r="F770" s="43" t="str">
        <x:v>WIP</x:v>
      </x:c>
      <x:c r="G770" s="44" t="n">
        <x:v>46296</x:v>
      </x:c>
      <x:c r="H770" s="44" t="n">
        <x:v>46316</x:v>
      </x:c>
      <x:c r="I770" s="45" t="n">
        <x:f>IF(OR(G770="",H770=""),"",SUMPRODUCT(('Cronograma'!$F$8:$P$8&lt;=H770)*('Cronograma'!$F$9:$P$9&gt;=G770)))</x:f>
        <x:v>3</x:v>
      </x:c>
      <x:c r="J770" s="46"/>
      <x:c r="K770" s="46"/>
      <x:c r="L770" s="47"/>
      <x:c r="M770" s="48" t="str"/>
      <x:c r="N770" s="48" t="str"/>
      <x:c r="O770" s="49" t="n">
        <x:v>46301</x:v>
      </x:c>
      <x:c r="P770" s="43" t="str">
        <x:v>Reporte/inspección del checkout al corte</x:v>
      </x:c>
      <x:c r="Q770" s="43" t="str">
        <x:v>TOU02, TOU04, TOU08</x:v>
      </x:c>
      <x:c r="R770" s="43" t="str">
        <x:v>Validación física/aceptación del módulo pendiente.</x:v>
      </x:c>
      <x:c r="S770" s="43" t="str">
        <x:v>Código presente y compilaciones reportadas. Estado WIP por validación física/aceptación pendiente; no se afirma que falta escribir toda la implementación.</x:v>
      </x:c>
      <x:c r="T770" s="43" t="str">
        <x:v>S009, S008, S133, S134</x:v>
      </x:c>
      <x:c r="U770" s="43" t="str">
        <x:v>docs/implementation/tours-native.md
docs/ar-experience-design.md
android/app/src/main/kotlin/com/marea/app/TourAR.kt
ios/Runner/AppDelegate.swift</x:v>
      </x:c>
    </x:row>
    <x:row r="771" ht="56" customHeight="1">
      <x:c r="A771" s="42" t="str">
        <x:v>AR01.008</x:v>
      </x:c>
      <x:c r="B771" s="42" t="str">
        <x:v>Implementación AR nativa y recuperación — WIP</x:v>
      </x:c>
      <x:c r="C771" s="42" t="str">
        <x:v>AR01</x:v>
      </x:c>
      <x:c r="D771" s="43" t="str">
        <x:v>Crear anchor de imagen reconocida</x:v>
      </x:c>
      <x:c r="E771" s="43" t="str">
        <x:v>Señal depende de anclaje real de ARCore.</x:v>
      </x:c>
      <x:c r="F771" s="43" t="str">
        <x:v>WIP</x:v>
      </x:c>
      <x:c r="G771" s="44" t="n">
        <x:v>46296</x:v>
      </x:c>
      <x:c r="H771" s="44" t="n">
        <x:v>46316</x:v>
      </x:c>
      <x:c r="I771" s="45" t="n">
        <x:f>IF(OR(G771="",H771=""),"",SUMPRODUCT(('Cronograma'!$F$8:$P$8&lt;=H771)*('Cronograma'!$F$9:$P$9&gt;=G771)))</x:f>
        <x:v>3</x:v>
      </x:c>
      <x:c r="J771" s="46"/>
      <x:c r="K771" s="46"/>
      <x:c r="L771" s="47"/>
      <x:c r="M771" s="48" t="str"/>
      <x:c r="N771" s="48" t="str"/>
      <x:c r="O771" s="49" t="n">
        <x:v>46301</x:v>
      </x:c>
      <x:c r="P771" s="43" t="str">
        <x:v>Reporte/inspección del checkout al corte</x:v>
      </x:c>
      <x:c r="Q771" s="43" t="str">
        <x:v>TOU02, TOU04, TOU08</x:v>
      </x:c>
      <x:c r="R771" s="43" t="str">
        <x:v>Validación física/aceptación del módulo pendiente.</x:v>
      </x:c>
      <x:c r="S771" s="43" t="str">
        <x:v>Código presente y compilaciones reportadas. Estado WIP por validación física/aceptación pendiente; no se afirma que falta escribir toda la implementación.</x:v>
      </x:c>
      <x:c r="T771" s="43" t="str">
        <x:v>S009, S008, S133, S134</x:v>
      </x:c>
      <x:c r="U771" s="43" t="str">
        <x:v>docs/implementation/tours-native.md
docs/ar-experience-design.md
android/app/src/main/kotlin/com/marea/app/TourAR.kt
ios/Runner/AppDelegate.swift</x:v>
      </x:c>
    </x:row>
    <x:row r="772" ht="56" customHeight="1">
      <x:c r="A772" s="42" t="str">
        <x:v>AR01.009</x:v>
      </x:c>
      <x:c r="B772" s="42" t="str">
        <x:v>Implementación AR nativa y recuperación — WIP</x:v>
      </x:c>
      <x:c r="C772" s="42" t="str">
        <x:v>AR01</x:v>
      </x:c>
      <x:c r="D772" s="43" t="str">
        <x:v>Confirmar FULL_TRACKING y cámara TRACKING</x:v>
      </x:c>
      <x:c r="E772" s="43" t="str">
        <x:v>No tratar última pose conocida como reconocimiento vigente.</x:v>
      </x:c>
      <x:c r="F772" s="43" t="str">
        <x:v>WIP</x:v>
      </x:c>
      <x:c r="G772" s="44" t="n">
        <x:v>46296</x:v>
      </x:c>
      <x:c r="H772" s="44" t="n">
        <x:v>46316</x:v>
      </x:c>
      <x:c r="I772" s="45" t="n">
        <x:f>IF(OR(G772="",H772=""),"",SUMPRODUCT(('Cronograma'!$F$8:$P$8&lt;=H772)*('Cronograma'!$F$9:$P$9&gt;=G772)))</x:f>
        <x:v>3</x:v>
      </x:c>
      <x:c r="J772" s="46"/>
      <x:c r="K772" s="46"/>
      <x:c r="L772" s="47"/>
      <x:c r="M772" s="48" t="str"/>
      <x:c r="N772" s="48" t="str"/>
      <x:c r="O772" s="49" t="n">
        <x:v>46301</x:v>
      </x:c>
      <x:c r="P772" s="43" t="str">
        <x:v>Reporte/inspección del checkout al corte</x:v>
      </x:c>
      <x:c r="Q772" s="43" t="str">
        <x:v>TOU02, TOU04, TOU08</x:v>
      </x:c>
      <x:c r="R772" s="43" t="str">
        <x:v>Validación física/aceptación del módulo pendiente.</x:v>
      </x:c>
      <x:c r="S772" s="43" t="str">
        <x:v>Código presente y compilaciones reportadas. Estado WIP por validación física/aceptación pendiente; no se afirma que falta escribir toda la implementación.</x:v>
      </x:c>
      <x:c r="T772" s="43" t="str">
        <x:v>S009, S008, S133, S134</x:v>
      </x:c>
      <x:c r="U772" s="43" t="str">
        <x:v>docs/implementation/tours-native.md
docs/ar-experience-design.md
android/app/src/main/kotlin/com/marea/app/TourAR.kt
ios/Runner/AppDelegate.swift</x:v>
      </x:c>
    </x:row>
    <x:row r="773" ht="56" customHeight="1">
      <x:c r="A773" s="42" t="str">
        <x:v>AR01.010</x:v>
      </x:c>
      <x:c r="B773" s="42" t="str">
        <x:v>Implementación AR nativa y recuperación — WIP</x:v>
      </x:c>
      <x:c r="C773" s="42" t="str">
        <x:v>AR01</x:v>
      </x:c>
      <x:c r="D773" s="43" t="str">
        <x:v>Crear configuración ARKit de imágenes</x:v>
      </x:c>
      <x:c r="E773" s="43" t="str">
        <x:v>Implementación usa ARReferenceImage de ancho conocido.</x:v>
      </x:c>
      <x:c r="F773" s="43" t="str">
        <x:v>WIP</x:v>
      </x:c>
      <x:c r="G773" s="44" t="n">
        <x:v>46296</x:v>
      </x:c>
      <x:c r="H773" s="44" t="n">
        <x:v>46316</x:v>
      </x:c>
      <x:c r="I773" s="45" t="n">
        <x:f>IF(OR(G773="",H773=""),"",SUMPRODUCT(('Cronograma'!$F$8:$P$8&lt;=H773)*('Cronograma'!$F$9:$P$9&gt;=G773)))</x:f>
        <x:v>3</x:v>
      </x:c>
      <x:c r="J773" s="46"/>
      <x:c r="K773" s="46"/>
      <x:c r="L773" s="47"/>
      <x:c r="M773" s="48" t="str"/>
      <x:c r="N773" s="48" t="str"/>
      <x:c r="O773" s="49" t="n">
        <x:v>46301</x:v>
      </x:c>
      <x:c r="P773" s="43" t="str">
        <x:v>Reporte/inspección del checkout al corte</x:v>
      </x:c>
      <x:c r="Q773" s="43" t="str">
        <x:v>TOU02, TOU04, TOU08</x:v>
      </x:c>
      <x:c r="R773" s="43" t="str">
        <x:v>Validación física/aceptación del módulo pendiente.</x:v>
      </x:c>
      <x:c r="S773" s="43" t="str">
        <x:v>Código presente y compilaciones reportadas. Estado WIP por validación física/aceptación pendiente; no se afirma que falta escribir toda la implementación.</x:v>
      </x:c>
      <x:c r="T773" s="43" t="str">
        <x:v>S009, S008, S133, S134</x:v>
      </x:c>
      <x:c r="U773" s="43" t="str">
        <x:v>docs/implementation/tours-native.md
docs/ar-experience-design.md
android/app/src/main/kotlin/com/marea/app/TourAR.kt
ios/Runner/AppDelegate.swift</x:v>
      </x:c>
    </x:row>
    <x:row r="774" ht="56" customHeight="1">
      <x:c r="A774" s="42" t="str">
        <x:v>AR01.011</x:v>
      </x:c>
      <x:c r="B774" s="42" t="str">
        <x:v>Implementación AR nativa y recuperación — WIP</x:v>
      </x:c>
      <x:c r="C774" s="42" t="str">
        <x:v>AR01</x:v>
      </x:c>
      <x:c r="D774" s="43" t="str">
        <x:v>Crear vista ARSCNView iOS</x:v>
      </x:c>
      <x:c r="E774" s="43" t="str">
        <x:v>Cámara y escena preparadas; falta prueba en iPhone firmado.</x:v>
      </x:c>
      <x:c r="F774" s="43" t="str">
        <x:v>WIP</x:v>
      </x:c>
      <x:c r="G774" s="44" t="n">
        <x:v>46296</x:v>
      </x:c>
      <x:c r="H774" s="44" t="n">
        <x:v>46316</x:v>
      </x:c>
      <x:c r="I774" s="45" t="n">
        <x:f>IF(OR(G774="",H774=""),"",SUMPRODUCT(('Cronograma'!$F$8:$P$8&lt;=H774)*('Cronograma'!$F$9:$P$9&gt;=G774)))</x:f>
        <x:v>3</x:v>
      </x:c>
      <x:c r="J774" s="46"/>
      <x:c r="K774" s="46"/>
      <x:c r="L774" s="47"/>
      <x:c r="M774" s="48" t="str"/>
      <x:c r="N774" s="48" t="str"/>
      <x:c r="O774" s="49" t="n">
        <x:v>46301</x:v>
      </x:c>
      <x:c r="P774" s="43" t="str">
        <x:v>Reporte/inspección del checkout al corte</x:v>
      </x:c>
      <x:c r="Q774" s="43" t="str">
        <x:v>TOU02, TOU04, TOU08</x:v>
      </x:c>
      <x:c r="R774" s="43" t="str">
        <x:v>Validación física/aceptación del módulo pendiente.</x:v>
      </x:c>
      <x:c r="S774" s="43" t="str">
        <x:v>Código presente y compilaciones reportadas. Estado WIP por validación física/aceptación pendiente; no se afirma que falta escribir toda la implementación.</x:v>
      </x:c>
      <x:c r="T774" s="43" t="str">
        <x:v>S009, S008, S133, S134</x:v>
      </x:c>
      <x:c r="U774" s="43" t="str">
        <x:v>docs/implementation/tours-native.md
docs/ar-experience-design.md
android/app/src/main/kotlin/com/marea/app/TourAR.kt
ios/Runner/AppDelegate.swift</x:v>
      </x:c>
    </x:row>
    <x:row r="775" ht="56" customHeight="1">
      <x:c r="A775" s="42" t="str">
        <x:v>AR01.012</x:v>
      </x:c>
      <x:c r="B775" s="42" t="str">
        <x:v>Implementación AR nativa y recuperación — WIP</x:v>
      </x:c>
      <x:c r="C775" s="42" t="str">
        <x:v>AR01</x:v>
      </x:c>
      <x:c r="D775" s="43" t="str">
        <x:v>Vincular señal con ARImageAnchor</x:v>
      </x:c>
      <x:c r="E775" s="43" t="str">
        <x:v>Confirmar isTracked y estado de cámara en hardware.</x:v>
      </x:c>
      <x:c r="F775" s="43" t="str">
        <x:v>WIP</x:v>
      </x:c>
      <x:c r="G775" s="44" t="n">
        <x:v>46296</x:v>
      </x:c>
      <x:c r="H775" s="44" t="n">
        <x:v>46316</x:v>
      </x:c>
      <x:c r="I775" s="45" t="n">
        <x:f>IF(OR(G775="",H775=""),"",SUMPRODUCT(('Cronograma'!$F$8:$P$8&lt;=H775)*('Cronograma'!$F$9:$P$9&gt;=G775)))</x:f>
        <x:v>3</x:v>
      </x:c>
      <x:c r="J775" s="46"/>
      <x:c r="K775" s="46"/>
      <x:c r="L775" s="47"/>
      <x:c r="M775" s="48" t="str"/>
      <x:c r="N775" s="48" t="str"/>
      <x:c r="O775" s="49" t="n">
        <x:v>46301</x:v>
      </x:c>
      <x:c r="P775" s="43" t="str">
        <x:v>Reporte/inspección del checkout al corte</x:v>
      </x:c>
      <x:c r="Q775" s="43" t="str">
        <x:v>TOU02, TOU04, TOU08</x:v>
      </x:c>
      <x:c r="R775" s="43" t="str">
        <x:v>Validación física/aceptación del módulo pendiente.</x:v>
      </x:c>
      <x:c r="S775" s="43" t="str">
        <x:v>Código presente y compilaciones reportadas. Estado WIP por validación física/aceptación pendiente; no se afirma que falta escribir toda la implementación.</x:v>
      </x:c>
      <x:c r="T775" s="43" t="str">
        <x:v>S009, S008, S133, S134</x:v>
      </x:c>
      <x:c r="U775" s="43" t="str">
        <x:v>docs/implementation/tours-native.md
docs/ar-experience-design.md
android/app/src/main/kotlin/com/marea/app/TourAR.kt
ios/Runner/AppDelegate.swift</x:v>
      </x:c>
    </x:row>
    <x:row r="776" ht="56" customHeight="1">
      <x:c r="A776" s="42" t="str">
        <x:v>AR01.013</x:v>
      </x:c>
      <x:c r="B776" s="42" t="str">
        <x:v>Implementación AR nativa y recuperación — WIP</x:v>
      </x:c>
      <x:c r="C776" s="42" t="str">
        <x:v>AR01</x:v>
      </x:c>
      <x:c r="D776" s="43" t="str">
        <x:v>Emitir eventos tracking, lost y error</x:v>
      </x:c>
      <x:c r="E776" s="43" t="str">
        <x:v>Canal nativo definido para estado de referencia.</x:v>
      </x:c>
      <x:c r="F776" s="43" t="str">
        <x:v>WIP</x:v>
      </x:c>
      <x:c r="G776" s="44" t="n">
        <x:v>46296</x:v>
      </x:c>
      <x:c r="H776" s="44" t="n">
        <x:v>46316</x:v>
      </x:c>
      <x:c r="I776" s="45" t="n">
        <x:f>IF(OR(G776="",H776=""),"",SUMPRODUCT(('Cronograma'!$F$8:$P$8&lt;=H776)*('Cronograma'!$F$9:$P$9&gt;=G776)))</x:f>
        <x:v>3</x:v>
      </x:c>
      <x:c r="J776" s="46"/>
      <x:c r="K776" s="46"/>
      <x:c r="L776" s="47"/>
      <x:c r="M776" s="48" t="str"/>
      <x:c r="N776" s="48" t="str"/>
      <x:c r="O776" s="49" t="n">
        <x:v>46301</x:v>
      </x:c>
      <x:c r="P776" s="43" t="str">
        <x:v>Reporte/inspección del checkout al corte</x:v>
      </x:c>
      <x:c r="Q776" s="43" t="str">
        <x:v>TOU02, TOU04, TOU08</x:v>
      </x:c>
      <x:c r="R776" s="43" t="str">
        <x:v>Validación física/aceptación del módulo pendiente.</x:v>
      </x:c>
      <x:c r="S776" s="43" t="str">
        <x:v>Código presente y compilaciones reportadas. Estado WIP por validación física/aceptación pendiente; no se afirma que falta escribir toda la implementación.</x:v>
      </x:c>
      <x:c r="T776" s="43" t="str">
        <x:v>S009, S008, S133, S134</x:v>
      </x:c>
      <x:c r="U776" s="43" t="str">
        <x:v>docs/implementation/tours-native.md
docs/ar-experience-design.md
android/app/src/main/kotlin/com/marea/app/TourAR.kt
ios/Runner/AppDelegate.swift</x:v>
      </x:c>
    </x:row>
    <x:row r="777" ht="56" customHeight="1">
      <x:c r="A777" s="42" t="str">
        <x:v>AR01.014</x:v>
      </x:c>
      <x:c r="B777" s="42" t="str">
        <x:v>Implementación AR nativa y recuperación — WIP</x:v>
      </x:c>
      <x:c r="C777" s="42" t="str">
        <x:v>AR01</x:v>
      </x:c>
      <x:c r="D777" s="43" t="str">
        <x:v>Retirar señal al perder tracking</x:v>
      </x:c>
      <x:c r="E777" s="43" t="str">
        <x:v>Ficha conserva lectura mientras desaparece anclaje.</x:v>
      </x:c>
      <x:c r="F777" s="43" t="str">
        <x:v>WIP</x:v>
      </x:c>
      <x:c r="G777" s="44" t="n">
        <x:v>46296</x:v>
      </x:c>
      <x:c r="H777" s="44" t="n">
        <x:v>46316</x:v>
      </x:c>
      <x:c r="I777" s="45" t="n">
        <x:f>IF(OR(G777="",H777=""),"",SUMPRODUCT(('Cronograma'!$F$8:$P$8&lt;=H777)*('Cronograma'!$F$9:$P$9&gt;=G777)))</x:f>
        <x:v>3</x:v>
      </x:c>
      <x:c r="J777" s="46"/>
      <x:c r="K777" s="46"/>
      <x:c r="L777" s="47"/>
      <x:c r="M777" s="48" t="str"/>
      <x:c r="N777" s="48" t="str"/>
      <x:c r="O777" s="49" t="n">
        <x:v>46301</x:v>
      </x:c>
      <x:c r="P777" s="43" t="str">
        <x:v>Reporte/inspección del checkout al corte</x:v>
      </x:c>
      <x:c r="Q777" s="43" t="str">
        <x:v>TOU02, TOU04, TOU08</x:v>
      </x:c>
      <x:c r="R777" s="43" t="str">
        <x:v>Validación física/aceptación del módulo pendiente.</x:v>
      </x:c>
      <x:c r="S777" s="43" t="str">
        <x:v>Código presente y compilaciones reportadas. Estado WIP por validación física/aceptación pendiente; no se afirma que falta escribir toda la implementación.</x:v>
      </x:c>
      <x:c r="T777" s="43" t="str">
        <x:v>S009, S008, S133, S134</x:v>
      </x:c>
      <x:c r="U777" s="43" t="str">
        <x:v>docs/implementation/tours-native.md
docs/ar-experience-design.md
android/app/src/main/kotlin/com/marea/app/TourAR.kt
ios/Runner/AppDelegate.swift</x:v>
      </x:c>
    </x:row>
    <x:row r="778" ht="56" customHeight="1">
      <x:c r="A778" s="42" t="str">
        <x:v>AR01.015</x:v>
      </x:c>
      <x:c r="B778" s="42" t="str">
        <x:v>Implementación AR nativa y recuperación — WIP</x:v>
      </x:c>
      <x:c r="C778" s="42" t="str">
        <x:v>AR01</x:v>
      </x:c>
      <x:c r="D778" s="43" t="str">
        <x:v>Mantener una sola vista AR activa</x:v>
      </x:c>
      <x:c r="E778" s="43" t="str">
        <x:v>Evitar sesiones simultáneas de cámara.</x:v>
      </x:c>
      <x:c r="F778" s="43" t="str">
        <x:v>WIP</x:v>
      </x:c>
      <x:c r="G778" s="44" t="n">
        <x:v>46296</x:v>
      </x:c>
      <x:c r="H778" s="44" t="n">
        <x:v>46316</x:v>
      </x:c>
      <x:c r="I778" s="45" t="n">
        <x:f>IF(OR(G778="",H778=""),"",SUMPRODUCT(('Cronograma'!$F$8:$P$8&lt;=H778)*('Cronograma'!$F$9:$P$9&gt;=G778)))</x:f>
        <x:v>3</x:v>
      </x:c>
      <x:c r="J778" s="46"/>
      <x:c r="K778" s="46"/>
      <x:c r="L778" s="47"/>
      <x:c r="M778" s="48" t="str"/>
      <x:c r="N778" s="48" t="str"/>
      <x:c r="O778" s="49" t="n">
        <x:v>46301</x:v>
      </x:c>
      <x:c r="P778" s="43" t="str">
        <x:v>Reporte/inspección del checkout al corte</x:v>
      </x:c>
      <x:c r="Q778" s="43" t="str">
        <x:v>TOU02, TOU04, TOU08</x:v>
      </x:c>
      <x:c r="R778" s="43" t="str">
        <x:v>Validación física/aceptación del módulo pendiente.</x:v>
      </x:c>
      <x:c r="S778" s="43" t="str">
        <x:v>Código presente y compilaciones reportadas. Estado WIP por validación física/aceptación pendiente; no se afirma que falta escribir toda la implementación.</x:v>
      </x:c>
      <x:c r="T778" s="43" t="str">
        <x:v>S009, S008, S133, S134</x:v>
      </x:c>
      <x:c r="U778" s="43" t="str">
        <x:v>docs/implementation/tours-native.md
docs/ar-experience-design.md
android/app/src/main/kotlin/com/marea/app/TourAR.kt
ios/Runner/AppDelegate.swift</x:v>
      </x:c>
    </x:row>
    <x:row r="779" ht="56" customHeight="1">
      <x:c r="A779" s="42" t="str">
        <x:v>AR01.016</x:v>
      </x:c>
      <x:c r="B779" s="42" t="str">
        <x:v>Implementación AR nativa y recuperación — WIP</x:v>
      </x:c>
      <x:c r="C779" s="42" t="str">
        <x:v>AR01</x:v>
      </x:c>
      <x:c r="D779" s="43" t="str">
        <x:v>Cancelar descargas tardías de referencias</x:v>
      </x:c>
      <x:c r="E779" s="43" t="str">
        <x:v>No reactivar una sesión abandonada.</x:v>
      </x:c>
      <x:c r="F779" s="43" t="str">
        <x:v>WIP</x:v>
      </x:c>
      <x:c r="G779" s="44" t="n">
        <x:v>46296</x:v>
      </x:c>
      <x:c r="H779" s="44" t="n">
        <x:v>46316</x:v>
      </x:c>
      <x:c r="I779" s="45" t="n">
        <x:f>IF(OR(G779="",H779=""),"",SUMPRODUCT(('Cronograma'!$F$8:$P$8&lt;=H779)*('Cronograma'!$F$9:$P$9&gt;=G779)))</x:f>
        <x:v>3</x:v>
      </x:c>
      <x:c r="J779" s="46"/>
      <x:c r="K779" s="46"/>
      <x:c r="L779" s="47"/>
      <x:c r="M779" s="48" t="str"/>
      <x:c r="N779" s="48" t="str"/>
      <x:c r="O779" s="49" t="n">
        <x:v>46301</x:v>
      </x:c>
      <x:c r="P779" s="43" t="str">
        <x:v>Reporte/inspección del checkout al corte</x:v>
      </x:c>
      <x:c r="Q779" s="43" t="str">
        <x:v>TOU02, TOU04, TOU08</x:v>
      </x:c>
      <x:c r="R779" s="43" t="str">
        <x:v>Validación física/aceptación del módulo pendiente.</x:v>
      </x:c>
      <x:c r="S779" s="43" t="str">
        <x:v>Código presente y compilaciones reportadas. Estado WIP por validación física/aceptación pendiente; no se afirma que falta escribir toda la implementación.</x:v>
      </x:c>
      <x:c r="T779" s="43" t="str">
        <x:v>S009, S008, S133, S134</x:v>
      </x:c>
      <x:c r="U779" s="43" t="str">
        <x:v>docs/implementation/tours-native.md
docs/ar-experience-design.md
android/app/src/main/kotlin/com/marea/app/TourAR.kt
ios/Runner/AppDelegate.swift</x:v>
      </x:c>
    </x:row>
    <x:row r="780" ht="56" customHeight="1">
      <x:c r="A780" s="42" t="str">
        <x:v>AR01.017</x:v>
      </x:c>
      <x:c r="B780" s="42" t="str">
        <x:v>Implementación AR nativa y recuperación — WIP</x:v>
      </x:c>
      <x:c r="C780" s="42" t="str">
        <x:v>AR01</x:v>
      </x:c>
      <x:c r="D780" s="43" t="str">
        <x:v>Detener AR al abrir detalle o cambiar parada</x:v>
      </x:c>
      <x:c r="E780" s="43" t="str">
        <x:v>Conservar lectura sin cámara residual.</x:v>
      </x:c>
      <x:c r="F780" s="43" t="str">
        <x:v>WIP</x:v>
      </x:c>
      <x:c r="G780" s="44" t="n">
        <x:v>46296</x:v>
      </x:c>
      <x:c r="H780" s="44" t="n">
        <x:v>46316</x:v>
      </x:c>
      <x:c r="I780" s="45" t="n">
        <x:f>IF(OR(G780="",H780=""),"",SUMPRODUCT(('Cronograma'!$F$8:$P$8&lt;=H780)*('Cronograma'!$F$9:$P$9&gt;=G780)))</x:f>
        <x:v>3</x:v>
      </x:c>
      <x:c r="J780" s="46"/>
      <x:c r="K780" s="46"/>
      <x:c r="L780" s="47"/>
      <x:c r="M780" s="48" t="str"/>
      <x:c r="N780" s="48" t="str"/>
      <x:c r="O780" s="49" t="n">
        <x:v>46301</x:v>
      </x:c>
      <x:c r="P780" s="43" t="str">
        <x:v>Reporte/inspección del checkout al corte</x:v>
      </x:c>
      <x:c r="Q780" s="43" t="str">
        <x:v>TOU02, TOU04, TOU08</x:v>
      </x:c>
      <x:c r="R780" s="43" t="str">
        <x:v>Validación física/aceptación del módulo pendiente.</x:v>
      </x:c>
      <x:c r="S780" s="43" t="str">
        <x:v>Código presente y compilaciones reportadas. Estado WIP por validación física/aceptación pendiente; no se afirma que falta escribir toda la implementación.</x:v>
      </x:c>
      <x:c r="T780" s="43" t="str">
        <x:v>S009, S008, S133, S134</x:v>
      </x:c>
      <x:c r="U780" s="43" t="str">
        <x:v>docs/implementation/tours-native.md
docs/ar-experience-design.md
android/app/src/main/kotlin/com/marea/app/TourAR.kt
ios/Runner/AppDelegate.swift</x:v>
      </x:c>
    </x:row>
    <x:row r="781" ht="56" customHeight="1">
      <x:c r="A781" s="42" t="str">
        <x:v>AR01.018</x:v>
      </x:c>
      <x:c r="B781" s="42" t="str">
        <x:v>Implementación AR nativa y recuperación — WIP</x:v>
      </x:c>
      <x:c r="C781" s="42" t="str">
        <x:v>AR01</x:v>
      </x:c>
      <x:c r="D781" s="43" t="str">
        <x:v>Detener AR al ir a segundo plano</x:v>
      </x:c>
      <x:c r="E781" s="43" t="str">
        <x:v>Liberar sesión y recursos al pausar.</x:v>
      </x:c>
      <x:c r="F781" s="43" t="str">
        <x:v>WIP</x:v>
      </x:c>
      <x:c r="G781" s="44" t="n">
        <x:v>46296</x:v>
      </x:c>
      <x:c r="H781" s="44" t="n">
        <x:v>46316</x:v>
      </x:c>
      <x:c r="I781" s="45" t="n">
        <x:f>IF(OR(G781="",H781=""),"",SUMPRODUCT(('Cronograma'!$F$8:$P$8&lt;=H781)*('Cronograma'!$F$9:$P$9&gt;=G781)))</x:f>
        <x:v>3</x:v>
      </x:c>
      <x:c r="J781" s="46"/>
      <x:c r="K781" s="46"/>
      <x:c r="L781" s="47"/>
      <x:c r="M781" s="48" t="str"/>
      <x:c r="N781" s="48" t="str"/>
      <x:c r="O781" s="49" t="n">
        <x:v>46301</x:v>
      </x:c>
      <x:c r="P781" s="43" t="str">
        <x:v>Reporte/inspección del checkout al corte</x:v>
      </x:c>
      <x:c r="Q781" s="43" t="str">
        <x:v>TOU02, TOU04, TOU08</x:v>
      </x:c>
      <x:c r="R781" s="43" t="str">
        <x:v>Validación física/aceptación del módulo pendiente.</x:v>
      </x:c>
      <x:c r="S781" s="43" t="str">
        <x:v>Código presente y compilaciones reportadas. Estado WIP por validación física/aceptación pendiente; no se afirma que falta escribir toda la implementación.</x:v>
      </x:c>
      <x:c r="T781" s="43" t="str">
        <x:v>S009, S008, S133, S134</x:v>
      </x:c>
      <x:c r="U781" s="43" t="str">
        <x:v>docs/implementation/tours-native.md
docs/ar-experience-design.md
android/app/src/main/kotlin/com/marea/app/TourAR.kt
ios/Runner/AppDelegate.swift</x:v>
      </x:c>
    </x:row>
    <x:row r="782" ht="56" customHeight="1">
      <x:c r="A782" s="42" t="str">
        <x:v>AR01.019</x:v>
      </x:c>
      <x:c r="B782" s="42" t="str">
        <x:v>Implementación AR nativa y recuperación — WIP</x:v>
      </x:c>
      <x:c r="C782" s="42" t="str">
        <x:v>AR01</x:v>
      </x:c>
      <x:c r="D782" s="43" t="str">
        <x:v>Liberar EGL, anchors y Session Android</x:v>
      </x:c>
      <x:c r="E782" s="43" t="str">
        <x:v>Implementación de cierre pendiente de aceptación física.</x:v>
      </x:c>
      <x:c r="F782" s="43" t="str">
        <x:v>WIP</x:v>
      </x:c>
      <x:c r="G782" s="44" t="n">
        <x:v>46296</x:v>
      </x:c>
      <x:c r="H782" s="44" t="n">
        <x:v>46316</x:v>
      </x:c>
      <x:c r="I782" s="45" t="n">
        <x:f>IF(OR(G782="",H782=""),"",SUMPRODUCT(('Cronograma'!$F$8:$P$8&lt;=H782)*('Cronograma'!$F$9:$P$9&gt;=G782)))</x:f>
        <x:v>3</x:v>
      </x:c>
      <x:c r="J782" s="46"/>
      <x:c r="K782" s="46"/>
      <x:c r="L782" s="47"/>
      <x:c r="M782" s="48" t="str"/>
      <x:c r="N782" s="48" t="str"/>
      <x:c r="O782" s="49" t="n">
        <x:v>46301</x:v>
      </x:c>
      <x:c r="P782" s="43" t="str">
        <x:v>Reporte/inspección del checkout al corte</x:v>
      </x:c>
      <x:c r="Q782" s="43" t="str">
        <x:v>TOU02, TOU04, TOU08</x:v>
      </x:c>
      <x:c r="R782" s="43" t="str">
        <x:v>Validación física/aceptación del módulo pendiente.</x:v>
      </x:c>
      <x:c r="S782" s="43" t="str">
        <x:v>Código presente y compilaciones reportadas. Estado WIP por validación física/aceptación pendiente; no se afirma que falta escribir toda la implementación.</x:v>
      </x:c>
      <x:c r="T782" s="43" t="str">
        <x:v>S009, S008, S133, S134</x:v>
      </x:c>
      <x:c r="U782" s="43" t="str">
        <x:v>docs/implementation/tours-native.md
docs/ar-experience-design.md
android/app/src/main/kotlin/com/marea/app/TourAR.kt
ios/Runner/AppDelegate.swift</x:v>
      </x:c>
    </x:row>
    <x:row r="783" ht="56" customHeight="1">
      <x:c r="A783" s="42" t="str">
        <x:v>AR01.020</x:v>
      </x:c>
      <x:c r="B783" s="42" t="str">
        <x:v>Implementación AR nativa y recuperación — WIP</x:v>
      </x:c>
      <x:c r="C783" s="42" t="str">
        <x:v>AR01</x:v>
      </x:c>
      <x:c r="D783" s="43" t="str">
        <x:v>Pausar escena y delegado ARKit</x:v>
      </x:c>
      <x:c r="E783" s="43" t="str">
        <x:v>Implementación de liberación pendiente de aceptación física.</x:v>
      </x:c>
      <x:c r="F783" s="43" t="str">
        <x:v>WIP</x:v>
      </x:c>
      <x:c r="G783" s="44" t="n">
        <x:v>46296</x:v>
      </x:c>
      <x:c r="H783" s="44" t="n">
        <x:v>46316</x:v>
      </x:c>
      <x:c r="I783" s="45" t="n">
        <x:f>IF(OR(G783="",H783=""),"",SUMPRODUCT(('Cronograma'!$F$8:$P$8&lt;=H783)*('Cronograma'!$F$9:$P$9&gt;=G783)))</x:f>
        <x:v>3</x:v>
      </x:c>
      <x:c r="J783" s="46"/>
      <x:c r="K783" s="46"/>
      <x:c r="L783" s="47"/>
      <x:c r="M783" s="48" t="str"/>
      <x:c r="N783" s="48" t="str"/>
      <x:c r="O783" s="49" t="n">
        <x:v>46301</x:v>
      </x:c>
      <x:c r="P783" s="43" t="str">
        <x:v>Reporte/inspección del checkout al corte</x:v>
      </x:c>
      <x:c r="Q783" s="43" t="str">
        <x:v>TOU02, TOU04, TOU08</x:v>
      </x:c>
      <x:c r="R783" s="43" t="str">
        <x:v>Validación física/aceptación del módulo pendiente.</x:v>
      </x:c>
      <x:c r="S783" s="43" t="str">
        <x:v>Código presente y compilaciones reportadas. Estado WIP por validación física/aceptación pendiente; no se afirma que falta escribir toda la implementación.</x:v>
      </x:c>
      <x:c r="T783" s="43" t="str">
        <x:v>S009, S008, S133, S134</x:v>
      </x:c>
      <x:c r="U783" s="43" t="str">
        <x:v>docs/implementation/tours-native.md
docs/ar-experience-design.md
android/app/src/main/kotlin/com/marea/app/TourAR.kt
ios/Runner/AppDelegate.swift</x:v>
      </x:c>
    </x:row>
    <x:row r="784" ht="56" customHeight="1">
      <x:c r="A784" s="42" t="str">
        <x:v>AR01.021</x:v>
      </x:c>
      <x:c r="B784" s="42" t="str">
        <x:v>Implementación AR nativa y recuperación — WIP</x:v>
      </x:c>
      <x:c r="C784" s="42" t="str">
        <x:v>AR01</x:v>
      </x:c>
      <x:c r="D784" s="43" t="str">
        <x:v>Ofrecer lista sin cámara ante fallo</x:v>
      </x:c>
      <x:c r="E784" s="43" t="str">
        <x:v>Mantener alternativa ante permiso, soporte o referencia ilegible.</x:v>
      </x:c>
      <x:c r="F784" s="43" t="str">
        <x:v>WIP</x:v>
      </x:c>
      <x:c r="G784" s="44" t="n">
        <x:v>46296</x:v>
      </x:c>
      <x:c r="H784" s="44" t="n">
        <x:v>46316</x:v>
      </x:c>
      <x:c r="I784" s="45" t="n">
        <x:f>IF(OR(G784="",H784=""),"",SUMPRODUCT(('Cronograma'!$F$8:$P$8&lt;=H784)*('Cronograma'!$F$9:$P$9&gt;=G784)))</x:f>
        <x:v>3</x:v>
      </x:c>
      <x:c r="J784" s="46"/>
      <x:c r="K784" s="46"/>
      <x:c r="L784" s="47"/>
      <x:c r="M784" s="48" t="str"/>
      <x:c r="N784" s="48" t="str"/>
      <x:c r="O784" s="49" t="n">
        <x:v>46301</x:v>
      </x:c>
      <x:c r="P784" s="43" t="str">
        <x:v>Reporte/inspección del checkout al corte</x:v>
      </x:c>
      <x:c r="Q784" s="43" t="str">
        <x:v>TOU02, TOU04, TOU08</x:v>
      </x:c>
      <x:c r="R784" s="43" t="str">
        <x:v>Validación física/aceptación del módulo pendiente.</x:v>
      </x:c>
      <x:c r="S784" s="43" t="str">
        <x:v>Código presente y compilaciones reportadas. Estado WIP por validación física/aceptación pendiente; no se afirma que falta escribir toda la implementación.</x:v>
      </x:c>
      <x:c r="T784" s="43" t="str">
        <x:v>S009, S008, S133, S134</x:v>
      </x:c>
      <x:c r="U784" s="43" t="str">
        <x:v>docs/implementation/tours-native.md
docs/ar-experience-design.md
android/app/src/main/kotlin/com/marea/app/TourAR.kt
ios/Runner/AppDelegate.swift</x:v>
      </x:c>
    </x:row>
    <x:row r="785" ht="56" customHeight="1">
      <x:c r="A785" s="42" t="str">
        <x:v>AR01.022</x:v>
      </x:c>
      <x:c r="B785" s="42" t="str">
        <x:v>Implementación AR nativa y recuperación — WIP</x:v>
      </x:c>
      <x:c r="C785" s="42" t="str">
        <x:v>AR01</x:v>
      </x:c>
      <x:c r="D785" s="43" t="str">
        <x:v>Probar recuperación automática de AR</x:v>
      </x:c>
      <x:c r="E785" s="43" t="str">
        <x:v>Pruebas de código disponibles; no acreditan reconocimiento físico.</x:v>
      </x:c>
      <x:c r="F785" s="43" t="str">
        <x:v>WIP</x:v>
      </x:c>
      <x:c r="G785" s="44" t="n">
        <x:v>46296</x:v>
      </x:c>
      <x:c r="H785" s="44" t="n">
        <x:v>46316</x:v>
      </x:c>
      <x:c r="I785" s="45" t="n">
        <x:f>IF(OR(G785="",H785=""),"",SUMPRODUCT(('Cronograma'!$F$8:$P$8&lt;=H785)*('Cronograma'!$F$9:$P$9&gt;=G785)))</x:f>
        <x:v>3</x:v>
      </x:c>
      <x:c r="J785" s="46"/>
      <x:c r="K785" s="46"/>
      <x:c r="L785" s="47"/>
      <x:c r="M785" s="48" t="str"/>
      <x:c r="N785" s="48" t="str"/>
      <x:c r="O785" s="49" t="n">
        <x:v>46301</x:v>
      </x:c>
      <x:c r="P785" s="43" t="str">
        <x:v>Reporte/inspección del checkout al corte</x:v>
      </x:c>
      <x:c r="Q785" s="43" t="str">
        <x:v>TOU02, TOU04, TOU08</x:v>
      </x:c>
      <x:c r="R785" s="43" t="str">
        <x:v>Validación física/aceptación del módulo pendiente.</x:v>
      </x:c>
      <x:c r="S785" s="43" t="str">
        <x:v>Código presente y compilaciones reportadas. Estado WIP por validación física/aceptación pendiente; no se afirma que falta escribir toda la implementación.</x:v>
      </x:c>
      <x:c r="T785" s="43" t="str">
        <x:v>S009, S008, S133, S134</x:v>
      </x:c>
      <x:c r="U785" s="43" t="str">
        <x:v>docs/implementation/tours-native.md
docs/ar-experience-design.md
android/app/src/main/kotlin/com/marea/app/TourAR.kt
ios/Runner/AppDelegate.swift</x:v>
      </x:c>
    </x:row>
    <x:row r="786" ht="56" customHeight="1">
      <x:c r="A786" s="42" t="str">
        <x:v>TOU09.001</x:v>
      </x:c>
      <x:c r="B786" s="42" t="str">
        <x:v>Progreso e integración de recorridos</x:v>
      </x:c>
      <x:c r="C786" s="42" t="str">
        <x:v>TOU09</x:v>
      </x:c>
      <x:c r="D786" s="43" t="str">
        <x:v>Guardar progreso privado por cuenta y versión</x:v>
      </x:c>
      <x:c r="E786" s="43" t="str">
        <x:v>Persistir posición y estado de paradas.</x:v>
      </x:c>
      <x:c r="F786" s="43" t="str">
        <x:v>Completado</x:v>
      </x:c>
      <x:c r="G786" s="44" t="n">
        <x:v>46296</x:v>
      </x:c>
      <x:c r="H786" s="44" t="n">
        <x:v>46302</x:v>
      </x:c>
      <x:c r="I786" s="45" t="n">
        <x:f>IF(OR(G786="",H786=""),"",SUMPRODUCT(('Cronograma'!$F$8:$P$8&lt;=H786)*('Cronograma'!$F$9:$P$9&gt;=G786)))</x:f>
        <x:v>1</x:v>
      </x:c>
      <x:c r="J786" s="46"/>
      <x:c r="K786" s="46"/>
      <x:c r="L786" s="47"/>
      <x:c r="M786" s="48" t="str"/>
      <x:c r="N786" s="48" t="str"/>
      <x:c r="O786" s="49" t="n">
        <x:v>46301</x:v>
      </x:c>
      <x:c r="P786" s="43" t="str">
        <x:v>Reporte/inspección del checkout al corte</x:v>
      </x:c>
      <x:c r="Q786" s="43" t="str">
        <x:v>TOU02, TOU08, SOC04</x:v>
      </x:c>
      <x:c r="R786" s="43" t="str"/>
      <x:c r="S786" s="43" t="str"/>
      <x:c r="T786" s="43" t="str">
        <x:v>S008, S135, S136, S113</x:v>
      </x:c>
      <x:c r="U786" s="43" t="str">
        <x:v>docs/ar-experience-design.md
lib/features/tours/data/tour_progress_store.dart
lib/core/router/app_router.dart
docs/implementation/tours-360-delivery.md</x:v>
      </x:c>
    </x:row>
    <x:row r="787" ht="56" customHeight="1">
      <x:c r="A787" s="42" t="str">
        <x:v>TOU09.002</x:v>
      </x:c>
      <x:c r="B787" s="42" t="str">
        <x:v>Progreso e integración de recorridos</x:v>
      </x:c>
      <x:c r="C787" s="42" t="str">
        <x:v>TOU09</x:v>
      </x:c>
      <x:c r="D787" s="43" t="str">
        <x:v>Distinguir visitadas y saltadas</x:v>
      </x:c>
      <x:c r="E787" s="43" t="str">
        <x:v>No considerar salto como visita.</x:v>
      </x:c>
      <x:c r="F787" s="43" t="str">
        <x:v>Completado</x:v>
      </x:c>
      <x:c r="G787" s="44" t="n">
        <x:v>46296</x:v>
      </x:c>
      <x:c r="H787" s="44" t="n">
        <x:v>46302</x:v>
      </x:c>
      <x:c r="I787" s="45" t="n">
        <x:f>IF(OR(G787="",H787=""),"",SUMPRODUCT(('Cronograma'!$F$8:$P$8&lt;=H787)*('Cronograma'!$F$9:$P$9&gt;=G787)))</x:f>
        <x:v>1</x:v>
      </x:c>
      <x:c r="J787" s="46"/>
      <x:c r="K787" s="46"/>
      <x:c r="L787" s="47"/>
      <x:c r="M787" s="48" t="str"/>
      <x:c r="N787" s="48" t="str"/>
      <x:c r="O787" s="49" t="n">
        <x:v>46301</x:v>
      </x:c>
      <x:c r="P787" s="43" t="str">
        <x:v>Reporte/inspección del checkout al corte</x:v>
      </x:c>
      <x:c r="Q787" s="43" t="str">
        <x:v>TOU02, TOU08, SOC04</x:v>
      </x:c>
      <x:c r="R787" s="43" t="str"/>
      <x:c r="S787" s="43" t="str"/>
      <x:c r="T787" s="43" t="str">
        <x:v>S008, S135, S136, S113</x:v>
      </x:c>
      <x:c r="U787" s="43" t="str">
        <x:v>docs/ar-experience-design.md
lib/features/tours/data/tour_progress_store.dart
lib/core/router/app_router.dart
docs/implementation/tours-360-delivery.md</x:v>
      </x:c>
    </x:row>
    <x:row r="788" ht="56" customHeight="1">
      <x:c r="A788" s="42" t="str">
        <x:v>TOU09.003</x:v>
      </x:c>
      <x:c r="B788" s="42" t="str">
        <x:v>Progreso e integración de recorridos</x:v>
      </x:c>
      <x:c r="C788" s="42" t="str">
        <x:v>TOU09</x:v>
      </x:c>
      <x:c r="D788" s="43" t="str">
        <x:v>Crear outbox local de progreso</x:v>
      </x:c>
      <x:c r="E788" s="43" t="str">
        <x:v>Guardar antes de enviar RPC.</x:v>
      </x:c>
      <x:c r="F788" s="43" t="str">
        <x:v>Completado</x:v>
      </x:c>
      <x:c r="G788" s="44" t="n">
        <x:v>46296</x:v>
      </x:c>
      <x:c r="H788" s="44" t="n">
        <x:v>46302</x:v>
      </x:c>
      <x:c r="I788" s="45" t="n">
        <x:f>IF(OR(G788="",H788=""),"",SUMPRODUCT(('Cronograma'!$F$8:$P$8&lt;=H788)*('Cronograma'!$F$9:$P$9&gt;=G788)))</x:f>
        <x:v>1</x:v>
      </x:c>
      <x:c r="J788" s="46"/>
      <x:c r="K788" s="46"/>
      <x:c r="L788" s="47"/>
      <x:c r="M788" s="48" t="str"/>
      <x:c r="N788" s="48" t="str"/>
      <x:c r="O788" s="49" t="n">
        <x:v>46301</x:v>
      </x:c>
      <x:c r="P788" s="43" t="str">
        <x:v>Reporte/inspección del checkout al corte</x:v>
      </x:c>
      <x:c r="Q788" s="43" t="str">
        <x:v>TOU02, TOU08, SOC04</x:v>
      </x:c>
      <x:c r="R788" s="43" t="str"/>
      <x:c r="S788" s="43" t="str"/>
      <x:c r="T788" s="43" t="str">
        <x:v>S008, S135, S136, S113</x:v>
      </x:c>
      <x:c r="U788" s="43" t="str">
        <x:v>docs/ar-experience-design.md
lib/features/tours/data/tour_progress_store.dart
lib/core/router/app_router.dart
docs/implementation/tours-360-delivery.md</x:v>
      </x:c>
    </x:row>
    <x:row r="789" ht="56" customHeight="1">
      <x:c r="A789" s="42" t="str">
        <x:v>TOU09.004</x:v>
      </x:c>
      <x:c r="B789" s="42" t="str">
        <x:v>Progreso e integración de recorridos</x:v>
      </x:c>
      <x:c r="C789" s="42" t="str">
        <x:v>TOU09</x:v>
      </x:c>
      <x:c r="D789" s="43" t="str">
        <x:v>Sincronizar progreso pendiente al volver</x:v>
      </x:c>
      <x:c r="E789" s="43" t="str">
        <x:v>Recuperar cambios tras error o falta de red.</x:v>
      </x:c>
      <x:c r="F789" s="43" t="str">
        <x:v>Completado</x:v>
      </x:c>
      <x:c r="G789" s="44" t="n">
        <x:v>46296</x:v>
      </x:c>
      <x:c r="H789" s="44" t="n">
        <x:v>46302</x:v>
      </x:c>
      <x:c r="I789" s="45" t="n">
        <x:f>IF(OR(G789="",H789=""),"",SUMPRODUCT(('Cronograma'!$F$8:$P$8&lt;=H789)*('Cronograma'!$F$9:$P$9&gt;=G789)))</x:f>
        <x:v>1</x:v>
      </x:c>
      <x:c r="J789" s="46"/>
      <x:c r="K789" s="46"/>
      <x:c r="L789" s="47"/>
      <x:c r="M789" s="48" t="str"/>
      <x:c r="N789" s="48" t="str"/>
      <x:c r="O789" s="49" t="n">
        <x:v>46301</x:v>
      </x:c>
      <x:c r="P789" s="43" t="str">
        <x:v>Reporte/inspección del checkout al corte</x:v>
      </x:c>
      <x:c r="Q789" s="43" t="str">
        <x:v>TOU02, TOU08, SOC04</x:v>
      </x:c>
      <x:c r="R789" s="43" t="str"/>
      <x:c r="S789" s="43" t="str"/>
      <x:c r="T789" s="43" t="str">
        <x:v>S008, S135, S136, S113</x:v>
      </x:c>
      <x:c r="U789" s="43" t="str">
        <x:v>docs/ar-experience-design.md
lib/features/tours/data/tour_progress_store.dart
lib/core/router/app_router.dart
docs/implementation/tours-360-delivery.md</x:v>
      </x:c>
    </x:row>
    <x:row r="790" ht="56" customHeight="1">
      <x:c r="A790" s="42" t="str">
        <x:v>TOU09.005</x:v>
      </x:c>
      <x:c r="B790" s="42" t="str">
        <x:v>Progreso e integración de recorridos</x:v>
      </x:c>
      <x:c r="C790" s="42" t="str">
        <x:v>TOU09</x:v>
      </x:c>
      <x:c r="D790" s="43" t="str">
        <x:v>Informar nueva versión del recorrido</x:v>
      </x:c>
      <x:c r="E790" s="43" t="str">
        <x:v>Pedir reinicio sin copiar IDs antiguos.</x:v>
      </x:c>
      <x:c r="F790" s="43" t="str">
        <x:v>Completado</x:v>
      </x:c>
      <x:c r="G790" s="44" t="n">
        <x:v>46296</x:v>
      </x:c>
      <x:c r="H790" s="44" t="n">
        <x:v>46302</x:v>
      </x:c>
      <x:c r="I790" s="45" t="n">
        <x:f>IF(OR(G790="",H790=""),"",SUMPRODUCT(('Cronograma'!$F$8:$P$8&lt;=H790)*('Cronograma'!$F$9:$P$9&gt;=G790)))</x:f>
        <x:v>1</x:v>
      </x:c>
      <x:c r="J790" s="46"/>
      <x:c r="K790" s="46"/>
      <x:c r="L790" s="47"/>
      <x:c r="M790" s="48" t="str"/>
      <x:c r="N790" s="48" t="str"/>
      <x:c r="O790" s="49" t="n">
        <x:v>46301</x:v>
      </x:c>
      <x:c r="P790" s="43" t="str">
        <x:v>Reporte/inspección del checkout al corte</x:v>
      </x:c>
      <x:c r="Q790" s="43" t="str">
        <x:v>TOU02, TOU08, SOC04</x:v>
      </x:c>
      <x:c r="R790" s="43" t="str"/>
      <x:c r="S790" s="43" t="str"/>
      <x:c r="T790" s="43" t="str">
        <x:v>S008, S135, S136, S113</x:v>
      </x:c>
      <x:c r="U790" s="43" t="str">
        <x:v>docs/ar-experience-design.md
lib/features/tours/data/tour_progress_store.dart
lib/core/router/app_router.dart
docs/implementation/tours-360-delivery.md</x:v>
      </x:c>
    </x:row>
    <x:row r="791" ht="56" customHeight="1">
      <x:c r="A791" s="42" t="str">
        <x:v>TOU09.006</x:v>
      </x:c>
      <x:c r="B791" s="42" t="str">
        <x:v>Progreso e integración de recorridos</x:v>
      </x:c>
      <x:c r="C791" s="42" t="str">
        <x:v>TOU09</x:v>
      </x:c>
      <x:c r="D791" s="43" t="str">
        <x:v>Integrar entrada desde Crear</x:v>
      </x:c>
      <x:c r="E791" s="43" t="str">
        <x:v>Ofrecer administración a perfiles profesionales.</x:v>
      </x:c>
      <x:c r="F791" s="43" t="str">
        <x:v>Completado</x:v>
      </x:c>
      <x:c r="G791" s="44" t="n">
        <x:v>46296</x:v>
      </x:c>
      <x:c r="H791" s="44" t="n">
        <x:v>46302</x:v>
      </x:c>
      <x:c r="I791" s="45" t="n">
        <x:f>IF(OR(G791="",H791=""),"",SUMPRODUCT(('Cronograma'!$F$8:$P$8&lt;=H791)*('Cronograma'!$F$9:$P$9&gt;=G791)))</x:f>
        <x:v>1</x:v>
      </x:c>
      <x:c r="J791" s="46"/>
      <x:c r="K791" s="46"/>
      <x:c r="L791" s="47"/>
      <x:c r="M791" s="48" t="str"/>
      <x:c r="N791" s="48" t="str"/>
      <x:c r="O791" s="49" t="n">
        <x:v>46301</x:v>
      </x:c>
      <x:c r="P791" s="43" t="str">
        <x:v>Reporte/inspección del checkout al corte</x:v>
      </x:c>
      <x:c r="Q791" s="43" t="str">
        <x:v>TOU02, TOU08, SOC04</x:v>
      </x:c>
      <x:c r="R791" s="43" t="str"/>
      <x:c r="S791" s="43" t="str"/>
      <x:c r="T791" s="43" t="str">
        <x:v>S008, S135, S136, S113</x:v>
      </x:c>
      <x:c r="U791" s="43" t="str">
        <x:v>docs/ar-experience-design.md
lib/features/tours/data/tour_progress_store.dart
lib/core/router/app_router.dart
docs/implementation/tours-360-delivery.md</x:v>
      </x:c>
    </x:row>
    <x:row r="792" ht="56" customHeight="1">
      <x:c r="A792" s="42" t="str">
        <x:v>TOU09.007</x:v>
      </x:c>
      <x:c r="B792" s="42" t="str">
        <x:v>Progreso e integración de recorridos</x:v>
      </x:c>
      <x:c r="C792" s="42" t="str">
        <x:v>TOU09</x:v>
      </x:c>
      <x:c r="D792" s="43" t="str">
        <x:v>Integrar recorridos en herramientas propias</x:v>
      </x:c>
      <x:c r="E792" s="43" t="str">
        <x:v>Abrir solicitudes y contenido del responsable.</x:v>
      </x:c>
      <x:c r="F792" s="43" t="str">
        <x:v>Completado</x:v>
      </x:c>
      <x:c r="G792" s="44" t="n">
        <x:v>46296</x:v>
      </x:c>
      <x:c r="H792" s="44" t="n">
        <x:v>46302</x:v>
      </x:c>
      <x:c r="I792" s="45" t="n">
        <x:f>IF(OR(G792="",H792=""),"",SUMPRODUCT(('Cronograma'!$F$8:$P$8&lt;=H792)*('Cronograma'!$F$9:$P$9&gt;=G792)))</x:f>
        <x:v>1</x:v>
      </x:c>
      <x:c r="J792" s="46"/>
      <x:c r="K792" s="46"/>
      <x:c r="L792" s="47"/>
      <x:c r="M792" s="48" t="str"/>
      <x:c r="N792" s="48" t="str"/>
      <x:c r="O792" s="49" t="n">
        <x:v>46301</x:v>
      </x:c>
      <x:c r="P792" s="43" t="str">
        <x:v>Reporte/inspección del checkout al corte</x:v>
      </x:c>
      <x:c r="Q792" s="43" t="str">
        <x:v>TOU02, TOU08, SOC04</x:v>
      </x:c>
      <x:c r="R792" s="43" t="str"/>
      <x:c r="S792" s="43" t="str"/>
      <x:c r="T792" s="43" t="str">
        <x:v>S008, S135, S136, S113</x:v>
      </x:c>
      <x:c r="U792" s="43" t="str">
        <x:v>docs/ar-experience-design.md
lib/features/tours/data/tour_progress_store.dart
lib/core/router/app_router.dart
docs/implementation/tours-360-delivery.md</x:v>
      </x:c>
    </x:row>
    <x:row r="793" ht="56" customHeight="1">
      <x:c r="A793" s="42" t="str">
        <x:v>TOU09.008</x:v>
      </x:c>
      <x:c r="B793" s="42" t="str">
        <x:v>Progreso e integración de recorridos</x:v>
      </x:c>
      <x:c r="C793" s="42" t="str">
        <x:v>TOU09</x:v>
      </x:c>
      <x:c r="D793" s="43" t="str">
        <x:v>Integrar tarjeta en perfil público</x:v>
      </x:c>
      <x:c r="E793" s="43" t="str">
        <x:v>Mostrar Explorar el local 360° cuando está disponible.</x:v>
      </x:c>
      <x:c r="F793" s="43" t="str">
        <x:v>Completado</x:v>
      </x:c>
      <x:c r="G793" s="44" t="n">
        <x:v>46296</x:v>
      </x:c>
      <x:c r="H793" s="44" t="n">
        <x:v>46302</x:v>
      </x:c>
      <x:c r="I793" s="45" t="n">
        <x:f>IF(OR(G793="",H793=""),"",SUMPRODUCT(('Cronograma'!$F$8:$P$8&lt;=H793)*('Cronograma'!$F$9:$P$9&gt;=G793)))</x:f>
        <x:v>1</x:v>
      </x:c>
      <x:c r="J793" s="46"/>
      <x:c r="K793" s="46"/>
      <x:c r="L793" s="47"/>
      <x:c r="M793" s="48" t="str"/>
      <x:c r="N793" s="48" t="str"/>
      <x:c r="O793" s="49" t="n">
        <x:v>46301</x:v>
      </x:c>
      <x:c r="P793" s="43" t="str">
        <x:v>Reporte/inspección del checkout al corte</x:v>
      </x:c>
      <x:c r="Q793" s="43" t="str">
        <x:v>TOU02, TOU08, SOC04</x:v>
      </x:c>
      <x:c r="R793" s="43" t="str"/>
      <x:c r="S793" s="43" t="str"/>
      <x:c r="T793" s="43" t="str">
        <x:v>S008, S135, S136, S113</x:v>
      </x:c>
      <x:c r="U793" s="43" t="str">
        <x:v>docs/ar-experience-design.md
lib/features/tours/data/tour_progress_store.dart
lib/core/router/app_router.dart
docs/implementation/tours-360-delivery.md</x:v>
      </x:c>
    </x:row>
    <x:row r="794" ht="56" customHeight="1">
      <x:c r="A794" s="42" t="str">
        <x:v>TOU09.009</x:v>
      </x:c>
      <x:c r="B794" s="42" t="str">
        <x:v>Progreso e integración de recorridos</x:v>
      </x:c>
      <x:c r="C794" s="42" t="str">
        <x:v>TOU09</x:v>
      </x:c>
      <x:c r="D794" s="43" t="str">
        <x:v>Integrar revisión en moderación</x:v>
      </x:c>
      <x:c r="E794" s="43" t="str">
        <x:v>Agregar Espacios y recorridos con controles privados.</x:v>
      </x:c>
      <x:c r="F794" s="43" t="str">
        <x:v>Completado</x:v>
      </x:c>
      <x:c r="G794" s="44" t="n">
        <x:v>46296</x:v>
      </x:c>
      <x:c r="H794" s="44" t="n">
        <x:v>46302</x:v>
      </x:c>
      <x:c r="I794" s="45" t="n">
        <x:f>IF(OR(G794="",H794=""),"",SUMPRODUCT(('Cronograma'!$F$8:$P$8&lt;=H794)*('Cronograma'!$F$9:$P$9&gt;=G794)))</x:f>
        <x:v>1</x:v>
      </x:c>
      <x:c r="J794" s="46"/>
      <x:c r="K794" s="46"/>
      <x:c r="L794" s="47"/>
      <x:c r="M794" s="48" t="str"/>
      <x:c r="N794" s="48" t="str"/>
      <x:c r="O794" s="49" t="n">
        <x:v>46301</x:v>
      </x:c>
      <x:c r="P794" s="43" t="str">
        <x:v>Reporte/inspección del checkout al corte</x:v>
      </x:c>
      <x:c r="Q794" s="43" t="str">
        <x:v>TOU02, TOU08, SOC04</x:v>
      </x:c>
      <x:c r="R794" s="43" t="str"/>
      <x:c r="S794" s="43" t="str"/>
      <x:c r="T794" s="43" t="str">
        <x:v>S008, S135, S136, S113</x:v>
      </x:c>
      <x:c r="U794" s="43" t="str">
        <x:v>docs/ar-experience-design.md
lib/features/tours/data/tour_progress_store.dart
lib/core/router/app_router.dart
docs/implementation/tours-360-delivery.md</x:v>
      </x:c>
    </x:row>
    <x:row r="795" ht="56" customHeight="1">
      <x:c r="A795" s="42" t="str">
        <x:v>TOU09.010</x:v>
      </x:c>
      <x:c r="B795" s="42" t="str">
        <x:v>Progreso e integración de recorridos</x:v>
      </x:c>
      <x:c r="C795" s="42" t="str">
        <x:v>TOU09</x:v>
      </x:c>
      <x:c r="D795" s="43" t="str">
        <x:v>Agregar capa de recorridos al mapa</x:v>
      </x:c>
      <x:c r="E795" s="43" t="str">
        <x:v>Mantener filtros y consultas de misiones separados.</x:v>
      </x:c>
      <x:c r="F795" s="43" t="str">
        <x:v>Completado</x:v>
      </x:c>
      <x:c r="G795" s="44" t="n">
        <x:v>46296</x:v>
      </x:c>
      <x:c r="H795" s="44" t="n">
        <x:v>46302</x:v>
      </x:c>
      <x:c r="I795" s="45" t="n">
        <x:f>IF(OR(G795="",H795=""),"",SUMPRODUCT(('Cronograma'!$F$8:$P$8&lt;=H795)*('Cronograma'!$F$9:$P$9&gt;=G795)))</x:f>
        <x:v>1</x:v>
      </x:c>
      <x:c r="J795" s="46"/>
      <x:c r="K795" s="46"/>
      <x:c r="L795" s="47"/>
      <x:c r="M795" s="48" t="str"/>
      <x:c r="N795" s="48" t="str"/>
      <x:c r="O795" s="49" t="n">
        <x:v>46301</x:v>
      </x:c>
      <x:c r="P795" s="43" t="str">
        <x:v>Reporte/inspección del checkout al corte</x:v>
      </x:c>
      <x:c r="Q795" s="43" t="str">
        <x:v>TOU02, TOU08, SOC04</x:v>
      </x:c>
      <x:c r="R795" s="43" t="str"/>
      <x:c r="S795" s="43" t="str"/>
      <x:c r="T795" s="43" t="str">
        <x:v>S008, S135, S136, S113</x:v>
      </x:c>
      <x:c r="U795" s="43" t="str">
        <x:v>docs/ar-experience-design.md
lib/features/tours/data/tour_progress_store.dart
lib/core/router/app_router.dart
docs/implementation/tours-360-delivery.md</x:v>
      </x:c>
    </x:row>
    <x:row r="796" ht="56" customHeight="1">
      <x:c r="A796" s="42" t="str">
        <x:v>TOU09.011</x:v>
      </x:c>
      <x:c r="B796" s="42" t="str">
        <x:v>Progreso e integración de recorridos</x:v>
      </x:c>
      <x:c r="C796" s="42" t="str">
        <x:v>TOU09</x:v>
      </x:c>
      <x:c r="D796" s="43" t="str">
        <x:v>Crear descubrimiento de recorridos vigentes</x:v>
      </x:c>
      <x:c r="E796" s="43" t="str">
        <x:v>Consultar experiencias y ubicación aproximada.</x:v>
      </x:c>
      <x:c r="F796" s="43" t="str">
        <x:v>Completado</x:v>
      </x:c>
      <x:c r="G796" s="44" t="n">
        <x:v>46296</x:v>
      </x:c>
      <x:c r="H796" s="44" t="n">
        <x:v>46302</x:v>
      </x:c>
      <x:c r="I796" s="45" t="n">
        <x:f>IF(OR(G796="",H796=""),"",SUMPRODUCT(('Cronograma'!$F$8:$P$8&lt;=H796)*('Cronograma'!$F$9:$P$9&gt;=G796)))</x:f>
        <x:v>1</x:v>
      </x:c>
      <x:c r="J796" s="46"/>
      <x:c r="K796" s="46"/>
      <x:c r="L796" s="47"/>
      <x:c r="M796" s="48" t="str"/>
      <x:c r="N796" s="48" t="str"/>
      <x:c r="O796" s="49" t="n">
        <x:v>46301</x:v>
      </x:c>
      <x:c r="P796" s="43" t="str">
        <x:v>Reporte/inspección del checkout al corte</x:v>
      </x:c>
      <x:c r="Q796" s="43" t="str">
        <x:v>TOU02, TOU08, SOC04</x:v>
      </x:c>
      <x:c r="R796" s="43" t="str"/>
      <x:c r="S796" s="43" t="str"/>
      <x:c r="T796" s="43" t="str">
        <x:v>S008, S135, S136, S113</x:v>
      </x:c>
      <x:c r="U796" s="43" t="str">
        <x:v>docs/ar-experience-design.md
lib/features/tours/data/tour_progress_store.dart
lib/core/router/app_router.dart
docs/implementation/tours-360-delivery.md</x:v>
      </x:c>
    </x:row>
    <x:row r="797" ht="56" customHeight="1">
      <x:c r="A797" s="42" t="str">
        <x:v>TOU09.012</x:v>
      </x:c>
      <x:c r="B797" s="42" t="str">
        <x:v>Progreso e integración de recorridos</x:v>
      </x:c>
      <x:c r="C797" s="42" t="str">
        <x:v>TOU09</x:v>
      </x:c>
      <x:c r="D797" s="43" t="str">
        <x:v>Crear enlaces /tours/:id y punto</x:v>
      </x:c>
      <x:c r="E797" s="43" t="str">
        <x:v>Conservar destino tras autenticación.</x:v>
      </x:c>
      <x:c r="F797" s="43" t="str">
        <x:v>Completado</x:v>
      </x:c>
      <x:c r="G797" s="44" t="n">
        <x:v>46296</x:v>
      </x:c>
      <x:c r="H797" s="44" t="n">
        <x:v>46302</x:v>
      </x:c>
      <x:c r="I797" s="45" t="n">
        <x:f>IF(OR(G797="",H797=""),"",SUMPRODUCT(('Cronograma'!$F$8:$P$8&lt;=H797)*('Cronograma'!$F$9:$P$9&gt;=G797)))</x:f>
        <x:v>1</x:v>
      </x:c>
      <x:c r="J797" s="46"/>
      <x:c r="K797" s="46"/>
      <x:c r="L797" s="47"/>
      <x:c r="M797" s="48" t="str"/>
      <x:c r="N797" s="48" t="str"/>
      <x:c r="O797" s="49" t="n">
        <x:v>46301</x:v>
      </x:c>
      <x:c r="P797" s="43" t="str">
        <x:v>Reporte/inspección del checkout al corte</x:v>
      </x:c>
      <x:c r="Q797" s="43" t="str">
        <x:v>TOU02, TOU08, SOC04</x:v>
      </x:c>
      <x:c r="R797" s="43" t="str"/>
      <x:c r="S797" s="43" t="str"/>
      <x:c r="T797" s="43" t="str">
        <x:v>S008, S135, S136, S113</x:v>
      </x:c>
      <x:c r="U797" s="43" t="str">
        <x:v>docs/ar-experience-design.md
lib/features/tours/data/tour_progress_store.dart
lib/core/router/app_router.dart
docs/implementation/tours-360-delivery.md</x:v>
      </x:c>
    </x:row>
    <x:row r="798" ht="56" customHeight="1">
      <x:c r="A798" s="42" t="str">
        <x:v>TOU09.013</x:v>
      </x:c>
      <x:c r="B798" s="42" t="str">
        <x:v>Progreso e integración de recorridos</x:v>
      </x:c>
      <x:c r="C798" s="42" t="str">
        <x:v>TOU09</x:v>
      </x:c>
      <x:c r="D798" s="43" t="str">
        <x:v>Crear enlace de entrada AR</x:v>
      </x:c>
      <x:c r="E798" s="43" t="str">
        <x:v>Resolver /tours/:id/ar?point sin prometer posicionamiento por QR.</x:v>
      </x:c>
      <x:c r="F798" s="43" t="str">
        <x:v>Completado</x:v>
      </x:c>
      <x:c r="G798" s="44" t="n">
        <x:v>46296</x:v>
      </x:c>
      <x:c r="H798" s="44" t="n">
        <x:v>46302</x:v>
      </x:c>
      <x:c r="I798" s="45" t="n">
        <x:f>IF(OR(G798="",H798=""),"",SUMPRODUCT(('Cronograma'!$F$8:$P$8&lt;=H798)*('Cronograma'!$F$9:$P$9&gt;=G798)))</x:f>
        <x:v>1</x:v>
      </x:c>
      <x:c r="J798" s="46"/>
      <x:c r="K798" s="46"/>
      <x:c r="L798" s="47"/>
      <x:c r="M798" s="48" t="str"/>
      <x:c r="N798" s="48" t="str"/>
      <x:c r="O798" s="49" t="n">
        <x:v>46301</x:v>
      </x:c>
      <x:c r="P798" s="43" t="str">
        <x:v>Reporte/inspección del checkout al corte</x:v>
      </x:c>
      <x:c r="Q798" s="43" t="str">
        <x:v>TOU02, TOU08, SOC04</x:v>
      </x:c>
      <x:c r="R798" s="43" t="str"/>
      <x:c r="S798" s="43" t="str"/>
      <x:c r="T798" s="43" t="str">
        <x:v>S008, S135, S136, S113</x:v>
      </x:c>
      <x:c r="U798" s="43" t="str">
        <x:v>docs/ar-experience-design.md
lib/features/tours/data/tour_progress_store.dart
lib/core/router/app_router.dart
docs/implementation/tours-360-delivery.md</x:v>
      </x:c>
    </x:row>
    <x:row r="799" ht="56" customHeight="1">
      <x:c r="A799" s="42" t="str">
        <x:v>PIL01.001</x:v>
      </x:c>
      <x:c r="B799" s="42" t="str">
        <x:v>Piloto Docker local con Supabase real</x:v>
      </x:c>
      <x:c r="C799" s="42" t="str">
        <x:v>PIL01</x:v>
      </x:c>
      <x:c r="D799" s="43" t="str">
        <x:v>Preparar Python y configuración local del procesador</x:v>
      </x:c>
      <x:c r="E799" s="43" t="str">
        <x:v>Separar credenciales de servicio de la configuración Flutter.</x:v>
      </x:c>
      <x:c r="F799" s="43" t="str">
        <x:v>Completado</x:v>
      </x:c>
      <x:c r="G799" s="44" t="n">
        <x:v>46296</x:v>
      </x:c>
      <x:c r="H799" s="44" t="n">
        <x:v>46302</x:v>
      </x:c>
      <x:c r="I799" s="45" t="n">
        <x:f>IF(OR(G799="",H799=""),"",SUMPRODUCT(('Cronograma'!$F$8:$P$8&lt;=H799)*('Cronograma'!$F$9:$P$9&gt;=G799)))</x:f>
        <x:v>1</x:v>
      </x:c>
      <x:c r="J799" s="46"/>
      <x:c r="K799" s="46"/>
      <x:c r="L799" s="47"/>
      <x:c r="M799" s="48" t="str"/>
      <x:c r="N799" s="48" t="str"/>
      <x:c r="O799" s="49" t="n">
        <x:v>46301</x:v>
      </x:c>
      <x:c r="P799" s="43" t="str">
        <x:v>Reporte/inspección del checkout al corte</x:v>
      </x:c>
      <x:c r="Q799" s="43" t="str">
        <x:v>TOU05, TOU06, TOU07, TOU08</x:v>
      </x:c>
      <x:c r="R799" s="43" t="str"/>
      <x:c r="S799" s="43" t="str"/>
      <x:c r="T799" s="43" t="str">
        <x:v>S127, S137, S138, S139</x:v>
      </x:c>
      <x:c r="U799" s="43" t="str">
        <x:v>docs/implementation/tours-local-pilot-report.md
processing/tours/pilot-image.json
processing/tours/local_runner.py
processing/tours/check_live.py</x:v>
      </x:c>
    </x:row>
    <x:row r="800" ht="56" customHeight="1">
      <x:c r="A800" s="42" t="str">
        <x:v>PIL01.002</x:v>
      </x:c>
      <x:c r="B800" s="42" t="str">
        <x:v>Piloto Docker local con Supabase real</x:v>
      </x:c>
      <x:c r="C800" s="42" t="str">
        <x:v>PIL01</x:v>
      </x:c>
      <x:c r="D800" s="43" t="str">
        <x:v>Construir imagen linux/amd64 validada</x:v>
      </x:c>
      <x:c r="E800" s="43" t="str">
        <x:v>Registrar digest y herramientas en pilot-image.</x:v>
      </x:c>
      <x:c r="F800" s="43" t="str">
        <x:v>Completado</x:v>
      </x:c>
      <x:c r="G800" s="44" t="n">
        <x:v>46296</x:v>
      </x:c>
      <x:c r="H800" s="44" t="n">
        <x:v>46302</x:v>
      </x:c>
      <x:c r="I800" s="45" t="n">
        <x:f>IF(OR(G800="",H800=""),"",SUMPRODUCT(('Cronograma'!$F$8:$P$8&lt;=H800)*('Cronograma'!$F$9:$P$9&gt;=G800)))</x:f>
        <x:v>1</x:v>
      </x:c>
      <x:c r="J800" s="46"/>
      <x:c r="K800" s="46"/>
      <x:c r="L800" s="47"/>
      <x:c r="M800" s="48" t="str"/>
      <x:c r="N800" s="48" t="str"/>
      <x:c r="O800" s="49" t="n">
        <x:v>46301</x:v>
      </x:c>
      <x:c r="P800" s="43" t="str">
        <x:v>Reporte/inspección del checkout al corte</x:v>
      </x:c>
      <x:c r="Q800" s="43" t="str">
        <x:v>TOU05, TOU06, TOU07, TOU08</x:v>
      </x:c>
      <x:c r="R800" s="43" t="str"/>
      <x:c r="S800" s="43" t="str"/>
      <x:c r="T800" s="43" t="str">
        <x:v>S127, S137, S138, S139</x:v>
      </x:c>
      <x:c r="U800" s="43" t="str">
        <x:v>docs/implementation/tours-local-pilot-report.md
processing/tours/pilot-image.json
processing/tours/local_runner.py
processing/tours/check_live.py</x:v>
      </x:c>
    </x:row>
    <x:row r="801" ht="56" customHeight="1">
      <x:c r="A801" s="42" t="str">
        <x:v>PIL01.003</x:v>
      </x:c>
      <x:c r="B801" s="42" t="str">
        <x:v>Piloto Docker local con Supabase real</x:v>
      </x:c>
      <x:c r="C801" s="42" t="str">
        <x:v>PIL01</x:v>
      </x:c>
      <x:c r="D801" s="43" t="str">
        <x:v>Crear fixtures geométricos de 26 fotografías</x:v>
      </x:c>
      <x:c r="E801" s="43" t="str">
        <x:v>Probar pipeline sin atribuirles captura óptica real.</x:v>
      </x:c>
      <x:c r="F801" s="43" t="str">
        <x:v>Completado</x:v>
      </x:c>
      <x:c r="G801" s="44" t="n">
        <x:v>46296</x:v>
      </x:c>
      <x:c r="H801" s="44" t="n">
        <x:v>46302</x:v>
      </x:c>
      <x:c r="I801" s="45" t="n">
        <x:f>IF(OR(G801="",H801=""),"",SUMPRODUCT(('Cronograma'!$F$8:$P$8&lt;=H801)*('Cronograma'!$F$9:$P$9&gt;=G801)))</x:f>
        <x:v>1</x:v>
      </x:c>
      <x:c r="J801" s="46"/>
      <x:c r="K801" s="46"/>
      <x:c r="L801" s="47"/>
      <x:c r="M801" s="48" t="str"/>
      <x:c r="N801" s="48" t="str"/>
      <x:c r="O801" s="49" t="n">
        <x:v>46301</x:v>
      </x:c>
      <x:c r="P801" s="43" t="str">
        <x:v>Reporte/inspección del checkout al corte</x:v>
      </x:c>
      <x:c r="Q801" s="43" t="str">
        <x:v>TOU05, TOU06, TOU07, TOU08</x:v>
      </x:c>
      <x:c r="R801" s="43" t="str"/>
      <x:c r="S801" s="43" t="str"/>
      <x:c r="T801" s="43" t="str">
        <x:v>S127, S137, S138, S139</x:v>
      </x:c>
      <x:c r="U801" s="43" t="str">
        <x:v>docs/implementation/tours-local-pilot-report.md
processing/tours/pilot-image.json
processing/tours/local_runner.py
processing/tours/check_live.py</x:v>
      </x:c>
    </x:row>
    <x:row r="802" ht="56" customHeight="1">
      <x:c r="A802" s="42" t="str">
        <x:v>PIL01.004</x:v>
      </x:c>
      <x:c r="B802" s="42" t="str">
        <x:v>Piloto Docker local con Supabase real</x:v>
      </x:c>
      <x:c r="C802" s="42" t="str">
        <x:v>PIL01</x:v>
      </x:c>
      <x:c r="D802" s="43" t="str">
        <x:v>Ejecutar herramientas Hugin realmente</x:v>
      </x:c>
      <x:c r="E802" s="43" t="str">
        <x:v>Piloto acredita cpfind, cpclean, autooptimiser, pano_modify y nona.</x:v>
      </x:c>
      <x:c r="F802" s="43" t="str">
        <x:v>Completado</x:v>
      </x:c>
      <x:c r="G802" s="44" t="n">
        <x:v>46296</x:v>
      </x:c>
      <x:c r="H802" s="44" t="n">
        <x:v>46302</x:v>
      </x:c>
      <x:c r="I802" s="45" t="n">
        <x:f>IF(OR(G802="",H802=""),"",SUMPRODUCT(('Cronograma'!$F$8:$P$8&lt;=H802)*('Cronograma'!$F$9:$P$9&gt;=G802)))</x:f>
        <x:v>1</x:v>
      </x:c>
      <x:c r="J802" s="46"/>
      <x:c r="K802" s="46"/>
      <x:c r="L802" s="47"/>
      <x:c r="M802" s="48" t="str"/>
      <x:c r="N802" s="48" t="str"/>
      <x:c r="O802" s="49" t="n">
        <x:v>46301</x:v>
      </x:c>
      <x:c r="P802" s="43" t="str">
        <x:v>Reporte/inspección del checkout al corte</x:v>
      </x:c>
      <x:c r="Q802" s="43" t="str">
        <x:v>TOU05, TOU06, TOU07, TOU08</x:v>
      </x:c>
      <x:c r="R802" s="43" t="str"/>
      <x:c r="S802" s="43" t="str"/>
      <x:c r="T802" s="43" t="str">
        <x:v>S127, S137, S138, S139</x:v>
      </x:c>
      <x:c r="U802" s="43" t="str">
        <x:v>docs/implementation/tours-local-pilot-report.md
processing/tours/pilot-image.json
processing/tours/local_runner.py
processing/tours/check_live.py</x:v>
      </x:c>
    </x:row>
    <x:row r="803" ht="56" customHeight="1">
      <x:c r="A803" s="42" t="str">
        <x:v>PIL01.005</x:v>
      </x:c>
      <x:c r="B803" s="42" t="str">
        <x:v>Piloto Docker local con Supabase real</x:v>
      </x:c>
      <x:c r="C803" s="42" t="str">
        <x:v>PIL01</x:v>
      </x:c>
      <x:c r="D803" s="43" t="str">
        <x:v>Ejecutar Enblend sobre fixture completo</x:v>
      </x:c>
      <x:c r="E803" s="43" t="str">
        <x:v>Generar esfera válida sin huecos sintéticos.</x:v>
      </x:c>
      <x:c r="F803" s="43" t="str">
        <x:v>Completado</x:v>
      </x:c>
      <x:c r="G803" s="44" t="n">
        <x:v>46296</x:v>
      </x:c>
      <x:c r="H803" s="44" t="n">
        <x:v>46302</x:v>
      </x:c>
      <x:c r="I803" s="45" t="n">
        <x:f>IF(OR(G803="",H803=""),"",SUMPRODUCT(('Cronograma'!$F$8:$P$8&lt;=H803)*('Cronograma'!$F$9:$P$9&gt;=G803)))</x:f>
        <x:v>1</x:v>
      </x:c>
      <x:c r="J803" s="46"/>
      <x:c r="K803" s="46"/>
      <x:c r="L803" s="47"/>
      <x:c r="M803" s="48" t="str"/>
      <x:c r="N803" s="48" t="str"/>
      <x:c r="O803" s="49" t="n">
        <x:v>46301</x:v>
      </x:c>
      <x:c r="P803" s="43" t="str">
        <x:v>Reporte/inspección del checkout al corte</x:v>
      </x:c>
      <x:c r="Q803" s="43" t="str">
        <x:v>TOU05, TOU06, TOU07, TOU08</x:v>
      </x:c>
      <x:c r="R803" s="43" t="str"/>
      <x:c r="S803" s="43" t="str"/>
      <x:c r="T803" s="43" t="str">
        <x:v>S127, S137, S138, S139</x:v>
      </x:c>
      <x:c r="U803" s="43" t="str">
        <x:v>docs/implementation/tours-local-pilot-report.md
processing/tours/pilot-image.json
processing/tours/local_runner.py
processing/tours/check_live.py</x:v>
      </x:c>
    </x:row>
    <x:row r="804" ht="56" customHeight="1">
      <x:c r="A804" s="42" t="str">
        <x:v>PIL01.006</x:v>
      </x:c>
      <x:c r="B804" s="42" t="str">
        <x:v>Piloto Docker local con Supabase real</x:v>
      </x:c>
      <x:c r="C804" s="42" t="str">
        <x:v>PIL01</x:v>
      </x:c>
      <x:c r="D804" s="43" t="str">
        <x:v>Confirmar ready en Supabase</x:v>
      </x:c>
      <x:c r="E804" s="43" t="str">
        <x:v>Comprobar recibo después de procesamiento local.</x:v>
      </x:c>
      <x:c r="F804" s="43" t="str">
        <x:v>Completado</x:v>
      </x:c>
      <x:c r="G804" s="44" t="n">
        <x:v>46296</x:v>
      </x:c>
      <x:c r="H804" s="44" t="n">
        <x:v>46302</x:v>
      </x:c>
      <x:c r="I804" s="45" t="n">
        <x:f>IF(OR(G804="",H804=""),"",SUMPRODUCT(('Cronograma'!$F$8:$P$8&lt;=H804)*('Cronograma'!$F$9:$P$9&gt;=G804)))</x:f>
        <x:v>1</x:v>
      </x:c>
      <x:c r="J804" s="46"/>
      <x:c r="K804" s="46"/>
      <x:c r="L804" s="47"/>
      <x:c r="M804" s="48" t="str"/>
      <x:c r="N804" s="48" t="str"/>
      <x:c r="O804" s="49" t="n">
        <x:v>46301</x:v>
      </x:c>
      <x:c r="P804" s="43" t="str">
        <x:v>Reporte/inspección del checkout al corte</x:v>
      </x:c>
      <x:c r="Q804" s="43" t="str">
        <x:v>TOU05, TOU06, TOU07, TOU08</x:v>
      </x:c>
      <x:c r="R804" s="43" t="str"/>
      <x:c r="S804" s="43" t="str"/>
      <x:c r="T804" s="43" t="str">
        <x:v>S127, S137, S138, S139</x:v>
      </x:c>
      <x:c r="U804" s="43" t="str">
        <x:v>docs/implementation/tours-local-pilot-report.md
processing/tours/pilot-image.json
processing/tours/local_runner.py
processing/tours/check_live.py</x:v>
      </x:c>
    </x:row>
    <x:row r="805" ht="56" customHeight="1">
      <x:c r="A805" s="42" t="str">
        <x:v>PIL01.007</x:v>
      </x:c>
      <x:c r="B805" s="42" t="str">
        <x:v>Piloto Docker local con Supabase real</x:v>
      </x:c>
      <x:c r="C805" s="42" t="str">
        <x:v>PIL01</x:v>
      </x:c>
      <x:c r="D805" s="43" t="str">
        <x:v>Medir runtime de worker y ejecución local</x:v>
      </x:c>
      <x:c r="E805" s="43" t="str">
        <x:v>Reporte registra 162.279 s y 166.751 s; no son tiempo laboral de tarea.</x:v>
      </x:c>
      <x:c r="F805" s="43" t="str">
        <x:v>Completado</x:v>
      </x:c>
      <x:c r="G805" s="44" t="n">
        <x:v>46296</x:v>
      </x:c>
      <x:c r="H805" s="44" t="n">
        <x:v>46302</x:v>
      </x:c>
      <x:c r="I805" s="45" t="n">
        <x:f>IF(OR(G805="",H805=""),"",SUMPRODUCT(('Cronograma'!$F$8:$P$8&lt;=H805)*('Cronograma'!$F$9:$P$9&gt;=G805)))</x:f>
        <x:v>1</x:v>
      </x:c>
      <x:c r="J805" s="46"/>
      <x:c r="K805" s="46"/>
      <x:c r="L805" s="47"/>
      <x:c r="M805" s="48" t="str"/>
      <x:c r="N805" s="48" t="str"/>
      <x:c r="O805" s="49" t="n">
        <x:v>46301</x:v>
      </x:c>
      <x:c r="P805" s="43" t="str">
        <x:v>Reporte/inspección del checkout al corte</x:v>
      </x:c>
      <x:c r="Q805" s="43" t="str">
        <x:v>TOU05, TOU06, TOU07, TOU08</x:v>
      </x:c>
      <x:c r="R805" s="43" t="str"/>
      <x:c r="S805" s="43" t="str"/>
      <x:c r="T805" s="43" t="str">
        <x:v>S127, S137, S138, S139</x:v>
      </x:c>
      <x:c r="U805" s="43" t="str">
        <x:v>docs/implementation/tours-local-pilot-report.md
processing/tours/pilot-image.json
processing/tours/local_runner.py
processing/tours/check_live.py</x:v>
      </x:c>
    </x:row>
    <x:row r="806" ht="56" customHeight="1">
      <x:c r="A806" s="42" t="str">
        <x:v>PIL01.008</x:v>
      </x:c>
      <x:c r="B806" s="42" t="str">
        <x:v>Piloto Docker local con Supabase real</x:v>
      </x:c>
      <x:c r="C806" s="42" t="str">
        <x:v>PIL01</x:v>
      </x:c>
      <x:c r="D806" s="43" t="str">
        <x:v>Rechazar fixture sin techo</x:v>
      </x:c>
      <x:c r="E806" s="43" t="str">
        <x:v>Comprobar incomplete_sphere_coverage.</x:v>
      </x:c>
      <x:c r="F806" s="43" t="str">
        <x:v>Completado</x:v>
      </x:c>
      <x:c r="G806" s="44" t="n">
        <x:v>46296</x:v>
      </x:c>
      <x:c r="H806" s="44" t="n">
        <x:v>46302</x:v>
      </x:c>
      <x:c r="I806" s="45" t="n">
        <x:f>IF(OR(G806="",H806=""),"",SUMPRODUCT(('Cronograma'!$F$8:$P$8&lt;=H806)*('Cronograma'!$F$9:$P$9&gt;=G806)))</x:f>
        <x:v>1</x:v>
      </x:c>
      <x:c r="J806" s="46"/>
      <x:c r="K806" s="46"/>
      <x:c r="L806" s="47"/>
      <x:c r="M806" s="48" t="str"/>
      <x:c r="N806" s="48" t="str"/>
      <x:c r="O806" s="49" t="n">
        <x:v>46301</x:v>
      </x:c>
      <x:c r="P806" s="43" t="str">
        <x:v>Reporte/inspección del checkout al corte</x:v>
      </x:c>
      <x:c r="Q806" s="43" t="str">
        <x:v>TOU05, TOU06, TOU07, TOU08</x:v>
      </x:c>
      <x:c r="R806" s="43" t="str"/>
      <x:c r="S806" s="43" t="str"/>
      <x:c r="T806" s="43" t="str">
        <x:v>S127, S137, S138, S139</x:v>
      </x:c>
      <x:c r="U806" s="43" t="str">
        <x:v>docs/implementation/tours-local-pilot-report.md
processing/tours/pilot-image.json
processing/tours/local_runner.py
processing/tours/check_live.py</x:v>
      </x:c>
    </x:row>
    <x:row r="807" ht="56" customHeight="1">
      <x:c r="A807" s="42" t="str">
        <x:v>PIL01.009</x:v>
      </x:c>
      <x:c r="B807" s="42" t="str">
        <x:v>Piloto Docker local con Supabase real</x:v>
      </x:c>
      <x:c r="C807" s="42" t="str">
        <x:v>PIL01</x:v>
      </x:c>
      <x:c r="D807" s="43" t="str">
        <x:v>Rechazar fixture sin coincidencias</x:v>
      </x:c>
      <x:c r="E807" s="43" t="str">
        <x:v>Comprobar disconnected_control_points.</x:v>
      </x:c>
      <x:c r="F807" s="43" t="str">
        <x:v>Completado</x:v>
      </x:c>
      <x:c r="G807" s="44" t="n">
        <x:v>46296</x:v>
      </x:c>
      <x:c r="H807" s="44" t="n">
        <x:v>46302</x:v>
      </x:c>
      <x:c r="I807" s="45" t="n">
        <x:f>IF(OR(G807="",H807=""),"",SUMPRODUCT(('Cronograma'!$F$8:$P$8&lt;=H807)*('Cronograma'!$F$9:$P$9&gt;=G807)))</x:f>
        <x:v>1</x:v>
      </x:c>
      <x:c r="J807" s="46"/>
      <x:c r="K807" s="46"/>
      <x:c r="L807" s="47"/>
      <x:c r="M807" s="48" t="str"/>
      <x:c r="N807" s="48" t="str"/>
      <x:c r="O807" s="49" t="n">
        <x:v>46301</x:v>
      </x:c>
      <x:c r="P807" s="43" t="str">
        <x:v>Reporte/inspección del checkout al corte</x:v>
      </x:c>
      <x:c r="Q807" s="43" t="str">
        <x:v>TOU05, TOU06, TOU07, TOU08</x:v>
      </x:c>
      <x:c r="R807" s="43" t="str"/>
      <x:c r="S807" s="43" t="str"/>
      <x:c r="T807" s="43" t="str">
        <x:v>S127, S137, S138, S139</x:v>
      </x:c>
      <x:c r="U807" s="43" t="str">
        <x:v>docs/implementation/tours-local-pilot-report.md
processing/tours/pilot-image.json
processing/tours/local_runner.py
processing/tours/check_live.py</x:v>
      </x:c>
    </x:row>
    <x:row r="808" ht="56" customHeight="1">
      <x:c r="A808" s="42" t="str">
        <x:v>PIL01.010</x:v>
      </x:c>
      <x:c r="B808" s="42" t="str">
        <x:v>Piloto Docker local con Supabase real</x:v>
      </x:c>
      <x:c r="C808" s="42" t="str">
        <x:v>PIL01</x:v>
      </x:c>
      <x:c r="D808" s="43" t="str">
        <x:v>Rechazar JPEG 2:1 sin GPano</x:v>
      </x:c>
      <x:c r="E808" s="43" t="str">
        <x:v>Comprobar gpano_full_sphere_required contra backend real.</x:v>
      </x:c>
      <x:c r="F808" s="43" t="str">
        <x:v>Completado</x:v>
      </x:c>
      <x:c r="G808" s="44" t="n">
        <x:v>46296</x:v>
      </x:c>
      <x:c r="H808" s="44" t="n">
        <x:v>46302</x:v>
      </x:c>
      <x:c r="I808" s="45" t="n">
        <x:f>IF(OR(G808="",H808=""),"",SUMPRODUCT(('Cronograma'!$F$8:$P$8&lt;=H808)*('Cronograma'!$F$9:$P$9&gt;=G808)))</x:f>
        <x:v>1</x:v>
      </x:c>
      <x:c r="J808" s="46"/>
      <x:c r="K808" s="46"/>
      <x:c r="L808" s="47"/>
      <x:c r="M808" s="48" t="str"/>
      <x:c r="N808" s="48" t="str"/>
      <x:c r="O808" s="49" t="n">
        <x:v>46301</x:v>
      </x:c>
      <x:c r="P808" s="43" t="str">
        <x:v>Reporte/inspección del checkout al corte</x:v>
      </x:c>
      <x:c r="Q808" s="43" t="str">
        <x:v>TOU05, TOU06, TOU07, TOU08</x:v>
      </x:c>
      <x:c r="R808" s="43" t="str"/>
      <x:c r="S808" s="43" t="str"/>
      <x:c r="T808" s="43" t="str">
        <x:v>S127, S137, S138, S139</x:v>
      </x:c>
      <x:c r="U808" s="43" t="str">
        <x:v>docs/implementation/tours-local-pilot-report.md
processing/tours/pilot-image.json
processing/tours/local_runner.py
processing/tours/check_live.py</x:v>
      </x:c>
    </x:row>
    <x:row r="809" ht="56" customHeight="1">
      <x:c r="A809" s="42" t="str">
        <x:v>PIL01.011</x:v>
      </x:c>
      <x:c r="B809" s="42" t="str">
        <x:v>Piloto Docker local con Supabase real</x:v>
      </x:c>
      <x:c r="C809" s="42" t="str">
        <x:v>PIL01</x:v>
      </x:c>
      <x:c r="D809" s="43" t="str">
        <x:v>Aplicar migración 015 exclusivamente</x:v>
      </x:c>
      <x:c r="E809" s="43" t="str">
        <x:v>Verificar historial 001–015 y buckets privados.</x:v>
      </x:c>
      <x:c r="F809" s="43" t="str">
        <x:v>Completado</x:v>
      </x:c>
      <x:c r="G809" s="44" t="n">
        <x:v>46296</x:v>
      </x:c>
      <x:c r="H809" s="44" t="n">
        <x:v>46302</x:v>
      </x:c>
      <x:c r="I809" s="45" t="n">
        <x:f>IF(OR(G809="",H809=""),"",SUMPRODUCT(('Cronograma'!$F$8:$P$8&lt;=H809)*('Cronograma'!$F$9:$P$9&gt;=G809)))</x:f>
        <x:v>1</x:v>
      </x:c>
      <x:c r="J809" s="46"/>
      <x:c r="K809" s="46"/>
      <x:c r="L809" s="47"/>
      <x:c r="M809" s="48" t="str"/>
      <x:c r="N809" s="48" t="str"/>
      <x:c r="O809" s="49" t="n">
        <x:v>46301</x:v>
      </x:c>
      <x:c r="P809" s="43" t="str">
        <x:v>Reporte/inspección del checkout al corte</x:v>
      </x:c>
      <x:c r="Q809" s="43" t="str">
        <x:v>TOU05, TOU06, TOU07, TOU08</x:v>
      </x:c>
      <x:c r="R809" s="43" t="str"/>
      <x:c r="S809" s="43" t="str"/>
      <x:c r="T809" s="43" t="str">
        <x:v>S127, S137, S138, S139</x:v>
      </x:c>
      <x:c r="U809" s="43" t="str">
        <x:v>docs/implementation/tours-local-pilot-report.md
processing/tours/pilot-image.json
processing/tours/local_runner.py
processing/tours/check_live.py</x:v>
      </x:c>
    </x:row>
    <x:row r="810" ht="56" customHeight="1">
      <x:c r="A810" s="42" t="str">
        <x:v>PIL01.012</x:v>
      </x:c>
      <x:c r="B810" s="42" t="str">
        <x:v>Piloto Docker local con Supabase real</x:v>
      </x:c>
      <x:c r="C810" s="42" t="str">
        <x:v>PIL01</x:v>
      </x:c>
      <x:c r="D810" s="43" t="str">
        <x:v>Desplegar tour-dispatch autenticado</x:v>
      </x:c>
      <x:c r="E810" s="43" t="str">
        <x:v>Validar 401 sin secreto y 503 mientras falta Google.</x:v>
      </x:c>
      <x:c r="F810" s="43" t="str">
        <x:v>Completado</x:v>
      </x:c>
      <x:c r="G810" s="44" t="n">
        <x:v>46296</x:v>
      </x:c>
      <x:c r="H810" s="44" t="n">
        <x:v>46302</x:v>
      </x:c>
      <x:c r="I810" s="45" t="n">
        <x:f>IF(OR(G810="",H810=""),"",SUMPRODUCT(('Cronograma'!$F$8:$P$8&lt;=H810)*('Cronograma'!$F$9:$P$9&gt;=G810)))</x:f>
        <x:v>1</x:v>
      </x:c>
      <x:c r="J810" s="46"/>
      <x:c r="K810" s="46"/>
      <x:c r="L810" s="47"/>
      <x:c r="M810" s="48" t="str"/>
      <x:c r="N810" s="48" t="str"/>
      <x:c r="O810" s="49" t="n">
        <x:v>46301</x:v>
      </x:c>
      <x:c r="P810" s="43" t="str">
        <x:v>Reporte/inspección del checkout al corte</x:v>
      </x:c>
      <x:c r="Q810" s="43" t="str">
        <x:v>TOU05, TOU06, TOU07, TOU08</x:v>
      </x:c>
      <x:c r="R810" s="43" t="str"/>
      <x:c r="S810" s="43" t="str"/>
      <x:c r="T810" s="43" t="str">
        <x:v>S127, S137, S138, S139</x:v>
      </x:c>
      <x:c r="U810" s="43" t="str">
        <x:v>docs/implementation/tours-local-pilot-report.md
processing/tours/pilot-image.json
processing/tours/local_runner.py
processing/tours/check_live.py</x:v>
      </x:c>
    </x:row>
    <x:row r="811" ht="56" customHeight="1">
      <x:c r="A811" s="42" t="str">
        <x:v>PIL01.013</x:v>
      </x:c>
      <x:c r="B811" s="42" t="str">
        <x:v>Piloto Docker local con Supabase real</x:v>
      </x:c>
      <x:c r="C811" s="42" t="str">
        <x:v>PIL01</x:v>
      </x:c>
      <x:c r="D811" s="43" t="str">
        <x:v>Volver a desplegar limpieza anidada de cuenta</x:v>
      </x:c>
      <x:c r="E811" s="43" t="str">
        <x:v>Recuperar fuente remota y verificar versión correcta.</x:v>
      </x:c>
      <x:c r="F811" s="43" t="str">
        <x:v>Completado</x:v>
      </x:c>
      <x:c r="G811" s="44" t="n">
        <x:v>46296</x:v>
      </x:c>
      <x:c r="H811" s="44" t="n">
        <x:v>46302</x:v>
      </x:c>
      <x:c r="I811" s="45" t="n">
        <x:f>IF(OR(G811="",H811=""),"",SUMPRODUCT(('Cronograma'!$F$8:$P$8&lt;=H811)*('Cronograma'!$F$9:$P$9&gt;=G811)))</x:f>
        <x:v>1</x:v>
      </x:c>
      <x:c r="J811" s="46"/>
      <x:c r="K811" s="46"/>
      <x:c r="L811" s="47"/>
      <x:c r="M811" s="48" t="str"/>
      <x:c r="N811" s="48" t="str"/>
      <x:c r="O811" s="49" t="n">
        <x:v>46301</x:v>
      </x:c>
      <x:c r="P811" s="43" t="str">
        <x:v>Reporte/inspección del checkout al corte</x:v>
      </x:c>
      <x:c r="Q811" s="43" t="str">
        <x:v>TOU05, TOU06, TOU07, TOU08</x:v>
      </x:c>
      <x:c r="R811" s="43" t="str"/>
      <x:c r="S811" s="43" t="str"/>
      <x:c r="T811" s="43" t="str">
        <x:v>S127, S137, S138, S139</x:v>
      </x:c>
      <x:c r="U811" s="43" t="str">
        <x:v>docs/implementation/tours-local-pilot-report.md
processing/tours/pilot-image.json
processing/tours/local_runner.py
processing/tours/check_live.py</x:v>
      </x:c>
    </x:row>
    <x:row r="812" ht="56" customHeight="1">
      <x:c r="A812" s="42" t="str">
        <x:v>PIL01.014</x:v>
      </x:c>
      <x:c r="B812" s="42" t="str">
        <x:v>Piloto Docker local con Supabase real</x:v>
      </x:c>
      <x:c r="C812" s="42" t="str">
        <x:v>PIL01</x:v>
      </x:c>
      <x:c r="D812" s="43" t="str">
        <x:v>Probar dos leases y contenedores concurrentes</x:v>
      </x:c>
      <x:c r="E812" s="43" t="str">
        <x:v>Comprobar límite global real del backend.</x:v>
      </x:c>
      <x:c r="F812" s="43" t="str">
        <x:v>Completado</x:v>
      </x:c>
      <x:c r="G812" s="44" t="n">
        <x:v>46296</x:v>
      </x:c>
      <x:c r="H812" s="44" t="n">
        <x:v>46302</x:v>
      </x:c>
      <x:c r="I812" s="45" t="n">
        <x:f>IF(OR(G812="",H812=""),"",SUMPRODUCT(('Cronograma'!$F$8:$P$8&lt;=H812)*('Cronograma'!$F$9:$P$9&gt;=G812)))</x:f>
        <x:v>1</x:v>
      </x:c>
      <x:c r="J812" s="46"/>
      <x:c r="K812" s="46"/>
      <x:c r="L812" s="47"/>
      <x:c r="M812" s="48" t="str"/>
      <x:c r="N812" s="48" t="str"/>
      <x:c r="O812" s="49" t="n">
        <x:v>46301</x:v>
      </x:c>
      <x:c r="P812" s="43" t="str">
        <x:v>Reporte/inspección del checkout al corte</x:v>
      </x:c>
      <x:c r="Q812" s="43" t="str">
        <x:v>TOU05, TOU06, TOU07, TOU08</x:v>
      </x:c>
      <x:c r="R812" s="43" t="str"/>
      <x:c r="S812" s="43" t="str"/>
      <x:c r="T812" s="43" t="str">
        <x:v>S127, S137, S138, S139</x:v>
      </x:c>
      <x:c r="U812" s="43" t="str">
        <x:v>docs/implementation/tours-local-pilot-report.md
processing/tours/pilot-image.json
processing/tours/local_runner.py
processing/tours/check_live.py</x:v>
      </x:c>
    </x:row>
    <x:row r="813" ht="56" customHeight="1">
      <x:c r="A813" s="42" t="str">
        <x:v>PIL01.015</x:v>
      </x:c>
      <x:c r="B813" s="42" t="str">
        <x:v>Piloto Docker local con Supabase real</x:v>
      </x:c>
      <x:c r="C813" s="42" t="str">
        <x:v>PIL01</x:v>
      </x:c>
      <x:c r="D813" s="43" t="str">
        <x:v>Probar cancelación y recaptura durante trabajo</x:v>
      </x:c>
      <x:c r="E813" s="43" t="str">
        <x:v>No sustituir captura posterior por ejecución antigua.</x:v>
      </x:c>
      <x:c r="F813" s="43" t="str">
        <x:v>Completado</x:v>
      </x:c>
      <x:c r="G813" s="44" t="n">
        <x:v>46296</x:v>
      </x:c>
      <x:c r="H813" s="44" t="n">
        <x:v>46302</x:v>
      </x:c>
      <x:c r="I813" s="45" t="n">
        <x:f>IF(OR(G813="",H813=""),"",SUMPRODUCT(('Cronograma'!$F$8:$P$8&lt;=H813)*('Cronograma'!$F$9:$P$9&gt;=G813)))</x:f>
        <x:v>1</x:v>
      </x:c>
      <x:c r="J813" s="46"/>
      <x:c r="K813" s="46"/>
      <x:c r="L813" s="47"/>
      <x:c r="M813" s="48" t="str"/>
      <x:c r="N813" s="48" t="str"/>
      <x:c r="O813" s="49" t="n">
        <x:v>46301</x:v>
      </x:c>
      <x:c r="P813" s="43" t="str">
        <x:v>Reporte/inspección del checkout al corte</x:v>
      </x:c>
      <x:c r="Q813" s="43" t="str">
        <x:v>TOU05, TOU06, TOU07, TOU08</x:v>
      </x:c>
      <x:c r="R813" s="43" t="str"/>
      <x:c r="S813" s="43" t="str"/>
      <x:c r="T813" s="43" t="str">
        <x:v>S127, S137, S138, S139</x:v>
      </x:c>
      <x:c r="U813" s="43" t="str">
        <x:v>docs/implementation/tours-local-pilot-report.md
processing/tours/pilot-image.json
processing/tours/local_runner.py
processing/tours/check_live.py</x:v>
      </x:c>
    </x:row>
    <x:row r="814" ht="56" customHeight="1">
      <x:c r="A814" s="42" t="str">
        <x:v>PIL01.016</x:v>
      </x:c>
      <x:c r="B814" s="42" t="str">
        <x:v>Piloto Docker local con Supabase real</x:v>
      </x:c>
      <x:c r="C814" s="42" t="str">
        <x:v>PIL01</x:v>
      </x:c>
      <x:c r="D814" s="43" t="str">
        <x:v>Probar respuesta duplicada o perdida</x:v>
      </x:c>
      <x:c r="E814" s="43" t="str">
        <x:v>Reconciliar estado con recibo persistido.</x:v>
      </x:c>
      <x:c r="F814" s="43" t="str">
        <x:v>Completado</x:v>
      </x:c>
      <x:c r="G814" s="44" t="n">
        <x:v>46296</x:v>
      </x:c>
      <x:c r="H814" s="44" t="n">
        <x:v>46302</x:v>
      </x:c>
      <x:c r="I814" s="45" t="n">
        <x:f>IF(OR(G814="",H814=""),"",SUMPRODUCT(('Cronograma'!$F$8:$P$8&lt;=H814)*('Cronograma'!$F$9:$P$9&gt;=G814)))</x:f>
        <x:v>1</x:v>
      </x:c>
      <x:c r="J814" s="46"/>
      <x:c r="K814" s="46"/>
      <x:c r="L814" s="47"/>
      <x:c r="M814" s="48" t="str"/>
      <x:c r="N814" s="48" t="str"/>
      <x:c r="O814" s="49" t="n">
        <x:v>46301</x:v>
      </x:c>
      <x:c r="P814" s="43" t="str">
        <x:v>Reporte/inspección del checkout al corte</x:v>
      </x:c>
      <x:c r="Q814" s="43" t="str">
        <x:v>TOU05, TOU06, TOU07, TOU08</x:v>
      </x:c>
      <x:c r="R814" s="43" t="str"/>
      <x:c r="S814" s="43" t="str"/>
      <x:c r="T814" s="43" t="str">
        <x:v>S127, S137, S138, S139</x:v>
      </x:c>
      <x:c r="U814" s="43" t="str">
        <x:v>docs/implementation/tours-local-pilot-report.md
processing/tours/pilot-image.json
processing/tours/local_runner.py
processing/tours/check_live.py</x:v>
      </x:c>
    </x:row>
    <x:row r="815" ht="56" customHeight="1">
      <x:c r="A815" s="42" t="str">
        <x:v>PIL01.017</x:v>
      </x:c>
      <x:c r="B815" s="42" t="str">
        <x:v>Piloto Docker local con Supabase real</x:v>
      </x:c>
      <x:c r="C815" s="42" t="str">
        <x:v>PIL01</x:v>
      </x:c>
      <x:c r="D815" s="43" t="str">
        <x:v>Probar borrado durante escritura</x:v>
      </x:c>
      <x:c r="E815" s="43" t="str">
        <x:v>Bloquear cuenta y limpiar recursos anidados.</x:v>
      </x:c>
      <x:c r="F815" s="43" t="str">
        <x:v>Completado</x:v>
      </x:c>
      <x:c r="G815" s="44" t="n">
        <x:v>46296</x:v>
      </x:c>
      <x:c r="H815" s="44" t="n">
        <x:v>46302</x:v>
      </x:c>
      <x:c r="I815" s="45" t="n">
        <x:f>IF(OR(G815="",H815=""),"",SUMPRODUCT(('Cronograma'!$F$8:$P$8&lt;=H815)*('Cronograma'!$F$9:$P$9&gt;=G815)))</x:f>
        <x:v>1</x:v>
      </x:c>
      <x:c r="J815" s="46"/>
      <x:c r="K815" s="46"/>
      <x:c r="L815" s="47"/>
      <x:c r="M815" s="48" t="str"/>
      <x:c r="N815" s="48" t="str"/>
      <x:c r="O815" s="49" t="n">
        <x:v>46301</x:v>
      </x:c>
      <x:c r="P815" s="43" t="str">
        <x:v>Reporte/inspección del checkout al corte</x:v>
      </x:c>
      <x:c r="Q815" s="43" t="str">
        <x:v>TOU05, TOU06, TOU07, TOU08</x:v>
      </x:c>
      <x:c r="R815" s="43" t="str"/>
      <x:c r="S815" s="43" t="str"/>
      <x:c r="T815" s="43" t="str">
        <x:v>S127, S137, S138, S139</x:v>
      </x:c>
      <x:c r="U815" s="43" t="str">
        <x:v>docs/implementation/tours-local-pilot-report.md
processing/tours/pilot-image.json
processing/tours/local_runner.py
processing/tours/check_live.py</x:v>
      </x:c>
    </x:row>
    <x:row r="816" ht="56" customHeight="1">
      <x:c r="A816" s="42" t="str">
        <x:v>PIL01.018</x:v>
      </x:c>
      <x:c r="B816" s="42" t="str">
        <x:v>Piloto Docker local con Supabase real</x:v>
      </x:c>
      <x:c r="C816" s="42" t="str">
        <x:v>PIL01</x:v>
      </x:c>
      <x:c r="D816" s="43" t="str">
        <x:v>Probar publicación y recursos de visitante</x:v>
      </x:c>
      <x:c r="E816" s="43" t="str">
        <x:v>Verificar HTTP autorizado y disponibilidad antes de limpiar.</x:v>
      </x:c>
      <x:c r="F816" s="43" t="str">
        <x:v>Completado</x:v>
      </x:c>
      <x:c r="G816" s="44" t="n">
        <x:v>46296</x:v>
      </x:c>
      <x:c r="H816" s="44" t="n">
        <x:v>46302</x:v>
      </x:c>
      <x:c r="I816" s="45" t="n">
        <x:f>IF(OR(G816="",H816=""),"",SUMPRODUCT(('Cronograma'!$F$8:$P$8&lt;=H816)*('Cronograma'!$F$9:$P$9&gt;=G816)))</x:f>
        <x:v>1</x:v>
      </x:c>
      <x:c r="J816" s="46"/>
      <x:c r="K816" s="46"/>
      <x:c r="L816" s="47"/>
      <x:c r="M816" s="48" t="str"/>
      <x:c r="N816" s="48" t="str"/>
      <x:c r="O816" s="49" t="n">
        <x:v>46301</x:v>
      </x:c>
      <x:c r="P816" s="43" t="str">
        <x:v>Reporte/inspección del checkout al corte</x:v>
      </x:c>
      <x:c r="Q816" s="43" t="str">
        <x:v>TOU05, TOU06, TOU07, TOU08</x:v>
      </x:c>
      <x:c r="R816" s="43" t="str"/>
      <x:c r="S816" s="43" t="str"/>
      <x:c r="T816" s="43" t="str">
        <x:v>S127, S137, S138, S139</x:v>
      </x:c>
      <x:c r="U816" s="43" t="str">
        <x:v>docs/implementation/tours-local-pilot-report.md
processing/tours/pilot-image.json
processing/tours/local_runner.py
processing/tours/check_live.py</x:v>
      </x:c>
    </x:row>
    <x:row r="817" ht="56" customHeight="1">
      <x:c r="A817" s="42" t="str">
        <x:v>PIL01.019</x:v>
      </x:c>
      <x:c r="B817" s="42" t="str">
        <x:v>Piloto Docker local con Supabase real</x:v>
      </x:c>
      <x:c r="C817" s="42" t="str">
        <x:v>PIL01</x:v>
      </x:c>
      <x:c r="D817" s="43" t="str">
        <x:v>Probar progreso privado contra Supabase</x:v>
      </x:c>
      <x:c r="E817" s="43" t="str">
        <x:v>Separar lectura y escritura entre cuentas temporales.</x:v>
      </x:c>
      <x:c r="F817" s="43" t="str">
        <x:v>Completado</x:v>
      </x:c>
      <x:c r="G817" s="44" t="n">
        <x:v>46296</x:v>
      </x:c>
      <x:c r="H817" s="44" t="n">
        <x:v>46302</x:v>
      </x:c>
      <x:c r="I817" s="45" t="n">
        <x:f>IF(OR(G817="",H817=""),"",SUMPRODUCT(('Cronograma'!$F$8:$P$8&lt;=H817)*('Cronograma'!$F$9:$P$9&gt;=G817)))</x:f>
        <x:v>1</x:v>
      </x:c>
      <x:c r="J817" s="46"/>
      <x:c r="K817" s="46"/>
      <x:c r="L817" s="47"/>
      <x:c r="M817" s="48" t="str"/>
      <x:c r="N817" s="48" t="str"/>
      <x:c r="O817" s="49" t="n">
        <x:v>46301</x:v>
      </x:c>
      <x:c r="P817" s="43" t="str">
        <x:v>Reporte/inspección del checkout al corte</x:v>
      </x:c>
      <x:c r="Q817" s="43" t="str">
        <x:v>TOU05, TOU06, TOU07, TOU08</x:v>
      </x:c>
      <x:c r="R817" s="43" t="str"/>
      <x:c r="S817" s="43" t="str"/>
      <x:c r="T817" s="43" t="str">
        <x:v>S127, S137, S138, S139</x:v>
      </x:c>
      <x:c r="U817" s="43" t="str">
        <x:v>docs/implementation/tours-local-pilot-report.md
processing/tours/pilot-image.json
processing/tours/local_runner.py
processing/tours/check_live.py</x:v>
      </x:c>
    </x:row>
    <x:row r="818" ht="56" customHeight="1">
      <x:c r="A818" s="42" t="str">
        <x:v>PIL01.020</x:v>
      </x:c>
      <x:c r="B818" s="42" t="str">
        <x:v>Piloto Docker local con Supabase real</x:v>
      </x:c>
      <x:c r="C818" s="42" t="str">
        <x:v>PIL01</x:v>
      </x:c>
      <x:c r="D818" s="43" t="str">
        <x:v>Probar renovación de cleanup lease</x:v>
      </x:c>
      <x:c r="E818" s="43" t="str">
        <x:v>Reporte acredita ocho comprobaciones reales del correctivo.</x:v>
      </x:c>
      <x:c r="F818" s="43" t="str">
        <x:v>Completado</x:v>
      </x:c>
      <x:c r="G818" s="44" t="n">
        <x:v>46296</x:v>
      </x:c>
      <x:c r="H818" s="44" t="n">
        <x:v>46302</x:v>
      </x:c>
      <x:c r="I818" s="45" t="n">
        <x:f>IF(OR(G818="",H818=""),"",SUMPRODUCT(('Cronograma'!$F$8:$P$8&lt;=H818)*('Cronograma'!$F$9:$P$9&gt;=G818)))</x:f>
        <x:v>1</x:v>
      </x:c>
      <x:c r="J818" s="46"/>
      <x:c r="K818" s="46"/>
      <x:c r="L818" s="47"/>
      <x:c r="M818" s="48" t="str"/>
      <x:c r="N818" s="48" t="str"/>
      <x:c r="O818" s="49" t="n">
        <x:v>46301</x:v>
      </x:c>
      <x:c r="P818" s="43" t="str">
        <x:v>Reporte/inspección del checkout al corte</x:v>
      </x:c>
      <x:c r="Q818" s="43" t="str">
        <x:v>TOU05, TOU06, TOU07, TOU08</x:v>
      </x:c>
      <x:c r="R818" s="43" t="str"/>
      <x:c r="S818" s="43" t="str"/>
      <x:c r="T818" s="43" t="str">
        <x:v>S127, S137, S138, S139</x:v>
      </x:c>
      <x:c r="U818" s="43" t="str">
        <x:v>docs/implementation/tours-local-pilot-report.md
processing/tours/pilot-image.json
processing/tours/local_runner.py
processing/tours/check_live.py</x:v>
      </x:c>
    </x:row>
    <x:row r="819" ht="56" customHeight="1">
      <x:c r="A819" s="42" t="str">
        <x:v>PIL01.021</x:v>
      </x:c>
      <x:c r="B819" s="42" t="str">
        <x:v>Piloto Docker local con Supabase real</x:v>
      </x:c>
      <x:c r="C819" s="42" t="str">
        <x:v>PIL01</x:v>
      </x:c>
      <x:c r="D819" s="43" t="str">
        <x:v>Crear runner --once y --watch</x:v>
      </x:c>
      <x:c r="E819" s="43" t="str">
        <x:v>Controlar contenedores, plazo y confirmación backend.</x:v>
      </x:c>
      <x:c r="F819" s="43" t="str">
        <x:v>Completado</x:v>
      </x:c>
      <x:c r="G819" s="44" t="n">
        <x:v>46296</x:v>
      </x:c>
      <x:c r="H819" s="44" t="n">
        <x:v>46302</x:v>
      </x:c>
      <x:c r="I819" s="45" t="n">
        <x:f>IF(OR(G819="",H819=""),"",SUMPRODUCT(('Cronograma'!$F$8:$P$8&lt;=H819)*('Cronograma'!$F$9:$P$9&gt;=G819)))</x:f>
        <x:v>1</x:v>
      </x:c>
      <x:c r="J819" s="46"/>
      <x:c r="K819" s="46"/>
      <x:c r="L819" s="47"/>
      <x:c r="M819" s="48" t="str"/>
      <x:c r="N819" s="48" t="str"/>
      <x:c r="O819" s="49" t="n">
        <x:v>46301</x:v>
      </x:c>
      <x:c r="P819" s="43" t="str">
        <x:v>Reporte/inspección del checkout al corte</x:v>
      </x:c>
      <x:c r="Q819" s="43" t="str">
        <x:v>TOU05, TOU06, TOU07, TOU08</x:v>
      </x:c>
      <x:c r="R819" s="43" t="str"/>
      <x:c r="S819" s="43" t="str"/>
      <x:c r="T819" s="43" t="str">
        <x:v>S127, S137, S138, S139</x:v>
      </x:c>
      <x:c r="U819" s="43" t="str">
        <x:v>docs/implementation/tours-local-pilot-report.md
processing/tours/pilot-image.json
processing/tours/local_runner.py
processing/tours/check_live.py</x:v>
      </x:c>
    </x:row>
    <x:row r="820" ht="56" customHeight="1">
      <x:c r="A820" s="42" t="str">
        <x:v>PIL01.022</x:v>
      </x:c>
      <x:c r="B820" s="42" t="str">
        <x:v>Piloto Docker local con Supabase real</x:v>
      </x:c>
      <x:c r="C820" s="42" t="str">
        <x:v>PIL01</x:v>
      </x:c>
      <x:c r="D820" s="43" t="str">
        <x:v>Rechazar upload futuro de imagen distinta</x:v>
      </x:c>
      <x:c r="E820" s="43" t="str">
        <x:v>Verificar ID de la imagen validada antes de llamar a Google.</x:v>
      </x:c>
      <x:c r="F820" s="43" t="str">
        <x:v>Completado</x:v>
      </x:c>
      <x:c r="G820" s="44" t="n">
        <x:v>46296</x:v>
      </x:c>
      <x:c r="H820" s="44" t="n">
        <x:v>46302</x:v>
      </x:c>
      <x:c r="I820" s="45" t="n">
        <x:f>IF(OR(G820="",H820=""),"",SUMPRODUCT(('Cronograma'!$F$8:$P$8&lt;=H820)*('Cronograma'!$F$9:$P$9&gt;=G820)))</x:f>
        <x:v>1</x:v>
      </x:c>
      <x:c r="J820" s="46"/>
      <x:c r="K820" s="46"/>
      <x:c r="L820" s="47"/>
      <x:c r="M820" s="48" t="str"/>
      <x:c r="N820" s="48" t="str"/>
      <x:c r="O820" s="49" t="n">
        <x:v>46301</x:v>
      </x:c>
      <x:c r="P820" s="43" t="str">
        <x:v>Reporte/inspección del checkout al corte</x:v>
      </x:c>
      <x:c r="Q820" s="43" t="str">
        <x:v>TOU05, TOU06, TOU07, TOU08</x:v>
      </x:c>
      <x:c r="R820" s="43" t="str"/>
      <x:c r="S820" s="43" t="str"/>
      <x:c r="T820" s="43" t="str">
        <x:v>S127, S137, S138, S139</x:v>
      </x:c>
      <x:c r="U820" s="43" t="str">
        <x:v>docs/implementation/tours-local-pilot-report.md
processing/tours/pilot-image.json
processing/tours/local_runner.py
processing/tours/check_live.py</x:v>
      </x:c>
    </x:row>
    <x:row r="821" ht="56" customHeight="1">
      <x:c r="A821" s="42" t="str">
        <x:v>PIL01.023</x:v>
      </x:c>
      <x:c r="B821" s="42" t="str">
        <x:v>Piloto Docker local con Supabase real</x:v>
      </x:c>
      <x:c r="C821" s="42" t="str">
        <x:v>PIL01</x:v>
      </x:c>
      <x:c r="D821" s="43" t="str">
        <x:v>Limpiar recursos propios del piloto</x:v>
      </x:c>
      <x:c r="E821" s="43" t="str">
        <x:v>Confirmar cero cuentas, trabajos, recorridos y objetos temporales.</x:v>
      </x:c>
      <x:c r="F821" s="43" t="str">
        <x:v>Completado</x:v>
      </x:c>
      <x:c r="G821" s="44" t="n">
        <x:v>46296</x:v>
      </x:c>
      <x:c r="H821" s="44" t="n">
        <x:v>46302</x:v>
      </x:c>
      <x:c r="I821" s="45" t="n">
        <x:f>IF(OR(G821="",H821=""),"",SUMPRODUCT(('Cronograma'!$F$8:$P$8&lt;=H821)*('Cronograma'!$F$9:$P$9&gt;=G821)))</x:f>
        <x:v>1</x:v>
      </x:c>
      <x:c r="J821" s="46"/>
      <x:c r="K821" s="46"/>
      <x:c r="L821" s="47"/>
      <x:c r="M821" s="48" t="str"/>
      <x:c r="N821" s="48" t="str"/>
      <x:c r="O821" s="49" t="n">
        <x:v>46301</x:v>
      </x:c>
      <x:c r="P821" s="43" t="str">
        <x:v>Reporte/inspección del checkout al corte</x:v>
      </x:c>
      <x:c r="Q821" s="43" t="str">
        <x:v>TOU05, TOU06, TOU07, TOU08</x:v>
      </x:c>
      <x:c r="R821" s="43" t="str"/>
      <x:c r="S821" s="43" t="str"/>
      <x:c r="T821" s="43" t="str">
        <x:v>S127, S137, S138, S139</x:v>
      </x:c>
      <x:c r="U821" s="43" t="str">
        <x:v>docs/implementation/tours-local-pilot-report.md
processing/tours/pilot-image.json
processing/tours/local_runner.py
processing/tours/check_live.py</x:v>
      </x:c>
    </x:row>
    <x:row r="822" ht="56" customHeight="1">
      <x:c r="A822" s="42" t="str">
        <x:v>PIL01.024</x:v>
      </x:c>
      <x:c r="B822" s="42" t="str">
        <x:v>Piloto Docker local con Supabase real</x:v>
      </x:c>
      <x:c r="C822" s="42" t="str">
        <x:v>PIL01</x:v>
      </x:c>
      <x:c r="D822" s="43" t="str">
        <x:v>Limpiar 175 objetos de checkpoints antiguos</x:v>
      </x:c>
      <x:c r="E822" s="43" t="str">
        <x:v>Restringir limpieza a recursos de pruebas identificados.</x:v>
      </x:c>
      <x:c r="F822" s="43" t="str">
        <x:v>Completado</x:v>
      </x:c>
      <x:c r="G822" s="44" t="n">
        <x:v>46296</x:v>
      </x:c>
      <x:c r="H822" s="44" t="n">
        <x:v>46302</x:v>
      </x:c>
      <x:c r="I822" s="45" t="n">
        <x:f>IF(OR(G822="",H822=""),"",SUMPRODUCT(('Cronograma'!$F$8:$P$8&lt;=H822)*('Cronograma'!$F$9:$P$9&gt;=G822)))</x:f>
        <x:v>1</x:v>
      </x:c>
      <x:c r="J822" s="46"/>
      <x:c r="K822" s="46"/>
      <x:c r="L822" s="47"/>
      <x:c r="M822" s="48" t="str"/>
      <x:c r="N822" s="48" t="str"/>
      <x:c r="O822" s="49" t="n">
        <x:v>46301</x:v>
      </x:c>
      <x:c r="P822" s="43" t="str">
        <x:v>Reporte/inspección del checkout al corte</x:v>
      </x:c>
      <x:c r="Q822" s="43" t="str">
        <x:v>TOU05, TOU06, TOU07, TOU08</x:v>
      </x:c>
      <x:c r="R822" s="43" t="str"/>
      <x:c r="S822" s="43" t="str"/>
      <x:c r="T822" s="43" t="str">
        <x:v>S127, S137, S138, S139</x:v>
      </x:c>
      <x:c r="U822" s="43" t="str">
        <x:v>docs/implementation/tours-local-pilot-report.md
processing/tours/pilot-image.json
processing/tours/local_runner.py
processing/tours/check_live.py</x:v>
      </x:c>
    </x:row>
    <x:row r="823" ht="56" customHeight="1">
      <x:c r="A823" s="42" t="str">
        <x:v>PIL01.025</x:v>
      </x:c>
      <x:c r="B823" s="42" t="str">
        <x:v>Piloto Docker local con Supabase real</x:v>
      </x:c>
      <x:c r="C823" s="42" t="str">
        <x:v>PIL01</x:v>
      </x:c>
      <x:c r="D823" s="43" t="str">
        <x:v>Mostrar panorama final en widgets reales</x:v>
      </x:c>
      <x:c r="E823" s="43" t="str">
        <x:v>Revisar navegación y detalle con copia offline del fixture.</x:v>
      </x:c>
      <x:c r="F823" s="43" t="str">
        <x:v>Completado</x:v>
      </x:c>
      <x:c r="G823" s="44" t="n">
        <x:v>46296</x:v>
      </x:c>
      <x:c r="H823" s="44" t="n">
        <x:v>46302</x:v>
      </x:c>
      <x:c r="I823" s="45" t="n">
        <x:f>IF(OR(G823="",H823=""),"",SUMPRODUCT(('Cronograma'!$F$8:$P$8&lt;=H823)*('Cronograma'!$F$9:$P$9&gt;=G823)))</x:f>
        <x:v>1</x:v>
      </x:c>
      <x:c r="J823" s="46"/>
      <x:c r="K823" s="46"/>
      <x:c r="L823" s="47"/>
      <x:c r="M823" s="48" t="str"/>
      <x:c r="N823" s="48" t="str"/>
      <x:c r="O823" s="49" t="n">
        <x:v>46301</x:v>
      </x:c>
      <x:c r="P823" s="43" t="str">
        <x:v>Reporte/inspección del checkout al corte</x:v>
      </x:c>
      <x:c r="Q823" s="43" t="str">
        <x:v>TOU05, TOU06, TOU07, TOU08</x:v>
      </x:c>
      <x:c r="R823" s="43" t="str"/>
      <x:c r="S823" s="43" t="str"/>
      <x:c r="T823" s="43" t="str">
        <x:v>S127, S137, S138, S139</x:v>
      </x:c>
      <x:c r="U823" s="43" t="str">
        <x:v>docs/implementation/tours-local-pilot-report.md
processing/tours/pilot-image.json
processing/tours/local_runner.py
processing/tours/check_live.py</x:v>
      </x:c>
    </x:row>
    <x:row r="824" ht="56" customHeight="1">
      <x:c r="A824" s="42" t="str">
        <x:v>TOU10.001</x:v>
      </x:c>
      <x:c r="B824" s="42" t="str">
        <x:v>Verificación automática de recorridos</x:v>
      </x:c>
      <x:c r="C824" s="42" t="str">
        <x:v>TOU10</x:v>
      </x:c>
      <x:c r="D824" s="43" t="str">
        <x:v>Probar recuperación offline del editor</x:v>
      </x:c>
      <x:c r="E824" s="43" t="str">
        <x:v>Cubrir conservación local y salida tras escritura.</x:v>
      </x:c>
      <x:c r="F824" s="43" t="str">
        <x:v>Completado</x:v>
      </x:c>
      <x:c r="G824" s="44" t="n">
        <x:v>46296</x:v>
      </x:c>
      <x:c r="H824" s="44" t="n">
        <x:v>46302</x:v>
      </x:c>
      <x:c r="I824" s="45" t="n">
        <x:f>IF(OR(G824="",H824=""),"",SUMPRODUCT(('Cronograma'!$F$8:$P$8&lt;=H824)*('Cronograma'!$F$9:$P$9&gt;=G824)))</x:f>
        <x:v>1</x:v>
      </x:c>
      <x:c r="J824" s="46"/>
      <x:c r="K824" s="46"/>
      <x:c r="L824" s="47"/>
      <x:c r="M824" s="48" t="str"/>
      <x:c r="N824" s="48" t="str"/>
      <x:c r="O824" s="49" t="n">
        <x:v>46301</x:v>
      </x:c>
      <x:c r="P824" s="43" t="str">
        <x:v>Reporte/inspección del checkout al corte</x:v>
      </x:c>
      <x:c r="Q824" s="43" t="str">
        <x:v>TOU02, TOU03, TOU05, TOU06, TOU07, TOU08, TOU09</x:v>
      </x:c>
      <x:c r="R824" s="43" t="str"/>
      <x:c r="S824" s="43" t="str"/>
      <x:c r="T824" s="43" t="str">
        <x:v>S127, S140, S141, S142</x:v>
      </x:c>
      <x:c r="U824" s="43" t="str">
        <x:v>docs/implementation/tours-local-pilot-report.md
test/features/tours/tour_editor_recovery_test.dart
test/features/tours/tour_ar_recovery_test.dart
tool/check_tours_migrations.mjs</x:v>
      </x:c>
    </x:row>
    <x:row r="825" ht="56" customHeight="1">
      <x:c r="A825" s="42" t="str">
        <x:v>TOU10.002</x:v>
      </x:c>
      <x:c r="B825" s="42" t="str">
        <x:v>Verificación automática de recorridos</x:v>
      </x:c>
      <x:c r="C825" s="42" t="str">
        <x:v>TOU10</x:v>
      </x:c>
      <x:c r="D825" s="43" t="str">
        <x:v>Probar cambios de lente al retomar</x:v>
      </x:c>
      <x:c r="E825" s="43" t="str">
        <x:v>Mantener coherencia de la captura local.</x:v>
      </x:c>
      <x:c r="F825" s="43" t="str">
        <x:v>Completado</x:v>
      </x:c>
      <x:c r="G825" s="44" t="n">
        <x:v>46296</x:v>
      </x:c>
      <x:c r="H825" s="44" t="n">
        <x:v>46302</x:v>
      </x:c>
      <x:c r="I825" s="45" t="n">
        <x:f>IF(OR(G825="",H825=""),"",SUMPRODUCT(('Cronograma'!$F$8:$P$8&lt;=H825)*('Cronograma'!$F$9:$P$9&gt;=G825)))</x:f>
        <x:v>1</x:v>
      </x:c>
      <x:c r="J825" s="46"/>
      <x:c r="K825" s="46"/>
      <x:c r="L825" s="47"/>
      <x:c r="M825" s="48" t="str"/>
      <x:c r="N825" s="48" t="str"/>
      <x:c r="O825" s="49" t="n">
        <x:v>46301</x:v>
      </x:c>
      <x:c r="P825" s="43" t="str">
        <x:v>Reporte/inspección del checkout al corte</x:v>
      </x:c>
      <x:c r="Q825" s="43" t="str">
        <x:v>TOU02, TOU03, TOU05, TOU06, TOU07, TOU08, TOU09</x:v>
      </x:c>
      <x:c r="R825" s="43" t="str"/>
      <x:c r="S825" s="43" t="str"/>
      <x:c r="T825" s="43" t="str">
        <x:v>S127, S140, S141, S142</x:v>
      </x:c>
      <x:c r="U825" s="43" t="str">
        <x:v>docs/implementation/tours-local-pilot-report.md
test/features/tours/tour_editor_recovery_test.dart
test/features/tours/tour_ar_recovery_test.dart
tool/check_tours_migrations.mjs</x:v>
      </x:c>
    </x:row>
    <x:row r="826" ht="56" customHeight="1">
      <x:c r="A826" s="42" t="str">
        <x:v>TOU10.003</x:v>
      </x:c>
      <x:c r="B826" s="42" t="str">
        <x:v>Verificación automática de recorridos</x:v>
      </x:c>
      <x:c r="C826" s="42" t="str">
        <x:v>TOU10</x:v>
      </x:c>
      <x:c r="D826" s="43" t="str">
        <x:v>Probar checkpoint y recuperación TUS</x:v>
      </x:c>
      <x:c r="E826" s="43" t="str">
        <x:v>Cubrir offset y errores de sesión.</x:v>
      </x:c>
      <x:c r="F826" s="43" t="str">
        <x:v>Completado</x:v>
      </x:c>
      <x:c r="G826" s="44" t="n">
        <x:v>46296</x:v>
      </x:c>
      <x:c r="H826" s="44" t="n">
        <x:v>46302</x:v>
      </x:c>
      <x:c r="I826" s="45" t="n">
        <x:f>IF(OR(G826="",H826=""),"",SUMPRODUCT(('Cronograma'!$F$8:$P$8&lt;=H826)*('Cronograma'!$F$9:$P$9&gt;=G826)))</x:f>
        <x:v>1</x:v>
      </x:c>
      <x:c r="J826" s="46"/>
      <x:c r="K826" s="46"/>
      <x:c r="L826" s="47"/>
      <x:c r="M826" s="48" t="str"/>
      <x:c r="N826" s="48" t="str"/>
      <x:c r="O826" s="49" t="n">
        <x:v>46301</x:v>
      </x:c>
      <x:c r="P826" s="43" t="str">
        <x:v>Reporte/inspección del checkout al corte</x:v>
      </x:c>
      <x:c r="Q826" s="43" t="str">
        <x:v>TOU02, TOU03, TOU05, TOU06, TOU07, TOU08, TOU09</x:v>
      </x:c>
      <x:c r="R826" s="43" t="str"/>
      <x:c r="S826" s="43" t="str"/>
      <x:c r="T826" s="43" t="str">
        <x:v>S127, S140, S141, S142</x:v>
      </x:c>
      <x:c r="U826" s="43" t="str">
        <x:v>docs/implementation/tours-local-pilot-report.md
test/features/tours/tour_editor_recovery_test.dart
test/features/tours/tour_ar_recovery_test.dart
tool/check_tours_migrations.mjs</x:v>
      </x:c>
    </x:row>
    <x:row r="827" ht="56" customHeight="1">
      <x:c r="A827" s="42" t="str">
        <x:v>TOU10.004</x:v>
      </x:c>
      <x:c r="B827" s="42" t="str">
        <x:v>Verificación automática de recorridos</x:v>
      </x:c>
      <x:c r="C827" s="42" t="str">
        <x:v>TOU10</x:v>
      </x:c>
      <x:c r="D827" s="43" t="str">
        <x:v>Probar progreso durable y sincronización</x:v>
      </x:c>
      <x:c r="E827" s="43" t="str">
        <x:v>No perder paradas tras fallo remoto.</x:v>
      </x:c>
      <x:c r="F827" s="43" t="str">
        <x:v>Completado</x:v>
      </x:c>
      <x:c r="G827" s="44" t="n">
        <x:v>46296</x:v>
      </x:c>
      <x:c r="H827" s="44" t="n">
        <x:v>46302</x:v>
      </x:c>
      <x:c r="I827" s="45" t="n">
        <x:f>IF(OR(G827="",H827=""),"",SUMPRODUCT(('Cronograma'!$F$8:$P$8&lt;=H827)*('Cronograma'!$F$9:$P$9&gt;=G827)))</x:f>
        <x:v>1</x:v>
      </x:c>
      <x:c r="J827" s="46"/>
      <x:c r="K827" s="46"/>
      <x:c r="L827" s="47"/>
      <x:c r="M827" s="48" t="str"/>
      <x:c r="N827" s="48" t="str"/>
      <x:c r="O827" s="49" t="n">
        <x:v>46301</x:v>
      </x:c>
      <x:c r="P827" s="43" t="str">
        <x:v>Reporte/inspección del checkout al corte</x:v>
      </x:c>
      <x:c r="Q827" s="43" t="str">
        <x:v>TOU02, TOU03, TOU05, TOU06, TOU07, TOU08, TOU09</x:v>
      </x:c>
      <x:c r="R827" s="43" t="str"/>
      <x:c r="S827" s="43" t="str"/>
      <x:c r="T827" s="43" t="str">
        <x:v>S127, S140, S141, S142</x:v>
      </x:c>
      <x:c r="U827" s="43" t="str">
        <x:v>docs/implementation/tours-local-pilot-report.md
test/features/tours/tour_editor_recovery_test.dart
test/features/tours/tour_ar_recovery_test.dart
tool/check_tours_migrations.mjs</x:v>
      </x:c>
    </x:row>
    <x:row r="828" ht="56" customHeight="1">
      <x:c r="A828" s="42" t="str">
        <x:v>TOU10.005</x:v>
      </x:c>
      <x:c r="B828" s="42" t="str">
        <x:v>Verificación automática de recorridos</x:v>
      </x:c>
      <x:c r="C828" s="42" t="str">
        <x:v>TOU10</x:v>
      </x:c>
      <x:c r="D828" s="43" t="str">
        <x:v>Probar descargas AR invalidadas</x:v>
      </x:c>
      <x:c r="E828" s="43" t="str">
        <x:v>Impedir reactivación después de abandonar sesión.</x:v>
      </x:c>
      <x:c r="F828" s="43" t="str">
        <x:v>Completado</x:v>
      </x:c>
      <x:c r="G828" s="44" t="n">
        <x:v>46296</x:v>
      </x:c>
      <x:c r="H828" s="44" t="n">
        <x:v>46302</x:v>
      </x:c>
      <x:c r="I828" s="45" t="n">
        <x:f>IF(OR(G828="",H828=""),"",SUMPRODUCT(('Cronograma'!$F$8:$P$8&lt;=H828)*('Cronograma'!$F$9:$P$9&gt;=G828)))</x:f>
        <x:v>1</x:v>
      </x:c>
      <x:c r="J828" s="46"/>
      <x:c r="K828" s="46"/>
      <x:c r="L828" s="47"/>
      <x:c r="M828" s="48" t="str"/>
      <x:c r="N828" s="48" t="str"/>
      <x:c r="O828" s="49" t="n">
        <x:v>46301</x:v>
      </x:c>
      <x:c r="P828" s="43" t="str">
        <x:v>Reporte/inspección del checkout al corte</x:v>
      </x:c>
      <x:c r="Q828" s="43" t="str">
        <x:v>TOU02, TOU03, TOU05, TOU06, TOU07, TOU08, TOU09</x:v>
      </x:c>
      <x:c r="R828" s="43" t="str"/>
      <x:c r="S828" s="43" t="str"/>
      <x:c r="T828" s="43" t="str">
        <x:v>S127, S140, S141, S142</x:v>
      </x:c>
      <x:c r="U828" s="43" t="str">
        <x:v>docs/implementation/tours-local-pilot-report.md
test/features/tours/tour_editor_recovery_test.dart
test/features/tours/tour_ar_recovery_test.dart
tool/check_tours_migrations.mjs</x:v>
      </x:c>
    </x:row>
    <x:row r="829" ht="56" customHeight="1">
      <x:c r="A829" s="42" t="str">
        <x:v>TOU10.006</x:v>
      </x:c>
      <x:c r="B829" s="42" t="str">
        <x:v>Verificación automática de recorridos</x:v>
      </x:c>
      <x:c r="C829" s="42" t="str">
        <x:v>TOU10</x:v>
      </x:c>
      <x:c r="D829" s="43" t="str">
        <x:v>Validar contratos SQL de recorridos</x:v>
      </x:c>
      <x:c r="E829" s="43" t="str">
        <x:v>Piloto acredita 90 contratos y 17 flags del catálogo.</x:v>
      </x:c>
      <x:c r="F829" s="43" t="str">
        <x:v>Completado</x:v>
      </x:c>
      <x:c r="G829" s="44" t="n">
        <x:v>46296</x:v>
      </x:c>
      <x:c r="H829" s="44" t="n">
        <x:v>46302</x:v>
      </x:c>
      <x:c r="I829" s="45" t="n">
        <x:f>IF(OR(G829="",H829=""),"",SUMPRODUCT(('Cronograma'!$F$8:$P$8&lt;=H829)*('Cronograma'!$F$9:$P$9&gt;=G829)))</x:f>
        <x:v>1</x:v>
      </x:c>
      <x:c r="J829" s="46"/>
      <x:c r="K829" s="46"/>
      <x:c r="L829" s="47"/>
      <x:c r="M829" s="48" t="str"/>
      <x:c r="N829" s="48" t="str"/>
      <x:c r="O829" s="49" t="n">
        <x:v>46301</x:v>
      </x:c>
      <x:c r="P829" s="43" t="str">
        <x:v>Reporte/inspección del checkout al corte</x:v>
      </x:c>
      <x:c r="Q829" s="43" t="str">
        <x:v>TOU02, TOU03, TOU05, TOU06, TOU07, TOU08, TOU09</x:v>
      </x:c>
      <x:c r="R829" s="43" t="str"/>
      <x:c r="S829" s="43" t="str"/>
      <x:c r="T829" s="43" t="str">
        <x:v>S127, S140, S141, S142</x:v>
      </x:c>
      <x:c r="U829" s="43" t="str">
        <x:v>docs/implementation/tours-local-pilot-report.md
test/features/tours/tour_editor_recovery_test.dart
test/features/tours/tour_ar_recovery_test.dart
tool/check_tours_migrations.mjs</x:v>
      </x:c>
    </x:row>
    <x:row r="830" ht="56" customHeight="1">
      <x:c r="A830" s="42" t="str">
        <x:v>TOU10.007</x:v>
      </x:c>
      <x:c r="B830" s="42" t="str">
        <x:v>Verificación automática de recorridos</x:v>
      </x:c>
      <x:c r="C830" s="42" t="str">
        <x:v>TOU10</x:v>
      </x:c>
      <x:c r="D830" s="43" t="str">
        <x:v>Validar dispatcher y limpieza recursiva</x:v>
      </x:c>
      <x:c r="E830" s="43" t="str">
        <x:v>Piloto acredita seis pruebas dispatcher y tres de limpieza.</x:v>
      </x:c>
      <x:c r="F830" s="43" t="str">
        <x:v>Completado</x:v>
      </x:c>
      <x:c r="G830" s="44" t="n">
        <x:v>46296</x:v>
      </x:c>
      <x:c r="H830" s="44" t="n">
        <x:v>46302</x:v>
      </x:c>
      <x:c r="I830" s="45" t="n">
        <x:f>IF(OR(G830="",H830=""),"",SUMPRODUCT(('Cronograma'!$F$8:$P$8&lt;=H830)*('Cronograma'!$F$9:$P$9&gt;=G830)))</x:f>
        <x:v>1</x:v>
      </x:c>
      <x:c r="J830" s="46"/>
      <x:c r="K830" s="46"/>
      <x:c r="L830" s="47"/>
      <x:c r="M830" s="48" t="str"/>
      <x:c r="N830" s="48" t="str"/>
      <x:c r="O830" s="49" t="n">
        <x:v>46301</x:v>
      </x:c>
      <x:c r="P830" s="43" t="str">
        <x:v>Reporte/inspección del checkout al corte</x:v>
      </x:c>
      <x:c r="Q830" s="43" t="str">
        <x:v>TOU02, TOU03, TOU05, TOU06, TOU07, TOU08, TOU09</x:v>
      </x:c>
      <x:c r="R830" s="43" t="str"/>
      <x:c r="S830" s="43" t="str"/>
      <x:c r="T830" s="43" t="str">
        <x:v>S127, S140, S141, S142</x:v>
      </x:c>
      <x:c r="U830" s="43" t="str">
        <x:v>docs/implementation/tours-local-pilot-report.md
test/features/tours/tour_editor_recovery_test.dart
test/features/tours/tour_ar_recovery_test.dart
tool/check_tours_migrations.mjs</x:v>
      </x:c>
    </x:row>
    <x:row r="831" ht="56" customHeight="1">
      <x:c r="A831" s="42" t="str">
        <x:v>TOU10.008</x:v>
      </x:c>
      <x:c r="B831" s="42" t="str">
        <x:v>Verificación automática de recorridos</x:v>
      </x:c>
      <x:c r="C831" s="42" t="str">
        <x:v>TOU10</x:v>
      </x:c>
      <x:c r="D831" s="43" t="str">
        <x:v>Validar worker y runner Python</x:v>
      </x:c>
      <x:c r="E831" s="43" t="str">
        <x:v>Piloto acredita 25 pruebas Python.</x:v>
      </x:c>
      <x:c r="F831" s="43" t="str">
        <x:v>Completado</x:v>
      </x:c>
      <x:c r="G831" s="44" t="n">
        <x:v>46296</x:v>
      </x:c>
      <x:c r="H831" s="44" t="n">
        <x:v>46302</x:v>
      </x:c>
      <x:c r="I831" s="45" t="n">
        <x:f>IF(OR(G831="",H831=""),"",SUMPRODUCT(('Cronograma'!$F$8:$P$8&lt;=H831)*('Cronograma'!$F$9:$P$9&gt;=G831)))</x:f>
        <x:v>1</x:v>
      </x:c>
      <x:c r="J831" s="46"/>
      <x:c r="K831" s="46"/>
      <x:c r="L831" s="47"/>
      <x:c r="M831" s="48" t="str"/>
      <x:c r="N831" s="48" t="str"/>
      <x:c r="O831" s="49" t="n">
        <x:v>46301</x:v>
      </x:c>
      <x:c r="P831" s="43" t="str">
        <x:v>Reporte/inspección del checkout al corte</x:v>
      </x:c>
      <x:c r="Q831" s="43" t="str">
        <x:v>TOU02, TOU03, TOU05, TOU06, TOU07, TOU08, TOU09</x:v>
      </x:c>
      <x:c r="R831" s="43" t="str"/>
      <x:c r="S831" s="43" t="str"/>
      <x:c r="T831" s="43" t="str">
        <x:v>S127, S140, S141, S142</x:v>
      </x:c>
      <x:c r="U831" s="43" t="str">
        <x:v>docs/implementation/tours-local-pilot-report.md
test/features/tours/tour_editor_recovery_test.dart
test/features/tours/tour_ar_recovery_test.dart
tool/check_tours_migrations.mjs</x:v>
      </x:c>
    </x:row>
    <x:row r="832" ht="56" customHeight="1">
      <x:c r="A832" s="42" t="str">
        <x:v>TOU10.009</x:v>
      </x:c>
      <x:c r="B832" s="42" t="str">
        <x:v>Verificación automática de recorridos</x:v>
      </x:c>
      <x:c r="C832" s="42" t="str">
        <x:v>TOU10</x:v>
      </x:c>
      <x:c r="D832" s="43" t="str">
        <x:v>Registrar suite Flutter completa</x:v>
      </x:c>
      <x:c r="E832" s="43" t="str">
        <x:v>Piloto acredita 459 tests y análisis sin incidencias.</x:v>
      </x:c>
      <x:c r="F832" s="43" t="str">
        <x:v>Completado</x:v>
      </x:c>
      <x:c r="G832" s="44" t="n">
        <x:v>46296</x:v>
      </x:c>
      <x:c r="H832" s="44" t="n">
        <x:v>46302</x:v>
      </x:c>
      <x:c r="I832" s="45" t="n">
        <x:f>IF(OR(G832="",H832=""),"",SUMPRODUCT(('Cronograma'!$F$8:$P$8&lt;=H832)*('Cronograma'!$F$9:$P$9&gt;=G832)))</x:f>
        <x:v>1</x:v>
      </x:c>
      <x:c r="J832" s="46"/>
      <x:c r="K832" s="46"/>
      <x:c r="L832" s="47"/>
      <x:c r="M832" s="48" t="str"/>
      <x:c r="N832" s="48" t="str"/>
      <x:c r="O832" s="49" t="n">
        <x:v>46301</x:v>
      </x:c>
      <x:c r="P832" s="43" t="str">
        <x:v>Reporte/inspección del checkout al corte</x:v>
      </x:c>
      <x:c r="Q832" s="43" t="str">
        <x:v>TOU02, TOU03, TOU05, TOU06, TOU07, TOU08, TOU09</x:v>
      </x:c>
      <x:c r="R832" s="43" t="str"/>
      <x:c r="S832" s="43" t="str"/>
      <x:c r="T832" s="43" t="str">
        <x:v>S127, S140, S141, S142</x:v>
      </x:c>
      <x:c r="U832" s="43" t="str">
        <x:v>docs/implementation/tours-local-pilot-report.md
test/features/tours/tour_editor_recovery_test.dart
test/features/tours/tour_ar_recovery_test.dart
tool/check_tours_migrations.mjs</x:v>
      </x:c>
    </x:row>
    <x:row r="833" ht="56" customHeight="1">
      <x:c r="A833" s="42" t="str">
        <x:v>TOU10.010</x:v>
      </x:c>
      <x:c r="B833" s="42" t="str">
        <x:v>Verificación automática de recorridos</x:v>
      </x:c>
      <x:c r="C833" s="42" t="str">
        <x:v>TOU10</x:v>
      </x:c>
      <x:c r="D833" s="43" t="str">
        <x:v>Validar backend real del piloto</x:v>
      </x:c>
      <x:c r="E833" s="43" t="str">
        <x:v>Reporte acredita 57 comprobaciones Supabase más ocho de lease.</x:v>
      </x:c>
      <x:c r="F833" s="43" t="str">
        <x:v>Completado</x:v>
      </x:c>
      <x:c r="G833" s="44" t="n">
        <x:v>46296</x:v>
      </x:c>
      <x:c r="H833" s="44" t="n">
        <x:v>46302</x:v>
      </x:c>
      <x:c r="I833" s="45" t="n">
        <x:f>IF(OR(G833="",H833=""),"",SUMPRODUCT(('Cronograma'!$F$8:$P$8&lt;=H833)*('Cronograma'!$F$9:$P$9&gt;=G833)))</x:f>
        <x:v>1</x:v>
      </x:c>
      <x:c r="J833" s="46"/>
      <x:c r="K833" s="46"/>
      <x:c r="L833" s="47"/>
      <x:c r="M833" s="48" t="str"/>
      <x:c r="N833" s="48" t="str"/>
      <x:c r="O833" s="49" t="n">
        <x:v>46301</x:v>
      </x:c>
      <x:c r="P833" s="43" t="str">
        <x:v>Reporte/inspección del checkout al corte</x:v>
      </x:c>
      <x:c r="Q833" s="43" t="str">
        <x:v>TOU02, TOU03, TOU05, TOU06, TOU07, TOU08, TOU09</x:v>
      </x:c>
      <x:c r="R833" s="43" t="str"/>
      <x:c r="S833" s="43" t="str"/>
      <x:c r="T833" s="43" t="str">
        <x:v>S127, S140, S141, S142</x:v>
      </x:c>
      <x:c r="U833" s="43" t="str">
        <x:v>docs/implementation/tours-local-pilot-report.md
test/features/tours/tour_editor_recovery_test.dart
test/features/tours/tour_ar_recovery_test.dart
tool/check_tours_migrations.mjs</x:v>
      </x:c>
    </x:row>
    <x:row r="834" ht="56" customHeight="1">
      <x:c r="A834" s="42" t="str">
        <x:v>TOU10.011</x:v>
      </x:c>
      <x:c r="B834" s="42" t="str">
        <x:v>Verificación automática de recorridos</x:v>
      </x:c>
      <x:c r="C834" s="42" t="str">
        <x:v>TOU10</x:v>
      </x:c>
      <x:c r="D834" s="43" t="str">
        <x:v>Compilar APK, Web e iOS sin firma</x:v>
      </x:c>
      <x:c r="E834" s="43" t="str">
        <x:v>Piloto acredita compilaciones locales del proyecto.</x:v>
      </x:c>
      <x:c r="F834" s="43" t="str">
        <x:v>Completado</x:v>
      </x:c>
      <x:c r="G834" s="44" t="n">
        <x:v>46296</x:v>
      </x:c>
      <x:c r="H834" s="44" t="n">
        <x:v>46302</x:v>
      </x:c>
      <x:c r="I834" s="45" t="n">
        <x:f>IF(OR(G834="",H834=""),"",SUMPRODUCT(('Cronograma'!$F$8:$P$8&lt;=H834)*('Cronograma'!$F$9:$P$9&gt;=G834)))</x:f>
        <x:v>1</x:v>
      </x:c>
      <x:c r="J834" s="46"/>
      <x:c r="K834" s="46"/>
      <x:c r="L834" s="47"/>
      <x:c r="M834" s="48" t="str"/>
      <x:c r="N834" s="48" t="str"/>
      <x:c r="O834" s="49" t="n">
        <x:v>46301</x:v>
      </x:c>
      <x:c r="P834" s="43" t="str">
        <x:v>Reporte/inspección del checkout al corte</x:v>
      </x:c>
      <x:c r="Q834" s="43" t="str">
        <x:v>TOU02, TOU03, TOU05, TOU06, TOU07, TOU08, TOU09</x:v>
      </x:c>
      <x:c r="R834" s="43" t="str"/>
      <x:c r="S834" s="43" t="str"/>
      <x:c r="T834" s="43" t="str">
        <x:v>S127, S140, S141, S142</x:v>
      </x:c>
      <x:c r="U834" s="43" t="str">
        <x:v>docs/implementation/tours-local-pilot-report.md
test/features/tours/tour_editor_recovery_test.dart
test/features/tours/tour_ar_recovery_test.dart
tool/check_tours_migrations.mjs</x:v>
      </x:c>
    </x:row>
    <x:row r="835" ht="56" customHeight="1">
      <x:c r="A835" s="42" t="str">
        <x:v>TOU10.012</x:v>
      </x:c>
      <x:c r="B835" s="42" t="str">
        <x:v>Verificación automática de recorridos</x:v>
      </x:c>
      <x:c r="C835" s="42" t="str">
        <x:v>TOU10</x:v>
      </x:c>
      <x:c r="D835" s="43" t="str">
        <x:v>Conservar límites de validación automática</x:v>
      </x:c>
      <x:c r="E835" s="43" t="str">
        <x:v>No marcar referencia AR como probada físicamente.</x:v>
      </x:c>
      <x:c r="F835" s="43" t="str">
        <x:v>Completado</x:v>
      </x:c>
      <x:c r="G835" s="44" t="n">
        <x:v>46296</x:v>
      </x:c>
      <x:c r="H835" s="44" t="n">
        <x:v>46302</x:v>
      </x:c>
      <x:c r="I835" s="45" t="n">
        <x:f>IF(OR(G835="",H835=""),"",SUMPRODUCT(('Cronograma'!$F$8:$P$8&lt;=H835)*('Cronograma'!$F$9:$P$9&gt;=G835)))</x:f>
        <x:v>1</x:v>
      </x:c>
      <x:c r="J835" s="46"/>
      <x:c r="K835" s="46"/>
      <x:c r="L835" s="47"/>
      <x:c r="M835" s="48" t="str"/>
      <x:c r="N835" s="48" t="str"/>
      <x:c r="O835" s="49" t="n">
        <x:v>46301</x:v>
      </x:c>
      <x:c r="P835" s="43" t="str">
        <x:v>Reporte/inspección del checkout al corte</x:v>
      </x:c>
      <x:c r="Q835" s="43" t="str">
        <x:v>TOU02, TOU03, TOU05, TOU06, TOU07, TOU08, TOU09</x:v>
      </x:c>
      <x:c r="R835" s="43" t="str"/>
      <x:c r="S835" s="43" t="str"/>
      <x:c r="T835" s="43" t="str">
        <x:v>S127, S140, S141, S142</x:v>
      </x:c>
      <x:c r="U835" s="43" t="str">
        <x:v>docs/implementation/tours-local-pilot-report.md
test/features/tours/tour_editor_recovery_test.dart
test/features/tours/tour_ar_recovery_test.dart
tool/check_tours_migrations.mjs</x:v>
      </x:c>
    </x:row>
    <x:row r="836" ht="36" customHeight="1">
      <x:c r="A836" s="42" t="str">
        <x:v>FIS01.001</x:v>
      </x:c>
      <x:c r="B836" s="42" t="str">
        <x:v>Captura óptica real y calibración de panoramas</x:v>
      </x:c>
      <x:c r="C836" s="42" t="str">
        <x:v>FIS01</x:v>
      </x:c>
      <x:c r="D836" s="43" t="str">
        <x:v>Preparar local autorizado para prueba</x:v>
      </x:c>
      <x:c r="E836" s="43" t="str">
        <x:v>Seleccionar posiciones reales con permiso del responsable.</x:v>
      </x:c>
      <x:c r="F836" s="43" t="str">
        <x:v>Pendiente</x:v>
      </x:c>
      <x:c r="G836" s="44" t="n">
        <x:v>46303</x:v>
      </x:c>
      <x:c r="H836" s="44" t="n">
        <x:v>46309</x:v>
      </x:c>
      <x:c r="I836" s="45" t="n">
        <x:f>IF(OR(G836="",H836=""),"",SUMPRODUCT(('Cronograma'!$F$8:$P$8&lt;=H836)*('Cronograma'!$F$9:$P$9&gt;=G836)))</x:f>
        <x:v>1</x:v>
      </x:c>
      <x:c r="J836" s="46"/>
      <x:c r="K836" s="46"/>
      <x:c r="L836" s="47"/>
      <x:c r="M836" s="48" t="str"/>
      <x:c r="N836" s="48" t="str"/>
      <x:c r="O836" s="49"/>
      <x:c r="P836" s="43" t="str">
        <x:v>Plan propuesto, sin ejecución</x:v>
      </x:c>
      <x:c r="Q836" s="43" t="str">
        <x:v>TOU03, TOU04, PIL01</x:v>
      </x:c>
      <x:c r="R836" s="43" t="str">
        <x:v>Ejecutar la actividad y registrar resultado, responsables y duración real.</x:v>
      </x:c>
      <x:c r="S836" s="43" t="str">
        <x:v>Plan propuesto después del corte 06/10/2026; ninguna ejecución futura se considera realizada. Responsables y tiempos reales pendientes de captura.</x:v>
      </x:c>
      <x:c r="T836" s="43" t="str">
        <x:v>S127, S009</x:v>
      </x:c>
      <x:c r="U836" s="43" t="str">
        <x:v>docs/implementation/tours-local-pilot-report.md
docs/implementation/tours-native.md</x:v>
      </x:c>
    </x:row>
    <x:row r="837" ht="36" customHeight="1">
      <x:c r="A837" s="42" t="str">
        <x:v>FIS01.002</x:v>
      </x:c>
      <x:c r="B837" s="42" t="str">
        <x:v>Captura óptica real y calibración de panoramas</x:v>
      </x:c>
      <x:c r="C837" s="42" t="str">
        <x:v>FIS01</x:v>
      </x:c>
      <x:c r="D837" s="43" t="str">
        <x:v>Preparar Android de captura</x:v>
      </x:c>
      <x:c r="E837" s="43" t="str">
        <x:v>Conectar dispositivo y verificar cámara posterior principal.</x:v>
      </x:c>
      <x:c r="F837" s="43" t="str">
        <x:v>Pendiente</x:v>
      </x:c>
      <x:c r="G837" s="44" t="n">
        <x:v>46303</x:v>
      </x:c>
      <x:c r="H837" s="44" t="n">
        <x:v>46309</x:v>
      </x:c>
      <x:c r="I837" s="45" t="n">
        <x:f>IF(OR(G837="",H837=""),"",SUMPRODUCT(('Cronograma'!$F$8:$P$8&lt;=H837)*('Cronograma'!$F$9:$P$9&gt;=G837)))</x:f>
        <x:v>1</x:v>
      </x:c>
      <x:c r="J837" s="46"/>
      <x:c r="K837" s="46"/>
      <x:c r="L837" s="47"/>
      <x:c r="M837" s="48" t="str"/>
      <x:c r="N837" s="48" t="str"/>
      <x:c r="O837" s="49"/>
      <x:c r="P837" s="43" t="str">
        <x:v>Plan propuesto, sin ejecución</x:v>
      </x:c>
      <x:c r="Q837" s="43" t="str">
        <x:v>TOU03, TOU04, PIL01</x:v>
      </x:c>
      <x:c r="R837" s="43" t="str">
        <x:v>Ejecutar la actividad y registrar resultado, responsables y duración real.</x:v>
      </x:c>
      <x:c r="S837" s="43" t="str">
        <x:v>Plan propuesto después del corte 06/10/2026; ninguna ejecución futura se considera realizada. Responsables y tiempos reales pendientes de captura.</x:v>
      </x:c>
      <x:c r="T837" s="43" t="str">
        <x:v>S127, S009</x:v>
      </x:c>
      <x:c r="U837" s="43" t="str">
        <x:v>docs/implementation/tours-local-pilot-report.md
docs/implementation/tours-native.md</x:v>
      </x:c>
    </x:row>
    <x:row r="838" ht="36" customHeight="1">
      <x:c r="A838" s="42" t="str">
        <x:v>FIS01.003</x:v>
      </x:c>
      <x:c r="B838" s="42" t="str">
        <x:v>Captura óptica real y calibración de panoramas</x:v>
      </x:c>
      <x:c r="C838" s="42" t="str">
        <x:v>FIS01</x:v>
      </x:c>
      <x:c r="D838" s="43" t="str">
        <x:v>Preparar iPhone de captura</x:v>
      </x:c>
      <x:c r="E838" s="43" t="str">
        <x:v>Configurar firma y equipo Apple antes de instalar.</x:v>
      </x:c>
      <x:c r="F838" s="43" t="str">
        <x:v>Bloqueado</x:v>
      </x:c>
      <x:c r="G838" s="44" t="n">
        <x:v>46303</x:v>
      </x:c>
      <x:c r="H838" s="44" t="n">
        <x:v>46309</x:v>
      </x:c>
      <x:c r="I838" s="45" t="n">
        <x:f>IF(OR(G838="",H838=""),"",SUMPRODUCT(('Cronograma'!$F$8:$P$8&lt;=H838)*('Cronograma'!$F$9:$P$9&gt;=G838)))</x:f>
        <x:v>1</x:v>
      </x:c>
      <x:c r="J838" s="46"/>
      <x:c r="K838" s="46"/>
      <x:c r="L838" s="47"/>
      <x:c r="M838" s="48" t="str"/>
      <x:c r="N838" s="48" t="str"/>
      <x:c r="O838" s="49"/>
      <x:c r="P838" s="43" t="str">
        <x:v>Plan propuesto, sin ejecución</x:v>
      </x:c>
      <x:c r="Q838" s="43" t="str">
        <x:v>TOU03, TOU04, PIL01</x:v>
      </x:c>
      <x:c r="R838" s="43" t="str">
        <x:v>Resolver credenciales, permisos o firma indicados en el resultado.</x:v>
      </x:c>
      <x:c r="S838" s="43" t="str">
        <x:v>Plan propuesto después del corte 06/10/2026; ninguna ejecución futura se considera realizada. Responsables y tiempos reales pendientes de captura.</x:v>
      </x:c>
      <x:c r="T838" s="43" t="str">
        <x:v>S127, S009</x:v>
      </x:c>
      <x:c r="U838" s="43" t="str">
        <x:v>docs/implementation/tours-local-pilot-report.md
docs/implementation/tours-native.md</x:v>
      </x:c>
    </x:row>
    <x:row r="839" ht="36" customHeight="1">
      <x:c r="A839" s="42" t="str">
        <x:v>FIS01.004</x:v>
      </x:c>
      <x:c r="B839" s="42" t="str">
        <x:v>Captura óptica real y calibración de panoramas</x:v>
      </x:c>
      <x:c r="C839" s="42" t="str">
        <x:v>FIS01</x:v>
      </x:c>
      <x:c r="D839" s="43" t="str">
        <x:v>Validar FOV frente al JPEG real</x:v>
      </x:c>
      <x:c r="E839" s="43" t="str">
        <x:v>Comprobar crop y posibles correcciones del ISP.</x:v>
      </x:c>
      <x:c r="F839" s="43" t="str">
        <x:v>Pendiente</x:v>
      </x:c>
      <x:c r="G839" s="44" t="n">
        <x:v>46303</x:v>
      </x:c>
      <x:c r="H839" s="44" t="n">
        <x:v>46309</x:v>
      </x:c>
      <x:c r="I839" s="45" t="n">
        <x:f>IF(OR(G839="",H839=""),"",SUMPRODUCT(('Cronograma'!$F$8:$P$8&lt;=H839)*('Cronograma'!$F$9:$P$9&gt;=G839)))</x:f>
        <x:v>1</x:v>
      </x:c>
      <x:c r="J839" s="46"/>
      <x:c r="K839" s="46"/>
      <x:c r="L839" s="47"/>
      <x:c r="M839" s="48" t="str"/>
      <x:c r="N839" s="48" t="str"/>
      <x:c r="O839" s="49"/>
      <x:c r="P839" s="43" t="str">
        <x:v>Plan propuesto, sin ejecución</x:v>
      </x:c>
      <x:c r="Q839" s="43" t="str">
        <x:v>TOU03, TOU04, PIL01</x:v>
      </x:c>
      <x:c r="R839" s="43" t="str">
        <x:v>Ejecutar la actividad y registrar resultado, responsables y duración real.</x:v>
      </x:c>
      <x:c r="S839" s="43" t="str">
        <x:v>Plan propuesto después del corte 06/10/2026; ninguna ejecución futura se considera realizada. Responsables y tiempos reales pendientes de captura.</x:v>
      </x:c>
      <x:c r="T839" s="43" t="str">
        <x:v>S127, S009</x:v>
      </x:c>
      <x:c r="U839" s="43" t="str">
        <x:v>docs/implementation/tours-local-pilot-report.md
docs/implementation/tours-native.md</x:v>
      </x:c>
    </x:row>
    <x:row r="840" ht="36" customHeight="1">
      <x:c r="A840" s="42" t="str">
        <x:v>FIS01.005</x:v>
      </x:c>
      <x:c r="B840" s="42" t="str">
        <x:v>Captura óptica real y calibración de panoramas</x:v>
      </x:c>
      <x:c r="C840" s="42" t="str">
        <x:v>FIS01</x:v>
      </x:c>
      <x:c r="D840" s="43" t="str">
        <x:v>Validar signo yaw y pitch en teléfono</x:v>
      </x:c>
      <x:c r="E840" s="43" t="str">
        <x:v>Comparar horizonte y giros con orientación esperada.</x:v>
      </x:c>
      <x:c r="F840" s="43" t="str">
        <x:v>Pendiente</x:v>
      </x:c>
      <x:c r="G840" s="44" t="n">
        <x:v>46303</x:v>
      </x:c>
      <x:c r="H840" s="44" t="n">
        <x:v>46309</x:v>
      </x:c>
      <x:c r="I840" s="45" t="n">
        <x:f>IF(OR(G840="",H840=""),"",SUMPRODUCT(('Cronograma'!$F$8:$P$8&lt;=H840)*('Cronograma'!$F$9:$P$9&gt;=G840)))</x:f>
        <x:v>1</x:v>
      </x:c>
      <x:c r="J840" s="46"/>
      <x:c r="K840" s="46"/>
      <x:c r="L840" s="47"/>
      <x:c r="M840" s="48" t="str"/>
      <x:c r="N840" s="48" t="str"/>
      <x:c r="O840" s="49"/>
      <x:c r="P840" s="43" t="str">
        <x:v>Plan propuesto, sin ejecución</x:v>
      </x:c>
      <x:c r="Q840" s="43" t="str">
        <x:v>TOU03, TOU04, PIL01</x:v>
      </x:c>
      <x:c r="R840" s="43" t="str">
        <x:v>Ejecutar la actividad y registrar resultado, responsables y duración real.</x:v>
      </x:c>
      <x:c r="S840" s="43" t="str">
        <x:v>Plan propuesto después del corte 06/10/2026; ninguna ejecución futura se considera realizada. Responsables y tiempos reales pendientes de captura.</x:v>
      </x:c>
      <x:c r="T840" s="43" t="str">
        <x:v>S127, S009</x:v>
      </x:c>
      <x:c r="U840" s="43" t="str">
        <x:v>docs/implementation/tours-local-pilot-report.md
docs/implementation/tours-native.md</x:v>
      </x:c>
    </x:row>
    <x:row r="841" ht="36" customHeight="1">
      <x:c r="A841" s="42" t="str">
        <x:v>FIS01.006</x:v>
      </x:c>
      <x:c r="B841" s="42" t="str">
        <x:v>Captura óptica real y calibración de panoramas</x:v>
      </x:c>
      <x:c r="C841" s="42" t="str">
        <x:v>FIS01</x:v>
      </x:c>
      <x:c r="D841" s="43" t="str">
        <x:v>Validar cenit y nadir</x:v>
      </x:c>
      <x:c r="E841" s="43" t="str">
        <x:v>Comprobar lectura de sensores apuntando a techo y piso.</x:v>
      </x:c>
      <x:c r="F841" s="43" t="str">
        <x:v>Pendiente</x:v>
      </x:c>
      <x:c r="G841" s="44" t="n">
        <x:v>46303</x:v>
      </x:c>
      <x:c r="H841" s="44" t="n">
        <x:v>46309</x:v>
      </x:c>
      <x:c r="I841" s="45" t="n">
        <x:f>IF(OR(G841="",H841=""),"",SUMPRODUCT(('Cronograma'!$F$8:$P$8&lt;=H841)*('Cronograma'!$F$9:$P$9&gt;=G841)))</x:f>
        <x:v>1</x:v>
      </x:c>
      <x:c r="J841" s="46"/>
      <x:c r="K841" s="46"/>
      <x:c r="L841" s="47"/>
      <x:c r="M841" s="48" t="str"/>
      <x:c r="N841" s="48" t="str"/>
      <x:c r="O841" s="49"/>
      <x:c r="P841" s="43" t="str">
        <x:v>Plan propuesto, sin ejecución</x:v>
      </x:c>
      <x:c r="Q841" s="43" t="str">
        <x:v>TOU03, TOU04, PIL01</x:v>
      </x:c>
      <x:c r="R841" s="43" t="str">
        <x:v>Ejecutar la actividad y registrar resultado, responsables y duración real.</x:v>
      </x:c>
      <x:c r="S841" s="43" t="str">
        <x:v>Plan propuesto después del corte 06/10/2026; ninguna ejecución futura se considera realizada. Responsables y tiempos reales pendientes de captura.</x:v>
      </x:c>
      <x:c r="T841" s="43" t="str">
        <x:v>S127, S009</x:v>
      </x:c>
      <x:c r="U841" s="43" t="str">
        <x:v>docs/implementation/tours-local-pilot-report.md
docs/implementation/tours-native.md</x:v>
      </x:c>
    </x:row>
    <x:row r="842" ht="36" customHeight="1">
      <x:c r="A842" s="42" t="str">
        <x:v>FIS01.007</x:v>
      </x:c>
      <x:c r="B842" s="42" t="str">
        <x:v>Captura óptica real y calibración de panoramas</x:v>
      </x:c>
      <x:c r="C842" s="42" t="str">
        <x:v>FIS01</x:v>
      </x:c>
      <x:c r="D842" s="43" t="str">
        <x:v>Validar orientación al reabrir captura</x:v>
      </x:c>
      <x:c r="E842" s="43" t="str">
        <x:v>Recuperar sesión tras detener cámara.</x:v>
      </x:c>
      <x:c r="F842" s="43" t="str">
        <x:v>Pendiente</x:v>
      </x:c>
      <x:c r="G842" s="44" t="n">
        <x:v>46303</x:v>
      </x:c>
      <x:c r="H842" s="44" t="n">
        <x:v>46309</x:v>
      </x:c>
      <x:c r="I842" s="45" t="n">
        <x:f>IF(OR(G842="",H842=""),"",SUMPRODUCT(('Cronograma'!$F$8:$P$8&lt;=H842)*('Cronograma'!$F$9:$P$9&gt;=G842)))</x:f>
        <x:v>1</x:v>
      </x:c>
      <x:c r="J842" s="46"/>
      <x:c r="K842" s="46"/>
      <x:c r="L842" s="47"/>
      <x:c r="M842" s="48" t="str"/>
      <x:c r="N842" s="48" t="str"/>
      <x:c r="O842" s="49"/>
      <x:c r="P842" s="43" t="str">
        <x:v>Plan propuesto, sin ejecución</x:v>
      </x:c>
      <x:c r="Q842" s="43" t="str">
        <x:v>TOU03, TOU04, PIL01</x:v>
      </x:c>
      <x:c r="R842" s="43" t="str">
        <x:v>Ejecutar la actividad y registrar resultado, responsables y duración real.</x:v>
      </x:c>
      <x:c r="S842" s="43" t="str">
        <x:v>Plan propuesto después del corte 06/10/2026; ninguna ejecución futura se considera realizada. Responsables y tiempos reales pendientes de captura.</x:v>
      </x:c>
      <x:c r="T842" s="43" t="str">
        <x:v>S127, S009</x:v>
      </x:c>
      <x:c r="U842" s="43" t="str">
        <x:v>docs/implementation/tours-local-pilot-report.md
docs/implementation/tours-native.md</x:v>
      </x:c>
    </x:row>
    <x:row r="843" ht="36" customHeight="1">
      <x:c r="A843" s="42" t="str">
        <x:v>FIS01.008</x:v>
      </x:c>
      <x:c r="B843" s="42" t="str">
        <x:v>Captura óptica real y calibración de panoramas</x:v>
      </x:c>
      <x:c r="C843" s="42" t="str">
        <x:v>FIS01</x:v>
      </x:c>
      <x:c r="D843" s="43" t="str">
        <x:v>Capturar esfera interior con techo y piso</x:v>
      </x:c>
      <x:c r="E843" s="43" t="str">
        <x:v>Mantener posición de lente y solapamiento.</x:v>
      </x:c>
      <x:c r="F843" s="43" t="str">
        <x:v>Pendiente</x:v>
      </x:c>
      <x:c r="G843" s="44" t="n">
        <x:v>46303</x:v>
      </x:c>
      <x:c r="H843" s="44" t="n">
        <x:v>46309</x:v>
      </x:c>
      <x:c r="I843" s="45" t="n">
        <x:f>IF(OR(G843="",H843=""),"",SUMPRODUCT(('Cronograma'!$F$8:$P$8&lt;=H843)*('Cronograma'!$F$9:$P$9&gt;=G843)))</x:f>
        <x:v>1</x:v>
      </x:c>
      <x:c r="J843" s="46"/>
      <x:c r="K843" s="46"/>
      <x:c r="L843" s="47"/>
      <x:c r="M843" s="48" t="str"/>
      <x:c r="N843" s="48" t="str"/>
      <x:c r="O843" s="49"/>
      <x:c r="P843" s="43" t="str">
        <x:v>Plan propuesto, sin ejecución</x:v>
      </x:c>
      <x:c r="Q843" s="43" t="str">
        <x:v>TOU03, TOU04, PIL01</x:v>
      </x:c>
      <x:c r="R843" s="43" t="str">
        <x:v>Ejecutar la actividad y registrar resultado, responsables y duración real.</x:v>
      </x:c>
      <x:c r="S843" s="43" t="str">
        <x:v>Plan propuesto después del corte 06/10/2026; ninguna ejecución futura se considera realizada. Responsables y tiempos reales pendientes de captura.</x:v>
      </x:c>
      <x:c r="T843" s="43" t="str">
        <x:v>S127, S009</x:v>
      </x:c>
      <x:c r="U843" s="43" t="str">
        <x:v>docs/implementation/tours-local-pilot-report.md
docs/implementation/tours-native.md</x:v>
      </x:c>
    </x:row>
    <x:row r="844" ht="36" customHeight="1">
      <x:c r="A844" s="42" t="str">
        <x:v>FIS01.009</x:v>
      </x:c>
      <x:c r="B844" s="42" t="str">
        <x:v>Captura óptica real y calibración de panoramas</x:v>
      </x:c>
      <x:c r="C844" s="42" t="str">
        <x:v>FIS01</x:v>
      </x:c>
      <x:c r="D844" s="43" t="str">
        <x:v>Capturar escena con ventanas</x:v>
      </x:c>
      <x:c r="E844" s="43" t="str">
        <x:v>Evaluar contraste y reflejos del panorama.</x:v>
      </x:c>
      <x:c r="F844" s="43" t="str">
        <x:v>Pendiente</x:v>
      </x:c>
      <x:c r="G844" s="44" t="n">
        <x:v>46303</x:v>
      </x:c>
      <x:c r="H844" s="44" t="n">
        <x:v>46309</x:v>
      </x:c>
      <x:c r="I844" s="45" t="n">
        <x:f>IF(OR(G844="",H844=""),"",SUMPRODUCT(('Cronograma'!$F$8:$P$8&lt;=H844)*('Cronograma'!$F$9:$P$9&gt;=G844)))</x:f>
        <x:v>1</x:v>
      </x:c>
      <x:c r="J844" s="46"/>
      <x:c r="K844" s="46"/>
      <x:c r="L844" s="47"/>
      <x:c r="M844" s="48" t="str"/>
      <x:c r="N844" s="48" t="str"/>
      <x:c r="O844" s="49"/>
      <x:c r="P844" s="43" t="str">
        <x:v>Plan propuesto, sin ejecución</x:v>
      </x:c>
      <x:c r="Q844" s="43" t="str">
        <x:v>TOU03, TOU04, PIL01</x:v>
      </x:c>
      <x:c r="R844" s="43" t="str">
        <x:v>Ejecutar la actividad y registrar resultado, responsables y duración real.</x:v>
      </x:c>
      <x:c r="S844" s="43" t="str">
        <x:v>Plan propuesto después del corte 06/10/2026; ninguna ejecución futura se considera realizada. Responsables y tiempos reales pendientes de captura.</x:v>
      </x:c>
      <x:c r="T844" s="43" t="str">
        <x:v>S127, S009</x:v>
      </x:c>
      <x:c r="U844" s="43" t="str">
        <x:v>docs/implementation/tours-local-pilot-report.md
docs/implementation/tours-native.md</x:v>
      </x:c>
    </x:row>
    <x:row r="845" ht="36" customHeight="1">
      <x:c r="A845" s="42" t="str">
        <x:v>FIS01.010</x:v>
      </x:c>
      <x:c r="B845" s="42" t="str">
        <x:v>Captura óptica real y calibración de panoramas</x:v>
      </x:c>
      <x:c r="C845" s="42" t="str">
        <x:v>FIS01</x:v>
      </x:c>
      <x:c r="D845" s="43" t="str">
        <x:v>Capturar escena de poca textura</x:v>
      </x:c>
      <x:c r="E845" s="43" t="str">
        <x:v>Comprobar suficiencia de coincidencias entre tomas.</x:v>
      </x:c>
      <x:c r="F845" s="43" t="str">
        <x:v>Pendiente</x:v>
      </x:c>
      <x:c r="G845" s="44" t="n">
        <x:v>46303</x:v>
      </x:c>
      <x:c r="H845" s="44" t="n">
        <x:v>46309</x:v>
      </x:c>
      <x:c r="I845" s="45" t="n">
        <x:f>IF(OR(G845="",H845=""),"",SUMPRODUCT(('Cronograma'!$F$8:$P$8&lt;=H845)*('Cronograma'!$F$9:$P$9&gt;=G845)))</x:f>
        <x:v>1</x:v>
      </x:c>
      <x:c r="J845" s="46"/>
      <x:c r="K845" s="46"/>
      <x:c r="L845" s="47"/>
      <x:c r="M845" s="48" t="str"/>
      <x:c r="N845" s="48" t="str"/>
      <x:c r="O845" s="49"/>
      <x:c r="P845" s="43" t="str">
        <x:v>Plan propuesto, sin ejecución</x:v>
      </x:c>
      <x:c r="Q845" s="43" t="str">
        <x:v>TOU03, TOU04, PIL01</x:v>
      </x:c>
      <x:c r="R845" s="43" t="str">
        <x:v>Ejecutar la actividad y registrar resultado, responsables y duración real.</x:v>
      </x:c>
      <x:c r="S845" s="43" t="str">
        <x:v>Plan propuesto después del corte 06/10/2026; ninguna ejecución futura se considera realizada. Responsables y tiempos reales pendientes de captura.</x:v>
      </x:c>
      <x:c r="T845" s="43" t="str">
        <x:v>S127, S009</x:v>
      </x:c>
      <x:c r="U845" s="43" t="str">
        <x:v>docs/implementation/tours-local-pilot-report.md
docs/implementation/tours-native.md</x:v>
      </x:c>
    </x:row>
    <x:row r="846" ht="36" customHeight="1">
      <x:c r="A846" s="42" t="str">
        <x:v>FIS01.011</x:v>
      </x:c>
      <x:c r="B846" s="42" t="str">
        <x:v>Captura óptica real y calibración de panoramas</x:v>
      </x:c>
      <x:c r="C846" s="42" t="str">
        <x:v>FIS01</x:v>
      </x:c>
      <x:c r="D846" s="43" t="str">
        <x:v>Capturar objetos próximos</x:v>
      </x:c>
      <x:c r="E846" s="43" t="str">
        <x:v>Evaluar paralaje y errores de alineación.</x:v>
      </x:c>
      <x:c r="F846" s="43" t="str">
        <x:v>Pendiente</x:v>
      </x:c>
      <x:c r="G846" s="44" t="n">
        <x:v>46303</x:v>
      </x:c>
      <x:c r="H846" s="44" t="n">
        <x:v>46309</x:v>
      </x:c>
      <x:c r="I846" s="45" t="n">
        <x:f>IF(OR(G846="",H846=""),"",SUMPRODUCT(('Cronograma'!$F$8:$P$8&lt;=H846)*('Cronograma'!$F$9:$P$9&gt;=G846)))</x:f>
        <x:v>1</x:v>
      </x:c>
      <x:c r="J846" s="46"/>
      <x:c r="K846" s="46"/>
      <x:c r="L846" s="47"/>
      <x:c r="M846" s="48" t="str"/>
      <x:c r="N846" s="48" t="str"/>
      <x:c r="O846" s="49"/>
      <x:c r="P846" s="43" t="str">
        <x:v>Plan propuesto, sin ejecución</x:v>
      </x:c>
      <x:c r="Q846" s="43" t="str">
        <x:v>TOU03, TOU04, PIL01</x:v>
      </x:c>
      <x:c r="R846" s="43" t="str">
        <x:v>Ejecutar la actividad y registrar resultado, responsables y duración real.</x:v>
      </x:c>
      <x:c r="S846" s="43" t="str">
        <x:v>Plan propuesto después del corte 06/10/2026; ninguna ejecución futura se considera realizada. Responsables y tiempos reales pendientes de captura.</x:v>
      </x:c>
      <x:c r="T846" s="43" t="str">
        <x:v>S127, S009</x:v>
      </x:c>
      <x:c r="U846" s="43" t="str">
        <x:v>docs/implementation/tours-local-pilot-report.md
docs/implementation/tours-native.md</x:v>
      </x:c>
    </x:row>
    <x:row r="847" ht="36" customHeight="1">
      <x:c r="A847" s="42" t="str">
        <x:v>FIS01.012</x:v>
      </x:c>
      <x:c r="B847" s="42" t="str">
        <x:v>Captura óptica real y calibración de panoramas</x:v>
      </x:c>
      <x:c r="C847" s="42" t="str">
        <x:v>FIS01</x:v>
      </x:c>
      <x:c r="D847" s="43" t="str">
        <x:v>Capturar patrones repetidos</x:v>
      </x:c>
      <x:c r="E847" s="43" t="str">
        <x:v>Detectar coincidencias geométricas incorrectas.</x:v>
      </x:c>
      <x:c r="F847" s="43" t="str">
        <x:v>Pendiente</x:v>
      </x:c>
      <x:c r="G847" s="44" t="n">
        <x:v>46303</x:v>
      </x:c>
      <x:c r="H847" s="44" t="n">
        <x:v>46309</x:v>
      </x:c>
      <x:c r="I847" s="45" t="n">
        <x:f>IF(OR(G847="",H847=""),"",SUMPRODUCT(('Cronograma'!$F$8:$P$8&lt;=H847)*('Cronograma'!$F$9:$P$9&gt;=G847)))</x:f>
        <x:v>1</x:v>
      </x:c>
      <x:c r="J847" s="46"/>
      <x:c r="K847" s="46"/>
      <x:c r="L847" s="47"/>
      <x:c r="M847" s="48" t="str"/>
      <x:c r="N847" s="48" t="str"/>
      <x:c r="O847" s="49"/>
      <x:c r="P847" s="43" t="str">
        <x:v>Plan propuesto, sin ejecución</x:v>
      </x:c>
      <x:c r="Q847" s="43" t="str">
        <x:v>TOU03, TOU04, PIL01</x:v>
      </x:c>
      <x:c r="R847" s="43" t="str">
        <x:v>Ejecutar la actividad y registrar resultado, responsables y duración real.</x:v>
      </x:c>
      <x:c r="S847" s="43" t="str">
        <x:v>Plan propuesto después del corte 06/10/2026; ninguna ejecución futura se considera realizada. Responsables y tiempos reales pendientes de captura.</x:v>
      </x:c>
      <x:c r="T847" s="43" t="str">
        <x:v>S127, S009</x:v>
      </x:c>
      <x:c r="U847" s="43" t="str">
        <x:v>docs/implementation/tours-local-pilot-report.md
docs/implementation/tours-native.md</x:v>
      </x:c>
    </x:row>
    <x:row r="848" ht="36" customHeight="1">
      <x:c r="A848" s="42" t="str">
        <x:v>FIS01.013</x:v>
      </x:c>
      <x:c r="B848" s="42" t="str">
        <x:v>Captura óptica real y calibración de panoramas</x:v>
      </x:c>
      <x:c r="C848" s="42" t="str">
        <x:v>FIS01</x:v>
      </x:c>
      <x:c r="D848" s="43" t="str">
        <x:v>Interrumpir captura y retomar</x:v>
      </x:c>
      <x:c r="E848" s="43" t="str">
        <x:v>Comprobar persistencia y realineación en el dispositivo.</x:v>
      </x:c>
      <x:c r="F848" s="43" t="str">
        <x:v>Pendiente</x:v>
      </x:c>
      <x:c r="G848" s="44" t="n">
        <x:v>46303</x:v>
      </x:c>
      <x:c r="H848" s="44" t="n">
        <x:v>46309</x:v>
      </x:c>
      <x:c r="I848" s="45" t="n">
        <x:f>IF(OR(G848="",H848=""),"",SUMPRODUCT(('Cronograma'!$F$8:$P$8&lt;=H848)*('Cronograma'!$F$9:$P$9&gt;=G848)))</x:f>
        <x:v>1</x:v>
      </x:c>
      <x:c r="J848" s="46"/>
      <x:c r="K848" s="46"/>
      <x:c r="L848" s="47"/>
      <x:c r="M848" s="48" t="str"/>
      <x:c r="N848" s="48" t="str"/>
      <x:c r="O848" s="49"/>
      <x:c r="P848" s="43" t="str">
        <x:v>Plan propuesto, sin ejecución</x:v>
      </x:c>
      <x:c r="Q848" s="43" t="str">
        <x:v>TOU03, TOU04, PIL01</x:v>
      </x:c>
      <x:c r="R848" s="43" t="str">
        <x:v>Ejecutar la actividad y registrar resultado, responsables y duración real.</x:v>
      </x:c>
      <x:c r="S848" s="43" t="str">
        <x:v>Plan propuesto después del corte 06/10/2026; ninguna ejecución futura se considera realizada. Responsables y tiempos reales pendientes de captura.</x:v>
      </x:c>
      <x:c r="T848" s="43" t="str">
        <x:v>S127, S009</x:v>
      </x:c>
      <x:c r="U848" s="43" t="str">
        <x:v>docs/implementation/tours-local-pilot-report.md
docs/implementation/tours-native.md</x:v>
      </x:c>
    </x:row>
    <x:row r="849" ht="36" customHeight="1">
      <x:c r="A849" s="42" t="str">
        <x:v>FIS01.014</x:v>
      </x:c>
      <x:c r="B849" s="42" t="str">
        <x:v>Captura óptica real y calibración de panoramas</x:v>
      </x:c>
      <x:c r="C849" s="42" t="str">
        <x:v>FIS01</x:v>
      </x:c>
      <x:c r="D849" s="43" t="str">
        <x:v>Cambiar lente durante recuperación</x:v>
      </x:c>
      <x:c r="E849" s="43" t="str">
        <x:v>Verificar rechazo o nueva captura sin pérdida de versión publicada.</x:v>
      </x:c>
      <x:c r="F849" s="43" t="str">
        <x:v>Pendiente</x:v>
      </x:c>
      <x:c r="G849" s="44" t="n">
        <x:v>46303</x:v>
      </x:c>
      <x:c r="H849" s="44" t="n">
        <x:v>46309</x:v>
      </x:c>
      <x:c r="I849" s="45" t="n">
        <x:f>IF(OR(G849="",H849=""),"",SUMPRODUCT(('Cronograma'!$F$8:$P$8&lt;=H849)*('Cronograma'!$F$9:$P$9&gt;=G849)))</x:f>
        <x:v>1</x:v>
      </x:c>
      <x:c r="J849" s="46"/>
      <x:c r="K849" s="46"/>
      <x:c r="L849" s="47"/>
      <x:c r="M849" s="48" t="str"/>
      <x:c r="N849" s="48" t="str"/>
      <x:c r="O849" s="49"/>
      <x:c r="P849" s="43" t="str">
        <x:v>Plan propuesto, sin ejecución</x:v>
      </x:c>
      <x:c r="Q849" s="43" t="str">
        <x:v>TOU03, TOU04, PIL01</x:v>
      </x:c>
      <x:c r="R849" s="43" t="str">
        <x:v>Ejecutar la actividad y registrar resultado, responsables y duración real.</x:v>
      </x:c>
      <x:c r="S849" s="43" t="str">
        <x:v>Plan propuesto después del corte 06/10/2026; ninguna ejecución futura se considera realizada. Responsables y tiempos reales pendientes de captura.</x:v>
      </x:c>
      <x:c r="T849" s="43" t="str">
        <x:v>S127, S009</x:v>
      </x:c>
      <x:c r="U849" s="43" t="str">
        <x:v>docs/implementation/tours-local-pilot-report.md
docs/implementation/tours-native.md</x:v>
      </x:c>
    </x:row>
    <x:row r="850" ht="36" customHeight="1">
      <x:c r="A850" s="42" t="str">
        <x:v>FIS01.015</x:v>
      </x:c>
      <x:c r="B850" s="42" t="str">
        <x:v>Captura óptica real y calibración de panoramas</x:v>
      </x:c>
      <x:c r="C850" s="42" t="str">
        <x:v>FIS01</x:v>
      </x:c>
      <x:c r="D850" s="43" t="str">
        <x:v>Subir fotografías reales y procesarlas</x:v>
      </x:c>
      <x:c r="E850" s="43" t="str">
        <x:v>Ejecutar cadena completa contra Supabase y Docker.</x:v>
      </x:c>
      <x:c r="F850" s="43" t="str">
        <x:v>Pendiente</x:v>
      </x:c>
      <x:c r="G850" s="44" t="n">
        <x:v>46303</x:v>
      </x:c>
      <x:c r="H850" s="44" t="n">
        <x:v>46309</x:v>
      </x:c>
      <x:c r="I850" s="45" t="n">
        <x:f>IF(OR(G850="",H850=""),"",SUMPRODUCT(('Cronograma'!$F$8:$P$8&lt;=H850)*('Cronograma'!$F$9:$P$9&gt;=G850)))</x:f>
        <x:v>1</x:v>
      </x:c>
      <x:c r="J850" s="46"/>
      <x:c r="K850" s="46"/>
      <x:c r="L850" s="47"/>
      <x:c r="M850" s="48" t="str"/>
      <x:c r="N850" s="48" t="str"/>
      <x:c r="O850" s="49"/>
      <x:c r="P850" s="43" t="str">
        <x:v>Plan propuesto, sin ejecución</x:v>
      </x:c>
      <x:c r="Q850" s="43" t="str">
        <x:v>TOU03, TOU04, PIL01</x:v>
      </x:c>
      <x:c r="R850" s="43" t="str">
        <x:v>Ejecutar la actividad y registrar resultado, responsables y duración real.</x:v>
      </x:c>
      <x:c r="S850" s="43" t="str">
        <x:v>Plan propuesto después del corte 06/10/2026; ninguna ejecución futura se considera realizada. Responsables y tiempos reales pendientes de captura.</x:v>
      </x:c>
      <x:c r="T850" s="43" t="str">
        <x:v>S127, S009</x:v>
      </x:c>
      <x:c r="U850" s="43" t="str">
        <x:v>docs/implementation/tours-local-pilot-report.md
docs/implementation/tours-native.md</x:v>
      </x:c>
    </x:row>
    <x:row r="851" ht="36" customHeight="1">
      <x:c r="A851" s="42" t="str">
        <x:v>FIS01.016</x:v>
      </x:c>
      <x:c r="B851" s="42" t="str">
        <x:v>Captura óptica real y calibración de panoramas</x:v>
      </x:c>
      <x:c r="C851" s="42" t="str">
        <x:v>FIS01</x:v>
      </x:c>
      <x:c r="D851" s="43" t="str">
        <x:v>Revisar cierre y costura ±180°</x:v>
      </x:c>
      <x:c r="E851" s="43" t="str">
        <x:v>Comprobar continuidad del resultado físico.</x:v>
      </x:c>
      <x:c r="F851" s="43" t="str">
        <x:v>Pendiente</x:v>
      </x:c>
      <x:c r="G851" s="44" t="n">
        <x:v>46303</x:v>
      </x:c>
      <x:c r="H851" s="44" t="n">
        <x:v>46309</x:v>
      </x:c>
      <x:c r="I851" s="45" t="n">
        <x:f>IF(OR(G851="",H851=""),"",SUMPRODUCT(('Cronograma'!$F$8:$P$8&lt;=H851)*('Cronograma'!$F$9:$P$9&gt;=G851)))</x:f>
        <x:v>1</x:v>
      </x:c>
      <x:c r="J851" s="46"/>
      <x:c r="K851" s="46"/>
      <x:c r="L851" s="47"/>
      <x:c r="M851" s="48" t="str"/>
      <x:c r="N851" s="48" t="str"/>
      <x:c r="O851" s="49"/>
      <x:c r="P851" s="43" t="str">
        <x:v>Plan propuesto, sin ejecución</x:v>
      </x:c>
      <x:c r="Q851" s="43" t="str">
        <x:v>TOU03, TOU04, PIL01</x:v>
      </x:c>
      <x:c r="R851" s="43" t="str">
        <x:v>Ejecutar la actividad y registrar resultado, responsables y duración real.</x:v>
      </x:c>
      <x:c r="S851" s="43" t="str">
        <x:v>Plan propuesto después del corte 06/10/2026; ninguna ejecución futura se considera realizada. Responsables y tiempos reales pendientes de captura.</x:v>
      </x:c>
      <x:c r="T851" s="43" t="str">
        <x:v>S127, S009</x:v>
      </x:c>
      <x:c r="U851" s="43" t="str">
        <x:v>docs/implementation/tours-local-pilot-report.md
docs/implementation/tours-native.md</x:v>
      </x:c>
    </x:row>
    <x:row r="852" ht="36" customHeight="1">
      <x:c r="A852" s="42" t="str">
        <x:v>FIS01.017</x:v>
      </x:c>
      <x:c r="B852" s="42" t="str">
        <x:v>Captura óptica real y calibración de panoramas</x:v>
      </x:c>
      <x:c r="C852" s="42" t="str">
        <x:v>FIS01</x:v>
      </x:c>
      <x:c r="D852" s="43" t="str">
        <x:v>Revisar techo, piso y huecos</x:v>
      </x:c>
      <x:c r="E852" s="43" t="str">
        <x:v>Rechazar esferas con cobertura incompleta.</x:v>
      </x:c>
      <x:c r="F852" s="43" t="str">
        <x:v>Pendiente</x:v>
      </x:c>
      <x:c r="G852" s="44" t="n">
        <x:v>46303</x:v>
      </x:c>
      <x:c r="H852" s="44" t="n">
        <x:v>46309</x:v>
      </x:c>
      <x:c r="I852" s="45" t="n">
        <x:f>IF(OR(G852="",H852=""),"",SUMPRODUCT(('Cronograma'!$F$8:$P$8&lt;=H852)*('Cronograma'!$F$9:$P$9&gt;=G852)))</x:f>
        <x:v>1</x:v>
      </x:c>
      <x:c r="J852" s="46"/>
      <x:c r="K852" s="46"/>
      <x:c r="L852" s="47"/>
      <x:c r="M852" s="48" t="str"/>
      <x:c r="N852" s="48" t="str"/>
      <x:c r="O852" s="49"/>
      <x:c r="P852" s="43" t="str">
        <x:v>Plan propuesto, sin ejecución</x:v>
      </x:c>
      <x:c r="Q852" s="43" t="str">
        <x:v>TOU03, TOU04, PIL01</x:v>
      </x:c>
      <x:c r="R852" s="43" t="str">
        <x:v>Ejecutar la actividad y registrar resultado, responsables y duración real.</x:v>
      </x:c>
      <x:c r="S852" s="43" t="str">
        <x:v>Plan propuesto después del corte 06/10/2026; ninguna ejecución futura se considera realizada. Responsables y tiempos reales pendientes de captura.</x:v>
      </x:c>
      <x:c r="T852" s="43" t="str">
        <x:v>S127, S009</x:v>
      </x:c>
      <x:c r="U852" s="43" t="str">
        <x:v>docs/implementation/tours-local-pilot-report.md
docs/implementation/tours-native.md</x:v>
      </x:c>
    </x:row>
    <x:row r="853" ht="36" customHeight="1">
      <x:c r="A853" s="42" t="str">
        <x:v>FIS01.018</x:v>
      </x:c>
      <x:c r="B853" s="42" t="str">
        <x:v>Captura óptica real y calibración de panoramas</x:v>
      </x:c>
      <x:c r="C853" s="42" t="str">
        <x:v>FIS01</x:v>
      </x:c>
      <x:c r="D853" s="43" t="str">
        <x:v>Medir tiempo y memoria con fotos reales</x:v>
      </x:c>
      <x:c r="E853" s="43" t="str">
        <x:v>Registrar consumo operativo separado del tiempo de trabajo.</x:v>
      </x:c>
      <x:c r="F853" s="43" t="str">
        <x:v>Pendiente</x:v>
      </x:c>
      <x:c r="G853" s="44" t="n">
        <x:v>46303</x:v>
      </x:c>
      <x:c r="H853" s="44" t="n">
        <x:v>46309</x:v>
      </x:c>
      <x:c r="I853" s="45" t="n">
        <x:f>IF(OR(G853="",H853=""),"",SUMPRODUCT(('Cronograma'!$F$8:$P$8&lt;=H853)*('Cronograma'!$F$9:$P$9&gt;=G853)))</x:f>
        <x:v>1</x:v>
      </x:c>
      <x:c r="J853" s="46"/>
      <x:c r="K853" s="46"/>
      <x:c r="L853" s="47"/>
      <x:c r="M853" s="48" t="str"/>
      <x:c r="N853" s="48" t="str"/>
      <x:c r="O853" s="49"/>
      <x:c r="P853" s="43" t="str">
        <x:v>Plan propuesto, sin ejecución</x:v>
      </x:c>
      <x:c r="Q853" s="43" t="str">
        <x:v>TOU03, TOU04, PIL01</x:v>
      </x:c>
      <x:c r="R853" s="43" t="str">
        <x:v>Ejecutar la actividad y registrar resultado, responsables y duración real.</x:v>
      </x:c>
      <x:c r="S853" s="43" t="str">
        <x:v>Plan propuesto después del corte 06/10/2026; ninguna ejecución futura se considera realizada. Responsables y tiempos reales pendientes de captura.</x:v>
      </x:c>
      <x:c r="T853" s="43" t="str">
        <x:v>S127, S009</x:v>
      </x:c>
      <x:c r="U853" s="43" t="str">
        <x:v>docs/implementation/tours-local-pilot-report.md
docs/implementation/tours-native.md</x:v>
      </x:c>
    </x:row>
    <x:row r="854" ht="36" customHeight="1">
      <x:c r="A854" s="42" t="str">
        <x:v>FIS01.019</x:v>
      </x:c>
      <x:c r="B854" s="42" t="str">
        <x:v>Captura óptica real y calibración de panoramas</x:v>
      </x:c>
      <x:c r="C854" s="42" t="str">
        <x:v>FIS01</x:v>
      </x:c>
      <x:c r="D854" s="43" t="str">
        <x:v>Registrar recapturas necesarias</x:v>
      </x:c>
      <x:c r="E854" s="43" t="str">
        <x:v>Documentar defectos observados sin inventar resultados.</x:v>
      </x:c>
      <x:c r="F854" s="43" t="str">
        <x:v>Pendiente</x:v>
      </x:c>
      <x:c r="G854" s="44" t="n">
        <x:v>46303</x:v>
      </x:c>
      <x:c r="H854" s="44" t="n">
        <x:v>46309</x:v>
      </x:c>
      <x:c r="I854" s="45" t="n">
        <x:f>IF(OR(G854="",H854=""),"",SUMPRODUCT(('Cronograma'!$F$8:$P$8&lt;=H854)*('Cronograma'!$F$9:$P$9&gt;=G854)))</x:f>
        <x:v>1</x:v>
      </x:c>
      <x:c r="J854" s="46"/>
      <x:c r="K854" s="46"/>
      <x:c r="L854" s="47"/>
      <x:c r="M854" s="48" t="str"/>
      <x:c r="N854" s="48" t="str"/>
      <x:c r="O854" s="49"/>
      <x:c r="P854" s="43" t="str">
        <x:v>Plan propuesto, sin ejecución</x:v>
      </x:c>
      <x:c r="Q854" s="43" t="str">
        <x:v>TOU03, TOU04, PIL01</x:v>
      </x:c>
      <x:c r="R854" s="43" t="str">
        <x:v>Ejecutar la actividad y registrar resultado, responsables y duración real.</x:v>
      </x:c>
      <x:c r="S854" s="43" t="str">
        <x:v>Plan propuesto después del corte 06/10/2026; ninguna ejecución futura se considera realizada. Responsables y tiempos reales pendientes de captura.</x:v>
      </x:c>
      <x:c r="T854" s="43" t="str">
        <x:v>S127, S009</x:v>
      </x:c>
      <x:c r="U854" s="43" t="str">
        <x:v>docs/implementation/tours-local-pilot-report.md
docs/implementation/tours-native.md</x:v>
      </x:c>
    </x:row>
    <x:row r="855" ht="44" customHeight="1">
      <x:c r="A855" s="42" t="str">
        <x:v>FIS02.001</x:v>
      </x:c>
      <x:c r="B855" s="42" t="str">
        <x:v>Aceptación física de reconocimiento AR</x:v>
      </x:c>
      <x:c r="C855" s="42" t="str">
        <x:v>FIS02</x:v>
      </x:c>
      <x:c r="D855" s="43" t="str">
        <x:v>Medir activador físico del local</x:v>
      </x:c>
      <x:c r="E855" s="43" t="str">
        <x:v>Registrar ancho real utilizado por la referencia AR.</x:v>
      </x:c>
      <x:c r="F855" s="43" t="str">
        <x:v>Pendiente</x:v>
      </x:c>
      <x:c r="G855" s="44" t="n">
        <x:v>46303</x:v>
      </x:c>
      <x:c r="H855" s="44" t="n">
        <x:v>46316</x:v>
      </x:c>
      <x:c r="I855" s="45" t="n">
        <x:f>IF(OR(G855="",H855=""),"",SUMPRODUCT(('Cronograma'!$F$8:$P$8&lt;=H855)*('Cronograma'!$F$9:$P$9&gt;=G855)))</x:f>
        <x:v>2</x:v>
      </x:c>
      <x:c r="J855" s="46"/>
      <x:c r="K855" s="46"/>
      <x:c r="L855" s="47"/>
      <x:c r="M855" s="48" t="str"/>
      <x:c r="N855" s="48" t="str"/>
      <x:c r="O855" s="49"/>
      <x:c r="P855" s="43" t="str">
        <x:v>Plan propuesto, sin ejecución</x:v>
      </x:c>
      <x:c r="Q855" s="43" t="str">
        <x:v>AR01, FIS01</x:v>
      </x:c>
      <x:c r="R855" s="43" t="str">
        <x:v>Ejecutar la actividad y registrar resultado, responsables y duración real.</x:v>
      </x:c>
      <x:c r="S855" s="43" t="str">
        <x:v>Plan propuesto después del corte 06/10/2026; ninguna ejecución futura se considera realizada. Responsables y tiempos reales pendientes de captura.</x:v>
      </x:c>
      <x:c r="T855" s="43" t="str">
        <x:v>S127, S009, S008</x:v>
      </x:c>
      <x:c r="U855" s="43" t="str">
        <x:v>docs/implementation/tours-local-pilot-report.md
docs/implementation/tours-native.md
docs/ar-experience-design.md</x:v>
      </x:c>
    </x:row>
    <x:row r="856" ht="44" customHeight="1">
      <x:c r="A856" s="42" t="str">
        <x:v>FIS02.002</x:v>
      </x:c>
      <x:c r="B856" s="42" t="str">
        <x:v>Aceptación física de reconocimiento AR</x:v>
      </x:c>
      <x:c r="C856" s="42" t="str">
        <x:v>FIS02</x:v>
      </x:c>
      <x:c r="D856" s="43" t="str">
        <x:v>Probar reconocimiento ARCore en Android</x:v>
      </x:c>
      <x:c r="E856" s="43" t="str">
        <x:v>Confirmar identificación sostenida de imagen física.</x:v>
      </x:c>
      <x:c r="F856" s="43" t="str">
        <x:v>Pendiente</x:v>
      </x:c>
      <x:c r="G856" s="44" t="n">
        <x:v>46303</x:v>
      </x:c>
      <x:c r="H856" s="44" t="n">
        <x:v>46316</x:v>
      </x:c>
      <x:c r="I856" s="45" t="n">
        <x:f>IF(OR(G856="",H856=""),"",SUMPRODUCT(('Cronograma'!$F$8:$P$8&lt;=H856)*('Cronograma'!$F$9:$P$9&gt;=G856)))</x:f>
        <x:v>2</x:v>
      </x:c>
      <x:c r="J856" s="46"/>
      <x:c r="K856" s="46"/>
      <x:c r="L856" s="47"/>
      <x:c r="M856" s="48" t="str"/>
      <x:c r="N856" s="48" t="str"/>
      <x:c r="O856" s="49"/>
      <x:c r="P856" s="43" t="str">
        <x:v>Plan propuesto, sin ejecución</x:v>
      </x:c>
      <x:c r="Q856" s="43" t="str">
        <x:v>AR01, FIS01</x:v>
      </x:c>
      <x:c r="R856" s="43" t="str">
        <x:v>Ejecutar la actividad y registrar resultado, responsables y duración real.</x:v>
      </x:c>
      <x:c r="S856" s="43" t="str">
        <x:v>Plan propuesto después del corte 06/10/2026; ninguna ejecución futura se considera realizada. Responsables y tiempos reales pendientes de captura.</x:v>
      </x:c>
      <x:c r="T856" s="43" t="str">
        <x:v>S127, S009, S008</x:v>
      </x:c>
      <x:c r="U856" s="43" t="str">
        <x:v>docs/implementation/tours-local-pilot-report.md
docs/implementation/tours-native.md
docs/ar-experience-design.md</x:v>
      </x:c>
    </x:row>
    <x:row r="857" ht="44" customHeight="1">
      <x:c r="A857" s="42" t="str">
        <x:v>FIS02.003</x:v>
      </x:c>
      <x:c r="B857" s="42" t="str">
        <x:v>Aceptación física de reconocimiento AR</x:v>
      </x:c>
      <x:c r="C857" s="42" t="str">
        <x:v>FIS02</x:v>
      </x:c>
      <x:c r="D857" s="43" t="str">
        <x:v>Probar reconocimiento ARKit en iPhone</x:v>
      </x:c>
      <x:c r="E857" s="43" t="str">
        <x:v>Depende de equipo Apple, firma y dispositivo compatible.</x:v>
      </x:c>
      <x:c r="F857" s="43" t="str">
        <x:v>Bloqueado</x:v>
      </x:c>
      <x:c r="G857" s="44" t="n">
        <x:v>46303</x:v>
      </x:c>
      <x:c r="H857" s="44" t="n">
        <x:v>46316</x:v>
      </x:c>
      <x:c r="I857" s="45" t="n">
        <x:f>IF(OR(G857="",H857=""),"",SUMPRODUCT(('Cronograma'!$F$8:$P$8&lt;=H857)*('Cronograma'!$F$9:$P$9&gt;=G857)))</x:f>
        <x:v>2</x:v>
      </x:c>
      <x:c r="J857" s="46"/>
      <x:c r="K857" s="46"/>
      <x:c r="L857" s="47"/>
      <x:c r="M857" s="48" t="str"/>
      <x:c r="N857" s="48" t="str"/>
      <x:c r="O857" s="49"/>
      <x:c r="P857" s="43" t="str">
        <x:v>Plan propuesto, sin ejecución</x:v>
      </x:c>
      <x:c r="Q857" s="43" t="str">
        <x:v>AR01, FIS01</x:v>
      </x:c>
      <x:c r="R857" s="43" t="str">
        <x:v>Resolver credenciales, permisos o firma indicados en el resultado.</x:v>
      </x:c>
      <x:c r="S857" s="43" t="str">
        <x:v>Plan propuesto después del corte 06/10/2026; ninguna ejecución futura se considera realizada. Responsables y tiempos reales pendientes de captura.</x:v>
      </x:c>
      <x:c r="T857" s="43" t="str">
        <x:v>S127, S009, S008</x:v>
      </x:c>
      <x:c r="U857" s="43" t="str">
        <x:v>docs/implementation/tours-local-pilot-report.md
docs/implementation/tours-native.md
docs/ar-experience-design.md</x:v>
      </x:c>
    </x:row>
    <x:row r="858" ht="44" customHeight="1">
      <x:c r="A858" s="42" t="str">
        <x:v>FIS02.004</x:v>
      </x:c>
      <x:c r="B858" s="42" t="str">
        <x:v>Aceptación física de reconocimiento AR</x:v>
      </x:c>
      <x:c r="C858" s="42" t="str">
        <x:v>FIS02</x:v>
      </x:c>
      <x:c r="D858" s="43" t="str">
        <x:v>Probar rechazo del permiso de cámara</x:v>
      </x:c>
      <x:c r="E858" s="43" t="str">
        <x:v>Mantener lista y detalle operables.</x:v>
      </x:c>
      <x:c r="F858" s="43" t="str">
        <x:v>Pendiente</x:v>
      </x:c>
      <x:c r="G858" s="44" t="n">
        <x:v>46303</x:v>
      </x:c>
      <x:c r="H858" s="44" t="n">
        <x:v>46316</x:v>
      </x:c>
      <x:c r="I858" s="45" t="n">
        <x:f>IF(OR(G858="",H858=""),"",SUMPRODUCT(('Cronograma'!$F$8:$P$8&lt;=H858)*('Cronograma'!$F$9:$P$9&gt;=G858)))</x:f>
        <x:v>2</x:v>
      </x:c>
      <x:c r="J858" s="46"/>
      <x:c r="K858" s="46"/>
      <x:c r="L858" s="47"/>
      <x:c r="M858" s="48" t="str"/>
      <x:c r="N858" s="48" t="str"/>
      <x:c r="O858" s="49"/>
      <x:c r="P858" s="43" t="str">
        <x:v>Plan propuesto, sin ejecución</x:v>
      </x:c>
      <x:c r="Q858" s="43" t="str">
        <x:v>AR01, FIS01</x:v>
      </x:c>
      <x:c r="R858" s="43" t="str">
        <x:v>Ejecutar la actividad y registrar resultado, responsables y duración real.</x:v>
      </x:c>
      <x:c r="S858" s="43" t="str">
        <x:v>Plan propuesto después del corte 06/10/2026; ninguna ejecución futura se considera realizada. Responsables y tiempos reales pendientes de captura.</x:v>
      </x:c>
      <x:c r="T858" s="43" t="str">
        <x:v>S127, S009, S008</x:v>
      </x:c>
      <x:c r="U858" s="43" t="str">
        <x:v>docs/implementation/tours-local-pilot-report.md
docs/implementation/tours-native.md
docs/ar-experience-design.md</x:v>
      </x:c>
    </x:row>
    <x:row r="859" ht="44" customHeight="1">
      <x:c r="A859" s="42" t="str">
        <x:v>FIS02.005</x:v>
      </x:c>
      <x:c r="B859" s="42" t="str">
        <x:v>Aceptación física de reconocimiento AR</x:v>
      </x:c>
      <x:c r="C859" s="42" t="str">
        <x:v>FIS02</x:v>
      </x:c>
      <x:c r="D859" s="43" t="str">
        <x:v>Probar dispositivo sin soporte AR</x:v>
      </x:c>
      <x:c r="E859" s="43" t="str">
        <x:v>Mostrar alternativa sin iniciar sesión incompatible.</x:v>
      </x:c>
      <x:c r="F859" s="43" t="str">
        <x:v>Pendiente</x:v>
      </x:c>
      <x:c r="G859" s="44" t="n">
        <x:v>46303</x:v>
      </x:c>
      <x:c r="H859" s="44" t="n">
        <x:v>46316</x:v>
      </x:c>
      <x:c r="I859" s="45" t="n">
        <x:f>IF(OR(G859="",H859=""),"",SUMPRODUCT(('Cronograma'!$F$8:$P$8&lt;=H859)*('Cronograma'!$F$9:$P$9&gt;=G859)))</x:f>
        <x:v>2</x:v>
      </x:c>
      <x:c r="J859" s="46"/>
      <x:c r="K859" s="46"/>
      <x:c r="L859" s="47"/>
      <x:c r="M859" s="48" t="str"/>
      <x:c r="N859" s="48" t="str"/>
      <x:c r="O859" s="49"/>
      <x:c r="P859" s="43" t="str">
        <x:v>Plan propuesto, sin ejecución</x:v>
      </x:c>
      <x:c r="Q859" s="43" t="str">
        <x:v>AR01, FIS01</x:v>
      </x:c>
      <x:c r="R859" s="43" t="str">
        <x:v>Ejecutar la actividad y registrar resultado, responsables y duración real.</x:v>
      </x:c>
      <x:c r="S859" s="43" t="str">
        <x:v>Plan propuesto después del corte 06/10/2026; ninguna ejecución futura se considera realizada. Responsables y tiempos reales pendientes de captura.</x:v>
      </x:c>
      <x:c r="T859" s="43" t="str">
        <x:v>S127, S009, S008</x:v>
      </x:c>
      <x:c r="U859" s="43" t="str">
        <x:v>docs/implementation/tours-local-pilot-report.md
docs/implementation/tours-native.md
docs/ar-experience-design.md</x:v>
      </x:c>
    </x:row>
    <x:row r="860" ht="44" customHeight="1">
      <x:c r="A860" s="42" t="str">
        <x:v>FIS02.006</x:v>
      </x:c>
      <x:c r="B860" s="42" t="str">
        <x:v>Aceptación física de reconocimiento AR</x:v>
      </x:c>
      <x:c r="C860" s="42" t="str">
        <x:v>FIS02</x:v>
      </x:c>
      <x:c r="D860" s="43" t="str">
        <x:v>Probar referencia ilegible</x:v>
      </x:c>
      <x:c r="E860" s="43" t="str">
        <x:v>Explicar fallo sin fabricar reconocimiento.</x:v>
      </x:c>
      <x:c r="F860" s="43" t="str">
        <x:v>Pendiente</x:v>
      </x:c>
      <x:c r="G860" s="44" t="n">
        <x:v>46303</x:v>
      </x:c>
      <x:c r="H860" s="44" t="n">
        <x:v>46316</x:v>
      </x:c>
      <x:c r="I860" s="45" t="n">
        <x:f>IF(OR(G860="",H860=""),"",SUMPRODUCT(('Cronograma'!$F$8:$P$8&lt;=H860)*('Cronograma'!$F$9:$P$9&gt;=G860)))</x:f>
        <x:v>2</x:v>
      </x:c>
      <x:c r="J860" s="46"/>
      <x:c r="K860" s="46"/>
      <x:c r="L860" s="47"/>
      <x:c r="M860" s="48" t="str"/>
      <x:c r="N860" s="48" t="str"/>
      <x:c r="O860" s="49"/>
      <x:c r="P860" s="43" t="str">
        <x:v>Plan propuesto, sin ejecución</x:v>
      </x:c>
      <x:c r="Q860" s="43" t="str">
        <x:v>AR01, FIS01</x:v>
      </x:c>
      <x:c r="R860" s="43" t="str">
        <x:v>Ejecutar la actividad y registrar resultado, responsables y duración real.</x:v>
      </x:c>
      <x:c r="S860" s="43" t="str">
        <x:v>Plan propuesto después del corte 06/10/2026; ninguna ejecución futura se considera realizada. Responsables y tiempos reales pendientes de captura.</x:v>
      </x:c>
      <x:c r="T860" s="43" t="str">
        <x:v>S127, S009, S008</x:v>
      </x:c>
      <x:c r="U860" s="43" t="str">
        <x:v>docs/implementation/tours-local-pilot-report.md
docs/implementation/tours-native.md
docs/ar-experience-design.md</x:v>
      </x:c>
    </x:row>
    <x:row r="861" ht="44" customHeight="1">
      <x:c r="A861" s="42" t="str">
        <x:v>FIS02.007</x:v>
      </x:c>
      <x:c r="B861" s="42" t="str">
        <x:v>Aceptación física de reconocimiento AR</x:v>
      </x:c>
      <x:c r="C861" s="42" t="str">
        <x:v>FIS02</x:v>
      </x:c>
      <x:c r="D861" s="43" t="str">
        <x:v>Probar activador con reflejos</x:v>
      </x:c>
      <x:c r="E861" s="43" t="str">
        <x:v>Observar estabilidad en condiciones reales.</x:v>
      </x:c>
      <x:c r="F861" s="43" t="str">
        <x:v>Pendiente</x:v>
      </x:c>
      <x:c r="G861" s="44" t="n">
        <x:v>46303</x:v>
      </x:c>
      <x:c r="H861" s="44" t="n">
        <x:v>46316</x:v>
      </x:c>
      <x:c r="I861" s="45" t="n">
        <x:f>IF(OR(G861="",H861=""),"",SUMPRODUCT(('Cronograma'!$F$8:$P$8&lt;=H861)*('Cronograma'!$F$9:$P$9&gt;=G861)))</x:f>
        <x:v>2</x:v>
      </x:c>
      <x:c r="J861" s="46"/>
      <x:c r="K861" s="46"/>
      <x:c r="L861" s="47"/>
      <x:c r="M861" s="48" t="str"/>
      <x:c r="N861" s="48" t="str"/>
      <x:c r="O861" s="49"/>
      <x:c r="P861" s="43" t="str">
        <x:v>Plan propuesto, sin ejecución</x:v>
      </x:c>
      <x:c r="Q861" s="43" t="str">
        <x:v>AR01, FIS01</x:v>
      </x:c>
      <x:c r="R861" s="43" t="str">
        <x:v>Ejecutar la actividad y registrar resultado, responsables y duración real.</x:v>
      </x:c>
      <x:c r="S861" s="43" t="str">
        <x:v>Plan propuesto después del corte 06/10/2026; ninguna ejecución futura se considera realizada. Responsables y tiempos reales pendientes de captura.</x:v>
      </x:c>
      <x:c r="T861" s="43" t="str">
        <x:v>S127, S009, S008</x:v>
      </x:c>
      <x:c r="U861" s="43" t="str">
        <x:v>docs/implementation/tours-local-pilot-report.md
docs/implementation/tours-native.md
docs/ar-experience-design.md</x:v>
      </x:c>
    </x:row>
    <x:row r="862" ht="44" customHeight="1">
      <x:c r="A862" s="42" t="str">
        <x:v>FIS02.008</x:v>
      </x:c>
      <x:c r="B862" s="42" t="str">
        <x:v>Aceptación física de reconocimiento AR</x:v>
      </x:c>
      <x:c r="C862" s="42" t="str">
        <x:v>FIS02</x:v>
      </x:c>
      <x:c r="D862" s="43" t="str">
        <x:v>Retirar activador del encuadre</x:v>
      </x:c>
      <x:c r="E862" s="43" t="str">
        <x:v>Verificar pérdida de tracking y retiro de señal.</x:v>
      </x:c>
      <x:c r="F862" s="43" t="str">
        <x:v>Pendiente</x:v>
      </x:c>
      <x:c r="G862" s="44" t="n">
        <x:v>46303</x:v>
      </x:c>
      <x:c r="H862" s="44" t="n">
        <x:v>46316</x:v>
      </x:c>
      <x:c r="I862" s="45" t="n">
        <x:f>IF(OR(G862="",H862=""),"",SUMPRODUCT(('Cronograma'!$F$8:$P$8&lt;=H862)*('Cronograma'!$F$9:$P$9&gt;=G862)))</x:f>
        <x:v>2</x:v>
      </x:c>
      <x:c r="J862" s="46"/>
      <x:c r="K862" s="46"/>
      <x:c r="L862" s="47"/>
      <x:c r="M862" s="48" t="str"/>
      <x:c r="N862" s="48" t="str"/>
      <x:c r="O862" s="49"/>
      <x:c r="P862" s="43" t="str">
        <x:v>Plan propuesto, sin ejecución</x:v>
      </x:c>
      <x:c r="Q862" s="43" t="str">
        <x:v>AR01, FIS01</x:v>
      </x:c>
      <x:c r="R862" s="43" t="str">
        <x:v>Ejecutar la actividad y registrar resultado, responsables y duración real.</x:v>
      </x:c>
      <x:c r="S862" s="43" t="str">
        <x:v>Plan propuesto después del corte 06/10/2026; ninguna ejecución futura se considera realizada. Responsables y tiempos reales pendientes de captura.</x:v>
      </x:c>
      <x:c r="T862" s="43" t="str">
        <x:v>S127, S009, S008</x:v>
      </x:c>
      <x:c r="U862" s="43" t="str">
        <x:v>docs/implementation/tours-local-pilot-report.md
docs/implementation/tours-native.md
docs/ar-experience-design.md</x:v>
      </x:c>
    </x:row>
    <x:row r="863" ht="44" customHeight="1">
      <x:c r="A863" s="42" t="str">
        <x:v>FIS02.009</x:v>
      </x:c>
      <x:c r="B863" s="42" t="str">
        <x:v>Aceptación física de reconocimiento AR</x:v>
      </x:c>
      <x:c r="C863" s="42" t="str">
        <x:v>FIS02</x:v>
      </x:c>
      <x:c r="D863" s="43" t="str">
        <x:v>Recuperar tracking al reencuadrar</x:v>
      </x:c>
      <x:c r="E863" s="43" t="str">
        <x:v>Mantener ficha y recuperar señal solo con reconocimiento.</x:v>
      </x:c>
      <x:c r="F863" s="43" t="str">
        <x:v>Pendiente</x:v>
      </x:c>
      <x:c r="G863" s="44" t="n">
        <x:v>46303</x:v>
      </x:c>
      <x:c r="H863" s="44" t="n">
        <x:v>46316</x:v>
      </x:c>
      <x:c r="I863" s="45" t="n">
        <x:f>IF(OR(G863="",H863=""),"",SUMPRODUCT(('Cronograma'!$F$8:$P$8&lt;=H863)*('Cronograma'!$F$9:$P$9&gt;=G863)))</x:f>
        <x:v>2</x:v>
      </x:c>
      <x:c r="J863" s="46"/>
      <x:c r="K863" s="46"/>
      <x:c r="L863" s="47"/>
      <x:c r="M863" s="48" t="str"/>
      <x:c r="N863" s="48" t="str"/>
      <x:c r="O863" s="49"/>
      <x:c r="P863" s="43" t="str">
        <x:v>Plan propuesto, sin ejecución</x:v>
      </x:c>
      <x:c r="Q863" s="43" t="str">
        <x:v>AR01, FIS01</x:v>
      </x:c>
      <x:c r="R863" s="43" t="str">
        <x:v>Ejecutar la actividad y registrar resultado, responsables y duración real.</x:v>
      </x:c>
      <x:c r="S863" s="43" t="str">
        <x:v>Plan propuesto después del corte 06/10/2026; ninguna ejecución futura se considera realizada. Responsables y tiempos reales pendientes de captura.</x:v>
      </x:c>
      <x:c r="T863" s="43" t="str">
        <x:v>S127, S009, S008</x:v>
      </x:c>
      <x:c r="U863" s="43" t="str">
        <x:v>docs/implementation/tours-local-pilot-report.md
docs/implementation/tours-native.md
docs/ar-experience-design.md</x:v>
      </x:c>
    </x:row>
    <x:row r="864" ht="44" customHeight="1">
      <x:c r="A864" s="42" t="str">
        <x:v>FIS02.010</x:v>
      </x:c>
      <x:c r="B864" s="42" t="str">
        <x:v>Aceptación física de reconocimiento AR</x:v>
      </x:c>
      <x:c r="C864" s="42" t="str">
        <x:v>FIS02</x:v>
      </x:c>
      <x:c r="D864" s="43" t="str">
        <x:v>Enviar aplicación a segundo plano</x:v>
      </x:c>
      <x:c r="E864" s="43" t="str">
        <x:v>Comprobar liberación física de cámara.</x:v>
      </x:c>
      <x:c r="F864" s="43" t="str">
        <x:v>Pendiente</x:v>
      </x:c>
      <x:c r="G864" s="44" t="n">
        <x:v>46303</x:v>
      </x:c>
      <x:c r="H864" s="44" t="n">
        <x:v>46316</x:v>
      </x:c>
      <x:c r="I864" s="45" t="n">
        <x:f>IF(OR(G864="",H864=""),"",SUMPRODUCT(('Cronograma'!$F$8:$P$8&lt;=H864)*('Cronograma'!$F$9:$P$9&gt;=G864)))</x:f>
        <x:v>2</x:v>
      </x:c>
      <x:c r="J864" s="46"/>
      <x:c r="K864" s="46"/>
      <x:c r="L864" s="47"/>
      <x:c r="M864" s="48" t="str"/>
      <x:c r="N864" s="48" t="str"/>
      <x:c r="O864" s="49"/>
      <x:c r="P864" s="43" t="str">
        <x:v>Plan propuesto, sin ejecución</x:v>
      </x:c>
      <x:c r="Q864" s="43" t="str">
        <x:v>AR01, FIS01</x:v>
      </x:c>
      <x:c r="R864" s="43" t="str">
        <x:v>Ejecutar la actividad y registrar resultado, responsables y duración real.</x:v>
      </x:c>
      <x:c r="S864" s="43" t="str">
        <x:v>Plan propuesto después del corte 06/10/2026; ninguna ejecución futura se considera realizada. Responsables y tiempos reales pendientes de captura.</x:v>
      </x:c>
      <x:c r="T864" s="43" t="str">
        <x:v>S127, S009, S008</x:v>
      </x:c>
      <x:c r="U864" s="43" t="str">
        <x:v>docs/implementation/tours-local-pilot-report.md
docs/implementation/tours-native.md
docs/ar-experience-design.md</x:v>
      </x:c>
    </x:row>
    <x:row r="865" ht="44" customHeight="1">
      <x:c r="A865" s="42" t="str">
        <x:v>FIS02.011</x:v>
      </x:c>
      <x:c r="B865" s="42" t="str">
        <x:v>Aceptación física de reconocimiento AR</x:v>
      </x:c>
      <x:c r="C865" s="42" t="str">
        <x:v>FIS02</x:v>
      </x:c>
      <x:c r="D865" s="43" t="str">
        <x:v>Apagar y reanudar pantalla</x:v>
      </x:c>
      <x:c r="E865" s="43" t="str">
        <x:v>Validar continuidad de sesión y recursos.</x:v>
      </x:c>
      <x:c r="F865" s="43" t="str">
        <x:v>Pendiente</x:v>
      </x:c>
      <x:c r="G865" s="44" t="n">
        <x:v>46303</x:v>
      </x:c>
      <x:c r="H865" s="44" t="n">
        <x:v>46316</x:v>
      </x:c>
      <x:c r="I865" s="45" t="n">
        <x:f>IF(OR(G865="",H865=""),"",SUMPRODUCT(('Cronograma'!$F$8:$P$8&lt;=H865)*('Cronograma'!$F$9:$P$9&gt;=G865)))</x:f>
        <x:v>2</x:v>
      </x:c>
      <x:c r="J865" s="46"/>
      <x:c r="K865" s="46"/>
      <x:c r="L865" s="47"/>
      <x:c r="M865" s="48" t="str"/>
      <x:c r="N865" s="48" t="str"/>
      <x:c r="O865" s="49"/>
      <x:c r="P865" s="43" t="str">
        <x:v>Plan propuesto, sin ejecución</x:v>
      </x:c>
      <x:c r="Q865" s="43" t="str">
        <x:v>AR01, FIS01</x:v>
      </x:c>
      <x:c r="R865" s="43" t="str">
        <x:v>Ejecutar la actividad y registrar resultado, responsables y duración real.</x:v>
      </x:c>
      <x:c r="S865" s="43" t="str">
        <x:v>Plan propuesto después del corte 06/10/2026; ninguna ejecución futura se considera realizada. Responsables y tiempos reales pendientes de captura.</x:v>
      </x:c>
      <x:c r="T865" s="43" t="str">
        <x:v>S127, S009, S008</x:v>
      </x:c>
      <x:c r="U865" s="43" t="str">
        <x:v>docs/implementation/tours-local-pilot-report.md
docs/implementation/tours-native.md
docs/ar-experience-design.md</x:v>
      </x:c>
    </x:row>
    <x:row r="866" ht="44" customHeight="1">
      <x:c r="A866" s="42" t="str">
        <x:v>FIS02.012</x:v>
      </x:c>
      <x:c r="B866" s="42" t="str">
        <x:v>Aceptación física de reconocimiento AR</x:v>
      </x:c>
      <x:c r="C866" s="42" t="str">
        <x:v>FIS02</x:v>
      </x:c>
      <x:c r="D866" s="43" t="str">
        <x:v>Abrir contenido y regresar durante AR</x:v>
      </x:c>
      <x:c r="E866" s="43" t="str">
        <x:v>No conservar cámara activa fuera de la vista.</x:v>
      </x:c>
      <x:c r="F866" s="43" t="str">
        <x:v>Pendiente</x:v>
      </x:c>
      <x:c r="G866" s="44" t="n">
        <x:v>46303</x:v>
      </x:c>
      <x:c r="H866" s="44" t="n">
        <x:v>46316</x:v>
      </x:c>
      <x:c r="I866" s="45" t="n">
        <x:f>IF(OR(G866="",H866=""),"",SUMPRODUCT(('Cronograma'!$F$8:$P$8&lt;=H866)*('Cronograma'!$F$9:$P$9&gt;=G866)))</x:f>
        <x:v>2</x:v>
      </x:c>
      <x:c r="J866" s="46"/>
      <x:c r="K866" s="46"/>
      <x:c r="L866" s="47"/>
      <x:c r="M866" s="48" t="str"/>
      <x:c r="N866" s="48" t="str"/>
      <x:c r="O866" s="49"/>
      <x:c r="P866" s="43" t="str">
        <x:v>Plan propuesto, sin ejecución</x:v>
      </x:c>
      <x:c r="Q866" s="43" t="str">
        <x:v>AR01, FIS01</x:v>
      </x:c>
      <x:c r="R866" s="43" t="str">
        <x:v>Ejecutar la actividad y registrar resultado, responsables y duración real.</x:v>
      </x:c>
      <x:c r="S866" s="43" t="str">
        <x:v>Plan propuesto después del corte 06/10/2026; ninguna ejecución futura se considera realizada. Responsables y tiempos reales pendientes de captura.</x:v>
      </x:c>
      <x:c r="T866" s="43" t="str">
        <x:v>S127, S009, S008</x:v>
      </x:c>
      <x:c r="U866" s="43" t="str">
        <x:v>docs/implementation/tours-local-pilot-report.md
docs/implementation/tours-native.md
docs/ar-experience-design.md</x:v>
      </x:c>
    </x:row>
    <x:row r="867" ht="44" customHeight="1">
      <x:c r="A867" s="42" t="str">
        <x:v>FIS02.013</x:v>
      </x:c>
      <x:c r="B867" s="42" t="str">
        <x:v>Aceptación física de reconocimiento AR</x:v>
      </x:c>
      <x:c r="C867" s="42" t="str">
        <x:v>FIS02</x:v>
      </x:c>
      <x:c r="D867" s="43" t="str">
        <x:v>Cambiar de parada durante descarga</x:v>
      </x:c>
      <x:c r="E867" s="43" t="str">
        <x:v>No reactivar referencia anterior por respuesta tardía.</x:v>
      </x:c>
      <x:c r="F867" s="43" t="str">
        <x:v>Pendiente</x:v>
      </x:c>
      <x:c r="G867" s="44" t="n">
        <x:v>46303</x:v>
      </x:c>
      <x:c r="H867" s="44" t="n">
        <x:v>46316</x:v>
      </x:c>
      <x:c r="I867" s="45" t="n">
        <x:f>IF(OR(G867="",H867=""),"",SUMPRODUCT(('Cronograma'!$F$8:$P$8&lt;=H867)*('Cronograma'!$F$9:$P$9&gt;=G867)))</x:f>
        <x:v>2</x:v>
      </x:c>
      <x:c r="J867" s="46"/>
      <x:c r="K867" s="46"/>
      <x:c r="L867" s="47"/>
      <x:c r="M867" s="48" t="str"/>
      <x:c r="N867" s="48" t="str"/>
      <x:c r="O867" s="49"/>
      <x:c r="P867" s="43" t="str">
        <x:v>Plan propuesto, sin ejecución</x:v>
      </x:c>
      <x:c r="Q867" s="43" t="str">
        <x:v>AR01, FIS01</x:v>
      </x:c>
      <x:c r="R867" s="43" t="str">
        <x:v>Ejecutar la actividad y registrar resultado, responsables y duración real.</x:v>
      </x:c>
      <x:c r="S867" s="43" t="str">
        <x:v>Plan propuesto después del corte 06/10/2026; ninguna ejecución futura se considera realizada. Responsables y tiempos reales pendientes de captura.</x:v>
      </x:c>
      <x:c r="T867" s="43" t="str">
        <x:v>S127, S009, S008</x:v>
      </x:c>
      <x:c r="U867" s="43" t="str">
        <x:v>docs/implementation/tours-local-pilot-report.md
docs/implementation/tours-native.md
docs/ar-experience-design.md</x:v>
      </x:c>
    </x:row>
    <x:row r="868" ht="44" customHeight="1">
      <x:c r="A868" s="42" t="str">
        <x:v>FIS02.014</x:v>
      </x:c>
      <x:c r="B868" s="42" t="str">
        <x:v>Aceptación física de reconocimiento AR</x:v>
      </x:c>
      <x:c r="C868" s="42" t="str">
        <x:v>FIS02</x:v>
      </x:c>
      <x:c r="D868" s="43" t="str">
        <x:v>Cambiar cuenta durante AR</x:v>
      </x:c>
      <x:c r="E868" s="43" t="str">
        <x:v>Detener cámara, sensores y operaciones de la sesión anterior.</x:v>
      </x:c>
      <x:c r="F868" s="43" t="str">
        <x:v>Pendiente</x:v>
      </x:c>
      <x:c r="G868" s="44" t="n">
        <x:v>46303</x:v>
      </x:c>
      <x:c r="H868" s="44" t="n">
        <x:v>46316</x:v>
      </x:c>
      <x:c r="I868" s="45" t="n">
        <x:f>IF(OR(G868="",H868=""),"",SUMPRODUCT(('Cronograma'!$F$8:$P$8&lt;=H868)*('Cronograma'!$F$9:$P$9&gt;=G868)))</x:f>
        <x:v>2</x:v>
      </x:c>
      <x:c r="J868" s="46"/>
      <x:c r="K868" s="46"/>
      <x:c r="L868" s="47"/>
      <x:c r="M868" s="48" t="str"/>
      <x:c r="N868" s="48" t="str"/>
      <x:c r="O868" s="49"/>
      <x:c r="P868" s="43" t="str">
        <x:v>Plan propuesto, sin ejecución</x:v>
      </x:c>
      <x:c r="Q868" s="43" t="str">
        <x:v>AR01, FIS01</x:v>
      </x:c>
      <x:c r="R868" s="43" t="str">
        <x:v>Ejecutar la actividad y registrar resultado, responsables y duración real.</x:v>
      </x:c>
      <x:c r="S868" s="43" t="str">
        <x:v>Plan propuesto después del corte 06/10/2026; ninguna ejecución futura se considera realizada. Responsables y tiempos reales pendientes de captura.</x:v>
      </x:c>
      <x:c r="T868" s="43" t="str">
        <x:v>S127, S009, S008</x:v>
      </x:c>
      <x:c r="U868" s="43" t="str">
        <x:v>docs/implementation/tours-local-pilot-report.md
docs/implementation/tours-native.md
docs/ar-experience-design.md</x:v>
      </x:c>
    </x:row>
    <x:row r="869" ht="44" customHeight="1">
      <x:c r="A869" s="42" t="str">
        <x:v>FIS02.015</x:v>
      </x:c>
      <x:c r="B869" s="42" t="str">
        <x:v>Aceptación física de reconocimiento AR</x:v>
      </x:c>
      <x:c r="C869" s="42" t="str">
        <x:v>FIS02</x:v>
      </x:c>
      <x:c r="D869" s="43" t="str">
        <x:v>Cambiar mobiliario del espacio</x:v>
      </x:c>
      <x:c r="E869" s="43" t="str">
        <x:v>Identificar referencias y conexiones que requieren revisión.</x:v>
      </x:c>
      <x:c r="F869" s="43" t="str">
        <x:v>Pendiente</x:v>
      </x:c>
      <x:c r="G869" s="44" t="n">
        <x:v>46303</x:v>
      </x:c>
      <x:c r="H869" s="44" t="n">
        <x:v>46316</x:v>
      </x:c>
      <x:c r="I869" s="45" t="n">
        <x:f>IF(OR(G869="",H869=""),"",SUMPRODUCT(('Cronograma'!$F$8:$P$8&lt;=H869)*('Cronograma'!$F$9:$P$9&gt;=G869)))</x:f>
        <x:v>2</x:v>
      </x:c>
      <x:c r="J869" s="46"/>
      <x:c r="K869" s="46"/>
      <x:c r="L869" s="47"/>
      <x:c r="M869" s="48" t="str"/>
      <x:c r="N869" s="48" t="str"/>
      <x:c r="O869" s="49"/>
      <x:c r="P869" s="43" t="str">
        <x:v>Plan propuesto, sin ejecución</x:v>
      </x:c>
      <x:c r="Q869" s="43" t="str">
        <x:v>AR01, FIS01</x:v>
      </x:c>
      <x:c r="R869" s="43" t="str">
        <x:v>Ejecutar la actividad y registrar resultado, responsables y duración real.</x:v>
      </x:c>
      <x:c r="S869" s="43" t="str">
        <x:v>Plan propuesto después del corte 06/10/2026; ninguna ejecución futura se considera realizada. Responsables y tiempos reales pendientes de captura.</x:v>
      </x:c>
      <x:c r="T869" s="43" t="str">
        <x:v>S127, S009, S008</x:v>
      </x:c>
      <x:c r="U869" s="43" t="str">
        <x:v>docs/implementation/tours-local-pilot-report.md
docs/implementation/tours-native.md
docs/ar-experience-design.md</x:v>
      </x:c>
    </x:row>
    <x:row r="870" ht="44" customHeight="1">
      <x:c r="A870" s="42" t="str">
        <x:v>FIS02.016</x:v>
      </x:c>
      <x:c r="B870" s="42" t="str">
        <x:v>Aceptación física de reconocimiento AR</x:v>
      </x:c>
      <x:c r="C870" s="42" t="str">
        <x:v>FIS02</x:v>
      </x:c>
      <x:c r="D870" s="43" t="str">
        <x:v>Comprobar ancho y colocación de señal</x:v>
      </x:c>
      <x:c r="E870" s="43" t="str">
        <x:v>Validar escala y anclaje sobre referencia reconocida.</x:v>
      </x:c>
      <x:c r="F870" s="43" t="str">
        <x:v>Pendiente</x:v>
      </x:c>
      <x:c r="G870" s="44" t="n">
        <x:v>46303</x:v>
      </x:c>
      <x:c r="H870" s="44" t="n">
        <x:v>46316</x:v>
      </x:c>
      <x:c r="I870" s="45" t="n">
        <x:f>IF(OR(G870="",H870=""),"",SUMPRODUCT(('Cronograma'!$F$8:$P$8&lt;=H870)*('Cronograma'!$F$9:$P$9&gt;=G870)))</x:f>
        <x:v>2</x:v>
      </x:c>
      <x:c r="J870" s="46"/>
      <x:c r="K870" s="46"/>
      <x:c r="L870" s="47"/>
      <x:c r="M870" s="48" t="str"/>
      <x:c r="N870" s="48" t="str"/>
      <x:c r="O870" s="49"/>
      <x:c r="P870" s="43" t="str">
        <x:v>Plan propuesto, sin ejecución</x:v>
      </x:c>
      <x:c r="Q870" s="43" t="str">
        <x:v>AR01, FIS01</x:v>
      </x:c>
      <x:c r="R870" s="43" t="str">
        <x:v>Ejecutar la actividad y registrar resultado, responsables y duración real.</x:v>
      </x:c>
      <x:c r="S870" s="43" t="str">
        <x:v>Plan propuesto después del corte 06/10/2026; ninguna ejecución futura se considera realizada. Responsables y tiempos reales pendientes de captura.</x:v>
      </x:c>
      <x:c r="T870" s="43" t="str">
        <x:v>S127, S009, S008</x:v>
      </x:c>
      <x:c r="U870" s="43" t="str">
        <x:v>docs/implementation/tours-local-pilot-report.md
docs/implementation/tours-native.md
docs/ar-experience-design.md</x:v>
      </x:c>
    </x:row>
    <x:row r="871" ht="44" customHeight="1">
      <x:c r="A871" s="42" t="str">
        <x:v>FIS02.017</x:v>
      </x:c>
      <x:c r="B871" s="42" t="str">
        <x:v>Aceptación física de reconocimiento AR</x:v>
      </x:c>
      <x:c r="C871" s="42" t="str">
        <x:v>FIS02</x:v>
      </x:c>
      <x:c r="D871" s="43" t="str">
        <x:v>Guardar prueba física de versión de activador</x:v>
      </x:c>
      <x:c r="E871" s="43" t="str">
        <x:v>Acreditar tested_version solo tras prueba real satisfactoria.</x:v>
      </x:c>
      <x:c r="F871" s="43" t="str">
        <x:v>Pendiente</x:v>
      </x:c>
      <x:c r="G871" s="44" t="n">
        <x:v>46303</x:v>
      </x:c>
      <x:c r="H871" s="44" t="n">
        <x:v>46316</x:v>
      </x:c>
      <x:c r="I871" s="45" t="n">
        <x:f>IF(OR(G871="",H871=""),"",SUMPRODUCT(('Cronograma'!$F$8:$P$8&lt;=H871)*('Cronograma'!$F$9:$P$9&gt;=G871)))</x:f>
        <x:v>2</x:v>
      </x:c>
      <x:c r="J871" s="46"/>
      <x:c r="K871" s="46"/>
      <x:c r="L871" s="47"/>
      <x:c r="M871" s="48" t="str"/>
      <x:c r="N871" s="48" t="str"/>
      <x:c r="O871" s="49"/>
      <x:c r="P871" s="43" t="str">
        <x:v>Plan propuesto, sin ejecución</x:v>
      </x:c>
      <x:c r="Q871" s="43" t="str">
        <x:v>AR01, FIS01</x:v>
      </x:c>
      <x:c r="R871" s="43" t="str">
        <x:v>Ejecutar la actividad y registrar resultado, responsables y duración real.</x:v>
      </x:c>
      <x:c r="S871" s="43" t="str">
        <x:v>Plan propuesto después del corte 06/10/2026; ninguna ejecución futura se considera realizada. Responsables y tiempos reales pendientes de captura.</x:v>
      </x:c>
      <x:c r="T871" s="43" t="str">
        <x:v>S127, S009, S008</x:v>
      </x:c>
      <x:c r="U871" s="43" t="str">
        <x:v>docs/implementation/tours-local-pilot-report.md
docs/implementation/tours-native.md
docs/ar-experience-design.md</x:v>
      </x:c>
    </x:row>
    <x:row r="872" ht="44" customHeight="1">
      <x:c r="A872" s="42" t="str">
        <x:v>FIS02.018</x:v>
      </x:c>
      <x:c r="B872" s="42" t="str">
        <x:v>Aceptación física de reconocimiento AR</x:v>
      </x:c>
      <x:c r="C872" s="42" t="str">
        <x:v>FIS02</x:v>
      </x:c>
      <x:c r="D872" s="43" t="str">
        <x:v>Cerrar aceptación del módulo AR</x:v>
      </x:c>
      <x:c r="E872" s="43" t="str">
        <x:v>Cambiar WIP únicamente cuando criterios físicos estén cubiertos.</x:v>
      </x:c>
      <x:c r="F872" s="43" t="str">
        <x:v>Pendiente</x:v>
      </x:c>
      <x:c r="G872" s="44" t="n">
        <x:v>46303</x:v>
      </x:c>
      <x:c r="H872" s="44" t="n">
        <x:v>46316</x:v>
      </x:c>
      <x:c r="I872" s="45" t="n">
        <x:f>IF(OR(G872="",H872=""),"",SUMPRODUCT(('Cronograma'!$F$8:$P$8&lt;=H872)*('Cronograma'!$F$9:$P$9&gt;=G872)))</x:f>
        <x:v>2</x:v>
      </x:c>
      <x:c r="J872" s="46"/>
      <x:c r="K872" s="46"/>
      <x:c r="L872" s="47"/>
      <x:c r="M872" s="48" t="str"/>
      <x:c r="N872" s="48" t="str"/>
      <x:c r="O872" s="49"/>
      <x:c r="P872" s="43" t="str">
        <x:v>Plan propuesto, sin ejecución</x:v>
      </x:c>
      <x:c r="Q872" s="43" t="str">
        <x:v>AR01, FIS01</x:v>
      </x:c>
      <x:c r="R872" s="43" t="str">
        <x:v>Ejecutar la actividad y registrar resultado, responsables y duración real.</x:v>
      </x:c>
      <x:c r="S872" s="43" t="str">
        <x:v>Plan propuesto después del corte 06/10/2026; ninguna ejecución futura se considera realizada. Responsables y tiempos reales pendientes de captura.</x:v>
      </x:c>
      <x:c r="T872" s="43" t="str">
        <x:v>S127, S009, S008</x:v>
      </x:c>
      <x:c r="U872" s="43" t="str">
        <x:v>docs/implementation/tours-local-pilot-report.md
docs/implementation/tours-native.md
docs/ar-experience-design.md</x:v>
      </x:c>
    </x:row>
    <x:row r="873" ht="44" customHeight="1">
      <x:c r="A873" s="42" t="str">
        <x:v>COR01.001</x:v>
      </x:c>
      <x:c r="B873" s="42" t="str">
        <x:v>Correcciones posteriores a pruebas físicas</x:v>
      </x:c>
      <x:c r="C873" s="42" t="str">
        <x:v>COR01</x:v>
      </x:c>
      <x:c r="D873" s="43" t="str">
        <x:v>Clasificar fallos de calibración observados</x:v>
      </x:c>
      <x:c r="E873" s="43" t="str">
        <x:v>Crear incidencias solo a partir de resultados de la prueba.</x:v>
      </x:c>
      <x:c r="F873" s="43" t="str">
        <x:v>Pendiente</x:v>
      </x:c>
      <x:c r="G873" s="44" t="n">
        <x:v>46310</x:v>
      </x:c>
      <x:c r="H873" s="44" t="n">
        <x:v>46316</x:v>
      </x:c>
      <x:c r="I873" s="45" t="n">
        <x:f>IF(OR(G873="",H873=""),"",SUMPRODUCT(('Cronograma'!$F$8:$P$8&lt;=H873)*('Cronograma'!$F$9:$P$9&gt;=G873)))</x:f>
        <x:v>1</x:v>
      </x:c>
      <x:c r="J873" s="46"/>
      <x:c r="K873" s="46"/>
      <x:c r="L873" s="47"/>
      <x:c r="M873" s="48" t="str"/>
      <x:c r="N873" s="48" t="str"/>
      <x:c r="O873" s="49"/>
      <x:c r="P873" s="43" t="str">
        <x:v>Plan propuesto, sin ejecución</x:v>
      </x:c>
      <x:c r="Q873" s="43" t="str">
        <x:v>FIS01, FIS02</x:v>
      </x:c>
      <x:c r="R873" s="43" t="str">
        <x:v>Ejecutar la actividad y registrar resultado, responsables y duración real.</x:v>
      </x:c>
      <x:c r="S873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3" s="43" t="str">
        <x:v>S127, S008</x:v>
      </x:c>
      <x:c r="U873" s="43" t="str">
        <x:v>docs/implementation/tours-local-pilot-report.md
docs/ar-experience-design.md</x:v>
      </x:c>
    </x:row>
    <x:row r="874" ht="44" customHeight="1">
      <x:c r="A874" s="42" t="str">
        <x:v>COR01.002</x:v>
      </x:c>
      <x:c r="B874" s="42" t="str">
        <x:v>Correcciones posteriores a pruebas físicas</x:v>
      </x:c>
      <x:c r="C874" s="42" t="str">
        <x:v>COR01</x:v>
      </x:c>
      <x:c r="D874" s="43" t="str">
        <x:v>Corregir FOV o crop si se detecta error</x:v>
      </x:c>
      <x:c r="E874" s="43" t="str">
        <x:v>Ajustar implementación únicamente con evidencia óptica.</x:v>
      </x:c>
      <x:c r="F874" s="43" t="str">
        <x:v>Pendiente</x:v>
      </x:c>
      <x:c r="G874" s="44" t="n">
        <x:v>46310</x:v>
      </x:c>
      <x:c r="H874" s="44" t="n">
        <x:v>46316</x:v>
      </x:c>
      <x:c r="I874" s="45" t="n">
        <x:f>IF(OR(G874="",H874=""),"",SUMPRODUCT(('Cronograma'!$F$8:$P$8&lt;=H874)*('Cronograma'!$F$9:$P$9&gt;=G874)))</x:f>
        <x:v>1</x:v>
      </x:c>
      <x:c r="J874" s="46"/>
      <x:c r="K874" s="46"/>
      <x:c r="L874" s="47"/>
      <x:c r="M874" s="48" t="str"/>
      <x:c r="N874" s="48" t="str"/>
      <x:c r="O874" s="49"/>
      <x:c r="P874" s="43" t="str">
        <x:v>Plan propuesto, sin ejecución</x:v>
      </x:c>
      <x:c r="Q874" s="43" t="str">
        <x:v>FIS01, FIS02</x:v>
      </x:c>
      <x:c r="R874" s="43" t="str">
        <x:v>Ejecutar la actividad y registrar resultado, responsables y duración real.</x:v>
      </x:c>
      <x:c r="S874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4" s="43" t="str">
        <x:v>S127, S008</x:v>
      </x:c>
      <x:c r="U874" s="43" t="str">
        <x:v>docs/implementation/tours-local-pilot-report.md
docs/ar-experience-design.md</x:v>
      </x:c>
    </x:row>
    <x:row r="875" ht="44" customHeight="1">
      <x:c r="A875" s="42" t="str">
        <x:v>COR01.003</x:v>
      </x:c>
      <x:c r="B875" s="42" t="str">
        <x:v>Correcciones posteriores a pruebas físicas</x:v>
      </x:c>
      <x:c r="C875" s="42" t="str">
        <x:v>COR01</x:v>
      </x:c>
      <x:c r="D875" s="43" t="str">
        <x:v>Corregir recuperación de captura si falla</x:v>
      </x:c>
      <x:c r="E875" s="43" t="str">
        <x:v>Conservar tomas y contexto de cuenta.</x:v>
      </x:c>
      <x:c r="F875" s="43" t="str">
        <x:v>Pendiente</x:v>
      </x:c>
      <x:c r="G875" s="44" t="n">
        <x:v>46310</x:v>
      </x:c>
      <x:c r="H875" s="44" t="n">
        <x:v>46316</x:v>
      </x:c>
      <x:c r="I875" s="45" t="n">
        <x:f>IF(OR(G875="",H875=""),"",SUMPRODUCT(('Cronograma'!$F$8:$P$8&lt;=H875)*('Cronograma'!$F$9:$P$9&gt;=G875)))</x:f>
        <x:v>1</x:v>
      </x:c>
      <x:c r="J875" s="46"/>
      <x:c r="K875" s="46"/>
      <x:c r="L875" s="47"/>
      <x:c r="M875" s="48" t="str"/>
      <x:c r="N875" s="48" t="str"/>
      <x:c r="O875" s="49"/>
      <x:c r="P875" s="43" t="str">
        <x:v>Plan propuesto, sin ejecución</x:v>
      </x:c>
      <x:c r="Q875" s="43" t="str">
        <x:v>FIS01, FIS02</x:v>
      </x:c>
      <x:c r="R875" s="43" t="str">
        <x:v>Ejecutar la actividad y registrar resultado, responsables y duración real.</x:v>
      </x:c>
      <x:c r="S875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5" s="43" t="str">
        <x:v>S127, S008</x:v>
      </x:c>
      <x:c r="U875" s="43" t="str">
        <x:v>docs/implementation/tours-local-pilot-report.md
docs/ar-experience-design.md</x:v>
      </x:c>
    </x:row>
    <x:row r="876" ht="44" customHeight="1">
      <x:c r="A876" s="42" t="str">
        <x:v>COR01.004</x:v>
      </x:c>
      <x:c r="B876" s="42" t="str">
        <x:v>Correcciones posteriores a pruebas físicas</x:v>
      </x:c>
      <x:c r="C876" s="42" t="str">
        <x:v>COR01</x:v>
      </x:c>
      <x:c r="D876" s="43" t="str">
        <x:v>Corregir costura si la prueba lo exige</x:v>
      </x:c>
      <x:c r="E876" s="43" t="str">
        <x:v>Ajustar pipeline sin rellenar regiones ausentes.</x:v>
      </x:c>
      <x:c r="F876" s="43" t="str">
        <x:v>Pendiente</x:v>
      </x:c>
      <x:c r="G876" s="44" t="n">
        <x:v>46310</x:v>
      </x:c>
      <x:c r="H876" s="44" t="n">
        <x:v>46316</x:v>
      </x:c>
      <x:c r="I876" s="45" t="n">
        <x:f>IF(OR(G876="",H876=""),"",SUMPRODUCT(('Cronograma'!$F$8:$P$8&lt;=H876)*('Cronograma'!$F$9:$P$9&gt;=G876)))</x:f>
        <x:v>1</x:v>
      </x:c>
      <x:c r="J876" s="46"/>
      <x:c r="K876" s="46"/>
      <x:c r="L876" s="47"/>
      <x:c r="M876" s="48" t="str"/>
      <x:c r="N876" s="48" t="str"/>
      <x:c r="O876" s="49"/>
      <x:c r="P876" s="43" t="str">
        <x:v>Plan propuesto, sin ejecución</x:v>
      </x:c>
      <x:c r="Q876" s="43" t="str">
        <x:v>FIS01, FIS02</x:v>
      </x:c>
      <x:c r="R876" s="43" t="str">
        <x:v>Ejecutar la actividad y registrar resultado, responsables y duración real.</x:v>
      </x:c>
      <x:c r="S876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6" s="43" t="str">
        <x:v>S127, S008</x:v>
      </x:c>
      <x:c r="U876" s="43" t="str">
        <x:v>docs/implementation/tours-local-pilot-report.md
docs/ar-experience-design.md</x:v>
      </x:c>
    </x:row>
    <x:row r="877" ht="44" customHeight="1">
      <x:c r="A877" s="42" t="str">
        <x:v>COR01.005</x:v>
      </x:c>
      <x:c r="B877" s="42" t="str">
        <x:v>Correcciones posteriores a pruebas físicas</x:v>
      </x:c>
      <x:c r="C877" s="42" t="str">
        <x:v>COR01</x:v>
      </x:c>
      <x:c r="D877" s="43" t="str">
        <x:v>Corregir reconocimiento AR si falla</x:v>
      </x:c>
      <x:c r="E877" s="43" t="str">
        <x:v>Distinguir calidad de activador, soporte y código.</x:v>
      </x:c>
      <x:c r="F877" s="43" t="str">
        <x:v>Pendiente</x:v>
      </x:c>
      <x:c r="G877" s="44" t="n">
        <x:v>46310</x:v>
      </x:c>
      <x:c r="H877" s="44" t="n">
        <x:v>46316</x:v>
      </x:c>
      <x:c r="I877" s="45" t="n">
        <x:f>IF(OR(G877="",H877=""),"",SUMPRODUCT(('Cronograma'!$F$8:$P$8&lt;=H877)*('Cronograma'!$F$9:$P$9&gt;=G877)))</x:f>
        <x:v>1</x:v>
      </x:c>
      <x:c r="J877" s="46"/>
      <x:c r="K877" s="46"/>
      <x:c r="L877" s="47"/>
      <x:c r="M877" s="48" t="str"/>
      <x:c r="N877" s="48" t="str"/>
      <x:c r="O877" s="49"/>
      <x:c r="P877" s="43" t="str">
        <x:v>Plan propuesto, sin ejecución</x:v>
      </x:c>
      <x:c r="Q877" s="43" t="str">
        <x:v>FIS01, FIS02</x:v>
      </x:c>
      <x:c r="R877" s="43" t="str">
        <x:v>Ejecutar la actividad y registrar resultado, responsables y duración real.</x:v>
      </x:c>
      <x:c r="S877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7" s="43" t="str">
        <x:v>S127, S008</x:v>
      </x:c>
      <x:c r="U877" s="43" t="str">
        <x:v>docs/implementation/tours-local-pilot-report.md
docs/ar-experience-design.md</x:v>
      </x:c>
    </x:row>
    <x:row r="878" ht="44" customHeight="1">
      <x:c r="A878" s="42" t="str">
        <x:v>COR01.006</x:v>
      </x:c>
      <x:c r="B878" s="42" t="str">
        <x:v>Correcciones posteriores a pruebas físicas</x:v>
      </x:c>
      <x:c r="C878" s="42" t="str">
        <x:v>COR01</x:v>
      </x:c>
      <x:c r="D878" s="43" t="str">
        <x:v>Corregir lifecycle si quedan recursos activos</x:v>
      </x:c>
      <x:c r="E878" s="43" t="str">
        <x:v>Resolver cierre de cámara, sensores y escenas.</x:v>
      </x:c>
      <x:c r="F878" s="43" t="str">
        <x:v>Pendiente</x:v>
      </x:c>
      <x:c r="G878" s="44" t="n">
        <x:v>46310</x:v>
      </x:c>
      <x:c r="H878" s="44" t="n">
        <x:v>46316</x:v>
      </x:c>
      <x:c r="I878" s="45" t="n">
        <x:f>IF(OR(G878="",H878=""),"",SUMPRODUCT(('Cronograma'!$F$8:$P$8&lt;=H878)*('Cronograma'!$F$9:$P$9&gt;=G878)))</x:f>
        <x:v>1</x:v>
      </x:c>
      <x:c r="J878" s="46"/>
      <x:c r="K878" s="46"/>
      <x:c r="L878" s="47"/>
      <x:c r="M878" s="48" t="str"/>
      <x:c r="N878" s="48" t="str"/>
      <x:c r="O878" s="49"/>
      <x:c r="P878" s="43" t="str">
        <x:v>Plan propuesto, sin ejecución</x:v>
      </x:c>
      <x:c r="Q878" s="43" t="str">
        <x:v>FIS01, FIS02</x:v>
      </x:c>
      <x:c r="R878" s="43" t="str">
        <x:v>Ejecutar la actividad y registrar resultado, responsables y duración real.</x:v>
      </x:c>
      <x:c r="S878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8" s="43" t="str">
        <x:v>S127, S008</x:v>
      </x:c>
      <x:c r="U878" s="43" t="str">
        <x:v>docs/implementation/tours-local-pilot-report.md
docs/ar-experience-design.md</x:v>
      </x:c>
    </x:row>
    <x:row r="879" ht="44" customHeight="1">
      <x:c r="A879" s="42" t="str">
        <x:v>COR01.007</x:v>
      </x:c>
      <x:c r="B879" s="42" t="str">
        <x:v>Correcciones posteriores a pruebas físicas</x:v>
      </x:c>
      <x:c r="C879" s="42" t="str">
        <x:v>COR01</x:v>
      </x:c>
      <x:c r="D879" s="43" t="str">
        <x:v>Añadir regresión para cada fallo confirmado</x:v>
      </x:c>
      <x:c r="E879" s="43" t="str">
        <x:v>Probar comportamiento afectado y límites pertinentes.</x:v>
      </x:c>
      <x:c r="F879" s="43" t="str">
        <x:v>Pendiente</x:v>
      </x:c>
      <x:c r="G879" s="44" t="n">
        <x:v>46310</x:v>
      </x:c>
      <x:c r="H879" s="44" t="n">
        <x:v>46316</x:v>
      </x:c>
      <x:c r="I879" s="45" t="n">
        <x:f>IF(OR(G879="",H879=""),"",SUMPRODUCT(('Cronograma'!$F$8:$P$8&lt;=H879)*('Cronograma'!$F$9:$P$9&gt;=G879)))</x:f>
        <x:v>1</x:v>
      </x:c>
      <x:c r="J879" s="46"/>
      <x:c r="K879" s="46"/>
      <x:c r="L879" s="47"/>
      <x:c r="M879" s="48" t="str"/>
      <x:c r="N879" s="48" t="str"/>
      <x:c r="O879" s="49"/>
      <x:c r="P879" s="43" t="str">
        <x:v>Plan propuesto, sin ejecución</x:v>
      </x:c>
      <x:c r="Q879" s="43" t="str">
        <x:v>FIS01, FIS02</x:v>
      </x:c>
      <x:c r="R879" s="43" t="str">
        <x:v>Ejecutar la actividad y registrar resultado, responsables y duración real.</x:v>
      </x:c>
      <x:c r="S879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79" s="43" t="str">
        <x:v>S127, S008</x:v>
      </x:c>
      <x:c r="U879" s="43" t="str">
        <x:v>docs/implementation/tours-local-pilot-report.md
docs/ar-experience-design.md</x:v>
      </x:c>
    </x:row>
    <x:row r="880" ht="44" customHeight="1">
      <x:c r="A880" s="42" t="str">
        <x:v>COR01.008</x:v>
      </x:c>
      <x:c r="B880" s="42" t="str">
        <x:v>Correcciones posteriores a pruebas físicas</x:v>
      </x:c>
      <x:c r="C880" s="42" t="str">
        <x:v>COR01</x:v>
      </x:c>
      <x:c r="D880" s="43" t="str">
        <x:v>Repetir escenarios físicos afectados</x:v>
      </x:c>
      <x:c r="E880" s="43" t="str">
        <x:v>Confirmar solución en el dispositivo que falló.</x:v>
      </x:c>
      <x:c r="F880" s="43" t="str">
        <x:v>Pendiente</x:v>
      </x:c>
      <x:c r="G880" s="44" t="n">
        <x:v>46310</x:v>
      </x:c>
      <x:c r="H880" s="44" t="n">
        <x:v>46316</x:v>
      </x:c>
      <x:c r="I880" s="45" t="n">
        <x:f>IF(OR(G880="",H880=""),"",SUMPRODUCT(('Cronograma'!$F$8:$P$8&lt;=H880)*('Cronograma'!$F$9:$P$9&gt;=G880)))</x:f>
        <x:v>1</x:v>
      </x:c>
      <x:c r="J880" s="46"/>
      <x:c r="K880" s="46"/>
      <x:c r="L880" s="47"/>
      <x:c r="M880" s="48" t="str"/>
      <x:c r="N880" s="48" t="str"/>
      <x:c r="O880" s="49"/>
      <x:c r="P880" s="43" t="str">
        <x:v>Plan propuesto, sin ejecución</x:v>
      </x:c>
      <x:c r="Q880" s="43" t="str">
        <x:v>FIS01, FIS02</x:v>
      </x:c>
      <x:c r="R880" s="43" t="str">
        <x:v>Ejecutar la actividad y registrar resultado, responsables y duración real.</x:v>
      </x:c>
      <x:c r="S880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80" s="43" t="str">
        <x:v>S127, S008</x:v>
      </x:c>
      <x:c r="U880" s="43" t="str">
        <x:v>docs/implementation/tours-local-pilot-report.md
docs/ar-experience-design.md</x:v>
      </x:c>
    </x:row>
    <x:row r="881" ht="44" customHeight="1">
      <x:c r="A881" s="42" t="str">
        <x:v>COR01.009</x:v>
      </x:c>
      <x:c r="B881" s="42" t="str">
        <x:v>Correcciones posteriores a pruebas físicas</x:v>
      </x:c>
      <x:c r="C881" s="42" t="str">
        <x:v>COR01</x:v>
      </x:c>
      <x:c r="D881" s="43" t="str">
        <x:v>Actualizar límites conocidos del módulo</x:v>
      </x:c>
      <x:c r="E881" s="43" t="str">
        <x:v>Conservar pendientes que aún no cumplen aceptación.</x:v>
      </x:c>
      <x:c r="F881" s="43" t="str">
        <x:v>Pendiente</x:v>
      </x:c>
      <x:c r="G881" s="44" t="n">
        <x:v>46310</x:v>
      </x:c>
      <x:c r="H881" s="44" t="n">
        <x:v>46316</x:v>
      </x:c>
      <x:c r="I881" s="45" t="n">
        <x:f>IF(OR(G881="",H881=""),"",SUMPRODUCT(('Cronograma'!$F$8:$P$8&lt;=H881)*('Cronograma'!$F$9:$P$9&gt;=G881)))</x:f>
        <x:v>1</x:v>
      </x:c>
      <x:c r="J881" s="46"/>
      <x:c r="K881" s="46"/>
      <x:c r="L881" s="47"/>
      <x:c r="M881" s="48" t="str"/>
      <x:c r="N881" s="48" t="str"/>
      <x:c r="O881" s="49"/>
      <x:c r="P881" s="43" t="str">
        <x:v>Plan propuesto, sin ejecución</x:v>
      </x:c>
      <x:c r="Q881" s="43" t="str">
        <x:v>FIS01, FIS02</x:v>
      </x:c>
      <x:c r="R881" s="43" t="str">
        <x:v>Ejecutar la actividad y registrar resultado, responsables y duración real.</x:v>
      </x:c>
      <x:c r="S881" s="43" t="str">
        <x:v>Plan propuesto después del corte 06/10/2026; ninguna ejecución futura se considera realizada. Responsables y tiempos reales pendientes de captura. Correcciones condicionales: no se afirma que esos defectos existan hoy.</x:v>
      </x:c>
      <x:c r="T881" s="43" t="str">
        <x:v>S127, S008</x:v>
      </x:c>
      <x:c r="U881" s="43" t="str">
        <x:v>docs/implementation/tours-local-pilot-report.md
docs/ar-experience-design.md</x:v>
      </x:c>
    </x:row>
    <x:row r="882" ht="56" customHeight="1">
      <x:c r="A882" s="42" t="str">
        <x:v>CLO01.001</x:v>
      </x:c>
      <x:c r="B882" s="42" t="str">
        <x:v>Traspaso del procesador a Cloud Run</x:v>
      </x:c>
      <x:c r="C882" s="42" t="str">
        <x:v>CLO01</x:v>
      </x:c>
      <x:c r="D882" s="43" t="str">
        <x:v>Resolver verificación de facturación Google</x:v>
      </x:c>
      <x:c r="E882" s="43" t="str">
        <x:v>Requisito externo pendiente para Cloud Run.</x:v>
      </x:c>
      <x:c r="F882" s="43" t="str">
        <x:v>Bloqueado</x:v>
      </x:c>
      <x:c r="G882" s="44" t="n">
        <x:v>46317</x:v>
      </x:c>
      <x:c r="H882" s="44" t="n">
        <x:v>46326</x:v>
      </x:c>
      <x:c r="I882" s="45" t="n">
        <x:f>IF(OR(G882="",H882=""),"",SUMPRODUCT(('Cronograma'!$F$8:$P$8&lt;=H882)*('Cronograma'!$F$9:$P$9&gt;=G882)))</x:f>
        <x:v>1</x:v>
      </x:c>
      <x:c r="J882" s="46"/>
      <x:c r="K882" s="46"/>
      <x:c r="L882" s="47"/>
      <x:c r="M882" s="48" t="str"/>
      <x:c r="N882" s="48" t="str"/>
      <x:c r="O882" s="49"/>
      <x:c r="P882" s="43" t="str">
        <x:v>Plan propuesto, sin ejecución</x:v>
      </x:c>
      <x:c r="Q882" s="43" t="str">
        <x:v>PIL01, FIS01</x:v>
      </x:c>
      <x:c r="R882" s="43" t="str">
        <x:v>Resolver credenciales, permisos o firma indicados en el resultado.</x:v>
      </x:c>
      <x:c r="S882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2" s="43" t="str">
        <x:v>S127, S010, S143, S144</x:v>
      </x:c>
      <x:c r="U882" s="43" t="str">
        <x:v>docs/implementation/tours-local-pilot-report.md
processing/tours/README.md
processing/tours/bootstrap.sh
processing/tours/deploy.sh</x:v>
      </x:c>
    </x:row>
    <x:row r="883" ht="56" customHeight="1">
      <x:c r="A883" s="42" t="str">
        <x:v>CLO01.002</x:v>
      </x:c>
      <x:c r="B883" s="42" t="str">
        <x:v>Traspaso del procesador a Cloud Run</x:v>
      </x:c>
      <x:c r="C883" s="42" t="str">
        <x:v>CLO01</x:v>
      </x:c>
      <x:c r="D883" s="43" t="str">
        <x:v>Instalar y autenticar gcloud</x:v>
      </x:c>
      <x:c r="E883" s="43" t="str">
        <x:v>Requiere acceso autorizado al proyecto y cuenta.</x:v>
      </x:c>
      <x:c r="F883" s="43" t="str">
        <x:v>Bloqueado</x:v>
      </x:c>
      <x:c r="G883" s="44" t="n">
        <x:v>46317</x:v>
      </x:c>
      <x:c r="H883" s="44" t="n">
        <x:v>46326</x:v>
      </x:c>
      <x:c r="I883" s="45" t="n">
        <x:f>IF(OR(G883="",H883=""),"",SUMPRODUCT(('Cronograma'!$F$8:$P$8&lt;=H883)*('Cronograma'!$F$9:$P$9&gt;=G883)))</x:f>
        <x:v>1</x:v>
      </x:c>
      <x:c r="J883" s="46"/>
      <x:c r="K883" s="46"/>
      <x:c r="L883" s="47"/>
      <x:c r="M883" s="48" t="str"/>
      <x:c r="N883" s="48" t="str"/>
      <x:c r="O883" s="49"/>
      <x:c r="P883" s="43" t="str">
        <x:v>Plan propuesto, sin ejecución</x:v>
      </x:c>
      <x:c r="Q883" s="43" t="str">
        <x:v>PIL01, FIS01</x:v>
      </x:c>
      <x:c r="R883" s="43" t="str">
        <x:v>Resolver credenciales, permisos o firma indicados en el resultado.</x:v>
      </x:c>
      <x:c r="S883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3" s="43" t="str">
        <x:v>S127, S010, S143, S144</x:v>
      </x:c>
      <x:c r="U883" s="43" t="str">
        <x:v>docs/implementation/tours-local-pilot-report.md
processing/tours/README.md
processing/tours/bootstrap.sh
processing/tours/deploy.sh</x:v>
      </x:c>
    </x:row>
    <x:row r="884" ht="56" customHeight="1">
      <x:c r="A884" s="42" t="str">
        <x:v>CLO01.003</x:v>
      </x:c>
      <x:c r="B884" s="42" t="str">
        <x:v>Traspaso del procesador a Cloud Run</x:v>
      </x:c>
      <x:c r="C884" s="42" t="str">
        <x:v>CLO01</x:v>
      </x:c>
      <x:c r="D884" s="43" t="str">
        <x:v>Verificar permisos del proyecto Google</x:v>
      </x:c>
      <x:c r="E884" s="43" t="str">
        <x:v>Comprobar IAM antes de ejecutar scripts de despliegue.</x:v>
      </x:c>
      <x:c r="F884" s="43" t="str">
        <x:v>Bloqueado</x:v>
      </x:c>
      <x:c r="G884" s="44" t="n">
        <x:v>46317</x:v>
      </x:c>
      <x:c r="H884" s="44" t="n">
        <x:v>46326</x:v>
      </x:c>
      <x:c r="I884" s="45" t="n">
        <x:f>IF(OR(G884="",H884=""),"",SUMPRODUCT(('Cronograma'!$F$8:$P$8&lt;=H884)*('Cronograma'!$F$9:$P$9&gt;=G884)))</x:f>
        <x:v>1</x:v>
      </x:c>
      <x:c r="J884" s="46"/>
      <x:c r="K884" s="46"/>
      <x:c r="L884" s="47"/>
      <x:c r="M884" s="48" t="str"/>
      <x:c r="N884" s="48" t="str"/>
      <x:c r="O884" s="49"/>
      <x:c r="P884" s="43" t="str">
        <x:v>Plan propuesto, sin ejecución</x:v>
      </x:c>
      <x:c r="Q884" s="43" t="str">
        <x:v>PIL01, FIS01</x:v>
      </x:c>
      <x:c r="R884" s="43" t="str">
        <x:v>Resolver credenciales, permisos o firma indicados en el resultado.</x:v>
      </x:c>
      <x:c r="S884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4" s="43" t="str">
        <x:v>S127, S010, S143, S144</x:v>
      </x:c>
      <x:c r="U884" s="43" t="str">
        <x:v>docs/implementation/tours-local-pilot-report.md
processing/tours/README.md
processing/tours/bootstrap.sh
processing/tours/deploy.sh</x:v>
      </x:c>
    </x:row>
    <x:row r="885" ht="56" customHeight="1">
      <x:c r="A885" s="42" t="str">
        <x:v>CLO01.004</x:v>
      </x:c>
      <x:c r="B885" s="42" t="str">
        <x:v>Traspaso del procesador a Cloud Run</x:v>
      </x:c>
      <x:c r="C885" s="42" t="str">
        <x:v>CLO01</x:v>
      </x:c>
      <x:c r="D885" s="43" t="str">
        <x:v>Definir presupuesto de procesamiento</x:v>
      </x:c>
      <x:c r="E885" s="43" t="str">
        <x:v>Registrar coste permitido antes de operación continua.</x:v>
      </x:c>
      <x:c r="F885" s="43" t="str">
        <x:v>Pendiente</x:v>
      </x:c>
      <x:c r="G885" s="44" t="n">
        <x:v>46317</x:v>
      </x:c>
      <x:c r="H885" s="44" t="n">
        <x:v>46326</x:v>
      </x:c>
      <x:c r="I885" s="45" t="n">
        <x:f>IF(OR(G885="",H885=""),"",SUMPRODUCT(('Cronograma'!$F$8:$P$8&lt;=H885)*('Cronograma'!$F$9:$P$9&gt;=G885)))</x:f>
        <x:v>1</x:v>
      </x:c>
      <x:c r="J885" s="46"/>
      <x:c r="K885" s="46"/>
      <x:c r="L885" s="47"/>
      <x:c r="M885" s="48" t="str"/>
      <x:c r="N885" s="48" t="str"/>
      <x:c r="O885" s="49"/>
      <x:c r="P885" s="43" t="str">
        <x:v>Plan propuesto, sin ejecución</x:v>
      </x:c>
      <x:c r="Q885" s="43" t="str">
        <x:v>PIL01, FIS01</x:v>
      </x:c>
      <x:c r="R885" s="43" t="str">
        <x:v>Ejecutar la actividad y registrar resultado, responsables y duración real.</x:v>
      </x:c>
      <x:c r="S885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5" s="43" t="str">
        <x:v>S127, S010, S143, S144</x:v>
      </x:c>
      <x:c r="U885" s="43" t="str">
        <x:v>docs/implementation/tours-local-pilot-report.md
processing/tours/README.md
processing/tours/bootstrap.sh
processing/tours/deploy.sh</x:v>
      </x:c>
    </x:row>
    <x:row r="886" ht="56" customHeight="1">
      <x:c r="A886" s="42" t="str">
        <x:v>CLO01.005</x:v>
      </x:c>
      <x:c r="B886" s="42" t="str">
        <x:v>Traspaso del procesador a Cloud Run</x:v>
      </x:c>
      <x:c r="C886" s="42" t="str">
        <x:v>CLO01</x:v>
      </x:c>
      <x:c r="D886" s="43" t="str">
        <x:v>Crear Artifact Registry autorizado</x:v>
      </x:c>
      <x:c r="E886" s="43" t="str">
        <x:v>Preparar destino de la imagen ya validada.</x:v>
      </x:c>
      <x:c r="F886" s="43" t="str">
        <x:v>Pendiente</x:v>
      </x:c>
      <x:c r="G886" s="44" t="n">
        <x:v>46317</x:v>
      </x:c>
      <x:c r="H886" s="44" t="n">
        <x:v>46326</x:v>
      </x:c>
      <x:c r="I886" s="45" t="n">
        <x:f>IF(OR(G886="",H886=""),"",SUMPRODUCT(('Cronograma'!$F$8:$P$8&lt;=H886)*('Cronograma'!$F$9:$P$9&gt;=G886)))</x:f>
        <x:v>1</x:v>
      </x:c>
      <x:c r="J886" s="46"/>
      <x:c r="K886" s="46"/>
      <x:c r="L886" s="47"/>
      <x:c r="M886" s="48" t="str"/>
      <x:c r="N886" s="48" t="str"/>
      <x:c r="O886" s="49"/>
      <x:c r="P886" s="43" t="str">
        <x:v>Plan propuesto, sin ejecución</x:v>
      </x:c>
      <x:c r="Q886" s="43" t="str">
        <x:v>PIL01, FIS01</x:v>
      </x:c>
      <x:c r="R886" s="43" t="str">
        <x:v>Ejecutar la actividad y registrar resultado, responsables y duración real.</x:v>
      </x:c>
      <x:c r="S886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6" s="43" t="str">
        <x:v>S127, S010, S143, S144</x:v>
      </x:c>
      <x:c r="U886" s="43" t="str">
        <x:v>docs/implementation/tours-local-pilot-report.md
processing/tours/README.md
processing/tours/bootstrap.sh
processing/tours/deploy.sh</x:v>
      </x:c>
    </x:row>
    <x:row r="887" ht="56" customHeight="1">
      <x:c r="A887" s="42" t="str">
        <x:v>CLO01.006</x:v>
      </x:c>
      <x:c r="B887" s="42" t="str">
        <x:v>Traspaso del procesador a Cloud Run</x:v>
      </x:c>
      <x:c r="C887" s="42" t="str">
        <x:v>CLO01</x:v>
      </x:c>
      <x:c r="D887" s="43" t="str">
        <x:v>Subir la misma imagen validada</x:v>
      </x:c>
      <x:c r="E887" s="43" t="str">
        <x:v>Comprobar digest antes de publicar contenedor.</x:v>
      </x:c>
      <x:c r="F887" s="43" t="str">
        <x:v>Pendiente</x:v>
      </x:c>
      <x:c r="G887" s="44" t="n">
        <x:v>46317</x:v>
      </x:c>
      <x:c r="H887" s="44" t="n">
        <x:v>46326</x:v>
      </x:c>
      <x:c r="I887" s="45" t="n">
        <x:f>IF(OR(G887="",H887=""),"",SUMPRODUCT(('Cronograma'!$F$8:$P$8&lt;=H887)*('Cronograma'!$F$9:$P$9&gt;=G887)))</x:f>
        <x:v>1</x:v>
      </x:c>
      <x:c r="J887" s="46"/>
      <x:c r="K887" s="46"/>
      <x:c r="L887" s="47"/>
      <x:c r="M887" s="48" t="str"/>
      <x:c r="N887" s="48" t="str"/>
      <x:c r="O887" s="49"/>
      <x:c r="P887" s="43" t="str">
        <x:v>Plan propuesto, sin ejecución</x:v>
      </x:c>
      <x:c r="Q887" s="43" t="str">
        <x:v>PIL01, FIS01</x:v>
      </x:c>
      <x:c r="R887" s="43" t="str">
        <x:v>Ejecutar la actividad y registrar resultado, responsables y duración real.</x:v>
      </x:c>
      <x:c r="S887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7" s="43" t="str">
        <x:v>S127, S010, S143, S144</x:v>
      </x:c>
      <x:c r="U887" s="43" t="str">
        <x:v>docs/implementation/tours-local-pilot-report.md
processing/tours/README.md
processing/tours/bootstrap.sh
processing/tours/deploy.sh</x:v>
      </x:c>
    </x:row>
    <x:row r="888" ht="56" customHeight="1">
      <x:c r="A888" s="42" t="str">
        <x:v>CLO01.007</x:v>
      </x:c>
      <x:c r="B888" s="42" t="str">
        <x:v>Traspaso del procesador a Cloud Run</x:v>
      </x:c>
      <x:c r="C888" s="42" t="str">
        <x:v>CLO01</x:v>
      </x:c>
      <x:c r="D888" s="43" t="str">
        <x:v>Crear cuentas de servicio del procesador</x:v>
      </x:c>
      <x:c r="E888" s="43" t="str">
        <x:v>Separar ejecución de jobs y despacho.</x:v>
      </x:c>
      <x:c r="F888" s="43" t="str">
        <x:v>Pendiente</x:v>
      </x:c>
      <x:c r="G888" s="44" t="n">
        <x:v>46317</x:v>
      </x:c>
      <x:c r="H888" s="44" t="n">
        <x:v>46326</x:v>
      </x:c>
      <x:c r="I888" s="45" t="n">
        <x:f>IF(OR(G888="",H888=""),"",SUMPRODUCT(('Cronograma'!$F$8:$P$8&lt;=H888)*('Cronograma'!$F$9:$P$9&gt;=G888)))</x:f>
        <x:v>1</x:v>
      </x:c>
      <x:c r="J888" s="46"/>
      <x:c r="K888" s="46"/>
      <x:c r="L888" s="47"/>
      <x:c r="M888" s="48" t="str"/>
      <x:c r="N888" s="48" t="str"/>
      <x:c r="O888" s="49"/>
      <x:c r="P888" s="43" t="str">
        <x:v>Plan propuesto, sin ejecución</x:v>
      </x:c>
      <x:c r="Q888" s="43" t="str">
        <x:v>PIL01, FIS01</x:v>
      </x:c>
      <x:c r="R888" s="43" t="str">
        <x:v>Ejecutar la actividad y registrar resultado, responsables y duración real.</x:v>
      </x:c>
      <x:c r="S888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8" s="43" t="str">
        <x:v>S127, S010, S143, S144</x:v>
      </x:c>
      <x:c r="U888" s="43" t="str">
        <x:v>docs/implementation/tours-local-pilot-report.md
processing/tours/README.md
processing/tours/bootstrap.sh
processing/tours/deploy.sh</x:v>
      </x:c>
    </x:row>
    <x:row r="889" ht="56" customHeight="1">
      <x:c r="A889" s="42" t="str">
        <x:v>CLO01.008</x:v>
      </x:c>
      <x:c r="B889" s="42" t="str">
        <x:v>Traspaso del procesador a Cloud Run</x:v>
      </x:c>
      <x:c r="C889" s="42" t="str">
        <x:v>CLO01</x:v>
      </x:c>
      <x:c r="D889" s="43" t="str">
        <x:v>Configurar secretos de servidor</x:v>
      </x:c>
      <x:c r="E889" s="43" t="str">
        <x:v>Guardar credenciales en Secret Manager y backend.</x:v>
      </x:c>
      <x:c r="F889" s="43" t="str">
        <x:v>Pendiente</x:v>
      </x:c>
      <x:c r="G889" s="44" t="n">
        <x:v>46317</x:v>
      </x:c>
      <x:c r="H889" s="44" t="n">
        <x:v>46326</x:v>
      </x:c>
      <x:c r="I889" s="45" t="n">
        <x:f>IF(OR(G889="",H889=""),"",SUMPRODUCT(('Cronograma'!$F$8:$P$8&lt;=H889)*('Cronograma'!$F$9:$P$9&gt;=G889)))</x:f>
        <x:v>1</x:v>
      </x:c>
      <x:c r="J889" s="46"/>
      <x:c r="K889" s="46"/>
      <x:c r="L889" s="47"/>
      <x:c r="M889" s="48" t="str"/>
      <x:c r="N889" s="48" t="str"/>
      <x:c r="O889" s="49"/>
      <x:c r="P889" s="43" t="str">
        <x:v>Plan propuesto, sin ejecución</x:v>
      </x:c>
      <x:c r="Q889" s="43" t="str">
        <x:v>PIL01, FIS01</x:v>
      </x:c>
      <x:c r="R889" s="43" t="str">
        <x:v>Ejecutar la actividad y registrar resultado, responsables y duración real.</x:v>
      </x:c>
      <x:c r="S889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89" s="43" t="str">
        <x:v>S127, S010, S143, S144</x:v>
      </x:c>
      <x:c r="U889" s="43" t="str">
        <x:v>docs/implementation/tours-local-pilot-report.md
processing/tours/README.md
processing/tours/bootstrap.sh
processing/tours/deploy.sh</x:v>
      </x:c>
    </x:row>
    <x:row r="890" ht="56" customHeight="1">
      <x:c r="A890" s="42" t="str">
        <x:v>CLO01.009</x:v>
      </x:c>
      <x:c r="B890" s="42" t="str">
        <x:v>Traspaso del procesador a Cloud Run</x:v>
      </x:c>
      <x:c r="C890" s="42" t="str">
        <x:v>CLO01</x:v>
      </x:c>
      <x:c r="D890" s="43" t="str">
        <x:v>Desplegar Cloud Run Job</x:v>
      </x:c>
      <x:c r="E890" s="43" t="str">
        <x:v>Usar 4 vCPU, 8 GiB y plazo 900 s del plan existente.</x:v>
      </x:c>
      <x:c r="F890" s="43" t="str">
        <x:v>Pendiente</x:v>
      </x:c>
      <x:c r="G890" s="44" t="n">
        <x:v>46317</x:v>
      </x:c>
      <x:c r="H890" s="44" t="n">
        <x:v>46326</x:v>
      </x:c>
      <x:c r="I890" s="45" t="n">
        <x:f>IF(OR(G890="",H890=""),"",SUMPRODUCT(('Cronograma'!$F$8:$P$8&lt;=H890)*('Cronograma'!$F$9:$P$9&gt;=G890)))</x:f>
        <x:v>1</x:v>
      </x:c>
      <x:c r="J890" s="46"/>
      <x:c r="K890" s="46"/>
      <x:c r="L890" s="47"/>
      <x:c r="M890" s="48" t="str"/>
      <x:c r="N890" s="48" t="str"/>
      <x:c r="O890" s="49"/>
      <x:c r="P890" s="43" t="str">
        <x:v>Plan propuesto, sin ejecución</x:v>
      </x:c>
      <x:c r="Q890" s="43" t="str">
        <x:v>PIL01, FIS01</x:v>
      </x:c>
      <x:c r="R890" s="43" t="str">
        <x:v>Ejecutar la actividad y registrar resultado, responsables y duración real.</x:v>
      </x:c>
      <x:c r="S890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0" s="43" t="str">
        <x:v>S127, S010, S143, S144</x:v>
      </x:c>
      <x:c r="U890" s="43" t="str">
        <x:v>docs/implementation/tours-local-pilot-report.md
processing/tours/README.md
processing/tours/bootstrap.sh
processing/tours/deploy.sh</x:v>
      </x:c>
    </x:row>
    <x:row r="891" ht="56" customHeight="1">
      <x:c r="A891" s="42" t="str">
        <x:v>CLO01.010</x:v>
      </x:c>
      <x:c r="B891" s="42" t="str">
        <x:v>Traspaso del procesador a Cloud Run</x:v>
      </x:c>
      <x:c r="C891" s="42" t="str">
        <x:v>CLO01</x:v>
      </x:c>
      <x:c r="D891" s="43" t="str">
        <x:v>Autorizar dispatcher para ejecutar jobs</x:v>
      </x:c>
      <x:c r="E891" s="43" t="str">
        <x:v>Configurar OAuth e IAM de ejecución con overrides.</x:v>
      </x:c>
      <x:c r="F891" s="43" t="str">
        <x:v>Pendiente</x:v>
      </x:c>
      <x:c r="G891" s="44" t="n">
        <x:v>46317</x:v>
      </x:c>
      <x:c r="H891" s="44" t="n">
        <x:v>46326</x:v>
      </x:c>
      <x:c r="I891" s="45" t="n">
        <x:f>IF(OR(G891="",H891=""),"",SUMPRODUCT(('Cronograma'!$F$8:$P$8&lt;=H891)*('Cronograma'!$F$9:$P$9&gt;=G891)))</x:f>
        <x:v>1</x:v>
      </x:c>
      <x:c r="J891" s="46"/>
      <x:c r="K891" s="46"/>
      <x:c r="L891" s="47"/>
      <x:c r="M891" s="48" t="str"/>
      <x:c r="N891" s="48" t="str"/>
      <x:c r="O891" s="49"/>
      <x:c r="P891" s="43" t="str">
        <x:v>Plan propuesto, sin ejecución</x:v>
      </x:c>
      <x:c r="Q891" s="43" t="str">
        <x:v>PIL01, FIS01</x:v>
      </x:c>
      <x:c r="R891" s="43" t="str">
        <x:v>Ejecutar la actividad y registrar resultado, responsables y duración real.</x:v>
      </x:c>
      <x:c r="S891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1" s="43" t="str">
        <x:v>S127, S010, S143, S144</x:v>
      </x:c>
      <x:c r="U891" s="43" t="str">
        <x:v>docs/implementation/tours-local-pilot-report.md
processing/tours/README.md
processing/tours/bootstrap.sh
processing/tours/deploy.sh</x:v>
      </x:c>
    </x:row>
    <x:row r="892" ht="56" customHeight="1">
      <x:c r="A892" s="42" t="str">
        <x:v>CLO01.011</x:v>
      </x:c>
      <x:c r="B892" s="42" t="str">
        <x:v>Traspaso del procesador a Cloud Run</x:v>
      </x:c>
      <x:c r="C892" s="42" t="str">
        <x:v>CLO01</x:v>
      </x:c>
      <x:c r="D892" s="43" t="str">
        <x:v>Probar trabajo remoto con recibo</x:v>
      </x:c>
      <x:c r="E892" s="43" t="str">
        <x:v>Exigir resultado confirmado en Supabase.</x:v>
      </x:c>
      <x:c r="F892" s="43" t="str">
        <x:v>Pendiente</x:v>
      </x:c>
      <x:c r="G892" s="44" t="n">
        <x:v>46317</x:v>
      </x:c>
      <x:c r="H892" s="44" t="n">
        <x:v>46326</x:v>
      </x:c>
      <x:c r="I892" s="45" t="n">
        <x:f>IF(OR(G892="",H892=""),"",SUMPRODUCT(('Cronograma'!$F$8:$P$8&lt;=H892)*('Cronograma'!$F$9:$P$9&gt;=G892)))</x:f>
        <x:v>1</x:v>
      </x:c>
      <x:c r="J892" s="46"/>
      <x:c r="K892" s="46"/>
      <x:c r="L892" s="47"/>
      <x:c r="M892" s="48" t="str"/>
      <x:c r="N892" s="48" t="str"/>
      <x:c r="O892" s="49"/>
      <x:c r="P892" s="43" t="str">
        <x:v>Plan propuesto, sin ejecución</x:v>
      </x:c>
      <x:c r="Q892" s="43" t="str">
        <x:v>PIL01, FIS01</x:v>
      </x:c>
      <x:c r="R892" s="43" t="str">
        <x:v>Ejecutar la actividad y registrar resultado, responsables y duración real.</x:v>
      </x:c>
      <x:c r="S892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2" s="43" t="str">
        <x:v>S127, S010, S143, S144</x:v>
      </x:c>
      <x:c r="U892" s="43" t="str">
        <x:v>docs/implementation/tours-local-pilot-report.md
processing/tours/README.md
processing/tours/bootstrap.sh
processing/tours/deploy.sh</x:v>
      </x:c>
    </x:row>
    <x:row r="893" ht="56" customHeight="1">
      <x:c r="A893" s="42" t="str">
        <x:v>CLO01.012</x:v>
      </x:c>
      <x:c r="B893" s="42" t="str">
        <x:v>Traspaso del procesador a Cloud Run</x:v>
      </x:c>
      <x:c r="C893" s="42" t="str">
        <x:v>CLO01</x:v>
      </x:c>
      <x:c r="D893" s="43" t="str">
        <x:v>Probar concurrencia de dos jobs</x:v>
      </x:c>
      <x:c r="E893" s="43" t="str">
        <x:v>Verificar límite global y recursos reales.</x:v>
      </x:c>
      <x:c r="F893" s="43" t="str">
        <x:v>Pendiente</x:v>
      </x:c>
      <x:c r="G893" s="44" t="n">
        <x:v>46317</x:v>
      </x:c>
      <x:c r="H893" s="44" t="n">
        <x:v>46326</x:v>
      </x:c>
      <x:c r="I893" s="45" t="n">
        <x:f>IF(OR(G893="",H893=""),"",SUMPRODUCT(('Cronograma'!$F$8:$P$8&lt;=H893)*('Cronograma'!$F$9:$P$9&gt;=G893)))</x:f>
        <x:v>1</x:v>
      </x:c>
      <x:c r="J893" s="46"/>
      <x:c r="K893" s="46"/>
      <x:c r="L893" s="47"/>
      <x:c r="M893" s="48" t="str"/>
      <x:c r="N893" s="48" t="str"/>
      <x:c r="O893" s="49"/>
      <x:c r="P893" s="43" t="str">
        <x:v>Plan propuesto, sin ejecución</x:v>
      </x:c>
      <x:c r="Q893" s="43" t="str">
        <x:v>PIL01, FIS01</x:v>
      </x:c>
      <x:c r="R893" s="43" t="str">
        <x:v>Ejecutar la actividad y registrar resultado, responsables y duración real.</x:v>
      </x:c>
      <x:c r="S893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3" s="43" t="str">
        <x:v>S127, S010, S143, S144</x:v>
      </x:c>
      <x:c r="U893" s="43" t="str">
        <x:v>docs/implementation/tours-local-pilot-report.md
processing/tours/README.md
processing/tours/bootstrap.sh
processing/tours/deploy.sh</x:v>
      </x:c>
    </x:row>
    <x:row r="894" ht="56" customHeight="1">
      <x:c r="A894" s="42" t="str">
        <x:v>CLO01.013</x:v>
      </x:c>
      <x:c r="B894" s="42" t="str">
        <x:v>Traspaso del procesador a Cloud Run</x:v>
      </x:c>
      <x:c r="C894" s="42" t="str">
        <x:v>CLO01</x:v>
      </x:c>
      <x:c r="D894" s="43" t="str">
        <x:v>Probar cancelación y respuesta perdida remotas</x:v>
      </x:c>
      <x:c r="E894" s="43" t="str">
        <x:v>No aceptar resultado antiguo ni duplicado.</x:v>
      </x:c>
      <x:c r="F894" s="43" t="str">
        <x:v>Pendiente</x:v>
      </x:c>
      <x:c r="G894" s="44" t="n">
        <x:v>46317</x:v>
      </x:c>
      <x:c r="H894" s="44" t="n">
        <x:v>46326</x:v>
      </x:c>
      <x:c r="I894" s="45" t="n">
        <x:f>IF(OR(G894="",H894=""),"",SUMPRODUCT(('Cronograma'!$F$8:$P$8&lt;=H894)*('Cronograma'!$F$9:$P$9&gt;=G894)))</x:f>
        <x:v>1</x:v>
      </x:c>
      <x:c r="J894" s="46"/>
      <x:c r="K894" s="46"/>
      <x:c r="L894" s="47"/>
      <x:c r="M894" s="48" t="str"/>
      <x:c r="N894" s="48" t="str"/>
      <x:c r="O894" s="49"/>
      <x:c r="P894" s="43" t="str">
        <x:v>Plan propuesto, sin ejecución</x:v>
      </x:c>
      <x:c r="Q894" s="43" t="str">
        <x:v>PIL01, FIS01</x:v>
      </x:c>
      <x:c r="R894" s="43" t="str">
        <x:v>Ejecutar la actividad y registrar resultado, responsables y duración real.</x:v>
      </x:c>
      <x:c r="S894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4" s="43" t="str">
        <x:v>S127, S010, S143, S144</x:v>
      </x:c>
      <x:c r="U894" s="43" t="str">
        <x:v>docs/implementation/tours-local-pilot-report.md
processing/tours/README.md
processing/tours/bootstrap.sh
processing/tours/deploy.sh</x:v>
      </x:c>
    </x:row>
    <x:row r="895" ht="56" customHeight="1">
      <x:c r="A895" s="42" t="str">
        <x:v>CLO01.014</x:v>
      </x:c>
      <x:c r="B895" s="42" t="str">
        <x:v>Traspaso del procesador a Cloud Run</x:v>
      </x:c>
      <x:c r="C895" s="42" t="str">
        <x:v>CLO01</x:v>
      </x:c>
      <x:c r="D895" s="43" t="str">
        <x:v>Configurar canales de alerta</x:v>
      </x:c>
      <x:c r="E895" s="43" t="str">
        <x:v>Verificar entrega real de una alerta operativa.</x:v>
      </x:c>
      <x:c r="F895" s="43" t="str">
        <x:v>Pendiente</x:v>
      </x:c>
      <x:c r="G895" s="44" t="n">
        <x:v>46317</x:v>
      </x:c>
      <x:c r="H895" s="44" t="n">
        <x:v>46326</x:v>
      </x:c>
      <x:c r="I895" s="45" t="n">
        <x:f>IF(OR(G895="",H895=""),"",SUMPRODUCT(('Cronograma'!$F$8:$P$8&lt;=H895)*('Cronograma'!$F$9:$P$9&gt;=G895)))</x:f>
        <x:v>1</x:v>
      </x:c>
      <x:c r="J895" s="46"/>
      <x:c r="K895" s="46"/>
      <x:c r="L895" s="47"/>
      <x:c r="M895" s="48" t="str"/>
      <x:c r="N895" s="48" t="str"/>
      <x:c r="O895" s="49"/>
      <x:c r="P895" s="43" t="str">
        <x:v>Plan propuesto, sin ejecución</x:v>
      </x:c>
      <x:c r="Q895" s="43" t="str">
        <x:v>PIL01, FIS01</x:v>
      </x:c>
      <x:c r="R895" s="43" t="str">
        <x:v>Ejecutar la actividad y registrar resultado, responsables y duración real.</x:v>
      </x:c>
      <x:c r="S895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5" s="43" t="str">
        <x:v>S127, S010, S143, S144</x:v>
      </x:c>
      <x:c r="U895" s="43" t="str">
        <x:v>docs/implementation/tours-local-pilot-report.md
processing/tours/README.md
processing/tours/bootstrap.sh
processing/tours/deploy.sh</x:v>
      </x:c>
    </x:row>
    <x:row r="896" ht="56" customHeight="1">
      <x:c r="A896" s="42" t="str">
        <x:v>CLO01.015</x:v>
      </x:c>
      <x:c r="B896" s="42" t="str">
        <x:v>Traspaso del procesador a Cloud Run</x:v>
      </x:c>
      <x:c r="C896" s="42" t="str">
        <x:v>CLO01</x:v>
      </x:c>
      <x:c r="D896" s="43" t="str">
        <x:v>Detener runner local antes de traspaso</x:v>
      </x:c>
      <x:c r="E896" s="43" t="str">
        <x:v>Evitar operación paralela no prevista del procesador.</x:v>
      </x:c>
      <x:c r="F896" s="43" t="str">
        <x:v>Pendiente</x:v>
      </x:c>
      <x:c r="G896" s="44" t="n">
        <x:v>46317</x:v>
      </x:c>
      <x:c r="H896" s="44" t="n">
        <x:v>46326</x:v>
      </x:c>
      <x:c r="I896" s="45" t="n">
        <x:f>IF(OR(G896="",H896=""),"",SUMPRODUCT(('Cronograma'!$F$8:$P$8&lt;=H896)*('Cronograma'!$F$9:$P$9&gt;=G896)))</x:f>
        <x:v>1</x:v>
      </x:c>
      <x:c r="J896" s="46"/>
      <x:c r="K896" s="46"/>
      <x:c r="L896" s="47"/>
      <x:c r="M896" s="48" t="str"/>
      <x:c r="N896" s="48" t="str"/>
      <x:c r="O896" s="49"/>
      <x:c r="P896" s="43" t="str">
        <x:v>Plan propuesto, sin ejecución</x:v>
      </x:c>
      <x:c r="Q896" s="43" t="str">
        <x:v>PIL01, FIS01</x:v>
      </x:c>
      <x:c r="R896" s="43" t="str">
        <x:v>Ejecutar la actividad y registrar resultado, responsables y duración real.</x:v>
      </x:c>
      <x:c r="S896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6" s="43" t="str">
        <x:v>S127, S010, S143, S144</x:v>
      </x:c>
      <x:c r="U896" s="43" t="str">
        <x:v>docs/implementation/tours-local-pilot-report.md
processing/tours/README.md
processing/tours/bootstrap.sh
processing/tours/deploy.sh</x:v>
      </x:c>
    </x:row>
    <x:row r="897" ht="56" customHeight="1">
      <x:c r="A897" s="42" t="str">
        <x:v>CLO01.016</x:v>
      </x:c>
      <x:c r="B897" s="42" t="str">
        <x:v>Traspaso del procesador a Cloud Run</x:v>
      </x:c>
      <x:c r="C897" s="42" t="str">
        <x:v>CLO01</x:v>
      </x:c>
      <x:c r="D897" s="43" t="str">
        <x:v>Activar Vault y cron de tours</x:v>
      </x:c>
      <x:c r="E897" s="43" t="str">
        <x:v>Habilitar solo después del job remoto satisfactorio.</x:v>
      </x:c>
      <x:c r="F897" s="43" t="str">
        <x:v>Pendiente</x:v>
      </x:c>
      <x:c r="G897" s="44" t="n">
        <x:v>46317</x:v>
      </x:c>
      <x:c r="H897" s="44" t="n">
        <x:v>46326</x:v>
      </x:c>
      <x:c r="I897" s="45" t="n">
        <x:f>IF(OR(G897="",H897=""),"",SUMPRODUCT(('Cronograma'!$F$8:$P$8&lt;=H897)*('Cronograma'!$F$9:$P$9&gt;=G897)))</x:f>
        <x:v>1</x:v>
      </x:c>
      <x:c r="J897" s="46"/>
      <x:c r="K897" s="46"/>
      <x:c r="L897" s="47"/>
      <x:c r="M897" s="48" t="str"/>
      <x:c r="N897" s="48" t="str"/>
      <x:c r="O897" s="49"/>
      <x:c r="P897" s="43" t="str">
        <x:v>Plan propuesto, sin ejecución</x:v>
      </x:c>
      <x:c r="Q897" s="43" t="str">
        <x:v>PIL01, FIS01</x:v>
      </x:c>
      <x:c r="R897" s="43" t="str">
        <x:v>Ejecutar la actividad y registrar resultado, responsables y duración real.</x:v>
      </x:c>
      <x:c r="S897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7" s="43" t="str">
        <x:v>S127, S010, S143, S144</x:v>
      </x:c>
      <x:c r="U897" s="43" t="str">
        <x:v>docs/implementation/tours-local-pilot-report.md
processing/tours/README.md
processing/tours/bootstrap.sh
processing/tours/deploy.sh</x:v>
      </x:c>
    </x:row>
    <x:row r="898" ht="56" customHeight="1">
      <x:c r="A898" s="42" t="str">
        <x:v>CLO01.017</x:v>
      </x:c>
      <x:c r="B898" s="42" t="str">
        <x:v>Traspaso del procesador a Cloud Run</x:v>
      </x:c>
      <x:c r="C898" s="42" t="str">
        <x:v>CLO01</x:v>
      </x:c>
      <x:c r="D898" s="43" t="str">
        <x:v>Comprobar primera ejecución programada</x:v>
      </x:c>
      <x:c r="E898" s="43" t="str">
        <x:v>Registrar estado, cola y logs del scheduler.</x:v>
      </x:c>
      <x:c r="F898" s="43" t="str">
        <x:v>Pendiente</x:v>
      </x:c>
      <x:c r="G898" s="44" t="n">
        <x:v>46317</x:v>
      </x:c>
      <x:c r="H898" s="44" t="n">
        <x:v>46326</x:v>
      </x:c>
      <x:c r="I898" s="45" t="n">
        <x:f>IF(OR(G898="",H898=""),"",SUMPRODUCT(('Cronograma'!$F$8:$P$8&lt;=H898)*('Cronograma'!$F$9:$P$9&gt;=G898)))</x:f>
        <x:v>1</x:v>
      </x:c>
      <x:c r="J898" s="46"/>
      <x:c r="K898" s="46"/>
      <x:c r="L898" s="47"/>
      <x:c r="M898" s="48" t="str"/>
      <x:c r="N898" s="48" t="str"/>
      <x:c r="O898" s="49"/>
      <x:c r="P898" s="43" t="str">
        <x:v>Plan propuesto, sin ejecución</x:v>
      </x:c>
      <x:c r="Q898" s="43" t="str">
        <x:v>PIL01, FIS01</x:v>
      </x:c>
      <x:c r="R898" s="43" t="str">
        <x:v>Ejecutar la actividad y registrar resultado, responsables y duración real.</x:v>
      </x:c>
      <x:c r="S898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8" s="43" t="str">
        <x:v>S127, S010, S143, S144</x:v>
      </x:c>
      <x:c r="U898" s="43" t="str">
        <x:v>docs/implementation/tours-local-pilot-report.md
processing/tours/README.md
processing/tours/bootstrap.sh
processing/tours/deploy.sh</x:v>
      </x:c>
    </x:row>
    <x:row r="899" ht="56" customHeight="1">
      <x:c r="A899" s="42" t="str">
        <x:v>CLO01.018</x:v>
      </x:c>
      <x:c r="B899" s="42" t="str">
        <x:v>Traspaso del procesador a Cloud Run</x:v>
      </x:c>
      <x:c r="C899" s="42" t="str">
        <x:v>CLO01</x:v>
      </x:c>
      <x:c r="D899" s="43" t="str">
        <x:v>Medir coste del procesamiento remoto</x:v>
      </x:c>
      <x:c r="E899" s="43" t="str">
        <x:v>Comparar consumo y presupuesto del piloto.</x:v>
      </x:c>
      <x:c r="F899" s="43" t="str">
        <x:v>Pendiente</x:v>
      </x:c>
      <x:c r="G899" s="44" t="n">
        <x:v>46317</x:v>
      </x:c>
      <x:c r="H899" s="44" t="n">
        <x:v>46326</x:v>
      </x:c>
      <x:c r="I899" s="45" t="n">
        <x:f>IF(OR(G899="",H899=""),"",SUMPRODUCT(('Cronograma'!$F$8:$P$8&lt;=H899)*('Cronograma'!$F$9:$P$9&gt;=G899)))</x:f>
        <x:v>1</x:v>
      </x:c>
      <x:c r="J899" s="46"/>
      <x:c r="K899" s="46"/>
      <x:c r="L899" s="47"/>
      <x:c r="M899" s="48" t="str"/>
      <x:c r="N899" s="48" t="str"/>
      <x:c r="O899" s="49"/>
      <x:c r="P899" s="43" t="str">
        <x:v>Plan propuesto, sin ejecución</x:v>
      </x:c>
      <x:c r="Q899" s="43" t="str">
        <x:v>PIL01, FIS01</x:v>
      </x:c>
      <x:c r="R899" s="43" t="str">
        <x:v>Ejecutar la actividad y registrar resultado, responsables y duración real.</x:v>
      </x:c>
      <x:c r="S899" s="43" t="str">
        <x:v>Plan propuesto después del corte 06/10/2026; ninguna ejecución futura se considera realizada. Responsables y tiempos reales pendientes de captura. El despliegue está preparado por scripts, pero Cloud Run no se considera desplegado.</x:v>
      </x:c>
      <x:c r="T899" s="43" t="str">
        <x:v>S127, S010, S143, S144</x:v>
      </x:c>
      <x:c r="U899" s="43" t="str">
        <x:v>docs/implementation/tours-local-pilot-report.md
processing/tours/README.md
processing/tours/bootstrap.sh
processing/tours/deploy.sh</x:v>
      </x:c>
    </x:row>
    <x:row r="900" ht="56" customHeight="1">
      <x:c r="A900" s="42" t="str">
        <x:v>QA02.001</x:v>
      </x:c>
      <x:c r="B900" s="42" t="str">
        <x:v>Pruebas reales pendientes de acceso, medios y ubicación</x:v>
      </x:c>
      <x:c r="C900" s="42" t="str">
        <x:v>QA02</x:v>
      </x:c>
      <x:c r="D900" s="43" t="str">
        <x:v>Registrar cuenta con un correo nuevo propio</x:v>
      </x:c>
      <x:c r="E900" s="43" t="str">
        <x:v>Comprobar entrega de OTP además de respuesta aceptada.</x:v>
      </x:c>
      <x:c r="F900" s="43" t="str">
        <x:v>Pendiente</x:v>
      </x:c>
      <x:c r="G900" s="44" t="n">
        <x:v>46327</x:v>
      </x:c>
      <x:c r="H900" s="44" t="n">
        <x:v>46333</x:v>
      </x:c>
      <x:c r="I900" s="45" t="n">
        <x:f>IF(OR(G900="",H900=""),"",SUMPRODUCT(('Cronograma'!$F$8:$P$8&lt;=H900)*('Cronograma'!$F$9:$P$9&gt;=G900)))</x:f>
        <x:v>1</x:v>
      </x:c>
      <x:c r="J900" s="46"/>
      <x:c r="K900" s="46"/>
      <x:c r="L900" s="47"/>
      <x:c r="M900" s="48" t="str"/>
      <x:c r="N900" s="48" t="str"/>
      <x:c r="O900" s="49"/>
      <x:c r="P900" s="43" t="str">
        <x:v>Plan propuesto, sin ejecución</x:v>
      </x:c>
      <x:c r="Q900" s="43" t="str">
        <x:v>ACC04, MAP01, PUS04</x:v>
      </x:c>
      <x:c r="R900" s="43" t="str">
        <x:v>Ejecutar la actividad y registrar resultado, responsables y duración real.</x:v>
      </x:c>
      <x:c r="S900" s="43" t="str">
        <x:v>Plan propuesto después del corte 06/10/2026; ninguna ejecución futura se considera realizada. Responsables y tiempos reales pendientes de captura.</x:v>
      </x:c>
      <x:c r="T900" s="43" t="str">
        <x:v>S054, S026, S007, S050</x:v>
      </x:c>
      <x:c r="U900" s="43" t="str">
        <x:v>docs/email-setup.md
docs/deployment-status.md
docs/map.md
docs/access-redesign.md</x:v>
      </x:c>
    </x:row>
    <x:row r="901" ht="56" customHeight="1">
      <x:c r="A901" s="42" t="str">
        <x:v>QA02.002</x:v>
      </x:c>
      <x:c r="B901" s="42" t="str">
        <x:v>Pruebas reales pendientes de acceso, medios y ubicación</x:v>
      </x:c>
      <x:c r="C901" s="42" t="str">
        <x:v>QA02</x:v>
      </x:c>
      <x:c r="D901" s="43" t="str">
        <x:v>Completar confirmación con OTP recibido</x:v>
      </x:c>
      <x:c r="E901" s="43" t="str">
        <x:v>Verificar acceso desde el código real.</x:v>
      </x:c>
      <x:c r="F901" s="43" t="str">
        <x:v>Pendiente</x:v>
      </x:c>
      <x:c r="G901" s="44" t="n">
        <x:v>46327</x:v>
      </x:c>
      <x:c r="H901" s="44" t="n">
        <x:v>46333</x:v>
      </x:c>
      <x:c r="I901" s="45" t="n">
        <x:f>IF(OR(G901="",H901=""),"",SUMPRODUCT(('Cronograma'!$F$8:$P$8&lt;=H901)*('Cronograma'!$F$9:$P$9&gt;=G901)))</x:f>
        <x:v>1</x:v>
      </x:c>
      <x:c r="J901" s="46"/>
      <x:c r="K901" s="46"/>
      <x:c r="L901" s="47"/>
      <x:c r="M901" s="48" t="str"/>
      <x:c r="N901" s="48" t="str"/>
      <x:c r="O901" s="49"/>
      <x:c r="P901" s="43" t="str">
        <x:v>Plan propuesto, sin ejecución</x:v>
      </x:c>
      <x:c r="Q901" s="43" t="str">
        <x:v>ACC04, MAP01, PUS04</x:v>
      </x:c>
      <x:c r="R901" s="43" t="str">
        <x:v>Ejecutar la actividad y registrar resultado, responsables y duración real.</x:v>
      </x:c>
      <x:c r="S901" s="43" t="str">
        <x:v>Plan propuesto después del corte 06/10/2026; ninguna ejecución futura se considera realizada. Responsables y tiempos reales pendientes de captura.</x:v>
      </x:c>
      <x:c r="T901" s="43" t="str">
        <x:v>S054, S026, S007, S050</x:v>
      </x:c>
      <x:c r="U901" s="43" t="str">
        <x:v>docs/email-setup.md
docs/deployment-status.md
docs/map.md
docs/access-redesign.md</x:v>
      </x:c>
    </x:row>
    <x:row r="902" ht="56" customHeight="1">
      <x:c r="A902" s="42" t="str">
        <x:v>QA02.003</x:v>
      </x:c>
      <x:c r="B902" s="42" t="str">
        <x:v>Pruebas reales pendientes de acceso, medios y ubicación</x:v>
      </x:c>
      <x:c r="C902" s="42" t="str">
        <x:v>QA02</x:v>
      </x:c>
      <x:c r="D902" s="43" t="str">
        <x:v>Solicitar y recibir recuperación real</x:v>
      </x:c>
      <x:c r="E902" s="43" t="str">
        <x:v>Probar entrega de código nuevo por SMTP.</x:v>
      </x:c>
      <x:c r="F902" s="43" t="str">
        <x:v>Pendiente</x:v>
      </x:c>
      <x:c r="G902" s="44" t="n">
        <x:v>46327</x:v>
      </x:c>
      <x:c r="H902" s="44" t="n">
        <x:v>46333</x:v>
      </x:c>
      <x:c r="I902" s="45" t="n">
        <x:f>IF(OR(G902="",H902=""),"",SUMPRODUCT(('Cronograma'!$F$8:$P$8&lt;=H902)*('Cronograma'!$F$9:$P$9&gt;=G902)))</x:f>
        <x:v>1</x:v>
      </x:c>
      <x:c r="J902" s="46"/>
      <x:c r="K902" s="46"/>
      <x:c r="L902" s="47"/>
      <x:c r="M902" s="48" t="str"/>
      <x:c r="N902" s="48" t="str"/>
      <x:c r="O902" s="49"/>
      <x:c r="P902" s="43" t="str">
        <x:v>Plan propuesto, sin ejecución</x:v>
      </x:c>
      <x:c r="Q902" s="43" t="str">
        <x:v>ACC04, MAP01, PUS04</x:v>
      </x:c>
      <x:c r="R902" s="43" t="str">
        <x:v>Ejecutar la actividad y registrar resultado, responsables y duración real.</x:v>
      </x:c>
      <x:c r="S902" s="43" t="str">
        <x:v>Plan propuesto después del corte 06/10/2026; ninguna ejecución futura se considera realizada. Responsables y tiempos reales pendientes de captura.</x:v>
      </x:c>
      <x:c r="T902" s="43" t="str">
        <x:v>S054, S026, S007, S050</x:v>
      </x:c>
      <x:c r="U902" s="43" t="str">
        <x:v>docs/email-setup.md
docs/deployment-status.md
docs/map.md
docs/access-redesign.md</x:v>
      </x:c>
    </x:row>
    <x:row r="903" ht="56" customHeight="1">
      <x:c r="A903" s="42" t="str">
        <x:v>QA02.004</x:v>
      </x:c>
      <x:c r="B903" s="42" t="str">
        <x:v>Pruebas reales pendientes de acceso, medios y ubicación</x:v>
      </x:c>
      <x:c r="C903" s="42" t="str">
        <x:v>QA02</x:v>
      </x:c>
      <x:c r="D903" s="43" t="str">
        <x:v>Cambiar contraseña con código recuperado</x:v>
      </x:c>
      <x:c r="E903" s="43" t="str">
        <x:v>Comprobar login posterior con nueva contraseña.</x:v>
      </x:c>
      <x:c r="F903" s="43" t="str">
        <x:v>Pendiente</x:v>
      </x:c>
      <x:c r="G903" s="44" t="n">
        <x:v>46327</x:v>
      </x:c>
      <x:c r="H903" s="44" t="n">
        <x:v>46333</x:v>
      </x:c>
      <x:c r="I903" s="45" t="n">
        <x:f>IF(OR(G903="",H903=""),"",SUMPRODUCT(('Cronograma'!$F$8:$P$8&lt;=H903)*('Cronograma'!$F$9:$P$9&gt;=G903)))</x:f>
        <x:v>1</x:v>
      </x:c>
      <x:c r="J903" s="46"/>
      <x:c r="K903" s="46"/>
      <x:c r="L903" s="47"/>
      <x:c r="M903" s="48" t="str"/>
      <x:c r="N903" s="48" t="str"/>
      <x:c r="O903" s="49"/>
      <x:c r="P903" s="43" t="str">
        <x:v>Plan propuesto, sin ejecución</x:v>
      </x:c>
      <x:c r="Q903" s="43" t="str">
        <x:v>ACC04, MAP01, PUS04</x:v>
      </x:c>
      <x:c r="R903" s="43" t="str">
        <x:v>Ejecutar la actividad y registrar resultado, responsables y duración real.</x:v>
      </x:c>
      <x:c r="S903" s="43" t="str">
        <x:v>Plan propuesto después del corte 06/10/2026; ninguna ejecución futura se considera realizada. Responsables y tiempos reales pendientes de captura.</x:v>
      </x:c>
      <x:c r="T903" s="43" t="str">
        <x:v>S054, S026, S007, S050</x:v>
      </x:c>
      <x:c r="U903" s="43" t="str">
        <x:v>docs/email-setup.md
docs/deployment-status.md
docs/map.md
docs/access-redesign.md</x:v>
      </x:c>
    </x:row>
    <x:row r="904" ht="56" customHeight="1">
      <x:c r="A904" s="42" t="str">
        <x:v>QA02.005</x:v>
      </x:c>
      <x:c r="B904" s="42" t="str">
        <x:v>Pruebas reales pendientes de acceso, medios y ubicación</x:v>
      </x:c>
      <x:c r="C904" s="42" t="str">
        <x:v>QA02</x:v>
      </x:c>
      <x:c r="D904" s="43" t="str">
        <x:v>Probar código incorrecto y reutilizado</x:v>
      </x:c>
      <x:c r="E904" s="43" t="str">
        <x:v>No conceder acceso fuera del flujo válido.</x:v>
      </x:c>
      <x:c r="F904" s="43" t="str">
        <x:v>Pendiente</x:v>
      </x:c>
      <x:c r="G904" s="44" t="n">
        <x:v>46327</x:v>
      </x:c>
      <x:c r="H904" s="44" t="n">
        <x:v>46333</x:v>
      </x:c>
      <x:c r="I904" s="45" t="n">
        <x:f>IF(OR(G904="",H904=""),"",SUMPRODUCT(('Cronograma'!$F$8:$P$8&lt;=H904)*('Cronograma'!$F$9:$P$9&gt;=G904)))</x:f>
        <x:v>1</x:v>
      </x:c>
      <x:c r="J904" s="46"/>
      <x:c r="K904" s="46"/>
      <x:c r="L904" s="47"/>
      <x:c r="M904" s="48" t="str"/>
      <x:c r="N904" s="48" t="str"/>
      <x:c r="O904" s="49"/>
      <x:c r="P904" s="43" t="str">
        <x:v>Plan propuesto, sin ejecución</x:v>
      </x:c>
      <x:c r="Q904" s="43" t="str">
        <x:v>ACC04, MAP01, PUS04</x:v>
      </x:c>
      <x:c r="R904" s="43" t="str">
        <x:v>Ejecutar la actividad y registrar resultado, responsables y duración real.</x:v>
      </x:c>
      <x:c r="S904" s="43" t="str">
        <x:v>Plan propuesto después del corte 06/10/2026; ninguna ejecución futura se considera realizada. Responsables y tiempos reales pendientes de captura.</x:v>
      </x:c>
      <x:c r="T904" s="43" t="str">
        <x:v>S054, S026, S007, S050</x:v>
      </x:c>
      <x:c r="U904" s="43" t="str">
        <x:v>docs/email-setup.md
docs/deployment-status.md
docs/map.md
docs/access-redesign.md</x:v>
      </x:c>
    </x:row>
    <x:row r="905" ht="56" customHeight="1">
      <x:c r="A905" s="42" t="str">
        <x:v>QA02.006</x:v>
      </x:c>
      <x:c r="B905" s="42" t="str">
        <x:v>Pruebas reales pendientes de acceso, medios y ubicación</x:v>
      </x:c>
      <x:c r="C905" s="42" t="str">
        <x:v>QA02</x:v>
      </x:c>
      <x:c r="D905" s="43" t="str">
        <x:v>Probar selección nativa de avatar y portada</x:v>
      </x:c>
      <x:c r="E905" s="43" t="str">
        <x:v>Comprobar galería física, vista previa y persistencia.</x:v>
      </x:c>
      <x:c r="F905" s="43" t="str">
        <x:v>Pendiente</x:v>
      </x:c>
      <x:c r="G905" s="44" t="n">
        <x:v>46327</x:v>
      </x:c>
      <x:c r="H905" s="44" t="n">
        <x:v>46333</x:v>
      </x:c>
      <x:c r="I905" s="45" t="n">
        <x:f>IF(OR(G905="",H905=""),"",SUMPRODUCT(('Cronograma'!$F$8:$P$8&lt;=H905)*('Cronograma'!$F$9:$P$9&gt;=G905)))</x:f>
        <x:v>1</x:v>
      </x:c>
      <x:c r="J905" s="46"/>
      <x:c r="K905" s="46"/>
      <x:c r="L905" s="47"/>
      <x:c r="M905" s="48" t="str"/>
      <x:c r="N905" s="48" t="str"/>
      <x:c r="O905" s="49"/>
      <x:c r="P905" s="43" t="str">
        <x:v>Plan propuesto, sin ejecución</x:v>
      </x:c>
      <x:c r="Q905" s="43" t="str">
        <x:v>ACC04, MAP01, PUS04</x:v>
      </x:c>
      <x:c r="R905" s="43" t="str">
        <x:v>Ejecutar la actividad y registrar resultado, responsables y duración real.</x:v>
      </x:c>
      <x:c r="S905" s="43" t="str">
        <x:v>Plan propuesto después del corte 06/10/2026; ninguna ejecución futura se considera realizada. Responsables y tiempos reales pendientes de captura.</x:v>
      </x:c>
      <x:c r="T905" s="43" t="str">
        <x:v>S054, S026, S007, S050</x:v>
      </x:c>
      <x:c r="U905" s="43" t="str">
        <x:v>docs/email-setup.md
docs/deployment-status.md
docs/map.md
docs/access-redesign.md</x:v>
      </x:c>
    </x:row>
    <x:row r="906" ht="56" customHeight="1">
      <x:c r="A906" s="42" t="str">
        <x:v>QA02.007</x:v>
      </x:c>
      <x:c r="B906" s="42" t="str">
        <x:v>Pruebas reales pendientes de acceso, medios y ubicación</x:v>
      </x:c>
      <x:c r="C906" s="42" t="str">
        <x:v>QA02</x:v>
      </x:c>
      <x:c r="D906" s="43" t="str">
        <x:v>Probar selección nativa de foto de post</x:v>
      </x:c>
      <x:c r="E906" s="43" t="str">
        <x:v>Validar permiso y upload desde teléfono.</x:v>
      </x:c>
      <x:c r="F906" s="43" t="str">
        <x:v>Pendiente</x:v>
      </x:c>
      <x:c r="G906" s="44" t="n">
        <x:v>46327</x:v>
      </x:c>
      <x:c r="H906" s="44" t="n">
        <x:v>46333</x:v>
      </x:c>
      <x:c r="I906" s="45" t="n">
        <x:f>IF(OR(G906="",H906=""),"",SUMPRODUCT(('Cronograma'!$F$8:$P$8&lt;=H906)*('Cronograma'!$F$9:$P$9&gt;=G906)))</x:f>
        <x:v>1</x:v>
      </x:c>
      <x:c r="J906" s="46"/>
      <x:c r="K906" s="46"/>
      <x:c r="L906" s="47"/>
      <x:c r="M906" s="48" t="str"/>
      <x:c r="N906" s="48" t="str"/>
      <x:c r="O906" s="49"/>
      <x:c r="P906" s="43" t="str">
        <x:v>Plan propuesto, sin ejecución</x:v>
      </x:c>
      <x:c r="Q906" s="43" t="str">
        <x:v>ACC04, MAP01, PUS04</x:v>
      </x:c>
      <x:c r="R906" s="43" t="str">
        <x:v>Ejecutar la actividad y registrar resultado, responsables y duración real.</x:v>
      </x:c>
      <x:c r="S906" s="43" t="str">
        <x:v>Plan propuesto después del corte 06/10/2026; ninguna ejecución futura se considera realizada. Responsables y tiempos reales pendientes de captura.</x:v>
      </x:c>
      <x:c r="T906" s="43" t="str">
        <x:v>S054, S026, S007, S050</x:v>
      </x:c>
      <x:c r="U906" s="43" t="str">
        <x:v>docs/email-setup.md
docs/deployment-status.md
docs/map.md
docs/access-redesign.md</x:v>
      </x:c>
    </x:row>
    <x:row r="907" ht="56" customHeight="1">
      <x:c r="A907" s="42" t="str">
        <x:v>QA02.008</x:v>
      </x:c>
      <x:c r="B907" s="42" t="str">
        <x:v>Pruebas reales pendientes de acceso, medios y ubicación</x:v>
      </x:c>
      <x:c r="C907" s="42" t="str">
        <x:v>QA02</x:v>
      </x:c>
      <x:c r="D907" s="43" t="str">
        <x:v>Probar GPS y permiso en mapa físico</x:v>
      </x:c>
      <x:c r="E907" s="43" t="str">
        <x:v>Comprobar exactitud, rechazo y servicios desactivados.</x:v>
      </x:c>
      <x:c r="F907" s="43" t="str">
        <x:v>Pendiente</x:v>
      </x:c>
      <x:c r="G907" s="44" t="n">
        <x:v>46327</x:v>
      </x:c>
      <x:c r="H907" s="44" t="n">
        <x:v>46333</x:v>
      </x:c>
      <x:c r="I907" s="45" t="n">
        <x:f>IF(OR(G907="",H907=""),"",SUMPRODUCT(('Cronograma'!$F$8:$P$8&lt;=H907)*('Cronograma'!$F$9:$P$9&gt;=G907)))</x:f>
        <x:v>1</x:v>
      </x:c>
      <x:c r="J907" s="46"/>
      <x:c r="K907" s="46"/>
      <x:c r="L907" s="47"/>
      <x:c r="M907" s="48" t="str"/>
      <x:c r="N907" s="48" t="str"/>
      <x:c r="O907" s="49"/>
      <x:c r="P907" s="43" t="str">
        <x:v>Plan propuesto, sin ejecución</x:v>
      </x:c>
      <x:c r="Q907" s="43" t="str">
        <x:v>ACC04, MAP01, PUS04</x:v>
      </x:c>
      <x:c r="R907" s="43" t="str">
        <x:v>Ejecutar la actividad y registrar resultado, responsables y duración real.</x:v>
      </x:c>
      <x:c r="S907" s="43" t="str">
        <x:v>Plan propuesto después del corte 06/10/2026; ninguna ejecución futura se considera realizada. Responsables y tiempos reales pendientes de captura.</x:v>
      </x:c>
      <x:c r="T907" s="43" t="str">
        <x:v>S054, S026, S007, S050</x:v>
      </x:c>
      <x:c r="U907" s="43" t="str">
        <x:v>docs/email-setup.md
docs/deployment-status.md
docs/map.md
docs/access-redesign.md</x:v>
      </x:c>
    </x:row>
    <x:row r="908" ht="56" customHeight="1">
      <x:c r="A908" s="42" t="str">
        <x:v>QA02.009</x:v>
      </x:c>
      <x:c r="B908" s="42" t="str">
        <x:v>Pruebas reales pendientes de acceso, medios y ubicación</x:v>
      </x:c>
      <x:c r="C908" s="42" t="str">
        <x:v>QA02</x:v>
      </x:c>
      <x:c r="D908" s="43" t="str">
        <x:v>Probar teclado físico en registro y compositor</x:v>
      </x:c>
      <x:c r="E908" s="43" t="str">
        <x:v>Verificar controles visibles con teclado real.</x:v>
      </x:c>
      <x:c r="F908" s="43" t="str">
        <x:v>Pendiente</x:v>
      </x:c>
      <x:c r="G908" s="44" t="n">
        <x:v>46327</x:v>
      </x:c>
      <x:c r="H908" s="44" t="n">
        <x:v>46333</x:v>
      </x:c>
      <x:c r="I908" s="45" t="n">
        <x:f>IF(OR(G908="",H908=""),"",SUMPRODUCT(('Cronograma'!$F$8:$P$8&lt;=H908)*('Cronograma'!$F$9:$P$9&gt;=G908)))</x:f>
        <x:v>1</x:v>
      </x:c>
      <x:c r="J908" s="46"/>
      <x:c r="K908" s="46"/>
      <x:c r="L908" s="47"/>
      <x:c r="M908" s="48" t="str"/>
      <x:c r="N908" s="48" t="str"/>
      <x:c r="O908" s="49"/>
      <x:c r="P908" s="43" t="str">
        <x:v>Plan propuesto, sin ejecución</x:v>
      </x:c>
      <x:c r="Q908" s="43" t="str">
        <x:v>ACC04, MAP01, PUS04</x:v>
      </x:c>
      <x:c r="R908" s="43" t="str">
        <x:v>Ejecutar la actividad y registrar resultado, responsables y duración real.</x:v>
      </x:c>
      <x:c r="S908" s="43" t="str">
        <x:v>Plan propuesto después del corte 06/10/2026; ninguna ejecución futura se considera realizada. Responsables y tiempos reales pendientes de captura.</x:v>
      </x:c>
      <x:c r="T908" s="43" t="str">
        <x:v>S054, S026, S007, S050</x:v>
      </x:c>
      <x:c r="U908" s="43" t="str">
        <x:v>docs/email-setup.md
docs/deployment-status.md
docs/map.md
docs/access-redesign.md</x:v>
      </x:c>
    </x:row>
    <x:row r="909" ht="56" customHeight="1">
      <x:c r="A909" s="42" t="str">
        <x:v>QA02.010</x:v>
      </x:c>
      <x:c r="B909" s="42" t="str">
        <x:v>Pruebas reales pendientes de acceso, medios y ubicación</x:v>
      </x:c>
      <x:c r="C909" s="42" t="str">
        <x:v>QA02</x:v>
      </x:c>
      <x:c r="D909" s="43" t="str">
        <x:v>Probar lector de pantalla en destinos principales</x:v>
      </x:c>
      <x:c r="E909" s="43" t="str">
        <x:v>Comprobar etiquetas y orden de foco del dispositivo.</x:v>
      </x:c>
      <x:c r="F909" s="43" t="str">
        <x:v>Pendiente</x:v>
      </x:c>
      <x:c r="G909" s="44" t="n">
        <x:v>46327</x:v>
      </x:c>
      <x:c r="H909" s="44" t="n">
        <x:v>46333</x:v>
      </x:c>
      <x:c r="I909" s="45" t="n">
        <x:f>IF(OR(G909="",H909=""),"",SUMPRODUCT(('Cronograma'!$F$8:$P$8&lt;=H909)*('Cronograma'!$F$9:$P$9&gt;=G909)))</x:f>
        <x:v>1</x:v>
      </x:c>
      <x:c r="J909" s="46"/>
      <x:c r="K909" s="46"/>
      <x:c r="L909" s="47"/>
      <x:c r="M909" s="48" t="str"/>
      <x:c r="N909" s="48" t="str"/>
      <x:c r="O909" s="49"/>
      <x:c r="P909" s="43" t="str">
        <x:v>Plan propuesto, sin ejecución</x:v>
      </x:c>
      <x:c r="Q909" s="43" t="str">
        <x:v>ACC04, MAP01, PUS04</x:v>
      </x:c>
      <x:c r="R909" s="43" t="str">
        <x:v>Ejecutar la actividad y registrar resultado, responsables y duración real.</x:v>
      </x:c>
      <x:c r="S909" s="43" t="str">
        <x:v>Plan propuesto después del corte 06/10/2026; ninguna ejecución futura se considera realizada. Responsables y tiempos reales pendientes de captura.</x:v>
      </x:c>
      <x:c r="T909" s="43" t="str">
        <x:v>S054, S026, S007, S050</x:v>
      </x:c>
      <x:c r="U909" s="43" t="str">
        <x:v>docs/email-setup.md
docs/deployment-status.md
docs/map.md
docs/access-redesign.md</x:v>
      </x:c>
    </x:row>
    <x:row r="910" ht="44" customHeight="1">
      <x:c r="A910" s="42" t="str">
        <x:v>QA03.001</x:v>
      </x:c>
      <x:c r="B910" s="42" t="str">
        <x:v>Matriz física adicional de push y regresión integrada</x:v>
      </x:c>
      <x:c r="C910" s="42" t="str">
        <x:v>QA03</x:v>
      </x:c>
      <x:c r="D910" s="43" t="str">
        <x:v>Probar permiso push denegado físicamente</x:v>
      </x:c>
      <x:c r="E910" s="43" t="str">
        <x:v>Mantener bandeja y ajustes disponibles.</x:v>
      </x:c>
      <x:c r="F910" s="43" t="str">
        <x:v>Pendiente</x:v>
      </x:c>
      <x:c r="G910" s="44" t="n">
        <x:v>46327</x:v>
      </x:c>
      <x:c r="H910" s="44" t="n">
        <x:v>46333</x:v>
      </x:c>
      <x:c r="I910" s="45" t="n">
        <x:f>IF(OR(G910="",H910=""),"",SUMPRODUCT(('Cronograma'!$F$8:$P$8&lt;=H910)*('Cronograma'!$F$9:$P$9&gt;=G910)))</x:f>
        <x:v>1</x:v>
      </x:c>
      <x:c r="J910" s="46"/>
      <x:c r="K910" s="46"/>
      <x:c r="L910" s="47"/>
      <x:c r="M910" s="48" t="str"/>
      <x:c r="N910" s="48" t="str"/>
      <x:c r="O910" s="49"/>
      <x:c r="P910" s="43" t="str">
        <x:v>Plan propuesto, sin ejecución</x:v>
      </x:c>
      <x:c r="Q910" s="43" t="str">
        <x:v>PUS04, COR01, CLO01</x:v>
      </x:c>
      <x:c r="R910" s="43" t="str">
        <x:v>Ejecutar la actividad y registrar resultado, responsables y duración real.</x:v>
      </x:c>
      <x:c r="S910" s="43" t="str">
        <x:v>Plan propuesto después del corte 06/10/2026; ninguna ejecución futura se considera realizada. Responsables y tiempos reales pendientes de captura.</x:v>
      </x:c>
      <x:c r="T910" s="43" t="str">
        <x:v>S101, S127, S069</x:v>
      </x:c>
      <x:c r="U910" s="43" t="str">
        <x:v>docs/android-push.md
docs/implementation/tours-local-pilot-report.md
docs/home-social-v7-integration.md</x:v>
      </x:c>
    </x:row>
    <x:row r="911" ht="44" customHeight="1">
      <x:c r="A911" s="42" t="str">
        <x:v>QA03.002</x:v>
      </x:c>
      <x:c r="B911" s="42" t="str">
        <x:v>Matriz física adicional de push y regresión integrada</x:v>
      </x:c>
      <x:c r="C911" s="42" t="str">
        <x:v>QA03</x:v>
      </x:c>
      <x:c r="D911" s="43" t="str">
        <x:v>Probar recuperación de permiso desde ajustes</x:v>
      </x:c>
      <x:c r="E911" s="43" t="str">
        <x:v>Registrar dispositivo solo cuando permiso sea válido.</x:v>
      </x:c>
      <x:c r="F911" s="43" t="str">
        <x:v>Pendiente</x:v>
      </x:c>
      <x:c r="G911" s="44" t="n">
        <x:v>46327</x:v>
      </x:c>
      <x:c r="H911" s="44" t="n">
        <x:v>46333</x:v>
      </x:c>
      <x:c r="I911" s="45" t="n">
        <x:f>IF(OR(G911="",H911=""),"",SUMPRODUCT(('Cronograma'!$F$8:$P$8&lt;=H911)*('Cronograma'!$F$9:$P$9&gt;=G911)))</x:f>
        <x:v>1</x:v>
      </x:c>
      <x:c r="J911" s="46"/>
      <x:c r="K911" s="46"/>
      <x:c r="L911" s="47"/>
      <x:c r="M911" s="48" t="str"/>
      <x:c r="N911" s="48" t="str"/>
      <x:c r="O911" s="49"/>
      <x:c r="P911" s="43" t="str">
        <x:v>Plan propuesto, sin ejecución</x:v>
      </x:c>
      <x:c r="Q911" s="43" t="str">
        <x:v>PUS04, COR01, CLO01</x:v>
      </x:c>
      <x:c r="R911" s="43" t="str">
        <x:v>Ejecutar la actividad y registrar resultado, responsables y duración real.</x:v>
      </x:c>
      <x:c r="S911" s="43" t="str">
        <x:v>Plan propuesto después del corte 06/10/2026; ninguna ejecución futura se considera realizada. Responsables y tiempos reales pendientes de captura.</x:v>
      </x:c>
      <x:c r="T911" s="43" t="str">
        <x:v>S101, S127, S069</x:v>
      </x:c>
      <x:c r="U911" s="43" t="str">
        <x:v>docs/android-push.md
docs/implementation/tours-local-pilot-report.md
docs/home-social-v7-integration.md</x:v>
      </x:c>
    </x:row>
    <x:row r="912" ht="44" customHeight="1">
      <x:c r="A912" s="42" t="str">
        <x:v>QA03.003</x:v>
      </x:c>
      <x:c r="B912" s="42" t="str">
        <x:v>Matriz física adicional de push y regresión integrada</x:v>
      </x:c>
      <x:c r="C912" s="42" t="str">
        <x:v>QA03</x:v>
      </x:c>
      <x:c r="D912" s="43" t="str">
        <x:v>Probar cambio de cuenta con push físico</x:v>
      </x:c>
      <x:c r="E912" s="43" t="str">
        <x:v>No abrir contenido ni registrar token en cuenta anterior.</x:v>
      </x:c>
      <x:c r="F912" s="43" t="str">
        <x:v>Pendiente</x:v>
      </x:c>
      <x:c r="G912" s="44" t="n">
        <x:v>46327</x:v>
      </x:c>
      <x:c r="H912" s="44" t="n">
        <x:v>46333</x:v>
      </x:c>
      <x:c r="I912" s="45" t="n">
        <x:f>IF(OR(G912="",H912=""),"",SUMPRODUCT(('Cronograma'!$F$8:$P$8&lt;=H912)*('Cronograma'!$F$9:$P$9&gt;=G912)))</x:f>
        <x:v>1</x:v>
      </x:c>
      <x:c r="J912" s="46"/>
      <x:c r="K912" s="46"/>
      <x:c r="L912" s="47"/>
      <x:c r="M912" s="48" t="str"/>
      <x:c r="N912" s="48" t="str"/>
      <x:c r="O912" s="49"/>
      <x:c r="P912" s="43" t="str">
        <x:v>Plan propuesto, sin ejecución</x:v>
      </x:c>
      <x:c r="Q912" s="43" t="str">
        <x:v>PUS04, COR01, CLO01</x:v>
      </x:c>
      <x:c r="R912" s="43" t="str">
        <x:v>Ejecutar la actividad y registrar resultado, responsables y duración real.</x:v>
      </x:c>
      <x:c r="S912" s="43" t="str">
        <x:v>Plan propuesto después del corte 06/10/2026; ninguna ejecución futura se considera realizada. Responsables y tiempos reales pendientes de captura.</x:v>
      </x:c>
      <x:c r="T912" s="43" t="str">
        <x:v>S101, S127, S069</x:v>
      </x:c>
      <x:c r="U912" s="43" t="str">
        <x:v>docs/android-push.md
docs/implementation/tours-local-pilot-report.md
docs/home-social-v7-integration.md</x:v>
      </x:c>
    </x:row>
    <x:row r="913" ht="44" customHeight="1">
      <x:c r="A913" s="42" t="str">
        <x:v>QA03.004</x:v>
      </x:c>
      <x:c r="B913" s="42" t="str">
        <x:v>Matriz física adicional de push y regresión integrada</x:v>
      </x:c>
      <x:c r="C913" s="42" t="str">
        <x:v>QA03</x:v>
      </x:c>
      <x:c r="D913" s="43" t="str">
        <x:v>Probar renovación real del token</x:v>
      </x:c>
      <x:c r="E913" s="43" t="str">
        <x:v>Comprobar versión nueva sin desactivar registro vigente.</x:v>
      </x:c>
      <x:c r="F913" s="43" t="str">
        <x:v>Pendiente</x:v>
      </x:c>
      <x:c r="G913" s="44" t="n">
        <x:v>46327</x:v>
      </x:c>
      <x:c r="H913" s="44" t="n">
        <x:v>46333</x:v>
      </x:c>
      <x:c r="I913" s="45" t="n">
        <x:f>IF(OR(G913="",H913=""),"",SUMPRODUCT(('Cronograma'!$F$8:$P$8&lt;=H913)*('Cronograma'!$F$9:$P$9&gt;=G913)))</x:f>
        <x:v>1</x:v>
      </x:c>
      <x:c r="J913" s="46"/>
      <x:c r="K913" s="46"/>
      <x:c r="L913" s="47"/>
      <x:c r="M913" s="48" t="str"/>
      <x:c r="N913" s="48" t="str"/>
      <x:c r="O913" s="49"/>
      <x:c r="P913" s="43" t="str">
        <x:v>Plan propuesto, sin ejecución</x:v>
      </x:c>
      <x:c r="Q913" s="43" t="str">
        <x:v>PUS04, COR01, CLO01</x:v>
      </x:c>
      <x:c r="R913" s="43" t="str">
        <x:v>Ejecutar la actividad y registrar resultado, responsables y duración real.</x:v>
      </x:c>
      <x:c r="S913" s="43" t="str">
        <x:v>Plan propuesto después del corte 06/10/2026; ninguna ejecución futura se considera realizada. Responsables y tiempos reales pendientes de captura.</x:v>
      </x:c>
      <x:c r="T913" s="43" t="str">
        <x:v>S101, S127, S069</x:v>
      </x:c>
      <x:c r="U913" s="43" t="str">
        <x:v>docs/android-push.md
docs/implementation/tours-local-pilot-report.md
docs/home-social-v7-integration.md</x:v>
      </x:c>
    </x:row>
    <x:row r="914" ht="44" customHeight="1">
      <x:c r="A914" s="42" t="str">
        <x:v>QA03.005</x:v>
      </x:c>
      <x:c r="B914" s="42" t="str">
        <x:v>Matriz física adicional de push y regresión integrada</x:v>
      </x:c>
      <x:c r="C914" s="42" t="str">
        <x:v>QA03</x:v>
      </x:c>
      <x:c r="D914" s="43" t="str">
        <x:v>Probar logout sin conexión en teléfono</x:v>
      </x:c>
      <x:c r="E914" s="43" t="str">
        <x:v>Verificar recuperación y separación de identidad.</x:v>
      </x:c>
      <x:c r="F914" s="43" t="str">
        <x:v>Pendiente</x:v>
      </x:c>
      <x:c r="G914" s="44" t="n">
        <x:v>46327</x:v>
      </x:c>
      <x:c r="H914" s="44" t="n">
        <x:v>46333</x:v>
      </x:c>
      <x:c r="I914" s="45" t="n">
        <x:f>IF(OR(G914="",H914=""),"",SUMPRODUCT(('Cronograma'!$F$8:$P$8&lt;=H914)*('Cronograma'!$F$9:$P$9&gt;=G914)))</x:f>
        <x:v>1</x:v>
      </x:c>
      <x:c r="J914" s="46"/>
      <x:c r="K914" s="46"/>
      <x:c r="L914" s="47"/>
      <x:c r="M914" s="48" t="str"/>
      <x:c r="N914" s="48" t="str"/>
      <x:c r="O914" s="49"/>
      <x:c r="P914" s="43" t="str">
        <x:v>Plan propuesto, sin ejecución</x:v>
      </x:c>
      <x:c r="Q914" s="43" t="str">
        <x:v>PUS04, COR01, CLO01</x:v>
      </x:c>
      <x:c r="R914" s="43" t="str">
        <x:v>Ejecutar la actividad y registrar resultado, responsables y duración real.</x:v>
      </x:c>
      <x:c r="S914" s="43" t="str">
        <x:v>Plan propuesto después del corte 06/10/2026; ninguna ejecución futura se considera realizada. Responsables y tiempos reales pendientes de captura.</x:v>
      </x:c>
      <x:c r="T914" s="43" t="str">
        <x:v>S101, S127, S069</x:v>
      </x:c>
      <x:c r="U914" s="43" t="str">
        <x:v>docs/android-push.md
docs/implementation/tours-local-pilot-report.md
docs/home-social-v7-integration.md</x:v>
      </x:c>
    </x:row>
    <x:row r="915" ht="44" customHeight="1">
      <x:c r="A915" s="42" t="str">
        <x:v>QA03.006</x:v>
      </x:c>
      <x:c r="B915" s="42" t="str">
        <x:v>Matriz física adicional de push y regresión integrada</x:v>
      </x:c>
      <x:c r="C915" s="42" t="str">
        <x:v>QA03</x:v>
      </x:c>
      <x:c r="D915" s="43" t="str">
        <x:v>Probar contenido eliminado desde aviso</x:v>
      </x:c>
      <x:c r="E915" s="43" t="str">
        <x:v>Abrir estado explicativo y conservar navegación.</x:v>
      </x:c>
      <x:c r="F915" s="43" t="str">
        <x:v>Pendiente</x:v>
      </x:c>
      <x:c r="G915" s="44" t="n">
        <x:v>46327</x:v>
      </x:c>
      <x:c r="H915" s="44" t="n">
        <x:v>46333</x:v>
      </x:c>
      <x:c r="I915" s="45" t="n">
        <x:f>IF(OR(G915="",H915=""),"",SUMPRODUCT(('Cronograma'!$F$8:$P$8&lt;=H915)*('Cronograma'!$F$9:$P$9&gt;=G915)))</x:f>
        <x:v>1</x:v>
      </x:c>
      <x:c r="J915" s="46"/>
      <x:c r="K915" s="46"/>
      <x:c r="L915" s="47"/>
      <x:c r="M915" s="48" t="str"/>
      <x:c r="N915" s="48" t="str"/>
      <x:c r="O915" s="49"/>
      <x:c r="P915" s="43" t="str">
        <x:v>Plan propuesto, sin ejecución</x:v>
      </x:c>
      <x:c r="Q915" s="43" t="str">
        <x:v>PUS04, COR01, CLO01</x:v>
      </x:c>
      <x:c r="R915" s="43" t="str">
        <x:v>Ejecutar la actividad y registrar resultado, responsables y duración real.</x:v>
      </x:c>
      <x:c r="S915" s="43" t="str">
        <x:v>Plan propuesto después del corte 06/10/2026; ninguna ejecución futura se considera realizada. Responsables y tiempos reales pendientes de captura.</x:v>
      </x:c>
      <x:c r="T915" s="43" t="str">
        <x:v>S101, S127, S069</x:v>
      </x:c>
      <x:c r="U915" s="43" t="str">
        <x:v>docs/android-push.md
docs/implementation/tours-local-pilot-report.md
docs/home-social-v7-integration.md</x:v>
      </x:c>
    </x:row>
    <x:row r="916" ht="44" customHeight="1">
      <x:c r="A916" s="42" t="str">
        <x:v>QA03.007</x:v>
      </x:c>
      <x:c r="B916" s="42" t="str">
        <x:v>Matriz física adicional de push y regresión integrada</x:v>
      </x:c>
      <x:c r="C916" s="42" t="str">
        <x:v>QA03</x:v>
      </x:c>
      <x:c r="D916" s="43" t="str">
        <x:v>Probar preferencias de mensajes ocasionales</x:v>
      </x:c>
      <x:c r="E916" s="43" t="str">
        <x:v>Comprobar horario y cancelación con condiciones controladas.</x:v>
      </x:c>
      <x:c r="F916" s="43" t="str">
        <x:v>Pendiente</x:v>
      </x:c>
      <x:c r="G916" s="44" t="n">
        <x:v>46327</x:v>
      </x:c>
      <x:c r="H916" s="44" t="n">
        <x:v>46333</x:v>
      </x:c>
      <x:c r="I916" s="45" t="n">
        <x:f>IF(OR(G916="",H916=""),"",SUMPRODUCT(('Cronograma'!$F$8:$P$8&lt;=H916)*('Cronograma'!$F$9:$P$9&gt;=G916)))</x:f>
        <x:v>1</x:v>
      </x:c>
      <x:c r="J916" s="46"/>
      <x:c r="K916" s="46"/>
      <x:c r="L916" s="47"/>
      <x:c r="M916" s="48" t="str"/>
      <x:c r="N916" s="48" t="str"/>
      <x:c r="O916" s="49"/>
      <x:c r="P916" s="43" t="str">
        <x:v>Plan propuesto, sin ejecución</x:v>
      </x:c>
      <x:c r="Q916" s="43" t="str">
        <x:v>PUS04, COR01, CLO01</x:v>
      </x:c>
      <x:c r="R916" s="43" t="str">
        <x:v>Ejecutar la actividad y registrar resultado, responsables y duración real.</x:v>
      </x:c>
      <x:c r="S916" s="43" t="str">
        <x:v>Plan propuesto después del corte 06/10/2026; ninguna ejecución futura se considera realizada. Responsables y tiempos reales pendientes de captura.</x:v>
      </x:c>
      <x:c r="T916" s="43" t="str">
        <x:v>S101, S127, S069</x:v>
      </x:c>
      <x:c r="U916" s="43" t="str">
        <x:v>docs/android-push.md
docs/implementation/tours-local-pilot-report.md
docs/home-social-v7-integration.md</x:v>
      </x:c>
    </x:row>
    <x:row r="917" ht="44" customHeight="1">
      <x:c r="A917" s="42" t="str">
        <x:v>QA03.008</x:v>
      </x:c>
      <x:c r="B917" s="42" t="str">
        <x:v>Matriz física adicional de push y regresión integrada</x:v>
      </x:c>
      <x:c r="C917" s="42" t="str">
        <x:v>QA03</x:v>
      </x:c>
      <x:c r="D917" s="43" t="str">
        <x:v>Ejecutar regresión automática integrada</x:v>
      </x:c>
      <x:c r="E917" s="43" t="str">
        <x:v>Validar módulos afectados por correcciones nuevas.</x:v>
      </x:c>
      <x:c r="F917" s="43" t="str">
        <x:v>Pendiente</x:v>
      </x:c>
      <x:c r="G917" s="44" t="n">
        <x:v>46327</x:v>
      </x:c>
      <x:c r="H917" s="44" t="n">
        <x:v>46333</x:v>
      </x:c>
      <x:c r="I917" s="45" t="n">
        <x:f>IF(OR(G917="",H917=""),"",SUMPRODUCT(('Cronograma'!$F$8:$P$8&lt;=H917)*('Cronograma'!$F$9:$P$9&gt;=G917)))</x:f>
        <x:v>1</x:v>
      </x:c>
      <x:c r="J917" s="46"/>
      <x:c r="K917" s="46"/>
      <x:c r="L917" s="47"/>
      <x:c r="M917" s="48" t="str"/>
      <x:c r="N917" s="48" t="str"/>
      <x:c r="O917" s="49"/>
      <x:c r="P917" s="43" t="str">
        <x:v>Plan propuesto, sin ejecución</x:v>
      </x:c>
      <x:c r="Q917" s="43" t="str">
        <x:v>PUS04, COR01, CLO01</x:v>
      </x:c>
      <x:c r="R917" s="43" t="str">
        <x:v>Ejecutar la actividad y registrar resultado, responsables y duración real.</x:v>
      </x:c>
      <x:c r="S917" s="43" t="str">
        <x:v>Plan propuesto después del corte 06/10/2026; ninguna ejecución futura se considera realizada. Responsables y tiempos reales pendientes de captura.</x:v>
      </x:c>
      <x:c r="T917" s="43" t="str">
        <x:v>S101, S127, S069</x:v>
      </x:c>
      <x:c r="U917" s="43" t="str">
        <x:v>docs/android-push.md
docs/implementation/tours-local-pilot-report.md
docs/home-social-v7-integration.md</x:v>
      </x:c>
    </x:row>
    <x:row r="918" ht="44" customHeight="1">
      <x:c r="A918" s="42" t="str">
        <x:v>QA03.009</x:v>
      </x:c>
      <x:c r="B918" s="42" t="str">
        <x:v>Matriz física adicional de push y regresión integrada</x:v>
      </x:c>
      <x:c r="C918" s="42" t="str">
        <x:v>QA03</x:v>
      </x:c>
      <x:c r="D918" s="43" t="str">
        <x:v>Verificar contratos de backend al cierre</x:v>
      </x:c>
      <x:c r="E918" s="43" t="str">
        <x:v>Comparar migraciones, permisos y funciones desplegadas.</x:v>
      </x:c>
      <x:c r="F918" s="43" t="str">
        <x:v>Pendiente</x:v>
      </x:c>
      <x:c r="G918" s="44" t="n">
        <x:v>46327</x:v>
      </x:c>
      <x:c r="H918" s="44" t="n">
        <x:v>46333</x:v>
      </x:c>
      <x:c r="I918" s="45" t="n">
        <x:f>IF(OR(G918="",H918=""),"",SUMPRODUCT(('Cronograma'!$F$8:$P$8&lt;=H918)*('Cronograma'!$F$9:$P$9&gt;=G918)))</x:f>
        <x:v>1</x:v>
      </x:c>
      <x:c r="J918" s="46"/>
      <x:c r="K918" s="46"/>
      <x:c r="L918" s="47"/>
      <x:c r="M918" s="48" t="str"/>
      <x:c r="N918" s="48" t="str"/>
      <x:c r="O918" s="49"/>
      <x:c r="P918" s="43" t="str">
        <x:v>Plan propuesto, sin ejecución</x:v>
      </x:c>
      <x:c r="Q918" s="43" t="str">
        <x:v>PUS04, COR01, CLO01</x:v>
      </x:c>
      <x:c r="R918" s="43" t="str">
        <x:v>Ejecutar la actividad y registrar resultado, responsables y duración real.</x:v>
      </x:c>
      <x:c r="S918" s="43" t="str">
        <x:v>Plan propuesto después del corte 06/10/2026; ninguna ejecución futura se considera realizada. Responsables y tiempos reales pendientes de captura.</x:v>
      </x:c>
      <x:c r="T918" s="43" t="str">
        <x:v>S101, S127, S069</x:v>
      </x:c>
      <x:c r="U918" s="43" t="str">
        <x:v>docs/android-push.md
docs/implementation/tours-local-pilot-report.md
docs/home-social-v7-integration.md</x:v>
      </x:c>
    </x:row>
    <x:row r="919" ht="44" customHeight="1">
      <x:c r="A919" s="42" t="str">
        <x:v>QA03.010</x:v>
      </x:c>
      <x:c r="B919" s="42" t="str">
        <x:v>Matriz física adicional de push y regresión integrada</x:v>
      </x:c>
      <x:c r="C919" s="42" t="str">
        <x:v>QA03</x:v>
      </x:c>
      <x:c r="D919" s="43" t="str">
        <x:v>Probar rutas directas del build final</x:v>
      </x:c>
      <x:c r="E919" s="43" t="str">
        <x:v>Cubrir posts, misiones, fichas y recorridos tras acceso.</x:v>
      </x:c>
      <x:c r="F919" s="43" t="str">
        <x:v>Pendiente</x:v>
      </x:c>
      <x:c r="G919" s="44" t="n">
        <x:v>46327</x:v>
      </x:c>
      <x:c r="H919" s="44" t="n">
        <x:v>46333</x:v>
      </x:c>
      <x:c r="I919" s="45" t="n">
        <x:f>IF(OR(G919="",H919=""),"",SUMPRODUCT(('Cronograma'!$F$8:$P$8&lt;=H919)*('Cronograma'!$F$9:$P$9&gt;=G919)))</x:f>
        <x:v>1</x:v>
      </x:c>
      <x:c r="J919" s="46"/>
      <x:c r="K919" s="46"/>
      <x:c r="L919" s="47"/>
      <x:c r="M919" s="48" t="str"/>
      <x:c r="N919" s="48" t="str"/>
      <x:c r="O919" s="49"/>
      <x:c r="P919" s="43" t="str">
        <x:v>Plan propuesto, sin ejecución</x:v>
      </x:c>
      <x:c r="Q919" s="43" t="str">
        <x:v>PUS04, COR01, CLO01</x:v>
      </x:c>
      <x:c r="R919" s="43" t="str">
        <x:v>Ejecutar la actividad y registrar resultado, responsables y duración real.</x:v>
      </x:c>
      <x:c r="S919" s="43" t="str">
        <x:v>Plan propuesto después del corte 06/10/2026; ninguna ejecución futura se considera realizada. Responsables y tiempos reales pendientes de captura.</x:v>
      </x:c>
      <x:c r="T919" s="43" t="str">
        <x:v>S101, S127, S069</x:v>
      </x:c>
      <x:c r="U919" s="43" t="str">
        <x:v>docs/android-push.md
docs/implementation/tours-local-pilot-report.md
docs/home-social-v7-integration.md</x:v>
      </x:c>
    </x:row>
    <x:row r="920" ht="44" customHeight="1">
      <x:c r="A920" s="42" t="str">
        <x:v>QA03.011</x:v>
      </x:c>
      <x:c r="B920" s="42" t="str">
        <x:v>Matriz física adicional de push y regresión integrada</x:v>
      </x:c>
      <x:c r="C920" s="42" t="str">
        <x:v>QA03</x:v>
      </x:c>
      <x:c r="D920" s="43" t="str">
        <x:v>Probar aislamiento entre dos cuentas reales</x:v>
      </x:c>
      <x:c r="E920" s="43" t="str">
        <x:v>Cubrir preferencias, muestras, borradores y progreso.</x:v>
      </x:c>
      <x:c r="F920" s="43" t="str">
        <x:v>Pendiente</x:v>
      </x:c>
      <x:c r="G920" s="44" t="n">
        <x:v>46327</x:v>
      </x:c>
      <x:c r="H920" s="44" t="n">
        <x:v>46333</x:v>
      </x:c>
      <x:c r="I920" s="45" t="n">
        <x:f>IF(OR(G920="",H920=""),"",SUMPRODUCT(('Cronograma'!$F$8:$P$8&lt;=H920)*('Cronograma'!$F$9:$P$9&gt;=G920)))</x:f>
        <x:v>1</x:v>
      </x:c>
      <x:c r="J920" s="46"/>
      <x:c r="K920" s="46"/>
      <x:c r="L920" s="47"/>
      <x:c r="M920" s="48" t="str"/>
      <x:c r="N920" s="48" t="str"/>
      <x:c r="O920" s="49"/>
      <x:c r="P920" s="43" t="str">
        <x:v>Plan propuesto, sin ejecución</x:v>
      </x:c>
      <x:c r="Q920" s="43" t="str">
        <x:v>PUS04, COR01, CLO01</x:v>
      </x:c>
      <x:c r="R920" s="43" t="str">
        <x:v>Ejecutar la actividad y registrar resultado, responsables y duración real.</x:v>
      </x:c>
      <x:c r="S920" s="43" t="str">
        <x:v>Plan propuesto después del corte 06/10/2026; ninguna ejecución futura se considera realizada. Responsables y tiempos reales pendientes de captura.</x:v>
      </x:c>
      <x:c r="T920" s="43" t="str">
        <x:v>S101, S127, S069</x:v>
      </x:c>
      <x:c r="U920" s="43" t="str">
        <x:v>docs/android-push.md
docs/implementation/tours-local-pilot-report.md
docs/home-social-v7-integration.md</x:v>
      </x:c>
    </x:row>
    <x:row r="921" ht="44" customHeight="1">
      <x:c r="A921" s="42" t="str">
        <x:v>QA03.012</x:v>
      </x:c>
      <x:c r="B921" s="42" t="str">
        <x:v>Matriz física adicional de push y regresión integrada</x:v>
      </x:c>
      <x:c r="C921" s="42" t="str">
        <x:v>QA03</x:v>
      </x:c>
      <x:c r="D921" s="43" t="str">
        <x:v>Revisar interfaz móvil y escritorio final</x:v>
      </x:c>
      <x:c r="E921" s="43" t="str">
        <x:v>Comprobar texto ampliado, teclado y paneles.</x:v>
      </x:c>
      <x:c r="F921" s="43" t="str">
        <x:v>Pendiente</x:v>
      </x:c>
      <x:c r="G921" s="44" t="n">
        <x:v>46327</x:v>
      </x:c>
      <x:c r="H921" s="44" t="n">
        <x:v>46333</x:v>
      </x:c>
      <x:c r="I921" s="45" t="n">
        <x:f>IF(OR(G921="",H921=""),"",SUMPRODUCT(('Cronograma'!$F$8:$P$8&lt;=H921)*('Cronograma'!$F$9:$P$9&gt;=G921)))</x:f>
        <x:v>1</x:v>
      </x:c>
      <x:c r="J921" s="46"/>
      <x:c r="K921" s="46"/>
      <x:c r="L921" s="47"/>
      <x:c r="M921" s="48" t="str"/>
      <x:c r="N921" s="48" t="str"/>
      <x:c r="O921" s="49"/>
      <x:c r="P921" s="43" t="str">
        <x:v>Plan propuesto, sin ejecución</x:v>
      </x:c>
      <x:c r="Q921" s="43" t="str">
        <x:v>PUS04, COR01, CLO01</x:v>
      </x:c>
      <x:c r="R921" s="43" t="str">
        <x:v>Ejecutar la actividad y registrar resultado, responsables y duración real.</x:v>
      </x:c>
      <x:c r="S921" s="43" t="str">
        <x:v>Plan propuesto después del corte 06/10/2026; ninguna ejecución futura se considera realizada. Responsables y tiempos reales pendientes de captura.</x:v>
      </x:c>
      <x:c r="T921" s="43" t="str">
        <x:v>S101, S127, S069</x:v>
      </x:c>
      <x:c r="U921" s="43" t="str">
        <x:v>docs/android-push.md
docs/implementation/tours-local-pilot-report.md
docs/home-social-v7-integration.md</x:v>
      </x:c>
    </x:row>
    <x:row r="922" ht="36" customHeight="1">
      <x:c r="A922" s="42" t="str">
        <x:v>PIL02.001</x:v>
      </x:c>
      <x:c r="B922" s="42" t="str">
        <x:v>Piloto de aceptación en un local real</x:v>
      </x:c>
      <x:c r="C922" s="42" t="str">
        <x:v>PIL02</x:v>
      </x:c>
      <x:c r="D922" s="43" t="str">
        <x:v>Acreditar responsabilidad del local piloto</x:v>
      </x:c>
      <x:c r="E922" s="43" t="str">
        <x:v>Registrar permiso administrativo real del espacio.</x:v>
      </x:c>
      <x:c r="F922" s="43" t="str">
        <x:v>Pendiente</x:v>
      </x:c>
      <x:c r="G922" s="44" t="n">
        <x:v>46334</x:v>
      </x:c>
      <x:c r="H922" s="44" t="n">
        <x:v>46340</x:v>
      </x:c>
      <x:c r="I922" s="45" t="n">
        <x:f>IF(OR(G922="",H922=""),"",SUMPRODUCT(('Cronograma'!$F$8:$P$8&lt;=H922)*('Cronograma'!$F$9:$P$9&gt;=G922)))</x:f>
        <x:v>1</x:v>
      </x:c>
      <x:c r="J922" s="46"/>
      <x:c r="K922" s="46"/>
      <x:c r="L922" s="47"/>
      <x:c r="M922" s="48" t="str"/>
      <x:c r="N922" s="48" t="str"/>
      <x:c r="O922" s="49"/>
      <x:c r="P922" s="43" t="str">
        <x:v>Plan propuesto, sin ejecución</x:v>
      </x:c>
      <x:c r="Q922" s="43" t="str">
        <x:v>FIS01, FIS02, COR01, CLO01, QA02, QA03</x:v>
      </x:c>
      <x:c r="R922" s="43" t="str">
        <x:v>Ejecutar la actividad y registrar resultado, responsables y duración real.</x:v>
      </x:c>
      <x:c r="S922" s="43" t="str">
        <x:v>Plan propuesto después del corte 06/10/2026; ninguna ejecución futura se considera realizada. Responsables y tiempos reales pendientes de captura.</x:v>
      </x:c>
      <x:c r="T922" s="43" t="str">
        <x:v>S008, S127</x:v>
      </x:c>
      <x:c r="U922" s="43" t="str">
        <x:v>docs/ar-experience-design.md
docs/implementation/tours-local-pilot-report.md</x:v>
      </x:c>
    </x:row>
    <x:row r="923" ht="36" customHeight="1">
      <x:c r="A923" s="42" t="str">
        <x:v>PIL02.002</x:v>
      </x:c>
      <x:c r="B923" s="42" t="str">
        <x:v>Piloto de aceptación en un local real</x:v>
      </x:c>
      <x:c r="C923" s="42" t="str">
        <x:v>PIL02</x:v>
      </x:c>
      <x:c r="D923" s="43" t="str">
        <x:v>Capturar varias posiciones del local</x:v>
      </x:c>
      <x:c r="E923" s="43" t="str">
        <x:v>Preparar contenido real autorizado.</x:v>
      </x:c>
      <x:c r="F923" s="43" t="str">
        <x:v>Pendiente</x:v>
      </x:c>
      <x:c r="G923" s="44" t="n">
        <x:v>46334</x:v>
      </x:c>
      <x:c r="H923" s="44" t="n">
        <x:v>46340</x:v>
      </x:c>
      <x:c r="I923" s="45" t="n">
        <x:f>IF(OR(G923="",H923=""),"",SUMPRODUCT(('Cronograma'!$F$8:$P$8&lt;=H923)*('Cronograma'!$F$9:$P$9&gt;=G923)))</x:f>
        <x:v>1</x:v>
      </x:c>
      <x:c r="J923" s="46"/>
      <x:c r="K923" s="46"/>
      <x:c r="L923" s="47"/>
      <x:c r="M923" s="48" t="str"/>
      <x:c r="N923" s="48" t="str"/>
      <x:c r="O923" s="49"/>
      <x:c r="P923" s="43" t="str">
        <x:v>Plan propuesto, sin ejecución</x:v>
      </x:c>
      <x:c r="Q923" s="43" t="str">
        <x:v>FIS01, FIS02, COR01, CLO01, QA02, QA03</x:v>
      </x:c>
      <x:c r="R923" s="43" t="str">
        <x:v>Ejecutar la actividad y registrar resultado, responsables y duración real.</x:v>
      </x:c>
      <x:c r="S923" s="43" t="str">
        <x:v>Plan propuesto después del corte 06/10/2026; ninguna ejecución futura se considera realizada. Responsables y tiempos reales pendientes de captura.</x:v>
      </x:c>
      <x:c r="T923" s="43" t="str">
        <x:v>S008, S127</x:v>
      </x:c>
      <x:c r="U923" s="43" t="str">
        <x:v>docs/ar-experience-design.md
docs/implementation/tours-local-pilot-report.md</x:v>
      </x:c>
    </x:row>
    <x:row r="924" ht="36" customHeight="1">
      <x:c r="A924" s="42" t="str">
        <x:v>PIL02.003</x:v>
      </x:c>
      <x:c r="B924" s="42" t="str">
        <x:v>Piloto de aceptación en un local real</x:v>
      </x:c>
      <x:c r="C924" s="42" t="str">
        <x:v>PIL02</x:v>
      </x:c>
      <x:c r="D924" s="43" t="str">
        <x:v>Procesar y revisar panoramas del piloto</x:v>
      </x:c>
      <x:c r="E924" s="43" t="str">
        <x:v>Aceptar cobertura y calidad óptica del conjunto.</x:v>
      </x:c>
      <x:c r="F924" s="43" t="str">
        <x:v>Pendiente</x:v>
      </x:c>
      <x:c r="G924" s="44" t="n">
        <x:v>46334</x:v>
      </x:c>
      <x:c r="H924" s="44" t="n">
        <x:v>46340</x:v>
      </x:c>
      <x:c r="I924" s="45" t="n">
        <x:f>IF(OR(G924="",H924=""),"",SUMPRODUCT(('Cronograma'!$F$8:$P$8&lt;=H924)*('Cronograma'!$F$9:$P$9&gt;=G924)))</x:f>
        <x:v>1</x:v>
      </x:c>
      <x:c r="J924" s="46"/>
      <x:c r="K924" s="46"/>
      <x:c r="L924" s="47"/>
      <x:c r="M924" s="48" t="str"/>
      <x:c r="N924" s="48" t="str"/>
      <x:c r="O924" s="49"/>
      <x:c r="P924" s="43" t="str">
        <x:v>Plan propuesto, sin ejecución</x:v>
      </x:c>
      <x:c r="Q924" s="43" t="str">
        <x:v>FIS01, FIS02, COR01, CLO01, QA02, QA03</x:v>
      </x:c>
      <x:c r="R924" s="43" t="str">
        <x:v>Ejecutar la actividad y registrar resultado, responsables y duración real.</x:v>
      </x:c>
      <x:c r="S924" s="43" t="str">
        <x:v>Plan propuesto después del corte 06/10/2026; ninguna ejecución futura se considera realizada. Responsables y tiempos reales pendientes de captura.</x:v>
      </x:c>
      <x:c r="T924" s="43" t="str">
        <x:v>S008, S127</x:v>
      </x:c>
      <x:c r="U924" s="43" t="str">
        <x:v>docs/ar-experience-design.md
docs/implementation/tours-local-pilot-report.md</x:v>
      </x:c>
    </x:row>
    <x:row r="925" ht="36" customHeight="1">
      <x:c r="A925" s="42" t="str">
        <x:v>PIL02.004</x:v>
      </x:c>
      <x:c r="B925" s="42" t="str">
        <x:v>Piloto de aceptación en un local real</x:v>
      </x:c>
      <x:c r="C925" s="42" t="str">
        <x:v>PIL02</x:v>
      </x:c>
      <x:c r="D925" s="43" t="str">
        <x:v>Configurar puntos y conexiones reales</x:v>
      </x:c>
      <x:c r="E925" s="43" t="str">
        <x:v>Comprobar nombres e indicaciones entre posiciones.</x:v>
      </x:c>
      <x:c r="F925" s="43" t="str">
        <x:v>Pendiente</x:v>
      </x:c>
      <x:c r="G925" s="44" t="n">
        <x:v>46334</x:v>
      </x:c>
      <x:c r="H925" s="44" t="n">
        <x:v>46340</x:v>
      </x:c>
      <x:c r="I925" s="45" t="n">
        <x:f>IF(OR(G925="",H925=""),"",SUMPRODUCT(('Cronograma'!$F$8:$P$8&lt;=H925)*('Cronograma'!$F$9:$P$9&gt;=G925)))</x:f>
        <x:v>1</x:v>
      </x:c>
      <x:c r="J925" s="46"/>
      <x:c r="K925" s="46"/>
      <x:c r="L925" s="47"/>
      <x:c r="M925" s="48" t="str"/>
      <x:c r="N925" s="48" t="str"/>
      <x:c r="O925" s="49"/>
      <x:c r="P925" s="43" t="str">
        <x:v>Plan propuesto, sin ejecución</x:v>
      </x:c>
      <x:c r="Q925" s="43" t="str">
        <x:v>FIS01, FIS02, COR01, CLO01, QA02, QA03</x:v>
      </x:c>
      <x:c r="R925" s="43" t="str">
        <x:v>Ejecutar la actividad y registrar resultado, responsables y duración real.</x:v>
      </x:c>
      <x:c r="S925" s="43" t="str">
        <x:v>Plan propuesto después del corte 06/10/2026; ninguna ejecución futura se considera realizada. Responsables y tiempos reales pendientes de captura.</x:v>
      </x:c>
      <x:c r="T925" s="43" t="str">
        <x:v>S008, S127</x:v>
      </x:c>
      <x:c r="U925" s="43" t="str">
        <x:v>docs/ar-experience-design.md
docs/implementation/tours-local-pilot-report.md</x:v>
      </x:c>
    </x:row>
    <x:row r="926" ht="36" customHeight="1">
      <x:c r="A926" s="42" t="str">
        <x:v>PIL02.005</x:v>
      </x:c>
      <x:c r="B926" s="42" t="str">
        <x:v>Piloto de aceptación en un local real</x:v>
      </x:c>
      <x:c r="C926" s="42" t="str">
        <x:v>PIL02</x:v>
      </x:c>
      <x:c r="D926" s="43" t="str">
        <x:v>Solicitar permisos de contenido vinculado</x:v>
      </x:c>
      <x:c r="E926" s="43" t="str">
        <x:v>Excluir recursos no autorizados del envío.</x:v>
      </x:c>
      <x:c r="F926" s="43" t="str">
        <x:v>Pendiente</x:v>
      </x:c>
      <x:c r="G926" s="44" t="n">
        <x:v>46334</x:v>
      </x:c>
      <x:c r="H926" s="44" t="n">
        <x:v>46340</x:v>
      </x:c>
      <x:c r="I926" s="45" t="n">
        <x:f>IF(OR(G926="",H926=""),"",SUMPRODUCT(('Cronograma'!$F$8:$P$8&lt;=H926)*('Cronograma'!$F$9:$P$9&gt;=G926)))</x:f>
        <x:v>1</x:v>
      </x:c>
      <x:c r="J926" s="46"/>
      <x:c r="K926" s="46"/>
      <x:c r="L926" s="47"/>
      <x:c r="M926" s="48" t="str"/>
      <x:c r="N926" s="48" t="str"/>
      <x:c r="O926" s="49"/>
      <x:c r="P926" s="43" t="str">
        <x:v>Plan propuesto, sin ejecución</x:v>
      </x:c>
      <x:c r="Q926" s="43" t="str">
        <x:v>FIS01, FIS02, COR01, CLO01, QA02, QA03</x:v>
      </x:c>
      <x:c r="R926" s="43" t="str">
        <x:v>Ejecutar la actividad y registrar resultado, responsables y duración real.</x:v>
      </x:c>
      <x:c r="S926" s="43" t="str">
        <x:v>Plan propuesto después del corte 06/10/2026; ninguna ejecución futura se considera realizada. Responsables y tiempos reales pendientes de captura.</x:v>
      </x:c>
      <x:c r="T926" s="43" t="str">
        <x:v>S008, S127</x:v>
      </x:c>
      <x:c r="U926" s="43" t="str">
        <x:v>docs/ar-experience-design.md
docs/implementation/tours-local-pilot-report.md</x:v>
      </x:c>
    </x:row>
    <x:row r="927" ht="36" customHeight="1">
      <x:c r="A927" s="42" t="str">
        <x:v>PIL02.006</x:v>
      </x:c>
      <x:c r="B927" s="42" t="str">
        <x:v>Piloto de aceptación en un local real</x:v>
      </x:c>
      <x:c r="C927" s="42" t="str">
        <x:v>PIL02</x:v>
      </x:c>
      <x:c r="D927" s="43" t="str">
        <x:v>Preparar y validar activadores reales</x:v>
      </x:c>
      <x:c r="E927" s="43" t="str">
        <x:v>Asociar prueba física a referencia y ancho exactos.</x:v>
      </x:c>
      <x:c r="F927" s="43" t="str">
        <x:v>Pendiente</x:v>
      </x:c>
      <x:c r="G927" s="44" t="n">
        <x:v>46334</x:v>
      </x:c>
      <x:c r="H927" s="44" t="n">
        <x:v>46340</x:v>
      </x:c>
      <x:c r="I927" s="45" t="n">
        <x:f>IF(OR(G927="",H927=""),"",SUMPRODUCT(('Cronograma'!$F$8:$P$8&lt;=H927)*('Cronograma'!$F$9:$P$9&gt;=G927)))</x:f>
        <x:v>1</x:v>
      </x:c>
      <x:c r="J927" s="46"/>
      <x:c r="K927" s="46"/>
      <x:c r="L927" s="47"/>
      <x:c r="M927" s="48" t="str"/>
      <x:c r="N927" s="48" t="str"/>
      <x:c r="O927" s="49"/>
      <x:c r="P927" s="43" t="str">
        <x:v>Plan propuesto, sin ejecución</x:v>
      </x:c>
      <x:c r="Q927" s="43" t="str">
        <x:v>FIS01, FIS02, COR01, CLO01, QA02, QA03</x:v>
      </x:c>
      <x:c r="R927" s="43" t="str">
        <x:v>Ejecutar la actividad y registrar resultado, responsables y duración real.</x:v>
      </x:c>
      <x:c r="S927" s="43" t="str">
        <x:v>Plan propuesto después del corte 06/10/2026; ninguna ejecución futura se considera realizada. Responsables y tiempos reales pendientes de captura.</x:v>
      </x:c>
      <x:c r="T927" s="43" t="str">
        <x:v>S008, S127</x:v>
      </x:c>
      <x:c r="U927" s="43" t="str">
        <x:v>docs/ar-experience-design.md
docs/implementation/tours-local-pilot-report.md</x:v>
      </x:c>
    </x:row>
    <x:row r="928" ht="36" customHeight="1">
      <x:c r="A928" s="42" t="str">
        <x:v>PIL02.007</x:v>
      </x:c>
      <x:c r="B928" s="42" t="str">
        <x:v>Piloto de aceptación en un local real</x:v>
      </x:c>
      <x:c r="C928" s="42" t="str">
        <x:v>PIL02</x:v>
      </x:c>
      <x:c r="D928" s="43" t="str">
        <x:v>Enviar snapshot del recorrido piloto</x:v>
      </x:c>
      <x:c r="E928" s="43" t="str">
        <x:v>Mantener versión de revisión congelada.</x:v>
      </x:c>
      <x:c r="F928" s="43" t="str">
        <x:v>Pendiente</x:v>
      </x:c>
      <x:c r="G928" s="44" t="n">
        <x:v>46334</x:v>
      </x:c>
      <x:c r="H928" s="44" t="n">
        <x:v>46340</x:v>
      </x:c>
      <x:c r="I928" s="45" t="n">
        <x:f>IF(OR(G928="",H928=""),"",SUMPRODUCT(('Cronograma'!$F$8:$P$8&lt;=H928)*('Cronograma'!$F$9:$P$9&gt;=G928)))</x:f>
        <x:v>1</x:v>
      </x:c>
      <x:c r="J928" s="46"/>
      <x:c r="K928" s="46"/>
      <x:c r="L928" s="47"/>
      <x:c r="M928" s="48" t="str"/>
      <x:c r="N928" s="48" t="str"/>
      <x:c r="O928" s="49"/>
      <x:c r="P928" s="43" t="str">
        <x:v>Plan propuesto, sin ejecución</x:v>
      </x:c>
      <x:c r="Q928" s="43" t="str">
        <x:v>FIS01, FIS02, COR01, CLO01, QA02, QA03</x:v>
      </x:c>
      <x:c r="R928" s="43" t="str">
        <x:v>Ejecutar la actividad y registrar resultado, responsables y duración real.</x:v>
      </x:c>
      <x:c r="S928" s="43" t="str">
        <x:v>Plan propuesto después del corte 06/10/2026; ninguna ejecución futura se considera realizada. Responsables y tiempos reales pendientes de captura.</x:v>
      </x:c>
      <x:c r="T928" s="43" t="str">
        <x:v>S008, S127</x:v>
      </x:c>
      <x:c r="U928" s="43" t="str">
        <x:v>docs/ar-experience-design.md
docs/implementation/tours-local-pilot-report.md</x:v>
      </x:c>
    </x:row>
    <x:row r="929" ht="36" customHeight="1">
      <x:c r="A929" s="42" t="str">
        <x:v>PIL02.008</x:v>
      </x:c>
      <x:c r="B929" s="42" t="str">
        <x:v>Piloto de aceptación en un local real</x:v>
      </x:c>
      <x:c r="C929" s="42" t="str">
        <x:v>PIL02</x:v>
      </x:c>
      <x:c r="D929" s="43" t="str">
        <x:v>Aprobar y publicar recorrido piloto</x:v>
      </x:c>
      <x:c r="E929" s="43" t="str">
        <x:v>Cambiar versión activa con permisos válidos.</x:v>
      </x:c>
      <x:c r="F929" s="43" t="str">
        <x:v>Pendiente</x:v>
      </x:c>
      <x:c r="G929" s="44" t="n">
        <x:v>46334</x:v>
      </x:c>
      <x:c r="H929" s="44" t="n">
        <x:v>46340</x:v>
      </x:c>
      <x:c r="I929" s="45" t="n">
        <x:f>IF(OR(G929="",H929=""),"",SUMPRODUCT(('Cronograma'!$F$8:$P$8&lt;=H929)*('Cronograma'!$F$9:$P$9&gt;=G929)))</x:f>
        <x:v>1</x:v>
      </x:c>
      <x:c r="J929" s="46"/>
      <x:c r="K929" s="46"/>
      <x:c r="L929" s="47"/>
      <x:c r="M929" s="48" t="str"/>
      <x:c r="N929" s="48" t="str"/>
      <x:c r="O929" s="49"/>
      <x:c r="P929" s="43" t="str">
        <x:v>Plan propuesto, sin ejecución</x:v>
      </x:c>
      <x:c r="Q929" s="43" t="str">
        <x:v>FIS01, FIS02, COR01, CLO01, QA02, QA03</x:v>
      </x:c>
      <x:c r="R929" s="43" t="str">
        <x:v>Ejecutar la actividad y registrar resultado, responsables y duración real.</x:v>
      </x:c>
      <x:c r="S929" s="43" t="str">
        <x:v>Plan propuesto después del corte 06/10/2026; ninguna ejecución futura se considera realizada. Responsables y tiempos reales pendientes de captura.</x:v>
      </x:c>
      <x:c r="T929" s="43" t="str">
        <x:v>S008, S127</x:v>
      </x:c>
      <x:c r="U929" s="43" t="str">
        <x:v>docs/ar-experience-design.md
docs/implementation/tours-local-pilot-report.md</x:v>
      </x:c>
    </x:row>
    <x:row r="930" ht="36" customHeight="1">
      <x:c r="A930" s="42" t="str">
        <x:v>PIL02.009</x:v>
      </x:c>
      <x:c r="B930" s="42" t="str">
        <x:v>Piloto de aceptación en un local real</x:v>
      </x:c>
      <x:c r="C930" s="42" t="str">
        <x:v>PIL02</x:v>
      </x:c>
      <x:c r="D930" s="43" t="str">
        <x:v>Explorar recorrido desde otro usuario</x:v>
      </x:c>
      <x:c r="E930" s="43" t="str">
        <x:v>Comprobar lectura pública autorizada y contenido vigente.</x:v>
      </x:c>
      <x:c r="F930" s="43" t="str">
        <x:v>Pendiente</x:v>
      </x:c>
      <x:c r="G930" s="44" t="n">
        <x:v>46334</x:v>
      </x:c>
      <x:c r="H930" s="44" t="n">
        <x:v>46340</x:v>
      </x:c>
      <x:c r="I930" s="45" t="n">
        <x:f>IF(OR(G930="",H930=""),"",SUMPRODUCT(('Cronograma'!$F$8:$P$8&lt;=H930)*('Cronograma'!$F$9:$P$9&gt;=G930)))</x:f>
        <x:v>1</x:v>
      </x:c>
      <x:c r="J930" s="46"/>
      <x:c r="K930" s="46"/>
      <x:c r="L930" s="47"/>
      <x:c r="M930" s="48" t="str"/>
      <x:c r="N930" s="48" t="str"/>
      <x:c r="O930" s="49"/>
      <x:c r="P930" s="43" t="str">
        <x:v>Plan propuesto, sin ejecución</x:v>
      </x:c>
      <x:c r="Q930" s="43" t="str">
        <x:v>FIS01, FIS02, COR01, CLO01, QA02, QA03</x:v>
      </x:c>
      <x:c r="R930" s="43" t="str">
        <x:v>Ejecutar la actividad y registrar resultado, responsables y duración real.</x:v>
      </x:c>
      <x:c r="S930" s="43" t="str">
        <x:v>Plan propuesto después del corte 06/10/2026; ninguna ejecución futura se considera realizada. Responsables y tiempos reales pendientes de captura.</x:v>
      </x:c>
      <x:c r="T930" s="43" t="str">
        <x:v>S008, S127</x:v>
      </x:c>
      <x:c r="U930" s="43" t="str">
        <x:v>docs/ar-experience-design.md
docs/implementation/tours-local-pilot-report.md</x:v>
      </x:c>
    </x:row>
    <x:row r="931" ht="36" customHeight="1">
      <x:c r="A931" s="42" t="str">
        <x:v>PIL02.010</x:v>
      </x:c>
      <x:c r="B931" s="42" t="str">
        <x:v>Piloto de aceptación en un local real</x:v>
      </x:c>
      <x:c r="C931" s="42" t="str">
        <x:v>PIL02</x:v>
      </x:c>
      <x:c r="D931" s="43" t="str">
        <x:v>Recorrer paradas físicamente con AR</x:v>
      </x:c>
      <x:c r="E931" s="43" t="str">
        <x:v>Validar reconocimiento y alternativa sin cámara.</x:v>
      </x:c>
      <x:c r="F931" s="43" t="str">
        <x:v>Pendiente</x:v>
      </x:c>
      <x:c r="G931" s="44" t="n">
        <x:v>46334</x:v>
      </x:c>
      <x:c r="H931" s="44" t="n">
        <x:v>46340</x:v>
      </x:c>
      <x:c r="I931" s="45" t="n">
        <x:f>IF(OR(G931="",H931=""),"",SUMPRODUCT(('Cronograma'!$F$8:$P$8&lt;=H931)*('Cronograma'!$F$9:$P$9&gt;=G931)))</x:f>
        <x:v>1</x:v>
      </x:c>
      <x:c r="J931" s="46"/>
      <x:c r="K931" s="46"/>
      <x:c r="L931" s="47"/>
      <x:c r="M931" s="48" t="str"/>
      <x:c r="N931" s="48" t="str"/>
      <x:c r="O931" s="49"/>
      <x:c r="P931" s="43" t="str">
        <x:v>Plan propuesto, sin ejecución</x:v>
      </x:c>
      <x:c r="Q931" s="43" t="str">
        <x:v>FIS01, FIS02, COR01, CLO01, QA02, QA03</x:v>
      </x:c>
      <x:c r="R931" s="43" t="str">
        <x:v>Ejecutar la actividad y registrar resultado, responsables y duración real.</x:v>
      </x:c>
      <x:c r="S931" s="43" t="str">
        <x:v>Plan propuesto después del corte 06/10/2026; ninguna ejecución futura se considera realizada. Responsables y tiempos reales pendientes de captura.</x:v>
      </x:c>
      <x:c r="T931" s="43" t="str">
        <x:v>S008, S127</x:v>
      </x:c>
      <x:c r="U931" s="43" t="str">
        <x:v>docs/ar-experience-design.md
docs/implementation/tours-local-pilot-report.md</x:v>
      </x:c>
    </x:row>
    <x:row r="932" ht="36" customHeight="1">
      <x:c r="A932" s="42" t="str">
        <x:v>PIL02.011</x:v>
      </x:c>
      <x:c r="B932" s="42" t="str">
        <x:v>Piloto de aceptación en un local real</x:v>
      </x:c>
      <x:c r="C932" s="42" t="str">
        <x:v>PIL02</x:v>
      </x:c>
      <x:c r="D932" s="43" t="str">
        <x:v>Interrumpir subida y visita durante aceptación</x:v>
      </x:c>
      <x:c r="E932" s="43" t="str">
        <x:v>Confirmar recuperación y progreso real.</x:v>
      </x:c>
      <x:c r="F932" s="43" t="str">
        <x:v>Pendiente</x:v>
      </x:c>
      <x:c r="G932" s="44" t="n">
        <x:v>46334</x:v>
      </x:c>
      <x:c r="H932" s="44" t="n">
        <x:v>46340</x:v>
      </x:c>
      <x:c r="I932" s="45" t="n">
        <x:f>IF(OR(G932="",H932=""),"",SUMPRODUCT(('Cronograma'!$F$8:$P$8&lt;=H932)*('Cronograma'!$F$9:$P$9&gt;=G932)))</x:f>
        <x:v>1</x:v>
      </x:c>
      <x:c r="J932" s="46"/>
      <x:c r="K932" s="46"/>
      <x:c r="L932" s="47"/>
      <x:c r="M932" s="48" t="str"/>
      <x:c r="N932" s="48" t="str"/>
      <x:c r="O932" s="49"/>
      <x:c r="P932" s="43" t="str">
        <x:v>Plan propuesto, sin ejecución</x:v>
      </x:c>
      <x:c r="Q932" s="43" t="str">
        <x:v>FIS01, FIS02, COR01, CLO01, QA02, QA03</x:v>
      </x:c>
      <x:c r="R932" s="43" t="str">
        <x:v>Ejecutar la actividad y registrar resultado, responsables y duración real.</x:v>
      </x:c>
      <x:c r="S932" s="43" t="str">
        <x:v>Plan propuesto después del corte 06/10/2026; ninguna ejecución futura se considera realizada. Responsables y tiempos reales pendientes de captura.</x:v>
      </x:c>
      <x:c r="T932" s="43" t="str">
        <x:v>S008, S127</x:v>
      </x:c>
      <x:c r="U932" s="43" t="str">
        <x:v>docs/ar-experience-design.md
docs/implementation/tours-local-pilot-report.md</x:v>
      </x:c>
    </x:row>
    <x:row r="933" ht="36" customHeight="1">
      <x:c r="A933" s="42" t="str">
        <x:v>PIL02.012</x:v>
      </x:c>
      <x:c r="B933" s="42" t="str">
        <x:v>Piloto de aceptación en un local real</x:v>
      </x:c>
      <x:c r="C933" s="42" t="str">
        <x:v>PIL02</x:v>
      </x:c>
      <x:c r="D933" s="43" t="str">
        <x:v>Registrar fallos y resultados del piloto</x:v>
      </x:c>
      <x:c r="E933" s="43" t="str">
        <x:v>Separar evidencia observada de criterios aún pendientes.</x:v>
      </x:c>
      <x:c r="F933" s="43" t="str">
        <x:v>Pendiente</x:v>
      </x:c>
      <x:c r="G933" s="44" t="n">
        <x:v>46334</x:v>
      </x:c>
      <x:c r="H933" s="44" t="n">
        <x:v>46340</x:v>
      </x:c>
      <x:c r="I933" s="45" t="n">
        <x:f>IF(OR(G933="",H933=""),"",SUMPRODUCT(('Cronograma'!$F$8:$P$8&lt;=H933)*('Cronograma'!$F$9:$P$9&gt;=G933)))</x:f>
        <x:v>1</x:v>
      </x:c>
      <x:c r="J933" s="46"/>
      <x:c r="K933" s="46"/>
      <x:c r="L933" s="47"/>
      <x:c r="M933" s="48" t="str"/>
      <x:c r="N933" s="48" t="str"/>
      <x:c r="O933" s="49"/>
      <x:c r="P933" s="43" t="str">
        <x:v>Plan propuesto, sin ejecución</x:v>
      </x:c>
      <x:c r="Q933" s="43" t="str">
        <x:v>FIS01, FIS02, COR01, CLO01, QA02, QA03</x:v>
      </x:c>
      <x:c r="R933" s="43" t="str">
        <x:v>Ejecutar la actividad y registrar resultado, responsables y duración real.</x:v>
      </x:c>
      <x:c r="S933" s="43" t="str">
        <x:v>Plan propuesto después del corte 06/10/2026; ninguna ejecución futura se considera realizada. Responsables y tiempos reales pendientes de captura.</x:v>
      </x:c>
      <x:c r="T933" s="43" t="str">
        <x:v>S008, S127</x:v>
      </x:c>
      <x:c r="U933" s="43" t="str">
        <x:v>docs/ar-experience-design.md
docs/implementation/tours-local-pilot-report.md</x:v>
      </x:c>
    </x:row>
    <x:row r="934" ht="36" customHeight="1">
      <x:c r="A934" s="42" t="str">
        <x:v>PIL02.013</x:v>
      </x:c>
      <x:c r="B934" s="42" t="str">
        <x:v>Piloto de aceptación en un local real</x:v>
      </x:c>
      <x:c r="C934" s="42" t="str">
        <x:v>PIL02</x:v>
      </x:c>
      <x:c r="D934" s="43" t="str">
        <x:v>Corregir incidencias del piloto si aparecen</x:v>
      </x:c>
      <x:c r="E934" s="43" t="str">
        <x:v>No ampliar alcance sin necesidad demostrada.</x:v>
      </x:c>
      <x:c r="F934" s="43" t="str">
        <x:v>Pendiente</x:v>
      </x:c>
      <x:c r="G934" s="44" t="n">
        <x:v>46334</x:v>
      </x:c>
      <x:c r="H934" s="44" t="n">
        <x:v>46340</x:v>
      </x:c>
      <x:c r="I934" s="45" t="n">
        <x:f>IF(OR(G934="",H934=""),"",SUMPRODUCT(('Cronograma'!$F$8:$P$8&lt;=H934)*('Cronograma'!$F$9:$P$9&gt;=G934)))</x:f>
        <x:v>1</x:v>
      </x:c>
      <x:c r="J934" s="46"/>
      <x:c r="K934" s="46"/>
      <x:c r="L934" s="47"/>
      <x:c r="M934" s="48" t="str"/>
      <x:c r="N934" s="48" t="str"/>
      <x:c r="O934" s="49"/>
      <x:c r="P934" s="43" t="str">
        <x:v>Plan propuesto, sin ejecución</x:v>
      </x:c>
      <x:c r="Q934" s="43" t="str">
        <x:v>FIS01, FIS02, COR01, CLO01, QA02, QA03</x:v>
      </x:c>
      <x:c r="R934" s="43" t="str">
        <x:v>Ejecutar la actividad y registrar resultado, responsables y duración real.</x:v>
      </x:c>
      <x:c r="S934" s="43" t="str">
        <x:v>Plan propuesto después del corte 06/10/2026; ninguna ejecución futura se considera realizada. Responsables y tiempos reales pendientes de captura.</x:v>
      </x:c>
      <x:c r="T934" s="43" t="str">
        <x:v>S008, S127</x:v>
      </x:c>
      <x:c r="U934" s="43" t="str">
        <x:v>docs/ar-experience-design.md
docs/implementation/tours-local-pilot-report.md</x:v>
      </x:c>
    </x:row>
    <x:row r="935" ht="36" customHeight="1">
      <x:c r="A935" s="42" t="str">
        <x:v>PIL02.014</x:v>
      </x:c>
      <x:c r="B935" s="42" t="str">
        <x:v>Piloto de aceptación en un local real</x:v>
      </x:c>
      <x:c r="C935" s="42" t="str">
        <x:v>PIL02</x:v>
      </x:c>
      <x:c r="D935" s="43" t="str">
        <x:v>Repetir criterios afectados</x:v>
      </x:c>
      <x:c r="E935" s="43" t="str">
        <x:v>Aceptar únicamente funciones verificadas tras corrección.</x:v>
      </x:c>
      <x:c r="F935" s="43" t="str">
        <x:v>Pendiente</x:v>
      </x:c>
      <x:c r="G935" s="44" t="n">
        <x:v>46334</x:v>
      </x:c>
      <x:c r="H935" s="44" t="n">
        <x:v>46340</x:v>
      </x:c>
      <x:c r="I935" s="45" t="n">
        <x:f>IF(OR(G935="",H935=""),"",SUMPRODUCT(('Cronograma'!$F$8:$P$8&lt;=H935)*('Cronograma'!$F$9:$P$9&gt;=G935)))</x:f>
        <x:v>1</x:v>
      </x:c>
      <x:c r="J935" s="46"/>
      <x:c r="K935" s="46"/>
      <x:c r="L935" s="47"/>
      <x:c r="M935" s="48" t="str"/>
      <x:c r="N935" s="48" t="str"/>
      <x:c r="O935" s="49"/>
      <x:c r="P935" s="43" t="str">
        <x:v>Plan propuesto, sin ejecución</x:v>
      </x:c>
      <x:c r="Q935" s="43" t="str">
        <x:v>FIS01, FIS02, COR01, CLO01, QA02, QA03</x:v>
      </x:c>
      <x:c r="R935" s="43" t="str">
        <x:v>Ejecutar la actividad y registrar resultado, responsables y duración real.</x:v>
      </x:c>
      <x:c r="S935" s="43" t="str">
        <x:v>Plan propuesto después del corte 06/10/2026; ninguna ejecución futura se considera realizada. Responsables y tiempos reales pendientes de captura.</x:v>
      </x:c>
      <x:c r="T935" s="43" t="str">
        <x:v>S008, S127</x:v>
      </x:c>
      <x:c r="U935" s="43" t="str">
        <x:v>docs/ar-experience-design.md
docs/implementation/tours-local-pilot-report.md</x:v>
      </x:c>
    </x:row>
    <x:row r="936" ht="44" customHeight="1">
      <x:c r="A936" s="42" t="str">
        <x:v>ENT01.001</x:v>
      </x:c>
      <x:c r="B936" s="42" t="str">
        <x:v>Estabilización y entrega técnica de la aplicación</x:v>
      </x:c>
      <x:c r="C936" s="42" t="str">
        <x:v>ENT01</x:v>
      </x:c>
      <x:c r="D936" s="43" t="str">
        <x:v>Revisar pendientes antes de cierre</x:v>
      </x:c>
      <x:c r="E936" s="43" t="str">
        <x:v>No declarar terminado AR si falta aceptación física.</x:v>
      </x:c>
      <x:c r="F936" s="43" t="str">
        <x:v>Pendiente</x:v>
      </x:c>
      <x:c r="G936" s="44" t="n">
        <x:v>46341</x:v>
      </x:c>
      <x:c r="H936" s="44" t="n">
        <x:v>46344</x:v>
      </x:c>
      <x:c r="I936" s="45" t="n">
        <x:f>IF(OR(G936="",H936=""),"",SUMPRODUCT(('Cronograma'!$F$8:$P$8&lt;=H936)*('Cronograma'!$F$9:$P$9&gt;=G936)))</x:f>
        <x:v>1</x:v>
      </x:c>
      <x:c r="J936" s="46"/>
      <x:c r="K936" s="46"/>
      <x:c r="L936" s="47"/>
      <x:c r="M936" s="48" t="str"/>
      <x:c r="N936" s="48" t="str"/>
      <x:c r="O936" s="49"/>
      <x:c r="P936" s="43" t="str">
        <x:v>Plan propuesto, sin ejecución</x:v>
      </x:c>
      <x:c r="Q936" s="43" t="str">
        <x:v>PIL02, QA03</x:v>
      </x:c>
      <x:c r="R936" s="43" t="str">
        <x:v>Ejecutar la actividad y registrar resultado, responsables y duración real.</x:v>
      </x:c>
      <x:c r="S936" s="43" t="str">
        <x:v>Plan propuesto después del corte 06/10/2026; ninguna ejecución futura se considera realizada. Responsables y tiempos reales pendientes de captura.</x:v>
      </x:c>
      <x:c r="T936" s="43" t="str">
        <x:v>S001, S145, S127</x:v>
      </x:c>
      <x:c r="U936" s="43" t="str">
        <x:v>README.md
tool/README.md
docs/implementation/tours-local-pilot-report.md</x:v>
      </x:c>
    </x:row>
    <x:row r="937" ht="44" customHeight="1">
      <x:c r="A937" s="42" t="str">
        <x:v>ENT01.002</x:v>
      </x:c>
      <x:c r="B937" s="42" t="str">
        <x:v>Estabilización y entrega técnica de la aplicación</x:v>
      </x:c>
      <x:c r="C937" s="42" t="str">
        <x:v>ENT01</x:v>
      </x:c>
      <x:c r="D937" s="43" t="str">
        <x:v>Ejecutar análisis y pruebas finales</x:v>
      </x:c>
      <x:c r="E937" s="43" t="str">
        <x:v>Validar versión exacta que se entregará.</x:v>
      </x:c>
      <x:c r="F937" s="43" t="str">
        <x:v>Pendiente</x:v>
      </x:c>
      <x:c r="G937" s="44" t="n">
        <x:v>46341</x:v>
      </x:c>
      <x:c r="H937" s="44" t="n">
        <x:v>46344</x:v>
      </x:c>
      <x:c r="I937" s="45" t="n">
        <x:f>IF(OR(G937="",H937=""),"",SUMPRODUCT(('Cronograma'!$F$8:$P$8&lt;=H937)*('Cronograma'!$F$9:$P$9&gt;=G937)))</x:f>
        <x:v>1</x:v>
      </x:c>
      <x:c r="J937" s="46"/>
      <x:c r="K937" s="46"/>
      <x:c r="L937" s="47"/>
      <x:c r="M937" s="48" t="str"/>
      <x:c r="N937" s="48" t="str"/>
      <x:c r="O937" s="49"/>
      <x:c r="P937" s="43" t="str">
        <x:v>Plan propuesto, sin ejecución</x:v>
      </x:c>
      <x:c r="Q937" s="43" t="str">
        <x:v>PIL02, QA03</x:v>
      </x:c>
      <x:c r="R937" s="43" t="str">
        <x:v>Ejecutar la actividad y registrar resultado, responsables y duración real.</x:v>
      </x:c>
      <x:c r="S937" s="43" t="str">
        <x:v>Plan propuesto después del corte 06/10/2026; ninguna ejecución futura se considera realizada. Responsables y tiempos reales pendientes de captura.</x:v>
      </x:c>
      <x:c r="T937" s="43" t="str">
        <x:v>S001, S145, S127</x:v>
      </x:c>
      <x:c r="U937" s="43" t="str">
        <x:v>README.md
tool/README.md
docs/implementation/tours-local-pilot-report.md</x:v>
      </x:c>
    </x:row>
    <x:row r="938" ht="44" customHeight="1">
      <x:c r="A938" s="42" t="str">
        <x:v>ENT01.003</x:v>
      </x:c>
      <x:c r="B938" s="42" t="str">
        <x:v>Estabilización y entrega técnica de la aplicación</x:v>
      </x:c>
      <x:c r="C938" s="42" t="str">
        <x:v>ENT01</x:v>
      </x:c>
      <x:c r="D938" s="43" t="str">
        <x:v>Confirmar contrato del backend final</x:v>
      </x:c>
      <x:c r="E938" s="43" t="str">
        <x:v>Verificar funciones y migraciones requeridas por el cliente.</x:v>
      </x:c>
      <x:c r="F938" s="43" t="str">
        <x:v>Pendiente</x:v>
      </x:c>
      <x:c r="G938" s="44" t="n">
        <x:v>46341</x:v>
      </x:c>
      <x:c r="H938" s="44" t="n">
        <x:v>46344</x:v>
      </x:c>
      <x:c r="I938" s="45" t="n">
        <x:f>IF(OR(G938="",H938=""),"",SUMPRODUCT(('Cronograma'!$F$8:$P$8&lt;=H938)*('Cronograma'!$F$9:$P$9&gt;=G938)))</x:f>
        <x:v>1</x:v>
      </x:c>
      <x:c r="J938" s="46"/>
      <x:c r="K938" s="46"/>
      <x:c r="L938" s="47"/>
      <x:c r="M938" s="48" t="str"/>
      <x:c r="N938" s="48" t="str"/>
      <x:c r="O938" s="49"/>
      <x:c r="P938" s="43" t="str">
        <x:v>Plan propuesto, sin ejecución</x:v>
      </x:c>
      <x:c r="Q938" s="43" t="str">
        <x:v>PIL02, QA03</x:v>
      </x:c>
      <x:c r="R938" s="43" t="str">
        <x:v>Ejecutar la actividad y registrar resultado, responsables y duración real.</x:v>
      </x:c>
      <x:c r="S938" s="43" t="str">
        <x:v>Plan propuesto después del corte 06/10/2026; ninguna ejecución futura se considera realizada. Responsables y tiempos reales pendientes de captura.</x:v>
      </x:c>
      <x:c r="T938" s="43" t="str">
        <x:v>S001, S145, S127</x:v>
      </x:c>
      <x:c r="U938" s="43" t="str">
        <x:v>README.md
tool/README.md
docs/implementation/tours-local-pilot-report.md</x:v>
      </x:c>
    </x:row>
    <x:row r="939" ht="44" customHeight="1">
      <x:c r="A939" s="42" t="str">
        <x:v>ENT01.004</x:v>
      </x:c>
      <x:c r="B939" s="42" t="str">
        <x:v>Estabilización y entrega técnica de la aplicación</x:v>
      </x:c>
      <x:c r="C939" s="42" t="str">
        <x:v>ENT01</x:v>
      </x:c>
      <x:c r="D939" s="43" t="str">
        <x:v>Compilar Web de entrega</x:v>
      </x:c>
      <x:c r="E939" s="43" t="str">
        <x:v>Usar configuración pública correspondiente al entorno.</x:v>
      </x:c>
      <x:c r="F939" s="43" t="str">
        <x:v>Pendiente</x:v>
      </x:c>
      <x:c r="G939" s="44" t="n">
        <x:v>46341</x:v>
      </x:c>
      <x:c r="H939" s="44" t="n">
        <x:v>46344</x:v>
      </x:c>
      <x:c r="I939" s="45" t="n">
        <x:f>IF(OR(G939="",H939=""),"",SUMPRODUCT(('Cronograma'!$F$8:$P$8&lt;=H939)*('Cronograma'!$F$9:$P$9&gt;=G939)))</x:f>
        <x:v>1</x:v>
      </x:c>
      <x:c r="J939" s="46"/>
      <x:c r="K939" s="46"/>
      <x:c r="L939" s="47"/>
      <x:c r="M939" s="48" t="str"/>
      <x:c r="N939" s="48" t="str"/>
      <x:c r="O939" s="49"/>
      <x:c r="P939" s="43" t="str">
        <x:v>Plan propuesto, sin ejecución</x:v>
      </x:c>
      <x:c r="Q939" s="43" t="str">
        <x:v>PIL02, QA03</x:v>
      </x:c>
      <x:c r="R939" s="43" t="str">
        <x:v>Ejecutar la actividad y registrar resultado, responsables y duración real.</x:v>
      </x:c>
      <x:c r="S939" s="43" t="str">
        <x:v>Plan propuesto después del corte 06/10/2026; ninguna ejecución futura se considera realizada. Responsables y tiempos reales pendientes de captura.</x:v>
      </x:c>
      <x:c r="T939" s="43" t="str">
        <x:v>S001, S145, S127</x:v>
      </x:c>
      <x:c r="U939" s="43" t="str">
        <x:v>README.md
tool/README.md
docs/implementation/tours-local-pilot-report.md</x:v>
      </x:c>
    </x:row>
    <x:row r="940" ht="44" customHeight="1">
      <x:c r="A940" s="42" t="str">
        <x:v>ENT01.005</x:v>
      </x:c>
      <x:c r="B940" s="42" t="str">
        <x:v>Estabilización y entrega técnica de la aplicación</x:v>
      </x:c>
      <x:c r="C940" s="42" t="str">
        <x:v>ENT01</x:v>
      </x:c>
      <x:c r="D940" s="43" t="str">
        <x:v>Preparar APK de entrega</x:v>
      </x:c>
      <x:c r="E940" s="43" t="str">
        <x:v>Definir artefacto de prueba o distribución según firma disponible.</x:v>
      </x:c>
      <x:c r="F940" s="43" t="str">
        <x:v>Pendiente</x:v>
      </x:c>
      <x:c r="G940" s="44" t="n">
        <x:v>46341</x:v>
      </x:c>
      <x:c r="H940" s="44" t="n">
        <x:v>46344</x:v>
      </x:c>
      <x:c r="I940" s="45" t="n">
        <x:f>IF(OR(G940="",H940=""),"",SUMPRODUCT(('Cronograma'!$F$8:$P$8&lt;=H940)*('Cronograma'!$F$9:$P$9&gt;=G940)))</x:f>
        <x:v>1</x:v>
      </x:c>
      <x:c r="J940" s="46"/>
      <x:c r="K940" s="46"/>
      <x:c r="L940" s="47"/>
      <x:c r="M940" s="48" t="str"/>
      <x:c r="N940" s="48" t="str"/>
      <x:c r="O940" s="49"/>
      <x:c r="P940" s="43" t="str">
        <x:v>Plan propuesto, sin ejecución</x:v>
      </x:c>
      <x:c r="Q940" s="43" t="str">
        <x:v>PIL02, QA03</x:v>
      </x:c>
      <x:c r="R940" s="43" t="str">
        <x:v>Ejecutar la actividad y registrar resultado, responsables y duración real.</x:v>
      </x:c>
      <x:c r="S940" s="43" t="str">
        <x:v>Plan propuesto después del corte 06/10/2026; ninguna ejecución futura se considera realizada. Responsables y tiempos reales pendientes de captura.</x:v>
      </x:c>
      <x:c r="T940" s="43" t="str">
        <x:v>S001, S145, S127</x:v>
      </x:c>
      <x:c r="U940" s="43" t="str">
        <x:v>README.md
tool/README.md
docs/implementation/tours-local-pilot-report.md</x:v>
      </x:c>
    </x:row>
    <x:row r="941" ht="44" customHeight="1">
      <x:c r="A941" s="42" t="str">
        <x:v>ENT01.006</x:v>
      </x:c>
      <x:c r="B941" s="42" t="str">
        <x:v>Estabilización y entrega técnica de la aplicación</x:v>
      </x:c>
      <x:c r="C941" s="42" t="str">
        <x:v>ENT01</x:v>
      </x:c>
      <x:c r="D941" s="43" t="str">
        <x:v>Preparar iOS si existe firma y dispositivo</x:v>
      </x:c>
      <x:c r="E941" s="43" t="str">
        <x:v>Condicionar entrega iOS al equipo Apple y validación física.</x:v>
      </x:c>
      <x:c r="F941" s="43" t="str">
        <x:v>Bloqueado</x:v>
      </x:c>
      <x:c r="G941" s="44" t="n">
        <x:v>46341</x:v>
      </x:c>
      <x:c r="H941" s="44" t="n">
        <x:v>46344</x:v>
      </x:c>
      <x:c r="I941" s="45" t="n">
        <x:f>IF(OR(G941="",H941=""),"",SUMPRODUCT(('Cronograma'!$F$8:$P$8&lt;=H941)*('Cronograma'!$F$9:$P$9&gt;=G941)))</x:f>
        <x:v>1</x:v>
      </x:c>
      <x:c r="J941" s="46"/>
      <x:c r="K941" s="46"/>
      <x:c r="L941" s="47"/>
      <x:c r="M941" s="48" t="str"/>
      <x:c r="N941" s="48" t="str"/>
      <x:c r="O941" s="49"/>
      <x:c r="P941" s="43" t="str">
        <x:v>Plan propuesto, sin ejecución</x:v>
      </x:c>
      <x:c r="Q941" s="43" t="str">
        <x:v>PIL02, QA03</x:v>
      </x:c>
      <x:c r="R941" s="43" t="str">
        <x:v>Resolver credenciales, permisos o firma indicados en el resultado.</x:v>
      </x:c>
      <x:c r="S941" s="43" t="str">
        <x:v>Plan propuesto después del corte 06/10/2026; ninguna ejecución futura se considera realizada. Responsables y tiempos reales pendientes de captura.</x:v>
      </x:c>
      <x:c r="T941" s="43" t="str">
        <x:v>S001, S145, S127</x:v>
      </x:c>
      <x:c r="U941" s="43" t="str">
        <x:v>README.md
tool/README.md
docs/implementation/tours-local-pilot-report.md</x:v>
      </x:c>
    </x:row>
    <x:row r="942" ht="44" customHeight="1">
      <x:c r="A942" s="42" t="str">
        <x:v>ENT01.007</x:v>
      </x:c>
      <x:c r="B942" s="42" t="str">
        <x:v>Estabilización y entrega técnica de la aplicación</x:v>
      </x:c>
      <x:c r="C942" s="42" t="str">
        <x:v>ENT01</x:v>
      </x:c>
      <x:c r="D942" s="43" t="str">
        <x:v>Publicar actualización Web acordada</x:v>
      </x:c>
      <x:c r="E942" s="43" t="str">
        <x:v>Verificar recursos servidos y rutas después del despliegue.</x:v>
      </x:c>
      <x:c r="F942" s="43" t="str">
        <x:v>Pendiente</x:v>
      </x:c>
      <x:c r="G942" s="44" t="n">
        <x:v>46341</x:v>
      </x:c>
      <x:c r="H942" s="44" t="n">
        <x:v>46344</x:v>
      </x:c>
      <x:c r="I942" s="45" t="n">
        <x:f>IF(OR(G942="",H942=""),"",SUMPRODUCT(('Cronograma'!$F$8:$P$8&lt;=H942)*('Cronograma'!$F$9:$P$9&gt;=G942)))</x:f>
        <x:v>1</x:v>
      </x:c>
      <x:c r="J942" s="46"/>
      <x:c r="K942" s="46"/>
      <x:c r="L942" s="47"/>
      <x:c r="M942" s="48" t="str"/>
      <x:c r="N942" s="48" t="str"/>
      <x:c r="O942" s="49"/>
      <x:c r="P942" s="43" t="str">
        <x:v>Plan propuesto, sin ejecución</x:v>
      </x:c>
      <x:c r="Q942" s="43" t="str">
        <x:v>PIL02, QA03</x:v>
      </x:c>
      <x:c r="R942" s="43" t="str">
        <x:v>Ejecutar la actividad y registrar resultado, responsables y duración real.</x:v>
      </x:c>
      <x:c r="S942" s="43" t="str">
        <x:v>Plan propuesto después del corte 06/10/2026; ninguna ejecución futura se considera realizada. Responsables y tiempos reales pendientes de captura.</x:v>
      </x:c>
      <x:c r="T942" s="43" t="str">
        <x:v>S001, S145, S127</x:v>
      </x:c>
      <x:c r="U942" s="43" t="str">
        <x:v>README.md
tool/README.md
docs/implementation/tours-local-pilot-report.md</x:v>
      </x:c>
    </x:row>
    <x:row r="943" ht="44" customHeight="1">
      <x:c r="A943" s="42" t="str">
        <x:v>ENT01.008</x:v>
      </x:c>
      <x:c r="B943" s="42" t="str">
        <x:v>Estabilización y entrega técnica de la aplicación</x:v>
      </x:c>
      <x:c r="C943" s="42" t="str">
        <x:v>ENT01</x:v>
      </x:c>
      <x:c r="D943" s="43" t="str">
        <x:v>Verificar instalación y arranque Android</x:v>
      </x:c>
      <x:c r="E943" s="43" t="str">
        <x:v>Comprobar acceso y funciones principales del build entregado.</x:v>
      </x:c>
      <x:c r="F943" s="43" t="str">
        <x:v>Pendiente</x:v>
      </x:c>
      <x:c r="G943" s="44" t="n">
        <x:v>46341</x:v>
      </x:c>
      <x:c r="H943" s="44" t="n">
        <x:v>46344</x:v>
      </x:c>
      <x:c r="I943" s="45" t="n">
        <x:f>IF(OR(G943="",H943=""),"",SUMPRODUCT(('Cronograma'!$F$8:$P$8&lt;=H943)*('Cronograma'!$F$9:$P$9&gt;=G943)))</x:f>
        <x:v>1</x:v>
      </x:c>
      <x:c r="J943" s="46"/>
      <x:c r="K943" s="46"/>
      <x:c r="L943" s="47"/>
      <x:c r="M943" s="48" t="str"/>
      <x:c r="N943" s="48" t="str"/>
      <x:c r="O943" s="49"/>
      <x:c r="P943" s="43" t="str">
        <x:v>Plan propuesto, sin ejecución</x:v>
      </x:c>
      <x:c r="Q943" s="43" t="str">
        <x:v>PIL02, QA03</x:v>
      </x:c>
      <x:c r="R943" s="43" t="str">
        <x:v>Ejecutar la actividad y registrar resultado, responsables y duración real.</x:v>
      </x:c>
      <x:c r="S943" s="43" t="str">
        <x:v>Plan propuesto después del corte 06/10/2026; ninguna ejecución futura se considera realizada. Responsables y tiempos reales pendientes de captura.</x:v>
      </x:c>
      <x:c r="T943" s="43" t="str">
        <x:v>S001, S145, S127</x:v>
      </x:c>
      <x:c r="U943" s="43" t="str">
        <x:v>README.md
tool/README.md
docs/implementation/tours-local-pilot-report.md</x:v>
      </x:c>
    </x:row>
    <x:row r="944" ht="44" customHeight="1">
      <x:c r="A944" s="42" t="str">
        <x:v>ENT01.009</x:v>
      </x:c>
      <x:c r="B944" s="42" t="str">
        <x:v>Estabilización y entrega técnica de la aplicación</x:v>
      </x:c>
      <x:c r="C944" s="42" t="str">
        <x:v>ENT01</x:v>
      </x:c>
      <x:c r="D944" s="43" t="str">
        <x:v>Verificar operación de push y tours</x:v>
      </x:c>
      <x:c r="E944" s="43" t="str">
        <x:v>Comprobar schedulers, colas y procesadores activos.</x:v>
      </x:c>
      <x:c r="F944" s="43" t="str">
        <x:v>Pendiente</x:v>
      </x:c>
      <x:c r="G944" s="44" t="n">
        <x:v>46341</x:v>
      </x:c>
      <x:c r="H944" s="44" t="n">
        <x:v>46344</x:v>
      </x:c>
      <x:c r="I944" s="45" t="n">
        <x:f>IF(OR(G944="",H944=""),"",SUMPRODUCT(('Cronograma'!$F$8:$P$8&lt;=H944)*('Cronograma'!$F$9:$P$9&gt;=G944)))</x:f>
        <x:v>1</x:v>
      </x:c>
      <x:c r="J944" s="46"/>
      <x:c r="K944" s="46"/>
      <x:c r="L944" s="47"/>
      <x:c r="M944" s="48" t="str"/>
      <x:c r="N944" s="48" t="str"/>
      <x:c r="O944" s="49"/>
      <x:c r="P944" s="43" t="str">
        <x:v>Plan propuesto, sin ejecución</x:v>
      </x:c>
      <x:c r="Q944" s="43" t="str">
        <x:v>PIL02, QA03</x:v>
      </x:c>
      <x:c r="R944" s="43" t="str">
        <x:v>Ejecutar la actividad y registrar resultado, responsables y duración real.</x:v>
      </x:c>
      <x:c r="S944" s="43" t="str">
        <x:v>Plan propuesto después del corte 06/10/2026; ninguna ejecución futura se considera realizada. Responsables y tiempos reales pendientes de captura.</x:v>
      </x:c>
      <x:c r="T944" s="43" t="str">
        <x:v>S001, S145, S127</x:v>
      </x:c>
      <x:c r="U944" s="43" t="str">
        <x:v>README.md
tool/README.md
docs/implementation/tours-local-pilot-report.md</x:v>
      </x:c>
    </x:row>
    <x:row r="945" ht="44" customHeight="1">
      <x:c r="A945" s="42" t="str">
        <x:v>ENT01.010</x:v>
      </x:c>
      <x:c r="B945" s="42" t="str">
        <x:v>Estabilización y entrega técnica de la aplicación</x:v>
      </x:c>
      <x:c r="C945" s="42" t="str">
        <x:v>ENT01</x:v>
      </x:c>
      <x:c r="D945" s="43" t="str">
        <x:v>Actualizar instrucciones técnicas</x:v>
      </x:c>
      <x:c r="E945" s="43" t="str">
        <x:v>Documentar ejecución, límites y recuperación de la aplicación.</x:v>
      </x:c>
      <x:c r="F945" s="43" t="str">
        <x:v>Pendiente</x:v>
      </x:c>
      <x:c r="G945" s="44" t="n">
        <x:v>46341</x:v>
      </x:c>
      <x:c r="H945" s="44" t="n">
        <x:v>46344</x:v>
      </x:c>
      <x:c r="I945" s="45" t="n">
        <x:f>IF(OR(G945="",H945=""),"",SUMPRODUCT(('Cronograma'!$F$8:$P$8&lt;=H945)*('Cronograma'!$F$9:$P$9&gt;=G945)))</x:f>
        <x:v>1</x:v>
      </x:c>
      <x:c r="J945" s="46"/>
      <x:c r="K945" s="46"/>
      <x:c r="L945" s="47"/>
      <x:c r="M945" s="48" t="str"/>
      <x:c r="N945" s="48" t="str"/>
      <x:c r="O945" s="49"/>
      <x:c r="P945" s="43" t="str">
        <x:v>Plan propuesto, sin ejecución</x:v>
      </x:c>
      <x:c r="Q945" s="43" t="str">
        <x:v>PIL02, QA03</x:v>
      </x:c>
      <x:c r="R945" s="43" t="str">
        <x:v>Ejecutar la actividad y registrar resultado, responsables y duración real.</x:v>
      </x:c>
      <x:c r="S945" s="43" t="str">
        <x:v>Plan propuesto después del corte 06/10/2026; ninguna ejecución futura se considera realizada. Responsables y tiempos reales pendientes de captura.</x:v>
      </x:c>
      <x:c r="T945" s="43" t="str">
        <x:v>S001, S145, S127</x:v>
      </x:c>
      <x:c r="U945" s="43" t="str">
        <x:v>README.md
tool/README.md
docs/implementation/tours-local-pilot-report.md</x:v>
      </x:c>
    </x:row>
    <x:row r="946" ht="44" customHeight="1">
      <x:c r="A946" s="42" t="str">
        <x:v>ENT01.011</x:v>
      </x:c>
      <x:c r="B946" s="42" t="str">
        <x:v>Estabilización y entrega técnica de la aplicación</x:v>
      </x:c>
      <x:c r="C946" s="42" t="str">
        <x:v>ENT01</x:v>
      </x:c>
      <x:c r="D946" s="43" t="str">
        <x:v>Registrar versión y archivos entregados</x:v>
      </x:c>
      <x:c r="E946" s="43" t="str">
        <x:v>Relacionar artefactos con commit o snapshot verificable.</x:v>
      </x:c>
      <x:c r="F946" s="43" t="str">
        <x:v>Pendiente</x:v>
      </x:c>
      <x:c r="G946" s="44" t="n">
        <x:v>46341</x:v>
      </x:c>
      <x:c r="H946" s="44" t="n">
        <x:v>46344</x:v>
      </x:c>
      <x:c r="I946" s="45" t="n">
        <x:f>IF(OR(G946="",H946=""),"",SUMPRODUCT(('Cronograma'!$F$8:$P$8&lt;=H946)*('Cronograma'!$F$9:$P$9&gt;=G946)))</x:f>
        <x:v>1</x:v>
      </x:c>
      <x:c r="J946" s="46"/>
      <x:c r="K946" s="46"/>
      <x:c r="L946" s="47"/>
      <x:c r="M946" s="48" t="str"/>
      <x:c r="N946" s="48" t="str"/>
      <x:c r="O946" s="49"/>
      <x:c r="P946" s="43" t="str">
        <x:v>Plan propuesto, sin ejecución</x:v>
      </x:c>
      <x:c r="Q946" s="43" t="str">
        <x:v>PIL02, QA03</x:v>
      </x:c>
      <x:c r="R946" s="43" t="str">
        <x:v>Ejecutar la actividad y registrar resultado, responsables y duración real.</x:v>
      </x:c>
      <x:c r="S946" s="43" t="str">
        <x:v>Plan propuesto después del corte 06/10/2026; ninguna ejecución futura se considera realizada. Responsables y tiempos reales pendientes de captura.</x:v>
      </x:c>
      <x:c r="T946" s="43" t="str">
        <x:v>S001, S145, S127</x:v>
      </x:c>
      <x:c r="U946" s="43" t="str">
        <x:v>README.md
tool/README.md
docs/implementation/tours-local-pilot-report.md</x:v>
      </x:c>
    </x:row>
    <x:row r="947" ht="44" customHeight="1">
      <x:c r="A947" s="42" t="str">
        <x:v>ENT01.012</x:v>
      </x:c>
      <x:c r="B947" s="42" t="str">
        <x:v>Estabilización y entrega técnica de la aplicación</x:v>
      </x:c>
      <x:c r="C947" s="42" t="str">
        <x:v>ENT01</x:v>
      </x:c>
      <x:c r="D947" s="43" t="str">
        <x:v>Cerrar aceptación técnica el 18 de noviembre</x:v>
      </x:c>
      <x:c r="E947" s="43" t="str">
        <x:v>Registrar responsable, resultado y pendientes que permanezcan.</x:v>
      </x:c>
      <x:c r="F947" s="43" t="str">
        <x:v>Pendiente</x:v>
      </x:c>
      <x:c r="G947" s="44" t="n">
        <x:v>46341</x:v>
      </x:c>
      <x:c r="H947" s="44" t="n">
        <x:v>46344</x:v>
      </x:c>
      <x:c r="I947" s="45" t="n">
        <x:f>IF(OR(G947="",H947=""),"",SUMPRODUCT(('Cronograma'!$F$8:$P$8&lt;=H947)*('Cronograma'!$F$9:$P$9&gt;=G947)))</x:f>
        <x:v>1</x:v>
      </x:c>
      <x:c r="J947" s="46"/>
      <x:c r="K947" s="46"/>
      <x:c r="L947" s="47"/>
      <x:c r="M947" s="48" t="str"/>
      <x:c r="N947" s="48" t="str"/>
      <x:c r="O947" s="49"/>
      <x:c r="P947" s="43" t="str">
        <x:v>Plan propuesto, sin ejecución</x:v>
      </x:c>
      <x:c r="Q947" s="43" t="str">
        <x:v>PIL02, QA03</x:v>
      </x:c>
      <x:c r="R947" s="43" t="str">
        <x:v>Ejecutar la actividad y registrar resultado, responsables y duración real.</x:v>
      </x:c>
      <x:c r="S947" s="43" t="str">
        <x:v>Plan propuesto después del corte 06/10/2026; ninguna ejecución futura se considera realizada. Responsables y tiempos reales pendientes de captura.</x:v>
      </x:c>
      <x:c r="T947" s="43" t="str">
        <x:v>S001, S145, S127</x:v>
      </x:c>
      <x:c r="U947" s="43" t="str">
        <x:v>README.md
tool/README.md
docs/implementation/tours-local-pilot-report.md</x:v>
      </x:c>
    </x:row>
  </x:sheetData>
  <x:mergeCells>
    <x:mergeCell ref="A2:U2"/>
    <x:mergeCell ref="A3:U3"/>
    <x:mergeCell ref="A4:U4"/>
    <x:mergeCell ref="A5:U5"/>
    <x:mergeCell ref="A6:U6"/>
  </x:mergeCells>
  <x:dataValidations count="1">
    <x:dataValidation type="list" sqref="F9:F947">
      <x:formula1>"Completado,WIP,Pendiente,Bloqueado,Sustituido"</x:formula1>
    </x:dataValidation>
  </x:dataValidations>
  <x:printOptions gridLines="0" headings="0"/>
  <x:pageMargins left="0.25" right="0.25" top="0.35" bottom="0.35" header="0.15" footer="0.15"/>
  <x:pageSetup paperSize="8" orientation="landscape" scale="100"/>
  <x:headerFooter>
    <x:oddFooter>&amp;LMAREA&amp;C&amp;P / &amp;N&amp;R01 sep–18 nov 2026</x:oddFooter>
  </x:headerFooter>
  <x:tableParts count="1">
    <x:tablePart r:id="R6a7ed5cbe6be48f3"/>
  </x:tableParts>
</x:worksheet>
</file>