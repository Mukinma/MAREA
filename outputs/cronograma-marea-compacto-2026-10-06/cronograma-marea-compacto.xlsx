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87af1b529418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Cronograma" sheetId="1" r:id="R21a7b040d0ea4dcc"/>
    <x:sheet name="Detalle" sheetId="2" r:id="Rb2fc88d7605f4086"/>
  </x:sheets>
  <x:definedNames>
    <x:definedName name="_xlnm.Print_Area" localSheetId="0">'Cronograma'!$A$1:$T$299</x:definedName>
    <x:definedName name="_xlnm.Print_Titles" localSheetId="0">'Cronograma'!$1:$9</x:definedName>
    <x:definedName name="_xlnm.Print_Area" localSheetId="1">'Detalle'!$A$1:$R$150</x:definedName>
    <x:definedName name="_xlnm.Print_Titles" localSheetId="1">'Detalle'!$1:$8,'Detalle'!$A:$D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"/>
    <x:numFmt numFmtId="201" formatCode="dd mmm"/>
    <x:numFmt numFmtId="202" formatCode=";;;"/>
    <x:numFmt numFmtId="203" formatCode="dd/mm/yyyy"/>
    <x:numFmt numFmtId="204" formatCode="0"/>
  </x:numFmts>
  <x:fonts count="8">
    <x:font>
      <x:sz val="11"/>
      <x:name val="Carlito"/>
    </x:font>
    <x:font>
      <x:sz val="10"/>
      <x:color rgb="FF102149"/>
      <x:name val="Arial"/>
    </x:font>
    <x:font>
      <x:b/>
      <x:sz val="16"/>
      <x:color rgb="FF0B255E"/>
      <x:name val="Arial"/>
    </x:font>
    <x:font>
      <x:b/>
      <x:sz val="10"/>
      <x:color rgb="FFFFFFFF"/>
      <x:name val="Arial"/>
    </x:font>
    <x:font>
      <x:b/>
      <x:sz val="10"/>
      <x:color rgb="FF102149"/>
      <x:name val="Arial"/>
    </x:font>
    <x:font>
      <x:b/>
      <x:sz val="11"/>
      <x:color rgb="FFFFFFFF"/>
      <x:name val="Arial"/>
    </x:font>
    <x:font>
      <x:b/>
      <x:sz val="10"/>
      <x:color rgb="FF0D4397"/>
      <x:name val="Arial"/>
    </x:font>
    <x:font>
      <x:b/>
      <x:sz val="10"/>
      <x:color rgb="FF22C5C1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0DF"/>
      </x:patternFill>
    </x:fill>
    <x:fill>
      <x:patternFill patternType="solid">
        <x:fgColor rgb="FF0D4397"/>
      </x:patternFill>
    </x:fill>
    <x:fill>
      <x:patternFill patternType="solid">
        <x:fgColor rgb="FF22C5C1"/>
      </x:patternFill>
    </x:fill>
    <x:fill>
      <x:patternFill patternType="solid">
        <x:fgColor rgb="FFDDF5EF"/>
      </x:patternFill>
    </x:fill>
    <x:fill>
      <x:patternFill patternType="solid">
        <x:fgColor rgb="FF0B255E"/>
      </x:patternFill>
    </x:fill>
    <x:fill>
      <x:patternFill patternType="solid">
        <x:fgColor rgb="FFEAF6FD"/>
      </x:patternFill>
    </x:fill>
    <x:fill>
      <x:patternFill patternType="solid">
        <x:fgColor rgb="FFFAF9F6"/>
      </x:patternFill>
    </x:fill>
    <x:fill>
      <x:patternFill patternType="solid">
        <x:fgColor rgb="FFD9E5F0"/>
      </x:patternFill>
    </x:fill>
  </x:fills>
  <x:borders count="2">
    <x:border/>
    <x:border>
      <x:left style="thin">
        <x:color rgb="FFD9E5F0"/>
      </x:left>
      <x:right style="thin">
        <x:color rgb="FFD9E5F0"/>
      </x:right>
      <x:top style="thin">
        <x:color rgb="FFD9E5F0"/>
      </x:top>
      <x:bottom style="thin">
        <x:color rgb="FFD9E5F0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200" fontId="1" fillId="8" borderId="0" xfId="0" applyNumberFormat="1" applyFont="1" applyFill="1" applyBorder="1" applyAlignment="1">
      <x:alignment horizontal="center" vertical="center" wrapText="1"/>
    </x:xf>
    <x:xf numFmtId="201" fontId="1" fillId="8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200" fontId="1" fillId="8" borderId="1" xfId="0" applyNumberFormat="1" applyFont="1" applyFill="1" applyBorder="1" applyAlignment="1">
      <x:alignment horizontal="center" vertical="center" wrapText="1"/>
    </x:xf>
    <x:xf numFmtId="201" fontId="1" fillId="8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3" fontId="1" fillId="8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8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203" fontId="1" fillId="8" borderId="1" xfId="0" applyNumberFormat="1" applyFont="1" applyFill="1" applyBorder="1" applyAlignment="1">
      <x:alignment vertical="top" wrapText="1"/>
    </x:xf>
    <x:xf numFmtId="204" fontId="1" fillId="8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203" fontId="1" fillId="2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center" wrapText="1"/>
    </x:xf>
    <x:xf numFmtId="202" fontId="1" fillId="7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202" fontId="5" fillId="7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204" fontId="1" fillId="2" borderId="1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0D4397"/>
        </x:patternFill>
      </x:fill>
    </x:dxf>
    <x:dxf>
      <x:fill>
        <x:patternFill patternType="solid">
          <x:bgColor rgb="FF22C5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1404504664479" /><Relationship Type="http://schemas.openxmlformats.org/officeDocument/2006/relationships/theme" Target="/xl/theme/theme1.xml" Id="R32a0278049864ce6" /><Relationship Type="http://schemas.openxmlformats.org/officeDocument/2006/relationships/sharedStrings" Target="/xl/sharedStrings.xml" Id="Re3d02a1bb2ba43d1" /><Relationship Type="http://schemas.openxmlformats.org/officeDocument/2006/relationships/worksheet" Target="/xl/worksheets/sheet1.xml" Id="R21a7b040d0ea4dcc" /><Relationship Type="http://schemas.openxmlformats.org/officeDocument/2006/relationships/worksheet" Target="/xl/worksheets/sheet2.xml" Id="Rb2fc88d7605f4086" /></Relationships>
</file>

<file path=xl/tables/table1.xml><?xml version="1.0" encoding="utf-8"?>
<x:table xmlns:x="http://schemas.openxmlformats.org/spreadsheetml/2006/main" id="1" name="MareaCompactTasks" displayName="MareaCompactTasks" ref="A8:R150" headerRowCount="1" totalsRowCount="0" totalsRowShown="0">
  <x:autoFilter ref="A8:R150"/>
  <x:tableColumns count="18">
    <x:tableColumn id="1" name="ID"/>
    <x:tableColumn id="2" name="Etapa"/>
    <x:tableColumn id="3" name="Módulo"/>
    <x:tableColumn id="4" name="Actividad"/>
    <x:tableColumn id="5" name="Resultado / entregable"/>
    <x:tableColumn id="6" name="Estado"/>
    <x:tableColumn id="7" name="E inicio"/>
    <x:tableColumn id="8" name="E fin"/>
    <x:tableColumn id="9" name="E bloques"/>
    <x:tableColumn id="10" name="R bloques"/>
    <x:tableColumn id="11" name="Especialidad"/>
    <x:tableColumn id="12" name="Responsable asignado"/>
    <x:tableColumn id="13" name="Realizado por"/>
    <x:tableColumn id="14" name="Fecha de evidencia"/>
    <x:tableColumn id="15" name="Dependencias"/>
    <x:tableColumn id="16" name="Para cerrar"/>
    <x:tableColumn id="17" name="Observaciones"/>
    <x:tableColumn id="18" name="Fuentes verificabl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ae1eb073424fd8" /></Relationships>
</file>

<file path=xl/worksheets/sheet1.xml><?xml version="1.0" encoding="utf-8"?>
<x:worksheet xmlns:x="http://schemas.openxmlformats.org/spreadsheetml/2006/main">
  <x:sheetPr>
    <x:tabColor rgb="FF0B255E"/>
    <x:pageSetUpPr fitToPage="1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10" hidden="0" customWidth="1"/>
    <x:col min="2" max="2" width="20" hidden="0" customWidth="1"/>
    <x:col min="3" max="3" width="49" hidden="0" customWidth="1"/>
    <x:col min="4" max="4" width="4" hidden="0" customWidth="1"/>
    <x:col min="5" max="5" width="9" hidden="0" customWidth="1"/>
    <x:col min="6" max="6" width="14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18" hidden="0" customWidth="1"/>
    <x:col min="20" max="20" width="18" hidden="0" customWidth="1"/>
  </x:cols>
  <x:sheetData>
    <x:row r="1" ht="8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8" customHeight="1">
      <x:c r="A2" s="5" t="str">
        <x:v>MAREA — Cronograma por etapas y responsables</x:v>
      </x:c>
      <x:c r="B2" s="5" t="str">
        <x:v>MAREA — Cronograma por etapas y responsables</x:v>
      </x:c>
      <x:c r="C2" s="5" t="str">
        <x:v>MAREA — Cronograma por etapas y responsables</x:v>
      </x:c>
      <x:c r="D2" s="5" t="str">
        <x:v>MAREA — Cronograma por etapas y responsables</x:v>
      </x:c>
      <x:c r="E2" s="5" t="str">
        <x:v>MAREA — Cronograma por etapas y responsables</x:v>
      </x:c>
      <x:c r="F2" s="5" t="str">
        <x:v>MAREA — Cronograma por etapas y responsables</x:v>
      </x:c>
      <x:c r="G2" s="5" t="str">
        <x:v>MAREA — Cronograma por etapas y responsables</x:v>
      </x:c>
      <x:c r="H2" s="5" t="str">
        <x:v>MAREA — Cronograma por etapas y responsables</x:v>
      </x:c>
      <x:c r="I2" s="5" t="str">
        <x:v>MAREA — Cronograma por etapas y responsables</x:v>
      </x:c>
      <x:c r="J2" s="5" t="str">
        <x:v>MAREA — Cronograma por etapas y responsables</x:v>
      </x:c>
      <x:c r="K2" s="5" t="str">
        <x:v>MAREA — Cronograma por etapas y responsables</x:v>
      </x:c>
      <x:c r="L2" s="5" t="str">
        <x:v>MAREA — Cronograma por etapas y responsables</x:v>
      </x:c>
      <x:c r="M2" s="5" t="str">
        <x:v>MAREA — Cronograma por etapas y responsables</x:v>
      </x:c>
      <x:c r="N2" s="5" t="str">
        <x:v>MAREA — Cronograma por etapas y responsables</x:v>
      </x:c>
      <x:c r="O2" s="5" t="str">
        <x:v>MAREA — Cronograma por etapas y responsables</x:v>
      </x:c>
      <x:c r="P2" s="5" t="str">
        <x:v>MAREA — Cronograma por etapas y responsables</x:v>
      </x:c>
      <x:c r="Q2" s="5" t="str">
        <x:v>MAREA — Cronograma por etapas y responsables</x:v>
      </x:c>
      <x:c r="R2" s="5" t="str">
        <x:v>MAREA — Cronograma por etapas y responsables</x:v>
      </x:c>
      <x:c r="S2" s="5" t="str">
        <x:v>MAREA — Cronograma por etapas y responsables</x:v>
      </x:c>
      <x:c r="T2" s="5" t="str">
        <x:v>MAREA — Cronograma por etapas y responsables</x:v>
      </x:c>
    </x:row>
    <x:row r="3" ht="20" customHeight="1">
      <x:c r="A3" s="4" t="str">
        <x:v>01 septiembre–18 noviembre 2026. Estado al 06 octubre. 142 tareas. 299 filas.</x:v>
      </x:c>
      <x:c r="B3" s="4" t="str">
        <x:v>01 septiembre–18 noviembre 2026. Estado al 06 octubre. 142 tareas. 299 filas.</x:v>
      </x:c>
      <x:c r="C3" s="4" t="str">
        <x:v>01 septiembre–18 noviembre 2026. Estado al 06 octubre. 142 tareas. 299 filas.</x:v>
      </x:c>
      <x:c r="D3" s="4" t="str">
        <x:v>01 septiembre–18 noviembre 2026. Estado al 06 octubre. 142 tareas. 299 filas.</x:v>
      </x:c>
      <x:c r="E3" s="4" t="str">
        <x:v>01 septiembre–18 noviembre 2026. Estado al 06 octubre. 142 tareas. 299 filas.</x:v>
      </x:c>
      <x:c r="F3" s="4" t="str">
        <x:v>01 septiembre–18 noviembre 2026. Estado al 06 octubre. 142 tareas. 299 filas.</x:v>
      </x:c>
      <x:c r="G3" s="4" t="str">
        <x:v>01 septiembre–18 noviembre 2026. Estado al 06 octubre. 142 tareas. 299 filas.</x:v>
      </x:c>
      <x:c r="H3" s="4" t="str">
        <x:v>01 septiembre–18 noviembre 2026. Estado al 06 octubre. 142 tareas. 299 filas.</x:v>
      </x:c>
      <x:c r="I3" s="4" t="str">
        <x:v>01 septiembre–18 noviembre 2026. Estado al 06 octubre. 142 tareas. 299 filas.</x:v>
      </x:c>
      <x:c r="J3" s="4" t="str">
        <x:v>01 septiembre–18 noviembre 2026. Estado al 06 octubre. 142 tareas. 299 filas.</x:v>
      </x:c>
      <x:c r="K3" s="4" t="str">
        <x:v>01 septiembre–18 noviembre 2026. Estado al 06 octubre. 142 tareas. 299 filas.</x:v>
      </x:c>
      <x:c r="L3" s="4" t="str">
        <x:v>01 septiembre–18 noviembre 2026. Estado al 06 octubre. 142 tareas. 299 filas.</x:v>
      </x:c>
      <x:c r="M3" s="4" t="str">
        <x:v>01 septiembre–18 noviembre 2026. Estado al 06 octubre. 142 tareas. 299 filas.</x:v>
      </x:c>
      <x:c r="N3" s="4" t="str">
        <x:v>01 septiembre–18 noviembre 2026. Estado al 06 octubre. 142 tareas. 299 filas.</x:v>
      </x:c>
      <x:c r="O3" s="4" t="str">
        <x:v>01 septiembre–18 noviembre 2026. Estado al 06 octubre. 142 tareas. 299 filas.</x:v>
      </x:c>
      <x:c r="P3" s="4" t="str">
        <x:v>01 septiembre–18 noviembre 2026. Estado al 06 octubre. 142 tareas. 299 filas.</x:v>
      </x:c>
      <x:c r="Q3" s="4" t="str">
        <x:v>01 septiembre–18 noviembre 2026. Estado al 06 octubre. 142 tareas. 299 filas.</x:v>
      </x:c>
      <x:c r="R3" s="4" t="str">
        <x:v>01 septiembre–18 noviembre 2026. Estado al 06 octubre. 142 tareas. 299 filas.</x:v>
      </x:c>
      <x:c r="S3" s="4" t="str">
        <x:v>01 septiembre–18 noviembre 2026. Estado al 06 octubre. 142 tareas. 299 filas.</x:v>
      </x:c>
      <x:c r="T3" s="4" t="str">
        <x:v>01 septiembre–18 noviembre 2026. Estado al 06 octubre. 142 tareas. 299 filas.</x:v>
      </x:c>
    </x:row>
    <x:row r="4" ht="27" customHeight="1">
      <x:c r="A4" s="4" t="str">
        <x:v>R = completado en los mismos bloques que E. Alineación semanal solicitada; no es duración de esfuerzo medida. WIP y Pendiente: solo E.</x:v>
      </x:c>
      <x:c r="B4" s="4" t="str">
        <x:v>R = completado en los mismos bloques que E. Alineación semanal solicitada; no es duración de esfuerzo medida. WIP y Pendiente: solo E.</x:v>
      </x:c>
      <x:c r="C4" s="4" t="str">
        <x:v>R = completado en los mismos bloques que E. Alineación semanal solicitada; no es duración de esfuerzo medida. WIP y Pendiente: solo E.</x:v>
      </x:c>
      <x:c r="D4" s="4" t="str">
        <x:v>R = completado en los mismos bloques que E. Alineación semanal solicitada; no es duración de esfuerzo medida. WIP y Pendiente: solo E.</x:v>
      </x:c>
      <x:c r="E4" s="4" t="str">
        <x:v>R = completado en los mismos bloques que E. Alineación semanal solicitada; no es duración de esfuerzo medida. WIP y Pendiente: solo E.</x:v>
      </x:c>
      <x:c r="F4" s="4" t="str">
        <x:v>R = completado en los mismos bloques que E. Alineación semanal solicitada; no es duración de esfuerzo medida. WIP y Pendiente: solo E.</x:v>
      </x:c>
      <x:c r="G4" s="4" t="str">
        <x:v>R = completado en los mismos bloques que E. Alineación semanal solicitada; no es duración de esfuerzo medida. WIP y Pendiente: solo E.</x:v>
      </x:c>
      <x:c r="H4" s="4" t="str">
        <x:v>R = completado en los mismos bloques que E. Alineación semanal solicitada; no es duración de esfuerzo medida. WIP y Pendiente: solo E.</x:v>
      </x:c>
      <x:c r="I4" s="4" t="str">
        <x:v>R = completado en los mismos bloques que E. Alineación semanal solicitada; no es duración de esfuerzo medida. WIP y Pendiente: solo E.</x:v>
      </x:c>
      <x:c r="J4" s="4" t="str">
        <x:v>R = completado en los mismos bloques que E. Alineación semanal solicitada; no es duración de esfuerzo medida. WIP y Pendiente: solo E.</x:v>
      </x:c>
      <x:c r="K4" s="4" t="str">
        <x:v>R = completado en los mismos bloques que E. Alineación semanal solicitada; no es duración de esfuerzo medida. WIP y Pendiente: solo E.</x:v>
      </x:c>
      <x:c r="L4" s="4" t="str">
        <x:v>R = completado en los mismos bloques que E. Alineación semanal solicitada; no es duración de esfuerzo medida. WIP y Pendiente: solo E.</x:v>
      </x:c>
      <x:c r="M4" s="4" t="str">
        <x:v>R = completado en los mismos bloques que E. Alineación semanal solicitada; no es duración de esfuerzo medida. WIP y Pendiente: solo E.</x:v>
      </x:c>
      <x:c r="N4" s="4" t="str">
        <x:v>R = completado en los mismos bloques que E. Alineación semanal solicitada; no es duración de esfuerzo medida. WIP y Pendiente: solo E.</x:v>
      </x:c>
      <x:c r="O4" s="4" t="str">
        <x:v>R = completado en los mismos bloques que E. Alineación semanal solicitada; no es duración de esfuerzo medida. WIP y Pendiente: solo E.</x:v>
      </x:c>
      <x:c r="P4" s="4" t="str">
        <x:v>R = completado en los mismos bloques que E. Alineación semanal solicitada; no es duración de esfuerzo medida. WIP y Pendiente: solo E.</x:v>
      </x:c>
      <x:c r="Q4" s="4" t="str">
        <x:v>R = completado en los mismos bloques que E. Alineación semanal solicitada; no es duración de esfuerzo medida. WIP y Pendiente: solo E.</x:v>
      </x:c>
      <x:c r="R4" s="4" t="str">
        <x:v>R = completado en los mismos bloques que E. Alineación semanal solicitada; no es duración de esfuerzo medida. WIP y Pendiente: solo E.</x:v>
      </x:c>
      <x:c r="S4" s="4" t="str">
        <x:v>R = completado en los mismos bloques que E. Alineación semanal solicitada; no es duración de esfuerzo medida. WIP y Pendiente: solo E.</x:v>
      </x:c>
      <x:c r="T4" s="4" t="str">
        <x:v>R = completado en los mismos bloques que E. Alineación semanal solicitada; no es duración de esfuerzo medida. WIP y Pendiente: solo E.</x:v>
      </x:c>
    </x:row>
    <x:row r="5" ht="27" customHeight="1">
      <x:c r="A5" s="6" t="str">
        <x:v>Responsables propuestos. Nombres y estados editables en Detalle.</x:v>
      </x:c>
      <x:c r="B5" s="6" t="str">
        <x:v>Responsables propuestos. Nombres y estados editables en Detalle.</x:v>
      </x:c>
      <x:c r="C5" s="6" t="str">
        <x:v>Responsables propuestos. Nombres y estados editables en Detalle.</x:v>
      </x:c>
      <x:c r="D5" s="6" t="str">
        <x:v>Responsables propuestos. Nombres y estados editables en Detalle.</x:v>
      </x:c>
      <x:c r="E5" s="6" t="str">
        <x:v>Responsables propuestos. Nombres y estados editables en Detalle.</x:v>
      </x:c>
      <x:c r="F5" s="6" t="str">
        <x:v>Responsables propuestos. Nombres y estados editables en Detalle.</x:v>
      </x:c>
      <x:c r="G5" s="9" t="str">
        <x:v>E — Tiempo estimado</x:v>
      </x:c>
      <x:c r="H5" s="9" t="str">
        <x:v>E — Tiempo estimado</x:v>
      </x:c>
      <x:c r="I5" s="9" t="str">
        <x:v>E — Tiempo estimado</x:v>
      </x:c>
      <x:c r="J5" s="9" t="str">
        <x:v>E — Tiempo estimado</x:v>
      </x:c>
      <x:c r="K5" s="12" t="str">
        <x:v>R — Tiempo real</x:v>
      </x:c>
      <x:c r="L5" s="12" t="str">
        <x:v>R — Tiempo real</x:v>
      </x:c>
      <x:c r="M5" s="12" t="str">
        <x:v>R — Tiempo real</x:v>
      </x:c>
      <x:c r="N5" s="12" t="str">
        <x:v>R — Tiempo real</x:v>
      </x:c>
      <x:c r="O5" s="14" t="str">
        <x:v>AR en WIP. Cloud Run pendiente.</x:v>
      </x:c>
      <x:c r="P5" s="14" t="str">
        <x:v>AR en WIP. Cloud Run pendiente.</x:v>
      </x:c>
      <x:c r="Q5" s="14" t="str">
        <x:v>AR en WIP. Cloud Run pendiente.</x:v>
      </x:c>
      <x:c r="R5" s="14" t="str">
        <x:v>AR en WIP. Cloud Run pendiente.</x:v>
      </x:c>
      <x:c r="S5" s="14" t="str">
        <x:v>AR en WIP. Cloud Run pendiente.</x:v>
      </x:c>
      <x:c r="T5" s="14" t="str">
        <x:v>AR en WIP. Cloud Run pendiente.</x:v>
      </x:c>
    </x:row>
    <x:row r="6" ht="23" customHeight="1">
      <x:c r="A6" s="22" t="str">
        <x:v>ID</x:v>
      </x:c>
      <x:c r="B6" s="22" t="str">
        <x:v>Módulo</x:v>
      </x:c>
      <x:c r="C6" s="22" t="str">
        <x:v>Actividad</x:v>
      </x:c>
      <x:c r="D6" s="22" t="str">
        <x:v>E/R</x:v>
      </x:c>
      <x:c r="E6" s="22" t="str">
        <x:v>Tiempo
(bloques)</x:v>
      </x:c>
      <x:c r="F6" s="22" t="str">
        <x:v>Estado</x:v>
      </x:c>
      <x:c r="G6" s="22" t="str">
        <x:v>SEPTIEMBRE</x:v>
      </x:c>
      <x:c r="H6" s="22" t="str">
        <x:v>SEPTIEMBRE</x:v>
      </x:c>
      <x:c r="I6" s="22" t="str">
        <x:v>SEPTIEMBRE</x:v>
      </x:c>
      <x:c r="J6" s="22" t="str">
        <x:v>SEPTIEMBRE</x:v>
      </x:c>
      <x:c r="K6" s="22" t="str">
        <x:v>OCTUBRE</x:v>
      </x:c>
      <x:c r="L6" s="22" t="str">
        <x:v>OCTUBRE</x:v>
      </x:c>
      <x:c r="M6" s="22" t="str">
        <x:v>OCTUBRE</x:v>
      </x:c>
      <x:c r="N6" s="22" t="str">
        <x:v>OCTUBRE</x:v>
      </x:c>
      <x:c r="O6" s="22" t="str">
        <x:v>NOVIEMBRE</x:v>
      </x:c>
      <x:c r="P6" s="22" t="str">
        <x:v>NOVIEMBRE</x:v>
      </x:c>
      <x:c r="Q6" s="22" t="str">
        <x:v>NOVIEMBRE</x:v>
      </x:c>
      <x:c r="R6" s="22" t="str">
        <x:v>NOVIEMBRE</x:v>
      </x:c>
      <x:c r="S6" s="22" t="str">
        <x:v>Responsable
asignado</x:v>
      </x:c>
      <x:c r="T6" s="22" t="str">
        <x:v>Realizado
por</x:v>
      </x:c>
    </x:row>
    <x:row r="7" ht="17" customHeight="1">
      <x:c r="A7" s="22" t="str">
        <x:v>ID</x:v>
      </x:c>
      <x:c r="B7" s="22" t="str">
        <x:v>Módulo</x:v>
      </x:c>
      <x:c r="C7" s="22" t="str">
        <x:v>Actividad</x:v>
      </x:c>
      <x:c r="D7" s="22" t="str">
        <x:v>E/R</x:v>
      </x:c>
      <x:c r="E7" s="22" t="str">
        <x:v>Tiempo
(bloques)</x:v>
      </x:c>
      <x:c r="F7" s="22" t="str">
        <x:v>Estado</x:v>
      </x:c>
      <x:c r="G7" s="23" t="str">
        <x:v>S1</x:v>
      </x:c>
      <x:c r="H7" s="23" t="str">
        <x:v>S2</x:v>
      </x:c>
      <x:c r="I7" s="23" t="str">
        <x:v>S3</x:v>
      </x:c>
      <x:c r="J7" s="23" t="str">
        <x:v>S4</x:v>
      </x:c>
      <x:c r="K7" s="23" t="str">
        <x:v>S1</x:v>
      </x:c>
      <x:c r="L7" s="23" t="str">
        <x:v>S2</x:v>
      </x:c>
      <x:c r="M7" s="23" t="str">
        <x:v>S3</x:v>
      </x:c>
      <x:c r="N7" s="23" t="str">
        <x:v>S4</x:v>
      </x:c>
      <x:c r="O7" s="23" t="str">
        <x:v>S1</x:v>
      </x:c>
      <x:c r="P7" s="23" t="str">
        <x:v>S2</x:v>
      </x:c>
      <x:c r="Q7" s="23" t="str">
        <x:v>S3</x:v>
      </x:c>
      <x:c r="R7" s="23" t="str">
        <x:v>S4</x:v>
      </x:c>
      <x:c r="S7" s="22" t="str">
        <x:v>Responsable
asignado</x:v>
      </x:c>
      <x:c r="T7" s="22" t="str">
        <x:v>Realizado
por</x:v>
      </x:c>
    </x:row>
    <x:row r="8" ht="17" customHeight="1">
      <x:c r="A8" s="22" t="str">
        <x:v>ID</x:v>
      </x:c>
      <x:c r="B8" s="22" t="str">
        <x:v>Módulo</x:v>
      </x:c>
      <x:c r="C8" s="22" t="str">
        <x:v>Actividad</x:v>
      </x:c>
      <x:c r="D8" s="22" t="str">
        <x:v>E/R</x:v>
      </x:c>
      <x:c r="E8" s="22" t="str">
        <x:v>Tiempo
(bloques)</x:v>
      </x:c>
      <x:c r="F8" s="22" t="str">
        <x:v>Estado</x:v>
      </x:c>
      <x:c r="G8" s="24" t="n">
        <x:v>46266</x:v>
      </x:c>
      <x:c r="H8" s="24" t="n">
        <x:v>46273</x:v>
      </x:c>
      <x:c r="I8" s="24" t="n">
        <x:v>46280</x:v>
      </x:c>
      <x:c r="J8" s="24" t="n">
        <x:v>46287</x:v>
      </x:c>
      <x:c r="K8" s="24" t="n">
        <x:v>46296</x:v>
      </x:c>
      <x:c r="L8" s="24" t="n">
        <x:v>46303</x:v>
      </x:c>
      <x:c r="M8" s="24" t="n">
        <x:v>46310</x:v>
      </x:c>
      <x:c r="N8" s="24" t="n">
        <x:v>46317</x:v>
      </x:c>
      <x:c r="O8" s="24" t="n">
        <x:v>46327</x:v>
      </x:c>
      <x:c r="P8" s="24" t="n">
        <x:v>46334</x:v>
      </x:c>
      <x:c r="Q8" s="24" t="n">
        <x:v>46341</x:v>
      </x:c>
      <x:c r="R8" s="24" t="str">
        <x:v>Fuera</x:v>
      </x:c>
      <x:c r="S8" s="22" t="str">
        <x:v>Responsable
asignado</x:v>
      </x:c>
      <x:c r="T8" s="22" t="str">
        <x:v>Realizado
por</x:v>
      </x:c>
    </x:row>
    <x:row r="9" ht="17" customHeight="1">
      <x:c r="A9" s="22" t="str">
        <x:v>ID</x:v>
      </x:c>
      <x:c r="B9" s="22" t="str">
        <x:v>Módulo</x:v>
      </x:c>
      <x:c r="C9" s="22" t="str">
        <x:v>Actividad</x:v>
      </x:c>
      <x:c r="D9" s="22" t="str">
        <x:v>E/R</x:v>
      </x:c>
      <x:c r="E9" s="22" t="str">
        <x:v>Tiempo
(bloques)</x:v>
      </x:c>
      <x:c r="F9" s="22" t="str">
        <x:v>Estado</x:v>
      </x:c>
      <x:c r="G9" s="25" t="n">
        <x:v>46272</x:v>
      </x:c>
      <x:c r="H9" s="25" t="n">
        <x:v>46279</x:v>
      </x:c>
      <x:c r="I9" s="25" t="n">
        <x:v>46286</x:v>
      </x:c>
      <x:c r="J9" s="25" t="n">
        <x:v>46295</x:v>
      </x:c>
      <x:c r="K9" s="25" t="n">
        <x:v>46302</x:v>
      </x:c>
      <x:c r="L9" s="25" t="n">
        <x:v>46309</x:v>
      </x:c>
      <x:c r="M9" s="25" t="n">
        <x:v>46316</x:v>
      </x:c>
      <x:c r="N9" s="25" t="n">
        <x:v>46326</x:v>
      </x:c>
      <x:c r="O9" s="25" t="n">
        <x:v>46333</x:v>
      </x:c>
      <x:c r="P9" s="25" t="n">
        <x:v>46340</x:v>
      </x:c>
      <x:c r="Q9" s="25" t="n">
        <x:v>46344</x:v>
      </x:c>
      <x:c r="R9" s="25" t="str">
        <x:v>de plazo</x:v>
      </x:c>
      <x:c r="S9" s="22" t="str">
        <x:v>Responsable
asignado</x:v>
      </x:c>
      <x:c r="T9" s="22" t="str">
        <x:v>Realizado
por</x:v>
      </x:c>
    </x:row>
    <x:row r="10" ht="23" customHeight="1">
      <x:c r="A10" s="42" t="str">
        <x:v>INV — Investigación y Requisitos</x:v>
      </x:c>
      <x:c r="B10" s="42" t="str">
        <x:v>INV — Investigación y Requisitos</x:v>
      </x:c>
      <x:c r="C10" s="42" t="str">
        <x:v>INV — Investigación y Requisitos</x:v>
      </x:c>
      <x:c r="D10" s="42" t="str">
        <x:v>INV — Investigación y Requisitos</x:v>
      </x:c>
      <x:c r="E10" s="42" t="str">
        <x:v>INV — Investigación y Requisitos</x:v>
      </x:c>
      <x:c r="F10" s="42" t="str">
        <x:v>INV — Investigación y Requisitos</x:v>
      </x:c>
      <x:c r="G10" s="43" t="str">
        <x:v>INV — Investigación y Requisitos</x:v>
      </x:c>
      <x:c r="H10" s="43" t="str">
        <x:v>INV — Investigación y Requisitos</x:v>
      </x:c>
      <x:c r="I10" s="43" t="str">
        <x:v>INV — Investigación y Requisitos</x:v>
      </x:c>
      <x:c r="J10" s="43" t="str">
        <x:v>INV — Investigación y Requisitos</x:v>
      </x:c>
      <x:c r="K10" s="43" t="str">
        <x:v>INV — Investigación y Requisitos</x:v>
      </x:c>
      <x:c r="L10" s="43" t="str">
        <x:v>INV — Investigación y Requisitos</x:v>
      </x:c>
      <x:c r="M10" s="43" t="str">
        <x:v>INV — Investigación y Requisitos</x:v>
      </x:c>
      <x:c r="N10" s="43" t="str">
        <x:v>INV — Investigación y Requisitos</x:v>
      </x:c>
      <x:c r="O10" s="43" t="str">
        <x:v>INV — Investigación y Requisitos</x:v>
      </x:c>
      <x:c r="P10" s="43" t="str">
        <x:v>INV — Investigación y Requisitos</x:v>
      </x:c>
      <x:c r="Q10" s="43" t="str">
        <x:v>INV — Investigación y Requisitos</x:v>
      </x:c>
      <x:c r="R10" s="42" t="str">
        <x:v>INV — Investigación y Requisitos</x:v>
      </x:c>
      <x:c r="S10" s="42" t="str">
        <x:v>INV — Investigación y Requisitos</x:v>
      </x:c>
      <x:c r="T10" s="42" t="str">
        <x:v>INV — Investigación y Requisitos</x:v>
      </x:c>
    </x:row>
    <x:row r="11" ht="17" customHeight="1">
      <x:c r="A11" s="28" t="str">
        <x:v>INV-01</x:v>
      </x:c>
      <x:c r="B11" s="28" t="str">
        <x:v>Transversal</x:v>
      </x:c>
      <x:c r="C11" s="28" t="str">
        <x:v>Delimitar el problema de conexión local</x:v>
      </x:c>
      <x:c r="D11" s="46" t="str">
        <x:v>E</x:v>
      </x:c>
      <x:c r="E11" s="48" t="n">
        <x:f>IF('Detalle'!I9="","",'Detalle'!I9)</x:f>
        <x:v>1</x:v>
      </x:c>
      <x:c r="F11" s="44" t="str">
        <x:f>IF('Detalle'!F9="","",'Detalle'!F9)</x:f>
        <x:v>Completado</x:v>
      </x:c>
      <x:c r="G11" s="27" t="n">
        <x:f>IF(OR('Detalle'!$G9="",'Detalle'!$H9=""),"",IF(AND(G$8&lt;='Detalle'!$H9,G$9&gt;='Detalle'!$G9),1,""))</x:f>
        <x:v>1</x:v>
      </x:c>
      <x:c r="H11" s="27" t="str">
        <x:f>IF(OR('Detalle'!$G9="",'Detalle'!$H9=""),"",IF(AND(H$8&lt;='Detalle'!$H9,H$9&gt;='Detalle'!$G9),1,""))</x:f>
      </x:c>
      <x:c r="I11" s="27" t="str">
        <x:f>IF(OR('Detalle'!$G9="",'Detalle'!$H9=""),"",IF(AND(I$8&lt;='Detalle'!$H9,I$9&gt;='Detalle'!$G9),1,""))</x:f>
      </x:c>
      <x:c r="J11" s="27" t="str">
        <x:f>IF(OR('Detalle'!$G9="",'Detalle'!$H9=""),"",IF(AND(J$8&lt;='Detalle'!$H9,J$9&gt;='Detalle'!$G9),1,""))</x:f>
      </x:c>
      <x:c r="K11" s="27" t="str">
        <x:f>IF(OR('Detalle'!$G9="",'Detalle'!$H9=""),"",IF(AND(K$8&lt;='Detalle'!$H9,K$9&gt;='Detalle'!$G9),1,""))</x:f>
      </x:c>
      <x:c r="L11" s="27" t="str">
        <x:f>IF(OR('Detalle'!$G9="",'Detalle'!$H9=""),"",IF(AND(L$8&lt;='Detalle'!$H9,L$9&gt;='Detalle'!$G9),1,""))</x:f>
      </x:c>
      <x:c r="M11" s="27" t="str">
        <x:f>IF(OR('Detalle'!$G9="",'Detalle'!$H9=""),"",IF(AND(M$8&lt;='Detalle'!$H9,M$9&gt;='Detalle'!$G9),1,""))</x:f>
      </x:c>
      <x:c r="N11" s="27" t="str">
        <x:f>IF(OR('Detalle'!$G9="",'Detalle'!$H9=""),"",IF(AND(N$8&lt;='Detalle'!$H9,N$9&gt;='Detalle'!$G9),1,""))</x:f>
      </x:c>
      <x:c r="O11" s="27" t="str">
        <x:f>IF(OR('Detalle'!$G9="",'Detalle'!$H9=""),"",IF(AND(O$8&lt;='Detalle'!$H9,O$9&gt;='Detalle'!$G9),1,""))</x:f>
      </x:c>
      <x:c r="P11" s="27" t="str">
        <x:f>IF(OR('Detalle'!$G9="",'Detalle'!$H9=""),"",IF(AND(P$8&lt;='Detalle'!$H9,P$9&gt;='Detalle'!$G9),1,""))</x:f>
      </x:c>
      <x:c r="Q11" s="27" t="str">
        <x:f>IF(OR('Detalle'!$G9="",'Detalle'!$H9=""),"",IF(AND(Q$8&lt;='Detalle'!$H9,Q$9&gt;='Detalle'!$G9),1,""))</x:f>
      </x:c>
      <x:c r="R11" s="49"/>
      <x:c r="S11" s="30" t="str">
        <x:f>IF('Detalle'!L9="","",'Detalle'!L9)</x:f>
        <x:v>Josefina</x:v>
      </x:c>
      <x:c r="T11" s="30" t="str">
        <x:f>IF('Detalle'!M9="","",'Detalle'!M9)</x:f>
      </x:c>
    </x:row>
    <x:row r="12" ht="17" customHeight="1">
      <x:c r="A12" s="28" t="str">
        <x:v>INV-01</x:v>
      </x:c>
      <x:c r="B12" s="28" t="str">
        <x:v>Transversal</x:v>
      </x:c>
      <x:c r="C12" s="28" t="str">
        <x:v>Delimitar el problema de conexión local</x:v>
      </x:c>
      <x:c r="D12" s="47" t="str">
        <x:v>R</x:v>
      </x:c>
      <x:c r="E12" s="48" t="n">
        <x:f>IF('Detalle'!J9="","",'Detalle'!J9)</x:f>
        <x:v>1</x:v>
      </x:c>
      <x:c r="F12" s="44" t="str"/>
      <x:c r="G12" s="27" t="n">
        <x:f>IF(AND('Detalle'!$F9="Completado",G11=1),1,"")</x:f>
        <x:v>1</x:v>
      </x:c>
      <x:c r="H12" s="27" t="str">
        <x:f>IF(AND('Detalle'!$F9="Completado",H11=1),1,"")</x:f>
      </x:c>
      <x:c r="I12" s="27" t="str">
        <x:f>IF(AND('Detalle'!$F9="Completado",I11=1),1,"")</x:f>
      </x:c>
      <x:c r="J12" s="27" t="str">
        <x:f>IF(AND('Detalle'!$F9="Completado",J11=1),1,"")</x:f>
      </x:c>
      <x:c r="K12" s="27" t="str">
        <x:f>IF(AND('Detalle'!$F9="Completado",K11=1),1,"")</x:f>
      </x:c>
      <x:c r="L12" s="27" t="str">
        <x:f>IF(AND('Detalle'!$F9="Completado",L11=1),1,"")</x:f>
      </x:c>
      <x:c r="M12" s="27" t="str">
        <x:f>IF(AND('Detalle'!$F9="Completado",M11=1),1,"")</x:f>
      </x:c>
      <x:c r="N12" s="27" t="str">
        <x:f>IF(AND('Detalle'!$F9="Completado",N11=1),1,"")</x:f>
      </x:c>
      <x:c r="O12" s="27" t="str">
        <x:f>IF(AND('Detalle'!$F9="Completado",O11=1),1,"")</x:f>
      </x:c>
      <x:c r="P12" s="27" t="str">
        <x:f>IF(AND('Detalle'!$F9="Completado",P11=1),1,"")</x:f>
      </x:c>
      <x:c r="Q12" s="27" t="str">
        <x:f>IF(AND('Detalle'!$F9="Completado",Q11=1),1,"")</x:f>
      </x:c>
      <x:c r="R12" s="49"/>
      <x:c r="S12" s="30" t="str"/>
      <x:c r="T12" s="30" t="str"/>
    </x:row>
    <x:row r="13" ht="17" customHeight="1">
      <x:c r="A13" s="28" t="str">
        <x:v>INV-02</x:v>
      </x:c>
      <x:c r="B13" s="28" t="str">
        <x:v>Transversal</x:v>
      </x:c>
      <x:c r="C13" s="28" t="str">
        <x:v>Identificar necesidades por tipo de usuario</x:v>
      </x:c>
      <x:c r="D13" s="46" t="str">
        <x:v>E</x:v>
      </x:c>
      <x:c r="E13" s="48" t="n">
        <x:f>IF('Detalle'!I10="","",'Detalle'!I10)</x:f>
        <x:v>1</x:v>
      </x:c>
      <x:c r="F13" s="44" t="str">
        <x:f>IF('Detalle'!F10="","",'Detalle'!F10)</x:f>
        <x:v>Completado</x:v>
      </x:c>
      <x:c r="G13" s="27" t="n">
        <x:f>IF(OR('Detalle'!$G10="",'Detalle'!$H10=""),"",IF(AND(G$8&lt;='Detalle'!$H10,G$9&gt;='Detalle'!$G10),1,""))</x:f>
        <x:v>1</x:v>
      </x:c>
      <x:c r="H13" s="27" t="str">
        <x:f>IF(OR('Detalle'!$G10="",'Detalle'!$H10=""),"",IF(AND(H$8&lt;='Detalle'!$H10,H$9&gt;='Detalle'!$G10),1,""))</x:f>
      </x:c>
      <x:c r="I13" s="27" t="str">
        <x:f>IF(OR('Detalle'!$G10="",'Detalle'!$H10=""),"",IF(AND(I$8&lt;='Detalle'!$H10,I$9&gt;='Detalle'!$G10),1,""))</x:f>
      </x:c>
      <x:c r="J13" s="27" t="str">
        <x:f>IF(OR('Detalle'!$G10="",'Detalle'!$H10=""),"",IF(AND(J$8&lt;='Detalle'!$H10,J$9&gt;='Detalle'!$G10),1,""))</x:f>
      </x:c>
      <x:c r="K13" s="27" t="str">
        <x:f>IF(OR('Detalle'!$G10="",'Detalle'!$H10=""),"",IF(AND(K$8&lt;='Detalle'!$H10,K$9&gt;='Detalle'!$G10),1,""))</x:f>
      </x:c>
      <x:c r="L13" s="27" t="str">
        <x:f>IF(OR('Detalle'!$G10="",'Detalle'!$H10=""),"",IF(AND(L$8&lt;='Detalle'!$H10,L$9&gt;='Detalle'!$G10),1,""))</x:f>
      </x:c>
      <x:c r="M13" s="27" t="str">
        <x:f>IF(OR('Detalle'!$G10="",'Detalle'!$H10=""),"",IF(AND(M$8&lt;='Detalle'!$H10,M$9&gt;='Detalle'!$G10),1,""))</x:f>
      </x:c>
      <x:c r="N13" s="27" t="str">
        <x:f>IF(OR('Detalle'!$G10="",'Detalle'!$H10=""),"",IF(AND(N$8&lt;='Detalle'!$H10,N$9&gt;='Detalle'!$G10),1,""))</x:f>
      </x:c>
      <x:c r="O13" s="27" t="str">
        <x:f>IF(OR('Detalle'!$G10="",'Detalle'!$H10=""),"",IF(AND(O$8&lt;='Detalle'!$H10,O$9&gt;='Detalle'!$G10),1,""))</x:f>
      </x:c>
      <x:c r="P13" s="27" t="str">
        <x:f>IF(OR('Detalle'!$G10="",'Detalle'!$H10=""),"",IF(AND(P$8&lt;='Detalle'!$H10,P$9&gt;='Detalle'!$G10),1,""))</x:f>
      </x:c>
      <x:c r="Q13" s="27" t="str">
        <x:f>IF(OR('Detalle'!$G10="",'Detalle'!$H10=""),"",IF(AND(Q$8&lt;='Detalle'!$H10,Q$9&gt;='Detalle'!$G10),1,""))</x:f>
      </x:c>
      <x:c r="R13" s="49"/>
      <x:c r="S13" s="30" t="str">
        <x:f>IF('Detalle'!L10="","",'Detalle'!L10)</x:f>
        <x:v>Josefina</x:v>
      </x:c>
      <x:c r="T13" s="30" t="str">
        <x:f>IF('Detalle'!M10="","",'Detalle'!M10)</x:f>
      </x:c>
    </x:row>
    <x:row r="14" ht="17" customHeight="1">
      <x:c r="A14" s="28" t="str">
        <x:v>INV-02</x:v>
      </x:c>
      <x:c r="B14" s="28" t="str">
        <x:v>Transversal</x:v>
      </x:c>
      <x:c r="C14" s="28" t="str">
        <x:v>Identificar necesidades por tipo de usuario</x:v>
      </x:c>
      <x:c r="D14" s="47" t="str">
        <x:v>R</x:v>
      </x:c>
      <x:c r="E14" s="48" t="n">
        <x:f>IF('Detalle'!J10="","",'Detalle'!J10)</x:f>
        <x:v>1</x:v>
      </x:c>
      <x:c r="F14" s="44" t="str"/>
      <x:c r="G14" s="27" t="n">
        <x:f>IF(AND('Detalle'!$F10="Completado",G13=1),1,"")</x:f>
        <x:v>1</x:v>
      </x:c>
      <x:c r="H14" s="27" t="str">
        <x:f>IF(AND('Detalle'!$F10="Completado",H13=1),1,"")</x:f>
      </x:c>
      <x:c r="I14" s="27" t="str">
        <x:f>IF(AND('Detalle'!$F10="Completado",I13=1),1,"")</x:f>
      </x:c>
      <x:c r="J14" s="27" t="str">
        <x:f>IF(AND('Detalle'!$F10="Completado",J13=1),1,"")</x:f>
      </x:c>
      <x:c r="K14" s="27" t="str">
        <x:f>IF(AND('Detalle'!$F10="Completado",K13=1),1,"")</x:f>
      </x:c>
      <x:c r="L14" s="27" t="str">
        <x:f>IF(AND('Detalle'!$F10="Completado",L13=1),1,"")</x:f>
      </x:c>
      <x:c r="M14" s="27" t="str">
        <x:f>IF(AND('Detalle'!$F10="Completado",M13=1),1,"")</x:f>
      </x:c>
      <x:c r="N14" s="27" t="str">
        <x:f>IF(AND('Detalle'!$F10="Completado",N13=1),1,"")</x:f>
      </x:c>
      <x:c r="O14" s="27" t="str">
        <x:f>IF(AND('Detalle'!$F10="Completado",O13=1),1,"")</x:f>
      </x:c>
      <x:c r="P14" s="27" t="str">
        <x:f>IF(AND('Detalle'!$F10="Completado",P13=1),1,"")</x:f>
      </x:c>
      <x:c r="Q14" s="27" t="str">
        <x:f>IF(AND('Detalle'!$F10="Completado",Q13=1),1,"")</x:f>
      </x:c>
      <x:c r="R14" s="49"/>
      <x:c r="S14" s="30" t="str"/>
      <x:c r="T14" s="30" t="str"/>
    </x:row>
    <x:row r="15" ht="17" customHeight="1">
      <x:c r="A15" s="28" t="str">
        <x:v>INV-03</x:v>
      </x:c>
      <x:c r="B15" s="28" t="str">
        <x:v>Transversal</x:v>
      </x:c>
      <x:c r="C15" s="28" t="str">
        <x:v>Redactar requisitos y límites del producto</x:v>
      </x:c>
      <x:c r="D15" s="46" t="str">
        <x:v>E</x:v>
      </x:c>
      <x:c r="E15" s="48" t="n">
        <x:f>IF('Detalle'!I11="","",'Detalle'!I11)</x:f>
        <x:v>1</x:v>
      </x:c>
      <x:c r="F15" s="44" t="str">
        <x:f>IF('Detalle'!F11="","",'Detalle'!F11)</x:f>
        <x:v>Completado</x:v>
      </x:c>
      <x:c r="G15" s="27" t="n">
        <x:f>IF(OR('Detalle'!$G11="",'Detalle'!$H11=""),"",IF(AND(G$8&lt;='Detalle'!$H11,G$9&gt;='Detalle'!$G11),1,""))</x:f>
        <x:v>1</x:v>
      </x:c>
      <x:c r="H15" s="27" t="str">
        <x:f>IF(OR('Detalle'!$G11="",'Detalle'!$H11=""),"",IF(AND(H$8&lt;='Detalle'!$H11,H$9&gt;='Detalle'!$G11),1,""))</x:f>
      </x:c>
      <x:c r="I15" s="27" t="str">
        <x:f>IF(OR('Detalle'!$G11="",'Detalle'!$H11=""),"",IF(AND(I$8&lt;='Detalle'!$H11,I$9&gt;='Detalle'!$G11),1,""))</x:f>
      </x:c>
      <x:c r="J15" s="27" t="str">
        <x:f>IF(OR('Detalle'!$G11="",'Detalle'!$H11=""),"",IF(AND(J$8&lt;='Detalle'!$H11,J$9&gt;='Detalle'!$G11),1,""))</x:f>
      </x:c>
      <x:c r="K15" s="27" t="str">
        <x:f>IF(OR('Detalle'!$G11="",'Detalle'!$H11=""),"",IF(AND(K$8&lt;='Detalle'!$H11,K$9&gt;='Detalle'!$G11),1,""))</x:f>
      </x:c>
      <x:c r="L15" s="27" t="str">
        <x:f>IF(OR('Detalle'!$G11="",'Detalle'!$H11=""),"",IF(AND(L$8&lt;='Detalle'!$H11,L$9&gt;='Detalle'!$G11),1,""))</x:f>
      </x:c>
      <x:c r="M15" s="27" t="str">
        <x:f>IF(OR('Detalle'!$G11="",'Detalle'!$H11=""),"",IF(AND(M$8&lt;='Detalle'!$H11,M$9&gt;='Detalle'!$G11),1,""))</x:f>
      </x:c>
      <x:c r="N15" s="27" t="str">
        <x:f>IF(OR('Detalle'!$G11="",'Detalle'!$H11=""),"",IF(AND(N$8&lt;='Detalle'!$H11,N$9&gt;='Detalle'!$G11),1,""))</x:f>
      </x:c>
      <x:c r="O15" s="27" t="str">
        <x:f>IF(OR('Detalle'!$G11="",'Detalle'!$H11=""),"",IF(AND(O$8&lt;='Detalle'!$H11,O$9&gt;='Detalle'!$G11),1,""))</x:f>
      </x:c>
      <x:c r="P15" s="27" t="str">
        <x:f>IF(OR('Detalle'!$G11="",'Detalle'!$H11=""),"",IF(AND(P$8&lt;='Detalle'!$H11,P$9&gt;='Detalle'!$G11),1,""))</x:f>
      </x:c>
      <x:c r="Q15" s="27" t="str">
        <x:f>IF(OR('Detalle'!$G11="",'Detalle'!$H11=""),"",IF(AND(Q$8&lt;='Detalle'!$H11,Q$9&gt;='Detalle'!$G11),1,""))</x:f>
      </x:c>
      <x:c r="R15" s="49"/>
      <x:c r="S15" s="30" t="str">
        <x:f>IF('Detalle'!L11="","",'Detalle'!L11)</x:f>
        <x:v>Josefina</x:v>
      </x:c>
      <x:c r="T15" s="30" t="str">
        <x:f>IF('Detalle'!M11="","",'Detalle'!M11)</x:f>
      </x:c>
    </x:row>
    <x:row r="16" ht="17" customHeight="1">
      <x:c r="A16" s="28" t="str">
        <x:v>INV-03</x:v>
      </x:c>
      <x:c r="B16" s="28" t="str">
        <x:v>Transversal</x:v>
      </x:c>
      <x:c r="C16" s="28" t="str">
        <x:v>Redactar requisitos y límites del producto</x:v>
      </x:c>
      <x:c r="D16" s="47" t="str">
        <x:v>R</x:v>
      </x:c>
      <x:c r="E16" s="48" t="n">
        <x:f>IF('Detalle'!J11="","",'Detalle'!J11)</x:f>
        <x:v>1</x:v>
      </x:c>
      <x:c r="F16" s="44" t="str"/>
      <x:c r="G16" s="27" t="n">
        <x:f>IF(AND('Detalle'!$F11="Completado",G15=1),1,"")</x:f>
        <x:v>1</x:v>
      </x:c>
      <x:c r="H16" s="27" t="str">
        <x:f>IF(AND('Detalle'!$F11="Completado",H15=1),1,"")</x:f>
      </x:c>
      <x:c r="I16" s="27" t="str">
        <x:f>IF(AND('Detalle'!$F11="Completado",I15=1),1,"")</x:f>
      </x:c>
      <x:c r="J16" s="27" t="str">
        <x:f>IF(AND('Detalle'!$F11="Completado",J15=1),1,"")</x:f>
      </x:c>
      <x:c r="K16" s="27" t="str">
        <x:f>IF(AND('Detalle'!$F11="Completado",K15=1),1,"")</x:f>
      </x:c>
      <x:c r="L16" s="27" t="str">
        <x:f>IF(AND('Detalle'!$F11="Completado",L15=1),1,"")</x:f>
      </x:c>
      <x:c r="M16" s="27" t="str">
        <x:f>IF(AND('Detalle'!$F11="Completado",M15=1),1,"")</x:f>
      </x:c>
      <x:c r="N16" s="27" t="str">
        <x:f>IF(AND('Detalle'!$F11="Completado",N15=1),1,"")</x:f>
      </x:c>
      <x:c r="O16" s="27" t="str">
        <x:f>IF(AND('Detalle'!$F11="Completado",O15=1),1,"")</x:f>
      </x:c>
      <x:c r="P16" s="27" t="str">
        <x:f>IF(AND('Detalle'!$F11="Completado",P15=1),1,"")</x:f>
      </x:c>
      <x:c r="Q16" s="27" t="str">
        <x:f>IF(AND('Detalle'!$F11="Completado",Q15=1),1,"")</x:f>
      </x:c>
      <x:c r="R16" s="49"/>
      <x:c r="S16" s="30" t="str"/>
      <x:c r="T16" s="30" t="str"/>
    </x:row>
    <x:row r="17" ht="17" customHeight="1">
      <x:c r="A17" s="28" t="str">
        <x:v>INV-04</x:v>
      </x:c>
      <x:c r="B17" s="28" t="str">
        <x:v>Transversal</x:v>
      </x:c>
      <x:c r="C17" s="28" t="str">
        <x:v>Estudiar Flutter y arquitectura del cliente</x:v>
      </x:c>
      <x:c r="D17" s="46" t="str">
        <x:v>E</x:v>
      </x:c>
      <x:c r="E17" s="48" t="n">
        <x:f>IF('Detalle'!I12="","",'Detalle'!I12)</x:f>
        <x:v>1</x:v>
      </x:c>
      <x:c r="F17" s="44" t="str">
        <x:f>IF('Detalle'!F12="","",'Detalle'!F12)</x:f>
        <x:v>Completado</x:v>
      </x:c>
      <x:c r="G17" s="27" t="n">
        <x:f>IF(OR('Detalle'!$G12="",'Detalle'!$H12=""),"",IF(AND(G$8&lt;='Detalle'!$H12,G$9&gt;='Detalle'!$G12),1,""))</x:f>
        <x:v>1</x:v>
      </x:c>
      <x:c r="H17" s="27" t="str">
        <x:f>IF(OR('Detalle'!$G12="",'Detalle'!$H12=""),"",IF(AND(H$8&lt;='Detalle'!$H12,H$9&gt;='Detalle'!$G12),1,""))</x:f>
      </x:c>
      <x:c r="I17" s="27" t="str">
        <x:f>IF(OR('Detalle'!$G12="",'Detalle'!$H12=""),"",IF(AND(I$8&lt;='Detalle'!$H12,I$9&gt;='Detalle'!$G12),1,""))</x:f>
      </x:c>
      <x:c r="J17" s="27" t="str">
        <x:f>IF(OR('Detalle'!$G12="",'Detalle'!$H12=""),"",IF(AND(J$8&lt;='Detalle'!$H12,J$9&gt;='Detalle'!$G12),1,""))</x:f>
      </x:c>
      <x:c r="K17" s="27" t="str">
        <x:f>IF(OR('Detalle'!$G12="",'Detalle'!$H12=""),"",IF(AND(K$8&lt;='Detalle'!$H12,K$9&gt;='Detalle'!$G12),1,""))</x:f>
      </x:c>
      <x:c r="L17" s="27" t="str">
        <x:f>IF(OR('Detalle'!$G12="",'Detalle'!$H12=""),"",IF(AND(L$8&lt;='Detalle'!$H12,L$9&gt;='Detalle'!$G12),1,""))</x:f>
      </x:c>
      <x:c r="M17" s="27" t="str">
        <x:f>IF(OR('Detalle'!$G12="",'Detalle'!$H12=""),"",IF(AND(M$8&lt;='Detalle'!$H12,M$9&gt;='Detalle'!$G12),1,""))</x:f>
      </x:c>
      <x:c r="N17" s="27" t="str">
        <x:f>IF(OR('Detalle'!$G12="",'Detalle'!$H12=""),"",IF(AND(N$8&lt;='Detalle'!$H12,N$9&gt;='Detalle'!$G12),1,""))</x:f>
      </x:c>
      <x:c r="O17" s="27" t="str">
        <x:f>IF(OR('Detalle'!$G12="",'Detalle'!$H12=""),"",IF(AND(O$8&lt;='Detalle'!$H12,O$9&gt;='Detalle'!$G12),1,""))</x:f>
      </x:c>
      <x:c r="P17" s="27" t="str">
        <x:f>IF(OR('Detalle'!$G12="",'Detalle'!$H12=""),"",IF(AND(P$8&lt;='Detalle'!$H12,P$9&gt;='Detalle'!$G12),1,""))</x:f>
      </x:c>
      <x:c r="Q17" s="27" t="str">
        <x:f>IF(OR('Detalle'!$G12="",'Detalle'!$H12=""),"",IF(AND(Q$8&lt;='Detalle'!$H12,Q$9&gt;='Detalle'!$G12),1,""))</x:f>
      </x:c>
      <x:c r="R17" s="49"/>
      <x:c r="S17" s="30" t="str">
        <x:f>IF('Detalle'!L12="","",'Detalle'!L12)</x:f>
        <x:v>Josefina</x:v>
      </x:c>
      <x:c r="T17" s="30" t="str">
        <x:f>IF('Detalle'!M12="","",'Detalle'!M12)</x:f>
      </x:c>
    </x:row>
    <x:row r="18" ht="17" customHeight="1">
      <x:c r="A18" s="28" t="str">
        <x:v>INV-04</x:v>
      </x:c>
      <x:c r="B18" s="28" t="str">
        <x:v>Transversal</x:v>
      </x:c>
      <x:c r="C18" s="28" t="str">
        <x:v>Estudiar Flutter y arquitectura del cliente</x:v>
      </x:c>
      <x:c r="D18" s="47" t="str">
        <x:v>R</x:v>
      </x:c>
      <x:c r="E18" s="48" t="n">
        <x:f>IF('Detalle'!J12="","",'Detalle'!J12)</x:f>
        <x:v>1</x:v>
      </x:c>
      <x:c r="F18" s="44" t="str"/>
      <x:c r="G18" s="27" t="n">
        <x:f>IF(AND('Detalle'!$F12="Completado",G17=1),1,"")</x:f>
        <x:v>1</x:v>
      </x:c>
      <x:c r="H18" s="27" t="str">
        <x:f>IF(AND('Detalle'!$F12="Completado",H17=1),1,"")</x:f>
      </x:c>
      <x:c r="I18" s="27" t="str">
        <x:f>IF(AND('Detalle'!$F12="Completado",I17=1),1,"")</x:f>
      </x:c>
      <x:c r="J18" s="27" t="str">
        <x:f>IF(AND('Detalle'!$F12="Completado",J17=1),1,"")</x:f>
      </x:c>
      <x:c r="K18" s="27" t="str">
        <x:f>IF(AND('Detalle'!$F12="Completado",K17=1),1,"")</x:f>
      </x:c>
      <x:c r="L18" s="27" t="str">
        <x:f>IF(AND('Detalle'!$F12="Completado",L17=1),1,"")</x:f>
      </x:c>
      <x:c r="M18" s="27" t="str">
        <x:f>IF(AND('Detalle'!$F12="Completado",M17=1),1,"")</x:f>
      </x:c>
      <x:c r="N18" s="27" t="str">
        <x:f>IF(AND('Detalle'!$F12="Completado",N17=1),1,"")</x:f>
      </x:c>
      <x:c r="O18" s="27" t="str">
        <x:f>IF(AND('Detalle'!$F12="Completado",O17=1),1,"")</x:f>
      </x:c>
      <x:c r="P18" s="27" t="str">
        <x:f>IF(AND('Detalle'!$F12="Completado",P17=1),1,"")</x:f>
      </x:c>
      <x:c r="Q18" s="27" t="str">
        <x:f>IF(AND('Detalle'!$F12="Completado",Q17=1),1,"")</x:f>
      </x:c>
      <x:c r="R18" s="49"/>
      <x:c r="S18" s="30" t="str"/>
      <x:c r="T18" s="30" t="str"/>
    </x:row>
    <x:row r="19" ht="17" customHeight="1">
      <x:c r="A19" s="28" t="str">
        <x:v>INV-05</x:v>
      </x:c>
      <x:c r="B19" s="28" t="str">
        <x:v>Transversal</x:v>
      </x:c>
      <x:c r="C19" s="28" t="str">
        <x:v>Estudiar servicios de Supabase</x:v>
      </x:c>
      <x:c r="D19" s="46" t="str">
        <x:v>E</x:v>
      </x:c>
      <x:c r="E19" s="48" t="n">
        <x:f>IF('Detalle'!I13="","",'Detalle'!I13)</x:f>
        <x:v>1</x:v>
      </x:c>
      <x:c r="F19" s="44" t="str">
        <x:f>IF('Detalle'!F13="","",'Detalle'!F13)</x:f>
        <x:v>Completado</x:v>
      </x:c>
      <x:c r="G19" s="27" t="n">
        <x:f>IF(OR('Detalle'!$G13="",'Detalle'!$H13=""),"",IF(AND(G$8&lt;='Detalle'!$H13,G$9&gt;='Detalle'!$G13),1,""))</x:f>
        <x:v>1</x:v>
      </x:c>
      <x:c r="H19" s="27" t="str">
        <x:f>IF(OR('Detalle'!$G13="",'Detalle'!$H13=""),"",IF(AND(H$8&lt;='Detalle'!$H13,H$9&gt;='Detalle'!$G13),1,""))</x:f>
      </x:c>
      <x:c r="I19" s="27" t="str">
        <x:f>IF(OR('Detalle'!$G13="",'Detalle'!$H13=""),"",IF(AND(I$8&lt;='Detalle'!$H13,I$9&gt;='Detalle'!$G13),1,""))</x:f>
      </x:c>
      <x:c r="J19" s="27" t="str">
        <x:f>IF(OR('Detalle'!$G13="",'Detalle'!$H13=""),"",IF(AND(J$8&lt;='Detalle'!$H13,J$9&gt;='Detalle'!$G13),1,""))</x:f>
      </x:c>
      <x:c r="K19" s="27" t="str">
        <x:f>IF(OR('Detalle'!$G13="",'Detalle'!$H13=""),"",IF(AND(K$8&lt;='Detalle'!$H13,K$9&gt;='Detalle'!$G13),1,""))</x:f>
      </x:c>
      <x:c r="L19" s="27" t="str">
        <x:f>IF(OR('Detalle'!$G13="",'Detalle'!$H13=""),"",IF(AND(L$8&lt;='Detalle'!$H13,L$9&gt;='Detalle'!$G13),1,""))</x:f>
      </x:c>
      <x:c r="M19" s="27" t="str">
        <x:f>IF(OR('Detalle'!$G13="",'Detalle'!$H13=""),"",IF(AND(M$8&lt;='Detalle'!$H13,M$9&gt;='Detalle'!$G13),1,""))</x:f>
      </x:c>
      <x:c r="N19" s="27" t="str">
        <x:f>IF(OR('Detalle'!$G13="",'Detalle'!$H13=""),"",IF(AND(N$8&lt;='Detalle'!$H13,N$9&gt;='Detalle'!$G13),1,""))</x:f>
      </x:c>
      <x:c r="O19" s="27" t="str">
        <x:f>IF(OR('Detalle'!$G13="",'Detalle'!$H13=""),"",IF(AND(O$8&lt;='Detalle'!$H13,O$9&gt;='Detalle'!$G13),1,""))</x:f>
      </x:c>
      <x:c r="P19" s="27" t="str">
        <x:f>IF(OR('Detalle'!$G13="",'Detalle'!$H13=""),"",IF(AND(P$8&lt;='Detalle'!$H13,P$9&gt;='Detalle'!$G13),1,""))</x:f>
      </x:c>
      <x:c r="Q19" s="27" t="str">
        <x:f>IF(OR('Detalle'!$G13="",'Detalle'!$H13=""),"",IF(AND(Q$8&lt;='Detalle'!$H13,Q$9&gt;='Detalle'!$G13),1,""))</x:f>
      </x:c>
      <x:c r="R19" s="49"/>
      <x:c r="S19" s="30" t="str">
        <x:f>IF('Detalle'!L13="","",'Detalle'!L13)</x:f>
        <x:v>Josefina</x:v>
      </x:c>
      <x:c r="T19" s="30" t="str">
        <x:f>IF('Detalle'!M13="","",'Detalle'!M13)</x:f>
      </x:c>
    </x:row>
    <x:row r="20" ht="17" customHeight="1">
      <x:c r="A20" s="28" t="str">
        <x:v>INV-05</x:v>
      </x:c>
      <x:c r="B20" s="28" t="str">
        <x:v>Transversal</x:v>
      </x:c>
      <x:c r="C20" s="28" t="str">
        <x:v>Estudiar servicios de Supabase</x:v>
      </x:c>
      <x:c r="D20" s="47" t="str">
        <x:v>R</x:v>
      </x:c>
      <x:c r="E20" s="48" t="n">
        <x:f>IF('Detalle'!J13="","",'Detalle'!J13)</x:f>
        <x:v>1</x:v>
      </x:c>
      <x:c r="F20" s="44" t="str"/>
      <x:c r="G20" s="27" t="n">
        <x:f>IF(AND('Detalle'!$F13="Completado",G19=1),1,"")</x:f>
        <x:v>1</x:v>
      </x:c>
      <x:c r="H20" s="27" t="str">
        <x:f>IF(AND('Detalle'!$F13="Completado",H19=1),1,"")</x:f>
      </x:c>
      <x:c r="I20" s="27" t="str">
        <x:f>IF(AND('Detalle'!$F13="Completado",I19=1),1,"")</x:f>
      </x:c>
      <x:c r="J20" s="27" t="str">
        <x:f>IF(AND('Detalle'!$F13="Completado",J19=1),1,"")</x:f>
      </x:c>
      <x:c r="K20" s="27" t="str">
        <x:f>IF(AND('Detalle'!$F13="Completado",K19=1),1,"")</x:f>
      </x:c>
      <x:c r="L20" s="27" t="str">
        <x:f>IF(AND('Detalle'!$F13="Completado",L19=1),1,"")</x:f>
      </x:c>
      <x:c r="M20" s="27" t="str">
        <x:f>IF(AND('Detalle'!$F13="Completado",M19=1),1,"")</x:f>
      </x:c>
      <x:c r="N20" s="27" t="str">
        <x:f>IF(AND('Detalle'!$F13="Completado",N19=1),1,"")</x:f>
      </x:c>
      <x:c r="O20" s="27" t="str">
        <x:f>IF(AND('Detalle'!$F13="Completado",O19=1),1,"")</x:f>
      </x:c>
      <x:c r="P20" s="27" t="str">
        <x:f>IF(AND('Detalle'!$F13="Completado",P19=1),1,"")</x:f>
      </x:c>
      <x:c r="Q20" s="27" t="str">
        <x:f>IF(AND('Detalle'!$F13="Completado",Q19=1),1,"")</x:f>
      </x:c>
      <x:c r="R20" s="49"/>
      <x:c r="S20" s="30" t="str"/>
      <x:c r="T20" s="30" t="str"/>
    </x:row>
    <x:row r="21" ht="17" customHeight="1">
      <x:c r="A21" s="28" t="str">
        <x:v>INV-06</x:v>
      </x:c>
      <x:c r="B21" s="28" t="str">
        <x:v>Transversal</x:v>
      </x:c>
      <x:c r="C21" s="28" t="str">
        <x:v>Definir criterios de privacidad y RLS</x:v>
      </x:c>
      <x:c r="D21" s="46" t="str">
        <x:v>E</x:v>
      </x:c>
      <x:c r="E21" s="48" t="n">
        <x:f>IF('Detalle'!I14="","",'Detalle'!I14)</x:f>
        <x:v>1</x:v>
      </x:c>
      <x:c r="F21" s="44" t="str">
        <x:f>IF('Detalle'!F14="","",'Detalle'!F14)</x:f>
        <x:v>Completado</x:v>
      </x:c>
      <x:c r="G21" s="27" t="n">
        <x:f>IF(OR('Detalle'!$G14="",'Detalle'!$H14=""),"",IF(AND(G$8&lt;='Detalle'!$H14,G$9&gt;='Detalle'!$G14),1,""))</x:f>
        <x:v>1</x:v>
      </x:c>
      <x:c r="H21" s="27" t="str">
        <x:f>IF(OR('Detalle'!$G14="",'Detalle'!$H14=""),"",IF(AND(H$8&lt;='Detalle'!$H14,H$9&gt;='Detalle'!$G14),1,""))</x:f>
      </x:c>
      <x:c r="I21" s="27" t="str">
        <x:f>IF(OR('Detalle'!$G14="",'Detalle'!$H14=""),"",IF(AND(I$8&lt;='Detalle'!$H14,I$9&gt;='Detalle'!$G14),1,""))</x:f>
      </x:c>
      <x:c r="J21" s="27" t="str">
        <x:f>IF(OR('Detalle'!$G14="",'Detalle'!$H14=""),"",IF(AND(J$8&lt;='Detalle'!$H14,J$9&gt;='Detalle'!$G14),1,""))</x:f>
      </x:c>
      <x:c r="K21" s="27" t="str">
        <x:f>IF(OR('Detalle'!$G14="",'Detalle'!$H14=""),"",IF(AND(K$8&lt;='Detalle'!$H14,K$9&gt;='Detalle'!$G14),1,""))</x:f>
      </x:c>
      <x:c r="L21" s="27" t="str">
        <x:f>IF(OR('Detalle'!$G14="",'Detalle'!$H14=""),"",IF(AND(L$8&lt;='Detalle'!$H14,L$9&gt;='Detalle'!$G14),1,""))</x:f>
      </x:c>
      <x:c r="M21" s="27" t="str">
        <x:f>IF(OR('Detalle'!$G14="",'Detalle'!$H14=""),"",IF(AND(M$8&lt;='Detalle'!$H14,M$9&gt;='Detalle'!$G14),1,""))</x:f>
      </x:c>
      <x:c r="N21" s="27" t="str">
        <x:f>IF(OR('Detalle'!$G14="",'Detalle'!$H14=""),"",IF(AND(N$8&lt;='Detalle'!$H14,N$9&gt;='Detalle'!$G14),1,""))</x:f>
      </x:c>
      <x:c r="O21" s="27" t="str">
        <x:f>IF(OR('Detalle'!$G14="",'Detalle'!$H14=""),"",IF(AND(O$8&lt;='Detalle'!$H14,O$9&gt;='Detalle'!$G14),1,""))</x:f>
      </x:c>
      <x:c r="P21" s="27" t="str">
        <x:f>IF(OR('Detalle'!$G14="",'Detalle'!$H14=""),"",IF(AND(P$8&lt;='Detalle'!$H14,P$9&gt;='Detalle'!$G14),1,""))</x:f>
      </x:c>
      <x:c r="Q21" s="27" t="str">
        <x:f>IF(OR('Detalle'!$G14="",'Detalle'!$H14=""),"",IF(AND(Q$8&lt;='Detalle'!$H14,Q$9&gt;='Detalle'!$G14),1,""))</x:f>
      </x:c>
      <x:c r="R21" s="49"/>
      <x:c r="S21" s="30" t="str">
        <x:f>IF('Detalle'!L14="","",'Detalle'!L14)</x:f>
        <x:v>Josefina</x:v>
      </x:c>
      <x:c r="T21" s="30" t="str">
        <x:f>IF('Detalle'!M14="","",'Detalle'!M14)</x:f>
      </x:c>
    </x:row>
    <x:row r="22" ht="17" customHeight="1">
      <x:c r="A22" s="28" t="str">
        <x:v>INV-06</x:v>
      </x:c>
      <x:c r="B22" s="28" t="str">
        <x:v>Transversal</x:v>
      </x:c>
      <x:c r="C22" s="28" t="str">
        <x:v>Definir criterios de privacidad y RLS</x:v>
      </x:c>
      <x:c r="D22" s="47" t="str">
        <x:v>R</x:v>
      </x:c>
      <x:c r="E22" s="48" t="n">
        <x:f>IF('Detalle'!J14="","",'Detalle'!J14)</x:f>
        <x:v>1</x:v>
      </x:c>
      <x:c r="F22" s="44" t="str"/>
      <x:c r="G22" s="27" t="n">
        <x:f>IF(AND('Detalle'!$F14="Completado",G21=1),1,"")</x:f>
        <x:v>1</x:v>
      </x:c>
      <x:c r="H22" s="27" t="str">
        <x:f>IF(AND('Detalle'!$F14="Completado",H21=1),1,"")</x:f>
      </x:c>
      <x:c r="I22" s="27" t="str">
        <x:f>IF(AND('Detalle'!$F14="Completado",I21=1),1,"")</x:f>
      </x:c>
      <x:c r="J22" s="27" t="str">
        <x:f>IF(AND('Detalle'!$F14="Completado",J21=1),1,"")</x:f>
      </x:c>
      <x:c r="K22" s="27" t="str">
        <x:f>IF(AND('Detalle'!$F14="Completado",K21=1),1,"")</x:f>
      </x:c>
      <x:c r="L22" s="27" t="str">
        <x:f>IF(AND('Detalle'!$F14="Completado",L21=1),1,"")</x:f>
      </x:c>
      <x:c r="M22" s="27" t="str">
        <x:f>IF(AND('Detalle'!$F14="Completado",M21=1),1,"")</x:f>
      </x:c>
      <x:c r="N22" s="27" t="str">
        <x:f>IF(AND('Detalle'!$F14="Completado",N21=1),1,"")</x:f>
      </x:c>
      <x:c r="O22" s="27" t="str">
        <x:f>IF(AND('Detalle'!$F14="Completado",O21=1),1,"")</x:f>
      </x:c>
      <x:c r="P22" s="27" t="str">
        <x:f>IF(AND('Detalle'!$F14="Completado",P21=1),1,"")</x:f>
      </x:c>
      <x:c r="Q22" s="27" t="str">
        <x:f>IF(AND('Detalle'!$F14="Completado",Q21=1),1,"")</x:f>
      </x:c>
      <x:c r="R22" s="49"/>
      <x:c r="S22" s="30" t="str"/>
      <x:c r="T22" s="30" t="str"/>
    </x:row>
    <x:row r="23" ht="17" customHeight="1">
      <x:c r="A23" s="28" t="str">
        <x:v>INV-07</x:v>
      </x:c>
      <x:c r="B23" s="28" t="str">
        <x:v>Autenticación</x:v>
      </x:c>
      <x:c r="C23" s="28" t="str">
        <x:v>Investigar OTP y consentimiento explícito</x:v>
      </x:c>
      <x:c r="D23" s="46" t="str">
        <x:v>E</x:v>
      </x:c>
      <x:c r="E23" s="48" t="n">
        <x:f>IF('Detalle'!I15="","",'Detalle'!I15)</x:f>
        <x:v>1</x:v>
      </x:c>
      <x:c r="F23" s="44" t="str">
        <x:f>IF('Detalle'!F15="","",'Detalle'!F15)</x:f>
        <x:v>Completado</x:v>
      </x:c>
      <x:c r="G23" s="27" t="n">
        <x:f>IF(OR('Detalle'!$G15="",'Detalle'!$H15=""),"",IF(AND(G$8&lt;='Detalle'!$H15,G$9&gt;='Detalle'!$G15),1,""))</x:f>
        <x:v>1</x:v>
      </x:c>
      <x:c r="H23" s="27" t="str">
        <x:f>IF(OR('Detalle'!$G15="",'Detalle'!$H15=""),"",IF(AND(H$8&lt;='Detalle'!$H15,H$9&gt;='Detalle'!$G15),1,""))</x:f>
      </x:c>
      <x:c r="I23" s="27" t="str">
        <x:f>IF(OR('Detalle'!$G15="",'Detalle'!$H15=""),"",IF(AND(I$8&lt;='Detalle'!$H15,I$9&gt;='Detalle'!$G15),1,""))</x:f>
      </x:c>
      <x:c r="J23" s="27" t="str">
        <x:f>IF(OR('Detalle'!$G15="",'Detalle'!$H15=""),"",IF(AND(J$8&lt;='Detalle'!$H15,J$9&gt;='Detalle'!$G15),1,""))</x:f>
      </x:c>
      <x:c r="K23" s="27" t="str">
        <x:f>IF(OR('Detalle'!$G15="",'Detalle'!$H15=""),"",IF(AND(K$8&lt;='Detalle'!$H15,K$9&gt;='Detalle'!$G15),1,""))</x:f>
      </x:c>
      <x:c r="L23" s="27" t="str">
        <x:f>IF(OR('Detalle'!$G15="",'Detalle'!$H15=""),"",IF(AND(L$8&lt;='Detalle'!$H15,L$9&gt;='Detalle'!$G15),1,""))</x:f>
      </x:c>
      <x:c r="M23" s="27" t="str">
        <x:f>IF(OR('Detalle'!$G15="",'Detalle'!$H15=""),"",IF(AND(M$8&lt;='Detalle'!$H15,M$9&gt;='Detalle'!$G15),1,""))</x:f>
      </x:c>
      <x:c r="N23" s="27" t="str">
        <x:f>IF(OR('Detalle'!$G15="",'Detalle'!$H15=""),"",IF(AND(N$8&lt;='Detalle'!$H15,N$9&gt;='Detalle'!$G15),1,""))</x:f>
      </x:c>
      <x:c r="O23" s="27" t="str">
        <x:f>IF(OR('Detalle'!$G15="",'Detalle'!$H15=""),"",IF(AND(O$8&lt;='Detalle'!$H15,O$9&gt;='Detalle'!$G15),1,""))</x:f>
      </x:c>
      <x:c r="P23" s="27" t="str">
        <x:f>IF(OR('Detalle'!$G15="",'Detalle'!$H15=""),"",IF(AND(P$8&lt;='Detalle'!$H15,P$9&gt;='Detalle'!$G15),1,""))</x:f>
      </x:c>
      <x:c r="Q23" s="27" t="str">
        <x:f>IF(OR('Detalle'!$G15="",'Detalle'!$H15=""),"",IF(AND(Q$8&lt;='Detalle'!$H15,Q$9&gt;='Detalle'!$G15),1,""))</x:f>
      </x:c>
      <x:c r="R23" s="49"/>
      <x:c r="S23" s="30" t="str">
        <x:f>IF('Detalle'!L15="","",'Detalle'!L15)</x:f>
        <x:v>Josefina</x:v>
      </x:c>
      <x:c r="T23" s="30" t="str">
        <x:f>IF('Detalle'!M15="","",'Detalle'!M15)</x:f>
      </x:c>
    </x:row>
    <x:row r="24" ht="17" customHeight="1">
      <x:c r="A24" s="28" t="str">
        <x:v>INV-07</x:v>
      </x:c>
      <x:c r="B24" s="28" t="str">
        <x:v>Autenticación</x:v>
      </x:c>
      <x:c r="C24" s="28" t="str">
        <x:v>Investigar OTP y consentimiento explícito</x:v>
      </x:c>
      <x:c r="D24" s="47" t="str">
        <x:v>R</x:v>
      </x:c>
      <x:c r="E24" s="48" t="n">
        <x:f>IF('Detalle'!J15="","",'Detalle'!J15)</x:f>
        <x:v>1</x:v>
      </x:c>
      <x:c r="F24" s="44" t="str"/>
      <x:c r="G24" s="27" t="n">
        <x:f>IF(AND('Detalle'!$F15="Completado",G23=1),1,"")</x:f>
        <x:v>1</x:v>
      </x:c>
      <x:c r="H24" s="27" t="str">
        <x:f>IF(AND('Detalle'!$F15="Completado",H23=1),1,"")</x:f>
      </x:c>
      <x:c r="I24" s="27" t="str">
        <x:f>IF(AND('Detalle'!$F15="Completado",I23=1),1,"")</x:f>
      </x:c>
      <x:c r="J24" s="27" t="str">
        <x:f>IF(AND('Detalle'!$F15="Completado",J23=1),1,"")</x:f>
      </x:c>
      <x:c r="K24" s="27" t="str">
        <x:f>IF(AND('Detalle'!$F15="Completado",K23=1),1,"")</x:f>
      </x:c>
      <x:c r="L24" s="27" t="str">
        <x:f>IF(AND('Detalle'!$F15="Completado",L23=1),1,"")</x:f>
      </x:c>
      <x:c r="M24" s="27" t="str">
        <x:f>IF(AND('Detalle'!$F15="Completado",M23=1),1,"")</x:f>
      </x:c>
      <x:c r="N24" s="27" t="str">
        <x:f>IF(AND('Detalle'!$F15="Completado",N23=1),1,"")</x:f>
      </x:c>
      <x:c r="O24" s="27" t="str">
        <x:f>IF(AND('Detalle'!$F15="Completado",O23=1),1,"")</x:f>
      </x:c>
      <x:c r="P24" s="27" t="str">
        <x:f>IF(AND('Detalle'!$F15="Completado",P23=1),1,"")</x:f>
      </x:c>
      <x:c r="Q24" s="27" t="str">
        <x:f>IF(AND('Detalle'!$F15="Completado",Q23=1),1,"")</x:f>
      </x:c>
      <x:c r="R24" s="49"/>
      <x:c r="S24" s="30" t="str"/>
      <x:c r="T24" s="30" t="str"/>
    </x:row>
    <x:row r="25" ht="17" customHeight="1">
      <x:c r="A25" s="28" t="str">
        <x:v>INV-08</x:v>
      </x:c>
      <x:c r="B25" s="28" t="str">
        <x:v>Perfil y cuenta</x:v>
      </x:c>
      <x:c r="C25" s="28" t="str">
        <x:v>Estudiar almacenamiento privado de imágenes</x:v>
      </x:c>
      <x:c r="D25" s="46" t="str">
        <x:v>E</x:v>
      </x:c>
      <x:c r="E25" s="48" t="n">
        <x:f>IF('Detalle'!I16="","",'Detalle'!I16)</x:f>
        <x:v>1</x:v>
      </x:c>
      <x:c r="F25" s="44" t="str">
        <x:f>IF('Detalle'!F16="","",'Detalle'!F16)</x:f>
        <x:v>Completado</x:v>
      </x:c>
      <x:c r="G25" s="27" t="n">
        <x:f>IF(OR('Detalle'!$G16="",'Detalle'!$H16=""),"",IF(AND(G$8&lt;='Detalle'!$H16,G$9&gt;='Detalle'!$G16),1,""))</x:f>
        <x:v>1</x:v>
      </x:c>
      <x:c r="H25" s="27" t="str">
        <x:f>IF(OR('Detalle'!$G16="",'Detalle'!$H16=""),"",IF(AND(H$8&lt;='Detalle'!$H16,H$9&gt;='Detalle'!$G16),1,""))</x:f>
      </x:c>
      <x:c r="I25" s="27" t="str">
        <x:f>IF(OR('Detalle'!$G16="",'Detalle'!$H16=""),"",IF(AND(I$8&lt;='Detalle'!$H16,I$9&gt;='Detalle'!$G16),1,""))</x:f>
      </x:c>
      <x:c r="J25" s="27" t="str">
        <x:f>IF(OR('Detalle'!$G16="",'Detalle'!$H16=""),"",IF(AND(J$8&lt;='Detalle'!$H16,J$9&gt;='Detalle'!$G16),1,""))</x:f>
      </x:c>
      <x:c r="K25" s="27" t="str">
        <x:f>IF(OR('Detalle'!$G16="",'Detalle'!$H16=""),"",IF(AND(K$8&lt;='Detalle'!$H16,K$9&gt;='Detalle'!$G16),1,""))</x:f>
      </x:c>
      <x:c r="L25" s="27" t="str">
        <x:f>IF(OR('Detalle'!$G16="",'Detalle'!$H16=""),"",IF(AND(L$8&lt;='Detalle'!$H16,L$9&gt;='Detalle'!$G16),1,""))</x:f>
      </x:c>
      <x:c r="M25" s="27" t="str">
        <x:f>IF(OR('Detalle'!$G16="",'Detalle'!$H16=""),"",IF(AND(M$8&lt;='Detalle'!$H16,M$9&gt;='Detalle'!$G16),1,""))</x:f>
      </x:c>
      <x:c r="N25" s="27" t="str">
        <x:f>IF(OR('Detalle'!$G16="",'Detalle'!$H16=""),"",IF(AND(N$8&lt;='Detalle'!$H16,N$9&gt;='Detalle'!$G16),1,""))</x:f>
      </x:c>
      <x:c r="O25" s="27" t="str">
        <x:f>IF(OR('Detalle'!$G16="",'Detalle'!$H16=""),"",IF(AND(O$8&lt;='Detalle'!$H16,O$9&gt;='Detalle'!$G16),1,""))</x:f>
      </x:c>
      <x:c r="P25" s="27" t="str">
        <x:f>IF(OR('Detalle'!$G16="",'Detalle'!$H16=""),"",IF(AND(P$8&lt;='Detalle'!$H16,P$9&gt;='Detalle'!$G16),1,""))</x:f>
      </x:c>
      <x:c r="Q25" s="27" t="str">
        <x:f>IF(OR('Detalle'!$G16="",'Detalle'!$H16=""),"",IF(AND(Q$8&lt;='Detalle'!$H16,Q$9&gt;='Detalle'!$G16),1,""))</x:f>
      </x:c>
      <x:c r="R25" s="49"/>
      <x:c r="S25" s="30" t="str">
        <x:f>IF('Detalle'!L16="","",'Detalle'!L16)</x:f>
        <x:v>Josefina</x:v>
      </x:c>
      <x:c r="T25" s="30" t="str">
        <x:f>IF('Detalle'!M16="","",'Detalle'!M16)</x:f>
      </x:c>
    </x:row>
    <x:row r="26" ht="17" customHeight="1">
      <x:c r="A26" s="28" t="str">
        <x:v>INV-08</x:v>
      </x:c>
      <x:c r="B26" s="28" t="str">
        <x:v>Perfil y cuenta</x:v>
      </x:c>
      <x:c r="C26" s="28" t="str">
        <x:v>Estudiar almacenamiento privado de imágenes</x:v>
      </x:c>
      <x:c r="D26" s="47" t="str">
        <x:v>R</x:v>
      </x:c>
      <x:c r="E26" s="48" t="n">
        <x:f>IF('Detalle'!J16="","",'Detalle'!J16)</x:f>
        <x:v>1</x:v>
      </x:c>
      <x:c r="F26" s="44" t="str"/>
      <x:c r="G26" s="27" t="n">
        <x:f>IF(AND('Detalle'!$F16="Completado",G25=1),1,"")</x:f>
        <x:v>1</x:v>
      </x:c>
      <x:c r="H26" s="27" t="str">
        <x:f>IF(AND('Detalle'!$F16="Completado",H25=1),1,"")</x:f>
      </x:c>
      <x:c r="I26" s="27" t="str">
        <x:f>IF(AND('Detalle'!$F16="Completado",I25=1),1,"")</x:f>
      </x:c>
      <x:c r="J26" s="27" t="str">
        <x:f>IF(AND('Detalle'!$F16="Completado",J25=1),1,"")</x:f>
      </x:c>
      <x:c r="K26" s="27" t="str">
        <x:f>IF(AND('Detalle'!$F16="Completado",K25=1),1,"")</x:f>
      </x:c>
      <x:c r="L26" s="27" t="str">
        <x:f>IF(AND('Detalle'!$F16="Completado",L25=1),1,"")</x:f>
      </x:c>
      <x:c r="M26" s="27" t="str">
        <x:f>IF(AND('Detalle'!$F16="Completado",M25=1),1,"")</x:f>
      </x:c>
      <x:c r="N26" s="27" t="str">
        <x:f>IF(AND('Detalle'!$F16="Completado",N25=1),1,"")</x:f>
      </x:c>
      <x:c r="O26" s="27" t="str">
        <x:f>IF(AND('Detalle'!$F16="Completado",O25=1),1,"")</x:f>
      </x:c>
      <x:c r="P26" s="27" t="str">
        <x:f>IF(AND('Detalle'!$F16="Completado",P25=1),1,"")</x:f>
      </x:c>
      <x:c r="Q26" s="27" t="str">
        <x:f>IF(AND('Detalle'!$F16="Completado",Q25=1),1,"")</x:f>
      </x:c>
      <x:c r="R26" s="49"/>
      <x:c r="S26" s="30" t="str"/>
      <x:c r="T26" s="30" t="str"/>
    </x:row>
    <x:row r="27" ht="17" customHeight="1">
      <x:c r="A27" s="28" t="str">
        <x:v>INV-09</x:v>
      </x:c>
      <x:c r="B27" s="28" t="str">
        <x:v>Comunidad</x:v>
      </x:c>
      <x:c r="C27" s="28" t="str">
        <x:v>Analizar feed e interacciones sociales</x:v>
      </x:c>
      <x:c r="D27" s="46" t="str">
        <x:v>E</x:v>
      </x:c>
      <x:c r="E27" s="48" t="n">
        <x:f>IF('Detalle'!I17="","",'Detalle'!I17)</x:f>
        <x:v>1</x:v>
      </x:c>
      <x:c r="F27" s="44" t="str">
        <x:f>IF('Detalle'!F17="","",'Detalle'!F17)</x:f>
        <x:v>Completado</x:v>
      </x:c>
      <x:c r="G27" s="27" t="n">
        <x:f>IF(OR('Detalle'!$G17="",'Detalle'!$H17=""),"",IF(AND(G$8&lt;='Detalle'!$H17,G$9&gt;='Detalle'!$G17),1,""))</x:f>
        <x:v>1</x:v>
      </x:c>
      <x:c r="H27" s="27" t="str">
        <x:f>IF(OR('Detalle'!$G17="",'Detalle'!$H17=""),"",IF(AND(H$8&lt;='Detalle'!$H17,H$9&gt;='Detalle'!$G17),1,""))</x:f>
      </x:c>
      <x:c r="I27" s="27" t="str">
        <x:f>IF(OR('Detalle'!$G17="",'Detalle'!$H17=""),"",IF(AND(I$8&lt;='Detalle'!$H17,I$9&gt;='Detalle'!$G17),1,""))</x:f>
      </x:c>
      <x:c r="J27" s="27" t="str">
        <x:f>IF(OR('Detalle'!$G17="",'Detalle'!$H17=""),"",IF(AND(J$8&lt;='Detalle'!$H17,J$9&gt;='Detalle'!$G17),1,""))</x:f>
      </x:c>
      <x:c r="K27" s="27" t="str">
        <x:f>IF(OR('Detalle'!$G17="",'Detalle'!$H17=""),"",IF(AND(K$8&lt;='Detalle'!$H17,K$9&gt;='Detalle'!$G17),1,""))</x:f>
      </x:c>
      <x:c r="L27" s="27" t="str">
        <x:f>IF(OR('Detalle'!$G17="",'Detalle'!$H17=""),"",IF(AND(L$8&lt;='Detalle'!$H17,L$9&gt;='Detalle'!$G17),1,""))</x:f>
      </x:c>
      <x:c r="M27" s="27" t="str">
        <x:f>IF(OR('Detalle'!$G17="",'Detalle'!$H17=""),"",IF(AND(M$8&lt;='Detalle'!$H17,M$9&gt;='Detalle'!$G17),1,""))</x:f>
      </x:c>
      <x:c r="N27" s="27" t="str">
        <x:f>IF(OR('Detalle'!$G17="",'Detalle'!$H17=""),"",IF(AND(N$8&lt;='Detalle'!$H17,N$9&gt;='Detalle'!$G17),1,""))</x:f>
      </x:c>
      <x:c r="O27" s="27" t="str">
        <x:f>IF(OR('Detalle'!$G17="",'Detalle'!$H17=""),"",IF(AND(O$8&lt;='Detalle'!$H17,O$9&gt;='Detalle'!$G17),1,""))</x:f>
      </x:c>
      <x:c r="P27" s="27" t="str">
        <x:f>IF(OR('Detalle'!$G17="",'Detalle'!$H17=""),"",IF(AND(P$8&lt;='Detalle'!$H17,P$9&gt;='Detalle'!$G17),1,""))</x:f>
      </x:c>
      <x:c r="Q27" s="27" t="str">
        <x:f>IF(OR('Detalle'!$G17="",'Detalle'!$H17=""),"",IF(AND(Q$8&lt;='Detalle'!$H17,Q$9&gt;='Detalle'!$G17),1,""))</x:f>
      </x:c>
      <x:c r="R27" s="49"/>
      <x:c r="S27" s="30" t="str">
        <x:f>IF('Detalle'!L17="","",'Detalle'!L17)</x:f>
        <x:v>Josefina</x:v>
      </x:c>
      <x:c r="T27" s="30" t="str">
        <x:f>IF('Detalle'!M17="","",'Detalle'!M17)</x:f>
      </x:c>
    </x:row>
    <x:row r="28" ht="17" customHeight="1">
      <x:c r="A28" s="28" t="str">
        <x:v>INV-09</x:v>
      </x:c>
      <x:c r="B28" s="28" t="str">
        <x:v>Comunidad</x:v>
      </x:c>
      <x:c r="C28" s="28" t="str">
        <x:v>Analizar feed e interacciones sociales</x:v>
      </x:c>
      <x:c r="D28" s="47" t="str">
        <x:v>R</x:v>
      </x:c>
      <x:c r="E28" s="48" t="n">
        <x:f>IF('Detalle'!J17="","",'Detalle'!J17)</x:f>
        <x:v>1</x:v>
      </x:c>
      <x:c r="F28" s="44" t="str"/>
      <x:c r="G28" s="27" t="n">
        <x:f>IF(AND('Detalle'!$F17="Completado",G27=1),1,"")</x:f>
        <x:v>1</x:v>
      </x:c>
      <x:c r="H28" s="27" t="str">
        <x:f>IF(AND('Detalle'!$F17="Completado",H27=1),1,"")</x:f>
      </x:c>
      <x:c r="I28" s="27" t="str">
        <x:f>IF(AND('Detalle'!$F17="Completado",I27=1),1,"")</x:f>
      </x:c>
      <x:c r="J28" s="27" t="str">
        <x:f>IF(AND('Detalle'!$F17="Completado",J27=1),1,"")</x:f>
      </x:c>
      <x:c r="K28" s="27" t="str">
        <x:f>IF(AND('Detalle'!$F17="Completado",K27=1),1,"")</x:f>
      </x:c>
      <x:c r="L28" s="27" t="str">
        <x:f>IF(AND('Detalle'!$F17="Completado",L27=1),1,"")</x:f>
      </x:c>
      <x:c r="M28" s="27" t="str">
        <x:f>IF(AND('Detalle'!$F17="Completado",M27=1),1,"")</x:f>
      </x:c>
      <x:c r="N28" s="27" t="str">
        <x:f>IF(AND('Detalle'!$F17="Completado",N27=1),1,"")</x:f>
      </x:c>
      <x:c r="O28" s="27" t="str">
        <x:f>IF(AND('Detalle'!$F17="Completado",O27=1),1,"")</x:f>
      </x:c>
      <x:c r="P28" s="27" t="str">
        <x:f>IF(AND('Detalle'!$F17="Completado",P27=1),1,"")</x:f>
      </x:c>
      <x:c r="Q28" s="27" t="str">
        <x:f>IF(AND('Detalle'!$F17="Completado",Q27=1),1,"")</x:f>
      </x:c>
      <x:c r="R28" s="49"/>
      <x:c r="S28" s="30" t="str"/>
      <x:c r="T28" s="30" t="str"/>
    </x:row>
    <x:row r="29" ht="17" customHeight="1">
      <x:c r="A29" s="28" t="str">
        <x:v>INV-10</x:v>
      </x:c>
      <x:c r="B29" s="28" t="str">
        <x:v>Misiones</x:v>
      </x:c>
      <x:c r="C29" s="28" t="str">
        <x:v>Definir reglas de convocatorias y candidaturas</x:v>
      </x:c>
      <x:c r="D29" s="46" t="str">
        <x:v>E</x:v>
      </x:c>
      <x:c r="E29" s="48" t="n">
        <x:f>IF('Detalle'!I18="","",'Detalle'!I18)</x:f>
        <x:v>1</x:v>
      </x:c>
      <x:c r="F29" s="44" t="str">
        <x:f>IF('Detalle'!F18="","",'Detalle'!F18)</x:f>
        <x:v>Completado</x:v>
      </x:c>
      <x:c r="G29" s="27" t="n">
        <x:f>IF(OR('Detalle'!$G18="",'Detalle'!$H18=""),"",IF(AND(G$8&lt;='Detalle'!$H18,G$9&gt;='Detalle'!$G18),1,""))</x:f>
        <x:v>1</x:v>
      </x:c>
      <x:c r="H29" s="27" t="str">
        <x:f>IF(OR('Detalle'!$G18="",'Detalle'!$H18=""),"",IF(AND(H$8&lt;='Detalle'!$H18,H$9&gt;='Detalle'!$G18),1,""))</x:f>
      </x:c>
      <x:c r="I29" s="27" t="str">
        <x:f>IF(OR('Detalle'!$G18="",'Detalle'!$H18=""),"",IF(AND(I$8&lt;='Detalle'!$H18,I$9&gt;='Detalle'!$G18),1,""))</x:f>
      </x:c>
      <x:c r="J29" s="27" t="str">
        <x:f>IF(OR('Detalle'!$G18="",'Detalle'!$H18=""),"",IF(AND(J$8&lt;='Detalle'!$H18,J$9&gt;='Detalle'!$G18),1,""))</x:f>
      </x:c>
      <x:c r="K29" s="27" t="str">
        <x:f>IF(OR('Detalle'!$G18="",'Detalle'!$H18=""),"",IF(AND(K$8&lt;='Detalle'!$H18,K$9&gt;='Detalle'!$G18),1,""))</x:f>
      </x:c>
      <x:c r="L29" s="27" t="str">
        <x:f>IF(OR('Detalle'!$G18="",'Detalle'!$H18=""),"",IF(AND(L$8&lt;='Detalle'!$H18,L$9&gt;='Detalle'!$G18),1,""))</x:f>
      </x:c>
      <x:c r="M29" s="27" t="str">
        <x:f>IF(OR('Detalle'!$G18="",'Detalle'!$H18=""),"",IF(AND(M$8&lt;='Detalle'!$H18,M$9&gt;='Detalle'!$G18),1,""))</x:f>
      </x:c>
      <x:c r="N29" s="27" t="str">
        <x:f>IF(OR('Detalle'!$G18="",'Detalle'!$H18=""),"",IF(AND(N$8&lt;='Detalle'!$H18,N$9&gt;='Detalle'!$G18),1,""))</x:f>
      </x:c>
      <x:c r="O29" s="27" t="str">
        <x:f>IF(OR('Detalle'!$G18="",'Detalle'!$H18=""),"",IF(AND(O$8&lt;='Detalle'!$H18,O$9&gt;='Detalle'!$G18),1,""))</x:f>
      </x:c>
      <x:c r="P29" s="27" t="str">
        <x:f>IF(OR('Detalle'!$G18="",'Detalle'!$H18=""),"",IF(AND(P$8&lt;='Detalle'!$H18,P$9&gt;='Detalle'!$G18),1,""))</x:f>
      </x:c>
      <x:c r="Q29" s="27" t="str">
        <x:f>IF(OR('Detalle'!$G18="",'Detalle'!$H18=""),"",IF(AND(Q$8&lt;='Detalle'!$H18,Q$9&gt;='Detalle'!$G18),1,""))</x:f>
      </x:c>
      <x:c r="R29" s="49"/>
      <x:c r="S29" s="30" t="str">
        <x:f>IF('Detalle'!L18="","",'Detalle'!L18)</x:f>
        <x:v>Josefina</x:v>
      </x:c>
      <x:c r="T29" s="30" t="str">
        <x:f>IF('Detalle'!M18="","",'Detalle'!M18)</x:f>
      </x:c>
    </x:row>
    <x:row r="30" ht="17" customHeight="1">
      <x:c r="A30" s="28" t="str">
        <x:v>INV-10</x:v>
      </x:c>
      <x:c r="B30" s="28" t="str">
        <x:v>Misiones</x:v>
      </x:c>
      <x:c r="C30" s="28" t="str">
        <x:v>Definir reglas de convocatorias y candidaturas</x:v>
      </x:c>
      <x:c r="D30" s="47" t="str">
        <x:v>R</x:v>
      </x:c>
      <x:c r="E30" s="48" t="n">
        <x:f>IF('Detalle'!J18="","",'Detalle'!J18)</x:f>
        <x:v>1</x:v>
      </x:c>
      <x:c r="F30" s="44" t="str"/>
      <x:c r="G30" s="27" t="n">
        <x:f>IF(AND('Detalle'!$F18="Completado",G29=1),1,"")</x:f>
        <x:v>1</x:v>
      </x:c>
      <x:c r="H30" s="27" t="str">
        <x:f>IF(AND('Detalle'!$F18="Completado",H29=1),1,"")</x:f>
      </x:c>
      <x:c r="I30" s="27" t="str">
        <x:f>IF(AND('Detalle'!$F18="Completado",I29=1),1,"")</x:f>
      </x:c>
      <x:c r="J30" s="27" t="str">
        <x:f>IF(AND('Detalle'!$F18="Completado",J29=1),1,"")</x:f>
      </x:c>
      <x:c r="K30" s="27" t="str">
        <x:f>IF(AND('Detalle'!$F18="Completado",K29=1),1,"")</x:f>
      </x:c>
      <x:c r="L30" s="27" t="str">
        <x:f>IF(AND('Detalle'!$F18="Completado",L29=1),1,"")</x:f>
      </x:c>
      <x:c r="M30" s="27" t="str">
        <x:f>IF(AND('Detalle'!$F18="Completado",M29=1),1,"")</x:f>
      </x:c>
      <x:c r="N30" s="27" t="str">
        <x:f>IF(AND('Detalle'!$F18="Completado",N29=1),1,"")</x:f>
      </x:c>
      <x:c r="O30" s="27" t="str">
        <x:f>IF(AND('Detalle'!$F18="Completado",O29=1),1,"")</x:f>
      </x:c>
      <x:c r="P30" s="27" t="str">
        <x:f>IF(AND('Detalle'!$F18="Completado",P29=1),1,"")</x:f>
      </x:c>
      <x:c r="Q30" s="27" t="str">
        <x:f>IF(AND('Detalle'!$F18="Completado",Q29=1),1,"")</x:f>
      </x:c>
      <x:c r="R30" s="49"/>
      <x:c r="S30" s="30" t="str"/>
      <x:c r="T30" s="30" t="str"/>
    </x:row>
    <x:row r="31" ht="17" customHeight="1">
      <x:c r="A31" s="28" t="str">
        <x:v>INV-11</x:v>
      </x:c>
      <x:c r="B31" s="28" t="str">
        <x:v>Fichas profesionales</x:v>
      </x:c>
      <x:c r="C31" s="28" t="str">
        <x:v>Diferenciar portafolio, catálogo y servicios</x:v>
      </x:c>
      <x:c r="D31" s="46" t="str">
        <x:v>E</x:v>
      </x:c>
      <x:c r="E31" s="48" t="n">
        <x:f>IF('Detalle'!I19="","",'Detalle'!I19)</x:f>
        <x:v>1</x:v>
      </x:c>
      <x:c r="F31" s="44" t="str">
        <x:f>IF('Detalle'!F19="","",'Detalle'!F19)</x:f>
        <x:v>Completado</x:v>
      </x:c>
      <x:c r="G31" s="27" t="n">
        <x:f>IF(OR('Detalle'!$G19="",'Detalle'!$H19=""),"",IF(AND(G$8&lt;='Detalle'!$H19,G$9&gt;='Detalle'!$G19),1,""))</x:f>
        <x:v>1</x:v>
      </x:c>
      <x:c r="H31" s="27" t="str">
        <x:f>IF(OR('Detalle'!$G19="",'Detalle'!$H19=""),"",IF(AND(H$8&lt;='Detalle'!$H19,H$9&gt;='Detalle'!$G19),1,""))</x:f>
      </x:c>
      <x:c r="I31" s="27" t="str">
        <x:f>IF(OR('Detalle'!$G19="",'Detalle'!$H19=""),"",IF(AND(I$8&lt;='Detalle'!$H19,I$9&gt;='Detalle'!$G19),1,""))</x:f>
      </x:c>
      <x:c r="J31" s="27" t="str">
        <x:f>IF(OR('Detalle'!$G19="",'Detalle'!$H19=""),"",IF(AND(J$8&lt;='Detalle'!$H19,J$9&gt;='Detalle'!$G19),1,""))</x:f>
      </x:c>
      <x:c r="K31" s="27" t="str">
        <x:f>IF(OR('Detalle'!$G19="",'Detalle'!$H19=""),"",IF(AND(K$8&lt;='Detalle'!$H19,K$9&gt;='Detalle'!$G19),1,""))</x:f>
      </x:c>
      <x:c r="L31" s="27" t="str">
        <x:f>IF(OR('Detalle'!$G19="",'Detalle'!$H19=""),"",IF(AND(L$8&lt;='Detalle'!$H19,L$9&gt;='Detalle'!$G19),1,""))</x:f>
      </x:c>
      <x:c r="M31" s="27" t="str">
        <x:f>IF(OR('Detalle'!$G19="",'Detalle'!$H19=""),"",IF(AND(M$8&lt;='Detalle'!$H19,M$9&gt;='Detalle'!$G19),1,""))</x:f>
      </x:c>
      <x:c r="N31" s="27" t="str">
        <x:f>IF(OR('Detalle'!$G19="",'Detalle'!$H19=""),"",IF(AND(N$8&lt;='Detalle'!$H19,N$9&gt;='Detalle'!$G19),1,""))</x:f>
      </x:c>
      <x:c r="O31" s="27" t="str">
        <x:f>IF(OR('Detalle'!$G19="",'Detalle'!$H19=""),"",IF(AND(O$8&lt;='Detalle'!$H19,O$9&gt;='Detalle'!$G19),1,""))</x:f>
      </x:c>
      <x:c r="P31" s="27" t="str">
        <x:f>IF(OR('Detalle'!$G19="",'Detalle'!$H19=""),"",IF(AND(P$8&lt;='Detalle'!$H19,P$9&gt;='Detalle'!$G19),1,""))</x:f>
      </x:c>
      <x:c r="Q31" s="27" t="str">
        <x:f>IF(OR('Detalle'!$G19="",'Detalle'!$H19=""),"",IF(AND(Q$8&lt;='Detalle'!$H19,Q$9&gt;='Detalle'!$G19),1,""))</x:f>
      </x:c>
      <x:c r="R31" s="49"/>
      <x:c r="S31" s="30" t="str">
        <x:f>IF('Detalle'!L19="","",'Detalle'!L19)</x:f>
        <x:v>Josefina</x:v>
      </x:c>
      <x:c r="T31" s="30" t="str">
        <x:f>IF('Detalle'!M19="","",'Detalle'!M19)</x:f>
      </x:c>
    </x:row>
    <x:row r="32" ht="17" customHeight="1">
      <x:c r="A32" s="28" t="str">
        <x:v>INV-11</x:v>
      </x:c>
      <x:c r="B32" s="28" t="str">
        <x:v>Fichas profesionales</x:v>
      </x:c>
      <x:c r="C32" s="28" t="str">
        <x:v>Diferenciar portafolio, catálogo y servicios</x:v>
      </x:c>
      <x:c r="D32" s="47" t="str">
        <x:v>R</x:v>
      </x:c>
      <x:c r="E32" s="48" t="n">
        <x:f>IF('Detalle'!J19="","",'Detalle'!J19)</x:f>
        <x:v>1</x:v>
      </x:c>
      <x:c r="F32" s="44" t="str"/>
      <x:c r="G32" s="27" t="n">
        <x:f>IF(AND('Detalle'!$F19="Completado",G31=1),1,"")</x:f>
        <x:v>1</x:v>
      </x:c>
      <x:c r="H32" s="27" t="str">
        <x:f>IF(AND('Detalle'!$F19="Completado",H31=1),1,"")</x:f>
      </x:c>
      <x:c r="I32" s="27" t="str">
        <x:f>IF(AND('Detalle'!$F19="Completado",I31=1),1,"")</x:f>
      </x:c>
      <x:c r="J32" s="27" t="str">
        <x:f>IF(AND('Detalle'!$F19="Completado",J31=1),1,"")</x:f>
      </x:c>
      <x:c r="K32" s="27" t="str">
        <x:f>IF(AND('Detalle'!$F19="Completado",K31=1),1,"")</x:f>
      </x:c>
      <x:c r="L32" s="27" t="str">
        <x:f>IF(AND('Detalle'!$F19="Completado",L31=1),1,"")</x:f>
      </x:c>
      <x:c r="M32" s="27" t="str">
        <x:f>IF(AND('Detalle'!$F19="Completado",M31=1),1,"")</x:f>
      </x:c>
      <x:c r="N32" s="27" t="str">
        <x:f>IF(AND('Detalle'!$F19="Completado",N31=1),1,"")</x:f>
      </x:c>
      <x:c r="O32" s="27" t="str">
        <x:f>IF(AND('Detalle'!$F19="Completado",O31=1),1,"")</x:f>
      </x:c>
      <x:c r="P32" s="27" t="str">
        <x:f>IF(AND('Detalle'!$F19="Completado",P31=1),1,"")</x:f>
      </x:c>
      <x:c r="Q32" s="27" t="str">
        <x:f>IF(AND('Detalle'!$F19="Completado",Q31=1),1,"")</x:f>
      </x:c>
      <x:c r="R32" s="49"/>
      <x:c r="S32" s="30" t="str"/>
      <x:c r="T32" s="30" t="str"/>
    </x:row>
    <x:row r="33" ht="17" customHeight="1">
      <x:c r="A33" s="28" t="str">
        <x:v>INV-12</x:v>
      </x:c>
      <x:c r="B33" s="28" t="str">
        <x:v>Mapa</x:v>
      </x:c>
      <x:c r="C33" s="28" t="str">
        <x:v>Estudiar OpenStreetMap y coordenadas</x:v>
      </x:c>
      <x:c r="D33" s="46" t="str">
        <x:v>E</x:v>
      </x:c>
      <x:c r="E33" s="48" t="n">
        <x:f>IF('Detalle'!I20="","",'Detalle'!I20)</x:f>
        <x:v>1</x:v>
      </x:c>
      <x:c r="F33" s="44" t="str">
        <x:f>IF('Detalle'!F20="","",'Detalle'!F20)</x:f>
        <x:v>Completado</x:v>
      </x:c>
      <x:c r="G33" s="27" t="n">
        <x:f>IF(OR('Detalle'!$G20="",'Detalle'!$H20=""),"",IF(AND(G$8&lt;='Detalle'!$H20,G$9&gt;='Detalle'!$G20),1,""))</x:f>
        <x:v>1</x:v>
      </x:c>
      <x:c r="H33" s="27" t="str">
        <x:f>IF(OR('Detalle'!$G20="",'Detalle'!$H20=""),"",IF(AND(H$8&lt;='Detalle'!$H20,H$9&gt;='Detalle'!$G20),1,""))</x:f>
      </x:c>
      <x:c r="I33" s="27" t="str">
        <x:f>IF(OR('Detalle'!$G20="",'Detalle'!$H20=""),"",IF(AND(I$8&lt;='Detalle'!$H20,I$9&gt;='Detalle'!$G20),1,""))</x:f>
      </x:c>
      <x:c r="J33" s="27" t="str">
        <x:f>IF(OR('Detalle'!$G20="",'Detalle'!$H20=""),"",IF(AND(J$8&lt;='Detalle'!$H20,J$9&gt;='Detalle'!$G20),1,""))</x:f>
      </x:c>
      <x:c r="K33" s="27" t="str">
        <x:f>IF(OR('Detalle'!$G20="",'Detalle'!$H20=""),"",IF(AND(K$8&lt;='Detalle'!$H20,K$9&gt;='Detalle'!$G20),1,""))</x:f>
      </x:c>
      <x:c r="L33" s="27" t="str">
        <x:f>IF(OR('Detalle'!$G20="",'Detalle'!$H20=""),"",IF(AND(L$8&lt;='Detalle'!$H20,L$9&gt;='Detalle'!$G20),1,""))</x:f>
      </x:c>
      <x:c r="M33" s="27" t="str">
        <x:f>IF(OR('Detalle'!$G20="",'Detalle'!$H20=""),"",IF(AND(M$8&lt;='Detalle'!$H20,M$9&gt;='Detalle'!$G20),1,""))</x:f>
      </x:c>
      <x:c r="N33" s="27" t="str">
        <x:f>IF(OR('Detalle'!$G20="",'Detalle'!$H20=""),"",IF(AND(N$8&lt;='Detalle'!$H20,N$9&gt;='Detalle'!$G20),1,""))</x:f>
      </x:c>
      <x:c r="O33" s="27" t="str">
        <x:f>IF(OR('Detalle'!$G20="",'Detalle'!$H20=""),"",IF(AND(O$8&lt;='Detalle'!$H20,O$9&gt;='Detalle'!$G20),1,""))</x:f>
      </x:c>
      <x:c r="P33" s="27" t="str">
        <x:f>IF(OR('Detalle'!$G20="",'Detalle'!$H20=""),"",IF(AND(P$8&lt;='Detalle'!$H20,P$9&gt;='Detalle'!$G20),1,""))</x:f>
      </x:c>
      <x:c r="Q33" s="27" t="str">
        <x:f>IF(OR('Detalle'!$G20="",'Detalle'!$H20=""),"",IF(AND(Q$8&lt;='Detalle'!$H20,Q$9&gt;='Detalle'!$G20),1,""))</x:f>
      </x:c>
      <x:c r="R33" s="49"/>
      <x:c r="S33" s="30" t="str">
        <x:f>IF('Detalle'!L20="","",'Detalle'!L20)</x:f>
        <x:v>Josefina</x:v>
      </x:c>
      <x:c r="T33" s="30" t="str">
        <x:f>IF('Detalle'!M20="","",'Detalle'!M20)</x:f>
      </x:c>
    </x:row>
    <x:row r="34" ht="17" customHeight="1">
      <x:c r="A34" s="28" t="str">
        <x:v>INV-12</x:v>
      </x:c>
      <x:c r="B34" s="28" t="str">
        <x:v>Mapa</x:v>
      </x:c>
      <x:c r="C34" s="28" t="str">
        <x:v>Estudiar OpenStreetMap y coordenadas</x:v>
      </x:c>
      <x:c r="D34" s="47" t="str">
        <x:v>R</x:v>
      </x:c>
      <x:c r="E34" s="48" t="n">
        <x:f>IF('Detalle'!J20="","",'Detalle'!J20)</x:f>
        <x:v>1</x:v>
      </x:c>
      <x:c r="F34" s="44" t="str"/>
      <x:c r="G34" s="27" t="n">
        <x:f>IF(AND('Detalle'!$F20="Completado",G33=1),1,"")</x:f>
        <x:v>1</x:v>
      </x:c>
      <x:c r="H34" s="27" t="str">
        <x:f>IF(AND('Detalle'!$F20="Completado",H33=1),1,"")</x:f>
      </x:c>
      <x:c r="I34" s="27" t="str">
        <x:f>IF(AND('Detalle'!$F20="Completado",I33=1),1,"")</x:f>
      </x:c>
      <x:c r="J34" s="27" t="str">
        <x:f>IF(AND('Detalle'!$F20="Completado",J33=1),1,"")</x:f>
      </x:c>
      <x:c r="K34" s="27" t="str">
        <x:f>IF(AND('Detalle'!$F20="Completado",K33=1),1,"")</x:f>
      </x:c>
      <x:c r="L34" s="27" t="str">
        <x:f>IF(AND('Detalle'!$F20="Completado",L33=1),1,"")</x:f>
      </x:c>
      <x:c r="M34" s="27" t="str">
        <x:f>IF(AND('Detalle'!$F20="Completado",M33=1),1,"")</x:f>
      </x:c>
      <x:c r="N34" s="27" t="str">
        <x:f>IF(AND('Detalle'!$F20="Completado",N33=1),1,"")</x:f>
      </x:c>
      <x:c r="O34" s="27" t="str">
        <x:f>IF(AND('Detalle'!$F20="Completado",O33=1),1,"")</x:f>
      </x:c>
      <x:c r="P34" s="27" t="str">
        <x:f>IF(AND('Detalle'!$F20="Completado",P33=1),1,"")</x:f>
      </x:c>
      <x:c r="Q34" s="27" t="str">
        <x:f>IF(AND('Detalle'!$F20="Completado",Q33=1),1,"")</x:f>
      </x:c>
      <x:c r="R34" s="49"/>
      <x:c r="S34" s="30" t="str"/>
      <x:c r="T34" s="30" t="str"/>
    </x:row>
    <x:row r="35" ht="17" customHeight="1">
      <x:c r="A35" s="28" t="str">
        <x:v>INV-13</x:v>
      </x:c>
      <x:c r="B35" s="28" t="str">
        <x:v>Push</x:v>
      </x:c>
      <x:c r="C35" s="28" t="str">
        <x:v>Analizar colas de alertas y entrega FCM</x:v>
      </x:c>
      <x:c r="D35" s="46" t="str">
        <x:v>E</x:v>
      </x:c>
      <x:c r="E35" s="48" t="n">
        <x:f>IF('Detalle'!I21="","",'Detalle'!I21)</x:f>
        <x:v>1</x:v>
      </x:c>
      <x:c r="F35" s="44" t="str">
        <x:f>IF('Detalle'!F21="","",'Detalle'!F21)</x:f>
        <x:v>Completado</x:v>
      </x:c>
      <x:c r="G35" s="27" t="n">
        <x:f>IF(OR('Detalle'!$G21="",'Detalle'!$H21=""),"",IF(AND(G$8&lt;='Detalle'!$H21,G$9&gt;='Detalle'!$G21),1,""))</x:f>
        <x:v>1</x:v>
      </x:c>
      <x:c r="H35" s="27" t="str">
        <x:f>IF(OR('Detalle'!$G21="",'Detalle'!$H21=""),"",IF(AND(H$8&lt;='Detalle'!$H21,H$9&gt;='Detalle'!$G21),1,""))</x:f>
      </x:c>
      <x:c r="I35" s="27" t="str">
        <x:f>IF(OR('Detalle'!$G21="",'Detalle'!$H21=""),"",IF(AND(I$8&lt;='Detalle'!$H21,I$9&gt;='Detalle'!$G21),1,""))</x:f>
      </x:c>
      <x:c r="J35" s="27" t="str">
        <x:f>IF(OR('Detalle'!$G21="",'Detalle'!$H21=""),"",IF(AND(J$8&lt;='Detalle'!$H21,J$9&gt;='Detalle'!$G21),1,""))</x:f>
      </x:c>
      <x:c r="K35" s="27" t="str">
        <x:f>IF(OR('Detalle'!$G21="",'Detalle'!$H21=""),"",IF(AND(K$8&lt;='Detalle'!$H21,K$9&gt;='Detalle'!$G21),1,""))</x:f>
      </x:c>
      <x:c r="L35" s="27" t="str">
        <x:f>IF(OR('Detalle'!$G21="",'Detalle'!$H21=""),"",IF(AND(L$8&lt;='Detalle'!$H21,L$9&gt;='Detalle'!$G21),1,""))</x:f>
      </x:c>
      <x:c r="M35" s="27" t="str">
        <x:f>IF(OR('Detalle'!$G21="",'Detalle'!$H21=""),"",IF(AND(M$8&lt;='Detalle'!$H21,M$9&gt;='Detalle'!$G21),1,""))</x:f>
      </x:c>
      <x:c r="N35" s="27" t="str">
        <x:f>IF(OR('Detalle'!$G21="",'Detalle'!$H21=""),"",IF(AND(N$8&lt;='Detalle'!$H21,N$9&gt;='Detalle'!$G21),1,""))</x:f>
      </x:c>
      <x:c r="O35" s="27" t="str">
        <x:f>IF(OR('Detalle'!$G21="",'Detalle'!$H21=""),"",IF(AND(O$8&lt;='Detalle'!$H21,O$9&gt;='Detalle'!$G21),1,""))</x:f>
      </x:c>
      <x:c r="P35" s="27" t="str">
        <x:f>IF(OR('Detalle'!$G21="",'Detalle'!$H21=""),"",IF(AND(P$8&lt;='Detalle'!$H21,P$9&gt;='Detalle'!$G21),1,""))</x:f>
      </x:c>
      <x:c r="Q35" s="27" t="str">
        <x:f>IF(OR('Detalle'!$G21="",'Detalle'!$H21=""),"",IF(AND(Q$8&lt;='Detalle'!$H21,Q$9&gt;='Detalle'!$G21),1,""))</x:f>
      </x:c>
      <x:c r="R35" s="49"/>
      <x:c r="S35" s="30" t="str">
        <x:f>IF('Detalle'!L21="","",'Detalle'!L21)</x:f>
        <x:v>Josefina</x:v>
      </x:c>
      <x:c r="T35" s="30" t="str">
        <x:f>IF('Detalle'!M21="","",'Detalle'!M21)</x:f>
      </x:c>
    </x:row>
    <x:row r="36" ht="17" customHeight="1">
      <x:c r="A36" s="28" t="str">
        <x:v>INV-13</x:v>
      </x:c>
      <x:c r="B36" s="28" t="str">
        <x:v>Push</x:v>
      </x:c>
      <x:c r="C36" s="28" t="str">
        <x:v>Analizar colas de alertas y entrega FCM</x:v>
      </x:c>
      <x:c r="D36" s="47" t="str">
        <x:v>R</x:v>
      </x:c>
      <x:c r="E36" s="48" t="n">
        <x:f>IF('Detalle'!J21="","",'Detalle'!J21)</x:f>
        <x:v>1</x:v>
      </x:c>
      <x:c r="F36" s="44" t="str"/>
      <x:c r="G36" s="27" t="n">
        <x:f>IF(AND('Detalle'!$F21="Completado",G35=1),1,"")</x:f>
        <x:v>1</x:v>
      </x:c>
      <x:c r="H36" s="27" t="str">
        <x:f>IF(AND('Detalle'!$F21="Completado",H35=1),1,"")</x:f>
      </x:c>
      <x:c r="I36" s="27" t="str">
        <x:f>IF(AND('Detalle'!$F21="Completado",I35=1),1,"")</x:f>
      </x:c>
      <x:c r="J36" s="27" t="str">
        <x:f>IF(AND('Detalle'!$F21="Completado",J35=1),1,"")</x:f>
      </x:c>
      <x:c r="K36" s="27" t="str">
        <x:f>IF(AND('Detalle'!$F21="Completado",K35=1),1,"")</x:f>
      </x:c>
      <x:c r="L36" s="27" t="str">
        <x:f>IF(AND('Detalle'!$F21="Completado",L35=1),1,"")</x:f>
      </x:c>
      <x:c r="M36" s="27" t="str">
        <x:f>IF(AND('Detalle'!$F21="Completado",M35=1),1,"")</x:f>
      </x:c>
      <x:c r="N36" s="27" t="str">
        <x:f>IF(AND('Detalle'!$F21="Completado",N35=1),1,"")</x:f>
      </x:c>
      <x:c r="O36" s="27" t="str">
        <x:f>IF(AND('Detalle'!$F21="Completado",O35=1),1,"")</x:f>
      </x:c>
      <x:c r="P36" s="27" t="str">
        <x:f>IF(AND('Detalle'!$F21="Completado",P35=1),1,"")</x:f>
      </x:c>
      <x:c r="Q36" s="27" t="str">
        <x:f>IF(AND('Detalle'!$F21="Completado",Q35=1),1,"")</x:f>
      </x:c>
      <x:c r="R36" s="49"/>
      <x:c r="S36" s="30" t="str"/>
      <x:c r="T36" s="30" t="str"/>
    </x:row>
    <x:row r="37" ht="17" customHeight="1">
      <x:c r="A37" s="28" t="str">
        <x:v>INV-14</x:v>
      </x:c>
      <x:c r="B37" s="28" t="str">
        <x:v>Recorridos y AR</x:v>
      </x:c>
      <x:c r="C37" s="28" t="str">
        <x:v>Estudiar panoramas 360° y metadatos GPano</x:v>
      </x:c>
      <x:c r="D37" s="46" t="str">
        <x:v>E</x:v>
      </x:c>
      <x:c r="E37" s="48" t="n">
        <x:f>IF('Detalle'!I22="","",'Detalle'!I22)</x:f>
        <x:v>1</x:v>
      </x:c>
      <x:c r="F37" s="44" t="str">
        <x:f>IF('Detalle'!F22="","",'Detalle'!F22)</x:f>
        <x:v>Completado</x:v>
      </x:c>
      <x:c r="G37" s="27" t="n">
        <x:f>IF(OR('Detalle'!$G22="",'Detalle'!$H22=""),"",IF(AND(G$8&lt;='Detalle'!$H22,G$9&gt;='Detalle'!$G22),1,""))</x:f>
        <x:v>1</x:v>
      </x:c>
      <x:c r="H37" s="27" t="str">
        <x:f>IF(OR('Detalle'!$G22="",'Detalle'!$H22=""),"",IF(AND(H$8&lt;='Detalle'!$H22,H$9&gt;='Detalle'!$G22),1,""))</x:f>
      </x:c>
      <x:c r="I37" s="27" t="str">
        <x:f>IF(OR('Detalle'!$G22="",'Detalle'!$H22=""),"",IF(AND(I$8&lt;='Detalle'!$H22,I$9&gt;='Detalle'!$G22),1,""))</x:f>
      </x:c>
      <x:c r="J37" s="27" t="str">
        <x:f>IF(OR('Detalle'!$G22="",'Detalle'!$H22=""),"",IF(AND(J$8&lt;='Detalle'!$H22,J$9&gt;='Detalle'!$G22),1,""))</x:f>
      </x:c>
      <x:c r="K37" s="27" t="str">
        <x:f>IF(OR('Detalle'!$G22="",'Detalle'!$H22=""),"",IF(AND(K$8&lt;='Detalle'!$H22,K$9&gt;='Detalle'!$G22),1,""))</x:f>
      </x:c>
      <x:c r="L37" s="27" t="str">
        <x:f>IF(OR('Detalle'!$G22="",'Detalle'!$H22=""),"",IF(AND(L$8&lt;='Detalle'!$H22,L$9&gt;='Detalle'!$G22),1,""))</x:f>
      </x:c>
      <x:c r="M37" s="27" t="str">
        <x:f>IF(OR('Detalle'!$G22="",'Detalle'!$H22=""),"",IF(AND(M$8&lt;='Detalle'!$H22,M$9&gt;='Detalle'!$G22),1,""))</x:f>
      </x:c>
      <x:c r="N37" s="27" t="str">
        <x:f>IF(OR('Detalle'!$G22="",'Detalle'!$H22=""),"",IF(AND(N$8&lt;='Detalle'!$H22,N$9&gt;='Detalle'!$G22),1,""))</x:f>
      </x:c>
      <x:c r="O37" s="27" t="str">
        <x:f>IF(OR('Detalle'!$G22="",'Detalle'!$H22=""),"",IF(AND(O$8&lt;='Detalle'!$H22,O$9&gt;='Detalle'!$G22),1,""))</x:f>
      </x:c>
      <x:c r="P37" s="27" t="str">
        <x:f>IF(OR('Detalle'!$G22="",'Detalle'!$H22=""),"",IF(AND(P$8&lt;='Detalle'!$H22,P$9&gt;='Detalle'!$G22),1,""))</x:f>
      </x:c>
      <x:c r="Q37" s="27" t="str">
        <x:f>IF(OR('Detalle'!$G22="",'Detalle'!$H22=""),"",IF(AND(Q$8&lt;='Detalle'!$H22,Q$9&gt;='Detalle'!$G22),1,""))</x:f>
      </x:c>
      <x:c r="R37" s="49"/>
      <x:c r="S37" s="30" t="str">
        <x:f>IF('Detalle'!L22="","",'Detalle'!L22)</x:f>
        <x:v>Josefina</x:v>
      </x:c>
      <x:c r="T37" s="30" t="str">
        <x:f>IF('Detalle'!M22="","",'Detalle'!M22)</x:f>
      </x:c>
    </x:row>
    <x:row r="38" ht="17" customHeight="1">
      <x:c r="A38" s="28" t="str">
        <x:v>INV-14</x:v>
      </x:c>
      <x:c r="B38" s="28" t="str">
        <x:v>Recorridos y AR</x:v>
      </x:c>
      <x:c r="C38" s="28" t="str">
        <x:v>Estudiar panoramas 360° y metadatos GPano</x:v>
      </x:c>
      <x:c r="D38" s="47" t="str">
        <x:v>R</x:v>
      </x:c>
      <x:c r="E38" s="48" t="n">
        <x:f>IF('Detalle'!J22="","",'Detalle'!J22)</x:f>
        <x:v>1</x:v>
      </x:c>
      <x:c r="F38" s="44" t="str"/>
      <x:c r="G38" s="27" t="n">
        <x:f>IF(AND('Detalle'!$F22="Completado",G37=1),1,"")</x:f>
        <x:v>1</x:v>
      </x:c>
      <x:c r="H38" s="27" t="str">
        <x:f>IF(AND('Detalle'!$F22="Completado",H37=1),1,"")</x:f>
      </x:c>
      <x:c r="I38" s="27" t="str">
        <x:f>IF(AND('Detalle'!$F22="Completado",I37=1),1,"")</x:f>
      </x:c>
      <x:c r="J38" s="27" t="str">
        <x:f>IF(AND('Detalle'!$F22="Completado",J37=1),1,"")</x:f>
      </x:c>
      <x:c r="K38" s="27" t="str">
        <x:f>IF(AND('Detalle'!$F22="Completado",K37=1),1,"")</x:f>
      </x:c>
      <x:c r="L38" s="27" t="str">
        <x:f>IF(AND('Detalle'!$F22="Completado",L37=1),1,"")</x:f>
      </x:c>
      <x:c r="M38" s="27" t="str">
        <x:f>IF(AND('Detalle'!$F22="Completado",M37=1),1,"")</x:f>
      </x:c>
      <x:c r="N38" s="27" t="str">
        <x:f>IF(AND('Detalle'!$F22="Completado",N37=1),1,"")</x:f>
      </x:c>
      <x:c r="O38" s="27" t="str">
        <x:f>IF(AND('Detalle'!$F22="Completado",O37=1),1,"")</x:f>
      </x:c>
      <x:c r="P38" s="27" t="str">
        <x:f>IF(AND('Detalle'!$F22="Completado",P37=1),1,"")</x:f>
      </x:c>
      <x:c r="Q38" s="27" t="str">
        <x:f>IF(AND('Detalle'!$F22="Completado",Q37=1),1,"")</x:f>
      </x:c>
      <x:c r="R38" s="49"/>
      <x:c r="S38" s="30" t="str"/>
      <x:c r="T38" s="30" t="str"/>
    </x:row>
    <x:row r="39" ht="17" customHeight="1">
      <x:c r="A39" s="28" t="str">
        <x:v>INV-15</x:v>
      </x:c>
      <x:c r="B39" s="28" t="str">
        <x:v>Recorridos y AR</x:v>
      </x:c>
      <x:c r="C39" s="28" t="str">
        <x:v>Investigar cosido Hugin y mezcla Enblend</x:v>
      </x:c>
      <x:c r="D39" s="46" t="str">
        <x:v>E</x:v>
      </x:c>
      <x:c r="E39" s="48" t="n">
        <x:f>IF('Detalle'!I23="","",'Detalle'!I23)</x:f>
        <x:v>1</x:v>
      </x:c>
      <x:c r="F39" s="44" t="str">
        <x:f>IF('Detalle'!F23="","",'Detalle'!F23)</x:f>
        <x:v>Completado</x:v>
      </x:c>
      <x:c r="G39" s="27" t="n">
        <x:f>IF(OR('Detalle'!$G23="",'Detalle'!$H23=""),"",IF(AND(G$8&lt;='Detalle'!$H23,G$9&gt;='Detalle'!$G23),1,""))</x:f>
        <x:v>1</x:v>
      </x:c>
      <x:c r="H39" s="27" t="str">
        <x:f>IF(OR('Detalle'!$G23="",'Detalle'!$H23=""),"",IF(AND(H$8&lt;='Detalle'!$H23,H$9&gt;='Detalle'!$G23),1,""))</x:f>
      </x:c>
      <x:c r="I39" s="27" t="str">
        <x:f>IF(OR('Detalle'!$G23="",'Detalle'!$H23=""),"",IF(AND(I$8&lt;='Detalle'!$H23,I$9&gt;='Detalle'!$G23),1,""))</x:f>
      </x:c>
      <x:c r="J39" s="27" t="str">
        <x:f>IF(OR('Detalle'!$G23="",'Detalle'!$H23=""),"",IF(AND(J$8&lt;='Detalle'!$H23,J$9&gt;='Detalle'!$G23),1,""))</x:f>
      </x:c>
      <x:c r="K39" s="27" t="str">
        <x:f>IF(OR('Detalle'!$G23="",'Detalle'!$H23=""),"",IF(AND(K$8&lt;='Detalle'!$H23,K$9&gt;='Detalle'!$G23),1,""))</x:f>
      </x:c>
      <x:c r="L39" s="27" t="str">
        <x:f>IF(OR('Detalle'!$G23="",'Detalle'!$H23=""),"",IF(AND(L$8&lt;='Detalle'!$H23,L$9&gt;='Detalle'!$G23),1,""))</x:f>
      </x:c>
      <x:c r="M39" s="27" t="str">
        <x:f>IF(OR('Detalle'!$G23="",'Detalle'!$H23=""),"",IF(AND(M$8&lt;='Detalle'!$H23,M$9&gt;='Detalle'!$G23),1,""))</x:f>
      </x:c>
      <x:c r="N39" s="27" t="str">
        <x:f>IF(OR('Detalle'!$G23="",'Detalle'!$H23=""),"",IF(AND(N$8&lt;='Detalle'!$H23,N$9&gt;='Detalle'!$G23),1,""))</x:f>
      </x:c>
      <x:c r="O39" s="27" t="str">
        <x:f>IF(OR('Detalle'!$G23="",'Detalle'!$H23=""),"",IF(AND(O$8&lt;='Detalle'!$H23,O$9&gt;='Detalle'!$G23),1,""))</x:f>
      </x:c>
      <x:c r="P39" s="27" t="str">
        <x:f>IF(OR('Detalle'!$G23="",'Detalle'!$H23=""),"",IF(AND(P$8&lt;='Detalle'!$H23,P$9&gt;='Detalle'!$G23),1,""))</x:f>
      </x:c>
      <x:c r="Q39" s="27" t="str">
        <x:f>IF(OR('Detalle'!$G23="",'Detalle'!$H23=""),"",IF(AND(Q$8&lt;='Detalle'!$H23,Q$9&gt;='Detalle'!$G23),1,""))</x:f>
      </x:c>
      <x:c r="R39" s="49"/>
      <x:c r="S39" s="30" t="str">
        <x:f>IF('Detalle'!L23="","",'Detalle'!L23)</x:f>
        <x:v>Josefina</x:v>
      </x:c>
      <x:c r="T39" s="30" t="str">
        <x:f>IF('Detalle'!M23="","",'Detalle'!M23)</x:f>
      </x:c>
    </x:row>
    <x:row r="40" ht="17" customHeight="1">
      <x:c r="A40" s="28" t="str">
        <x:v>INV-15</x:v>
      </x:c>
      <x:c r="B40" s="28" t="str">
        <x:v>Recorridos y AR</x:v>
      </x:c>
      <x:c r="C40" s="28" t="str">
        <x:v>Investigar cosido Hugin y mezcla Enblend</x:v>
      </x:c>
      <x:c r="D40" s="47" t="str">
        <x:v>R</x:v>
      </x:c>
      <x:c r="E40" s="48" t="n">
        <x:f>IF('Detalle'!J23="","",'Detalle'!J23)</x:f>
        <x:v>1</x:v>
      </x:c>
      <x:c r="F40" s="44" t="str"/>
      <x:c r="G40" s="27" t="n">
        <x:f>IF(AND('Detalle'!$F23="Completado",G39=1),1,"")</x:f>
        <x:v>1</x:v>
      </x:c>
      <x:c r="H40" s="27" t="str">
        <x:f>IF(AND('Detalle'!$F23="Completado",H39=1),1,"")</x:f>
      </x:c>
      <x:c r="I40" s="27" t="str">
        <x:f>IF(AND('Detalle'!$F23="Completado",I39=1),1,"")</x:f>
      </x:c>
      <x:c r="J40" s="27" t="str">
        <x:f>IF(AND('Detalle'!$F23="Completado",J39=1),1,"")</x:f>
      </x:c>
      <x:c r="K40" s="27" t="str">
        <x:f>IF(AND('Detalle'!$F23="Completado",K39=1),1,"")</x:f>
      </x:c>
      <x:c r="L40" s="27" t="str">
        <x:f>IF(AND('Detalle'!$F23="Completado",L39=1),1,"")</x:f>
      </x:c>
      <x:c r="M40" s="27" t="str">
        <x:f>IF(AND('Detalle'!$F23="Completado",M39=1),1,"")</x:f>
      </x:c>
      <x:c r="N40" s="27" t="str">
        <x:f>IF(AND('Detalle'!$F23="Completado",N39=1),1,"")</x:f>
      </x:c>
      <x:c r="O40" s="27" t="str">
        <x:f>IF(AND('Detalle'!$F23="Completado",O39=1),1,"")</x:f>
      </x:c>
      <x:c r="P40" s="27" t="str">
        <x:f>IF(AND('Detalle'!$F23="Completado",P39=1),1,"")</x:f>
      </x:c>
      <x:c r="Q40" s="27" t="str">
        <x:f>IF(AND('Detalle'!$F23="Completado",Q39=1),1,"")</x:f>
      </x:c>
      <x:c r="R40" s="49"/>
      <x:c r="S40" s="30" t="str"/>
      <x:c r="T40" s="30" t="str"/>
    </x:row>
    <x:row r="41" ht="17" customHeight="1">
      <x:c r="A41" s="28" t="str">
        <x:v>INV-16</x:v>
      </x:c>
      <x:c r="B41" s="28" t="str">
        <x:v>Recorridos y AR</x:v>
      </x:c>
      <x:c r="C41" s="28" t="str">
        <x:v>Estudiar ARCore y ARKit</x:v>
      </x:c>
      <x:c r="D41" s="46" t="str">
        <x:v>E</x:v>
      </x:c>
      <x:c r="E41" s="48" t="n">
        <x:f>IF('Detalle'!I24="","",'Detalle'!I24)</x:f>
        <x:v>1</x:v>
      </x:c>
      <x:c r="F41" s="44" t="str">
        <x:f>IF('Detalle'!F24="","",'Detalle'!F24)</x:f>
        <x:v>Completado</x:v>
      </x:c>
      <x:c r="G41" s="27" t="n">
        <x:f>IF(OR('Detalle'!$G24="",'Detalle'!$H24=""),"",IF(AND(G$8&lt;='Detalle'!$H24,G$9&gt;='Detalle'!$G24),1,""))</x:f>
        <x:v>1</x:v>
      </x:c>
      <x:c r="H41" s="27" t="str">
        <x:f>IF(OR('Detalle'!$G24="",'Detalle'!$H24=""),"",IF(AND(H$8&lt;='Detalle'!$H24,H$9&gt;='Detalle'!$G24),1,""))</x:f>
      </x:c>
      <x:c r="I41" s="27" t="str">
        <x:f>IF(OR('Detalle'!$G24="",'Detalle'!$H24=""),"",IF(AND(I$8&lt;='Detalle'!$H24,I$9&gt;='Detalle'!$G24),1,""))</x:f>
      </x:c>
      <x:c r="J41" s="27" t="str">
        <x:f>IF(OR('Detalle'!$G24="",'Detalle'!$H24=""),"",IF(AND(J$8&lt;='Detalle'!$H24,J$9&gt;='Detalle'!$G24),1,""))</x:f>
      </x:c>
      <x:c r="K41" s="27" t="str">
        <x:f>IF(OR('Detalle'!$G24="",'Detalle'!$H24=""),"",IF(AND(K$8&lt;='Detalle'!$H24,K$9&gt;='Detalle'!$G24),1,""))</x:f>
      </x:c>
      <x:c r="L41" s="27" t="str">
        <x:f>IF(OR('Detalle'!$G24="",'Detalle'!$H24=""),"",IF(AND(L$8&lt;='Detalle'!$H24,L$9&gt;='Detalle'!$G24),1,""))</x:f>
      </x:c>
      <x:c r="M41" s="27" t="str">
        <x:f>IF(OR('Detalle'!$G24="",'Detalle'!$H24=""),"",IF(AND(M$8&lt;='Detalle'!$H24,M$9&gt;='Detalle'!$G24),1,""))</x:f>
      </x:c>
      <x:c r="N41" s="27" t="str">
        <x:f>IF(OR('Detalle'!$G24="",'Detalle'!$H24=""),"",IF(AND(N$8&lt;='Detalle'!$H24,N$9&gt;='Detalle'!$G24),1,""))</x:f>
      </x:c>
      <x:c r="O41" s="27" t="str">
        <x:f>IF(OR('Detalle'!$G24="",'Detalle'!$H24=""),"",IF(AND(O$8&lt;='Detalle'!$H24,O$9&gt;='Detalle'!$G24),1,""))</x:f>
      </x:c>
      <x:c r="P41" s="27" t="str">
        <x:f>IF(OR('Detalle'!$G24="",'Detalle'!$H24=""),"",IF(AND(P$8&lt;='Detalle'!$H24,P$9&gt;='Detalle'!$G24),1,""))</x:f>
      </x:c>
      <x:c r="Q41" s="27" t="str">
        <x:f>IF(OR('Detalle'!$G24="",'Detalle'!$H24=""),"",IF(AND(Q$8&lt;='Detalle'!$H24,Q$9&gt;='Detalle'!$G24),1,""))</x:f>
      </x:c>
      <x:c r="R41" s="49"/>
      <x:c r="S41" s="30" t="str">
        <x:f>IF('Detalle'!L24="","",'Detalle'!L24)</x:f>
        <x:v>Josefina</x:v>
      </x:c>
      <x:c r="T41" s="30" t="str">
        <x:f>IF('Detalle'!M24="","",'Detalle'!M24)</x:f>
      </x:c>
    </x:row>
    <x:row r="42" ht="17" customHeight="1">
      <x:c r="A42" s="28" t="str">
        <x:v>INV-16</x:v>
      </x:c>
      <x:c r="B42" s="28" t="str">
        <x:v>Recorridos y AR</x:v>
      </x:c>
      <x:c r="C42" s="28" t="str">
        <x:v>Estudiar ARCore y ARKit</x:v>
      </x:c>
      <x:c r="D42" s="47" t="str">
        <x:v>R</x:v>
      </x:c>
      <x:c r="E42" s="48" t="n">
        <x:f>IF('Detalle'!J24="","",'Detalle'!J24)</x:f>
        <x:v>1</x:v>
      </x:c>
      <x:c r="F42" s="44" t="str"/>
      <x:c r="G42" s="27" t="n">
        <x:f>IF(AND('Detalle'!$F24="Completado",G41=1),1,"")</x:f>
        <x:v>1</x:v>
      </x:c>
      <x:c r="H42" s="27" t="str">
        <x:f>IF(AND('Detalle'!$F24="Completado",H41=1),1,"")</x:f>
      </x:c>
      <x:c r="I42" s="27" t="str">
        <x:f>IF(AND('Detalle'!$F24="Completado",I41=1),1,"")</x:f>
      </x:c>
      <x:c r="J42" s="27" t="str">
        <x:f>IF(AND('Detalle'!$F24="Completado",J41=1),1,"")</x:f>
      </x:c>
      <x:c r="K42" s="27" t="str">
        <x:f>IF(AND('Detalle'!$F24="Completado",K41=1),1,"")</x:f>
      </x:c>
      <x:c r="L42" s="27" t="str">
        <x:f>IF(AND('Detalle'!$F24="Completado",L41=1),1,"")</x:f>
      </x:c>
      <x:c r="M42" s="27" t="str">
        <x:f>IF(AND('Detalle'!$F24="Completado",M41=1),1,"")</x:f>
      </x:c>
      <x:c r="N42" s="27" t="str">
        <x:f>IF(AND('Detalle'!$F24="Completado",N41=1),1,"")</x:f>
      </x:c>
      <x:c r="O42" s="27" t="str">
        <x:f>IF(AND('Detalle'!$F24="Completado",O41=1),1,"")</x:f>
      </x:c>
      <x:c r="P42" s="27" t="str">
        <x:f>IF(AND('Detalle'!$F24="Completado",P41=1),1,"")</x:f>
      </x:c>
      <x:c r="Q42" s="27" t="str">
        <x:f>IF(AND('Detalle'!$F24="Completado",Q41=1),1,"")</x:f>
      </x:c>
      <x:c r="R42" s="49"/>
      <x:c r="S42" s="30" t="str"/>
      <x:c r="T42" s="30" t="str"/>
    </x:row>
    <x:row r="43" ht="17" customHeight="1">
      <x:c r="A43" s="28" t="str">
        <x:v>INV-17</x:v>
      </x:c>
      <x:c r="B43" s="28" t="str">
        <x:v>Recorridos y AR</x:v>
      </x:c>
      <x:c r="C43" s="28" t="str">
        <x:v>Estudiar orientación, FOV y solapamiento</x:v>
      </x:c>
      <x:c r="D43" s="46" t="str">
        <x:v>E</x:v>
      </x:c>
      <x:c r="E43" s="48" t="n">
        <x:f>IF('Detalle'!I25="","",'Detalle'!I25)</x:f>
        <x:v>1</x:v>
      </x:c>
      <x:c r="F43" s="44" t="str">
        <x:f>IF('Detalle'!F25="","",'Detalle'!F25)</x:f>
        <x:v>Completado</x:v>
      </x:c>
      <x:c r="G43" s="27" t="n">
        <x:f>IF(OR('Detalle'!$G25="",'Detalle'!$H25=""),"",IF(AND(G$8&lt;='Detalle'!$H25,G$9&gt;='Detalle'!$G25),1,""))</x:f>
        <x:v>1</x:v>
      </x:c>
      <x:c r="H43" s="27" t="str">
        <x:f>IF(OR('Detalle'!$G25="",'Detalle'!$H25=""),"",IF(AND(H$8&lt;='Detalle'!$H25,H$9&gt;='Detalle'!$G25),1,""))</x:f>
      </x:c>
      <x:c r="I43" s="27" t="str">
        <x:f>IF(OR('Detalle'!$G25="",'Detalle'!$H25=""),"",IF(AND(I$8&lt;='Detalle'!$H25,I$9&gt;='Detalle'!$G25),1,""))</x:f>
      </x:c>
      <x:c r="J43" s="27" t="str">
        <x:f>IF(OR('Detalle'!$G25="",'Detalle'!$H25=""),"",IF(AND(J$8&lt;='Detalle'!$H25,J$9&gt;='Detalle'!$G25),1,""))</x:f>
      </x:c>
      <x:c r="K43" s="27" t="str">
        <x:f>IF(OR('Detalle'!$G25="",'Detalle'!$H25=""),"",IF(AND(K$8&lt;='Detalle'!$H25,K$9&gt;='Detalle'!$G25),1,""))</x:f>
      </x:c>
      <x:c r="L43" s="27" t="str">
        <x:f>IF(OR('Detalle'!$G25="",'Detalle'!$H25=""),"",IF(AND(L$8&lt;='Detalle'!$H25,L$9&gt;='Detalle'!$G25),1,""))</x:f>
      </x:c>
      <x:c r="M43" s="27" t="str">
        <x:f>IF(OR('Detalle'!$G25="",'Detalle'!$H25=""),"",IF(AND(M$8&lt;='Detalle'!$H25,M$9&gt;='Detalle'!$G25),1,""))</x:f>
      </x:c>
      <x:c r="N43" s="27" t="str">
        <x:f>IF(OR('Detalle'!$G25="",'Detalle'!$H25=""),"",IF(AND(N$8&lt;='Detalle'!$H25,N$9&gt;='Detalle'!$G25),1,""))</x:f>
      </x:c>
      <x:c r="O43" s="27" t="str">
        <x:f>IF(OR('Detalle'!$G25="",'Detalle'!$H25=""),"",IF(AND(O$8&lt;='Detalle'!$H25,O$9&gt;='Detalle'!$G25),1,""))</x:f>
      </x:c>
      <x:c r="P43" s="27" t="str">
        <x:f>IF(OR('Detalle'!$G25="",'Detalle'!$H25=""),"",IF(AND(P$8&lt;='Detalle'!$H25,P$9&gt;='Detalle'!$G25),1,""))</x:f>
      </x:c>
      <x:c r="Q43" s="27" t="str">
        <x:f>IF(OR('Detalle'!$G25="",'Detalle'!$H25=""),"",IF(AND(Q$8&lt;='Detalle'!$H25,Q$9&gt;='Detalle'!$G25),1,""))</x:f>
      </x:c>
      <x:c r="R43" s="49"/>
      <x:c r="S43" s="30" t="str">
        <x:f>IF('Detalle'!L25="","",'Detalle'!L25)</x:f>
        <x:v>Josefina</x:v>
      </x:c>
      <x:c r="T43" s="30" t="str">
        <x:f>IF('Detalle'!M25="","",'Detalle'!M25)</x:f>
      </x:c>
    </x:row>
    <x:row r="44" ht="17" customHeight="1">
      <x:c r="A44" s="28" t="str">
        <x:v>INV-17</x:v>
      </x:c>
      <x:c r="B44" s="28" t="str">
        <x:v>Recorridos y AR</x:v>
      </x:c>
      <x:c r="C44" s="28" t="str">
        <x:v>Estudiar orientación, FOV y solapamiento</x:v>
      </x:c>
      <x:c r="D44" s="47" t="str">
        <x:v>R</x:v>
      </x:c>
      <x:c r="E44" s="48" t="n">
        <x:f>IF('Detalle'!J25="","",'Detalle'!J25)</x:f>
        <x:v>1</x:v>
      </x:c>
      <x:c r="F44" s="44" t="str"/>
      <x:c r="G44" s="27" t="n">
        <x:f>IF(AND('Detalle'!$F25="Completado",G43=1),1,"")</x:f>
        <x:v>1</x:v>
      </x:c>
      <x:c r="H44" s="27" t="str">
        <x:f>IF(AND('Detalle'!$F25="Completado",H43=1),1,"")</x:f>
      </x:c>
      <x:c r="I44" s="27" t="str">
        <x:f>IF(AND('Detalle'!$F25="Completado",I43=1),1,"")</x:f>
      </x:c>
      <x:c r="J44" s="27" t="str">
        <x:f>IF(AND('Detalle'!$F25="Completado",J43=1),1,"")</x:f>
      </x:c>
      <x:c r="K44" s="27" t="str">
        <x:f>IF(AND('Detalle'!$F25="Completado",K43=1),1,"")</x:f>
      </x:c>
      <x:c r="L44" s="27" t="str">
        <x:f>IF(AND('Detalle'!$F25="Completado",L43=1),1,"")</x:f>
      </x:c>
      <x:c r="M44" s="27" t="str">
        <x:f>IF(AND('Detalle'!$F25="Completado",M43=1),1,"")</x:f>
      </x:c>
      <x:c r="N44" s="27" t="str">
        <x:f>IF(AND('Detalle'!$F25="Completado",N43=1),1,"")</x:f>
      </x:c>
      <x:c r="O44" s="27" t="str">
        <x:f>IF(AND('Detalle'!$F25="Completado",O43=1),1,"")</x:f>
      </x:c>
      <x:c r="P44" s="27" t="str">
        <x:f>IF(AND('Detalle'!$F25="Completado",P43=1),1,"")</x:f>
      </x:c>
      <x:c r="Q44" s="27" t="str">
        <x:f>IF(AND('Detalle'!$F25="Completado",Q43=1),1,"")</x:f>
      </x:c>
      <x:c r="R44" s="49"/>
      <x:c r="S44" s="30" t="str"/>
      <x:c r="T44" s="30" t="str"/>
    </x:row>
    <x:row r="45" ht="17" customHeight="1">
      <x:c r="A45" s="28" t="str">
        <x:v>INV-18</x:v>
      </x:c>
      <x:c r="B45" s="28" t="str">
        <x:v>Moderación</x:v>
      </x:c>
      <x:c r="C45" s="28" t="str">
        <x:v>Definir reglas de reportes y moderación</x:v>
      </x:c>
      <x:c r="D45" s="46" t="str">
        <x:v>E</x:v>
      </x:c>
      <x:c r="E45" s="48" t="n">
        <x:f>IF('Detalle'!I26="","",'Detalle'!I26)</x:f>
        <x:v>1</x:v>
      </x:c>
      <x:c r="F45" s="44" t="str">
        <x:f>IF('Detalle'!F26="","",'Detalle'!F26)</x:f>
        <x:v>Completado</x:v>
      </x:c>
      <x:c r="G45" s="27" t="n">
        <x:f>IF(OR('Detalle'!$G26="",'Detalle'!$H26=""),"",IF(AND(G$8&lt;='Detalle'!$H26,G$9&gt;='Detalle'!$G26),1,""))</x:f>
        <x:v>1</x:v>
      </x:c>
      <x:c r="H45" s="27" t="str">
        <x:f>IF(OR('Detalle'!$G26="",'Detalle'!$H26=""),"",IF(AND(H$8&lt;='Detalle'!$H26,H$9&gt;='Detalle'!$G26),1,""))</x:f>
      </x:c>
      <x:c r="I45" s="27" t="str">
        <x:f>IF(OR('Detalle'!$G26="",'Detalle'!$H26=""),"",IF(AND(I$8&lt;='Detalle'!$H26,I$9&gt;='Detalle'!$G26),1,""))</x:f>
      </x:c>
      <x:c r="J45" s="27" t="str">
        <x:f>IF(OR('Detalle'!$G26="",'Detalle'!$H26=""),"",IF(AND(J$8&lt;='Detalle'!$H26,J$9&gt;='Detalle'!$G26),1,""))</x:f>
      </x:c>
      <x:c r="K45" s="27" t="str">
        <x:f>IF(OR('Detalle'!$G26="",'Detalle'!$H26=""),"",IF(AND(K$8&lt;='Detalle'!$H26,K$9&gt;='Detalle'!$G26),1,""))</x:f>
      </x:c>
      <x:c r="L45" s="27" t="str">
        <x:f>IF(OR('Detalle'!$G26="",'Detalle'!$H26=""),"",IF(AND(L$8&lt;='Detalle'!$H26,L$9&gt;='Detalle'!$G26),1,""))</x:f>
      </x:c>
      <x:c r="M45" s="27" t="str">
        <x:f>IF(OR('Detalle'!$G26="",'Detalle'!$H26=""),"",IF(AND(M$8&lt;='Detalle'!$H26,M$9&gt;='Detalle'!$G26),1,""))</x:f>
      </x:c>
      <x:c r="N45" s="27" t="str">
        <x:f>IF(OR('Detalle'!$G26="",'Detalle'!$H26=""),"",IF(AND(N$8&lt;='Detalle'!$H26,N$9&gt;='Detalle'!$G26),1,""))</x:f>
      </x:c>
      <x:c r="O45" s="27" t="str">
        <x:f>IF(OR('Detalle'!$G26="",'Detalle'!$H26=""),"",IF(AND(O$8&lt;='Detalle'!$H26,O$9&gt;='Detalle'!$G26),1,""))</x:f>
      </x:c>
      <x:c r="P45" s="27" t="str">
        <x:f>IF(OR('Detalle'!$G26="",'Detalle'!$H26=""),"",IF(AND(P$8&lt;='Detalle'!$H26,P$9&gt;='Detalle'!$G26),1,""))</x:f>
      </x:c>
      <x:c r="Q45" s="27" t="str">
        <x:f>IF(OR('Detalle'!$G26="",'Detalle'!$H26=""),"",IF(AND(Q$8&lt;='Detalle'!$H26,Q$9&gt;='Detalle'!$G26),1,""))</x:f>
      </x:c>
      <x:c r="R45" s="49"/>
      <x:c r="S45" s="30" t="str">
        <x:f>IF('Detalle'!L26="","",'Detalle'!L26)</x:f>
        <x:v>Josefina</x:v>
      </x:c>
      <x:c r="T45" s="30" t="str">
        <x:f>IF('Detalle'!M26="","",'Detalle'!M26)</x:f>
      </x:c>
    </x:row>
    <x:row r="46" ht="17" customHeight="1">
      <x:c r="A46" s="28" t="str">
        <x:v>INV-18</x:v>
      </x:c>
      <x:c r="B46" s="28" t="str">
        <x:v>Moderación</x:v>
      </x:c>
      <x:c r="C46" s="28" t="str">
        <x:v>Definir reglas de reportes y moderación</x:v>
      </x:c>
      <x:c r="D46" s="47" t="str">
        <x:v>R</x:v>
      </x:c>
      <x:c r="E46" s="48" t="n">
        <x:f>IF('Detalle'!J26="","",'Detalle'!J26)</x:f>
        <x:v>1</x:v>
      </x:c>
      <x:c r="F46" s="44" t="str"/>
      <x:c r="G46" s="27" t="n">
        <x:f>IF(AND('Detalle'!$F26="Completado",G45=1),1,"")</x:f>
        <x:v>1</x:v>
      </x:c>
      <x:c r="H46" s="27" t="str">
        <x:f>IF(AND('Detalle'!$F26="Completado",H45=1),1,"")</x:f>
      </x:c>
      <x:c r="I46" s="27" t="str">
        <x:f>IF(AND('Detalle'!$F26="Completado",I45=1),1,"")</x:f>
      </x:c>
      <x:c r="J46" s="27" t="str">
        <x:f>IF(AND('Detalle'!$F26="Completado",J45=1),1,"")</x:f>
      </x:c>
      <x:c r="K46" s="27" t="str">
        <x:f>IF(AND('Detalle'!$F26="Completado",K45=1),1,"")</x:f>
      </x:c>
      <x:c r="L46" s="27" t="str">
        <x:f>IF(AND('Detalle'!$F26="Completado",L45=1),1,"")</x:f>
      </x:c>
      <x:c r="M46" s="27" t="str">
        <x:f>IF(AND('Detalle'!$F26="Completado",M45=1),1,"")</x:f>
      </x:c>
      <x:c r="N46" s="27" t="str">
        <x:f>IF(AND('Detalle'!$F26="Completado",N45=1),1,"")</x:f>
      </x:c>
      <x:c r="O46" s="27" t="str">
        <x:f>IF(AND('Detalle'!$F26="Completado",O45=1),1,"")</x:f>
      </x:c>
      <x:c r="P46" s="27" t="str">
        <x:f>IF(AND('Detalle'!$F26="Completado",P45=1),1,"")</x:f>
      </x:c>
      <x:c r="Q46" s="27" t="str">
        <x:f>IF(AND('Detalle'!$F26="Completado",Q45=1),1,"")</x:f>
      </x:c>
      <x:c r="R46" s="49"/>
      <x:c r="S46" s="30" t="str"/>
      <x:c r="T46" s="30" t="str"/>
    </x:row>
    <x:row r="47" ht="23" customHeight="1">
      <x:c r="A47" s="42" t="str">
        <x:v>DIS — Planificación y Diseño</x:v>
      </x:c>
      <x:c r="B47" s="42" t="str">
        <x:v>DIS — Planificación y Diseño</x:v>
      </x:c>
      <x:c r="C47" s="42" t="str">
        <x:v>DIS — Planificación y Diseño</x:v>
      </x:c>
      <x:c r="D47" s="42" t="str">
        <x:v>DIS — Planificación y Diseño</x:v>
      </x:c>
      <x:c r="E47" s="42" t="str">
        <x:v>DIS — Planificación y Diseño</x:v>
      </x:c>
      <x:c r="F47" s="42" t="str">
        <x:v>DIS — Planificación y Diseño</x:v>
      </x:c>
      <x:c r="G47" s="43" t="str">
        <x:v>DIS — Planificación y Diseño</x:v>
      </x:c>
      <x:c r="H47" s="43" t="str">
        <x:v>DIS — Planificación y Diseño</x:v>
      </x:c>
      <x:c r="I47" s="43" t="str">
        <x:v>DIS — Planificación y Diseño</x:v>
      </x:c>
      <x:c r="J47" s="43" t="str">
        <x:v>DIS — Planificación y Diseño</x:v>
      </x:c>
      <x:c r="K47" s="43" t="str">
        <x:v>DIS — Planificación y Diseño</x:v>
      </x:c>
      <x:c r="L47" s="43" t="str">
        <x:v>DIS — Planificación y Diseño</x:v>
      </x:c>
      <x:c r="M47" s="43" t="str">
        <x:v>DIS — Planificación y Diseño</x:v>
      </x:c>
      <x:c r="N47" s="43" t="str">
        <x:v>DIS — Planificación y Diseño</x:v>
      </x:c>
      <x:c r="O47" s="43" t="str">
        <x:v>DIS — Planificación y Diseño</x:v>
      </x:c>
      <x:c r="P47" s="43" t="str">
        <x:v>DIS — Planificación y Diseño</x:v>
      </x:c>
      <x:c r="Q47" s="43" t="str">
        <x:v>DIS — Planificación y Diseño</x:v>
      </x:c>
      <x:c r="R47" s="42" t="str">
        <x:v>DIS — Planificación y Diseño</x:v>
      </x:c>
      <x:c r="S47" s="42" t="str">
        <x:v>DIS — Planificación y Diseño</x:v>
      </x:c>
      <x:c r="T47" s="42" t="str">
        <x:v>DIS — Planificación y Diseño</x:v>
      </x:c>
    </x:row>
    <x:row r="48" ht="17" customHeight="1">
      <x:c r="A48" s="28" t="str">
        <x:v>DIS-01</x:v>
      </x:c>
      <x:c r="B48" s="28" t="str">
        <x:v>Transversal</x:v>
      </x:c>
      <x:c r="C48" s="28" t="str">
        <x:v>Definir el alcance del MVP</x:v>
      </x:c>
      <x:c r="D48" s="46" t="str">
        <x:v>E</x:v>
      </x:c>
      <x:c r="E48" s="48" t="n">
        <x:f>IF('Detalle'!I27="","",'Detalle'!I27)</x:f>
        <x:v>1</x:v>
      </x:c>
      <x:c r="F48" s="44" t="str">
        <x:f>IF('Detalle'!F27="","",'Detalle'!F27)</x:f>
        <x:v>Completado</x:v>
      </x:c>
      <x:c r="G48" s="27" t="str">
        <x:f>IF(OR('Detalle'!$G27="",'Detalle'!$H27=""),"",IF(AND(G$8&lt;='Detalle'!$H27,G$9&gt;='Detalle'!$G27),1,""))</x:f>
      </x:c>
      <x:c r="H48" s="27" t="n">
        <x:f>IF(OR('Detalle'!$G27="",'Detalle'!$H27=""),"",IF(AND(H$8&lt;='Detalle'!$H27,H$9&gt;='Detalle'!$G27),1,""))</x:f>
        <x:v>1</x:v>
      </x:c>
      <x:c r="I48" s="27" t="str">
        <x:f>IF(OR('Detalle'!$G27="",'Detalle'!$H27=""),"",IF(AND(I$8&lt;='Detalle'!$H27,I$9&gt;='Detalle'!$G27),1,""))</x:f>
      </x:c>
      <x:c r="J48" s="27" t="str">
        <x:f>IF(OR('Detalle'!$G27="",'Detalle'!$H27=""),"",IF(AND(J$8&lt;='Detalle'!$H27,J$9&gt;='Detalle'!$G27),1,""))</x:f>
      </x:c>
      <x:c r="K48" s="27" t="str">
        <x:f>IF(OR('Detalle'!$G27="",'Detalle'!$H27=""),"",IF(AND(K$8&lt;='Detalle'!$H27,K$9&gt;='Detalle'!$G27),1,""))</x:f>
      </x:c>
      <x:c r="L48" s="27" t="str">
        <x:f>IF(OR('Detalle'!$G27="",'Detalle'!$H27=""),"",IF(AND(L$8&lt;='Detalle'!$H27,L$9&gt;='Detalle'!$G27),1,""))</x:f>
      </x:c>
      <x:c r="M48" s="27" t="str">
        <x:f>IF(OR('Detalle'!$G27="",'Detalle'!$H27=""),"",IF(AND(M$8&lt;='Detalle'!$H27,M$9&gt;='Detalle'!$G27),1,""))</x:f>
      </x:c>
      <x:c r="N48" s="27" t="str">
        <x:f>IF(OR('Detalle'!$G27="",'Detalle'!$H27=""),"",IF(AND(N$8&lt;='Detalle'!$H27,N$9&gt;='Detalle'!$G27),1,""))</x:f>
      </x:c>
      <x:c r="O48" s="27" t="str">
        <x:f>IF(OR('Detalle'!$G27="",'Detalle'!$H27=""),"",IF(AND(O$8&lt;='Detalle'!$H27,O$9&gt;='Detalle'!$G27),1,""))</x:f>
      </x:c>
      <x:c r="P48" s="27" t="str">
        <x:f>IF(OR('Detalle'!$G27="",'Detalle'!$H27=""),"",IF(AND(P$8&lt;='Detalle'!$H27,P$9&gt;='Detalle'!$G27),1,""))</x:f>
      </x:c>
      <x:c r="Q48" s="27" t="str">
        <x:f>IF(OR('Detalle'!$G27="",'Detalle'!$H27=""),"",IF(AND(Q$8&lt;='Detalle'!$H27,Q$9&gt;='Detalle'!$G27),1,""))</x:f>
      </x:c>
      <x:c r="R48" s="49"/>
      <x:c r="S48" s="30" t="str">
        <x:f>IF('Detalle'!L27="","",'Detalle'!L27)</x:f>
        <x:v>Josefina</x:v>
      </x:c>
      <x:c r="T48" s="30" t="str">
        <x:f>IF('Detalle'!M27="","",'Detalle'!M27)</x:f>
      </x:c>
    </x:row>
    <x:row r="49" ht="17" customHeight="1">
      <x:c r="A49" s="28" t="str">
        <x:v>DIS-01</x:v>
      </x:c>
      <x:c r="B49" s="28" t="str">
        <x:v>Transversal</x:v>
      </x:c>
      <x:c r="C49" s="28" t="str">
        <x:v>Definir el alcance del MVP</x:v>
      </x:c>
      <x:c r="D49" s="47" t="str">
        <x:v>R</x:v>
      </x:c>
      <x:c r="E49" s="48" t="n">
        <x:f>IF('Detalle'!J27="","",'Detalle'!J27)</x:f>
        <x:v>1</x:v>
      </x:c>
      <x:c r="F49" s="44" t="str"/>
      <x:c r="G49" s="27" t="str">
        <x:f>IF(AND('Detalle'!$F27="Completado",G48=1),1,"")</x:f>
      </x:c>
      <x:c r="H49" s="27" t="n">
        <x:f>IF(AND('Detalle'!$F27="Completado",H48=1),1,"")</x:f>
        <x:v>1</x:v>
      </x:c>
      <x:c r="I49" s="27" t="str">
        <x:f>IF(AND('Detalle'!$F27="Completado",I48=1),1,"")</x:f>
      </x:c>
      <x:c r="J49" s="27" t="str">
        <x:f>IF(AND('Detalle'!$F27="Completado",J48=1),1,"")</x:f>
      </x:c>
      <x:c r="K49" s="27" t="str">
        <x:f>IF(AND('Detalle'!$F27="Completado",K48=1),1,"")</x:f>
      </x:c>
      <x:c r="L49" s="27" t="str">
        <x:f>IF(AND('Detalle'!$F27="Completado",L48=1),1,"")</x:f>
      </x:c>
      <x:c r="M49" s="27" t="str">
        <x:f>IF(AND('Detalle'!$F27="Completado",M48=1),1,"")</x:f>
      </x:c>
      <x:c r="N49" s="27" t="str">
        <x:f>IF(AND('Detalle'!$F27="Completado",N48=1),1,"")</x:f>
      </x:c>
      <x:c r="O49" s="27" t="str">
        <x:f>IF(AND('Detalle'!$F27="Completado",O48=1),1,"")</x:f>
      </x:c>
      <x:c r="P49" s="27" t="str">
        <x:f>IF(AND('Detalle'!$F27="Completado",P48=1),1,"")</x:f>
      </x:c>
      <x:c r="Q49" s="27" t="str">
        <x:f>IF(AND('Detalle'!$F27="Completado",Q48=1),1,"")</x:f>
      </x:c>
      <x:c r="R49" s="49"/>
      <x:c r="S49" s="30" t="str"/>
      <x:c r="T49" s="30" t="str"/>
    </x:row>
    <x:row r="50" ht="17" customHeight="1">
      <x:c r="A50" s="28" t="str">
        <x:v>DIS-02</x:v>
      </x:c>
      <x:c r="B50" s="28" t="str">
        <x:v>Transversal</x:v>
      </x:c>
      <x:c r="C50" s="28" t="str">
        <x:v>Definir la paleta oficial MAREA</x:v>
      </x:c>
      <x:c r="D50" s="46" t="str">
        <x:v>E</x:v>
      </x:c>
      <x:c r="E50" s="48" t="n">
        <x:f>IF('Detalle'!I28="","",'Detalle'!I28)</x:f>
        <x:v>1</x:v>
      </x:c>
      <x:c r="F50" s="44" t="str">
        <x:f>IF('Detalle'!F28="","",'Detalle'!F28)</x:f>
        <x:v>Completado</x:v>
      </x:c>
      <x:c r="G50" s="27" t="str">
        <x:f>IF(OR('Detalle'!$G28="",'Detalle'!$H28=""),"",IF(AND(G$8&lt;='Detalle'!$H28,G$9&gt;='Detalle'!$G28),1,""))</x:f>
      </x:c>
      <x:c r="H50" s="27" t="str">
        <x:f>IF(OR('Detalle'!$G28="",'Detalle'!$H28=""),"",IF(AND(H$8&lt;='Detalle'!$H28,H$9&gt;='Detalle'!$G28),1,""))</x:f>
      </x:c>
      <x:c r="I50" s="27" t="str">
        <x:f>IF(OR('Detalle'!$G28="",'Detalle'!$H28=""),"",IF(AND(I$8&lt;='Detalle'!$H28,I$9&gt;='Detalle'!$G28),1,""))</x:f>
      </x:c>
      <x:c r="J50" s="27" t="n">
        <x:f>IF(OR('Detalle'!$G28="",'Detalle'!$H28=""),"",IF(AND(J$8&lt;='Detalle'!$H28,J$9&gt;='Detalle'!$G28),1,""))</x:f>
        <x:v>1</x:v>
      </x:c>
      <x:c r="K50" s="27" t="str">
        <x:f>IF(OR('Detalle'!$G28="",'Detalle'!$H28=""),"",IF(AND(K$8&lt;='Detalle'!$H28,K$9&gt;='Detalle'!$G28),1,""))</x:f>
      </x:c>
      <x:c r="L50" s="27" t="str">
        <x:f>IF(OR('Detalle'!$G28="",'Detalle'!$H28=""),"",IF(AND(L$8&lt;='Detalle'!$H28,L$9&gt;='Detalle'!$G28),1,""))</x:f>
      </x:c>
      <x:c r="M50" s="27" t="str">
        <x:f>IF(OR('Detalle'!$G28="",'Detalle'!$H28=""),"",IF(AND(M$8&lt;='Detalle'!$H28,M$9&gt;='Detalle'!$G28),1,""))</x:f>
      </x:c>
      <x:c r="N50" s="27" t="str">
        <x:f>IF(OR('Detalle'!$G28="",'Detalle'!$H28=""),"",IF(AND(N$8&lt;='Detalle'!$H28,N$9&gt;='Detalle'!$G28),1,""))</x:f>
      </x:c>
      <x:c r="O50" s="27" t="str">
        <x:f>IF(OR('Detalle'!$G28="",'Detalle'!$H28=""),"",IF(AND(O$8&lt;='Detalle'!$H28,O$9&gt;='Detalle'!$G28),1,""))</x:f>
      </x:c>
      <x:c r="P50" s="27" t="str">
        <x:f>IF(OR('Detalle'!$G28="",'Detalle'!$H28=""),"",IF(AND(P$8&lt;='Detalle'!$H28,P$9&gt;='Detalle'!$G28),1,""))</x:f>
      </x:c>
      <x:c r="Q50" s="27" t="str">
        <x:f>IF(OR('Detalle'!$G28="",'Detalle'!$H28=""),"",IF(AND(Q$8&lt;='Detalle'!$H28,Q$9&gt;='Detalle'!$G28),1,""))</x:f>
      </x:c>
      <x:c r="R50" s="49"/>
      <x:c r="S50" s="30" t="str">
        <x:f>IF('Detalle'!L28="","",'Detalle'!L28)</x:f>
        <x:v>Fatima</x:v>
      </x:c>
      <x:c r="T50" s="30" t="str">
        <x:f>IF('Detalle'!M28="","",'Detalle'!M28)</x:f>
      </x:c>
    </x:row>
    <x:row r="51" ht="17" customHeight="1">
      <x:c r="A51" s="28" t="str">
        <x:v>DIS-02</x:v>
      </x:c>
      <x:c r="B51" s="28" t="str">
        <x:v>Transversal</x:v>
      </x:c>
      <x:c r="C51" s="28" t="str">
        <x:v>Definir la paleta oficial MAREA</x:v>
      </x:c>
      <x:c r="D51" s="47" t="str">
        <x:v>R</x:v>
      </x:c>
      <x:c r="E51" s="48" t="n">
        <x:f>IF('Detalle'!J28="","",'Detalle'!J28)</x:f>
        <x:v>1</x:v>
      </x:c>
      <x:c r="F51" s="44" t="str"/>
      <x:c r="G51" s="27" t="str">
        <x:f>IF(AND('Detalle'!$F28="Completado",G50=1),1,"")</x:f>
      </x:c>
      <x:c r="H51" s="27" t="str">
        <x:f>IF(AND('Detalle'!$F28="Completado",H50=1),1,"")</x:f>
      </x:c>
      <x:c r="I51" s="27" t="str">
        <x:f>IF(AND('Detalle'!$F28="Completado",I50=1),1,"")</x:f>
      </x:c>
      <x:c r="J51" s="27" t="n">
        <x:f>IF(AND('Detalle'!$F28="Completado",J50=1),1,"")</x:f>
        <x:v>1</x:v>
      </x:c>
      <x:c r="K51" s="27" t="str">
        <x:f>IF(AND('Detalle'!$F28="Completado",K50=1),1,"")</x:f>
      </x:c>
      <x:c r="L51" s="27" t="str">
        <x:f>IF(AND('Detalle'!$F28="Completado",L50=1),1,"")</x:f>
      </x:c>
      <x:c r="M51" s="27" t="str">
        <x:f>IF(AND('Detalle'!$F28="Completado",M50=1),1,"")</x:f>
      </x:c>
      <x:c r="N51" s="27" t="str">
        <x:f>IF(AND('Detalle'!$F28="Completado",N50=1),1,"")</x:f>
      </x:c>
      <x:c r="O51" s="27" t="str">
        <x:f>IF(AND('Detalle'!$F28="Completado",O50=1),1,"")</x:f>
      </x:c>
      <x:c r="P51" s="27" t="str">
        <x:f>IF(AND('Detalle'!$F28="Completado",P50=1),1,"")</x:f>
      </x:c>
      <x:c r="Q51" s="27" t="str">
        <x:f>IF(AND('Detalle'!$F28="Completado",Q50=1),1,"")</x:f>
      </x:c>
      <x:c r="R51" s="49"/>
      <x:c r="S51" s="30" t="str"/>
      <x:c r="T51" s="30" t="str"/>
    </x:row>
    <x:row r="52" ht="17" customHeight="1">
      <x:c r="A52" s="28" t="str">
        <x:v>DIS-03</x:v>
      </x:c>
      <x:c r="B52" s="28" t="str">
        <x:v>Transversal</x:v>
      </x:c>
      <x:c r="C52" s="28" t="str">
        <x:v>Integrar tipografía Nunito Sans</x:v>
      </x:c>
      <x:c r="D52" s="46" t="str">
        <x:v>E</x:v>
      </x:c>
      <x:c r="E52" s="48" t="n">
        <x:f>IF('Detalle'!I29="","",'Detalle'!I29)</x:f>
        <x:v>1</x:v>
      </x:c>
      <x:c r="F52" s="44" t="str">
        <x:f>IF('Detalle'!F29="","",'Detalle'!F29)</x:f>
        <x:v>Completado</x:v>
      </x:c>
      <x:c r="G52" s="27" t="str">
        <x:f>IF(OR('Detalle'!$G29="",'Detalle'!$H29=""),"",IF(AND(G$8&lt;='Detalle'!$H29,G$9&gt;='Detalle'!$G29),1,""))</x:f>
      </x:c>
      <x:c r="H52" s="27" t="n">
        <x:f>IF(OR('Detalle'!$G29="",'Detalle'!$H29=""),"",IF(AND(H$8&lt;='Detalle'!$H29,H$9&gt;='Detalle'!$G29),1,""))</x:f>
        <x:v>1</x:v>
      </x:c>
      <x:c r="I52" s="27" t="str">
        <x:f>IF(OR('Detalle'!$G29="",'Detalle'!$H29=""),"",IF(AND(I$8&lt;='Detalle'!$H29,I$9&gt;='Detalle'!$G29),1,""))</x:f>
      </x:c>
      <x:c r="J52" s="27" t="str">
        <x:f>IF(OR('Detalle'!$G29="",'Detalle'!$H29=""),"",IF(AND(J$8&lt;='Detalle'!$H29,J$9&gt;='Detalle'!$G29),1,""))</x:f>
      </x:c>
      <x:c r="K52" s="27" t="str">
        <x:f>IF(OR('Detalle'!$G29="",'Detalle'!$H29=""),"",IF(AND(K$8&lt;='Detalle'!$H29,K$9&gt;='Detalle'!$G29),1,""))</x:f>
      </x:c>
      <x:c r="L52" s="27" t="str">
        <x:f>IF(OR('Detalle'!$G29="",'Detalle'!$H29=""),"",IF(AND(L$8&lt;='Detalle'!$H29,L$9&gt;='Detalle'!$G29),1,""))</x:f>
      </x:c>
      <x:c r="M52" s="27" t="str">
        <x:f>IF(OR('Detalle'!$G29="",'Detalle'!$H29=""),"",IF(AND(M$8&lt;='Detalle'!$H29,M$9&gt;='Detalle'!$G29),1,""))</x:f>
      </x:c>
      <x:c r="N52" s="27" t="str">
        <x:f>IF(OR('Detalle'!$G29="",'Detalle'!$H29=""),"",IF(AND(N$8&lt;='Detalle'!$H29,N$9&gt;='Detalle'!$G29),1,""))</x:f>
      </x:c>
      <x:c r="O52" s="27" t="str">
        <x:f>IF(OR('Detalle'!$G29="",'Detalle'!$H29=""),"",IF(AND(O$8&lt;='Detalle'!$H29,O$9&gt;='Detalle'!$G29),1,""))</x:f>
      </x:c>
      <x:c r="P52" s="27" t="str">
        <x:f>IF(OR('Detalle'!$G29="",'Detalle'!$H29=""),"",IF(AND(P$8&lt;='Detalle'!$H29,P$9&gt;='Detalle'!$G29),1,""))</x:f>
      </x:c>
      <x:c r="Q52" s="27" t="str">
        <x:f>IF(OR('Detalle'!$G29="",'Detalle'!$H29=""),"",IF(AND(Q$8&lt;='Detalle'!$H29,Q$9&gt;='Detalle'!$G29),1,""))</x:f>
      </x:c>
      <x:c r="R52" s="49"/>
      <x:c r="S52" s="30" t="str">
        <x:f>IF('Detalle'!L29="","",'Detalle'!L29)</x:f>
        <x:v>Fatima</x:v>
      </x:c>
      <x:c r="T52" s="30" t="str">
        <x:f>IF('Detalle'!M29="","",'Detalle'!M29)</x:f>
      </x:c>
    </x:row>
    <x:row r="53" ht="17" customHeight="1">
      <x:c r="A53" s="28" t="str">
        <x:v>DIS-03</x:v>
      </x:c>
      <x:c r="B53" s="28" t="str">
        <x:v>Transversal</x:v>
      </x:c>
      <x:c r="C53" s="28" t="str">
        <x:v>Integrar tipografía Nunito Sans</x:v>
      </x:c>
      <x:c r="D53" s="47" t="str">
        <x:v>R</x:v>
      </x:c>
      <x:c r="E53" s="48" t="n">
        <x:f>IF('Detalle'!J29="","",'Detalle'!J29)</x:f>
        <x:v>1</x:v>
      </x:c>
      <x:c r="F53" s="44" t="str"/>
      <x:c r="G53" s="27" t="str">
        <x:f>IF(AND('Detalle'!$F29="Completado",G52=1),1,"")</x:f>
      </x:c>
      <x:c r="H53" s="27" t="n">
        <x:f>IF(AND('Detalle'!$F29="Completado",H52=1),1,"")</x:f>
        <x:v>1</x:v>
      </x:c>
      <x:c r="I53" s="27" t="str">
        <x:f>IF(AND('Detalle'!$F29="Completado",I52=1),1,"")</x:f>
      </x:c>
      <x:c r="J53" s="27" t="str">
        <x:f>IF(AND('Detalle'!$F29="Completado",J52=1),1,"")</x:f>
      </x:c>
      <x:c r="K53" s="27" t="str">
        <x:f>IF(AND('Detalle'!$F29="Completado",K52=1),1,"")</x:f>
      </x:c>
      <x:c r="L53" s="27" t="str">
        <x:f>IF(AND('Detalle'!$F29="Completado",L52=1),1,"")</x:f>
      </x:c>
      <x:c r="M53" s="27" t="str">
        <x:f>IF(AND('Detalle'!$F29="Completado",M52=1),1,"")</x:f>
      </x:c>
      <x:c r="N53" s="27" t="str">
        <x:f>IF(AND('Detalle'!$F29="Completado",N52=1),1,"")</x:f>
      </x:c>
      <x:c r="O53" s="27" t="str">
        <x:f>IF(AND('Detalle'!$F29="Completado",O52=1),1,"")</x:f>
      </x:c>
      <x:c r="P53" s="27" t="str">
        <x:f>IF(AND('Detalle'!$F29="Completado",P52=1),1,"")</x:f>
      </x:c>
      <x:c r="Q53" s="27" t="str">
        <x:f>IF(AND('Detalle'!$F29="Completado",Q52=1),1,"")</x:f>
      </x:c>
      <x:c r="R53" s="49"/>
      <x:c r="S53" s="30" t="str"/>
      <x:c r="T53" s="30" t="str"/>
    </x:row>
    <x:row r="54" ht="17" customHeight="1">
      <x:c r="A54" s="28" t="str">
        <x:v>DIS-04</x:v>
      </x:c>
      <x:c r="B54" s="28" t="str">
        <x:v>Transversal</x:v>
      </x:c>
      <x:c r="C54" s="28" t="str">
        <x:v>Diseñar componentes y estados de carga</x:v>
      </x:c>
      <x:c r="D54" s="46" t="str">
        <x:v>E</x:v>
      </x:c>
      <x:c r="E54" s="48" t="n">
        <x:f>IF('Detalle'!I30="","",'Detalle'!I30)</x:f>
        <x:v>1</x:v>
      </x:c>
      <x:c r="F54" s="44" t="str">
        <x:f>IF('Detalle'!F30="","",'Detalle'!F30)</x:f>
        <x:v>Completado</x:v>
      </x:c>
      <x:c r="G54" s="27" t="str">
        <x:f>IF(OR('Detalle'!$G30="",'Detalle'!$H30=""),"",IF(AND(G$8&lt;='Detalle'!$H30,G$9&gt;='Detalle'!$G30),1,""))</x:f>
      </x:c>
      <x:c r="H54" s="27" t="str">
        <x:f>IF(OR('Detalle'!$G30="",'Detalle'!$H30=""),"",IF(AND(H$8&lt;='Detalle'!$H30,H$9&gt;='Detalle'!$G30),1,""))</x:f>
      </x:c>
      <x:c r="I54" s="27" t="str">
        <x:f>IF(OR('Detalle'!$G30="",'Detalle'!$H30=""),"",IF(AND(I$8&lt;='Detalle'!$H30,I$9&gt;='Detalle'!$G30),1,""))</x:f>
      </x:c>
      <x:c r="J54" s="27" t="str">
        <x:f>IF(OR('Detalle'!$G30="",'Detalle'!$H30=""),"",IF(AND(J$8&lt;='Detalle'!$H30,J$9&gt;='Detalle'!$G30),1,""))</x:f>
      </x:c>
      <x:c r="K54" s="27" t="n">
        <x:f>IF(OR('Detalle'!$G30="",'Detalle'!$H30=""),"",IF(AND(K$8&lt;='Detalle'!$H30,K$9&gt;='Detalle'!$G30),1,""))</x:f>
        <x:v>1</x:v>
      </x:c>
      <x:c r="L54" s="27" t="str">
        <x:f>IF(OR('Detalle'!$G30="",'Detalle'!$H30=""),"",IF(AND(L$8&lt;='Detalle'!$H30,L$9&gt;='Detalle'!$G30),1,""))</x:f>
      </x:c>
      <x:c r="M54" s="27" t="str">
        <x:f>IF(OR('Detalle'!$G30="",'Detalle'!$H30=""),"",IF(AND(M$8&lt;='Detalle'!$H30,M$9&gt;='Detalle'!$G30),1,""))</x:f>
      </x:c>
      <x:c r="N54" s="27" t="str">
        <x:f>IF(OR('Detalle'!$G30="",'Detalle'!$H30=""),"",IF(AND(N$8&lt;='Detalle'!$H30,N$9&gt;='Detalle'!$G30),1,""))</x:f>
      </x:c>
      <x:c r="O54" s="27" t="str">
        <x:f>IF(OR('Detalle'!$G30="",'Detalle'!$H30=""),"",IF(AND(O$8&lt;='Detalle'!$H30,O$9&gt;='Detalle'!$G30),1,""))</x:f>
      </x:c>
      <x:c r="P54" s="27" t="str">
        <x:f>IF(OR('Detalle'!$G30="",'Detalle'!$H30=""),"",IF(AND(P$8&lt;='Detalle'!$H30,P$9&gt;='Detalle'!$G30),1,""))</x:f>
      </x:c>
      <x:c r="Q54" s="27" t="str">
        <x:f>IF(OR('Detalle'!$G30="",'Detalle'!$H30=""),"",IF(AND(Q$8&lt;='Detalle'!$H30,Q$9&gt;='Detalle'!$G30),1,""))</x:f>
      </x:c>
      <x:c r="R54" s="49"/>
      <x:c r="S54" s="30" t="str">
        <x:f>IF('Detalle'!L30="","",'Detalle'!L30)</x:f>
        <x:v>Fatima</x:v>
      </x:c>
      <x:c r="T54" s="30" t="str">
        <x:f>IF('Detalle'!M30="","",'Detalle'!M30)</x:f>
      </x:c>
    </x:row>
    <x:row r="55" ht="17" customHeight="1">
      <x:c r="A55" s="28" t="str">
        <x:v>DIS-04</x:v>
      </x:c>
      <x:c r="B55" s="28" t="str">
        <x:v>Transversal</x:v>
      </x:c>
      <x:c r="C55" s="28" t="str">
        <x:v>Diseñar componentes y estados de carga</x:v>
      </x:c>
      <x:c r="D55" s="47" t="str">
        <x:v>R</x:v>
      </x:c>
      <x:c r="E55" s="48" t="n">
        <x:f>IF('Detalle'!J30="","",'Detalle'!J30)</x:f>
        <x:v>1</x:v>
      </x:c>
      <x:c r="F55" s="44" t="str"/>
      <x:c r="G55" s="27" t="str">
        <x:f>IF(AND('Detalle'!$F30="Completado",G54=1),1,"")</x:f>
      </x:c>
      <x:c r="H55" s="27" t="str">
        <x:f>IF(AND('Detalle'!$F30="Completado",H54=1),1,"")</x:f>
      </x:c>
      <x:c r="I55" s="27" t="str">
        <x:f>IF(AND('Detalle'!$F30="Completado",I54=1),1,"")</x:f>
      </x:c>
      <x:c r="J55" s="27" t="str">
        <x:f>IF(AND('Detalle'!$F30="Completado",J54=1),1,"")</x:f>
      </x:c>
      <x:c r="K55" s="27" t="n">
        <x:f>IF(AND('Detalle'!$F30="Completado",K54=1),1,"")</x:f>
        <x:v>1</x:v>
      </x:c>
      <x:c r="L55" s="27" t="str">
        <x:f>IF(AND('Detalle'!$F30="Completado",L54=1),1,"")</x:f>
      </x:c>
      <x:c r="M55" s="27" t="str">
        <x:f>IF(AND('Detalle'!$F30="Completado",M54=1),1,"")</x:f>
      </x:c>
      <x:c r="N55" s="27" t="str">
        <x:f>IF(AND('Detalle'!$F30="Completado",N54=1),1,"")</x:f>
      </x:c>
      <x:c r="O55" s="27" t="str">
        <x:f>IF(AND('Detalle'!$F30="Completado",O54=1),1,"")</x:f>
      </x:c>
      <x:c r="P55" s="27" t="str">
        <x:f>IF(AND('Detalle'!$F30="Completado",P54=1),1,"")</x:f>
      </x:c>
      <x:c r="Q55" s="27" t="str">
        <x:f>IF(AND('Detalle'!$F30="Completado",Q54=1),1,"")</x:f>
      </x:c>
      <x:c r="R55" s="49"/>
      <x:c r="S55" s="30" t="str"/>
      <x:c r="T55" s="30" t="str"/>
    </x:row>
    <x:row r="56" ht="17" customHeight="1">
      <x:c r="A56" s="28" t="str">
        <x:v>DIS-05</x:v>
      </x:c>
      <x:c r="B56" s="28" t="str">
        <x:v>Transversal</x:v>
      </x:c>
      <x:c r="C56" s="28" t="str">
        <x:v>Diseñar navegación responsiva</x:v>
      </x:c>
      <x:c r="D56" s="46" t="str">
        <x:v>E</x:v>
      </x:c>
      <x:c r="E56" s="48" t="n">
        <x:f>IF('Detalle'!I31="","",'Detalle'!I31)</x:f>
        <x:v>1</x:v>
      </x:c>
      <x:c r="F56" s="44" t="str">
        <x:f>IF('Detalle'!F31="","",'Detalle'!F31)</x:f>
        <x:v>Completado</x:v>
      </x:c>
      <x:c r="G56" s="27" t="str">
        <x:f>IF(OR('Detalle'!$G31="",'Detalle'!$H31=""),"",IF(AND(G$8&lt;='Detalle'!$H31,G$9&gt;='Detalle'!$G31),1,""))</x:f>
      </x:c>
      <x:c r="H56" s="27" t="n">
        <x:f>IF(OR('Detalle'!$G31="",'Detalle'!$H31=""),"",IF(AND(H$8&lt;='Detalle'!$H31,H$9&gt;='Detalle'!$G31),1,""))</x:f>
        <x:v>1</x:v>
      </x:c>
      <x:c r="I56" s="27" t="str">
        <x:f>IF(OR('Detalle'!$G31="",'Detalle'!$H31=""),"",IF(AND(I$8&lt;='Detalle'!$H31,I$9&gt;='Detalle'!$G31),1,""))</x:f>
      </x:c>
      <x:c r="J56" s="27" t="str">
        <x:f>IF(OR('Detalle'!$G31="",'Detalle'!$H31=""),"",IF(AND(J$8&lt;='Detalle'!$H31,J$9&gt;='Detalle'!$G31),1,""))</x:f>
      </x:c>
      <x:c r="K56" s="27" t="str">
        <x:f>IF(OR('Detalle'!$G31="",'Detalle'!$H31=""),"",IF(AND(K$8&lt;='Detalle'!$H31,K$9&gt;='Detalle'!$G31),1,""))</x:f>
      </x:c>
      <x:c r="L56" s="27" t="str">
        <x:f>IF(OR('Detalle'!$G31="",'Detalle'!$H31=""),"",IF(AND(L$8&lt;='Detalle'!$H31,L$9&gt;='Detalle'!$G31),1,""))</x:f>
      </x:c>
      <x:c r="M56" s="27" t="str">
        <x:f>IF(OR('Detalle'!$G31="",'Detalle'!$H31=""),"",IF(AND(M$8&lt;='Detalle'!$H31,M$9&gt;='Detalle'!$G31),1,""))</x:f>
      </x:c>
      <x:c r="N56" s="27" t="str">
        <x:f>IF(OR('Detalle'!$G31="",'Detalle'!$H31=""),"",IF(AND(N$8&lt;='Detalle'!$H31,N$9&gt;='Detalle'!$G31),1,""))</x:f>
      </x:c>
      <x:c r="O56" s="27" t="str">
        <x:f>IF(OR('Detalle'!$G31="",'Detalle'!$H31=""),"",IF(AND(O$8&lt;='Detalle'!$H31,O$9&gt;='Detalle'!$G31),1,""))</x:f>
      </x:c>
      <x:c r="P56" s="27" t="str">
        <x:f>IF(OR('Detalle'!$G31="",'Detalle'!$H31=""),"",IF(AND(P$8&lt;='Detalle'!$H31,P$9&gt;='Detalle'!$G31),1,""))</x:f>
      </x:c>
      <x:c r="Q56" s="27" t="str">
        <x:f>IF(OR('Detalle'!$G31="",'Detalle'!$H31=""),"",IF(AND(Q$8&lt;='Detalle'!$H31,Q$9&gt;='Detalle'!$G31),1,""))</x:f>
      </x:c>
      <x:c r="R56" s="49"/>
      <x:c r="S56" s="30" t="str">
        <x:f>IF('Detalle'!L31="","",'Detalle'!L31)</x:f>
        <x:v>Fatima</x:v>
      </x:c>
      <x:c r="T56" s="30" t="str">
        <x:f>IF('Detalle'!M31="","",'Detalle'!M31)</x:f>
      </x:c>
    </x:row>
    <x:row r="57" ht="17" customHeight="1">
      <x:c r="A57" s="28" t="str">
        <x:v>DIS-05</x:v>
      </x:c>
      <x:c r="B57" s="28" t="str">
        <x:v>Transversal</x:v>
      </x:c>
      <x:c r="C57" s="28" t="str">
        <x:v>Diseñar navegación responsiva</x:v>
      </x:c>
      <x:c r="D57" s="47" t="str">
        <x:v>R</x:v>
      </x:c>
      <x:c r="E57" s="48" t="n">
        <x:f>IF('Detalle'!J31="","",'Detalle'!J31)</x:f>
        <x:v>1</x:v>
      </x:c>
      <x:c r="F57" s="44" t="str"/>
      <x:c r="G57" s="27" t="str">
        <x:f>IF(AND('Detalle'!$F31="Completado",G56=1),1,"")</x:f>
      </x:c>
      <x:c r="H57" s="27" t="n">
        <x:f>IF(AND('Detalle'!$F31="Completado",H56=1),1,"")</x:f>
        <x:v>1</x:v>
      </x:c>
      <x:c r="I57" s="27" t="str">
        <x:f>IF(AND('Detalle'!$F31="Completado",I56=1),1,"")</x:f>
      </x:c>
      <x:c r="J57" s="27" t="str">
        <x:f>IF(AND('Detalle'!$F31="Completado",J56=1),1,"")</x:f>
      </x:c>
      <x:c r="K57" s="27" t="str">
        <x:f>IF(AND('Detalle'!$F31="Completado",K56=1),1,"")</x:f>
      </x:c>
      <x:c r="L57" s="27" t="str">
        <x:f>IF(AND('Detalle'!$F31="Completado",L56=1),1,"")</x:f>
      </x:c>
      <x:c r="M57" s="27" t="str">
        <x:f>IF(AND('Detalle'!$F31="Completado",M56=1),1,"")</x:f>
      </x:c>
      <x:c r="N57" s="27" t="str">
        <x:f>IF(AND('Detalle'!$F31="Completado",N56=1),1,"")</x:f>
      </x:c>
      <x:c r="O57" s="27" t="str">
        <x:f>IF(AND('Detalle'!$F31="Completado",O56=1),1,"")</x:f>
      </x:c>
      <x:c r="P57" s="27" t="str">
        <x:f>IF(AND('Detalle'!$F31="Completado",P56=1),1,"")</x:f>
      </x:c>
      <x:c r="Q57" s="27" t="str">
        <x:f>IF(AND('Detalle'!$F31="Completado",Q56=1),1,"")</x:f>
      </x:c>
      <x:c r="R57" s="49"/>
      <x:c r="S57" s="30" t="str"/>
      <x:c r="T57" s="30" t="str"/>
    </x:row>
    <x:row r="58" ht="17" customHeight="1">
      <x:c r="A58" s="28" t="str">
        <x:v>DIS-06</x:v>
      </x:c>
      <x:c r="B58" s="28" t="str">
        <x:v>Autenticación</x:v>
      </x:c>
      <x:c r="C58" s="28" t="str">
        <x:v>Diseñar registro por pasos y recuperación</x:v>
      </x:c>
      <x:c r="D58" s="46" t="str">
        <x:v>E</x:v>
      </x:c>
      <x:c r="E58" s="48" t="n">
        <x:f>IF('Detalle'!I32="","",'Detalle'!I32)</x:f>
        <x:v>1</x:v>
      </x:c>
      <x:c r="F58" s="44" t="str">
        <x:f>IF('Detalle'!F32="","",'Detalle'!F32)</x:f>
        <x:v>Completado</x:v>
      </x:c>
      <x:c r="G58" s="27" t="str">
        <x:f>IF(OR('Detalle'!$G32="",'Detalle'!$H32=""),"",IF(AND(G$8&lt;='Detalle'!$H32,G$9&gt;='Detalle'!$G32),1,""))</x:f>
      </x:c>
      <x:c r="H58" s="27" t="str">
        <x:f>IF(OR('Detalle'!$G32="",'Detalle'!$H32=""),"",IF(AND(H$8&lt;='Detalle'!$H32,H$9&gt;='Detalle'!$G32),1,""))</x:f>
      </x:c>
      <x:c r="I58" s="27" t="str">
        <x:f>IF(OR('Detalle'!$G32="",'Detalle'!$H32=""),"",IF(AND(I$8&lt;='Detalle'!$H32,I$9&gt;='Detalle'!$G32),1,""))</x:f>
      </x:c>
      <x:c r="J58" s="27" t="n">
        <x:f>IF(OR('Detalle'!$G32="",'Detalle'!$H32=""),"",IF(AND(J$8&lt;='Detalle'!$H32,J$9&gt;='Detalle'!$G32),1,""))</x:f>
        <x:v>1</x:v>
      </x:c>
      <x:c r="K58" s="27" t="str">
        <x:f>IF(OR('Detalle'!$G32="",'Detalle'!$H32=""),"",IF(AND(K$8&lt;='Detalle'!$H32,K$9&gt;='Detalle'!$G32),1,""))</x:f>
      </x:c>
      <x:c r="L58" s="27" t="str">
        <x:f>IF(OR('Detalle'!$G32="",'Detalle'!$H32=""),"",IF(AND(L$8&lt;='Detalle'!$H32,L$9&gt;='Detalle'!$G32),1,""))</x:f>
      </x:c>
      <x:c r="M58" s="27" t="str">
        <x:f>IF(OR('Detalle'!$G32="",'Detalle'!$H32=""),"",IF(AND(M$8&lt;='Detalle'!$H32,M$9&gt;='Detalle'!$G32),1,""))</x:f>
      </x:c>
      <x:c r="N58" s="27" t="str">
        <x:f>IF(OR('Detalle'!$G32="",'Detalle'!$H32=""),"",IF(AND(N$8&lt;='Detalle'!$H32,N$9&gt;='Detalle'!$G32),1,""))</x:f>
      </x:c>
      <x:c r="O58" s="27" t="str">
        <x:f>IF(OR('Detalle'!$G32="",'Detalle'!$H32=""),"",IF(AND(O$8&lt;='Detalle'!$H32,O$9&gt;='Detalle'!$G32),1,""))</x:f>
      </x:c>
      <x:c r="P58" s="27" t="str">
        <x:f>IF(OR('Detalle'!$G32="",'Detalle'!$H32=""),"",IF(AND(P$8&lt;='Detalle'!$H32,P$9&gt;='Detalle'!$G32),1,""))</x:f>
      </x:c>
      <x:c r="Q58" s="27" t="str">
        <x:f>IF(OR('Detalle'!$G32="",'Detalle'!$H32=""),"",IF(AND(Q$8&lt;='Detalle'!$H32,Q$9&gt;='Detalle'!$G32),1,""))</x:f>
      </x:c>
      <x:c r="R58" s="49"/>
      <x:c r="S58" s="30" t="str">
        <x:f>IF('Detalle'!L32="","",'Detalle'!L32)</x:f>
        <x:v>Fatima</x:v>
      </x:c>
      <x:c r="T58" s="30" t="str">
        <x:f>IF('Detalle'!M32="","",'Detalle'!M32)</x:f>
      </x:c>
    </x:row>
    <x:row r="59" ht="17" customHeight="1">
      <x:c r="A59" s="28" t="str">
        <x:v>DIS-06</x:v>
      </x:c>
      <x:c r="B59" s="28" t="str">
        <x:v>Autenticación</x:v>
      </x:c>
      <x:c r="C59" s="28" t="str">
        <x:v>Diseñar registro por pasos y recuperación</x:v>
      </x:c>
      <x:c r="D59" s="47" t="str">
        <x:v>R</x:v>
      </x:c>
      <x:c r="E59" s="48" t="n">
        <x:f>IF('Detalle'!J32="","",'Detalle'!J32)</x:f>
        <x:v>1</x:v>
      </x:c>
      <x:c r="F59" s="44" t="str"/>
      <x:c r="G59" s="27" t="str">
        <x:f>IF(AND('Detalle'!$F32="Completado",G58=1),1,"")</x:f>
      </x:c>
      <x:c r="H59" s="27" t="str">
        <x:f>IF(AND('Detalle'!$F32="Completado",H58=1),1,"")</x:f>
      </x:c>
      <x:c r="I59" s="27" t="str">
        <x:f>IF(AND('Detalle'!$F32="Completado",I58=1),1,"")</x:f>
      </x:c>
      <x:c r="J59" s="27" t="n">
        <x:f>IF(AND('Detalle'!$F32="Completado",J58=1),1,"")</x:f>
        <x:v>1</x:v>
      </x:c>
      <x:c r="K59" s="27" t="str">
        <x:f>IF(AND('Detalle'!$F32="Completado",K58=1),1,"")</x:f>
      </x:c>
      <x:c r="L59" s="27" t="str">
        <x:f>IF(AND('Detalle'!$F32="Completado",L58=1),1,"")</x:f>
      </x:c>
      <x:c r="M59" s="27" t="str">
        <x:f>IF(AND('Detalle'!$F32="Completado",M58=1),1,"")</x:f>
      </x:c>
      <x:c r="N59" s="27" t="str">
        <x:f>IF(AND('Detalle'!$F32="Completado",N58=1),1,"")</x:f>
      </x:c>
      <x:c r="O59" s="27" t="str">
        <x:f>IF(AND('Detalle'!$F32="Completado",O58=1),1,"")</x:f>
      </x:c>
      <x:c r="P59" s="27" t="str">
        <x:f>IF(AND('Detalle'!$F32="Completado",P58=1),1,"")</x:f>
      </x:c>
      <x:c r="Q59" s="27" t="str">
        <x:f>IF(AND('Detalle'!$F32="Completado",Q58=1),1,"")</x:f>
      </x:c>
      <x:c r="R59" s="49"/>
      <x:c r="S59" s="30" t="str"/>
      <x:c r="T59" s="30" t="str"/>
    </x:row>
    <x:row r="60" ht="17" customHeight="1">
      <x:c r="A60" s="28" t="str">
        <x:v>DIS-07</x:v>
      </x:c>
      <x:c r="B60" s="28" t="str">
        <x:v>Perfil y cuenta</x:v>
      </x:c>
      <x:c r="C60" s="28" t="str">
        <x:v>Diseñar los cuatro tipos de perfil</x:v>
      </x:c>
      <x:c r="D60" s="46" t="str">
        <x:v>E</x:v>
      </x:c>
      <x:c r="E60" s="48" t="n">
        <x:f>IF('Detalle'!I33="","",'Detalle'!I33)</x:f>
        <x:v>1</x:v>
      </x:c>
      <x:c r="F60" s="44" t="str">
        <x:f>IF('Detalle'!F33="","",'Detalle'!F33)</x:f>
        <x:v>Completado</x:v>
      </x:c>
      <x:c r="G60" s="27" t="str">
        <x:f>IF(OR('Detalle'!$G33="",'Detalle'!$H33=""),"",IF(AND(G$8&lt;='Detalle'!$H33,G$9&gt;='Detalle'!$G33),1,""))</x:f>
      </x:c>
      <x:c r="H60" s="27" t="str">
        <x:f>IF(OR('Detalle'!$G33="",'Detalle'!$H33=""),"",IF(AND(H$8&lt;='Detalle'!$H33,H$9&gt;='Detalle'!$G33),1,""))</x:f>
      </x:c>
      <x:c r="I60" s="27" t="str">
        <x:f>IF(OR('Detalle'!$G33="",'Detalle'!$H33=""),"",IF(AND(I$8&lt;='Detalle'!$H33,I$9&gt;='Detalle'!$G33),1,""))</x:f>
      </x:c>
      <x:c r="J60" s="27" t="n">
        <x:f>IF(OR('Detalle'!$G33="",'Detalle'!$H33=""),"",IF(AND(J$8&lt;='Detalle'!$H33,J$9&gt;='Detalle'!$G33),1,""))</x:f>
        <x:v>1</x:v>
      </x:c>
      <x:c r="K60" s="27" t="str">
        <x:f>IF(OR('Detalle'!$G33="",'Detalle'!$H33=""),"",IF(AND(K$8&lt;='Detalle'!$H33,K$9&gt;='Detalle'!$G33),1,""))</x:f>
      </x:c>
      <x:c r="L60" s="27" t="str">
        <x:f>IF(OR('Detalle'!$G33="",'Detalle'!$H33=""),"",IF(AND(L$8&lt;='Detalle'!$H33,L$9&gt;='Detalle'!$G33),1,""))</x:f>
      </x:c>
      <x:c r="M60" s="27" t="str">
        <x:f>IF(OR('Detalle'!$G33="",'Detalle'!$H33=""),"",IF(AND(M$8&lt;='Detalle'!$H33,M$9&gt;='Detalle'!$G33),1,""))</x:f>
      </x:c>
      <x:c r="N60" s="27" t="str">
        <x:f>IF(OR('Detalle'!$G33="",'Detalle'!$H33=""),"",IF(AND(N$8&lt;='Detalle'!$H33,N$9&gt;='Detalle'!$G33),1,""))</x:f>
      </x:c>
      <x:c r="O60" s="27" t="str">
        <x:f>IF(OR('Detalle'!$G33="",'Detalle'!$H33=""),"",IF(AND(O$8&lt;='Detalle'!$H33,O$9&gt;='Detalle'!$G33),1,""))</x:f>
      </x:c>
      <x:c r="P60" s="27" t="str">
        <x:f>IF(OR('Detalle'!$G33="",'Detalle'!$H33=""),"",IF(AND(P$8&lt;='Detalle'!$H33,P$9&gt;='Detalle'!$G33),1,""))</x:f>
      </x:c>
      <x:c r="Q60" s="27" t="str">
        <x:f>IF(OR('Detalle'!$G33="",'Detalle'!$H33=""),"",IF(AND(Q$8&lt;='Detalle'!$H33,Q$9&gt;='Detalle'!$G33),1,""))</x:f>
      </x:c>
      <x:c r="R60" s="49"/>
      <x:c r="S60" s="30" t="str">
        <x:f>IF('Detalle'!L33="","",'Detalle'!L33)</x:f>
        <x:v>Fatima</x:v>
      </x:c>
      <x:c r="T60" s="30" t="str">
        <x:f>IF('Detalle'!M33="","",'Detalle'!M33)</x:f>
      </x:c>
    </x:row>
    <x:row r="61" ht="17" customHeight="1">
      <x:c r="A61" s="28" t="str">
        <x:v>DIS-07</x:v>
      </x:c>
      <x:c r="B61" s="28" t="str">
        <x:v>Perfil y cuenta</x:v>
      </x:c>
      <x:c r="C61" s="28" t="str">
        <x:v>Diseñar los cuatro tipos de perfil</x:v>
      </x:c>
      <x:c r="D61" s="47" t="str">
        <x:v>R</x:v>
      </x:c>
      <x:c r="E61" s="48" t="n">
        <x:f>IF('Detalle'!J33="","",'Detalle'!J33)</x:f>
        <x:v>1</x:v>
      </x:c>
      <x:c r="F61" s="44" t="str"/>
      <x:c r="G61" s="27" t="str">
        <x:f>IF(AND('Detalle'!$F33="Completado",G60=1),1,"")</x:f>
      </x:c>
      <x:c r="H61" s="27" t="str">
        <x:f>IF(AND('Detalle'!$F33="Completado",H60=1),1,"")</x:f>
      </x:c>
      <x:c r="I61" s="27" t="str">
        <x:f>IF(AND('Detalle'!$F33="Completado",I60=1),1,"")</x:f>
      </x:c>
      <x:c r="J61" s="27" t="n">
        <x:f>IF(AND('Detalle'!$F33="Completado",J60=1),1,"")</x:f>
        <x:v>1</x:v>
      </x:c>
      <x:c r="K61" s="27" t="str">
        <x:f>IF(AND('Detalle'!$F33="Completado",K60=1),1,"")</x:f>
      </x:c>
      <x:c r="L61" s="27" t="str">
        <x:f>IF(AND('Detalle'!$F33="Completado",L60=1),1,"")</x:f>
      </x:c>
      <x:c r="M61" s="27" t="str">
        <x:f>IF(AND('Detalle'!$F33="Completado",M60=1),1,"")</x:f>
      </x:c>
      <x:c r="N61" s="27" t="str">
        <x:f>IF(AND('Detalle'!$F33="Completado",N60=1),1,"")</x:f>
      </x:c>
      <x:c r="O61" s="27" t="str">
        <x:f>IF(AND('Detalle'!$F33="Completado",O60=1),1,"")</x:f>
      </x:c>
      <x:c r="P61" s="27" t="str">
        <x:f>IF(AND('Detalle'!$F33="Completado",P60=1),1,"")</x:f>
      </x:c>
      <x:c r="Q61" s="27" t="str">
        <x:f>IF(AND('Detalle'!$F33="Completado",Q60=1),1,"")</x:f>
      </x:c>
      <x:c r="R61" s="49"/>
      <x:c r="S61" s="30" t="str"/>
      <x:c r="T61" s="30" t="str"/>
    </x:row>
    <x:row r="62" ht="17" customHeight="1">
      <x:c r="A62" s="28" t="str">
        <x:v>DIS-08</x:v>
      </x:c>
      <x:c r="B62" s="28" t="str">
        <x:v>Perfil y cuenta</x:v>
      </x:c>
      <x:c r="C62" s="28" t="str">
        <x:v>Diseñar edición de identidad y configuración</x:v>
      </x:c>
      <x:c r="D62" s="46" t="str">
        <x:v>E</x:v>
      </x:c>
      <x:c r="E62" s="48" t="n">
        <x:f>IF('Detalle'!I34="","",'Detalle'!I34)</x:f>
        <x:v>1</x:v>
      </x:c>
      <x:c r="F62" s="44" t="str">
        <x:f>IF('Detalle'!F34="","",'Detalle'!F34)</x:f>
        <x:v>Completado</x:v>
      </x:c>
      <x:c r="G62" s="27" t="str">
        <x:f>IF(OR('Detalle'!$G34="",'Detalle'!$H34=""),"",IF(AND(G$8&lt;='Detalle'!$H34,G$9&gt;='Detalle'!$G34),1,""))</x:f>
      </x:c>
      <x:c r="H62" s="27" t="str">
        <x:f>IF(OR('Detalle'!$G34="",'Detalle'!$H34=""),"",IF(AND(H$8&lt;='Detalle'!$H34,H$9&gt;='Detalle'!$G34),1,""))</x:f>
      </x:c>
      <x:c r="I62" s="27" t="str">
        <x:f>IF(OR('Detalle'!$G34="",'Detalle'!$H34=""),"",IF(AND(I$8&lt;='Detalle'!$H34,I$9&gt;='Detalle'!$G34),1,""))</x:f>
      </x:c>
      <x:c r="J62" s="27" t="n">
        <x:f>IF(OR('Detalle'!$G34="",'Detalle'!$H34=""),"",IF(AND(J$8&lt;='Detalle'!$H34,J$9&gt;='Detalle'!$G34),1,""))</x:f>
        <x:v>1</x:v>
      </x:c>
      <x:c r="K62" s="27" t="str">
        <x:f>IF(OR('Detalle'!$G34="",'Detalle'!$H34=""),"",IF(AND(K$8&lt;='Detalle'!$H34,K$9&gt;='Detalle'!$G34),1,""))</x:f>
      </x:c>
      <x:c r="L62" s="27" t="str">
        <x:f>IF(OR('Detalle'!$G34="",'Detalle'!$H34=""),"",IF(AND(L$8&lt;='Detalle'!$H34,L$9&gt;='Detalle'!$G34),1,""))</x:f>
      </x:c>
      <x:c r="M62" s="27" t="str">
        <x:f>IF(OR('Detalle'!$G34="",'Detalle'!$H34=""),"",IF(AND(M$8&lt;='Detalle'!$H34,M$9&gt;='Detalle'!$G34),1,""))</x:f>
      </x:c>
      <x:c r="N62" s="27" t="str">
        <x:f>IF(OR('Detalle'!$G34="",'Detalle'!$H34=""),"",IF(AND(N$8&lt;='Detalle'!$H34,N$9&gt;='Detalle'!$G34),1,""))</x:f>
      </x:c>
      <x:c r="O62" s="27" t="str">
        <x:f>IF(OR('Detalle'!$G34="",'Detalle'!$H34=""),"",IF(AND(O$8&lt;='Detalle'!$H34,O$9&gt;='Detalle'!$G34),1,""))</x:f>
      </x:c>
      <x:c r="P62" s="27" t="str">
        <x:f>IF(OR('Detalle'!$G34="",'Detalle'!$H34=""),"",IF(AND(P$8&lt;='Detalle'!$H34,P$9&gt;='Detalle'!$G34),1,""))</x:f>
      </x:c>
      <x:c r="Q62" s="27" t="str">
        <x:f>IF(OR('Detalle'!$G34="",'Detalle'!$H34=""),"",IF(AND(Q$8&lt;='Detalle'!$H34,Q$9&gt;='Detalle'!$G34),1,""))</x:f>
      </x:c>
      <x:c r="R62" s="49"/>
      <x:c r="S62" s="30" t="str">
        <x:f>IF('Detalle'!L34="","",'Detalle'!L34)</x:f>
        <x:v>Fatima</x:v>
      </x:c>
      <x:c r="T62" s="30" t="str">
        <x:f>IF('Detalle'!M34="","",'Detalle'!M34)</x:f>
      </x:c>
    </x:row>
    <x:row r="63" ht="17" customHeight="1">
      <x:c r="A63" s="28" t="str">
        <x:v>DIS-08</x:v>
      </x:c>
      <x:c r="B63" s="28" t="str">
        <x:v>Perfil y cuenta</x:v>
      </x:c>
      <x:c r="C63" s="28" t="str">
        <x:v>Diseñar edición de identidad y configuración</x:v>
      </x:c>
      <x:c r="D63" s="47" t="str">
        <x:v>R</x:v>
      </x:c>
      <x:c r="E63" s="48" t="n">
        <x:f>IF('Detalle'!J34="","",'Detalle'!J34)</x:f>
        <x:v>1</x:v>
      </x:c>
      <x:c r="F63" s="44" t="str"/>
      <x:c r="G63" s="27" t="str">
        <x:f>IF(AND('Detalle'!$F34="Completado",G62=1),1,"")</x:f>
      </x:c>
      <x:c r="H63" s="27" t="str">
        <x:f>IF(AND('Detalle'!$F34="Completado",H62=1),1,"")</x:f>
      </x:c>
      <x:c r="I63" s="27" t="str">
        <x:f>IF(AND('Detalle'!$F34="Completado",I62=1),1,"")</x:f>
      </x:c>
      <x:c r="J63" s="27" t="n">
        <x:f>IF(AND('Detalle'!$F34="Completado",J62=1),1,"")</x:f>
        <x:v>1</x:v>
      </x:c>
      <x:c r="K63" s="27" t="str">
        <x:f>IF(AND('Detalle'!$F34="Completado",K62=1),1,"")</x:f>
      </x:c>
      <x:c r="L63" s="27" t="str">
        <x:f>IF(AND('Detalle'!$F34="Completado",L62=1),1,"")</x:f>
      </x:c>
      <x:c r="M63" s="27" t="str">
        <x:f>IF(AND('Detalle'!$F34="Completado",M62=1),1,"")</x:f>
      </x:c>
      <x:c r="N63" s="27" t="str">
        <x:f>IF(AND('Detalle'!$F34="Completado",N62=1),1,"")</x:f>
      </x:c>
      <x:c r="O63" s="27" t="str">
        <x:f>IF(AND('Detalle'!$F34="Completado",O62=1),1,"")</x:f>
      </x:c>
      <x:c r="P63" s="27" t="str">
        <x:f>IF(AND('Detalle'!$F34="Completado",P62=1),1,"")</x:f>
      </x:c>
      <x:c r="Q63" s="27" t="str">
        <x:f>IF(AND('Detalle'!$F34="Completado",Q62=1),1,"")</x:f>
      </x:c>
      <x:c r="R63" s="49"/>
      <x:c r="S63" s="30" t="str"/>
      <x:c r="T63" s="30" t="str"/>
    </x:row>
    <x:row r="64" ht="17" customHeight="1">
      <x:c r="A64" s="28" t="str">
        <x:v>DIS-09</x:v>
      </x:c>
      <x:c r="B64" s="28" t="str">
        <x:v>Comunidad</x:v>
      </x:c>
      <x:c r="C64" s="28" t="str">
        <x:v>Diseñar feed, tarjetas y compositor</x:v>
      </x:c>
      <x:c r="D64" s="46" t="str">
        <x:v>E</x:v>
      </x:c>
      <x:c r="E64" s="48" t="n">
        <x:f>IF('Detalle'!I35="","",'Detalle'!I35)</x:f>
        <x:v>1</x:v>
      </x:c>
      <x:c r="F64" s="44" t="str">
        <x:f>IF('Detalle'!F35="","",'Detalle'!F35)</x:f>
        <x:v>Completado</x:v>
      </x:c>
      <x:c r="G64" s="27" t="str">
        <x:f>IF(OR('Detalle'!$G35="",'Detalle'!$H35=""),"",IF(AND(G$8&lt;='Detalle'!$H35,G$9&gt;='Detalle'!$G35),1,""))</x:f>
      </x:c>
      <x:c r="H64" s="27" t="str">
        <x:f>IF(OR('Detalle'!$G35="",'Detalle'!$H35=""),"",IF(AND(H$8&lt;='Detalle'!$H35,H$9&gt;='Detalle'!$G35),1,""))</x:f>
      </x:c>
      <x:c r="I64" s="27" t="str">
        <x:f>IF(OR('Detalle'!$G35="",'Detalle'!$H35=""),"",IF(AND(I$8&lt;='Detalle'!$H35,I$9&gt;='Detalle'!$G35),1,""))</x:f>
      </x:c>
      <x:c r="J64" s="27" t="n">
        <x:f>IF(OR('Detalle'!$G35="",'Detalle'!$H35=""),"",IF(AND(J$8&lt;='Detalle'!$H35,J$9&gt;='Detalle'!$G35),1,""))</x:f>
        <x:v>1</x:v>
      </x:c>
      <x:c r="K64" s="27" t="str">
        <x:f>IF(OR('Detalle'!$G35="",'Detalle'!$H35=""),"",IF(AND(K$8&lt;='Detalle'!$H35,K$9&gt;='Detalle'!$G35),1,""))</x:f>
      </x:c>
      <x:c r="L64" s="27" t="str">
        <x:f>IF(OR('Detalle'!$G35="",'Detalle'!$H35=""),"",IF(AND(L$8&lt;='Detalle'!$H35,L$9&gt;='Detalle'!$G35),1,""))</x:f>
      </x:c>
      <x:c r="M64" s="27" t="str">
        <x:f>IF(OR('Detalle'!$G35="",'Detalle'!$H35=""),"",IF(AND(M$8&lt;='Detalle'!$H35,M$9&gt;='Detalle'!$G35),1,""))</x:f>
      </x:c>
      <x:c r="N64" s="27" t="str">
        <x:f>IF(OR('Detalle'!$G35="",'Detalle'!$H35=""),"",IF(AND(N$8&lt;='Detalle'!$H35,N$9&gt;='Detalle'!$G35),1,""))</x:f>
      </x:c>
      <x:c r="O64" s="27" t="str">
        <x:f>IF(OR('Detalle'!$G35="",'Detalle'!$H35=""),"",IF(AND(O$8&lt;='Detalle'!$H35,O$9&gt;='Detalle'!$G35),1,""))</x:f>
      </x:c>
      <x:c r="P64" s="27" t="str">
        <x:f>IF(OR('Detalle'!$G35="",'Detalle'!$H35=""),"",IF(AND(P$8&lt;='Detalle'!$H35,P$9&gt;='Detalle'!$G35),1,""))</x:f>
      </x:c>
      <x:c r="Q64" s="27" t="str">
        <x:f>IF(OR('Detalle'!$G35="",'Detalle'!$H35=""),"",IF(AND(Q$8&lt;='Detalle'!$H35,Q$9&gt;='Detalle'!$G35),1,""))</x:f>
      </x:c>
      <x:c r="R64" s="49"/>
      <x:c r="S64" s="30" t="str">
        <x:f>IF('Detalle'!L35="","",'Detalle'!L35)</x:f>
        <x:v>Fatima</x:v>
      </x:c>
      <x:c r="T64" s="30" t="str">
        <x:f>IF('Detalle'!M35="","",'Detalle'!M35)</x:f>
      </x:c>
    </x:row>
    <x:row r="65" ht="17" customHeight="1">
      <x:c r="A65" s="28" t="str">
        <x:v>DIS-09</x:v>
      </x:c>
      <x:c r="B65" s="28" t="str">
        <x:v>Comunidad</x:v>
      </x:c>
      <x:c r="C65" s="28" t="str">
        <x:v>Diseñar feed, tarjetas y compositor</x:v>
      </x:c>
      <x:c r="D65" s="47" t="str">
        <x:v>R</x:v>
      </x:c>
      <x:c r="E65" s="48" t="n">
        <x:f>IF('Detalle'!J35="","",'Detalle'!J35)</x:f>
        <x:v>1</x:v>
      </x:c>
      <x:c r="F65" s="44" t="str"/>
      <x:c r="G65" s="27" t="str">
        <x:f>IF(AND('Detalle'!$F35="Completado",G64=1),1,"")</x:f>
      </x:c>
      <x:c r="H65" s="27" t="str">
        <x:f>IF(AND('Detalle'!$F35="Completado",H64=1),1,"")</x:f>
      </x:c>
      <x:c r="I65" s="27" t="str">
        <x:f>IF(AND('Detalle'!$F35="Completado",I64=1),1,"")</x:f>
      </x:c>
      <x:c r="J65" s="27" t="n">
        <x:f>IF(AND('Detalle'!$F35="Completado",J64=1),1,"")</x:f>
        <x:v>1</x:v>
      </x:c>
      <x:c r="K65" s="27" t="str">
        <x:f>IF(AND('Detalle'!$F35="Completado",K64=1),1,"")</x:f>
      </x:c>
      <x:c r="L65" s="27" t="str">
        <x:f>IF(AND('Detalle'!$F35="Completado",L64=1),1,"")</x:f>
      </x:c>
      <x:c r="M65" s="27" t="str">
        <x:f>IF(AND('Detalle'!$F35="Completado",M64=1),1,"")</x:f>
      </x:c>
      <x:c r="N65" s="27" t="str">
        <x:f>IF(AND('Detalle'!$F35="Completado",N64=1),1,"")</x:f>
      </x:c>
      <x:c r="O65" s="27" t="str">
        <x:f>IF(AND('Detalle'!$F35="Completado",O64=1),1,"")</x:f>
      </x:c>
      <x:c r="P65" s="27" t="str">
        <x:f>IF(AND('Detalle'!$F35="Completado",P64=1),1,"")</x:f>
      </x:c>
      <x:c r="Q65" s="27" t="str">
        <x:f>IF(AND('Detalle'!$F35="Completado",Q64=1),1,"")</x:f>
      </x:c>
      <x:c r="R65" s="49"/>
      <x:c r="S65" s="30" t="str"/>
      <x:c r="T65" s="30" t="str"/>
    </x:row>
    <x:row r="66" ht="17" customHeight="1">
      <x:c r="A66" s="28" t="str">
        <x:v>DIS-10</x:v>
      </x:c>
      <x:c r="B66" s="28" t="str">
        <x:v>Comunidad</x:v>
      </x:c>
      <x:c r="C66" s="28" t="str">
        <x:v>Revisar propuestas visuales v3 a v6</x:v>
      </x:c>
      <x:c r="D66" s="46" t="str">
        <x:v>E</x:v>
      </x:c>
      <x:c r="E66" s="48" t="n">
        <x:f>IF('Detalle'!I36="","",'Detalle'!I36)</x:f>
        <x:v>1</x:v>
      </x:c>
      <x:c r="F66" s="44" t="str">
        <x:f>IF('Detalle'!F36="","",'Detalle'!F36)</x:f>
        <x:v>Completado</x:v>
      </x:c>
      <x:c r="G66" s="27" t="str">
        <x:f>IF(OR('Detalle'!$G36="",'Detalle'!$H36=""),"",IF(AND(G$8&lt;='Detalle'!$H36,G$9&gt;='Detalle'!$G36),1,""))</x:f>
      </x:c>
      <x:c r="H66" s="27" t="str">
        <x:f>IF(OR('Detalle'!$G36="",'Detalle'!$H36=""),"",IF(AND(H$8&lt;='Detalle'!$H36,H$9&gt;='Detalle'!$G36),1,""))</x:f>
      </x:c>
      <x:c r="I66" s="27" t="str">
        <x:f>IF(OR('Detalle'!$G36="",'Detalle'!$H36=""),"",IF(AND(I$8&lt;='Detalle'!$H36,I$9&gt;='Detalle'!$G36),1,""))</x:f>
      </x:c>
      <x:c r="J66" s="27" t="n">
        <x:f>IF(OR('Detalle'!$G36="",'Detalle'!$H36=""),"",IF(AND(J$8&lt;='Detalle'!$H36,J$9&gt;='Detalle'!$G36),1,""))</x:f>
        <x:v>1</x:v>
      </x:c>
      <x:c r="K66" s="27" t="str">
        <x:f>IF(OR('Detalle'!$G36="",'Detalle'!$H36=""),"",IF(AND(K$8&lt;='Detalle'!$H36,K$9&gt;='Detalle'!$G36),1,""))</x:f>
      </x:c>
      <x:c r="L66" s="27" t="str">
        <x:f>IF(OR('Detalle'!$G36="",'Detalle'!$H36=""),"",IF(AND(L$8&lt;='Detalle'!$H36,L$9&gt;='Detalle'!$G36),1,""))</x:f>
      </x:c>
      <x:c r="M66" s="27" t="str">
        <x:f>IF(OR('Detalle'!$G36="",'Detalle'!$H36=""),"",IF(AND(M$8&lt;='Detalle'!$H36,M$9&gt;='Detalle'!$G36),1,""))</x:f>
      </x:c>
      <x:c r="N66" s="27" t="str">
        <x:f>IF(OR('Detalle'!$G36="",'Detalle'!$H36=""),"",IF(AND(N$8&lt;='Detalle'!$H36,N$9&gt;='Detalle'!$G36),1,""))</x:f>
      </x:c>
      <x:c r="O66" s="27" t="str">
        <x:f>IF(OR('Detalle'!$G36="",'Detalle'!$H36=""),"",IF(AND(O$8&lt;='Detalle'!$H36,O$9&gt;='Detalle'!$G36),1,""))</x:f>
      </x:c>
      <x:c r="P66" s="27" t="str">
        <x:f>IF(OR('Detalle'!$G36="",'Detalle'!$H36=""),"",IF(AND(P$8&lt;='Detalle'!$H36,P$9&gt;='Detalle'!$G36),1,""))</x:f>
      </x:c>
      <x:c r="Q66" s="27" t="str">
        <x:f>IF(OR('Detalle'!$G36="",'Detalle'!$H36=""),"",IF(AND(Q$8&lt;='Detalle'!$H36,Q$9&gt;='Detalle'!$G36),1,""))</x:f>
      </x:c>
      <x:c r="R66" s="49"/>
      <x:c r="S66" s="30" t="str">
        <x:f>IF('Detalle'!L36="","",'Detalle'!L36)</x:f>
        <x:v>Fatima</x:v>
      </x:c>
      <x:c r="T66" s="30" t="str">
        <x:f>IF('Detalle'!M36="","",'Detalle'!M36)</x:f>
      </x:c>
    </x:row>
    <x:row r="67" ht="17" customHeight="1">
      <x:c r="A67" s="28" t="str">
        <x:v>DIS-10</x:v>
      </x:c>
      <x:c r="B67" s="28" t="str">
        <x:v>Comunidad</x:v>
      </x:c>
      <x:c r="C67" s="28" t="str">
        <x:v>Revisar propuestas visuales v3 a v6</x:v>
      </x:c>
      <x:c r="D67" s="47" t="str">
        <x:v>R</x:v>
      </x:c>
      <x:c r="E67" s="48" t="n">
        <x:f>IF('Detalle'!J36="","",'Detalle'!J36)</x:f>
        <x:v>1</x:v>
      </x:c>
      <x:c r="F67" s="44" t="str"/>
      <x:c r="G67" s="27" t="str">
        <x:f>IF(AND('Detalle'!$F36="Completado",G66=1),1,"")</x:f>
      </x:c>
      <x:c r="H67" s="27" t="str">
        <x:f>IF(AND('Detalle'!$F36="Completado",H66=1),1,"")</x:f>
      </x:c>
      <x:c r="I67" s="27" t="str">
        <x:f>IF(AND('Detalle'!$F36="Completado",I66=1),1,"")</x:f>
      </x:c>
      <x:c r="J67" s="27" t="n">
        <x:f>IF(AND('Detalle'!$F36="Completado",J66=1),1,"")</x:f>
        <x:v>1</x:v>
      </x:c>
      <x:c r="K67" s="27" t="str">
        <x:f>IF(AND('Detalle'!$F36="Completado",K66=1),1,"")</x:f>
      </x:c>
      <x:c r="L67" s="27" t="str">
        <x:f>IF(AND('Detalle'!$F36="Completado",L66=1),1,"")</x:f>
      </x:c>
      <x:c r="M67" s="27" t="str">
        <x:f>IF(AND('Detalle'!$F36="Completado",M66=1),1,"")</x:f>
      </x:c>
      <x:c r="N67" s="27" t="str">
        <x:f>IF(AND('Detalle'!$F36="Completado",N66=1),1,"")</x:f>
      </x:c>
      <x:c r="O67" s="27" t="str">
        <x:f>IF(AND('Detalle'!$F36="Completado",O66=1),1,"")</x:f>
      </x:c>
      <x:c r="P67" s="27" t="str">
        <x:f>IF(AND('Detalle'!$F36="Completado",P66=1),1,"")</x:f>
      </x:c>
      <x:c r="Q67" s="27" t="str">
        <x:f>IF(AND('Detalle'!$F36="Completado",Q66=1),1,"")</x:f>
      </x:c>
      <x:c r="R67" s="49"/>
      <x:c r="S67" s="30" t="str"/>
      <x:c r="T67" s="30" t="str"/>
    </x:row>
    <x:row r="68" ht="17" customHeight="1">
      <x:c r="A68" s="28" t="str">
        <x:v>DIS-11</x:v>
      </x:c>
      <x:c r="B68" s="28" t="str">
        <x:v>Comunidad</x:v>
      </x:c>
      <x:c r="C68" s="28" t="str">
        <x:v>Consolidar interfaz social v7</x:v>
      </x:c>
      <x:c r="D68" s="46" t="str">
        <x:v>E</x:v>
      </x:c>
      <x:c r="E68" s="48" t="n">
        <x:f>IF('Detalle'!I37="","",'Detalle'!I37)</x:f>
        <x:v>1</x:v>
      </x:c>
      <x:c r="F68" s="44" t="str">
        <x:f>IF('Detalle'!F37="","",'Detalle'!F37)</x:f>
        <x:v>Completado</x:v>
      </x:c>
      <x:c r="G68" s="27" t="str">
        <x:f>IF(OR('Detalle'!$G37="",'Detalle'!$H37=""),"",IF(AND(G$8&lt;='Detalle'!$H37,G$9&gt;='Detalle'!$G37),1,""))</x:f>
      </x:c>
      <x:c r="H68" s="27" t="str">
        <x:f>IF(OR('Detalle'!$G37="",'Detalle'!$H37=""),"",IF(AND(H$8&lt;='Detalle'!$H37,H$9&gt;='Detalle'!$G37),1,""))</x:f>
      </x:c>
      <x:c r="I68" s="27" t="str">
        <x:f>IF(OR('Detalle'!$G37="",'Detalle'!$H37=""),"",IF(AND(I$8&lt;='Detalle'!$H37,I$9&gt;='Detalle'!$G37),1,""))</x:f>
      </x:c>
      <x:c r="J68" s="27" t="n">
        <x:f>IF(OR('Detalle'!$G37="",'Detalle'!$H37=""),"",IF(AND(J$8&lt;='Detalle'!$H37,J$9&gt;='Detalle'!$G37),1,""))</x:f>
        <x:v>1</x:v>
      </x:c>
      <x:c r="K68" s="27" t="str">
        <x:f>IF(OR('Detalle'!$G37="",'Detalle'!$H37=""),"",IF(AND(K$8&lt;='Detalle'!$H37,K$9&gt;='Detalle'!$G37),1,""))</x:f>
      </x:c>
      <x:c r="L68" s="27" t="str">
        <x:f>IF(OR('Detalle'!$G37="",'Detalle'!$H37=""),"",IF(AND(L$8&lt;='Detalle'!$H37,L$9&gt;='Detalle'!$G37),1,""))</x:f>
      </x:c>
      <x:c r="M68" s="27" t="str">
        <x:f>IF(OR('Detalle'!$G37="",'Detalle'!$H37=""),"",IF(AND(M$8&lt;='Detalle'!$H37,M$9&gt;='Detalle'!$G37),1,""))</x:f>
      </x:c>
      <x:c r="N68" s="27" t="str">
        <x:f>IF(OR('Detalle'!$G37="",'Detalle'!$H37=""),"",IF(AND(N$8&lt;='Detalle'!$H37,N$9&gt;='Detalle'!$G37),1,""))</x:f>
      </x:c>
      <x:c r="O68" s="27" t="str">
        <x:f>IF(OR('Detalle'!$G37="",'Detalle'!$H37=""),"",IF(AND(O$8&lt;='Detalle'!$H37,O$9&gt;='Detalle'!$G37),1,""))</x:f>
      </x:c>
      <x:c r="P68" s="27" t="str">
        <x:f>IF(OR('Detalle'!$G37="",'Detalle'!$H37=""),"",IF(AND(P$8&lt;='Detalle'!$H37,P$9&gt;='Detalle'!$G37),1,""))</x:f>
      </x:c>
      <x:c r="Q68" s="27" t="str">
        <x:f>IF(OR('Detalle'!$G37="",'Detalle'!$H37=""),"",IF(AND(Q$8&lt;='Detalle'!$H37,Q$9&gt;='Detalle'!$G37),1,""))</x:f>
      </x:c>
      <x:c r="R68" s="49"/>
      <x:c r="S68" s="30" t="str">
        <x:f>IF('Detalle'!L37="","",'Detalle'!L37)</x:f>
        <x:v>Fatima</x:v>
      </x:c>
      <x:c r="T68" s="30" t="str">
        <x:f>IF('Detalle'!M37="","",'Detalle'!M37)</x:f>
      </x:c>
    </x:row>
    <x:row r="69" ht="17" customHeight="1">
      <x:c r="A69" s="28" t="str">
        <x:v>DIS-11</x:v>
      </x:c>
      <x:c r="B69" s="28" t="str">
        <x:v>Comunidad</x:v>
      </x:c>
      <x:c r="C69" s="28" t="str">
        <x:v>Consolidar interfaz social v7</x:v>
      </x:c>
      <x:c r="D69" s="47" t="str">
        <x:v>R</x:v>
      </x:c>
      <x:c r="E69" s="48" t="n">
        <x:f>IF('Detalle'!J37="","",'Detalle'!J37)</x:f>
        <x:v>1</x:v>
      </x:c>
      <x:c r="F69" s="44" t="str"/>
      <x:c r="G69" s="27" t="str">
        <x:f>IF(AND('Detalle'!$F37="Completado",G68=1),1,"")</x:f>
      </x:c>
      <x:c r="H69" s="27" t="str">
        <x:f>IF(AND('Detalle'!$F37="Completado",H68=1),1,"")</x:f>
      </x:c>
      <x:c r="I69" s="27" t="str">
        <x:f>IF(AND('Detalle'!$F37="Completado",I68=1),1,"")</x:f>
      </x:c>
      <x:c r="J69" s="27" t="n">
        <x:f>IF(AND('Detalle'!$F37="Completado",J68=1),1,"")</x:f>
        <x:v>1</x:v>
      </x:c>
      <x:c r="K69" s="27" t="str">
        <x:f>IF(AND('Detalle'!$F37="Completado",K68=1),1,"")</x:f>
      </x:c>
      <x:c r="L69" s="27" t="str">
        <x:f>IF(AND('Detalle'!$F37="Completado",L68=1),1,"")</x:f>
      </x:c>
      <x:c r="M69" s="27" t="str">
        <x:f>IF(AND('Detalle'!$F37="Completado",M68=1),1,"")</x:f>
      </x:c>
      <x:c r="N69" s="27" t="str">
        <x:f>IF(AND('Detalle'!$F37="Completado",N68=1),1,"")</x:f>
      </x:c>
      <x:c r="O69" s="27" t="str">
        <x:f>IF(AND('Detalle'!$F37="Completado",O68=1),1,"")</x:f>
      </x:c>
      <x:c r="P69" s="27" t="str">
        <x:f>IF(AND('Detalle'!$F37="Completado",P68=1),1,"")</x:f>
      </x:c>
      <x:c r="Q69" s="27" t="str">
        <x:f>IF(AND('Detalle'!$F37="Completado",Q68=1),1,"")</x:f>
      </x:c>
      <x:c r="R69" s="49"/>
      <x:c r="S69" s="30" t="str"/>
      <x:c r="T69" s="30" t="str"/>
    </x:row>
    <x:row r="70" ht="17" customHeight="1">
      <x:c r="A70" s="28" t="str">
        <x:v>DIS-12</x:v>
      </x:c>
      <x:c r="B70" s="28" t="str">
        <x:v>Misiones</x:v>
      </x:c>
      <x:c r="C70" s="28" t="str">
        <x:v>Diseñar creación y administración de misiones</x:v>
      </x:c>
      <x:c r="D70" s="46" t="str">
        <x:v>E</x:v>
      </x:c>
      <x:c r="E70" s="48" t="n">
        <x:f>IF('Detalle'!I38="","",'Detalle'!I38)</x:f>
        <x:v>1</x:v>
      </x:c>
      <x:c r="F70" s="44" t="str">
        <x:f>IF('Detalle'!F38="","",'Detalle'!F38)</x:f>
        <x:v>Completado</x:v>
      </x:c>
      <x:c r="G70" s="27" t="str">
        <x:f>IF(OR('Detalle'!$G38="",'Detalle'!$H38=""),"",IF(AND(G$8&lt;='Detalle'!$H38,G$9&gt;='Detalle'!$G38),1,""))</x:f>
      </x:c>
      <x:c r="H70" s="27" t="str">
        <x:f>IF(OR('Detalle'!$G38="",'Detalle'!$H38=""),"",IF(AND(H$8&lt;='Detalle'!$H38,H$9&gt;='Detalle'!$G38),1,""))</x:f>
      </x:c>
      <x:c r="I70" s="27" t="str">
        <x:f>IF(OR('Detalle'!$G38="",'Detalle'!$H38=""),"",IF(AND(I$8&lt;='Detalle'!$H38,I$9&gt;='Detalle'!$G38),1,""))</x:f>
      </x:c>
      <x:c r="J70" s="27" t="n">
        <x:f>IF(OR('Detalle'!$G38="",'Detalle'!$H38=""),"",IF(AND(J$8&lt;='Detalle'!$H38,J$9&gt;='Detalle'!$G38),1,""))</x:f>
        <x:v>1</x:v>
      </x:c>
      <x:c r="K70" s="27" t="str">
        <x:f>IF(OR('Detalle'!$G38="",'Detalle'!$H38=""),"",IF(AND(K$8&lt;='Detalle'!$H38,K$9&gt;='Detalle'!$G38),1,""))</x:f>
      </x:c>
      <x:c r="L70" s="27" t="str">
        <x:f>IF(OR('Detalle'!$G38="",'Detalle'!$H38=""),"",IF(AND(L$8&lt;='Detalle'!$H38,L$9&gt;='Detalle'!$G38),1,""))</x:f>
      </x:c>
      <x:c r="M70" s="27" t="str">
        <x:f>IF(OR('Detalle'!$G38="",'Detalle'!$H38=""),"",IF(AND(M$8&lt;='Detalle'!$H38,M$9&gt;='Detalle'!$G38),1,""))</x:f>
      </x:c>
      <x:c r="N70" s="27" t="str">
        <x:f>IF(OR('Detalle'!$G38="",'Detalle'!$H38=""),"",IF(AND(N$8&lt;='Detalle'!$H38,N$9&gt;='Detalle'!$G38),1,""))</x:f>
      </x:c>
      <x:c r="O70" s="27" t="str">
        <x:f>IF(OR('Detalle'!$G38="",'Detalle'!$H38=""),"",IF(AND(O$8&lt;='Detalle'!$H38,O$9&gt;='Detalle'!$G38),1,""))</x:f>
      </x:c>
      <x:c r="P70" s="27" t="str">
        <x:f>IF(OR('Detalle'!$G38="",'Detalle'!$H38=""),"",IF(AND(P$8&lt;='Detalle'!$H38,P$9&gt;='Detalle'!$G38),1,""))</x:f>
      </x:c>
      <x:c r="Q70" s="27" t="str">
        <x:f>IF(OR('Detalle'!$G38="",'Detalle'!$H38=""),"",IF(AND(Q$8&lt;='Detalle'!$H38,Q$9&gt;='Detalle'!$G38),1,""))</x:f>
      </x:c>
      <x:c r="R70" s="49"/>
      <x:c r="S70" s="30" t="str">
        <x:f>IF('Detalle'!L38="","",'Detalle'!L38)</x:f>
        <x:v>Fatima</x:v>
      </x:c>
      <x:c r="T70" s="30" t="str">
        <x:f>IF('Detalle'!M38="","",'Detalle'!M38)</x:f>
      </x:c>
    </x:row>
    <x:row r="71" ht="17" customHeight="1">
      <x:c r="A71" s="28" t="str">
        <x:v>DIS-12</x:v>
      </x:c>
      <x:c r="B71" s="28" t="str">
        <x:v>Misiones</x:v>
      </x:c>
      <x:c r="C71" s="28" t="str">
        <x:v>Diseñar creación y administración de misiones</x:v>
      </x:c>
      <x:c r="D71" s="47" t="str">
        <x:v>R</x:v>
      </x:c>
      <x:c r="E71" s="48" t="n">
        <x:f>IF('Detalle'!J38="","",'Detalle'!J38)</x:f>
        <x:v>1</x:v>
      </x:c>
      <x:c r="F71" s="44" t="str"/>
      <x:c r="G71" s="27" t="str">
        <x:f>IF(AND('Detalle'!$F38="Completado",G70=1),1,"")</x:f>
      </x:c>
      <x:c r="H71" s="27" t="str">
        <x:f>IF(AND('Detalle'!$F38="Completado",H70=1),1,"")</x:f>
      </x:c>
      <x:c r="I71" s="27" t="str">
        <x:f>IF(AND('Detalle'!$F38="Completado",I70=1),1,"")</x:f>
      </x:c>
      <x:c r="J71" s="27" t="n">
        <x:f>IF(AND('Detalle'!$F38="Completado",J70=1),1,"")</x:f>
        <x:v>1</x:v>
      </x:c>
      <x:c r="K71" s="27" t="str">
        <x:f>IF(AND('Detalle'!$F38="Completado",K70=1),1,"")</x:f>
      </x:c>
      <x:c r="L71" s="27" t="str">
        <x:f>IF(AND('Detalle'!$F38="Completado",L70=1),1,"")</x:f>
      </x:c>
      <x:c r="M71" s="27" t="str">
        <x:f>IF(AND('Detalle'!$F38="Completado",M70=1),1,"")</x:f>
      </x:c>
      <x:c r="N71" s="27" t="str">
        <x:f>IF(AND('Detalle'!$F38="Completado",N70=1),1,"")</x:f>
      </x:c>
      <x:c r="O71" s="27" t="str">
        <x:f>IF(AND('Detalle'!$F38="Completado",O70=1),1,"")</x:f>
      </x:c>
      <x:c r="P71" s="27" t="str">
        <x:f>IF(AND('Detalle'!$F38="Completado",P70=1),1,"")</x:f>
      </x:c>
      <x:c r="Q71" s="27" t="str">
        <x:f>IF(AND('Detalle'!$F38="Completado",Q70=1),1,"")</x:f>
      </x:c>
      <x:c r="R71" s="49"/>
      <x:c r="S71" s="30" t="str"/>
      <x:c r="T71" s="30" t="str"/>
    </x:row>
    <x:row r="72" ht="17" customHeight="1">
      <x:c r="A72" s="28" t="str">
        <x:v>DIS-13</x:v>
      </x:c>
      <x:c r="B72" s="28" t="str">
        <x:v>Misiones</x:v>
      </x:c>
      <x:c r="C72" s="28" t="str">
        <x:v>Diseñar candidatura y selección de finalistas</x:v>
      </x:c>
      <x:c r="D72" s="46" t="str">
        <x:v>E</x:v>
      </x:c>
      <x:c r="E72" s="48" t="n">
        <x:f>IF('Detalle'!I39="","",'Detalle'!I39)</x:f>
        <x:v>1</x:v>
      </x:c>
      <x:c r="F72" s="44" t="str">
        <x:f>IF('Detalle'!F39="","",'Detalle'!F39)</x:f>
        <x:v>Completado</x:v>
      </x:c>
      <x:c r="G72" s="27" t="str">
        <x:f>IF(OR('Detalle'!$G39="",'Detalle'!$H39=""),"",IF(AND(G$8&lt;='Detalle'!$H39,G$9&gt;='Detalle'!$G39),1,""))</x:f>
      </x:c>
      <x:c r="H72" s="27" t="str">
        <x:f>IF(OR('Detalle'!$G39="",'Detalle'!$H39=""),"",IF(AND(H$8&lt;='Detalle'!$H39,H$9&gt;='Detalle'!$G39),1,""))</x:f>
      </x:c>
      <x:c r="I72" s="27" t="str">
        <x:f>IF(OR('Detalle'!$G39="",'Detalle'!$H39=""),"",IF(AND(I$8&lt;='Detalle'!$H39,I$9&gt;='Detalle'!$G39),1,""))</x:f>
      </x:c>
      <x:c r="J72" s="27" t="n">
        <x:f>IF(OR('Detalle'!$G39="",'Detalle'!$H39=""),"",IF(AND(J$8&lt;='Detalle'!$H39,J$9&gt;='Detalle'!$G39),1,""))</x:f>
        <x:v>1</x:v>
      </x:c>
      <x:c r="K72" s="27" t="str">
        <x:f>IF(OR('Detalle'!$G39="",'Detalle'!$H39=""),"",IF(AND(K$8&lt;='Detalle'!$H39,K$9&gt;='Detalle'!$G39),1,""))</x:f>
      </x:c>
      <x:c r="L72" s="27" t="str">
        <x:f>IF(OR('Detalle'!$G39="",'Detalle'!$H39=""),"",IF(AND(L$8&lt;='Detalle'!$H39,L$9&gt;='Detalle'!$G39),1,""))</x:f>
      </x:c>
      <x:c r="M72" s="27" t="str">
        <x:f>IF(OR('Detalle'!$G39="",'Detalle'!$H39=""),"",IF(AND(M$8&lt;='Detalle'!$H39,M$9&gt;='Detalle'!$G39),1,""))</x:f>
      </x:c>
      <x:c r="N72" s="27" t="str">
        <x:f>IF(OR('Detalle'!$G39="",'Detalle'!$H39=""),"",IF(AND(N$8&lt;='Detalle'!$H39,N$9&gt;='Detalle'!$G39),1,""))</x:f>
      </x:c>
      <x:c r="O72" s="27" t="str">
        <x:f>IF(OR('Detalle'!$G39="",'Detalle'!$H39=""),"",IF(AND(O$8&lt;='Detalle'!$H39,O$9&gt;='Detalle'!$G39),1,""))</x:f>
      </x:c>
      <x:c r="P72" s="27" t="str">
        <x:f>IF(OR('Detalle'!$G39="",'Detalle'!$H39=""),"",IF(AND(P$8&lt;='Detalle'!$H39,P$9&gt;='Detalle'!$G39),1,""))</x:f>
      </x:c>
      <x:c r="Q72" s="27" t="str">
        <x:f>IF(OR('Detalle'!$G39="",'Detalle'!$H39=""),"",IF(AND(Q$8&lt;='Detalle'!$H39,Q$9&gt;='Detalle'!$G39),1,""))</x:f>
      </x:c>
      <x:c r="R72" s="49"/>
      <x:c r="S72" s="30" t="str">
        <x:f>IF('Detalle'!L39="","",'Detalle'!L39)</x:f>
        <x:v>Fatima</x:v>
      </x:c>
      <x:c r="T72" s="30" t="str">
        <x:f>IF('Detalle'!M39="","",'Detalle'!M39)</x:f>
      </x:c>
    </x:row>
    <x:row r="73" ht="17" customHeight="1">
      <x:c r="A73" s="28" t="str">
        <x:v>DIS-13</x:v>
      </x:c>
      <x:c r="B73" s="28" t="str">
        <x:v>Misiones</x:v>
      </x:c>
      <x:c r="C73" s="28" t="str">
        <x:v>Diseñar candidatura y selección de finalistas</x:v>
      </x:c>
      <x:c r="D73" s="47" t="str">
        <x:v>R</x:v>
      </x:c>
      <x:c r="E73" s="48" t="n">
        <x:f>IF('Detalle'!J39="","",'Detalle'!J39)</x:f>
        <x:v>1</x:v>
      </x:c>
      <x:c r="F73" s="44" t="str"/>
      <x:c r="G73" s="27" t="str">
        <x:f>IF(AND('Detalle'!$F39="Completado",G72=1),1,"")</x:f>
      </x:c>
      <x:c r="H73" s="27" t="str">
        <x:f>IF(AND('Detalle'!$F39="Completado",H72=1),1,"")</x:f>
      </x:c>
      <x:c r="I73" s="27" t="str">
        <x:f>IF(AND('Detalle'!$F39="Completado",I72=1),1,"")</x:f>
      </x:c>
      <x:c r="J73" s="27" t="n">
        <x:f>IF(AND('Detalle'!$F39="Completado",J72=1),1,"")</x:f>
        <x:v>1</x:v>
      </x:c>
      <x:c r="K73" s="27" t="str">
        <x:f>IF(AND('Detalle'!$F39="Completado",K72=1),1,"")</x:f>
      </x:c>
      <x:c r="L73" s="27" t="str">
        <x:f>IF(AND('Detalle'!$F39="Completado",L72=1),1,"")</x:f>
      </x:c>
      <x:c r="M73" s="27" t="str">
        <x:f>IF(AND('Detalle'!$F39="Completado",M72=1),1,"")</x:f>
      </x:c>
      <x:c r="N73" s="27" t="str">
        <x:f>IF(AND('Detalle'!$F39="Completado",N72=1),1,"")</x:f>
      </x:c>
      <x:c r="O73" s="27" t="str">
        <x:f>IF(AND('Detalle'!$F39="Completado",O72=1),1,"")</x:f>
      </x:c>
      <x:c r="P73" s="27" t="str">
        <x:f>IF(AND('Detalle'!$F39="Completado",P72=1),1,"")</x:f>
      </x:c>
      <x:c r="Q73" s="27" t="str">
        <x:f>IF(AND('Detalle'!$F39="Completado",Q72=1),1,"")</x:f>
      </x:c>
      <x:c r="R73" s="49"/>
      <x:c r="S73" s="30" t="str"/>
      <x:c r="T73" s="30" t="str"/>
    </x:row>
    <x:row r="74" ht="17" customHeight="1">
      <x:c r="A74" s="28" t="str">
        <x:v>DIS-14</x:v>
      </x:c>
      <x:c r="B74" s="28" t="str">
        <x:v>Fichas profesionales</x:v>
      </x:c>
      <x:c r="C74" s="28" t="str">
        <x:v>Diseñar fichas de obra, producto y servicio</x:v>
      </x:c>
      <x:c r="D74" s="46" t="str">
        <x:v>E</x:v>
      </x:c>
      <x:c r="E74" s="48" t="n">
        <x:f>IF('Detalle'!I40="","",'Detalle'!I40)</x:f>
        <x:v>1</x:v>
      </x:c>
      <x:c r="F74" s="44" t="str">
        <x:f>IF('Detalle'!F40="","",'Detalle'!F40)</x:f>
        <x:v>Completado</x:v>
      </x:c>
      <x:c r="G74" s="27" t="str">
        <x:f>IF(OR('Detalle'!$G40="",'Detalle'!$H40=""),"",IF(AND(G$8&lt;='Detalle'!$H40,G$9&gt;='Detalle'!$G40),1,""))</x:f>
      </x:c>
      <x:c r="H74" s="27" t="str">
        <x:f>IF(OR('Detalle'!$G40="",'Detalle'!$H40=""),"",IF(AND(H$8&lt;='Detalle'!$H40,H$9&gt;='Detalle'!$G40),1,""))</x:f>
      </x:c>
      <x:c r="I74" s="27" t="str">
        <x:f>IF(OR('Detalle'!$G40="",'Detalle'!$H40=""),"",IF(AND(I$8&lt;='Detalle'!$H40,I$9&gt;='Detalle'!$G40),1,""))</x:f>
      </x:c>
      <x:c r="J74" s="27" t="n">
        <x:f>IF(OR('Detalle'!$G40="",'Detalle'!$H40=""),"",IF(AND(J$8&lt;='Detalle'!$H40,J$9&gt;='Detalle'!$G40),1,""))</x:f>
        <x:v>1</x:v>
      </x:c>
      <x:c r="K74" s="27" t="str">
        <x:f>IF(OR('Detalle'!$G40="",'Detalle'!$H40=""),"",IF(AND(K$8&lt;='Detalle'!$H40,K$9&gt;='Detalle'!$G40),1,""))</x:f>
      </x:c>
      <x:c r="L74" s="27" t="str">
        <x:f>IF(OR('Detalle'!$G40="",'Detalle'!$H40=""),"",IF(AND(L$8&lt;='Detalle'!$H40,L$9&gt;='Detalle'!$G40),1,""))</x:f>
      </x:c>
      <x:c r="M74" s="27" t="str">
        <x:f>IF(OR('Detalle'!$G40="",'Detalle'!$H40=""),"",IF(AND(M$8&lt;='Detalle'!$H40,M$9&gt;='Detalle'!$G40),1,""))</x:f>
      </x:c>
      <x:c r="N74" s="27" t="str">
        <x:f>IF(OR('Detalle'!$G40="",'Detalle'!$H40=""),"",IF(AND(N$8&lt;='Detalle'!$H40,N$9&gt;='Detalle'!$G40),1,""))</x:f>
      </x:c>
      <x:c r="O74" s="27" t="str">
        <x:f>IF(OR('Detalle'!$G40="",'Detalle'!$H40=""),"",IF(AND(O$8&lt;='Detalle'!$H40,O$9&gt;='Detalle'!$G40),1,""))</x:f>
      </x:c>
      <x:c r="P74" s="27" t="str">
        <x:f>IF(OR('Detalle'!$G40="",'Detalle'!$H40=""),"",IF(AND(P$8&lt;='Detalle'!$H40,P$9&gt;='Detalle'!$G40),1,""))</x:f>
      </x:c>
      <x:c r="Q74" s="27" t="str">
        <x:f>IF(OR('Detalle'!$G40="",'Detalle'!$H40=""),"",IF(AND(Q$8&lt;='Detalle'!$H40,Q$9&gt;='Detalle'!$G40),1,""))</x:f>
      </x:c>
      <x:c r="R74" s="49"/>
      <x:c r="S74" s="30" t="str">
        <x:f>IF('Detalle'!L40="","",'Detalle'!L40)</x:f>
        <x:v>Fatima</x:v>
      </x:c>
      <x:c r="T74" s="30" t="str">
        <x:f>IF('Detalle'!M40="","",'Detalle'!M40)</x:f>
      </x:c>
    </x:row>
    <x:row r="75" ht="17" customHeight="1">
      <x:c r="A75" s="28" t="str">
        <x:v>DIS-14</x:v>
      </x:c>
      <x:c r="B75" s="28" t="str">
        <x:v>Fichas profesionales</x:v>
      </x:c>
      <x:c r="C75" s="28" t="str">
        <x:v>Diseñar fichas de obra, producto y servicio</x:v>
      </x:c>
      <x:c r="D75" s="47" t="str">
        <x:v>R</x:v>
      </x:c>
      <x:c r="E75" s="48" t="n">
        <x:f>IF('Detalle'!J40="","",'Detalle'!J40)</x:f>
        <x:v>1</x:v>
      </x:c>
      <x:c r="F75" s="44" t="str"/>
      <x:c r="G75" s="27" t="str">
        <x:f>IF(AND('Detalle'!$F40="Completado",G74=1),1,"")</x:f>
      </x:c>
      <x:c r="H75" s="27" t="str">
        <x:f>IF(AND('Detalle'!$F40="Completado",H74=1),1,"")</x:f>
      </x:c>
      <x:c r="I75" s="27" t="str">
        <x:f>IF(AND('Detalle'!$F40="Completado",I74=1),1,"")</x:f>
      </x:c>
      <x:c r="J75" s="27" t="n">
        <x:f>IF(AND('Detalle'!$F40="Completado",J74=1),1,"")</x:f>
        <x:v>1</x:v>
      </x:c>
      <x:c r="K75" s="27" t="str">
        <x:f>IF(AND('Detalle'!$F40="Completado",K74=1),1,"")</x:f>
      </x:c>
      <x:c r="L75" s="27" t="str">
        <x:f>IF(AND('Detalle'!$F40="Completado",L74=1),1,"")</x:f>
      </x:c>
      <x:c r="M75" s="27" t="str">
        <x:f>IF(AND('Detalle'!$F40="Completado",M74=1),1,"")</x:f>
      </x:c>
      <x:c r="N75" s="27" t="str">
        <x:f>IF(AND('Detalle'!$F40="Completado",N74=1),1,"")</x:f>
      </x:c>
      <x:c r="O75" s="27" t="str">
        <x:f>IF(AND('Detalle'!$F40="Completado",O74=1),1,"")</x:f>
      </x:c>
      <x:c r="P75" s="27" t="str">
        <x:f>IF(AND('Detalle'!$F40="Completado",P74=1),1,"")</x:f>
      </x:c>
      <x:c r="Q75" s="27" t="str">
        <x:f>IF(AND('Detalle'!$F40="Completado",Q74=1),1,"")</x:f>
      </x:c>
      <x:c r="R75" s="49"/>
      <x:c r="S75" s="30" t="str"/>
      <x:c r="T75" s="30" t="str"/>
    </x:row>
    <x:row r="76" ht="17" customHeight="1">
      <x:c r="A76" s="28" t="str">
        <x:v>DIS-15</x:v>
      </x:c>
      <x:c r="B76" s="28" t="str">
        <x:v>Mapa</x:v>
      </x:c>
      <x:c r="C76" s="28" t="str">
        <x:v>Diseñar mapa, filtros y selección de ubicación</x:v>
      </x:c>
      <x:c r="D76" s="46" t="str">
        <x:v>E</x:v>
      </x:c>
      <x:c r="E76" s="48" t="n">
        <x:f>IF('Detalle'!I41="","",'Detalle'!I41)</x:f>
        <x:v>1</x:v>
      </x:c>
      <x:c r="F76" s="44" t="str">
        <x:f>IF('Detalle'!F41="","",'Detalle'!F41)</x:f>
        <x:v>Completado</x:v>
      </x:c>
      <x:c r="G76" s="27" t="str">
        <x:f>IF(OR('Detalle'!$G41="",'Detalle'!$H41=""),"",IF(AND(G$8&lt;='Detalle'!$H41,G$9&gt;='Detalle'!$G41),1,""))</x:f>
      </x:c>
      <x:c r="H76" s="27" t="str">
        <x:f>IF(OR('Detalle'!$G41="",'Detalle'!$H41=""),"",IF(AND(H$8&lt;='Detalle'!$H41,H$9&gt;='Detalle'!$G41),1,""))</x:f>
      </x:c>
      <x:c r="I76" s="27" t="str">
        <x:f>IF(OR('Detalle'!$G41="",'Detalle'!$H41=""),"",IF(AND(I$8&lt;='Detalle'!$H41,I$9&gt;='Detalle'!$G41),1,""))</x:f>
      </x:c>
      <x:c r="J76" s="27" t="str">
        <x:f>IF(OR('Detalle'!$G41="",'Detalle'!$H41=""),"",IF(AND(J$8&lt;='Detalle'!$H41,J$9&gt;='Detalle'!$G41),1,""))</x:f>
      </x:c>
      <x:c r="K76" s="27" t="n">
        <x:f>IF(OR('Detalle'!$G41="",'Detalle'!$H41=""),"",IF(AND(K$8&lt;='Detalle'!$H41,K$9&gt;='Detalle'!$G41),1,""))</x:f>
        <x:v>1</x:v>
      </x:c>
      <x:c r="L76" s="27" t="str">
        <x:f>IF(OR('Detalle'!$G41="",'Detalle'!$H41=""),"",IF(AND(L$8&lt;='Detalle'!$H41,L$9&gt;='Detalle'!$G41),1,""))</x:f>
      </x:c>
      <x:c r="M76" s="27" t="str">
        <x:f>IF(OR('Detalle'!$G41="",'Detalle'!$H41=""),"",IF(AND(M$8&lt;='Detalle'!$H41,M$9&gt;='Detalle'!$G41),1,""))</x:f>
      </x:c>
      <x:c r="N76" s="27" t="str">
        <x:f>IF(OR('Detalle'!$G41="",'Detalle'!$H41=""),"",IF(AND(N$8&lt;='Detalle'!$H41,N$9&gt;='Detalle'!$G41),1,""))</x:f>
      </x:c>
      <x:c r="O76" s="27" t="str">
        <x:f>IF(OR('Detalle'!$G41="",'Detalle'!$H41=""),"",IF(AND(O$8&lt;='Detalle'!$H41,O$9&gt;='Detalle'!$G41),1,""))</x:f>
      </x:c>
      <x:c r="P76" s="27" t="str">
        <x:f>IF(OR('Detalle'!$G41="",'Detalle'!$H41=""),"",IF(AND(P$8&lt;='Detalle'!$H41,P$9&gt;='Detalle'!$G41),1,""))</x:f>
      </x:c>
      <x:c r="Q76" s="27" t="str">
        <x:f>IF(OR('Detalle'!$G41="",'Detalle'!$H41=""),"",IF(AND(Q$8&lt;='Detalle'!$H41,Q$9&gt;='Detalle'!$G41),1,""))</x:f>
      </x:c>
      <x:c r="R76" s="49"/>
      <x:c r="S76" s="30" t="str">
        <x:f>IF('Detalle'!L41="","",'Detalle'!L41)</x:f>
        <x:v>Fatima</x:v>
      </x:c>
      <x:c r="T76" s="30" t="str">
        <x:f>IF('Detalle'!M41="","",'Detalle'!M41)</x:f>
      </x:c>
    </x:row>
    <x:row r="77" ht="17" customHeight="1">
      <x:c r="A77" s="28" t="str">
        <x:v>DIS-15</x:v>
      </x:c>
      <x:c r="B77" s="28" t="str">
        <x:v>Mapa</x:v>
      </x:c>
      <x:c r="C77" s="28" t="str">
        <x:v>Diseñar mapa, filtros y selección de ubicación</x:v>
      </x:c>
      <x:c r="D77" s="47" t="str">
        <x:v>R</x:v>
      </x:c>
      <x:c r="E77" s="48" t="n">
        <x:f>IF('Detalle'!J41="","",'Detalle'!J41)</x:f>
        <x:v>1</x:v>
      </x:c>
      <x:c r="F77" s="44" t="str"/>
      <x:c r="G77" s="27" t="str">
        <x:f>IF(AND('Detalle'!$F41="Completado",G76=1),1,"")</x:f>
      </x:c>
      <x:c r="H77" s="27" t="str">
        <x:f>IF(AND('Detalle'!$F41="Completado",H76=1),1,"")</x:f>
      </x:c>
      <x:c r="I77" s="27" t="str">
        <x:f>IF(AND('Detalle'!$F41="Completado",I76=1),1,"")</x:f>
      </x:c>
      <x:c r="J77" s="27" t="str">
        <x:f>IF(AND('Detalle'!$F41="Completado",J76=1),1,"")</x:f>
      </x:c>
      <x:c r="K77" s="27" t="n">
        <x:f>IF(AND('Detalle'!$F41="Completado",K76=1),1,"")</x:f>
        <x:v>1</x:v>
      </x:c>
      <x:c r="L77" s="27" t="str">
        <x:f>IF(AND('Detalle'!$F41="Completado",L76=1),1,"")</x:f>
      </x:c>
      <x:c r="M77" s="27" t="str">
        <x:f>IF(AND('Detalle'!$F41="Completado",M76=1),1,"")</x:f>
      </x:c>
      <x:c r="N77" s="27" t="str">
        <x:f>IF(AND('Detalle'!$F41="Completado",N76=1),1,"")</x:f>
      </x:c>
      <x:c r="O77" s="27" t="str">
        <x:f>IF(AND('Detalle'!$F41="Completado",O76=1),1,"")</x:f>
      </x:c>
      <x:c r="P77" s="27" t="str">
        <x:f>IF(AND('Detalle'!$F41="Completado",P76=1),1,"")</x:f>
      </x:c>
      <x:c r="Q77" s="27" t="str">
        <x:f>IF(AND('Detalle'!$F41="Completado",Q76=1),1,"")</x:f>
      </x:c>
      <x:c r="R77" s="49"/>
      <x:c r="S77" s="30" t="str"/>
      <x:c r="T77" s="30" t="str"/>
    </x:row>
    <x:row r="78" ht="17" customHeight="1">
      <x:c r="A78" s="28" t="str">
        <x:v>DIS-16</x:v>
      </x:c>
      <x:c r="B78" s="28" t="str">
        <x:v>Push</x:v>
      </x:c>
      <x:c r="C78" s="28" t="str">
        <x:v>Diseñar bandeja y preferencias de alertas</x:v>
      </x:c>
      <x:c r="D78" s="46" t="str">
        <x:v>E</x:v>
      </x:c>
      <x:c r="E78" s="48" t="n">
        <x:f>IF('Detalle'!I42="","",'Detalle'!I42)</x:f>
        <x:v>1</x:v>
      </x:c>
      <x:c r="F78" s="44" t="str">
        <x:f>IF('Detalle'!F42="","",'Detalle'!F42)</x:f>
        <x:v>Completado</x:v>
      </x:c>
      <x:c r="G78" s="27" t="str">
        <x:f>IF(OR('Detalle'!$G42="",'Detalle'!$H42=""),"",IF(AND(G$8&lt;='Detalle'!$H42,G$9&gt;='Detalle'!$G42),1,""))</x:f>
      </x:c>
      <x:c r="H78" s="27" t="str">
        <x:f>IF(OR('Detalle'!$G42="",'Detalle'!$H42=""),"",IF(AND(H$8&lt;='Detalle'!$H42,H$9&gt;='Detalle'!$G42),1,""))</x:f>
      </x:c>
      <x:c r="I78" s="27" t="str">
        <x:f>IF(OR('Detalle'!$G42="",'Detalle'!$H42=""),"",IF(AND(I$8&lt;='Detalle'!$H42,I$9&gt;='Detalle'!$G42),1,""))</x:f>
      </x:c>
      <x:c r="J78" s="27" t="str">
        <x:f>IF(OR('Detalle'!$G42="",'Detalle'!$H42=""),"",IF(AND(J$8&lt;='Detalle'!$H42,J$9&gt;='Detalle'!$G42),1,""))</x:f>
      </x:c>
      <x:c r="K78" s="27" t="n">
        <x:f>IF(OR('Detalle'!$G42="",'Detalle'!$H42=""),"",IF(AND(K$8&lt;='Detalle'!$H42,K$9&gt;='Detalle'!$G42),1,""))</x:f>
        <x:v>1</x:v>
      </x:c>
      <x:c r="L78" s="27" t="str">
        <x:f>IF(OR('Detalle'!$G42="",'Detalle'!$H42=""),"",IF(AND(L$8&lt;='Detalle'!$H42,L$9&gt;='Detalle'!$G42),1,""))</x:f>
      </x:c>
      <x:c r="M78" s="27" t="str">
        <x:f>IF(OR('Detalle'!$G42="",'Detalle'!$H42=""),"",IF(AND(M$8&lt;='Detalle'!$H42,M$9&gt;='Detalle'!$G42),1,""))</x:f>
      </x:c>
      <x:c r="N78" s="27" t="str">
        <x:f>IF(OR('Detalle'!$G42="",'Detalle'!$H42=""),"",IF(AND(N$8&lt;='Detalle'!$H42,N$9&gt;='Detalle'!$G42),1,""))</x:f>
      </x:c>
      <x:c r="O78" s="27" t="str">
        <x:f>IF(OR('Detalle'!$G42="",'Detalle'!$H42=""),"",IF(AND(O$8&lt;='Detalle'!$H42,O$9&gt;='Detalle'!$G42),1,""))</x:f>
      </x:c>
      <x:c r="P78" s="27" t="str">
        <x:f>IF(OR('Detalle'!$G42="",'Detalle'!$H42=""),"",IF(AND(P$8&lt;='Detalle'!$H42,P$9&gt;='Detalle'!$G42),1,""))</x:f>
      </x:c>
      <x:c r="Q78" s="27" t="str">
        <x:f>IF(OR('Detalle'!$G42="",'Detalle'!$H42=""),"",IF(AND(Q$8&lt;='Detalle'!$H42,Q$9&gt;='Detalle'!$G42),1,""))</x:f>
      </x:c>
      <x:c r="R78" s="49"/>
      <x:c r="S78" s="30" t="str">
        <x:f>IF('Detalle'!L42="","",'Detalle'!L42)</x:f>
        <x:v>Fatima</x:v>
      </x:c>
      <x:c r="T78" s="30" t="str">
        <x:f>IF('Detalle'!M42="","",'Detalle'!M42)</x:f>
      </x:c>
    </x:row>
    <x:row r="79" ht="17" customHeight="1">
      <x:c r="A79" s="28" t="str">
        <x:v>DIS-16</x:v>
      </x:c>
      <x:c r="B79" s="28" t="str">
        <x:v>Push</x:v>
      </x:c>
      <x:c r="C79" s="28" t="str">
        <x:v>Diseñar bandeja y preferencias de alertas</x:v>
      </x:c>
      <x:c r="D79" s="47" t="str">
        <x:v>R</x:v>
      </x:c>
      <x:c r="E79" s="48" t="n">
        <x:f>IF('Detalle'!J42="","",'Detalle'!J42)</x:f>
        <x:v>1</x:v>
      </x:c>
      <x:c r="F79" s="44" t="str"/>
      <x:c r="G79" s="27" t="str">
        <x:f>IF(AND('Detalle'!$F42="Completado",G78=1),1,"")</x:f>
      </x:c>
      <x:c r="H79" s="27" t="str">
        <x:f>IF(AND('Detalle'!$F42="Completado",H78=1),1,"")</x:f>
      </x:c>
      <x:c r="I79" s="27" t="str">
        <x:f>IF(AND('Detalle'!$F42="Completado",I78=1),1,"")</x:f>
      </x:c>
      <x:c r="J79" s="27" t="str">
        <x:f>IF(AND('Detalle'!$F42="Completado",J78=1),1,"")</x:f>
      </x:c>
      <x:c r="K79" s="27" t="n">
        <x:f>IF(AND('Detalle'!$F42="Completado",K78=1),1,"")</x:f>
        <x:v>1</x:v>
      </x:c>
      <x:c r="L79" s="27" t="str">
        <x:f>IF(AND('Detalle'!$F42="Completado",L78=1),1,"")</x:f>
      </x:c>
      <x:c r="M79" s="27" t="str">
        <x:f>IF(AND('Detalle'!$F42="Completado",M78=1),1,"")</x:f>
      </x:c>
      <x:c r="N79" s="27" t="str">
        <x:f>IF(AND('Detalle'!$F42="Completado",N78=1),1,"")</x:f>
      </x:c>
      <x:c r="O79" s="27" t="str">
        <x:f>IF(AND('Detalle'!$F42="Completado",O78=1),1,"")</x:f>
      </x:c>
      <x:c r="P79" s="27" t="str">
        <x:f>IF(AND('Detalle'!$F42="Completado",P78=1),1,"")</x:f>
      </x:c>
      <x:c r="Q79" s="27" t="str">
        <x:f>IF(AND('Detalle'!$F42="Completado",Q78=1),1,"")</x:f>
      </x:c>
      <x:c r="R79" s="49"/>
      <x:c r="S79" s="30" t="str"/>
      <x:c r="T79" s="30" t="str"/>
    </x:row>
    <x:row r="80" ht="17" customHeight="1">
      <x:c r="A80" s="28" t="str">
        <x:v>DIS-17</x:v>
      </x:c>
      <x:c r="B80" s="28" t="str">
        <x:v>Recorridos y AR</x:v>
      </x:c>
      <x:c r="C80" s="28" t="str">
        <x:v>Diseñar captura, visor y experiencia presencial</x:v>
      </x:c>
      <x:c r="D80" s="46" t="str">
        <x:v>E</x:v>
      </x:c>
      <x:c r="E80" s="48" t="n">
        <x:f>IF('Detalle'!I43="","",'Detalle'!I43)</x:f>
        <x:v>1</x:v>
      </x:c>
      <x:c r="F80" s="44" t="str">
        <x:f>IF('Detalle'!F43="","",'Detalle'!F43)</x:f>
        <x:v>Completado</x:v>
      </x:c>
      <x:c r="G80" s="27" t="str">
        <x:f>IF(OR('Detalle'!$G43="",'Detalle'!$H43=""),"",IF(AND(G$8&lt;='Detalle'!$H43,G$9&gt;='Detalle'!$G43),1,""))</x:f>
      </x:c>
      <x:c r="H80" s="27" t="str">
        <x:f>IF(OR('Detalle'!$G43="",'Detalle'!$H43=""),"",IF(AND(H$8&lt;='Detalle'!$H43,H$9&gt;='Detalle'!$G43),1,""))</x:f>
      </x:c>
      <x:c r="I80" s="27" t="str">
        <x:f>IF(OR('Detalle'!$G43="",'Detalle'!$H43=""),"",IF(AND(I$8&lt;='Detalle'!$H43,I$9&gt;='Detalle'!$G43),1,""))</x:f>
      </x:c>
      <x:c r="J80" s="27" t="str">
        <x:f>IF(OR('Detalle'!$G43="",'Detalle'!$H43=""),"",IF(AND(J$8&lt;='Detalle'!$H43,J$9&gt;='Detalle'!$G43),1,""))</x:f>
      </x:c>
      <x:c r="K80" s="27" t="n">
        <x:f>IF(OR('Detalle'!$G43="",'Detalle'!$H43=""),"",IF(AND(K$8&lt;='Detalle'!$H43,K$9&gt;='Detalle'!$G43),1,""))</x:f>
        <x:v>1</x:v>
      </x:c>
      <x:c r="L80" s="27" t="str">
        <x:f>IF(OR('Detalle'!$G43="",'Detalle'!$H43=""),"",IF(AND(L$8&lt;='Detalle'!$H43,L$9&gt;='Detalle'!$G43),1,""))</x:f>
      </x:c>
      <x:c r="M80" s="27" t="str">
        <x:f>IF(OR('Detalle'!$G43="",'Detalle'!$H43=""),"",IF(AND(M$8&lt;='Detalle'!$H43,M$9&gt;='Detalle'!$G43),1,""))</x:f>
      </x:c>
      <x:c r="N80" s="27" t="str">
        <x:f>IF(OR('Detalle'!$G43="",'Detalle'!$H43=""),"",IF(AND(N$8&lt;='Detalle'!$H43,N$9&gt;='Detalle'!$G43),1,""))</x:f>
      </x:c>
      <x:c r="O80" s="27" t="str">
        <x:f>IF(OR('Detalle'!$G43="",'Detalle'!$H43=""),"",IF(AND(O$8&lt;='Detalle'!$H43,O$9&gt;='Detalle'!$G43),1,""))</x:f>
      </x:c>
      <x:c r="P80" s="27" t="str">
        <x:f>IF(OR('Detalle'!$G43="",'Detalle'!$H43=""),"",IF(AND(P$8&lt;='Detalle'!$H43,P$9&gt;='Detalle'!$G43),1,""))</x:f>
      </x:c>
      <x:c r="Q80" s="27" t="str">
        <x:f>IF(OR('Detalle'!$G43="",'Detalle'!$H43=""),"",IF(AND(Q$8&lt;='Detalle'!$H43,Q$9&gt;='Detalle'!$G43),1,""))</x:f>
      </x:c>
      <x:c r="R80" s="49"/>
      <x:c r="S80" s="30" t="str">
        <x:f>IF('Detalle'!L43="","",'Detalle'!L43)</x:f>
        <x:v>Santiago</x:v>
      </x:c>
      <x:c r="T80" s="30" t="str">
        <x:f>IF('Detalle'!M43="","",'Detalle'!M43)</x:f>
      </x:c>
    </x:row>
    <x:row r="81" ht="17" customHeight="1">
      <x:c r="A81" s="28" t="str">
        <x:v>DIS-17</x:v>
      </x:c>
      <x:c r="B81" s="28" t="str">
        <x:v>Recorridos y AR</x:v>
      </x:c>
      <x:c r="C81" s="28" t="str">
        <x:v>Diseñar captura, visor y experiencia presencial</x:v>
      </x:c>
      <x:c r="D81" s="47" t="str">
        <x:v>R</x:v>
      </x:c>
      <x:c r="E81" s="48" t="n">
        <x:f>IF('Detalle'!J43="","",'Detalle'!J43)</x:f>
        <x:v>1</x:v>
      </x:c>
      <x:c r="F81" s="44" t="str"/>
      <x:c r="G81" s="27" t="str">
        <x:f>IF(AND('Detalle'!$F43="Completado",G80=1),1,"")</x:f>
      </x:c>
      <x:c r="H81" s="27" t="str">
        <x:f>IF(AND('Detalle'!$F43="Completado",H80=1),1,"")</x:f>
      </x:c>
      <x:c r="I81" s="27" t="str">
        <x:f>IF(AND('Detalle'!$F43="Completado",I80=1),1,"")</x:f>
      </x:c>
      <x:c r="J81" s="27" t="str">
        <x:f>IF(AND('Detalle'!$F43="Completado",J80=1),1,"")</x:f>
      </x:c>
      <x:c r="K81" s="27" t="n">
        <x:f>IF(AND('Detalle'!$F43="Completado",K80=1),1,"")</x:f>
        <x:v>1</x:v>
      </x:c>
      <x:c r="L81" s="27" t="str">
        <x:f>IF(AND('Detalle'!$F43="Completado",L80=1),1,"")</x:f>
      </x:c>
      <x:c r="M81" s="27" t="str">
        <x:f>IF(AND('Detalle'!$F43="Completado",M80=1),1,"")</x:f>
      </x:c>
      <x:c r="N81" s="27" t="str">
        <x:f>IF(AND('Detalle'!$F43="Completado",N80=1),1,"")</x:f>
      </x:c>
      <x:c r="O81" s="27" t="str">
        <x:f>IF(AND('Detalle'!$F43="Completado",O80=1),1,"")</x:f>
      </x:c>
      <x:c r="P81" s="27" t="str">
        <x:f>IF(AND('Detalle'!$F43="Completado",P80=1),1,"")</x:f>
      </x:c>
      <x:c r="Q81" s="27" t="str">
        <x:f>IF(AND('Detalle'!$F43="Completado",Q80=1),1,"")</x:f>
      </x:c>
      <x:c r="R81" s="49"/>
      <x:c r="S81" s="30" t="str"/>
      <x:c r="T81" s="30" t="str"/>
    </x:row>
    <x:row r="82" ht="17" customHeight="1">
      <x:c r="A82" s="28" t="str">
        <x:v>DIS-18</x:v>
      </x:c>
      <x:c r="B82" s="28" t="str">
        <x:v>Moderación</x:v>
      </x:c>
      <x:c r="C82" s="28" t="str">
        <x:v>Diseñar reportes y cola de moderación</x:v>
      </x:c>
      <x:c r="D82" s="46" t="str">
        <x:v>E</x:v>
      </x:c>
      <x:c r="E82" s="48" t="n">
        <x:f>IF('Detalle'!I44="","",'Detalle'!I44)</x:f>
        <x:v>1</x:v>
      </x:c>
      <x:c r="F82" s="44" t="str">
        <x:f>IF('Detalle'!F44="","",'Detalle'!F44)</x:f>
        <x:v>Completado</x:v>
      </x:c>
      <x:c r="G82" s="27" t="str">
        <x:f>IF(OR('Detalle'!$G44="",'Detalle'!$H44=""),"",IF(AND(G$8&lt;='Detalle'!$H44,G$9&gt;='Detalle'!$G44),1,""))</x:f>
      </x:c>
      <x:c r="H82" s="27" t="str">
        <x:f>IF(OR('Detalle'!$G44="",'Detalle'!$H44=""),"",IF(AND(H$8&lt;='Detalle'!$H44,H$9&gt;='Detalle'!$G44),1,""))</x:f>
      </x:c>
      <x:c r="I82" s="27" t="n">
        <x:f>IF(OR('Detalle'!$G44="",'Detalle'!$H44=""),"",IF(AND(I$8&lt;='Detalle'!$H44,I$9&gt;='Detalle'!$G44),1,""))</x:f>
        <x:v>1</x:v>
      </x:c>
      <x:c r="J82" s="27" t="str">
        <x:f>IF(OR('Detalle'!$G44="",'Detalle'!$H44=""),"",IF(AND(J$8&lt;='Detalle'!$H44,J$9&gt;='Detalle'!$G44),1,""))</x:f>
      </x:c>
      <x:c r="K82" s="27" t="str">
        <x:f>IF(OR('Detalle'!$G44="",'Detalle'!$H44=""),"",IF(AND(K$8&lt;='Detalle'!$H44,K$9&gt;='Detalle'!$G44),1,""))</x:f>
      </x:c>
      <x:c r="L82" s="27" t="str">
        <x:f>IF(OR('Detalle'!$G44="",'Detalle'!$H44=""),"",IF(AND(L$8&lt;='Detalle'!$H44,L$9&gt;='Detalle'!$G44),1,""))</x:f>
      </x:c>
      <x:c r="M82" s="27" t="str">
        <x:f>IF(OR('Detalle'!$G44="",'Detalle'!$H44=""),"",IF(AND(M$8&lt;='Detalle'!$H44,M$9&gt;='Detalle'!$G44),1,""))</x:f>
      </x:c>
      <x:c r="N82" s="27" t="str">
        <x:f>IF(OR('Detalle'!$G44="",'Detalle'!$H44=""),"",IF(AND(N$8&lt;='Detalle'!$H44,N$9&gt;='Detalle'!$G44),1,""))</x:f>
      </x:c>
      <x:c r="O82" s="27" t="str">
        <x:f>IF(OR('Detalle'!$G44="",'Detalle'!$H44=""),"",IF(AND(O$8&lt;='Detalle'!$H44,O$9&gt;='Detalle'!$G44),1,""))</x:f>
      </x:c>
      <x:c r="P82" s="27" t="str">
        <x:f>IF(OR('Detalle'!$G44="",'Detalle'!$H44=""),"",IF(AND(P$8&lt;='Detalle'!$H44,P$9&gt;='Detalle'!$G44),1,""))</x:f>
      </x:c>
      <x:c r="Q82" s="27" t="str">
        <x:f>IF(OR('Detalle'!$G44="",'Detalle'!$H44=""),"",IF(AND(Q$8&lt;='Detalle'!$H44,Q$9&gt;='Detalle'!$G44),1,""))</x:f>
      </x:c>
      <x:c r="R82" s="49"/>
      <x:c r="S82" s="30" t="str">
        <x:f>IF('Detalle'!L44="","",'Detalle'!L44)</x:f>
        <x:v>Fatima</x:v>
      </x:c>
      <x:c r="T82" s="30" t="str">
        <x:f>IF('Detalle'!M44="","",'Detalle'!M44)</x:f>
      </x:c>
    </x:row>
    <x:row r="83" ht="17" customHeight="1">
      <x:c r="A83" s="28" t="str">
        <x:v>DIS-18</x:v>
      </x:c>
      <x:c r="B83" s="28" t="str">
        <x:v>Moderación</x:v>
      </x:c>
      <x:c r="C83" s="28" t="str">
        <x:v>Diseñar reportes y cola de moderación</x:v>
      </x:c>
      <x:c r="D83" s="47" t="str">
        <x:v>R</x:v>
      </x:c>
      <x:c r="E83" s="48" t="n">
        <x:f>IF('Detalle'!J44="","",'Detalle'!J44)</x:f>
        <x:v>1</x:v>
      </x:c>
      <x:c r="F83" s="44" t="str"/>
      <x:c r="G83" s="27" t="str">
        <x:f>IF(AND('Detalle'!$F44="Completado",G82=1),1,"")</x:f>
      </x:c>
      <x:c r="H83" s="27" t="str">
        <x:f>IF(AND('Detalle'!$F44="Completado",H82=1),1,"")</x:f>
      </x:c>
      <x:c r="I83" s="27" t="n">
        <x:f>IF(AND('Detalle'!$F44="Completado",I82=1),1,"")</x:f>
        <x:v>1</x:v>
      </x:c>
      <x:c r="J83" s="27" t="str">
        <x:f>IF(AND('Detalle'!$F44="Completado",J82=1),1,"")</x:f>
      </x:c>
      <x:c r="K83" s="27" t="str">
        <x:f>IF(AND('Detalle'!$F44="Completado",K82=1),1,"")</x:f>
      </x:c>
      <x:c r="L83" s="27" t="str">
        <x:f>IF(AND('Detalle'!$F44="Completado",L82=1),1,"")</x:f>
      </x:c>
      <x:c r="M83" s="27" t="str">
        <x:f>IF(AND('Detalle'!$F44="Completado",M82=1),1,"")</x:f>
      </x:c>
      <x:c r="N83" s="27" t="str">
        <x:f>IF(AND('Detalle'!$F44="Completado",N82=1),1,"")</x:f>
      </x:c>
      <x:c r="O83" s="27" t="str">
        <x:f>IF(AND('Detalle'!$F44="Completado",O82=1),1,"")</x:f>
      </x:c>
      <x:c r="P83" s="27" t="str">
        <x:f>IF(AND('Detalle'!$F44="Completado",P82=1),1,"")</x:f>
      </x:c>
      <x:c r="Q83" s="27" t="str">
        <x:f>IF(AND('Detalle'!$F44="Completado",Q82=1),1,"")</x:f>
      </x:c>
      <x:c r="R83" s="49"/>
      <x:c r="S83" s="30" t="str"/>
      <x:c r="T83" s="30" t="str"/>
    </x:row>
    <x:row r="84" ht="23" customHeight="1">
      <x:c r="A84" s="42" t="str">
        <x:v>BD — Desarrollo Base de Datos y Back-end</x:v>
      </x:c>
      <x:c r="B84" s="42" t="str">
        <x:v>BD — Desarrollo Base de Datos y Back-end</x:v>
      </x:c>
      <x:c r="C84" s="42" t="str">
        <x:v>BD — Desarrollo Base de Datos y Back-end</x:v>
      </x:c>
      <x:c r="D84" s="42" t="str">
        <x:v>BD — Desarrollo Base de Datos y Back-end</x:v>
      </x:c>
      <x:c r="E84" s="42" t="str">
        <x:v>BD — Desarrollo Base de Datos y Back-end</x:v>
      </x:c>
      <x:c r="F84" s="42" t="str">
        <x:v>BD — Desarrollo Base de Datos y Back-end</x:v>
      </x:c>
      <x:c r="G84" s="43" t="str">
        <x:v>BD — Desarrollo Base de Datos y Back-end</x:v>
      </x:c>
      <x:c r="H84" s="43" t="str">
        <x:v>BD — Desarrollo Base de Datos y Back-end</x:v>
      </x:c>
      <x:c r="I84" s="43" t="str">
        <x:v>BD — Desarrollo Base de Datos y Back-end</x:v>
      </x:c>
      <x:c r="J84" s="43" t="str">
        <x:v>BD — Desarrollo Base de Datos y Back-end</x:v>
      </x:c>
      <x:c r="K84" s="43" t="str">
        <x:v>BD — Desarrollo Base de Datos y Back-end</x:v>
      </x:c>
      <x:c r="L84" s="43" t="str">
        <x:v>BD — Desarrollo Base de Datos y Back-end</x:v>
      </x:c>
      <x:c r="M84" s="43" t="str">
        <x:v>BD — Desarrollo Base de Datos y Back-end</x:v>
      </x:c>
      <x:c r="N84" s="43" t="str">
        <x:v>BD — Desarrollo Base de Datos y Back-end</x:v>
      </x:c>
      <x:c r="O84" s="43" t="str">
        <x:v>BD — Desarrollo Base de Datos y Back-end</x:v>
      </x:c>
      <x:c r="P84" s="43" t="str">
        <x:v>BD — Desarrollo Base de Datos y Back-end</x:v>
      </x:c>
      <x:c r="Q84" s="43" t="str">
        <x:v>BD — Desarrollo Base de Datos y Back-end</x:v>
      </x:c>
      <x:c r="R84" s="42" t="str">
        <x:v>BD — Desarrollo Base de Datos y Back-end</x:v>
      </x:c>
      <x:c r="S84" s="42" t="str">
        <x:v>BD — Desarrollo Base de Datos y Back-end</x:v>
      </x:c>
      <x:c r="T84" s="42" t="str">
        <x:v>BD — Desarrollo Base de Datos y Back-end</x:v>
      </x:c>
    </x:row>
    <x:row r="85" ht="17" customHeight="1">
      <x:c r="A85" s="28" t="str">
        <x:v>BD-01</x:v>
      </x:c>
      <x:c r="B85" s="28" t="str">
        <x:v>Autenticación</x:v>
      </x:c>
      <x:c r="C85" s="28" t="str">
        <x:v>Crear perfiles iniciales y trigger de Auth</x:v>
      </x:c>
      <x:c r="D85" s="46" t="str">
        <x:v>E</x:v>
      </x:c>
      <x:c r="E85" s="48" t="n">
        <x:f>IF('Detalle'!I45="","",'Detalle'!I45)</x:f>
        <x:v>1</x:v>
      </x:c>
      <x:c r="F85" s="44" t="str">
        <x:f>IF('Detalle'!F45="","",'Detalle'!F45)</x:f>
        <x:v>Completado</x:v>
      </x:c>
      <x:c r="G85" s="27" t="str">
        <x:f>IF(OR('Detalle'!$G45="",'Detalle'!$H45=""),"",IF(AND(G$8&lt;='Detalle'!$H45,G$9&gt;='Detalle'!$G45),1,""))</x:f>
      </x:c>
      <x:c r="H85" s="27" t="n">
        <x:f>IF(OR('Detalle'!$G45="",'Detalle'!$H45=""),"",IF(AND(H$8&lt;='Detalle'!$H45,H$9&gt;='Detalle'!$G45),1,""))</x:f>
        <x:v>1</x:v>
      </x:c>
      <x:c r="I85" s="27" t="str">
        <x:f>IF(OR('Detalle'!$G45="",'Detalle'!$H45=""),"",IF(AND(I$8&lt;='Detalle'!$H45,I$9&gt;='Detalle'!$G45),1,""))</x:f>
      </x:c>
      <x:c r="J85" s="27" t="str">
        <x:f>IF(OR('Detalle'!$G45="",'Detalle'!$H45=""),"",IF(AND(J$8&lt;='Detalle'!$H45,J$9&gt;='Detalle'!$G45),1,""))</x:f>
      </x:c>
      <x:c r="K85" s="27" t="str">
        <x:f>IF(OR('Detalle'!$G45="",'Detalle'!$H45=""),"",IF(AND(K$8&lt;='Detalle'!$H45,K$9&gt;='Detalle'!$G45),1,""))</x:f>
      </x:c>
      <x:c r="L85" s="27" t="str">
        <x:f>IF(OR('Detalle'!$G45="",'Detalle'!$H45=""),"",IF(AND(L$8&lt;='Detalle'!$H45,L$9&gt;='Detalle'!$G45),1,""))</x:f>
      </x:c>
      <x:c r="M85" s="27" t="str">
        <x:f>IF(OR('Detalle'!$G45="",'Detalle'!$H45=""),"",IF(AND(M$8&lt;='Detalle'!$H45,M$9&gt;='Detalle'!$G45),1,""))</x:f>
      </x:c>
      <x:c r="N85" s="27" t="str">
        <x:f>IF(OR('Detalle'!$G45="",'Detalle'!$H45=""),"",IF(AND(N$8&lt;='Detalle'!$H45,N$9&gt;='Detalle'!$G45),1,""))</x:f>
      </x:c>
      <x:c r="O85" s="27" t="str">
        <x:f>IF(OR('Detalle'!$G45="",'Detalle'!$H45=""),"",IF(AND(O$8&lt;='Detalle'!$H45,O$9&gt;='Detalle'!$G45),1,""))</x:f>
      </x:c>
      <x:c r="P85" s="27" t="str">
        <x:f>IF(OR('Detalle'!$G45="",'Detalle'!$H45=""),"",IF(AND(P$8&lt;='Detalle'!$H45,P$9&gt;='Detalle'!$G45),1,""))</x:f>
      </x:c>
      <x:c r="Q85" s="27" t="str">
        <x:f>IF(OR('Detalle'!$G45="",'Detalle'!$H45=""),"",IF(AND(Q$8&lt;='Detalle'!$H45,Q$9&gt;='Detalle'!$G45),1,""))</x:f>
      </x:c>
      <x:c r="R85" s="49"/>
      <x:c r="S85" s="30" t="str">
        <x:f>IF('Detalle'!L45="","",'Detalle'!L45)</x:f>
        <x:v>Alan</x:v>
      </x:c>
      <x:c r="T85" s="30" t="str">
        <x:f>IF('Detalle'!M45="","",'Detalle'!M45)</x:f>
      </x:c>
    </x:row>
    <x:row r="86" ht="17" customHeight="1">
      <x:c r="A86" s="28" t="str">
        <x:v>BD-01</x:v>
      </x:c>
      <x:c r="B86" s="28" t="str">
        <x:v>Autenticación</x:v>
      </x:c>
      <x:c r="C86" s="28" t="str">
        <x:v>Crear perfiles iniciales y trigger de Auth</x:v>
      </x:c>
      <x:c r="D86" s="47" t="str">
        <x:v>R</x:v>
      </x:c>
      <x:c r="E86" s="48" t="n">
        <x:f>IF('Detalle'!J45="","",'Detalle'!J45)</x:f>
        <x:v>1</x:v>
      </x:c>
      <x:c r="F86" s="44" t="str"/>
      <x:c r="G86" s="27" t="str">
        <x:f>IF(AND('Detalle'!$F45="Completado",G85=1),1,"")</x:f>
      </x:c>
      <x:c r="H86" s="27" t="n">
        <x:f>IF(AND('Detalle'!$F45="Completado",H85=1),1,"")</x:f>
        <x:v>1</x:v>
      </x:c>
      <x:c r="I86" s="27" t="str">
        <x:f>IF(AND('Detalle'!$F45="Completado",I85=1),1,"")</x:f>
      </x:c>
      <x:c r="J86" s="27" t="str">
        <x:f>IF(AND('Detalle'!$F45="Completado",J85=1),1,"")</x:f>
      </x:c>
      <x:c r="K86" s="27" t="str">
        <x:f>IF(AND('Detalle'!$F45="Completado",K85=1),1,"")</x:f>
      </x:c>
      <x:c r="L86" s="27" t="str">
        <x:f>IF(AND('Detalle'!$F45="Completado",L85=1),1,"")</x:f>
      </x:c>
      <x:c r="M86" s="27" t="str">
        <x:f>IF(AND('Detalle'!$F45="Completado",M85=1),1,"")</x:f>
      </x:c>
      <x:c r="N86" s="27" t="str">
        <x:f>IF(AND('Detalle'!$F45="Completado",N85=1),1,"")</x:f>
      </x:c>
      <x:c r="O86" s="27" t="str">
        <x:f>IF(AND('Detalle'!$F45="Completado",O85=1),1,"")</x:f>
      </x:c>
      <x:c r="P86" s="27" t="str">
        <x:f>IF(AND('Detalle'!$F45="Completado",P85=1),1,"")</x:f>
      </x:c>
      <x:c r="Q86" s="27" t="str">
        <x:f>IF(AND('Detalle'!$F45="Completado",Q85=1),1,"")</x:f>
      </x:c>
      <x:c r="R86" s="49"/>
      <x:c r="S86" s="30" t="str"/>
      <x:c r="T86" s="30" t="str"/>
    </x:row>
    <x:row r="87" ht="17" customHeight="1">
      <x:c r="A87" s="28" t="str">
        <x:v>BD-02</x:v>
      </x:c>
      <x:c r="B87" s="28" t="str">
        <x:v>Autenticación</x:v>
      </x:c>
      <x:c r="C87" s="28" t="str">
        <x:v>Implementar políticas de registro y consentimientos</x:v>
      </x:c>
      <x:c r="D87" s="46" t="str">
        <x:v>E</x:v>
      </x:c>
      <x:c r="E87" s="48" t="n">
        <x:f>IF('Detalle'!I46="","",'Detalle'!I46)</x:f>
        <x:v>1</x:v>
      </x:c>
      <x:c r="F87" s="44" t="str">
        <x:f>IF('Detalle'!F46="","",'Detalle'!F46)</x:f>
        <x:v>Completado</x:v>
      </x:c>
      <x:c r="G87" s="27" t="str">
        <x:f>IF(OR('Detalle'!$G46="",'Detalle'!$H46=""),"",IF(AND(G$8&lt;='Detalle'!$H46,G$9&gt;='Detalle'!$G46),1,""))</x:f>
      </x:c>
      <x:c r="H87" s="27" t="n">
        <x:f>IF(OR('Detalle'!$G46="",'Detalle'!$H46=""),"",IF(AND(H$8&lt;='Detalle'!$H46,H$9&gt;='Detalle'!$G46),1,""))</x:f>
        <x:v>1</x:v>
      </x:c>
      <x:c r="I87" s="27" t="str">
        <x:f>IF(OR('Detalle'!$G46="",'Detalle'!$H46=""),"",IF(AND(I$8&lt;='Detalle'!$H46,I$9&gt;='Detalle'!$G46),1,""))</x:f>
      </x:c>
      <x:c r="J87" s="27" t="str">
        <x:f>IF(OR('Detalle'!$G46="",'Detalle'!$H46=""),"",IF(AND(J$8&lt;='Detalle'!$H46,J$9&gt;='Detalle'!$G46),1,""))</x:f>
      </x:c>
      <x:c r="K87" s="27" t="str">
        <x:f>IF(OR('Detalle'!$G46="",'Detalle'!$H46=""),"",IF(AND(K$8&lt;='Detalle'!$H46,K$9&gt;='Detalle'!$G46),1,""))</x:f>
      </x:c>
      <x:c r="L87" s="27" t="str">
        <x:f>IF(OR('Detalle'!$G46="",'Detalle'!$H46=""),"",IF(AND(L$8&lt;='Detalle'!$H46,L$9&gt;='Detalle'!$G46),1,""))</x:f>
      </x:c>
      <x:c r="M87" s="27" t="str">
        <x:f>IF(OR('Detalle'!$G46="",'Detalle'!$H46=""),"",IF(AND(M$8&lt;='Detalle'!$H46,M$9&gt;='Detalle'!$G46),1,""))</x:f>
      </x:c>
      <x:c r="N87" s="27" t="str">
        <x:f>IF(OR('Detalle'!$G46="",'Detalle'!$H46=""),"",IF(AND(N$8&lt;='Detalle'!$H46,N$9&gt;='Detalle'!$G46),1,""))</x:f>
      </x:c>
      <x:c r="O87" s="27" t="str">
        <x:f>IF(OR('Detalle'!$G46="",'Detalle'!$H46=""),"",IF(AND(O$8&lt;='Detalle'!$H46,O$9&gt;='Detalle'!$G46),1,""))</x:f>
      </x:c>
      <x:c r="P87" s="27" t="str">
        <x:f>IF(OR('Detalle'!$G46="",'Detalle'!$H46=""),"",IF(AND(P$8&lt;='Detalle'!$H46,P$9&gt;='Detalle'!$G46),1,""))</x:f>
      </x:c>
      <x:c r="Q87" s="27" t="str">
        <x:f>IF(OR('Detalle'!$G46="",'Detalle'!$H46=""),"",IF(AND(Q$8&lt;='Detalle'!$H46,Q$9&gt;='Detalle'!$G46),1,""))</x:f>
      </x:c>
      <x:c r="R87" s="49"/>
      <x:c r="S87" s="30" t="str">
        <x:f>IF('Detalle'!L46="","",'Detalle'!L46)</x:f>
        <x:v>Alan</x:v>
      </x:c>
      <x:c r="T87" s="30" t="str">
        <x:f>IF('Detalle'!M46="","",'Detalle'!M46)</x:f>
      </x:c>
    </x:row>
    <x:row r="88" ht="17" customHeight="1">
      <x:c r="A88" s="28" t="str">
        <x:v>BD-02</x:v>
      </x:c>
      <x:c r="B88" s="28" t="str">
        <x:v>Autenticación</x:v>
      </x:c>
      <x:c r="C88" s="28" t="str">
        <x:v>Implementar políticas de registro y consentimientos</x:v>
      </x:c>
      <x:c r="D88" s="47" t="str">
        <x:v>R</x:v>
      </x:c>
      <x:c r="E88" s="48" t="n">
        <x:f>IF('Detalle'!J46="","",'Detalle'!J46)</x:f>
        <x:v>1</x:v>
      </x:c>
      <x:c r="F88" s="44" t="str"/>
      <x:c r="G88" s="27" t="str">
        <x:f>IF(AND('Detalle'!$F46="Completado",G87=1),1,"")</x:f>
      </x:c>
      <x:c r="H88" s="27" t="n">
        <x:f>IF(AND('Detalle'!$F46="Completado",H87=1),1,"")</x:f>
        <x:v>1</x:v>
      </x:c>
      <x:c r="I88" s="27" t="str">
        <x:f>IF(AND('Detalle'!$F46="Completado",I87=1),1,"")</x:f>
      </x:c>
      <x:c r="J88" s="27" t="str">
        <x:f>IF(AND('Detalle'!$F46="Completado",J87=1),1,"")</x:f>
      </x:c>
      <x:c r="K88" s="27" t="str">
        <x:f>IF(AND('Detalle'!$F46="Completado",K87=1),1,"")</x:f>
      </x:c>
      <x:c r="L88" s="27" t="str">
        <x:f>IF(AND('Detalle'!$F46="Completado",L87=1),1,"")</x:f>
      </x:c>
      <x:c r="M88" s="27" t="str">
        <x:f>IF(AND('Detalle'!$F46="Completado",M87=1),1,"")</x:f>
      </x:c>
      <x:c r="N88" s="27" t="str">
        <x:f>IF(AND('Detalle'!$F46="Completado",N87=1),1,"")</x:f>
      </x:c>
      <x:c r="O88" s="27" t="str">
        <x:f>IF(AND('Detalle'!$F46="Completado",O87=1),1,"")</x:f>
      </x:c>
      <x:c r="P88" s="27" t="str">
        <x:f>IF(AND('Detalle'!$F46="Completado",P87=1),1,"")</x:f>
      </x:c>
      <x:c r="Q88" s="27" t="str">
        <x:f>IF(AND('Detalle'!$F46="Completado",Q87=1),1,"")</x:f>
      </x:c>
      <x:c r="R88" s="49"/>
      <x:c r="S88" s="30" t="str"/>
      <x:c r="T88" s="30" t="str"/>
    </x:row>
    <x:row r="89" ht="17" customHeight="1">
      <x:c r="A89" s="28" t="str">
        <x:v>BD-03</x:v>
      </x:c>
      <x:c r="B89" s="28" t="str">
        <x:v>Autenticación</x:v>
      </x:c>
      <x:c r="C89" s="28" t="str">
        <x:v>Proteger cambios sensibles de la cuenta</x:v>
      </x:c>
      <x:c r="D89" s="46" t="str">
        <x:v>E</x:v>
      </x:c>
      <x:c r="E89" s="48" t="n">
        <x:f>IF('Detalle'!I47="","",'Detalle'!I47)</x:f>
        <x:v>1</x:v>
      </x:c>
      <x:c r="F89" s="44" t="str">
        <x:f>IF('Detalle'!F47="","",'Detalle'!F47)</x:f>
        <x:v>Completado</x:v>
      </x:c>
      <x:c r="G89" s="27" t="str">
        <x:f>IF(OR('Detalle'!$G47="",'Detalle'!$H47=""),"",IF(AND(G$8&lt;='Detalle'!$H47,G$9&gt;='Detalle'!$G47),1,""))</x:f>
      </x:c>
      <x:c r="H89" s="27" t="n">
        <x:f>IF(OR('Detalle'!$G47="",'Detalle'!$H47=""),"",IF(AND(H$8&lt;='Detalle'!$H47,H$9&gt;='Detalle'!$G47),1,""))</x:f>
        <x:v>1</x:v>
      </x:c>
      <x:c r="I89" s="27" t="str">
        <x:f>IF(OR('Detalle'!$G47="",'Detalle'!$H47=""),"",IF(AND(I$8&lt;='Detalle'!$H47,I$9&gt;='Detalle'!$G47),1,""))</x:f>
      </x:c>
      <x:c r="J89" s="27" t="str">
        <x:f>IF(OR('Detalle'!$G47="",'Detalle'!$H47=""),"",IF(AND(J$8&lt;='Detalle'!$H47,J$9&gt;='Detalle'!$G47),1,""))</x:f>
      </x:c>
      <x:c r="K89" s="27" t="str">
        <x:f>IF(OR('Detalle'!$G47="",'Detalle'!$H47=""),"",IF(AND(K$8&lt;='Detalle'!$H47,K$9&gt;='Detalle'!$G47),1,""))</x:f>
      </x:c>
      <x:c r="L89" s="27" t="str">
        <x:f>IF(OR('Detalle'!$G47="",'Detalle'!$H47=""),"",IF(AND(L$8&lt;='Detalle'!$H47,L$9&gt;='Detalle'!$G47),1,""))</x:f>
      </x:c>
      <x:c r="M89" s="27" t="str">
        <x:f>IF(OR('Detalle'!$G47="",'Detalle'!$H47=""),"",IF(AND(M$8&lt;='Detalle'!$H47,M$9&gt;='Detalle'!$G47),1,""))</x:f>
      </x:c>
      <x:c r="N89" s="27" t="str">
        <x:f>IF(OR('Detalle'!$G47="",'Detalle'!$H47=""),"",IF(AND(N$8&lt;='Detalle'!$H47,N$9&gt;='Detalle'!$G47),1,""))</x:f>
      </x:c>
      <x:c r="O89" s="27" t="str">
        <x:f>IF(OR('Detalle'!$G47="",'Detalle'!$H47=""),"",IF(AND(O$8&lt;='Detalle'!$H47,O$9&gt;='Detalle'!$G47),1,""))</x:f>
      </x:c>
      <x:c r="P89" s="27" t="str">
        <x:f>IF(OR('Detalle'!$G47="",'Detalle'!$H47=""),"",IF(AND(P$8&lt;='Detalle'!$H47,P$9&gt;='Detalle'!$G47),1,""))</x:f>
      </x:c>
      <x:c r="Q89" s="27" t="str">
        <x:f>IF(OR('Detalle'!$G47="",'Detalle'!$H47=""),"",IF(AND(Q$8&lt;='Detalle'!$H47,Q$9&gt;='Detalle'!$G47),1,""))</x:f>
      </x:c>
      <x:c r="R89" s="49"/>
      <x:c r="S89" s="30" t="str">
        <x:f>IF('Detalle'!L47="","",'Detalle'!L47)</x:f>
        <x:v>Alan</x:v>
      </x:c>
      <x:c r="T89" s="30" t="str">
        <x:f>IF('Detalle'!M47="","",'Detalle'!M47)</x:f>
      </x:c>
    </x:row>
    <x:row r="90" ht="17" customHeight="1">
      <x:c r="A90" s="28" t="str">
        <x:v>BD-03</x:v>
      </x:c>
      <x:c r="B90" s="28" t="str">
        <x:v>Autenticación</x:v>
      </x:c>
      <x:c r="C90" s="28" t="str">
        <x:v>Proteger cambios sensibles de la cuenta</x:v>
      </x:c>
      <x:c r="D90" s="47" t="str">
        <x:v>R</x:v>
      </x:c>
      <x:c r="E90" s="48" t="n">
        <x:f>IF('Detalle'!J47="","",'Detalle'!J47)</x:f>
        <x:v>1</x:v>
      </x:c>
      <x:c r="F90" s="44" t="str"/>
      <x:c r="G90" s="27" t="str">
        <x:f>IF(AND('Detalle'!$F47="Completado",G89=1),1,"")</x:f>
      </x:c>
      <x:c r="H90" s="27" t="n">
        <x:f>IF(AND('Detalle'!$F47="Completado",H89=1),1,"")</x:f>
        <x:v>1</x:v>
      </x:c>
      <x:c r="I90" s="27" t="str">
        <x:f>IF(AND('Detalle'!$F47="Completado",I89=1),1,"")</x:f>
      </x:c>
      <x:c r="J90" s="27" t="str">
        <x:f>IF(AND('Detalle'!$F47="Completado",J89=1),1,"")</x:f>
      </x:c>
      <x:c r="K90" s="27" t="str">
        <x:f>IF(AND('Detalle'!$F47="Completado",K89=1),1,"")</x:f>
      </x:c>
      <x:c r="L90" s="27" t="str">
        <x:f>IF(AND('Detalle'!$F47="Completado",L89=1),1,"")</x:f>
      </x:c>
      <x:c r="M90" s="27" t="str">
        <x:f>IF(AND('Detalle'!$F47="Completado",M89=1),1,"")</x:f>
      </x:c>
      <x:c r="N90" s="27" t="str">
        <x:f>IF(AND('Detalle'!$F47="Completado",N89=1),1,"")</x:f>
      </x:c>
      <x:c r="O90" s="27" t="str">
        <x:f>IF(AND('Detalle'!$F47="Completado",O89=1),1,"")</x:f>
      </x:c>
      <x:c r="P90" s="27" t="str">
        <x:f>IF(AND('Detalle'!$F47="Completado",P89=1),1,"")</x:f>
      </x:c>
      <x:c r="Q90" s="27" t="str">
        <x:f>IF(AND('Detalle'!$F47="Completado",Q89=1),1,"")</x:f>
      </x:c>
      <x:c r="R90" s="49"/>
      <x:c r="S90" s="30" t="str"/>
      <x:c r="T90" s="30" t="str"/>
    </x:row>
    <x:row r="91" ht="17" customHeight="1">
      <x:c r="A91" s="28" t="str">
        <x:v>BD-04</x:v>
      </x:c>
      <x:c r="B91" s="28" t="str">
        <x:v>Perfil y cuenta</x:v>
      </x:c>
      <x:c r="C91" s="28" t="str">
        <x:v>Ampliar modelo para cuatro tipos de perfil</x:v>
      </x:c>
      <x:c r="D91" s="46" t="str">
        <x:v>E</x:v>
      </x:c>
      <x:c r="E91" s="48" t="n">
        <x:f>IF('Detalle'!I48="","",'Detalle'!I48)</x:f>
        <x:v>1</x:v>
      </x:c>
      <x:c r="F91" s="44" t="str">
        <x:f>IF('Detalle'!F48="","",'Detalle'!F48)</x:f>
        <x:v>Completado</x:v>
      </x:c>
      <x:c r="G91" s="27" t="str">
        <x:f>IF(OR('Detalle'!$G48="",'Detalle'!$H48=""),"",IF(AND(G$8&lt;='Detalle'!$H48,G$9&gt;='Detalle'!$G48),1,""))</x:f>
      </x:c>
      <x:c r="H91" s="27" t="str">
        <x:f>IF(OR('Detalle'!$G48="",'Detalle'!$H48=""),"",IF(AND(H$8&lt;='Detalle'!$H48,H$9&gt;='Detalle'!$G48),1,""))</x:f>
      </x:c>
      <x:c r="I91" s="27" t="str">
        <x:f>IF(OR('Detalle'!$G48="",'Detalle'!$H48=""),"",IF(AND(I$8&lt;='Detalle'!$H48,I$9&gt;='Detalle'!$G48),1,""))</x:f>
      </x:c>
      <x:c r="J91" s="27" t="n">
        <x:f>IF(OR('Detalle'!$G48="",'Detalle'!$H48=""),"",IF(AND(J$8&lt;='Detalle'!$H48,J$9&gt;='Detalle'!$G48),1,""))</x:f>
        <x:v>1</x:v>
      </x:c>
      <x:c r="K91" s="27" t="str">
        <x:f>IF(OR('Detalle'!$G48="",'Detalle'!$H48=""),"",IF(AND(K$8&lt;='Detalle'!$H48,K$9&gt;='Detalle'!$G48),1,""))</x:f>
      </x:c>
      <x:c r="L91" s="27" t="str">
        <x:f>IF(OR('Detalle'!$G48="",'Detalle'!$H48=""),"",IF(AND(L$8&lt;='Detalle'!$H48,L$9&gt;='Detalle'!$G48),1,""))</x:f>
      </x:c>
      <x:c r="M91" s="27" t="str">
        <x:f>IF(OR('Detalle'!$G48="",'Detalle'!$H48=""),"",IF(AND(M$8&lt;='Detalle'!$H48,M$9&gt;='Detalle'!$G48),1,""))</x:f>
      </x:c>
      <x:c r="N91" s="27" t="str">
        <x:f>IF(OR('Detalle'!$G48="",'Detalle'!$H48=""),"",IF(AND(N$8&lt;='Detalle'!$H48,N$9&gt;='Detalle'!$G48),1,""))</x:f>
      </x:c>
      <x:c r="O91" s="27" t="str">
        <x:f>IF(OR('Detalle'!$G48="",'Detalle'!$H48=""),"",IF(AND(O$8&lt;='Detalle'!$H48,O$9&gt;='Detalle'!$G48),1,""))</x:f>
      </x:c>
      <x:c r="P91" s="27" t="str">
        <x:f>IF(OR('Detalle'!$G48="",'Detalle'!$H48=""),"",IF(AND(P$8&lt;='Detalle'!$H48,P$9&gt;='Detalle'!$G48),1,""))</x:f>
      </x:c>
      <x:c r="Q91" s="27" t="str">
        <x:f>IF(OR('Detalle'!$G48="",'Detalle'!$H48=""),"",IF(AND(Q$8&lt;='Detalle'!$H48,Q$9&gt;='Detalle'!$G48),1,""))</x:f>
      </x:c>
      <x:c r="R91" s="49"/>
      <x:c r="S91" s="30" t="str">
        <x:f>IF('Detalle'!L48="","",'Detalle'!L48)</x:f>
        <x:v>Alan</x:v>
      </x:c>
      <x:c r="T91" s="30" t="str">
        <x:f>IF('Detalle'!M48="","",'Detalle'!M48)</x:f>
      </x:c>
    </x:row>
    <x:row r="92" ht="17" customHeight="1">
      <x:c r="A92" s="28" t="str">
        <x:v>BD-04</x:v>
      </x:c>
      <x:c r="B92" s="28" t="str">
        <x:v>Perfil y cuenta</x:v>
      </x:c>
      <x:c r="C92" s="28" t="str">
        <x:v>Ampliar modelo para cuatro tipos de perfil</x:v>
      </x:c>
      <x:c r="D92" s="47" t="str">
        <x:v>R</x:v>
      </x:c>
      <x:c r="E92" s="48" t="n">
        <x:f>IF('Detalle'!J48="","",'Detalle'!J48)</x:f>
        <x:v>1</x:v>
      </x:c>
      <x:c r="F92" s="44" t="str"/>
      <x:c r="G92" s="27" t="str">
        <x:f>IF(AND('Detalle'!$F48="Completado",G91=1),1,"")</x:f>
      </x:c>
      <x:c r="H92" s="27" t="str">
        <x:f>IF(AND('Detalle'!$F48="Completado",H91=1),1,"")</x:f>
      </x:c>
      <x:c r="I92" s="27" t="str">
        <x:f>IF(AND('Detalle'!$F48="Completado",I91=1),1,"")</x:f>
      </x:c>
      <x:c r="J92" s="27" t="n">
        <x:f>IF(AND('Detalle'!$F48="Completado",J91=1),1,"")</x:f>
        <x:v>1</x:v>
      </x:c>
      <x:c r="K92" s="27" t="str">
        <x:f>IF(AND('Detalle'!$F48="Completado",K91=1),1,"")</x:f>
      </x:c>
      <x:c r="L92" s="27" t="str">
        <x:f>IF(AND('Detalle'!$F48="Completado",L91=1),1,"")</x:f>
      </x:c>
      <x:c r="M92" s="27" t="str">
        <x:f>IF(AND('Detalle'!$F48="Completado",M91=1),1,"")</x:f>
      </x:c>
      <x:c r="N92" s="27" t="str">
        <x:f>IF(AND('Detalle'!$F48="Completado",N91=1),1,"")</x:f>
      </x:c>
      <x:c r="O92" s="27" t="str">
        <x:f>IF(AND('Detalle'!$F48="Completado",O91=1),1,"")</x:f>
      </x:c>
      <x:c r="P92" s="27" t="str">
        <x:f>IF(AND('Detalle'!$F48="Completado",P91=1),1,"")</x:f>
      </x:c>
      <x:c r="Q92" s="27" t="str">
        <x:f>IF(AND('Detalle'!$F48="Completado",Q91=1),1,"")</x:f>
      </x:c>
      <x:c r="R92" s="49"/>
      <x:c r="S92" s="30" t="str"/>
      <x:c r="T92" s="30" t="str"/>
    </x:row>
    <x:row r="93" ht="17" customHeight="1">
      <x:c r="A93" s="28" t="str">
        <x:v>BD-05</x:v>
      </x:c>
      <x:c r="B93" s="28" t="str">
        <x:v>Perfil y cuenta</x:v>
      </x:c>
      <x:c r="C93" s="28" t="str">
        <x:v>Implementar almacenamiento privado de avatar y portada</x:v>
      </x:c>
      <x:c r="D93" s="46" t="str">
        <x:v>E</x:v>
      </x:c>
      <x:c r="E93" s="48" t="n">
        <x:f>IF('Detalle'!I49="","",'Detalle'!I49)</x:f>
        <x:v>1</x:v>
      </x:c>
      <x:c r="F93" s="44" t="str">
        <x:f>IF('Detalle'!F49="","",'Detalle'!F49)</x:f>
        <x:v>Completado</x:v>
      </x:c>
      <x:c r="G93" s="27" t="str">
        <x:f>IF(OR('Detalle'!$G49="",'Detalle'!$H49=""),"",IF(AND(G$8&lt;='Detalle'!$H49,G$9&gt;='Detalle'!$G49),1,""))</x:f>
      </x:c>
      <x:c r="H93" s="27" t="n">
        <x:f>IF(OR('Detalle'!$G49="",'Detalle'!$H49=""),"",IF(AND(H$8&lt;='Detalle'!$H49,H$9&gt;='Detalle'!$G49),1,""))</x:f>
        <x:v>1</x:v>
      </x:c>
      <x:c r="I93" s="27" t="str">
        <x:f>IF(OR('Detalle'!$G49="",'Detalle'!$H49=""),"",IF(AND(I$8&lt;='Detalle'!$H49,I$9&gt;='Detalle'!$G49),1,""))</x:f>
      </x:c>
      <x:c r="J93" s="27" t="str">
        <x:f>IF(OR('Detalle'!$G49="",'Detalle'!$H49=""),"",IF(AND(J$8&lt;='Detalle'!$H49,J$9&gt;='Detalle'!$G49),1,""))</x:f>
      </x:c>
      <x:c r="K93" s="27" t="str">
        <x:f>IF(OR('Detalle'!$G49="",'Detalle'!$H49=""),"",IF(AND(K$8&lt;='Detalle'!$H49,K$9&gt;='Detalle'!$G49),1,""))</x:f>
      </x:c>
      <x:c r="L93" s="27" t="str">
        <x:f>IF(OR('Detalle'!$G49="",'Detalle'!$H49=""),"",IF(AND(L$8&lt;='Detalle'!$H49,L$9&gt;='Detalle'!$G49),1,""))</x:f>
      </x:c>
      <x:c r="M93" s="27" t="str">
        <x:f>IF(OR('Detalle'!$G49="",'Detalle'!$H49=""),"",IF(AND(M$8&lt;='Detalle'!$H49,M$9&gt;='Detalle'!$G49),1,""))</x:f>
      </x:c>
      <x:c r="N93" s="27" t="str">
        <x:f>IF(OR('Detalle'!$G49="",'Detalle'!$H49=""),"",IF(AND(N$8&lt;='Detalle'!$H49,N$9&gt;='Detalle'!$G49),1,""))</x:f>
      </x:c>
      <x:c r="O93" s="27" t="str">
        <x:f>IF(OR('Detalle'!$G49="",'Detalle'!$H49=""),"",IF(AND(O$8&lt;='Detalle'!$H49,O$9&gt;='Detalle'!$G49),1,""))</x:f>
      </x:c>
      <x:c r="P93" s="27" t="str">
        <x:f>IF(OR('Detalle'!$G49="",'Detalle'!$H49=""),"",IF(AND(P$8&lt;='Detalle'!$H49,P$9&gt;='Detalle'!$G49),1,""))</x:f>
      </x:c>
      <x:c r="Q93" s="27" t="str">
        <x:f>IF(OR('Detalle'!$G49="",'Detalle'!$H49=""),"",IF(AND(Q$8&lt;='Detalle'!$H49,Q$9&gt;='Detalle'!$G49),1,""))</x:f>
      </x:c>
      <x:c r="R93" s="49"/>
      <x:c r="S93" s="30" t="str">
        <x:f>IF('Detalle'!L49="","",'Detalle'!L49)</x:f>
        <x:v>Cristopher</x:v>
      </x:c>
      <x:c r="T93" s="30" t="str">
        <x:f>IF('Detalle'!M49="","",'Detalle'!M49)</x:f>
      </x:c>
    </x:row>
    <x:row r="94" ht="17" customHeight="1">
      <x:c r="A94" s="28" t="str">
        <x:v>BD-05</x:v>
      </x:c>
      <x:c r="B94" s="28" t="str">
        <x:v>Perfil y cuenta</x:v>
      </x:c>
      <x:c r="C94" s="28" t="str">
        <x:v>Implementar almacenamiento privado de avatar y portada</x:v>
      </x:c>
      <x:c r="D94" s="47" t="str">
        <x:v>R</x:v>
      </x:c>
      <x:c r="E94" s="48" t="n">
        <x:f>IF('Detalle'!J49="","",'Detalle'!J49)</x:f>
        <x:v>1</x:v>
      </x:c>
      <x:c r="F94" s="44" t="str"/>
      <x:c r="G94" s="27" t="str">
        <x:f>IF(AND('Detalle'!$F49="Completado",G93=1),1,"")</x:f>
      </x:c>
      <x:c r="H94" s="27" t="n">
        <x:f>IF(AND('Detalle'!$F49="Completado",H93=1),1,"")</x:f>
        <x:v>1</x:v>
      </x:c>
      <x:c r="I94" s="27" t="str">
        <x:f>IF(AND('Detalle'!$F49="Completado",I93=1),1,"")</x:f>
      </x:c>
      <x:c r="J94" s="27" t="str">
        <x:f>IF(AND('Detalle'!$F49="Completado",J93=1),1,"")</x:f>
      </x:c>
      <x:c r="K94" s="27" t="str">
        <x:f>IF(AND('Detalle'!$F49="Completado",K93=1),1,"")</x:f>
      </x:c>
      <x:c r="L94" s="27" t="str">
        <x:f>IF(AND('Detalle'!$F49="Completado",L93=1),1,"")</x:f>
      </x:c>
      <x:c r="M94" s="27" t="str">
        <x:f>IF(AND('Detalle'!$F49="Completado",M93=1),1,"")</x:f>
      </x:c>
      <x:c r="N94" s="27" t="str">
        <x:f>IF(AND('Detalle'!$F49="Completado",N93=1),1,"")</x:f>
      </x:c>
      <x:c r="O94" s="27" t="str">
        <x:f>IF(AND('Detalle'!$F49="Completado",O93=1),1,"")</x:f>
      </x:c>
      <x:c r="P94" s="27" t="str">
        <x:f>IF(AND('Detalle'!$F49="Completado",P93=1),1,"")</x:f>
      </x:c>
      <x:c r="Q94" s="27" t="str">
        <x:f>IF(AND('Detalle'!$F49="Completado",Q93=1),1,"")</x:f>
      </x:c>
      <x:c r="R94" s="49"/>
      <x:c r="S94" s="30" t="str"/>
      <x:c r="T94" s="30" t="str"/>
    </x:row>
    <x:row r="95" ht="17" customHeight="1">
      <x:c r="A95" s="28" t="str">
        <x:v>BD-06</x:v>
      </x:c>
      <x:c r="B95" s="28" t="str">
        <x:v>Perfil y cuenta</x:v>
      </x:c>
      <x:c r="C95" s="28" t="str">
        <x:v>Implementar eliminación de cuenta y limpieza</x:v>
      </x:c>
      <x:c r="D95" s="46" t="str">
        <x:v>E</x:v>
      </x:c>
      <x:c r="E95" s="48" t="n">
        <x:f>IF('Detalle'!I50="","",'Detalle'!I50)</x:f>
        <x:v>1</x:v>
      </x:c>
      <x:c r="F95" s="44" t="str">
        <x:f>IF('Detalle'!F50="","",'Detalle'!F50)</x:f>
        <x:v>Completado</x:v>
      </x:c>
      <x:c r="G95" s="27" t="str">
        <x:f>IF(OR('Detalle'!$G50="",'Detalle'!$H50=""),"",IF(AND(G$8&lt;='Detalle'!$H50,G$9&gt;='Detalle'!$G50),1,""))</x:f>
      </x:c>
      <x:c r="H95" s="27" t="str">
        <x:f>IF(OR('Detalle'!$G50="",'Detalle'!$H50=""),"",IF(AND(H$8&lt;='Detalle'!$H50,H$9&gt;='Detalle'!$G50),1,""))</x:f>
      </x:c>
      <x:c r="I95" s="27" t="n">
        <x:f>IF(OR('Detalle'!$G50="",'Detalle'!$H50=""),"",IF(AND(I$8&lt;='Detalle'!$H50,I$9&gt;='Detalle'!$G50),1,""))</x:f>
        <x:v>1</x:v>
      </x:c>
      <x:c r="J95" s="27" t="str">
        <x:f>IF(OR('Detalle'!$G50="",'Detalle'!$H50=""),"",IF(AND(J$8&lt;='Detalle'!$H50,J$9&gt;='Detalle'!$G50),1,""))</x:f>
      </x:c>
      <x:c r="K95" s="27" t="str">
        <x:f>IF(OR('Detalle'!$G50="",'Detalle'!$H50=""),"",IF(AND(K$8&lt;='Detalle'!$H50,K$9&gt;='Detalle'!$G50),1,""))</x:f>
      </x:c>
      <x:c r="L95" s="27" t="str">
        <x:f>IF(OR('Detalle'!$G50="",'Detalle'!$H50=""),"",IF(AND(L$8&lt;='Detalle'!$H50,L$9&gt;='Detalle'!$G50),1,""))</x:f>
      </x:c>
      <x:c r="M95" s="27" t="str">
        <x:f>IF(OR('Detalle'!$G50="",'Detalle'!$H50=""),"",IF(AND(M$8&lt;='Detalle'!$H50,M$9&gt;='Detalle'!$G50),1,""))</x:f>
      </x:c>
      <x:c r="N95" s="27" t="str">
        <x:f>IF(OR('Detalle'!$G50="",'Detalle'!$H50=""),"",IF(AND(N$8&lt;='Detalle'!$H50,N$9&gt;='Detalle'!$G50),1,""))</x:f>
      </x:c>
      <x:c r="O95" s="27" t="str">
        <x:f>IF(OR('Detalle'!$G50="",'Detalle'!$H50=""),"",IF(AND(O$8&lt;='Detalle'!$H50,O$9&gt;='Detalle'!$G50),1,""))</x:f>
      </x:c>
      <x:c r="P95" s="27" t="str">
        <x:f>IF(OR('Detalle'!$G50="",'Detalle'!$H50=""),"",IF(AND(P$8&lt;='Detalle'!$H50,P$9&gt;='Detalle'!$G50),1,""))</x:f>
      </x:c>
      <x:c r="Q95" s="27" t="str">
        <x:f>IF(OR('Detalle'!$G50="",'Detalle'!$H50=""),"",IF(AND(Q$8&lt;='Detalle'!$H50,Q$9&gt;='Detalle'!$G50),1,""))</x:f>
      </x:c>
      <x:c r="R95" s="49"/>
      <x:c r="S95" s="30" t="str">
        <x:f>IF('Detalle'!L50="","",'Detalle'!L50)</x:f>
        <x:v>Cristopher</x:v>
      </x:c>
      <x:c r="T95" s="30" t="str">
        <x:f>IF('Detalle'!M50="","",'Detalle'!M50)</x:f>
      </x:c>
    </x:row>
    <x:row r="96" ht="17" customHeight="1">
      <x:c r="A96" s="28" t="str">
        <x:v>BD-06</x:v>
      </x:c>
      <x:c r="B96" s="28" t="str">
        <x:v>Perfil y cuenta</x:v>
      </x:c>
      <x:c r="C96" s="28" t="str">
        <x:v>Implementar eliminación de cuenta y limpieza</x:v>
      </x:c>
      <x:c r="D96" s="47" t="str">
        <x:v>R</x:v>
      </x:c>
      <x:c r="E96" s="48" t="n">
        <x:f>IF('Detalle'!J50="","",'Detalle'!J50)</x:f>
        <x:v>1</x:v>
      </x:c>
      <x:c r="F96" s="44" t="str"/>
      <x:c r="G96" s="27" t="str">
        <x:f>IF(AND('Detalle'!$F50="Completado",G95=1),1,"")</x:f>
      </x:c>
      <x:c r="H96" s="27" t="str">
        <x:f>IF(AND('Detalle'!$F50="Completado",H95=1),1,"")</x:f>
      </x:c>
      <x:c r="I96" s="27" t="n">
        <x:f>IF(AND('Detalle'!$F50="Completado",I95=1),1,"")</x:f>
        <x:v>1</x:v>
      </x:c>
      <x:c r="J96" s="27" t="str">
        <x:f>IF(AND('Detalle'!$F50="Completado",J95=1),1,"")</x:f>
      </x:c>
      <x:c r="K96" s="27" t="str">
        <x:f>IF(AND('Detalle'!$F50="Completado",K95=1),1,"")</x:f>
      </x:c>
      <x:c r="L96" s="27" t="str">
        <x:f>IF(AND('Detalle'!$F50="Completado",L95=1),1,"")</x:f>
      </x:c>
      <x:c r="M96" s="27" t="str">
        <x:f>IF(AND('Detalle'!$F50="Completado",M95=1),1,"")</x:f>
      </x:c>
      <x:c r="N96" s="27" t="str">
        <x:f>IF(AND('Detalle'!$F50="Completado",N95=1),1,"")</x:f>
      </x:c>
      <x:c r="O96" s="27" t="str">
        <x:f>IF(AND('Detalle'!$F50="Completado",O95=1),1,"")</x:f>
      </x:c>
      <x:c r="P96" s="27" t="str">
        <x:f>IF(AND('Detalle'!$F50="Completado",P95=1),1,"")</x:f>
      </x:c>
      <x:c r="Q96" s="27" t="str">
        <x:f>IF(AND('Detalle'!$F50="Completado",Q95=1),1,"")</x:f>
      </x:c>
      <x:c r="R96" s="49"/>
      <x:c r="S96" s="30" t="str"/>
      <x:c r="T96" s="30" t="str"/>
    </x:row>
    <x:row r="97" ht="17" customHeight="1">
      <x:c r="A97" s="28" t="str">
        <x:v>BD-07</x:v>
      </x:c>
      <x:c r="B97" s="28" t="str">
        <x:v>Comunidad</x:v>
      </x:c>
      <x:c r="C97" s="28" t="str">
        <x:v>Crear publicaciones y políticas de visibilidad</x:v>
      </x:c>
      <x:c r="D97" s="46" t="str">
        <x:v>E</x:v>
      </x:c>
      <x:c r="E97" s="48" t="n">
        <x:f>IF('Detalle'!I51="","",'Detalle'!I51)</x:f>
        <x:v>1</x:v>
      </x:c>
      <x:c r="F97" s="44" t="str">
        <x:f>IF('Detalle'!F51="","",'Detalle'!F51)</x:f>
        <x:v>Completado</x:v>
      </x:c>
      <x:c r="G97" s="27" t="str">
        <x:f>IF(OR('Detalle'!$G51="",'Detalle'!$H51=""),"",IF(AND(G$8&lt;='Detalle'!$H51,G$9&gt;='Detalle'!$G51),1,""))</x:f>
      </x:c>
      <x:c r="H97" s="27" t="str">
        <x:f>IF(OR('Detalle'!$G51="",'Detalle'!$H51=""),"",IF(AND(H$8&lt;='Detalle'!$H51,H$9&gt;='Detalle'!$G51),1,""))</x:f>
      </x:c>
      <x:c r="I97" s="27" t="n">
        <x:f>IF(OR('Detalle'!$G51="",'Detalle'!$H51=""),"",IF(AND(I$8&lt;='Detalle'!$H51,I$9&gt;='Detalle'!$G51),1,""))</x:f>
        <x:v>1</x:v>
      </x:c>
      <x:c r="J97" s="27" t="str">
        <x:f>IF(OR('Detalle'!$G51="",'Detalle'!$H51=""),"",IF(AND(J$8&lt;='Detalle'!$H51,J$9&gt;='Detalle'!$G51),1,""))</x:f>
      </x:c>
      <x:c r="K97" s="27" t="str">
        <x:f>IF(OR('Detalle'!$G51="",'Detalle'!$H51=""),"",IF(AND(K$8&lt;='Detalle'!$H51,K$9&gt;='Detalle'!$G51),1,""))</x:f>
      </x:c>
      <x:c r="L97" s="27" t="str">
        <x:f>IF(OR('Detalle'!$G51="",'Detalle'!$H51=""),"",IF(AND(L$8&lt;='Detalle'!$H51,L$9&gt;='Detalle'!$G51),1,""))</x:f>
      </x:c>
      <x:c r="M97" s="27" t="str">
        <x:f>IF(OR('Detalle'!$G51="",'Detalle'!$H51=""),"",IF(AND(M$8&lt;='Detalle'!$H51,M$9&gt;='Detalle'!$G51),1,""))</x:f>
      </x:c>
      <x:c r="N97" s="27" t="str">
        <x:f>IF(OR('Detalle'!$G51="",'Detalle'!$H51=""),"",IF(AND(N$8&lt;='Detalle'!$H51,N$9&gt;='Detalle'!$G51),1,""))</x:f>
      </x:c>
      <x:c r="O97" s="27" t="str">
        <x:f>IF(OR('Detalle'!$G51="",'Detalle'!$H51=""),"",IF(AND(O$8&lt;='Detalle'!$H51,O$9&gt;='Detalle'!$G51),1,""))</x:f>
      </x:c>
      <x:c r="P97" s="27" t="str">
        <x:f>IF(OR('Detalle'!$G51="",'Detalle'!$H51=""),"",IF(AND(P$8&lt;='Detalle'!$H51,P$9&gt;='Detalle'!$G51),1,""))</x:f>
      </x:c>
      <x:c r="Q97" s="27" t="str">
        <x:f>IF(OR('Detalle'!$G51="",'Detalle'!$H51=""),"",IF(AND(Q$8&lt;='Detalle'!$H51,Q$9&gt;='Detalle'!$G51),1,""))</x:f>
      </x:c>
      <x:c r="R97" s="49"/>
      <x:c r="S97" s="30" t="str">
        <x:f>IF('Detalle'!L51="","",'Detalle'!L51)</x:f>
        <x:v>Alan</x:v>
      </x:c>
      <x:c r="T97" s="30" t="str">
        <x:f>IF('Detalle'!M51="","",'Detalle'!M51)</x:f>
      </x:c>
    </x:row>
    <x:row r="98" ht="17" customHeight="1">
      <x:c r="A98" s="28" t="str">
        <x:v>BD-07</x:v>
      </x:c>
      <x:c r="B98" s="28" t="str">
        <x:v>Comunidad</x:v>
      </x:c>
      <x:c r="C98" s="28" t="str">
        <x:v>Crear publicaciones y políticas de visibilidad</x:v>
      </x:c>
      <x:c r="D98" s="47" t="str">
        <x:v>R</x:v>
      </x:c>
      <x:c r="E98" s="48" t="n">
        <x:f>IF('Detalle'!J51="","",'Detalle'!J51)</x:f>
        <x:v>1</x:v>
      </x:c>
      <x:c r="F98" s="44" t="str"/>
      <x:c r="G98" s="27" t="str">
        <x:f>IF(AND('Detalle'!$F51="Completado",G97=1),1,"")</x:f>
      </x:c>
      <x:c r="H98" s="27" t="str">
        <x:f>IF(AND('Detalle'!$F51="Completado",H97=1),1,"")</x:f>
      </x:c>
      <x:c r="I98" s="27" t="n">
        <x:f>IF(AND('Detalle'!$F51="Completado",I97=1),1,"")</x:f>
        <x:v>1</x:v>
      </x:c>
      <x:c r="J98" s="27" t="str">
        <x:f>IF(AND('Detalle'!$F51="Completado",J97=1),1,"")</x:f>
      </x:c>
      <x:c r="K98" s="27" t="str">
        <x:f>IF(AND('Detalle'!$F51="Completado",K97=1),1,"")</x:f>
      </x:c>
      <x:c r="L98" s="27" t="str">
        <x:f>IF(AND('Detalle'!$F51="Completado",L97=1),1,"")</x:f>
      </x:c>
      <x:c r="M98" s="27" t="str">
        <x:f>IF(AND('Detalle'!$F51="Completado",M97=1),1,"")</x:f>
      </x:c>
      <x:c r="N98" s="27" t="str">
        <x:f>IF(AND('Detalle'!$F51="Completado",N97=1),1,"")</x:f>
      </x:c>
      <x:c r="O98" s="27" t="str">
        <x:f>IF(AND('Detalle'!$F51="Completado",O97=1),1,"")</x:f>
      </x:c>
      <x:c r="P98" s="27" t="str">
        <x:f>IF(AND('Detalle'!$F51="Completado",P97=1),1,"")</x:f>
      </x:c>
      <x:c r="Q98" s="27" t="str">
        <x:f>IF(AND('Detalle'!$F51="Completado",Q97=1),1,"")</x:f>
      </x:c>
      <x:c r="R98" s="49"/>
      <x:c r="S98" s="30" t="str"/>
      <x:c r="T98" s="30" t="str"/>
    </x:row>
    <x:row r="99" ht="17" customHeight="1">
      <x:c r="A99" s="28" t="str">
        <x:v>BD-08</x:v>
      </x:c>
      <x:c r="B99" s="28" t="str">
        <x:v>Comunidad</x:v>
      </x:c>
      <x:c r="C99" s="28" t="str">
        <x:v>Crear procesamiento privado de fotografías</x:v>
      </x:c>
      <x:c r="D99" s="46" t="str">
        <x:v>E</x:v>
      </x:c>
      <x:c r="E99" s="48" t="n">
        <x:f>IF('Detalle'!I52="","",'Detalle'!I52)</x:f>
        <x:v>1</x:v>
      </x:c>
      <x:c r="F99" s="44" t="str">
        <x:f>IF('Detalle'!F52="","",'Detalle'!F52)</x:f>
        <x:v>Completado</x:v>
      </x:c>
      <x:c r="G99" s="27" t="str">
        <x:f>IF(OR('Detalle'!$G52="",'Detalle'!$H52=""),"",IF(AND(G$8&lt;='Detalle'!$H52,G$9&gt;='Detalle'!$G52),1,""))</x:f>
      </x:c>
      <x:c r="H99" s="27" t="str">
        <x:f>IF(OR('Detalle'!$G52="",'Detalle'!$H52=""),"",IF(AND(H$8&lt;='Detalle'!$H52,H$9&gt;='Detalle'!$G52),1,""))</x:f>
      </x:c>
      <x:c r="I99" s="27" t="n">
        <x:f>IF(OR('Detalle'!$G52="",'Detalle'!$H52=""),"",IF(AND(I$8&lt;='Detalle'!$H52,I$9&gt;='Detalle'!$G52),1,""))</x:f>
        <x:v>1</x:v>
      </x:c>
      <x:c r="J99" s="27" t="str">
        <x:f>IF(OR('Detalle'!$G52="",'Detalle'!$H52=""),"",IF(AND(J$8&lt;='Detalle'!$H52,J$9&gt;='Detalle'!$G52),1,""))</x:f>
      </x:c>
      <x:c r="K99" s="27" t="str">
        <x:f>IF(OR('Detalle'!$G52="",'Detalle'!$H52=""),"",IF(AND(K$8&lt;='Detalle'!$H52,K$9&gt;='Detalle'!$G52),1,""))</x:f>
      </x:c>
      <x:c r="L99" s="27" t="str">
        <x:f>IF(OR('Detalle'!$G52="",'Detalle'!$H52=""),"",IF(AND(L$8&lt;='Detalle'!$H52,L$9&gt;='Detalle'!$G52),1,""))</x:f>
      </x:c>
      <x:c r="M99" s="27" t="str">
        <x:f>IF(OR('Detalle'!$G52="",'Detalle'!$H52=""),"",IF(AND(M$8&lt;='Detalle'!$H52,M$9&gt;='Detalle'!$G52),1,""))</x:f>
      </x:c>
      <x:c r="N99" s="27" t="str">
        <x:f>IF(OR('Detalle'!$G52="",'Detalle'!$H52=""),"",IF(AND(N$8&lt;='Detalle'!$H52,N$9&gt;='Detalle'!$G52),1,""))</x:f>
      </x:c>
      <x:c r="O99" s="27" t="str">
        <x:f>IF(OR('Detalle'!$G52="",'Detalle'!$H52=""),"",IF(AND(O$8&lt;='Detalle'!$H52,O$9&gt;='Detalle'!$G52),1,""))</x:f>
      </x:c>
      <x:c r="P99" s="27" t="str">
        <x:f>IF(OR('Detalle'!$G52="",'Detalle'!$H52=""),"",IF(AND(P$8&lt;='Detalle'!$H52,P$9&gt;='Detalle'!$G52),1,""))</x:f>
      </x:c>
      <x:c r="Q99" s="27" t="str">
        <x:f>IF(OR('Detalle'!$G52="",'Detalle'!$H52=""),"",IF(AND(Q$8&lt;='Detalle'!$H52,Q$9&gt;='Detalle'!$G52),1,""))</x:f>
      </x:c>
      <x:c r="R99" s="49"/>
      <x:c r="S99" s="30" t="str">
        <x:f>IF('Detalle'!L52="","",'Detalle'!L52)</x:f>
        <x:v>Cristopher</x:v>
      </x:c>
      <x:c r="T99" s="30" t="str">
        <x:f>IF('Detalle'!M52="","",'Detalle'!M52)</x:f>
      </x:c>
    </x:row>
    <x:row r="100" ht="17" customHeight="1">
      <x:c r="A100" s="28" t="str">
        <x:v>BD-08</x:v>
      </x:c>
      <x:c r="B100" s="28" t="str">
        <x:v>Comunidad</x:v>
      </x:c>
      <x:c r="C100" s="28" t="str">
        <x:v>Crear procesamiento privado de fotografías</x:v>
      </x:c>
      <x:c r="D100" s="47" t="str">
        <x:v>R</x:v>
      </x:c>
      <x:c r="E100" s="48" t="n">
        <x:f>IF('Detalle'!J52="","",'Detalle'!J52)</x:f>
        <x:v>1</x:v>
      </x:c>
      <x:c r="F100" s="44" t="str"/>
      <x:c r="G100" s="27" t="str">
        <x:f>IF(AND('Detalle'!$F52="Completado",G99=1),1,"")</x:f>
      </x:c>
      <x:c r="H100" s="27" t="str">
        <x:f>IF(AND('Detalle'!$F52="Completado",H99=1),1,"")</x:f>
      </x:c>
      <x:c r="I100" s="27" t="n">
        <x:f>IF(AND('Detalle'!$F52="Completado",I99=1),1,"")</x:f>
        <x:v>1</x:v>
      </x:c>
      <x:c r="J100" s="27" t="str">
        <x:f>IF(AND('Detalle'!$F52="Completado",J99=1),1,"")</x:f>
      </x:c>
      <x:c r="K100" s="27" t="str">
        <x:f>IF(AND('Detalle'!$F52="Completado",K99=1),1,"")</x:f>
      </x:c>
      <x:c r="L100" s="27" t="str">
        <x:f>IF(AND('Detalle'!$F52="Completado",L99=1),1,"")</x:f>
      </x:c>
      <x:c r="M100" s="27" t="str">
        <x:f>IF(AND('Detalle'!$F52="Completado",M99=1),1,"")</x:f>
      </x:c>
      <x:c r="N100" s="27" t="str">
        <x:f>IF(AND('Detalle'!$F52="Completado",N99=1),1,"")</x:f>
      </x:c>
      <x:c r="O100" s="27" t="str">
        <x:f>IF(AND('Detalle'!$F52="Completado",O99=1),1,"")</x:f>
      </x:c>
      <x:c r="P100" s="27" t="str">
        <x:f>IF(AND('Detalle'!$F52="Completado",P99=1),1,"")</x:f>
      </x:c>
      <x:c r="Q100" s="27" t="str">
        <x:f>IF(AND('Detalle'!$F52="Completado",Q99=1),1,"")</x:f>
      </x:c>
      <x:c r="R100" s="49"/>
      <x:c r="S100" s="30" t="str"/>
      <x:c r="T100" s="30" t="str"/>
    </x:row>
    <x:row r="101" ht="17" customHeight="1">
      <x:c r="A101" s="28" t="str">
        <x:v>BD-09</x:v>
      </x:c>
      <x:c r="B101" s="28" t="str">
        <x:v>Comunidad</x:v>
      </x:c>
      <x:c r="C101" s="28" t="str">
        <x:v>Implementar comentarios y reacciones</x:v>
      </x:c>
      <x:c r="D101" s="46" t="str">
        <x:v>E</x:v>
      </x:c>
      <x:c r="E101" s="48" t="n">
        <x:f>IF('Detalle'!I53="","",'Detalle'!I53)</x:f>
        <x:v>1</x:v>
      </x:c>
      <x:c r="F101" s="44" t="str">
        <x:f>IF('Detalle'!F53="","",'Detalle'!F53)</x:f>
        <x:v>Completado</x:v>
      </x:c>
      <x:c r="G101" s="27" t="str">
        <x:f>IF(OR('Detalle'!$G53="",'Detalle'!$H53=""),"",IF(AND(G$8&lt;='Detalle'!$H53,G$9&gt;='Detalle'!$G53),1,""))</x:f>
      </x:c>
      <x:c r="H101" s="27" t="str">
        <x:f>IF(OR('Detalle'!$G53="",'Detalle'!$H53=""),"",IF(AND(H$8&lt;='Detalle'!$H53,H$9&gt;='Detalle'!$G53),1,""))</x:f>
      </x:c>
      <x:c r="I101" s="27" t="str">
        <x:f>IF(OR('Detalle'!$G53="",'Detalle'!$H53=""),"",IF(AND(I$8&lt;='Detalle'!$H53,I$9&gt;='Detalle'!$G53),1,""))</x:f>
      </x:c>
      <x:c r="J101" s="27" t="n">
        <x:f>IF(OR('Detalle'!$G53="",'Detalle'!$H53=""),"",IF(AND(J$8&lt;='Detalle'!$H53,J$9&gt;='Detalle'!$G53),1,""))</x:f>
        <x:v>1</x:v>
      </x:c>
      <x:c r="K101" s="27" t="str">
        <x:f>IF(OR('Detalle'!$G53="",'Detalle'!$H53=""),"",IF(AND(K$8&lt;='Detalle'!$H53,K$9&gt;='Detalle'!$G53),1,""))</x:f>
      </x:c>
      <x:c r="L101" s="27" t="str">
        <x:f>IF(OR('Detalle'!$G53="",'Detalle'!$H53=""),"",IF(AND(L$8&lt;='Detalle'!$H53,L$9&gt;='Detalle'!$G53),1,""))</x:f>
      </x:c>
      <x:c r="M101" s="27" t="str">
        <x:f>IF(OR('Detalle'!$G53="",'Detalle'!$H53=""),"",IF(AND(M$8&lt;='Detalle'!$H53,M$9&gt;='Detalle'!$G53),1,""))</x:f>
      </x:c>
      <x:c r="N101" s="27" t="str">
        <x:f>IF(OR('Detalle'!$G53="",'Detalle'!$H53=""),"",IF(AND(N$8&lt;='Detalle'!$H53,N$9&gt;='Detalle'!$G53),1,""))</x:f>
      </x:c>
      <x:c r="O101" s="27" t="str">
        <x:f>IF(OR('Detalle'!$G53="",'Detalle'!$H53=""),"",IF(AND(O$8&lt;='Detalle'!$H53,O$9&gt;='Detalle'!$G53),1,""))</x:f>
      </x:c>
      <x:c r="P101" s="27" t="str">
        <x:f>IF(OR('Detalle'!$G53="",'Detalle'!$H53=""),"",IF(AND(P$8&lt;='Detalle'!$H53,P$9&gt;='Detalle'!$G53),1,""))</x:f>
      </x:c>
      <x:c r="Q101" s="27" t="str">
        <x:f>IF(OR('Detalle'!$G53="",'Detalle'!$H53=""),"",IF(AND(Q$8&lt;='Detalle'!$H53,Q$9&gt;='Detalle'!$G53),1,""))</x:f>
      </x:c>
      <x:c r="R101" s="49"/>
      <x:c r="S101" s="30" t="str">
        <x:f>IF('Detalle'!L53="","",'Detalle'!L53)</x:f>
        <x:v>Alan</x:v>
      </x:c>
      <x:c r="T101" s="30" t="str">
        <x:f>IF('Detalle'!M53="","",'Detalle'!M53)</x:f>
      </x:c>
    </x:row>
    <x:row r="102" ht="17" customHeight="1">
      <x:c r="A102" s="28" t="str">
        <x:v>BD-09</x:v>
      </x:c>
      <x:c r="B102" s="28" t="str">
        <x:v>Comunidad</x:v>
      </x:c>
      <x:c r="C102" s="28" t="str">
        <x:v>Implementar comentarios y reacciones</x:v>
      </x:c>
      <x:c r="D102" s="47" t="str">
        <x:v>R</x:v>
      </x:c>
      <x:c r="E102" s="48" t="n">
        <x:f>IF('Detalle'!J53="","",'Detalle'!J53)</x:f>
        <x:v>1</x:v>
      </x:c>
      <x:c r="F102" s="44" t="str"/>
      <x:c r="G102" s="27" t="str">
        <x:f>IF(AND('Detalle'!$F53="Completado",G101=1),1,"")</x:f>
      </x:c>
      <x:c r="H102" s="27" t="str">
        <x:f>IF(AND('Detalle'!$F53="Completado",H101=1),1,"")</x:f>
      </x:c>
      <x:c r="I102" s="27" t="str">
        <x:f>IF(AND('Detalle'!$F53="Completado",I101=1),1,"")</x:f>
      </x:c>
      <x:c r="J102" s="27" t="n">
        <x:f>IF(AND('Detalle'!$F53="Completado",J101=1),1,"")</x:f>
        <x:v>1</x:v>
      </x:c>
      <x:c r="K102" s="27" t="str">
        <x:f>IF(AND('Detalle'!$F53="Completado",K101=1),1,"")</x:f>
      </x:c>
      <x:c r="L102" s="27" t="str">
        <x:f>IF(AND('Detalle'!$F53="Completado",L101=1),1,"")</x:f>
      </x:c>
      <x:c r="M102" s="27" t="str">
        <x:f>IF(AND('Detalle'!$F53="Completado",M101=1),1,"")</x:f>
      </x:c>
      <x:c r="N102" s="27" t="str">
        <x:f>IF(AND('Detalle'!$F53="Completado",N101=1),1,"")</x:f>
      </x:c>
      <x:c r="O102" s="27" t="str">
        <x:f>IF(AND('Detalle'!$F53="Completado",O101=1),1,"")</x:f>
      </x:c>
      <x:c r="P102" s="27" t="str">
        <x:f>IF(AND('Detalle'!$F53="Completado",P101=1),1,"")</x:f>
      </x:c>
      <x:c r="Q102" s="27" t="str">
        <x:f>IF(AND('Detalle'!$F53="Completado",Q101=1),1,"")</x:f>
      </x:c>
      <x:c r="R102" s="49"/>
      <x:c r="S102" s="30" t="str"/>
      <x:c r="T102" s="30" t="str"/>
    </x:row>
    <x:row r="103" ht="17" customHeight="1">
      <x:c r="A103" s="28" t="str">
        <x:v>BD-10</x:v>
      </x:c>
      <x:c r="B103" s="28" t="str">
        <x:v>Comunidad</x:v>
      </x:c>
      <x:c r="C103" s="28" t="str">
        <x:v>Implementar guardados privados</x:v>
      </x:c>
      <x:c r="D103" s="46" t="str">
        <x:v>E</x:v>
      </x:c>
      <x:c r="E103" s="48" t="n">
        <x:f>IF('Detalle'!I54="","",'Detalle'!I54)</x:f>
        <x:v>1</x:v>
      </x:c>
      <x:c r="F103" s="44" t="str">
        <x:f>IF('Detalle'!F54="","",'Detalle'!F54)</x:f>
        <x:v>Completado</x:v>
      </x:c>
      <x:c r="G103" s="27" t="str">
        <x:f>IF(OR('Detalle'!$G54="",'Detalle'!$H54=""),"",IF(AND(G$8&lt;='Detalle'!$H54,G$9&gt;='Detalle'!$G54),1,""))</x:f>
      </x:c>
      <x:c r="H103" s="27" t="str">
        <x:f>IF(OR('Detalle'!$G54="",'Detalle'!$H54=""),"",IF(AND(H$8&lt;='Detalle'!$H54,H$9&gt;='Detalle'!$G54),1,""))</x:f>
      </x:c>
      <x:c r="I103" s="27" t="str">
        <x:f>IF(OR('Detalle'!$G54="",'Detalle'!$H54=""),"",IF(AND(I$8&lt;='Detalle'!$H54,I$9&gt;='Detalle'!$G54),1,""))</x:f>
      </x:c>
      <x:c r="J103" s="27" t="n">
        <x:f>IF(OR('Detalle'!$G54="",'Detalle'!$H54=""),"",IF(AND(J$8&lt;='Detalle'!$H54,J$9&gt;='Detalle'!$G54),1,""))</x:f>
        <x:v>1</x:v>
      </x:c>
      <x:c r="K103" s="27" t="str">
        <x:f>IF(OR('Detalle'!$G54="",'Detalle'!$H54=""),"",IF(AND(K$8&lt;='Detalle'!$H54,K$9&gt;='Detalle'!$G54),1,""))</x:f>
      </x:c>
      <x:c r="L103" s="27" t="str">
        <x:f>IF(OR('Detalle'!$G54="",'Detalle'!$H54=""),"",IF(AND(L$8&lt;='Detalle'!$H54,L$9&gt;='Detalle'!$G54),1,""))</x:f>
      </x:c>
      <x:c r="M103" s="27" t="str">
        <x:f>IF(OR('Detalle'!$G54="",'Detalle'!$H54=""),"",IF(AND(M$8&lt;='Detalle'!$H54,M$9&gt;='Detalle'!$G54),1,""))</x:f>
      </x:c>
      <x:c r="N103" s="27" t="str">
        <x:f>IF(OR('Detalle'!$G54="",'Detalle'!$H54=""),"",IF(AND(N$8&lt;='Detalle'!$H54,N$9&gt;='Detalle'!$G54),1,""))</x:f>
      </x:c>
      <x:c r="O103" s="27" t="str">
        <x:f>IF(OR('Detalle'!$G54="",'Detalle'!$H54=""),"",IF(AND(O$8&lt;='Detalle'!$H54,O$9&gt;='Detalle'!$G54),1,""))</x:f>
      </x:c>
      <x:c r="P103" s="27" t="str">
        <x:f>IF(OR('Detalle'!$G54="",'Detalle'!$H54=""),"",IF(AND(P$8&lt;='Detalle'!$H54,P$9&gt;='Detalle'!$G54),1,""))</x:f>
      </x:c>
      <x:c r="Q103" s="27" t="str">
        <x:f>IF(OR('Detalle'!$G54="",'Detalle'!$H54=""),"",IF(AND(Q$8&lt;='Detalle'!$H54,Q$9&gt;='Detalle'!$G54),1,""))</x:f>
      </x:c>
      <x:c r="R103" s="49"/>
      <x:c r="S103" s="30" t="str">
        <x:f>IF('Detalle'!L54="","",'Detalle'!L54)</x:f>
        <x:v>Alan</x:v>
      </x:c>
      <x:c r="T103" s="30" t="str">
        <x:f>IF('Detalle'!M54="","",'Detalle'!M54)</x:f>
      </x:c>
    </x:row>
    <x:row r="104" ht="17" customHeight="1">
      <x:c r="A104" s="28" t="str">
        <x:v>BD-10</x:v>
      </x:c>
      <x:c r="B104" s="28" t="str">
        <x:v>Comunidad</x:v>
      </x:c>
      <x:c r="C104" s="28" t="str">
        <x:v>Implementar guardados privados</x:v>
      </x:c>
      <x:c r="D104" s="47" t="str">
        <x:v>R</x:v>
      </x:c>
      <x:c r="E104" s="48" t="n">
        <x:f>IF('Detalle'!J54="","",'Detalle'!J54)</x:f>
        <x:v>1</x:v>
      </x:c>
      <x:c r="F104" s="44" t="str"/>
      <x:c r="G104" s="27" t="str">
        <x:f>IF(AND('Detalle'!$F54="Completado",G103=1),1,"")</x:f>
      </x:c>
      <x:c r="H104" s="27" t="str">
        <x:f>IF(AND('Detalle'!$F54="Completado",H103=1),1,"")</x:f>
      </x:c>
      <x:c r="I104" s="27" t="str">
        <x:f>IF(AND('Detalle'!$F54="Completado",I103=1),1,"")</x:f>
      </x:c>
      <x:c r="J104" s="27" t="n">
        <x:f>IF(AND('Detalle'!$F54="Completado",J103=1),1,"")</x:f>
        <x:v>1</x:v>
      </x:c>
      <x:c r="K104" s="27" t="str">
        <x:f>IF(AND('Detalle'!$F54="Completado",K103=1),1,"")</x:f>
      </x:c>
      <x:c r="L104" s="27" t="str">
        <x:f>IF(AND('Detalle'!$F54="Completado",L103=1),1,"")</x:f>
      </x:c>
      <x:c r="M104" s="27" t="str">
        <x:f>IF(AND('Detalle'!$F54="Completado",M103=1),1,"")</x:f>
      </x:c>
      <x:c r="N104" s="27" t="str">
        <x:f>IF(AND('Detalle'!$F54="Completado",N103=1),1,"")</x:f>
      </x:c>
      <x:c r="O104" s="27" t="str">
        <x:f>IF(AND('Detalle'!$F54="Completado",O103=1),1,"")</x:f>
      </x:c>
      <x:c r="P104" s="27" t="str">
        <x:f>IF(AND('Detalle'!$F54="Completado",P103=1),1,"")</x:f>
      </x:c>
      <x:c r="Q104" s="27" t="str">
        <x:f>IF(AND('Detalle'!$F54="Completado",Q103=1),1,"")</x:f>
      </x:c>
      <x:c r="R104" s="49"/>
      <x:c r="S104" s="30" t="str"/>
      <x:c r="T104" s="30" t="str"/>
    </x:row>
    <x:row r="105" ht="17" customHeight="1">
      <x:c r="A105" s="28" t="str">
        <x:v>BD-11</x:v>
      </x:c>
      <x:c r="B105" s="28" t="str">
        <x:v>Comunidad</x:v>
      </x:c>
      <x:c r="C105" s="28" t="str">
        <x:v>Implementar intereses, enlaces y eventos en tiempo real</x:v>
      </x:c>
      <x:c r="D105" s="46" t="str">
        <x:v>E</x:v>
      </x:c>
      <x:c r="E105" s="48" t="n">
        <x:f>IF('Detalle'!I55="","",'Detalle'!I55)</x:f>
        <x:v>1</x:v>
      </x:c>
      <x:c r="F105" s="44" t="str">
        <x:f>IF('Detalle'!F55="","",'Detalle'!F55)</x:f>
        <x:v>Completado</x:v>
      </x:c>
      <x:c r="G105" s="27" t="str">
        <x:f>IF(OR('Detalle'!$G55="",'Detalle'!$H55=""),"",IF(AND(G$8&lt;='Detalle'!$H55,G$9&gt;='Detalle'!$G55),1,""))</x:f>
      </x:c>
      <x:c r="H105" s="27" t="str">
        <x:f>IF(OR('Detalle'!$G55="",'Detalle'!$H55=""),"",IF(AND(H$8&lt;='Detalle'!$H55,H$9&gt;='Detalle'!$G55),1,""))</x:f>
      </x:c>
      <x:c r="I105" s="27" t="str">
        <x:f>IF(OR('Detalle'!$G55="",'Detalle'!$H55=""),"",IF(AND(I$8&lt;='Detalle'!$H55,I$9&gt;='Detalle'!$G55),1,""))</x:f>
      </x:c>
      <x:c r="J105" s="27" t="n">
        <x:f>IF(OR('Detalle'!$G55="",'Detalle'!$H55=""),"",IF(AND(J$8&lt;='Detalle'!$H55,J$9&gt;='Detalle'!$G55),1,""))</x:f>
        <x:v>1</x:v>
      </x:c>
      <x:c r="K105" s="27" t="str">
        <x:f>IF(OR('Detalle'!$G55="",'Detalle'!$H55=""),"",IF(AND(K$8&lt;='Detalle'!$H55,K$9&gt;='Detalle'!$G55),1,""))</x:f>
      </x:c>
      <x:c r="L105" s="27" t="str">
        <x:f>IF(OR('Detalle'!$G55="",'Detalle'!$H55=""),"",IF(AND(L$8&lt;='Detalle'!$H55,L$9&gt;='Detalle'!$G55),1,""))</x:f>
      </x:c>
      <x:c r="M105" s="27" t="str">
        <x:f>IF(OR('Detalle'!$G55="",'Detalle'!$H55=""),"",IF(AND(M$8&lt;='Detalle'!$H55,M$9&gt;='Detalle'!$G55),1,""))</x:f>
      </x:c>
      <x:c r="N105" s="27" t="str">
        <x:f>IF(OR('Detalle'!$G55="",'Detalle'!$H55=""),"",IF(AND(N$8&lt;='Detalle'!$H55,N$9&gt;='Detalle'!$G55),1,""))</x:f>
      </x:c>
      <x:c r="O105" s="27" t="str">
        <x:f>IF(OR('Detalle'!$G55="",'Detalle'!$H55=""),"",IF(AND(O$8&lt;='Detalle'!$H55,O$9&gt;='Detalle'!$G55),1,""))</x:f>
      </x:c>
      <x:c r="P105" s="27" t="str">
        <x:f>IF(OR('Detalle'!$G55="",'Detalle'!$H55=""),"",IF(AND(P$8&lt;='Detalle'!$H55,P$9&gt;='Detalle'!$G55),1,""))</x:f>
      </x:c>
      <x:c r="Q105" s="27" t="str">
        <x:f>IF(OR('Detalle'!$G55="",'Detalle'!$H55=""),"",IF(AND(Q$8&lt;='Detalle'!$H55,Q$9&gt;='Detalle'!$G55),1,""))</x:f>
      </x:c>
      <x:c r="R105" s="49"/>
      <x:c r="S105" s="30" t="str">
        <x:f>IF('Detalle'!L55="","",'Detalle'!L55)</x:f>
        <x:v>Alan</x:v>
      </x:c>
      <x:c r="T105" s="30" t="str">
        <x:f>IF('Detalle'!M55="","",'Detalle'!M55)</x:f>
      </x:c>
    </x:row>
    <x:row r="106" ht="17" customHeight="1">
      <x:c r="A106" s="28" t="str">
        <x:v>BD-11</x:v>
      </x:c>
      <x:c r="B106" s="28" t="str">
        <x:v>Comunidad</x:v>
      </x:c>
      <x:c r="C106" s="28" t="str">
        <x:v>Implementar intereses, enlaces y eventos en tiempo real</x:v>
      </x:c>
      <x:c r="D106" s="47" t="str">
        <x:v>R</x:v>
      </x:c>
      <x:c r="E106" s="48" t="n">
        <x:f>IF('Detalle'!J55="","",'Detalle'!J55)</x:f>
        <x:v>1</x:v>
      </x:c>
      <x:c r="F106" s="44" t="str"/>
      <x:c r="G106" s="27" t="str">
        <x:f>IF(AND('Detalle'!$F55="Completado",G105=1),1,"")</x:f>
      </x:c>
      <x:c r="H106" s="27" t="str">
        <x:f>IF(AND('Detalle'!$F55="Completado",H105=1),1,"")</x:f>
      </x:c>
      <x:c r="I106" s="27" t="str">
        <x:f>IF(AND('Detalle'!$F55="Completado",I105=1),1,"")</x:f>
      </x:c>
      <x:c r="J106" s="27" t="n">
        <x:f>IF(AND('Detalle'!$F55="Completado",J105=1),1,"")</x:f>
        <x:v>1</x:v>
      </x:c>
      <x:c r="K106" s="27" t="str">
        <x:f>IF(AND('Detalle'!$F55="Completado",K105=1),1,"")</x:f>
      </x:c>
      <x:c r="L106" s="27" t="str">
        <x:f>IF(AND('Detalle'!$F55="Completado",L105=1),1,"")</x:f>
      </x:c>
      <x:c r="M106" s="27" t="str">
        <x:f>IF(AND('Detalle'!$F55="Completado",M105=1),1,"")</x:f>
      </x:c>
      <x:c r="N106" s="27" t="str">
        <x:f>IF(AND('Detalle'!$F55="Completado",N105=1),1,"")</x:f>
      </x:c>
      <x:c r="O106" s="27" t="str">
        <x:f>IF(AND('Detalle'!$F55="Completado",O105=1),1,"")</x:f>
      </x:c>
      <x:c r="P106" s="27" t="str">
        <x:f>IF(AND('Detalle'!$F55="Completado",P105=1),1,"")</x:f>
      </x:c>
      <x:c r="Q106" s="27" t="str">
        <x:f>IF(AND('Detalle'!$F55="Completado",Q105=1),1,"")</x:f>
      </x:c>
      <x:c r="R106" s="49"/>
      <x:c r="S106" s="30" t="str"/>
      <x:c r="T106" s="30" t="str"/>
    </x:row>
    <x:row r="107" ht="17" customHeight="1">
      <x:c r="A107" s="28" t="str">
        <x:v>BD-12</x:v>
      </x:c>
      <x:c r="B107" s="28" t="str">
        <x:v>Misiones</x:v>
      </x:c>
      <x:c r="C107" s="28" t="str">
        <x:v>Crear modelo y ciclo de vida de misiones</x:v>
      </x:c>
      <x:c r="D107" s="46" t="str">
        <x:v>E</x:v>
      </x:c>
      <x:c r="E107" s="48" t="n">
        <x:f>IF('Detalle'!I56="","",'Detalle'!I56)</x:f>
        <x:v>1</x:v>
      </x:c>
      <x:c r="F107" s="44" t="str">
        <x:f>IF('Detalle'!F56="","",'Detalle'!F56)</x:f>
        <x:v>Completado</x:v>
      </x:c>
      <x:c r="G107" s="27" t="str">
        <x:f>IF(OR('Detalle'!$G56="",'Detalle'!$H56=""),"",IF(AND(G$8&lt;='Detalle'!$H56,G$9&gt;='Detalle'!$G56),1,""))</x:f>
      </x:c>
      <x:c r="H107" s="27" t="str">
        <x:f>IF(OR('Detalle'!$G56="",'Detalle'!$H56=""),"",IF(AND(H$8&lt;='Detalle'!$H56,H$9&gt;='Detalle'!$G56),1,""))</x:f>
      </x:c>
      <x:c r="I107" s="27" t="n">
        <x:f>IF(OR('Detalle'!$G56="",'Detalle'!$H56=""),"",IF(AND(I$8&lt;='Detalle'!$H56,I$9&gt;='Detalle'!$G56),1,""))</x:f>
        <x:v>1</x:v>
      </x:c>
      <x:c r="J107" s="27" t="str">
        <x:f>IF(OR('Detalle'!$G56="",'Detalle'!$H56=""),"",IF(AND(J$8&lt;='Detalle'!$H56,J$9&gt;='Detalle'!$G56),1,""))</x:f>
      </x:c>
      <x:c r="K107" s="27" t="str">
        <x:f>IF(OR('Detalle'!$G56="",'Detalle'!$H56=""),"",IF(AND(K$8&lt;='Detalle'!$H56,K$9&gt;='Detalle'!$G56),1,""))</x:f>
      </x:c>
      <x:c r="L107" s="27" t="str">
        <x:f>IF(OR('Detalle'!$G56="",'Detalle'!$H56=""),"",IF(AND(L$8&lt;='Detalle'!$H56,L$9&gt;='Detalle'!$G56),1,""))</x:f>
      </x:c>
      <x:c r="M107" s="27" t="str">
        <x:f>IF(OR('Detalle'!$G56="",'Detalle'!$H56=""),"",IF(AND(M$8&lt;='Detalle'!$H56,M$9&gt;='Detalle'!$G56),1,""))</x:f>
      </x:c>
      <x:c r="N107" s="27" t="str">
        <x:f>IF(OR('Detalle'!$G56="",'Detalle'!$H56=""),"",IF(AND(N$8&lt;='Detalle'!$H56,N$9&gt;='Detalle'!$G56),1,""))</x:f>
      </x:c>
      <x:c r="O107" s="27" t="str">
        <x:f>IF(OR('Detalle'!$G56="",'Detalle'!$H56=""),"",IF(AND(O$8&lt;='Detalle'!$H56,O$9&gt;='Detalle'!$G56),1,""))</x:f>
      </x:c>
      <x:c r="P107" s="27" t="str">
        <x:f>IF(OR('Detalle'!$G56="",'Detalle'!$H56=""),"",IF(AND(P$8&lt;='Detalle'!$H56,P$9&gt;='Detalle'!$G56),1,""))</x:f>
      </x:c>
      <x:c r="Q107" s="27" t="str">
        <x:f>IF(OR('Detalle'!$G56="",'Detalle'!$H56=""),"",IF(AND(Q$8&lt;='Detalle'!$H56,Q$9&gt;='Detalle'!$G56),1,""))</x:f>
      </x:c>
      <x:c r="R107" s="49"/>
      <x:c r="S107" s="30" t="str">
        <x:f>IF('Detalle'!L56="","",'Detalle'!L56)</x:f>
        <x:v>Alan</x:v>
      </x:c>
      <x:c r="T107" s="30" t="str">
        <x:f>IF('Detalle'!M56="","",'Detalle'!M56)</x:f>
      </x:c>
    </x:row>
    <x:row r="108" ht="17" customHeight="1">
      <x:c r="A108" s="28" t="str">
        <x:v>BD-12</x:v>
      </x:c>
      <x:c r="B108" s="28" t="str">
        <x:v>Misiones</x:v>
      </x:c>
      <x:c r="C108" s="28" t="str">
        <x:v>Crear modelo y ciclo de vida de misiones</x:v>
      </x:c>
      <x:c r="D108" s="47" t="str">
        <x:v>R</x:v>
      </x:c>
      <x:c r="E108" s="48" t="n">
        <x:f>IF('Detalle'!J56="","",'Detalle'!J56)</x:f>
        <x:v>1</x:v>
      </x:c>
      <x:c r="F108" s="44" t="str"/>
      <x:c r="G108" s="27" t="str">
        <x:f>IF(AND('Detalle'!$F56="Completado",G107=1),1,"")</x:f>
      </x:c>
      <x:c r="H108" s="27" t="str">
        <x:f>IF(AND('Detalle'!$F56="Completado",H107=1),1,"")</x:f>
      </x:c>
      <x:c r="I108" s="27" t="n">
        <x:f>IF(AND('Detalle'!$F56="Completado",I107=1),1,"")</x:f>
        <x:v>1</x:v>
      </x:c>
      <x:c r="J108" s="27" t="str">
        <x:f>IF(AND('Detalle'!$F56="Completado",J107=1),1,"")</x:f>
      </x:c>
      <x:c r="K108" s="27" t="str">
        <x:f>IF(AND('Detalle'!$F56="Completado",K107=1),1,"")</x:f>
      </x:c>
      <x:c r="L108" s="27" t="str">
        <x:f>IF(AND('Detalle'!$F56="Completado",L107=1),1,"")</x:f>
      </x:c>
      <x:c r="M108" s="27" t="str">
        <x:f>IF(AND('Detalle'!$F56="Completado",M107=1),1,"")</x:f>
      </x:c>
      <x:c r="N108" s="27" t="str">
        <x:f>IF(AND('Detalle'!$F56="Completado",N107=1),1,"")</x:f>
      </x:c>
      <x:c r="O108" s="27" t="str">
        <x:f>IF(AND('Detalle'!$F56="Completado",O107=1),1,"")</x:f>
      </x:c>
      <x:c r="P108" s="27" t="str">
        <x:f>IF(AND('Detalle'!$F56="Completado",P107=1),1,"")</x:f>
      </x:c>
      <x:c r="Q108" s="27" t="str">
        <x:f>IF(AND('Detalle'!$F56="Completado",Q107=1),1,"")</x:f>
      </x:c>
      <x:c r="R108" s="49"/>
      <x:c r="S108" s="30" t="str"/>
      <x:c r="T108" s="30" t="str"/>
    </x:row>
    <x:row r="109" ht="17" customHeight="1">
      <x:c r="A109" s="28" t="str">
        <x:v>BD-13</x:v>
      </x:c>
      <x:c r="B109" s="28" t="str">
        <x:v>Misiones</x:v>
      </x:c>
      <x:c r="C109" s="28" t="str">
        <x:v>Implementar fechas, cupos y operaciones atómicas</x:v>
      </x:c>
      <x:c r="D109" s="46" t="str">
        <x:v>E</x:v>
      </x:c>
      <x:c r="E109" s="48" t="n">
        <x:f>IF('Detalle'!I57="","",'Detalle'!I57)</x:f>
        <x:v>1</x:v>
      </x:c>
      <x:c r="F109" s="44" t="str">
        <x:f>IF('Detalle'!F57="","",'Detalle'!F57)</x:f>
        <x:v>Completado</x:v>
      </x:c>
      <x:c r="G109" s="27" t="str">
        <x:f>IF(OR('Detalle'!$G57="",'Detalle'!$H57=""),"",IF(AND(G$8&lt;='Detalle'!$H57,G$9&gt;='Detalle'!$G57),1,""))</x:f>
      </x:c>
      <x:c r="H109" s="27" t="str">
        <x:f>IF(OR('Detalle'!$G57="",'Detalle'!$H57=""),"",IF(AND(H$8&lt;='Detalle'!$H57,H$9&gt;='Detalle'!$G57),1,""))</x:f>
      </x:c>
      <x:c r="I109" s="27" t="str">
        <x:f>IF(OR('Detalle'!$G57="",'Detalle'!$H57=""),"",IF(AND(I$8&lt;='Detalle'!$H57,I$9&gt;='Detalle'!$G57),1,""))</x:f>
      </x:c>
      <x:c r="J109" s="27" t="n">
        <x:f>IF(OR('Detalle'!$G57="",'Detalle'!$H57=""),"",IF(AND(J$8&lt;='Detalle'!$H57,J$9&gt;='Detalle'!$G57),1,""))</x:f>
        <x:v>1</x:v>
      </x:c>
      <x:c r="K109" s="27" t="str">
        <x:f>IF(OR('Detalle'!$G57="",'Detalle'!$H57=""),"",IF(AND(K$8&lt;='Detalle'!$H57,K$9&gt;='Detalle'!$G57),1,""))</x:f>
      </x:c>
      <x:c r="L109" s="27" t="str">
        <x:f>IF(OR('Detalle'!$G57="",'Detalle'!$H57=""),"",IF(AND(L$8&lt;='Detalle'!$H57,L$9&gt;='Detalle'!$G57),1,""))</x:f>
      </x:c>
      <x:c r="M109" s="27" t="str">
        <x:f>IF(OR('Detalle'!$G57="",'Detalle'!$H57=""),"",IF(AND(M$8&lt;='Detalle'!$H57,M$9&gt;='Detalle'!$G57),1,""))</x:f>
      </x:c>
      <x:c r="N109" s="27" t="str">
        <x:f>IF(OR('Detalle'!$G57="",'Detalle'!$H57=""),"",IF(AND(N$8&lt;='Detalle'!$H57,N$9&gt;='Detalle'!$G57),1,""))</x:f>
      </x:c>
      <x:c r="O109" s="27" t="str">
        <x:f>IF(OR('Detalle'!$G57="",'Detalle'!$H57=""),"",IF(AND(O$8&lt;='Detalle'!$H57,O$9&gt;='Detalle'!$G57),1,""))</x:f>
      </x:c>
      <x:c r="P109" s="27" t="str">
        <x:f>IF(OR('Detalle'!$G57="",'Detalle'!$H57=""),"",IF(AND(P$8&lt;='Detalle'!$H57,P$9&gt;='Detalle'!$G57),1,""))</x:f>
      </x:c>
      <x:c r="Q109" s="27" t="str">
        <x:f>IF(OR('Detalle'!$G57="",'Detalle'!$H57=""),"",IF(AND(Q$8&lt;='Detalle'!$H57,Q$9&gt;='Detalle'!$G57),1,""))</x:f>
      </x:c>
      <x:c r="R109" s="49"/>
      <x:c r="S109" s="30" t="str">
        <x:f>IF('Detalle'!L57="","",'Detalle'!L57)</x:f>
        <x:v>Alan</x:v>
      </x:c>
      <x:c r="T109" s="30" t="str">
        <x:f>IF('Detalle'!M57="","",'Detalle'!M57)</x:f>
      </x:c>
    </x:row>
    <x:row r="110" ht="17" customHeight="1">
      <x:c r="A110" s="28" t="str">
        <x:v>BD-13</x:v>
      </x:c>
      <x:c r="B110" s="28" t="str">
        <x:v>Misiones</x:v>
      </x:c>
      <x:c r="C110" s="28" t="str">
        <x:v>Implementar fechas, cupos y operaciones atómicas</x:v>
      </x:c>
      <x:c r="D110" s="47" t="str">
        <x:v>R</x:v>
      </x:c>
      <x:c r="E110" s="48" t="n">
        <x:f>IF('Detalle'!J57="","",'Detalle'!J57)</x:f>
        <x:v>1</x:v>
      </x:c>
      <x:c r="F110" s="44" t="str"/>
      <x:c r="G110" s="27" t="str">
        <x:f>IF(AND('Detalle'!$F57="Completado",G109=1),1,"")</x:f>
      </x:c>
      <x:c r="H110" s="27" t="str">
        <x:f>IF(AND('Detalle'!$F57="Completado",H109=1),1,"")</x:f>
      </x:c>
      <x:c r="I110" s="27" t="str">
        <x:f>IF(AND('Detalle'!$F57="Completado",I109=1),1,"")</x:f>
      </x:c>
      <x:c r="J110" s="27" t="n">
        <x:f>IF(AND('Detalle'!$F57="Completado",J109=1),1,"")</x:f>
        <x:v>1</x:v>
      </x:c>
      <x:c r="K110" s="27" t="str">
        <x:f>IF(AND('Detalle'!$F57="Completado",K109=1),1,"")</x:f>
      </x:c>
      <x:c r="L110" s="27" t="str">
        <x:f>IF(AND('Detalle'!$F57="Completado",L109=1),1,"")</x:f>
      </x:c>
      <x:c r="M110" s="27" t="str">
        <x:f>IF(AND('Detalle'!$F57="Completado",M109=1),1,"")</x:f>
      </x:c>
      <x:c r="N110" s="27" t="str">
        <x:f>IF(AND('Detalle'!$F57="Completado",N109=1),1,"")</x:f>
      </x:c>
      <x:c r="O110" s="27" t="str">
        <x:f>IF(AND('Detalle'!$F57="Completado",O109=1),1,"")</x:f>
      </x:c>
      <x:c r="P110" s="27" t="str">
        <x:f>IF(AND('Detalle'!$F57="Completado",P109=1),1,"")</x:f>
      </x:c>
      <x:c r="Q110" s="27" t="str">
        <x:f>IF(AND('Detalle'!$F57="Completado",Q109=1),1,"")</x:f>
      </x:c>
      <x:c r="R110" s="49"/>
      <x:c r="S110" s="30" t="str"/>
      <x:c r="T110" s="30" t="str"/>
    </x:row>
    <x:row r="111" ht="17" customHeight="1">
      <x:c r="A111" s="28" t="str">
        <x:v>BD-14</x:v>
      </x:c>
      <x:c r="B111" s="28" t="str">
        <x:v>Misiones</x:v>
      </x:c>
      <x:c r="C111" s="28" t="str">
        <x:v>Guardar candidaturas estructuradas</x:v>
      </x:c>
      <x:c r="D111" s="46" t="str">
        <x:v>E</x:v>
      </x:c>
      <x:c r="E111" s="48" t="n">
        <x:f>IF('Detalle'!I58="","",'Detalle'!I58)</x:f>
        <x:v>1</x:v>
      </x:c>
      <x:c r="F111" s="44" t="str">
        <x:f>IF('Detalle'!F58="","",'Detalle'!F58)</x:f>
        <x:v>Completado</x:v>
      </x:c>
      <x:c r="G111" s="27" t="str">
        <x:f>IF(OR('Detalle'!$G58="",'Detalle'!$H58=""),"",IF(AND(G$8&lt;='Detalle'!$H58,G$9&gt;='Detalle'!$G58),1,""))</x:f>
      </x:c>
      <x:c r="H111" s="27" t="str">
        <x:f>IF(OR('Detalle'!$G58="",'Detalle'!$H58=""),"",IF(AND(H$8&lt;='Detalle'!$H58,H$9&gt;='Detalle'!$G58),1,""))</x:f>
      </x:c>
      <x:c r="I111" s="27" t="str">
        <x:f>IF(OR('Detalle'!$G58="",'Detalle'!$H58=""),"",IF(AND(I$8&lt;='Detalle'!$H58,I$9&gt;='Detalle'!$G58),1,""))</x:f>
      </x:c>
      <x:c r="J111" s="27" t="n">
        <x:f>IF(OR('Detalle'!$G58="",'Detalle'!$H58=""),"",IF(AND(J$8&lt;='Detalle'!$H58,J$9&gt;='Detalle'!$G58),1,""))</x:f>
        <x:v>1</x:v>
      </x:c>
      <x:c r="K111" s="27" t="str">
        <x:f>IF(OR('Detalle'!$G58="",'Detalle'!$H58=""),"",IF(AND(K$8&lt;='Detalle'!$H58,K$9&gt;='Detalle'!$G58),1,""))</x:f>
      </x:c>
      <x:c r="L111" s="27" t="str">
        <x:f>IF(OR('Detalle'!$G58="",'Detalle'!$H58=""),"",IF(AND(L$8&lt;='Detalle'!$H58,L$9&gt;='Detalle'!$G58),1,""))</x:f>
      </x:c>
      <x:c r="M111" s="27" t="str">
        <x:f>IF(OR('Detalle'!$G58="",'Detalle'!$H58=""),"",IF(AND(M$8&lt;='Detalle'!$H58,M$9&gt;='Detalle'!$G58),1,""))</x:f>
      </x:c>
      <x:c r="N111" s="27" t="str">
        <x:f>IF(OR('Detalle'!$G58="",'Detalle'!$H58=""),"",IF(AND(N$8&lt;='Detalle'!$H58,N$9&gt;='Detalle'!$G58),1,""))</x:f>
      </x:c>
      <x:c r="O111" s="27" t="str">
        <x:f>IF(OR('Detalle'!$G58="",'Detalle'!$H58=""),"",IF(AND(O$8&lt;='Detalle'!$H58,O$9&gt;='Detalle'!$G58),1,""))</x:f>
      </x:c>
      <x:c r="P111" s="27" t="str">
        <x:f>IF(OR('Detalle'!$G58="",'Detalle'!$H58=""),"",IF(AND(P$8&lt;='Detalle'!$H58,P$9&gt;='Detalle'!$G58),1,""))</x:f>
      </x:c>
      <x:c r="Q111" s="27" t="str">
        <x:f>IF(OR('Detalle'!$G58="",'Detalle'!$H58=""),"",IF(AND(Q$8&lt;='Detalle'!$H58,Q$9&gt;='Detalle'!$G58),1,""))</x:f>
      </x:c>
      <x:c r="R111" s="49"/>
      <x:c r="S111" s="30" t="str">
        <x:f>IF('Detalle'!L58="","",'Detalle'!L58)</x:f>
        <x:v>Alan</x:v>
      </x:c>
      <x:c r="T111" s="30" t="str">
        <x:f>IF('Detalle'!M58="","",'Detalle'!M58)</x:f>
      </x:c>
    </x:row>
    <x:row r="112" ht="17" customHeight="1">
      <x:c r="A112" s="28" t="str">
        <x:v>BD-14</x:v>
      </x:c>
      <x:c r="B112" s="28" t="str">
        <x:v>Misiones</x:v>
      </x:c>
      <x:c r="C112" s="28" t="str">
        <x:v>Guardar candidaturas estructuradas</x:v>
      </x:c>
      <x:c r="D112" s="47" t="str">
        <x:v>R</x:v>
      </x:c>
      <x:c r="E112" s="48" t="n">
        <x:f>IF('Detalle'!J58="","",'Detalle'!J58)</x:f>
        <x:v>1</x:v>
      </x:c>
      <x:c r="F112" s="44" t="str"/>
      <x:c r="G112" s="27" t="str">
        <x:f>IF(AND('Detalle'!$F58="Completado",G111=1),1,"")</x:f>
      </x:c>
      <x:c r="H112" s="27" t="str">
        <x:f>IF(AND('Detalle'!$F58="Completado",H111=1),1,"")</x:f>
      </x:c>
      <x:c r="I112" s="27" t="str">
        <x:f>IF(AND('Detalle'!$F58="Completado",I111=1),1,"")</x:f>
      </x:c>
      <x:c r="J112" s="27" t="n">
        <x:f>IF(AND('Detalle'!$F58="Completado",J111=1),1,"")</x:f>
        <x:v>1</x:v>
      </x:c>
      <x:c r="K112" s="27" t="str">
        <x:f>IF(AND('Detalle'!$F58="Completado",K111=1),1,"")</x:f>
      </x:c>
      <x:c r="L112" s="27" t="str">
        <x:f>IF(AND('Detalle'!$F58="Completado",L111=1),1,"")</x:f>
      </x:c>
      <x:c r="M112" s="27" t="str">
        <x:f>IF(AND('Detalle'!$F58="Completado",M111=1),1,"")</x:f>
      </x:c>
      <x:c r="N112" s="27" t="str">
        <x:f>IF(AND('Detalle'!$F58="Completado",N111=1),1,"")</x:f>
      </x:c>
      <x:c r="O112" s="27" t="str">
        <x:f>IF(AND('Detalle'!$F58="Completado",O111=1),1,"")</x:f>
      </x:c>
      <x:c r="P112" s="27" t="str">
        <x:f>IF(AND('Detalle'!$F58="Completado",P111=1),1,"")</x:f>
      </x:c>
      <x:c r="Q112" s="27" t="str">
        <x:f>IF(AND('Detalle'!$F58="Completado",Q111=1),1,"")</x:f>
      </x:c>
      <x:c r="R112" s="49"/>
      <x:c r="S112" s="30" t="str"/>
      <x:c r="T112" s="30" t="str"/>
    </x:row>
    <x:row r="113" ht="17" customHeight="1">
      <x:c r="A113" s="28" t="str">
        <x:v>BD-15</x:v>
      </x:c>
      <x:c r="B113" s="28" t="str">
        <x:v>Misiones</x:v>
      </x:c>
      <x:c r="C113" s="28" t="str">
        <x:v>Implementar evaluación de finalistas y avisos</x:v>
      </x:c>
      <x:c r="D113" s="46" t="str">
        <x:v>E</x:v>
      </x:c>
      <x:c r="E113" s="48" t="n">
        <x:f>IF('Detalle'!I59="","",'Detalle'!I59)</x:f>
        <x:v>1</x:v>
      </x:c>
      <x:c r="F113" s="44" t="str">
        <x:f>IF('Detalle'!F59="","",'Detalle'!F59)</x:f>
        <x:v>Completado</x:v>
      </x:c>
      <x:c r="G113" s="27" t="str">
        <x:f>IF(OR('Detalle'!$G59="",'Detalle'!$H59=""),"",IF(AND(G$8&lt;='Detalle'!$H59,G$9&gt;='Detalle'!$G59),1,""))</x:f>
      </x:c>
      <x:c r="H113" s="27" t="str">
        <x:f>IF(OR('Detalle'!$G59="",'Detalle'!$H59=""),"",IF(AND(H$8&lt;='Detalle'!$H59,H$9&gt;='Detalle'!$G59),1,""))</x:f>
      </x:c>
      <x:c r="I113" s="27" t="str">
        <x:f>IF(OR('Detalle'!$G59="",'Detalle'!$H59=""),"",IF(AND(I$8&lt;='Detalle'!$H59,I$9&gt;='Detalle'!$G59),1,""))</x:f>
      </x:c>
      <x:c r="J113" s="27" t="n">
        <x:f>IF(OR('Detalle'!$G59="",'Detalle'!$H59=""),"",IF(AND(J$8&lt;='Detalle'!$H59,J$9&gt;='Detalle'!$G59),1,""))</x:f>
        <x:v>1</x:v>
      </x:c>
      <x:c r="K113" s="27" t="str">
        <x:f>IF(OR('Detalle'!$G59="",'Detalle'!$H59=""),"",IF(AND(K$8&lt;='Detalle'!$H59,K$9&gt;='Detalle'!$G59),1,""))</x:f>
      </x:c>
      <x:c r="L113" s="27" t="str">
        <x:f>IF(OR('Detalle'!$G59="",'Detalle'!$H59=""),"",IF(AND(L$8&lt;='Detalle'!$H59,L$9&gt;='Detalle'!$G59),1,""))</x:f>
      </x:c>
      <x:c r="M113" s="27" t="str">
        <x:f>IF(OR('Detalle'!$G59="",'Detalle'!$H59=""),"",IF(AND(M$8&lt;='Detalle'!$H59,M$9&gt;='Detalle'!$G59),1,""))</x:f>
      </x:c>
      <x:c r="N113" s="27" t="str">
        <x:f>IF(OR('Detalle'!$G59="",'Detalle'!$H59=""),"",IF(AND(N$8&lt;='Detalle'!$H59,N$9&gt;='Detalle'!$G59),1,""))</x:f>
      </x:c>
      <x:c r="O113" s="27" t="str">
        <x:f>IF(OR('Detalle'!$G59="",'Detalle'!$H59=""),"",IF(AND(O$8&lt;='Detalle'!$H59,O$9&gt;='Detalle'!$G59),1,""))</x:f>
      </x:c>
      <x:c r="P113" s="27" t="str">
        <x:f>IF(OR('Detalle'!$G59="",'Detalle'!$H59=""),"",IF(AND(P$8&lt;='Detalle'!$H59,P$9&gt;='Detalle'!$G59),1,""))</x:f>
      </x:c>
      <x:c r="Q113" s="27" t="str">
        <x:f>IF(OR('Detalle'!$G59="",'Detalle'!$H59=""),"",IF(AND(Q$8&lt;='Detalle'!$H59,Q$9&gt;='Detalle'!$G59),1,""))</x:f>
      </x:c>
      <x:c r="R113" s="49"/>
      <x:c r="S113" s="30" t="str">
        <x:f>IF('Detalle'!L59="","",'Detalle'!L59)</x:f>
        <x:v>Alan</x:v>
      </x:c>
      <x:c r="T113" s="30" t="str">
        <x:f>IF('Detalle'!M59="","",'Detalle'!M59)</x:f>
      </x:c>
    </x:row>
    <x:row r="114" ht="17" customHeight="1">
      <x:c r="A114" s="28" t="str">
        <x:v>BD-15</x:v>
      </x:c>
      <x:c r="B114" s="28" t="str">
        <x:v>Misiones</x:v>
      </x:c>
      <x:c r="C114" s="28" t="str">
        <x:v>Implementar evaluación de finalistas y avisos</x:v>
      </x:c>
      <x:c r="D114" s="47" t="str">
        <x:v>R</x:v>
      </x:c>
      <x:c r="E114" s="48" t="n">
        <x:f>IF('Detalle'!J59="","",'Detalle'!J59)</x:f>
        <x:v>1</x:v>
      </x:c>
      <x:c r="F114" s="44" t="str"/>
      <x:c r="G114" s="27" t="str">
        <x:f>IF(AND('Detalle'!$F59="Completado",G113=1),1,"")</x:f>
      </x:c>
      <x:c r="H114" s="27" t="str">
        <x:f>IF(AND('Detalle'!$F59="Completado",H113=1),1,"")</x:f>
      </x:c>
      <x:c r="I114" s="27" t="str">
        <x:f>IF(AND('Detalle'!$F59="Completado",I113=1),1,"")</x:f>
      </x:c>
      <x:c r="J114" s="27" t="n">
        <x:f>IF(AND('Detalle'!$F59="Completado",J113=1),1,"")</x:f>
        <x:v>1</x:v>
      </x:c>
      <x:c r="K114" s="27" t="str">
        <x:f>IF(AND('Detalle'!$F59="Completado",K113=1),1,"")</x:f>
      </x:c>
      <x:c r="L114" s="27" t="str">
        <x:f>IF(AND('Detalle'!$F59="Completado",L113=1),1,"")</x:f>
      </x:c>
      <x:c r="M114" s="27" t="str">
        <x:f>IF(AND('Detalle'!$F59="Completado",M113=1),1,"")</x:f>
      </x:c>
      <x:c r="N114" s="27" t="str">
        <x:f>IF(AND('Detalle'!$F59="Completado",N113=1),1,"")</x:f>
      </x:c>
      <x:c r="O114" s="27" t="str">
        <x:f>IF(AND('Detalle'!$F59="Completado",O113=1),1,"")</x:f>
      </x:c>
      <x:c r="P114" s="27" t="str">
        <x:f>IF(AND('Detalle'!$F59="Completado",P113=1),1,"")</x:f>
      </x:c>
      <x:c r="Q114" s="27" t="str">
        <x:f>IF(AND('Detalle'!$F59="Completado",Q113=1),1,"")</x:f>
      </x:c>
      <x:c r="R114" s="49"/>
      <x:c r="S114" s="30" t="str"/>
      <x:c r="T114" s="30" t="str"/>
    </x:row>
    <x:row r="115" ht="17" customHeight="1">
      <x:c r="A115" s="28" t="str">
        <x:v>BD-16</x:v>
      </x:c>
      <x:c r="B115" s="28" t="str">
        <x:v>Fichas profesionales</x:v>
      </x:c>
      <x:c r="C115" s="28" t="str">
        <x:v>Crear modelo de portafolio, catálogo y servicios</x:v>
      </x:c>
      <x:c r="D115" s="46" t="str">
        <x:v>E</x:v>
      </x:c>
      <x:c r="E115" s="48" t="n">
        <x:f>IF('Detalle'!I60="","",'Detalle'!I60)</x:f>
        <x:v>1</x:v>
      </x:c>
      <x:c r="F115" s="44" t="str">
        <x:f>IF('Detalle'!F60="","",'Detalle'!F60)</x:f>
        <x:v>Completado</x:v>
      </x:c>
      <x:c r="G115" s="27" t="str">
        <x:f>IF(OR('Detalle'!$G60="",'Detalle'!$H60=""),"",IF(AND(G$8&lt;='Detalle'!$H60,G$9&gt;='Detalle'!$G60),1,""))</x:f>
      </x:c>
      <x:c r="H115" s="27" t="str">
        <x:f>IF(OR('Detalle'!$G60="",'Detalle'!$H60=""),"",IF(AND(H$8&lt;='Detalle'!$H60,H$9&gt;='Detalle'!$G60),1,""))</x:f>
      </x:c>
      <x:c r="I115" s="27" t="str">
        <x:f>IF(OR('Detalle'!$G60="",'Detalle'!$H60=""),"",IF(AND(I$8&lt;='Detalle'!$H60,I$9&gt;='Detalle'!$G60),1,""))</x:f>
      </x:c>
      <x:c r="J115" s="27" t="n">
        <x:f>IF(OR('Detalle'!$G60="",'Detalle'!$H60=""),"",IF(AND(J$8&lt;='Detalle'!$H60,J$9&gt;='Detalle'!$G60),1,""))</x:f>
        <x:v>1</x:v>
      </x:c>
      <x:c r="K115" s="27" t="str">
        <x:f>IF(OR('Detalle'!$G60="",'Detalle'!$H60=""),"",IF(AND(K$8&lt;='Detalle'!$H60,K$9&gt;='Detalle'!$G60),1,""))</x:f>
      </x:c>
      <x:c r="L115" s="27" t="str">
        <x:f>IF(OR('Detalle'!$G60="",'Detalle'!$H60=""),"",IF(AND(L$8&lt;='Detalle'!$H60,L$9&gt;='Detalle'!$G60),1,""))</x:f>
      </x:c>
      <x:c r="M115" s="27" t="str">
        <x:f>IF(OR('Detalle'!$G60="",'Detalle'!$H60=""),"",IF(AND(M$8&lt;='Detalle'!$H60,M$9&gt;='Detalle'!$G60),1,""))</x:f>
      </x:c>
      <x:c r="N115" s="27" t="str">
        <x:f>IF(OR('Detalle'!$G60="",'Detalle'!$H60=""),"",IF(AND(N$8&lt;='Detalle'!$H60,N$9&gt;='Detalle'!$G60),1,""))</x:f>
      </x:c>
      <x:c r="O115" s="27" t="str">
        <x:f>IF(OR('Detalle'!$G60="",'Detalle'!$H60=""),"",IF(AND(O$8&lt;='Detalle'!$H60,O$9&gt;='Detalle'!$G60),1,""))</x:f>
      </x:c>
      <x:c r="P115" s="27" t="str">
        <x:f>IF(OR('Detalle'!$G60="",'Detalle'!$H60=""),"",IF(AND(P$8&lt;='Detalle'!$H60,P$9&gt;='Detalle'!$G60),1,""))</x:f>
      </x:c>
      <x:c r="Q115" s="27" t="str">
        <x:f>IF(OR('Detalle'!$G60="",'Detalle'!$H60=""),"",IF(AND(Q$8&lt;='Detalle'!$H60,Q$9&gt;='Detalle'!$G60),1,""))</x:f>
      </x:c>
      <x:c r="R115" s="49"/>
      <x:c r="S115" s="30" t="str">
        <x:f>IF('Detalle'!L60="","",'Detalle'!L60)</x:f>
        <x:v>Alan</x:v>
      </x:c>
      <x:c r="T115" s="30" t="str">
        <x:f>IF('Detalle'!M60="","",'Detalle'!M60)</x:f>
      </x:c>
    </x:row>
    <x:row r="116" ht="17" customHeight="1">
      <x:c r="A116" s="28" t="str">
        <x:v>BD-16</x:v>
      </x:c>
      <x:c r="B116" s="28" t="str">
        <x:v>Fichas profesionales</x:v>
      </x:c>
      <x:c r="C116" s="28" t="str">
        <x:v>Crear modelo de portafolio, catálogo y servicios</x:v>
      </x:c>
      <x:c r="D116" s="47" t="str">
        <x:v>R</x:v>
      </x:c>
      <x:c r="E116" s="48" t="n">
        <x:f>IF('Detalle'!J60="","",'Detalle'!J60)</x:f>
        <x:v>1</x:v>
      </x:c>
      <x:c r="F116" s="44" t="str"/>
      <x:c r="G116" s="27" t="str">
        <x:f>IF(AND('Detalle'!$F60="Completado",G115=1),1,"")</x:f>
      </x:c>
      <x:c r="H116" s="27" t="str">
        <x:f>IF(AND('Detalle'!$F60="Completado",H115=1),1,"")</x:f>
      </x:c>
      <x:c r="I116" s="27" t="str">
        <x:f>IF(AND('Detalle'!$F60="Completado",I115=1),1,"")</x:f>
      </x:c>
      <x:c r="J116" s="27" t="n">
        <x:f>IF(AND('Detalle'!$F60="Completado",J115=1),1,"")</x:f>
        <x:v>1</x:v>
      </x:c>
      <x:c r="K116" s="27" t="str">
        <x:f>IF(AND('Detalle'!$F60="Completado",K115=1),1,"")</x:f>
      </x:c>
      <x:c r="L116" s="27" t="str">
        <x:f>IF(AND('Detalle'!$F60="Completado",L115=1),1,"")</x:f>
      </x:c>
      <x:c r="M116" s="27" t="str">
        <x:f>IF(AND('Detalle'!$F60="Completado",M115=1),1,"")</x:f>
      </x:c>
      <x:c r="N116" s="27" t="str">
        <x:f>IF(AND('Detalle'!$F60="Completado",N115=1),1,"")</x:f>
      </x:c>
      <x:c r="O116" s="27" t="str">
        <x:f>IF(AND('Detalle'!$F60="Completado",O115=1),1,"")</x:f>
      </x:c>
      <x:c r="P116" s="27" t="str">
        <x:f>IF(AND('Detalle'!$F60="Completado",P115=1),1,"")</x:f>
      </x:c>
      <x:c r="Q116" s="27" t="str">
        <x:f>IF(AND('Detalle'!$F60="Completado",Q115=1),1,"")</x:f>
      </x:c>
      <x:c r="R116" s="49"/>
      <x:c r="S116" s="30" t="str"/>
      <x:c r="T116" s="30" t="str"/>
    </x:row>
    <x:row r="117" ht="17" customHeight="1">
      <x:c r="A117" s="28" t="str">
        <x:v>BD-17</x:v>
      </x:c>
      <x:c r="B117" s="28" t="str">
        <x:v>Fichas profesionales</x:v>
      </x:c>
      <x:c r="C117" s="28" t="str">
        <x:v>Guardar galerías, precio MXN y disponibilidad</x:v>
      </x:c>
      <x:c r="D117" s="46" t="str">
        <x:v>E</x:v>
      </x:c>
      <x:c r="E117" s="48" t="n">
        <x:f>IF('Detalle'!I61="","",'Detalle'!I61)</x:f>
        <x:v>1</x:v>
      </x:c>
      <x:c r="F117" s="44" t="str">
        <x:f>IF('Detalle'!F61="","",'Detalle'!F61)</x:f>
        <x:v>Completado</x:v>
      </x:c>
      <x:c r="G117" s="27" t="str">
        <x:f>IF(OR('Detalle'!$G61="",'Detalle'!$H61=""),"",IF(AND(G$8&lt;='Detalle'!$H61,G$9&gt;='Detalle'!$G61),1,""))</x:f>
      </x:c>
      <x:c r="H117" s="27" t="str">
        <x:f>IF(OR('Detalle'!$G61="",'Detalle'!$H61=""),"",IF(AND(H$8&lt;='Detalle'!$H61,H$9&gt;='Detalle'!$G61),1,""))</x:f>
      </x:c>
      <x:c r="I117" s="27" t="str">
        <x:f>IF(OR('Detalle'!$G61="",'Detalle'!$H61=""),"",IF(AND(I$8&lt;='Detalle'!$H61,I$9&gt;='Detalle'!$G61),1,""))</x:f>
      </x:c>
      <x:c r="J117" s="27" t="n">
        <x:f>IF(OR('Detalle'!$G61="",'Detalle'!$H61=""),"",IF(AND(J$8&lt;='Detalle'!$H61,J$9&gt;='Detalle'!$G61),1,""))</x:f>
        <x:v>1</x:v>
      </x:c>
      <x:c r="K117" s="27" t="str">
        <x:f>IF(OR('Detalle'!$G61="",'Detalle'!$H61=""),"",IF(AND(K$8&lt;='Detalle'!$H61,K$9&gt;='Detalle'!$G61),1,""))</x:f>
      </x:c>
      <x:c r="L117" s="27" t="str">
        <x:f>IF(OR('Detalle'!$G61="",'Detalle'!$H61=""),"",IF(AND(L$8&lt;='Detalle'!$H61,L$9&gt;='Detalle'!$G61),1,""))</x:f>
      </x:c>
      <x:c r="M117" s="27" t="str">
        <x:f>IF(OR('Detalle'!$G61="",'Detalle'!$H61=""),"",IF(AND(M$8&lt;='Detalle'!$H61,M$9&gt;='Detalle'!$G61),1,""))</x:f>
      </x:c>
      <x:c r="N117" s="27" t="str">
        <x:f>IF(OR('Detalle'!$G61="",'Detalle'!$H61=""),"",IF(AND(N$8&lt;='Detalle'!$H61,N$9&gt;='Detalle'!$G61),1,""))</x:f>
      </x:c>
      <x:c r="O117" s="27" t="str">
        <x:f>IF(OR('Detalle'!$G61="",'Detalle'!$H61=""),"",IF(AND(O$8&lt;='Detalle'!$H61,O$9&gt;='Detalle'!$G61),1,""))</x:f>
      </x:c>
      <x:c r="P117" s="27" t="str">
        <x:f>IF(OR('Detalle'!$G61="",'Detalle'!$H61=""),"",IF(AND(P$8&lt;='Detalle'!$H61,P$9&gt;='Detalle'!$G61),1,""))</x:f>
      </x:c>
      <x:c r="Q117" s="27" t="str">
        <x:f>IF(OR('Detalle'!$G61="",'Detalle'!$H61=""),"",IF(AND(Q$8&lt;='Detalle'!$H61,Q$9&gt;='Detalle'!$G61),1,""))</x:f>
      </x:c>
      <x:c r="R117" s="49"/>
      <x:c r="S117" s="30" t="str">
        <x:f>IF('Detalle'!L61="","",'Detalle'!L61)</x:f>
        <x:v>Alan</x:v>
      </x:c>
      <x:c r="T117" s="30" t="str">
        <x:f>IF('Detalle'!M61="","",'Detalle'!M61)</x:f>
      </x:c>
    </x:row>
    <x:row r="118" ht="17" customHeight="1">
      <x:c r="A118" s="28" t="str">
        <x:v>BD-17</x:v>
      </x:c>
      <x:c r="B118" s="28" t="str">
        <x:v>Fichas profesionales</x:v>
      </x:c>
      <x:c r="C118" s="28" t="str">
        <x:v>Guardar galerías, precio MXN y disponibilidad</x:v>
      </x:c>
      <x:c r="D118" s="47" t="str">
        <x:v>R</x:v>
      </x:c>
      <x:c r="E118" s="48" t="n">
        <x:f>IF('Detalle'!J61="","",'Detalle'!J61)</x:f>
        <x:v>1</x:v>
      </x:c>
      <x:c r="F118" s="44" t="str"/>
      <x:c r="G118" s="27" t="str">
        <x:f>IF(AND('Detalle'!$F61="Completado",G117=1),1,"")</x:f>
      </x:c>
      <x:c r="H118" s="27" t="str">
        <x:f>IF(AND('Detalle'!$F61="Completado",H117=1),1,"")</x:f>
      </x:c>
      <x:c r="I118" s="27" t="str">
        <x:f>IF(AND('Detalle'!$F61="Completado",I117=1),1,"")</x:f>
      </x:c>
      <x:c r="J118" s="27" t="n">
        <x:f>IF(AND('Detalle'!$F61="Completado",J117=1),1,"")</x:f>
        <x:v>1</x:v>
      </x:c>
      <x:c r="K118" s="27" t="str">
        <x:f>IF(AND('Detalle'!$F61="Completado",K117=1),1,"")</x:f>
      </x:c>
      <x:c r="L118" s="27" t="str">
        <x:f>IF(AND('Detalle'!$F61="Completado",L117=1),1,"")</x:f>
      </x:c>
      <x:c r="M118" s="27" t="str">
        <x:f>IF(AND('Detalle'!$F61="Completado",M117=1),1,"")</x:f>
      </x:c>
      <x:c r="N118" s="27" t="str">
        <x:f>IF(AND('Detalle'!$F61="Completado",N117=1),1,"")</x:f>
      </x:c>
      <x:c r="O118" s="27" t="str">
        <x:f>IF(AND('Detalle'!$F61="Completado",O117=1),1,"")</x:f>
      </x:c>
      <x:c r="P118" s="27" t="str">
        <x:f>IF(AND('Detalle'!$F61="Completado",P117=1),1,"")</x:f>
      </x:c>
      <x:c r="Q118" s="27" t="str">
        <x:f>IF(AND('Detalle'!$F61="Completado",Q117=1),1,"")</x:f>
      </x:c>
      <x:c r="R118" s="49"/>
      <x:c r="S118" s="30" t="str"/>
      <x:c r="T118" s="30" t="str"/>
    </x:row>
    <x:row r="119" ht="17" customHeight="1">
      <x:c r="A119" s="28" t="str">
        <x:v>BD-18</x:v>
      </x:c>
      <x:c r="B119" s="28" t="str">
        <x:v>Mapa</x:v>
      </x:c>
      <x:c r="C119" s="28" t="str">
        <x:v>Crear consultas de mapa y filtros por radio</x:v>
      </x:c>
      <x:c r="D119" s="46" t="str">
        <x:v>E</x:v>
      </x:c>
      <x:c r="E119" s="48" t="n">
        <x:f>IF('Detalle'!I62="","",'Detalle'!I62)</x:f>
        <x:v>1</x:v>
      </x:c>
      <x:c r="F119" s="44" t="str">
        <x:f>IF('Detalle'!F62="","",'Detalle'!F62)</x:f>
        <x:v>Completado</x:v>
      </x:c>
      <x:c r="G119" s="27" t="str">
        <x:f>IF(OR('Detalle'!$G62="",'Detalle'!$H62=""),"",IF(AND(G$8&lt;='Detalle'!$H62,G$9&gt;='Detalle'!$G62),1,""))</x:f>
      </x:c>
      <x:c r="H119" s="27" t="str">
        <x:f>IF(OR('Detalle'!$G62="",'Detalle'!$H62=""),"",IF(AND(H$8&lt;='Detalle'!$H62,H$9&gt;='Detalle'!$G62),1,""))</x:f>
      </x:c>
      <x:c r="I119" s="27" t="str">
        <x:f>IF(OR('Detalle'!$G62="",'Detalle'!$H62=""),"",IF(AND(I$8&lt;='Detalle'!$H62,I$9&gt;='Detalle'!$G62),1,""))</x:f>
      </x:c>
      <x:c r="J119" s="27" t="str">
        <x:f>IF(OR('Detalle'!$G62="",'Detalle'!$H62=""),"",IF(AND(J$8&lt;='Detalle'!$H62,J$9&gt;='Detalle'!$G62),1,""))</x:f>
      </x:c>
      <x:c r="K119" s="27" t="n">
        <x:f>IF(OR('Detalle'!$G62="",'Detalle'!$H62=""),"",IF(AND(K$8&lt;='Detalle'!$H62,K$9&gt;='Detalle'!$G62),1,""))</x:f>
        <x:v>1</x:v>
      </x:c>
      <x:c r="L119" s="27" t="str">
        <x:f>IF(OR('Detalle'!$G62="",'Detalle'!$H62=""),"",IF(AND(L$8&lt;='Detalle'!$H62,L$9&gt;='Detalle'!$G62),1,""))</x:f>
      </x:c>
      <x:c r="M119" s="27" t="str">
        <x:f>IF(OR('Detalle'!$G62="",'Detalle'!$H62=""),"",IF(AND(M$8&lt;='Detalle'!$H62,M$9&gt;='Detalle'!$G62),1,""))</x:f>
      </x:c>
      <x:c r="N119" s="27" t="str">
        <x:f>IF(OR('Detalle'!$G62="",'Detalle'!$H62=""),"",IF(AND(N$8&lt;='Detalle'!$H62,N$9&gt;='Detalle'!$G62),1,""))</x:f>
      </x:c>
      <x:c r="O119" s="27" t="str">
        <x:f>IF(OR('Detalle'!$G62="",'Detalle'!$H62=""),"",IF(AND(O$8&lt;='Detalle'!$H62,O$9&gt;='Detalle'!$G62),1,""))</x:f>
      </x:c>
      <x:c r="P119" s="27" t="str">
        <x:f>IF(OR('Detalle'!$G62="",'Detalle'!$H62=""),"",IF(AND(P$8&lt;='Detalle'!$H62,P$9&gt;='Detalle'!$G62),1,""))</x:f>
      </x:c>
      <x:c r="Q119" s="27" t="str">
        <x:f>IF(OR('Detalle'!$G62="",'Detalle'!$H62=""),"",IF(AND(Q$8&lt;='Detalle'!$H62,Q$9&gt;='Detalle'!$G62),1,""))</x:f>
      </x:c>
      <x:c r="R119" s="49"/>
      <x:c r="S119" s="30" t="str">
        <x:f>IF('Detalle'!L62="","",'Detalle'!L62)</x:f>
        <x:v>Alan</x:v>
      </x:c>
      <x:c r="T119" s="30" t="str">
        <x:f>IF('Detalle'!M62="","",'Detalle'!M62)</x:f>
      </x:c>
    </x:row>
    <x:row r="120" ht="17" customHeight="1">
      <x:c r="A120" s="28" t="str">
        <x:v>BD-18</x:v>
      </x:c>
      <x:c r="B120" s="28" t="str">
        <x:v>Mapa</x:v>
      </x:c>
      <x:c r="C120" s="28" t="str">
        <x:v>Crear consultas de mapa y filtros por radio</x:v>
      </x:c>
      <x:c r="D120" s="47" t="str">
        <x:v>R</x:v>
      </x:c>
      <x:c r="E120" s="48" t="n">
        <x:f>IF('Detalle'!J62="","",'Detalle'!J62)</x:f>
        <x:v>1</x:v>
      </x:c>
      <x:c r="F120" s="44" t="str"/>
      <x:c r="G120" s="27" t="str">
        <x:f>IF(AND('Detalle'!$F62="Completado",G119=1),1,"")</x:f>
      </x:c>
      <x:c r="H120" s="27" t="str">
        <x:f>IF(AND('Detalle'!$F62="Completado",H119=1),1,"")</x:f>
      </x:c>
      <x:c r="I120" s="27" t="str">
        <x:f>IF(AND('Detalle'!$F62="Completado",I119=1),1,"")</x:f>
      </x:c>
      <x:c r="J120" s="27" t="str">
        <x:f>IF(AND('Detalle'!$F62="Completado",J119=1),1,"")</x:f>
      </x:c>
      <x:c r="K120" s="27" t="n">
        <x:f>IF(AND('Detalle'!$F62="Completado",K119=1),1,"")</x:f>
        <x:v>1</x:v>
      </x:c>
      <x:c r="L120" s="27" t="str">
        <x:f>IF(AND('Detalle'!$F62="Completado",L119=1),1,"")</x:f>
      </x:c>
      <x:c r="M120" s="27" t="str">
        <x:f>IF(AND('Detalle'!$F62="Completado",M119=1),1,"")</x:f>
      </x:c>
      <x:c r="N120" s="27" t="str">
        <x:f>IF(AND('Detalle'!$F62="Completado",N119=1),1,"")</x:f>
      </x:c>
      <x:c r="O120" s="27" t="str">
        <x:f>IF(AND('Detalle'!$F62="Completado",O119=1),1,"")</x:f>
      </x:c>
      <x:c r="P120" s="27" t="str">
        <x:f>IF(AND('Detalle'!$F62="Completado",P119=1),1,"")</x:f>
      </x:c>
      <x:c r="Q120" s="27" t="str">
        <x:f>IF(AND('Detalle'!$F62="Completado",Q119=1),1,"")</x:f>
      </x:c>
      <x:c r="R120" s="49"/>
      <x:c r="S120" s="30" t="str"/>
      <x:c r="T120" s="30" t="str"/>
    </x:row>
    <x:row r="121" ht="17" customHeight="1">
      <x:c r="A121" s="28" t="str">
        <x:v>BD-19</x:v>
      </x:c>
      <x:c r="B121" s="28" t="str">
        <x:v>Push</x:v>
      </x:c>
      <x:c r="C121" s="28" t="str">
        <x:v>Crear cola de entrega y preferencias push</x:v>
      </x:c>
      <x:c r="D121" s="46" t="str">
        <x:v>E</x:v>
      </x:c>
      <x:c r="E121" s="48" t="n">
        <x:f>IF('Detalle'!I63="","",'Detalle'!I63)</x:f>
        <x:v>1</x:v>
      </x:c>
      <x:c r="F121" s="44" t="str">
        <x:f>IF('Detalle'!F63="","",'Detalle'!F63)</x:f>
        <x:v>Completado</x:v>
      </x:c>
      <x:c r="G121" s="27" t="str">
        <x:f>IF(OR('Detalle'!$G63="",'Detalle'!$H63=""),"",IF(AND(G$8&lt;='Detalle'!$H63,G$9&gt;='Detalle'!$G63),1,""))</x:f>
      </x:c>
      <x:c r="H121" s="27" t="str">
        <x:f>IF(OR('Detalle'!$G63="",'Detalle'!$H63=""),"",IF(AND(H$8&lt;='Detalle'!$H63,H$9&gt;='Detalle'!$G63),1,""))</x:f>
      </x:c>
      <x:c r="I121" s="27" t="str">
        <x:f>IF(OR('Detalle'!$G63="",'Detalle'!$H63=""),"",IF(AND(I$8&lt;='Detalle'!$H63,I$9&gt;='Detalle'!$G63),1,""))</x:f>
      </x:c>
      <x:c r="J121" s="27" t="str">
        <x:f>IF(OR('Detalle'!$G63="",'Detalle'!$H63=""),"",IF(AND(J$8&lt;='Detalle'!$H63,J$9&gt;='Detalle'!$G63),1,""))</x:f>
      </x:c>
      <x:c r="K121" s="27" t="n">
        <x:f>IF(OR('Detalle'!$G63="",'Detalle'!$H63=""),"",IF(AND(K$8&lt;='Detalle'!$H63,K$9&gt;='Detalle'!$G63),1,""))</x:f>
        <x:v>1</x:v>
      </x:c>
      <x:c r="L121" s="27" t="str">
        <x:f>IF(OR('Detalle'!$G63="",'Detalle'!$H63=""),"",IF(AND(L$8&lt;='Detalle'!$H63,L$9&gt;='Detalle'!$G63),1,""))</x:f>
      </x:c>
      <x:c r="M121" s="27" t="str">
        <x:f>IF(OR('Detalle'!$G63="",'Detalle'!$H63=""),"",IF(AND(M$8&lt;='Detalle'!$H63,M$9&gt;='Detalle'!$G63),1,""))</x:f>
      </x:c>
      <x:c r="N121" s="27" t="str">
        <x:f>IF(OR('Detalle'!$G63="",'Detalle'!$H63=""),"",IF(AND(N$8&lt;='Detalle'!$H63,N$9&gt;='Detalle'!$G63),1,""))</x:f>
      </x:c>
      <x:c r="O121" s="27" t="str">
        <x:f>IF(OR('Detalle'!$G63="",'Detalle'!$H63=""),"",IF(AND(O$8&lt;='Detalle'!$H63,O$9&gt;='Detalle'!$G63),1,""))</x:f>
      </x:c>
      <x:c r="P121" s="27" t="str">
        <x:f>IF(OR('Detalle'!$G63="",'Detalle'!$H63=""),"",IF(AND(P$8&lt;='Detalle'!$H63,P$9&gt;='Detalle'!$G63),1,""))</x:f>
      </x:c>
      <x:c r="Q121" s="27" t="str">
        <x:f>IF(OR('Detalle'!$G63="",'Detalle'!$H63=""),"",IF(AND(Q$8&lt;='Detalle'!$H63,Q$9&gt;='Detalle'!$G63),1,""))</x:f>
      </x:c>
      <x:c r="R121" s="49"/>
      <x:c r="S121" s="30" t="str">
        <x:f>IF('Detalle'!L63="","",'Detalle'!L63)</x:f>
        <x:v>Alan</x:v>
      </x:c>
      <x:c r="T121" s="30" t="str">
        <x:f>IF('Detalle'!M63="","",'Detalle'!M63)</x:f>
      </x:c>
    </x:row>
    <x:row r="122" ht="17" customHeight="1">
      <x:c r="A122" s="28" t="str">
        <x:v>BD-19</x:v>
      </x:c>
      <x:c r="B122" s="28" t="str">
        <x:v>Push</x:v>
      </x:c>
      <x:c r="C122" s="28" t="str">
        <x:v>Crear cola de entrega y preferencias push</x:v>
      </x:c>
      <x:c r="D122" s="47" t="str">
        <x:v>R</x:v>
      </x:c>
      <x:c r="E122" s="48" t="n">
        <x:f>IF('Detalle'!J63="","",'Detalle'!J63)</x:f>
        <x:v>1</x:v>
      </x:c>
      <x:c r="F122" s="44" t="str"/>
      <x:c r="G122" s="27" t="str">
        <x:f>IF(AND('Detalle'!$F63="Completado",G121=1),1,"")</x:f>
      </x:c>
      <x:c r="H122" s="27" t="str">
        <x:f>IF(AND('Detalle'!$F63="Completado",H121=1),1,"")</x:f>
      </x:c>
      <x:c r="I122" s="27" t="str">
        <x:f>IF(AND('Detalle'!$F63="Completado",I121=1),1,"")</x:f>
      </x:c>
      <x:c r="J122" s="27" t="str">
        <x:f>IF(AND('Detalle'!$F63="Completado",J121=1),1,"")</x:f>
      </x:c>
      <x:c r="K122" s="27" t="n">
        <x:f>IF(AND('Detalle'!$F63="Completado",K121=1),1,"")</x:f>
        <x:v>1</x:v>
      </x:c>
      <x:c r="L122" s="27" t="str">
        <x:f>IF(AND('Detalle'!$F63="Completado",L121=1),1,"")</x:f>
      </x:c>
      <x:c r="M122" s="27" t="str">
        <x:f>IF(AND('Detalle'!$F63="Completado",M121=1),1,"")</x:f>
      </x:c>
      <x:c r="N122" s="27" t="str">
        <x:f>IF(AND('Detalle'!$F63="Completado",N121=1),1,"")</x:f>
      </x:c>
      <x:c r="O122" s="27" t="str">
        <x:f>IF(AND('Detalle'!$F63="Completado",O121=1),1,"")</x:f>
      </x:c>
      <x:c r="P122" s="27" t="str">
        <x:f>IF(AND('Detalle'!$F63="Completado",P121=1),1,"")</x:f>
      </x:c>
      <x:c r="Q122" s="27" t="str">
        <x:f>IF(AND('Detalle'!$F63="Completado",Q121=1),1,"")</x:f>
      </x:c>
      <x:c r="R122" s="49"/>
      <x:c r="S122" s="30" t="str"/>
      <x:c r="T122" s="30" t="str"/>
    </x:row>
    <x:row r="123" ht="17" customHeight="1">
      <x:c r="A123" s="28" t="str">
        <x:v>BD-20</x:v>
      </x:c>
      <x:c r="B123" s="28" t="str">
        <x:v>Push</x:v>
      </x:c>
      <x:c r="C123" s="28" t="str">
        <x:v>Implementar envío FCM y reintentos</x:v>
      </x:c>
      <x:c r="D123" s="46" t="str">
        <x:v>E</x:v>
      </x:c>
      <x:c r="E123" s="48" t="n">
        <x:f>IF('Detalle'!I64="","",'Detalle'!I64)</x:f>
        <x:v>1</x:v>
      </x:c>
      <x:c r="F123" s="44" t="str">
        <x:f>IF('Detalle'!F64="","",'Detalle'!F64)</x:f>
        <x:v>Completado</x:v>
      </x:c>
      <x:c r="G123" s="27" t="str">
        <x:f>IF(OR('Detalle'!$G64="",'Detalle'!$H64=""),"",IF(AND(G$8&lt;='Detalle'!$H64,G$9&gt;='Detalle'!$G64),1,""))</x:f>
      </x:c>
      <x:c r="H123" s="27" t="str">
        <x:f>IF(OR('Detalle'!$G64="",'Detalle'!$H64=""),"",IF(AND(H$8&lt;='Detalle'!$H64,H$9&gt;='Detalle'!$G64),1,""))</x:f>
      </x:c>
      <x:c r="I123" s="27" t="str">
        <x:f>IF(OR('Detalle'!$G64="",'Detalle'!$H64=""),"",IF(AND(I$8&lt;='Detalle'!$H64,I$9&gt;='Detalle'!$G64),1,""))</x:f>
      </x:c>
      <x:c r="J123" s="27" t="str">
        <x:f>IF(OR('Detalle'!$G64="",'Detalle'!$H64=""),"",IF(AND(J$8&lt;='Detalle'!$H64,J$9&gt;='Detalle'!$G64),1,""))</x:f>
      </x:c>
      <x:c r="K123" s="27" t="n">
        <x:f>IF(OR('Detalle'!$G64="",'Detalle'!$H64=""),"",IF(AND(K$8&lt;='Detalle'!$H64,K$9&gt;='Detalle'!$G64),1,""))</x:f>
        <x:v>1</x:v>
      </x:c>
      <x:c r="L123" s="27" t="str">
        <x:f>IF(OR('Detalle'!$G64="",'Detalle'!$H64=""),"",IF(AND(L$8&lt;='Detalle'!$H64,L$9&gt;='Detalle'!$G64),1,""))</x:f>
      </x:c>
      <x:c r="M123" s="27" t="str">
        <x:f>IF(OR('Detalle'!$G64="",'Detalle'!$H64=""),"",IF(AND(M$8&lt;='Detalle'!$H64,M$9&gt;='Detalle'!$G64),1,""))</x:f>
      </x:c>
      <x:c r="N123" s="27" t="str">
        <x:f>IF(OR('Detalle'!$G64="",'Detalle'!$H64=""),"",IF(AND(N$8&lt;='Detalle'!$H64,N$9&gt;='Detalle'!$G64),1,""))</x:f>
      </x:c>
      <x:c r="O123" s="27" t="str">
        <x:f>IF(OR('Detalle'!$G64="",'Detalle'!$H64=""),"",IF(AND(O$8&lt;='Detalle'!$H64,O$9&gt;='Detalle'!$G64),1,""))</x:f>
      </x:c>
      <x:c r="P123" s="27" t="str">
        <x:f>IF(OR('Detalle'!$G64="",'Detalle'!$H64=""),"",IF(AND(P$8&lt;='Detalle'!$H64,P$9&gt;='Detalle'!$G64),1,""))</x:f>
      </x:c>
      <x:c r="Q123" s="27" t="str">
        <x:f>IF(OR('Detalle'!$G64="",'Detalle'!$H64=""),"",IF(AND(Q$8&lt;='Detalle'!$H64,Q$9&gt;='Detalle'!$G64),1,""))</x:f>
      </x:c>
      <x:c r="R123" s="49"/>
      <x:c r="S123" s="30" t="str">
        <x:f>IF('Detalle'!L64="","",'Detalle'!L64)</x:f>
        <x:v>Cristopher</x:v>
      </x:c>
      <x:c r="T123" s="30" t="str">
        <x:f>IF('Detalle'!M64="","",'Detalle'!M64)</x:f>
      </x:c>
    </x:row>
    <x:row r="124" ht="17" customHeight="1">
      <x:c r="A124" s="28" t="str">
        <x:v>BD-20</x:v>
      </x:c>
      <x:c r="B124" s="28" t="str">
        <x:v>Push</x:v>
      </x:c>
      <x:c r="C124" s="28" t="str">
        <x:v>Implementar envío FCM y reintentos</x:v>
      </x:c>
      <x:c r="D124" s="47" t="str">
        <x:v>R</x:v>
      </x:c>
      <x:c r="E124" s="48" t="n">
        <x:f>IF('Detalle'!J64="","",'Detalle'!J64)</x:f>
        <x:v>1</x:v>
      </x:c>
      <x:c r="F124" s="44" t="str"/>
      <x:c r="G124" s="27" t="str">
        <x:f>IF(AND('Detalle'!$F64="Completado",G123=1),1,"")</x:f>
      </x:c>
      <x:c r="H124" s="27" t="str">
        <x:f>IF(AND('Detalle'!$F64="Completado",H123=1),1,"")</x:f>
      </x:c>
      <x:c r="I124" s="27" t="str">
        <x:f>IF(AND('Detalle'!$F64="Completado",I123=1),1,"")</x:f>
      </x:c>
      <x:c r="J124" s="27" t="str">
        <x:f>IF(AND('Detalle'!$F64="Completado",J123=1),1,"")</x:f>
      </x:c>
      <x:c r="K124" s="27" t="n">
        <x:f>IF(AND('Detalle'!$F64="Completado",K123=1),1,"")</x:f>
        <x:v>1</x:v>
      </x:c>
      <x:c r="L124" s="27" t="str">
        <x:f>IF(AND('Detalle'!$F64="Completado",L123=1),1,"")</x:f>
      </x:c>
      <x:c r="M124" s="27" t="str">
        <x:f>IF(AND('Detalle'!$F64="Completado",M123=1),1,"")</x:f>
      </x:c>
      <x:c r="N124" s="27" t="str">
        <x:f>IF(AND('Detalle'!$F64="Completado",N123=1),1,"")</x:f>
      </x:c>
      <x:c r="O124" s="27" t="str">
        <x:f>IF(AND('Detalle'!$F64="Completado",O123=1),1,"")</x:f>
      </x:c>
      <x:c r="P124" s="27" t="str">
        <x:f>IF(AND('Detalle'!$F64="Completado",P123=1),1,"")</x:f>
      </x:c>
      <x:c r="Q124" s="27" t="str">
        <x:f>IF(AND('Detalle'!$F64="Completado",Q123=1),1,"")</x:f>
      </x:c>
      <x:c r="R124" s="49"/>
      <x:c r="S124" s="30" t="str"/>
      <x:c r="T124" s="30" t="str"/>
    </x:row>
    <x:row r="125" ht="17" customHeight="1">
      <x:c r="A125" s="28" t="str">
        <x:v>BD-21</x:v>
      </x:c>
      <x:c r="B125" s="28" t="str">
        <x:v>Recorridos y AR</x:v>
      </x:c>
      <x:c r="C125" s="28" t="str">
        <x:v>Crear migración de recorridos, zonas y versiones</x:v>
      </x:c>
      <x:c r="D125" s="46" t="str">
        <x:v>E</x:v>
      </x:c>
      <x:c r="E125" s="48" t="n">
        <x:f>IF('Detalle'!I65="","",'Detalle'!I65)</x:f>
        <x:v>1</x:v>
      </x:c>
      <x:c r="F125" s="44" t="str">
        <x:f>IF('Detalle'!F65="","",'Detalle'!F65)</x:f>
        <x:v>Completado</x:v>
      </x:c>
      <x:c r="G125" s="27" t="str">
        <x:f>IF(OR('Detalle'!$G65="",'Detalle'!$H65=""),"",IF(AND(G$8&lt;='Detalle'!$H65,G$9&gt;='Detalle'!$G65),1,""))</x:f>
      </x:c>
      <x:c r="H125" s="27" t="str">
        <x:f>IF(OR('Detalle'!$G65="",'Detalle'!$H65=""),"",IF(AND(H$8&lt;='Detalle'!$H65,H$9&gt;='Detalle'!$G65),1,""))</x:f>
      </x:c>
      <x:c r="I125" s="27" t="str">
        <x:f>IF(OR('Detalle'!$G65="",'Detalle'!$H65=""),"",IF(AND(I$8&lt;='Detalle'!$H65,I$9&gt;='Detalle'!$G65),1,""))</x:f>
      </x:c>
      <x:c r="J125" s="27" t="str">
        <x:f>IF(OR('Detalle'!$G65="",'Detalle'!$H65=""),"",IF(AND(J$8&lt;='Detalle'!$H65,J$9&gt;='Detalle'!$G65),1,""))</x:f>
      </x:c>
      <x:c r="K125" s="27" t="n">
        <x:f>IF(OR('Detalle'!$G65="",'Detalle'!$H65=""),"",IF(AND(K$8&lt;='Detalle'!$H65,K$9&gt;='Detalle'!$G65),1,""))</x:f>
        <x:v>1</x:v>
      </x:c>
      <x:c r="L125" s="27" t="str">
        <x:f>IF(OR('Detalle'!$G65="",'Detalle'!$H65=""),"",IF(AND(L$8&lt;='Detalle'!$H65,L$9&gt;='Detalle'!$G65),1,""))</x:f>
      </x:c>
      <x:c r="M125" s="27" t="str">
        <x:f>IF(OR('Detalle'!$G65="",'Detalle'!$H65=""),"",IF(AND(M$8&lt;='Detalle'!$H65,M$9&gt;='Detalle'!$G65),1,""))</x:f>
      </x:c>
      <x:c r="N125" s="27" t="str">
        <x:f>IF(OR('Detalle'!$G65="",'Detalle'!$H65=""),"",IF(AND(N$8&lt;='Detalle'!$H65,N$9&gt;='Detalle'!$G65),1,""))</x:f>
      </x:c>
      <x:c r="O125" s="27" t="str">
        <x:f>IF(OR('Detalle'!$G65="",'Detalle'!$H65=""),"",IF(AND(O$8&lt;='Detalle'!$H65,O$9&gt;='Detalle'!$G65),1,""))</x:f>
      </x:c>
      <x:c r="P125" s="27" t="str">
        <x:f>IF(OR('Detalle'!$G65="",'Detalle'!$H65=""),"",IF(AND(P$8&lt;='Detalle'!$H65,P$9&gt;='Detalle'!$G65),1,""))</x:f>
      </x:c>
      <x:c r="Q125" s="27" t="str">
        <x:f>IF(OR('Detalle'!$G65="",'Detalle'!$H65=""),"",IF(AND(Q$8&lt;='Detalle'!$H65,Q$9&gt;='Detalle'!$G65),1,""))</x:f>
      </x:c>
      <x:c r="R125" s="49"/>
      <x:c r="S125" s="30" t="str">
        <x:f>IF('Detalle'!L65="","",'Detalle'!L65)</x:f>
        <x:v>Alan</x:v>
      </x:c>
      <x:c r="T125" s="30" t="str">
        <x:f>IF('Detalle'!M65="","",'Detalle'!M65)</x:f>
      </x:c>
    </x:row>
    <x:row r="126" ht="17" customHeight="1">
      <x:c r="A126" s="28" t="str">
        <x:v>BD-21</x:v>
      </x:c>
      <x:c r="B126" s="28" t="str">
        <x:v>Recorridos y AR</x:v>
      </x:c>
      <x:c r="C126" s="28" t="str">
        <x:v>Crear migración de recorridos, zonas y versiones</x:v>
      </x:c>
      <x:c r="D126" s="47" t="str">
        <x:v>R</x:v>
      </x:c>
      <x:c r="E126" s="48" t="n">
        <x:f>IF('Detalle'!J65="","",'Detalle'!J65)</x:f>
        <x:v>1</x:v>
      </x:c>
      <x:c r="F126" s="44" t="str"/>
      <x:c r="G126" s="27" t="str">
        <x:f>IF(AND('Detalle'!$F65="Completado",G125=1),1,"")</x:f>
      </x:c>
      <x:c r="H126" s="27" t="str">
        <x:f>IF(AND('Detalle'!$F65="Completado",H125=1),1,"")</x:f>
      </x:c>
      <x:c r="I126" s="27" t="str">
        <x:f>IF(AND('Detalle'!$F65="Completado",I125=1),1,"")</x:f>
      </x:c>
      <x:c r="J126" s="27" t="str">
        <x:f>IF(AND('Detalle'!$F65="Completado",J125=1),1,"")</x:f>
      </x:c>
      <x:c r="K126" s="27" t="n">
        <x:f>IF(AND('Detalle'!$F65="Completado",K125=1),1,"")</x:f>
        <x:v>1</x:v>
      </x:c>
      <x:c r="L126" s="27" t="str">
        <x:f>IF(AND('Detalle'!$F65="Completado",L125=1),1,"")</x:f>
      </x:c>
      <x:c r="M126" s="27" t="str">
        <x:f>IF(AND('Detalle'!$F65="Completado",M125=1),1,"")</x:f>
      </x:c>
      <x:c r="N126" s="27" t="str">
        <x:f>IF(AND('Detalle'!$F65="Completado",N125=1),1,"")</x:f>
      </x:c>
      <x:c r="O126" s="27" t="str">
        <x:f>IF(AND('Detalle'!$F65="Completado",O125=1),1,"")</x:f>
      </x:c>
      <x:c r="P126" s="27" t="str">
        <x:f>IF(AND('Detalle'!$F65="Completado",P125=1),1,"")</x:f>
      </x:c>
      <x:c r="Q126" s="27" t="str">
        <x:f>IF(AND('Detalle'!$F65="Completado",Q125=1),1,"")</x:f>
      </x:c>
      <x:c r="R126" s="49"/>
      <x:c r="S126" s="30" t="str"/>
      <x:c r="T126" s="30" t="str"/>
    </x:row>
    <x:row r="127" ht="17" customHeight="1">
      <x:c r="A127" s="28" t="str">
        <x:v>BD-22</x:v>
      </x:c>
      <x:c r="B127" s="28" t="str">
        <x:v>Recorridos y AR</x:v>
      </x:c>
      <x:c r="C127" s="28" t="str">
        <x:v>Implementar bucket privado y carga reanudable</x:v>
      </x:c>
      <x:c r="D127" s="46" t="str">
        <x:v>E</x:v>
      </x:c>
      <x:c r="E127" s="48" t="n">
        <x:f>IF('Detalle'!I66="","",'Detalle'!I66)</x:f>
        <x:v>1</x:v>
      </x:c>
      <x:c r="F127" s="44" t="str">
        <x:f>IF('Detalle'!F66="","",'Detalle'!F66)</x:f>
        <x:v>Completado</x:v>
      </x:c>
      <x:c r="G127" s="27" t="str">
        <x:f>IF(OR('Detalle'!$G66="",'Detalle'!$H66=""),"",IF(AND(G$8&lt;='Detalle'!$H66,G$9&gt;='Detalle'!$G66),1,""))</x:f>
      </x:c>
      <x:c r="H127" s="27" t="str">
        <x:f>IF(OR('Detalle'!$G66="",'Detalle'!$H66=""),"",IF(AND(H$8&lt;='Detalle'!$H66,H$9&gt;='Detalle'!$G66),1,""))</x:f>
      </x:c>
      <x:c r="I127" s="27" t="str">
        <x:f>IF(OR('Detalle'!$G66="",'Detalle'!$H66=""),"",IF(AND(I$8&lt;='Detalle'!$H66,I$9&gt;='Detalle'!$G66),1,""))</x:f>
      </x:c>
      <x:c r="J127" s="27" t="str">
        <x:f>IF(OR('Detalle'!$G66="",'Detalle'!$H66=""),"",IF(AND(J$8&lt;='Detalle'!$H66,J$9&gt;='Detalle'!$G66),1,""))</x:f>
      </x:c>
      <x:c r="K127" s="27" t="n">
        <x:f>IF(OR('Detalle'!$G66="",'Detalle'!$H66=""),"",IF(AND(K$8&lt;='Detalle'!$H66,K$9&gt;='Detalle'!$G66),1,""))</x:f>
        <x:v>1</x:v>
      </x:c>
      <x:c r="L127" s="27" t="str">
        <x:f>IF(OR('Detalle'!$G66="",'Detalle'!$H66=""),"",IF(AND(L$8&lt;='Detalle'!$H66,L$9&gt;='Detalle'!$G66),1,""))</x:f>
      </x:c>
      <x:c r="M127" s="27" t="str">
        <x:f>IF(OR('Detalle'!$G66="",'Detalle'!$H66=""),"",IF(AND(M$8&lt;='Detalle'!$H66,M$9&gt;='Detalle'!$G66),1,""))</x:f>
      </x:c>
      <x:c r="N127" s="27" t="str">
        <x:f>IF(OR('Detalle'!$G66="",'Detalle'!$H66=""),"",IF(AND(N$8&lt;='Detalle'!$H66,N$9&gt;='Detalle'!$G66),1,""))</x:f>
      </x:c>
      <x:c r="O127" s="27" t="str">
        <x:f>IF(OR('Detalle'!$G66="",'Detalle'!$H66=""),"",IF(AND(O$8&lt;='Detalle'!$H66,O$9&gt;='Detalle'!$G66),1,""))</x:f>
      </x:c>
      <x:c r="P127" s="27" t="str">
        <x:f>IF(OR('Detalle'!$G66="",'Detalle'!$H66=""),"",IF(AND(P$8&lt;='Detalle'!$H66,P$9&gt;='Detalle'!$G66),1,""))</x:f>
      </x:c>
      <x:c r="Q127" s="27" t="str">
        <x:f>IF(OR('Detalle'!$G66="",'Detalle'!$H66=""),"",IF(AND(Q$8&lt;='Detalle'!$H66,Q$9&gt;='Detalle'!$G66),1,""))</x:f>
      </x:c>
      <x:c r="R127" s="49"/>
      <x:c r="S127" s="30" t="str">
        <x:f>IF('Detalle'!L66="","",'Detalle'!L66)</x:f>
        <x:v>Alan</x:v>
      </x:c>
      <x:c r="T127" s="30" t="str">
        <x:f>IF('Detalle'!M66="","",'Detalle'!M66)</x:f>
      </x:c>
    </x:row>
    <x:row r="128" ht="17" customHeight="1">
      <x:c r="A128" s="28" t="str">
        <x:v>BD-22</x:v>
      </x:c>
      <x:c r="B128" s="28" t="str">
        <x:v>Recorridos y AR</x:v>
      </x:c>
      <x:c r="C128" s="28" t="str">
        <x:v>Implementar bucket privado y carga reanudable</x:v>
      </x:c>
      <x:c r="D128" s="47" t="str">
        <x:v>R</x:v>
      </x:c>
      <x:c r="E128" s="48" t="n">
        <x:f>IF('Detalle'!J66="","",'Detalle'!J66)</x:f>
        <x:v>1</x:v>
      </x:c>
      <x:c r="F128" s="44" t="str"/>
      <x:c r="G128" s="27" t="str">
        <x:f>IF(AND('Detalle'!$F66="Completado",G127=1),1,"")</x:f>
      </x:c>
      <x:c r="H128" s="27" t="str">
        <x:f>IF(AND('Detalle'!$F66="Completado",H127=1),1,"")</x:f>
      </x:c>
      <x:c r="I128" s="27" t="str">
        <x:f>IF(AND('Detalle'!$F66="Completado",I127=1),1,"")</x:f>
      </x:c>
      <x:c r="J128" s="27" t="str">
        <x:f>IF(AND('Detalle'!$F66="Completado",J127=1),1,"")</x:f>
      </x:c>
      <x:c r="K128" s="27" t="n">
        <x:f>IF(AND('Detalle'!$F66="Completado",K127=1),1,"")</x:f>
        <x:v>1</x:v>
      </x:c>
      <x:c r="L128" s="27" t="str">
        <x:f>IF(AND('Detalle'!$F66="Completado",L127=1),1,"")</x:f>
      </x:c>
      <x:c r="M128" s="27" t="str">
        <x:f>IF(AND('Detalle'!$F66="Completado",M127=1),1,"")</x:f>
      </x:c>
      <x:c r="N128" s="27" t="str">
        <x:f>IF(AND('Detalle'!$F66="Completado",N127=1),1,"")</x:f>
      </x:c>
      <x:c r="O128" s="27" t="str">
        <x:f>IF(AND('Detalle'!$F66="Completado",O127=1),1,"")</x:f>
      </x:c>
      <x:c r="P128" s="27" t="str">
        <x:f>IF(AND('Detalle'!$F66="Completado",P127=1),1,"")</x:f>
      </x:c>
      <x:c r="Q128" s="27" t="str">
        <x:f>IF(AND('Detalle'!$F66="Completado",Q127=1),1,"")</x:f>
      </x:c>
      <x:c r="R128" s="49"/>
      <x:c r="S128" s="30" t="str"/>
      <x:c r="T128" s="30" t="str"/>
    </x:row>
    <x:row r="129" ht="17" customHeight="1">
      <x:c r="A129" s="28" t="str">
        <x:v>BD-23</x:v>
      </x:c>
      <x:c r="B129" s="28" t="str">
        <x:v>Recorridos y AR</x:v>
      </x:c>
      <x:c r="C129" s="28" t="str">
        <x:v>Implementar cola, leases y limpieza de recorridos</x:v>
      </x:c>
      <x:c r="D129" s="46" t="str">
        <x:v>E</x:v>
      </x:c>
      <x:c r="E129" s="48" t="n">
        <x:f>IF('Detalle'!I67="","",'Detalle'!I67)</x:f>
        <x:v>1</x:v>
      </x:c>
      <x:c r="F129" s="44" t="str">
        <x:f>IF('Detalle'!F67="","",'Detalle'!F67)</x:f>
        <x:v>Completado</x:v>
      </x:c>
      <x:c r="G129" s="27" t="str">
        <x:f>IF(OR('Detalle'!$G67="",'Detalle'!$H67=""),"",IF(AND(G$8&lt;='Detalle'!$H67,G$9&gt;='Detalle'!$G67),1,""))</x:f>
      </x:c>
      <x:c r="H129" s="27" t="str">
        <x:f>IF(OR('Detalle'!$G67="",'Detalle'!$H67=""),"",IF(AND(H$8&lt;='Detalle'!$H67,H$9&gt;='Detalle'!$G67),1,""))</x:f>
      </x:c>
      <x:c r="I129" s="27" t="str">
        <x:f>IF(OR('Detalle'!$G67="",'Detalle'!$H67=""),"",IF(AND(I$8&lt;='Detalle'!$H67,I$9&gt;='Detalle'!$G67),1,""))</x:f>
      </x:c>
      <x:c r="J129" s="27" t="str">
        <x:f>IF(OR('Detalle'!$G67="",'Detalle'!$H67=""),"",IF(AND(J$8&lt;='Detalle'!$H67,J$9&gt;='Detalle'!$G67),1,""))</x:f>
      </x:c>
      <x:c r="K129" s="27" t="n">
        <x:f>IF(OR('Detalle'!$G67="",'Detalle'!$H67=""),"",IF(AND(K$8&lt;='Detalle'!$H67,K$9&gt;='Detalle'!$G67),1,""))</x:f>
        <x:v>1</x:v>
      </x:c>
      <x:c r="L129" s="27" t="str">
        <x:f>IF(OR('Detalle'!$G67="",'Detalle'!$H67=""),"",IF(AND(L$8&lt;='Detalle'!$H67,L$9&gt;='Detalle'!$G67),1,""))</x:f>
      </x:c>
      <x:c r="M129" s="27" t="str">
        <x:f>IF(OR('Detalle'!$G67="",'Detalle'!$H67=""),"",IF(AND(M$8&lt;='Detalle'!$H67,M$9&gt;='Detalle'!$G67),1,""))</x:f>
      </x:c>
      <x:c r="N129" s="27" t="str">
        <x:f>IF(OR('Detalle'!$G67="",'Detalle'!$H67=""),"",IF(AND(N$8&lt;='Detalle'!$H67,N$9&gt;='Detalle'!$G67),1,""))</x:f>
      </x:c>
      <x:c r="O129" s="27" t="str">
        <x:f>IF(OR('Detalle'!$G67="",'Detalle'!$H67=""),"",IF(AND(O$8&lt;='Detalle'!$H67,O$9&gt;='Detalle'!$G67),1,""))</x:f>
      </x:c>
      <x:c r="P129" s="27" t="str">
        <x:f>IF(OR('Detalle'!$G67="",'Detalle'!$H67=""),"",IF(AND(P$8&lt;='Detalle'!$H67,P$9&gt;='Detalle'!$G67),1,""))</x:f>
      </x:c>
      <x:c r="Q129" s="27" t="str">
        <x:f>IF(OR('Detalle'!$G67="",'Detalle'!$H67=""),"",IF(AND(Q$8&lt;='Detalle'!$H67,Q$9&gt;='Detalle'!$G67),1,""))</x:f>
      </x:c>
      <x:c r="R129" s="49"/>
      <x:c r="S129" s="30" t="str">
        <x:f>IF('Detalle'!L67="","",'Detalle'!L67)</x:f>
        <x:v>Alan</x:v>
      </x:c>
      <x:c r="T129" s="30" t="str">
        <x:f>IF('Detalle'!M67="","",'Detalle'!M67)</x:f>
      </x:c>
    </x:row>
    <x:row r="130" ht="17" customHeight="1">
      <x:c r="A130" s="28" t="str">
        <x:v>BD-23</x:v>
      </x:c>
      <x:c r="B130" s="28" t="str">
        <x:v>Recorridos y AR</x:v>
      </x:c>
      <x:c r="C130" s="28" t="str">
        <x:v>Implementar cola, leases y limpieza de recorridos</x:v>
      </x:c>
      <x:c r="D130" s="47" t="str">
        <x:v>R</x:v>
      </x:c>
      <x:c r="E130" s="48" t="n">
        <x:f>IF('Detalle'!J67="","",'Detalle'!J67)</x:f>
        <x:v>1</x:v>
      </x:c>
      <x:c r="F130" s="44" t="str"/>
      <x:c r="G130" s="27" t="str">
        <x:f>IF(AND('Detalle'!$F67="Completado",G129=1),1,"")</x:f>
      </x:c>
      <x:c r="H130" s="27" t="str">
        <x:f>IF(AND('Detalle'!$F67="Completado",H129=1),1,"")</x:f>
      </x:c>
      <x:c r="I130" s="27" t="str">
        <x:f>IF(AND('Detalle'!$F67="Completado",I129=1),1,"")</x:f>
      </x:c>
      <x:c r="J130" s="27" t="str">
        <x:f>IF(AND('Detalle'!$F67="Completado",J129=1),1,"")</x:f>
      </x:c>
      <x:c r="K130" s="27" t="n">
        <x:f>IF(AND('Detalle'!$F67="Completado",K129=1),1,"")</x:f>
        <x:v>1</x:v>
      </x:c>
      <x:c r="L130" s="27" t="str">
        <x:f>IF(AND('Detalle'!$F67="Completado",L129=1),1,"")</x:f>
      </x:c>
      <x:c r="M130" s="27" t="str">
        <x:f>IF(AND('Detalle'!$F67="Completado",M129=1),1,"")</x:f>
      </x:c>
      <x:c r="N130" s="27" t="str">
        <x:f>IF(AND('Detalle'!$F67="Completado",N129=1),1,"")</x:f>
      </x:c>
      <x:c r="O130" s="27" t="str">
        <x:f>IF(AND('Detalle'!$F67="Completado",O129=1),1,"")</x:f>
      </x:c>
      <x:c r="P130" s="27" t="str">
        <x:f>IF(AND('Detalle'!$F67="Completado",P129=1),1,"")</x:f>
      </x:c>
      <x:c r="Q130" s="27" t="str">
        <x:f>IF(AND('Detalle'!$F67="Completado",Q129=1),1,"")</x:f>
      </x:c>
      <x:c r="R130" s="49"/>
      <x:c r="S130" s="30" t="str"/>
      <x:c r="T130" s="30" t="str"/>
    </x:row>
    <x:row r="131" ht="17" customHeight="1">
      <x:c r="A131" s="28" t="str">
        <x:v>BD-24</x:v>
      </x:c>
      <x:c r="B131" s="28" t="str">
        <x:v>Recorridos y AR</x:v>
      </x:c>
      <x:c r="C131" s="28" t="str">
        <x:v>Implementar procesador Hugin y Enblend</x:v>
      </x:c>
      <x:c r="D131" s="46" t="str">
        <x:v>E</x:v>
      </x:c>
      <x:c r="E131" s="48" t="n">
        <x:f>IF('Detalle'!I68="","",'Detalle'!I68)</x:f>
        <x:v>1</x:v>
      </x:c>
      <x:c r="F131" s="44" t="str">
        <x:f>IF('Detalle'!F68="","",'Detalle'!F68)</x:f>
        <x:v>Completado</x:v>
      </x:c>
      <x:c r="G131" s="27" t="str">
        <x:f>IF(OR('Detalle'!$G68="",'Detalle'!$H68=""),"",IF(AND(G$8&lt;='Detalle'!$H68,G$9&gt;='Detalle'!$G68),1,""))</x:f>
      </x:c>
      <x:c r="H131" s="27" t="str">
        <x:f>IF(OR('Detalle'!$G68="",'Detalle'!$H68=""),"",IF(AND(H$8&lt;='Detalle'!$H68,H$9&gt;='Detalle'!$G68),1,""))</x:f>
      </x:c>
      <x:c r="I131" s="27" t="str">
        <x:f>IF(OR('Detalle'!$G68="",'Detalle'!$H68=""),"",IF(AND(I$8&lt;='Detalle'!$H68,I$9&gt;='Detalle'!$G68),1,""))</x:f>
      </x:c>
      <x:c r="J131" s="27" t="str">
        <x:f>IF(OR('Detalle'!$G68="",'Detalle'!$H68=""),"",IF(AND(J$8&lt;='Detalle'!$H68,J$9&gt;='Detalle'!$G68),1,""))</x:f>
      </x:c>
      <x:c r="K131" s="27" t="n">
        <x:f>IF(OR('Detalle'!$G68="",'Detalle'!$H68=""),"",IF(AND(K$8&lt;='Detalle'!$H68,K$9&gt;='Detalle'!$G68),1,""))</x:f>
        <x:v>1</x:v>
      </x:c>
      <x:c r="L131" s="27" t="str">
        <x:f>IF(OR('Detalle'!$G68="",'Detalle'!$H68=""),"",IF(AND(L$8&lt;='Detalle'!$H68,L$9&gt;='Detalle'!$G68),1,""))</x:f>
      </x:c>
      <x:c r="M131" s="27" t="str">
        <x:f>IF(OR('Detalle'!$G68="",'Detalle'!$H68=""),"",IF(AND(M$8&lt;='Detalle'!$H68,M$9&gt;='Detalle'!$G68),1,""))</x:f>
      </x:c>
      <x:c r="N131" s="27" t="str">
        <x:f>IF(OR('Detalle'!$G68="",'Detalle'!$H68=""),"",IF(AND(N$8&lt;='Detalle'!$H68,N$9&gt;='Detalle'!$G68),1,""))</x:f>
      </x:c>
      <x:c r="O131" s="27" t="str">
        <x:f>IF(OR('Detalle'!$G68="",'Detalle'!$H68=""),"",IF(AND(O$8&lt;='Detalle'!$H68,O$9&gt;='Detalle'!$G68),1,""))</x:f>
      </x:c>
      <x:c r="P131" s="27" t="str">
        <x:f>IF(OR('Detalle'!$G68="",'Detalle'!$H68=""),"",IF(AND(P$8&lt;='Detalle'!$H68,P$9&gt;='Detalle'!$G68),1,""))</x:f>
      </x:c>
      <x:c r="Q131" s="27" t="str">
        <x:f>IF(OR('Detalle'!$G68="",'Detalle'!$H68=""),"",IF(AND(Q$8&lt;='Detalle'!$H68,Q$9&gt;='Detalle'!$G68),1,""))</x:f>
      </x:c>
      <x:c r="R131" s="49"/>
      <x:c r="S131" s="30" t="str">
        <x:f>IF('Detalle'!L68="","",'Detalle'!L68)</x:f>
        <x:v>Cristopher</x:v>
      </x:c>
      <x:c r="T131" s="30" t="str">
        <x:f>IF('Detalle'!M68="","",'Detalle'!M68)</x:f>
      </x:c>
    </x:row>
    <x:row r="132" ht="17" customHeight="1">
      <x:c r="A132" s="28" t="str">
        <x:v>BD-24</x:v>
      </x:c>
      <x:c r="B132" s="28" t="str">
        <x:v>Recorridos y AR</x:v>
      </x:c>
      <x:c r="C132" s="28" t="str">
        <x:v>Implementar procesador Hugin y Enblend</x:v>
      </x:c>
      <x:c r="D132" s="47" t="str">
        <x:v>R</x:v>
      </x:c>
      <x:c r="E132" s="48" t="n">
        <x:f>IF('Detalle'!J68="","",'Detalle'!J68)</x:f>
        <x:v>1</x:v>
      </x:c>
      <x:c r="F132" s="44" t="str"/>
      <x:c r="G132" s="27" t="str">
        <x:f>IF(AND('Detalle'!$F68="Completado",G131=1),1,"")</x:f>
      </x:c>
      <x:c r="H132" s="27" t="str">
        <x:f>IF(AND('Detalle'!$F68="Completado",H131=1),1,"")</x:f>
      </x:c>
      <x:c r="I132" s="27" t="str">
        <x:f>IF(AND('Detalle'!$F68="Completado",I131=1),1,"")</x:f>
      </x:c>
      <x:c r="J132" s="27" t="str">
        <x:f>IF(AND('Detalle'!$F68="Completado",J131=1),1,"")</x:f>
      </x:c>
      <x:c r="K132" s="27" t="n">
        <x:f>IF(AND('Detalle'!$F68="Completado",K131=1),1,"")</x:f>
        <x:v>1</x:v>
      </x:c>
      <x:c r="L132" s="27" t="str">
        <x:f>IF(AND('Detalle'!$F68="Completado",L131=1),1,"")</x:f>
      </x:c>
      <x:c r="M132" s="27" t="str">
        <x:f>IF(AND('Detalle'!$F68="Completado",M131=1),1,"")</x:f>
      </x:c>
      <x:c r="N132" s="27" t="str">
        <x:f>IF(AND('Detalle'!$F68="Completado",N131=1),1,"")</x:f>
      </x:c>
      <x:c r="O132" s="27" t="str">
        <x:f>IF(AND('Detalle'!$F68="Completado",O131=1),1,"")</x:f>
      </x:c>
      <x:c r="P132" s="27" t="str">
        <x:f>IF(AND('Detalle'!$F68="Completado",P131=1),1,"")</x:f>
      </x:c>
      <x:c r="Q132" s="27" t="str">
        <x:f>IF(AND('Detalle'!$F68="Completado",Q131=1),1,"")</x:f>
      </x:c>
      <x:c r="R132" s="49"/>
      <x:c r="S132" s="30" t="str"/>
      <x:c r="T132" s="30" t="str"/>
    </x:row>
    <x:row r="133" ht="17" customHeight="1">
      <x:c r="A133" s="28" t="str">
        <x:v>BD-25</x:v>
      </x:c>
      <x:c r="B133" s="28" t="str">
        <x:v>Moderación</x:v>
      </x:c>
      <x:c r="C133" s="28" t="str">
        <x:v>Crear reportes y cola privada de moderación</x:v>
      </x:c>
      <x:c r="D133" s="46" t="str">
        <x:v>E</x:v>
      </x:c>
      <x:c r="E133" s="48" t="n">
        <x:f>IF('Detalle'!I69="","",'Detalle'!I69)</x:f>
        <x:v>1</x:v>
      </x:c>
      <x:c r="F133" s="44" t="str">
        <x:f>IF('Detalle'!F69="","",'Detalle'!F69)</x:f>
        <x:v>Completado</x:v>
      </x:c>
      <x:c r="G133" s="27" t="str">
        <x:f>IF(OR('Detalle'!$G69="",'Detalle'!$H69=""),"",IF(AND(G$8&lt;='Detalle'!$H69,G$9&gt;='Detalle'!$G69),1,""))</x:f>
      </x:c>
      <x:c r="H133" s="27" t="str">
        <x:f>IF(OR('Detalle'!$G69="",'Detalle'!$H69=""),"",IF(AND(H$8&lt;='Detalle'!$H69,H$9&gt;='Detalle'!$G69),1,""))</x:f>
      </x:c>
      <x:c r="I133" s="27" t="n">
        <x:f>IF(OR('Detalle'!$G69="",'Detalle'!$H69=""),"",IF(AND(I$8&lt;='Detalle'!$H69,I$9&gt;='Detalle'!$G69),1,""))</x:f>
        <x:v>1</x:v>
      </x:c>
      <x:c r="J133" s="27" t="str">
        <x:f>IF(OR('Detalle'!$G69="",'Detalle'!$H69=""),"",IF(AND(J$8&lt;='Detalle'!$H69,J$9&gt;='Detalle'!$G69),1,""))</x:f>
      </x:c>
      <x:c r="K133" s="27" t="str">
        <x:f>IF(OR('Detalle'!$G69="",'Detalle'!$H69=""),"",IF(AND(K$8&lt;='Detalle'!$H69,K$9&gt;='Detalle'!$G69),1,""))</x:f>
      </x:c>
      <x:c r="L133" s="27" t="str">
        <x:f>IF(OR('Detalle'!$G69="",'Detalle'!$H69=""),"",IF(AND(L$8&lt;='Detalle'!$H69,L$9&gt;='Detalle'!$G69),1,""))</x:f>
      </x:c>
      <x:c r="M133" s="27" t="str">
        <x:f>IF(OR('Detalle'!$G69="",'Detalle'!$H69=""),"",IF(AND(M$8&lt;='Detalle'!$H69,M$9&gt;='Detalle'!$G69),1,""))</x:f>
      </x:c>
      <x:c r="N133" s="27" t="str">
        <x:f>IF(OR('Detalle'!$G69="",'Detalle'!$H69=""),"",IF(AND(N$8&lt;='Detalle'!$H69,N$9&gt;='Detalle'!$G69),1,""))</x:f>
      </x:c>
      <x:c r="O133" s="27" t="str">
        <x:f>IF(OR('Detalle'!$G69="",'Detalle'!$H69=""),"",IF(AND(O$8&lt;='Detalle'!$H69,O$9&gt;='Detalle'!$G69),1,""))</x:f>
      </x:c>
      <x:c r="P133" s="27" t="str">
        <x:f>IF(OR('Detalle'!$G69="",'Detalle'!$H69=""),"",IF(AND(P$8&lt;='Detalle'!$H69,P$9&gt;='Detalle'!$G69),1,""))</x:f>
      </x:c>
      <x:c r="Q133" s="27" t="str">
        <x:f>IF(OR('Detalle'!$G69="",'Detalle'!$H69=""),"",IF(AND(Q$8&lt;='Detalle'!$H69,Q$9&gt;='Detalle'!$G69),1,""))</x:f>
      </x:c>
      <x:c r="R133" s="49"/>
      <x:c r="S133" s="30" t="str">
        <x:f>IF('Detalle'!L69="","",'Detalle'!L69)</x:f>
        <x:v>Alan</x:v>
      </x:c>
      <x:c r="T133" s="30" t="str">
        <x:f>IF('Detalle'!M69="","",'Detalle'!M69)</x:f>
      </x:c>
    </x:row>
    <x:row r="134" ht="17" customHeight="1">
      <x:c r="A134" s="28" t="str">
        <x:v>BD-25</x:v>
      </x:c>
      <x:c r="B134" s="28" t="str">
        <x:v>Moderación</x:v>
      </x:c>
      <x:c r="C134" s="28" t="str">
        <x:v>Crear reportes y cola privada de moderación</x:v>
      </x:c>
      <x:c r="D134" s="47" t="str">
        <x:v>R</x:v>
      </x:c>
      <x:c r="E134" s="48" t="n">
        <x:f>IF('Detalle'!J69="","",'Detalle'!J69)</x:f>
        <x:v>1</x:v>
      </x:c>
      <x:c r="F134" s="44" t="str"/>
      <x:c r="G134" s="27" t="str">
        <x:f>IF(AND('Detalle'!$F69="Completado",G133=1),1,"")</x:f>
      </x:c>
      <x:c r="H134" s="27" t="str">
        <x:f>IF(AND('Detalle'!$F69="Completado",H133=1),1,"")</x:f>
      </x:c>
      <x:c r="I134" s="27" t="n">
        <x:f>IF(AND('Detalle'!$F69="Completado",I133=1),1,"")</x:f>
        <x:v>1</x:v>
      </x:c>
      <x:c r="J134" s="27" t="str">
        <x:f>IF(AND('Detalle'!$F69="Completado",J133=1),1,"")</x:f>
      </x:c>
      <x:c r="K134" s="27" t="str">
        <x:f>IF(AND('Detalle'!$F69="Completado",K133=1),1,"")</x:f>
      </x:c>
      <x:c r="L134" s="27" t="str">
        <x:f>IF(AND('Detalle'!$F69="Completado",L133=1),1,"")</x:f>
      </x:c>
      <x:c r="M134" s="27" t="str">
        <x:f>IF(AND('Detalle'!$F69="Completado",M133=1),1,"")</x:f>
      </x:c>
      <x:c r="N134" s="27" t="str">
        <x:f>IF(AND('Detalle'!$F69="Completado",N133=1),1,"")</x:f>
      </x:c>
      <x:c r="O134" s="27" t="str">
        <x:f>IF(AND('Detalle'!$F69="Completado",O133=1),1,"")</x:f>
      </x:c>
      <x:c r="P134" s="27" t="str">
        <x:f>IF(AND('Detalle'!$F69="Completado",P133=1),1,"")</x:f>
      </x:c>
      <x:c r="Q134" s="27" t="str">
        <x:f>IF(AND('Detalle'!$F69="Completado",Q133=1),1,"")</x:f>
      </x:c>
      <x:c r="R134" s="49"/>
      <x:c r="S134" s="30" t="str"/>
      <x:c r="T134" s="30" t="str"/>
    </x:row>
    <x:row r="135" ht="17" customHeight="1">
      <x:c r="A135" s="28" t="str">
        <x:v>BD-26</x:v>
      </x:c>
      <x:c r="B135" s="28" t="str">
        <x:v>Moderación</x:v>
      </x:c>
      <x:c r="C135" s="28" t="str">
        <x:v>Implementar ocultamiento, restauración y limpieza</x:v>
      </x:c>
      <x:c r="D135" s="46" t="str">
        <x:v>E</x:v>
      </x:c>
      <x:c r="E135" s="48" t="n">
        <x:f>IF('Detalle'!I70="","",'Detalle'!I70)</x:f>
        <x:v>1</x:v>
      </x:c>
      <x:c r="F135" s="44" t="str">
        <x:f>IF('Detalle'!F70="","",'Detalle'!F70)</x:f>
        <x:v>Completado</x:v>
      </x:c>
      <x:c r="G135" s="27" t="str">
        <x:f>IF(OR('Detalle'!$G70="",'Detalle'!$H70=""),"",IF(AND(G$8&lt;='Detalle'!$H70,G$9&gt;='Detalle'!$G70),1,""))</x:f>
      </x:c>
      <x:c r="H135" s="27" t="str">
        <x:f>IF(OR('Detalle'!$G70="",'Detalle'!$H70=""),"",IF(AND(H$8&lt;='Detalle'!$H70,H$9&gt;='Detalle'!$G70),1,""))</x:f>
      </x:c>
      <x:c r="I135" s="27" t="n">
        <x:f>IF(OR('Detalle'!$G70="",'Detalle'!$H70=""),"",IF(AND(I$8&lt;='Detalle'!$H70,I$9&gt;='Detalle'!$G70),1,""))</x:f>
        <x:v>1</x:v>
      </x:c>
      <x:c r="J135" s="27" t="str">
        <x:f>IF(OR('Detalle'!$G70="",'Detalle'!$H70=""),"",IF(AND(J$8&lt;='Detalle'!$H70,J$9&gt;='Detalle'!$G70),1,""))</x:f>
      </x:c>
      <x:c r="K135" s="27" t="str">
        <x:f>IF(OR('Detalle'!$G70="",'Detalle'!$H70=""),"",IF(AND(K$8&lt;='Detalle'!$H70,K$9&gt;='Detalle'!$G70),1,""))</x:f>
      </x:c>
      <x:c r="L135" s="27" t="str">
        <x:f>IF(OR('Detalle'!$G70="",'Detalle'!$H70=""),"",IF(AND(L$8&lt;='Detalle'!$H70,L$9&gt;='Detalle'!$G70),1,""))</x:f>
      </x:c>
      <x:c r="M135" s="27" t="str">
        <x:f>IF(OR('Detalle'!$G70="",'Detalle'!$H70=""),"",IF(AND(M$8&lt;='Detalle'!$H70,M$9&gt;='Detalle'!$G70),1,""))</x:f>
      </x:c>
      <x:c r="N135" s="27" t="str">
        <x:f>IF(OR('Detalle'!$G70="",'Detalle'!$H70=""),"",IF(AND(N$8&lt;='Detalle'!$H70,N$9&gt;='Detalle'!$G70),1,""))</x:f>
      </x:c>
      <x:c r="O135" s="27" t="str">
        <x:f>IF(OR('Detalle'!$G70="",'Detalle'!$H70=""),"",IF(AND(O$8&lt;='Detalle'!$H70,O$9&gt;='Detalle'!$G70),1,""))</x:f>
      </x:c>
      <x:c r="P135" s="27" t="str">
        <x:f>IF(OR('Detalle'!$G70="",'Detalle'!$H70=""),"",IF(AND(P$8&lt;='Detalle'!$H70,P$9&gt;='Detalle'!$G70),1,""))</x:f>
      </x:c>
      <x:c r="Q135" s="27" t="str">
        <x:f>IF(OR('Detalle'!$G70="",'Detalle'!$H70=""),"",IF(AND(Q$8&lt;='Detalle'!$H70,Q$9&gt;='Detalle'!$G70),1,""))</x:f>
      </x:c>
      <x:c r="R135" s="49"/>
      <x:c r="S135" s="30" t="str">
        <x:f>IF('Detalle'!L70="","",'Detalle'!L70)</x:f>
        <x:v>Alan</x:v>
      </x:c>
      <x:c r="T135" s="30" t="str">
        <x:f>IF('Detalle'!M70="","",'Detalle'!M70)</x:f>
      </x:c>
    </x:row>
    <x:row r="136" ht="17" customHeight="1">
      <x:c r="A136" s="28" t="str">
        <x:v>BD-26</x:v>
      </x:c>
      <x:c r="B136" s="28" t="str">
        <x:v>Moderación</x:v>
      </x:c>
      <x:c r="C136" s="28" t="str">
        <x:v>Implementar ocultamiento, restauración y limpieza</x:v>
      </x:c>
      <x:c r="D136" s="47" t="str">
        <x:v>R</x:v>
      </x:c>
      <x:c r="E136" s="48" t="n">
        <x:f>IF('Detalle'!J70="","",'Detalle'!J70)</x:f>
        <x:v>1</x:v>
      </x:c>
      <x:c r="F136" s="44" t="str"/>
      <x:c r="G136" s="27" t="str">
        <x:f>IF(AND('Detalle'!$F70="Completado",G135=1),1,"")</x:f>
      </x:c>
      <x:c r="H136" s="27" t="str">
        <x:f>IF(AND('Detalle'!$F70="Completado",H135=1),1,"")</x:f>
      </x:c>
      <x:c r="I136" s="27" t="n">
        <x:f>IF(AND('Detalle'!$F70="Completado",I135=1),1,"")</x:f>
        <x:v>1</x:v>
      </x:c>
      <x:c r="J136" s="27" t="str">
        <x:f>IF(AND('Detalle'!$F70="Completado",J135=1),1,"")</x:f>
      </x:c>
      <x:c r="K136" s="27" t="str">
        <x:f>IF(AND('Detalle'!$F70="Completado",K135=1),1,"")</x:f>
      </x:c>
      <x:c r="L136" s="27" t="str">
        <x:f>IF(AND('Detalle'!$F70="Completado",L135=1),1,"")</x:f>
      </x:c>
      <x:c r="M136" s="27" t="str">
        <x:f>IF(AND('Detalle'!$F70="Completado",M135=1),1,"")</x:f>
      </x:c>
      <x:c r="N136" s="27" t="str">
        <x:f>IF(AND('Detalle'!$F70="Completado",N135=1),1,"")</x:f>
      </x:c>
      <x:c r="O136" s="27" t="str">
        <x:f>IF(AND('Detalle'!$F70="Completado",O135=1),1,"")</x:f>
      </x:c>
      <x:c r="P136" s="27" t="str">
        <x:f>IF(AND('Detalle'!$F70="Completado",P135=1),1,"")</x:f>
      </x:c>
      <x:c r="Q136" s="27" t="str">
        <x:f>IF(AND('Detalle'!$F70="Completado",Q135=1),1,"")</x:f>
      </x:c>
      <x:c r="R136" s="49"/>
      <x:c r="S136" s="30" t="str"/>
      <x:c r="T136" s="30" t="str"/>
    </x:row>
    <x:row r="137" ht="23" customHeight="1">
      <x:c r="A137" s="42" t="str">
        <x:v>FE — Desarrollo Front-end (Cliente)</x:v>
      </x:c>
      <x:c r="B137" s="42" t="str">
        <x:v>FE — Desarrollo Front-end (Cliente)</x:v>
      </x:c>
      <x:c r="C137" s="42" t="str">
        <x:v>FE — Desarrollo Front-end (Cliente)</x:v>
      </x:c>
      <x:c r="D137" s="42" t="str">
        <x:v>FE — Desarrollo Front-end (Cliente)</x:v>
      </x:c>
      <x:c r="E137" s="42" t="str">
        <x:v>FE — Desarrollo Front-end (Cliente)</x:v>
      </x:c>
      <x:c r="F137" s="42" t="str">
        <x:v>FE — Desarrollo Front-end (Cliente)</x:v>
      </x:c>
      <x:c r="G137" s="43" t="str">
        <x:v>FE — Desarrollo Front-end (Cliente)</x:v>
      </x:c>
      <x:c r="H137" s="43" t="str">
        <x:v>FE — Desarrollo Front-end (Cliente)</x:v>
      </x:c>
      <x:c r="I137" s="43" t="str">
        <x:v>FE — Desarrollo Front-end (Cliente)</x:v>
      </x:c>
      <x:c r="J137" s="43" t="str">
        <x:v>FE — Desarrollo Front-end (Cliente)</x:v>
      </x:c>
      <x:c r="K137" s="43" t="str">
        <x:v>FE — Desarrollo Front-end (Cliente)</x:v>
      </x:c>
      <x:c r="L137" s="43" t="str">
        <x:v>FE — Desarrollo Front-end (Cliente)</x:v>
      </x:c>
      <x:c r="M137" s="43" t="str">
        <x:v>FE — Desarrollo Front-end (Cliente)</x:v>
      </x:c>
      <x:c r="N137" s="43" t="str">
        <x:v>FE — Desarrollo Front-end (Cliente)</x:v>
      </x:c>
      <x:c r="O137" s="43" t="str">
        <x:v>FE — Desarrollo Front-end (Cliente)</x:v>
      </x:c>
      <x:c r="P137" s="43" t="str">
        <x:v>FE — Desarrollo Front-end (Cliente)</x:v>
      </x:c>
      <x:c r="Q137" s="43" t="str">
        <x:v>FE — Desarrollo Front-end (Cliente)</x:v>
      </x:c>
      <x:c r="R137" s="42" t="str">
        <x:v>FE — Desarrollo Front-end (Cliente)</x:v>
      </x:c>
      <x:c r="S137" s="42" t="str">
        <x:v>FE — Desarrollo Front-end (Cliente)</x:v>
      </x:c>
      <x:c r="T137" s="42" t="str">
        <x:v>FE — Desarrollo Front-end (Cliente)</x:v>
      </x:c>
    </x:row>
    <x:row r="138" ht="17" customHeight="1">
      <x:c r="A138" s="28" t="str">
        <x:v>FE-01</x:v>
      </x:c>
      <x:c r="B138" s="28" t="str">
        <x:v>Transversal</x:v>
      </x:c>
      <x:c r="C138" s="28" t="str">
        <x:v>Crear proyecto Flutter y configuración del cliente</x:v>
      </x:c>
      <x:c r="D138" s="46" t="str">
        <x:v>E</x:v>
      </x:c>
      <x:c r="E138" s="48" t="n">
        <x:f>IF('Detalle'!I71="","",'Detalle'!I71)</x:f>
        <x:v>1</x:v>
      </x:c>
      <x:c r="F138" s="44" t="str">
        <x:f>IF('Detalle'!F71="","",'Detalle'!F71)</x:f>
        <x:v>Completado</x:v>
      </x:c>
      <x:c r="G138" s="27" t="str">
        <x:f>IF(OR('Detalle'!$G71="",'Detalle'!$H71=""),"",IF(AND(G$8&lt;='Detalle'!$H71,G$9&gt;='Detalle'!$G71),1,""))</x:f>
      </x:c>
      <x:c r="H138" s="27" t="n">
        <x:f>IF(OR('Detalle'!$G71="",'Detalle'!$H71=""),"",IF(AND(H$8&lt;='Detalle'!$H71,H$9&gt;='Detalle'!$G71),1,""))</x:f>
        <x:v>1</x:v>
      </x:c>
      <x:c r="I138" s="27" t="str">
        <x:f>IF(OR('Detalle'!$G71="",'Detalle'!$H71=""),"",IF(AND(I$8&lt;='Detalle'!$H71,I$9&gt;='Detalle'!$G71),1,""))</x:f>
      </x:c>
      <x:c r="J138" s="27" t="str">
        <x:f>IF(OR('Detalle'!$G71="",'Detalle'!$H71=""),"",IF(AND(J$8&lt;='Detalle'!$H71,J$9&gt;='Detalle'!$G71),1,""))</x:f>
      </x:c>
      <x:c r="K138" s="27" t="str">
        <x:f>IF(OR('Detalle'!$G71="",'Detalle'!$H71=""),"",IF(AND(K$8&lt;='Detalle'!$H71,K$9&gt;='Detalle'!$G71),1,""))</x:f>
      </x:c>
      <x:c r="L138" s="27" t="str">
        <x:f>IF(OR('Detalle'!$G71="",'Detalle'!$H71=""),"",IF(AND(L$8&lt;='Detalle'!$H71,L$9&gt;='Detalle'!$G71),1,""))</x:f>
      </x:c>
      <x:c r="M138" s="27" t="str">
        <x:f>IF(OR('Detalle'!$G71="",'Detalle'!$H71=""),"",IF(AND(M$8&lt;='Detalle'!$H71,M$9&gt;='Detalle'!$G71),1,""))</x:f>
      </x:c>
      <x:c r="N138" s="27" t="str">
        <x:f>IF(OR('Detalle'!$G71="",'Detalle'!$H71=""),"",IF(AND(N$8&lt;='Detalle'!$H71,N$9&gt;='Detalle'!$G71),1,""))</x:f>
      </x:c>
      <x:c r="O138" s="27" t="str">
        <x:f>IF(OR('Detalle'!$G71="",'Detalle'!$H71=""),"",IF(AND(O$8&lt;='Detalle'!$H71,O$9&gt;='Detalle'!$G71),1,""))</x:f>
      </x:c>
      <x:c r="P138" s="27" t="str">
        <x:f>IF(OR('Detalle'!$G71="",'Detalle'!$H71=""),"",IF(AND(P$8&lt;='Detalle'!$H71,P$9&gt;='Detalle'!$G71),1,""))</x:f>
      </x:c>
      <x:c r="Q138" s="27" t="str">
        <x:f>IF(OR('Detalle'!$G71="",'Detalle'!$H71=""),"",IF(AND(Q$8&lt;='Detalle'!$H71,Q$9&gt;='Detalle'!$G71),1,""))</x:f>
      </x:c>
      <x:c r="R138" s="49"/>
      <x:c r="S138" s="30" t="str">
        <x:f>IF('Detalle'!L71="","",'Detalle'!L71)</x:f>
        <x:v>Fatima</x:v>
      </x:c>
      <x:c r="T138" s="30" t="str">
        <x:f>IF('Detalle'!M71="","",'Detalle'!M71)</x:f>
      </x:c>
    </x:row>
    <x:row r="139" ht="17" customHeight="1">
      <x:c r="A139" s="28" t="str">
        <x:v>FE-01</x:v>
      </x:c>
      <x:c r="B139" s="28" t="str">
        <x:v>Transversal</x:v>
      </x:c>
      <x:c r="C139" s="28" t="str">
        <x:v>Crear proyecto Flutter y configuración del cliente</x:v>
      </x:c>
      <x:c r="D139" s="47" t="str">
        <x:v>R</x:v>
      </x:c>
      <x:c r="E139" s="48" t="n">
        <x:f>IF('Detalle'!J71="","",'Detalle'!J71)</x:f>
        <x:v>1</x:v>
      </x:c>
      <x:c r="F139" s="44" t="str"/>
      <x:c r="G139" s="27" t="str">
        <x:f>IF(AND('Detalle'!$F71="Completado",G138=1),1,"")</x:f>
      </x:c>
      <x:c r="H139" s="27" t="n">
        <x:f>IF(AND('Detalle'!$F71="Completado",H138=1),1,"")</x:f>
        <x:v>1</x:v>
      </x:c>
      <x:c r="I139" s="27" t="str">
        <x:f>IF(AND('Detalle'!$F71="Completado",I138=1),1,"")</x:f>
      </x:c>
      <x:c r="J139" s="27" t="str">
        <x:f>IF(AND('Detalle'!$F71="Completado",J138=1),1,"")</x:f>
      </x:c>
      <x:c r="K139" s="27" t="str">
        <x:f>IF(AND('Detalle'!$F71="Completado",K138=1),1,"")</x:f>
      </x:c>
      <x:c r="L139" s="27" t="str">
        <x:f>IF(AND('Detalle'!$F71="Completado",L138=1),1,"")</x:f>
      </x:c>
      <x:c r="M139" s="27" t="str">
        <x:f>IF(AND('Detalle'!$F71="Completado",M138=1),1,"")</x:f>
      </x:c>
      <x:c r="N139" s="27" t="str">
        <x:f>IF(AND('Detalle'!$F71="Completado",N138=1),1,"")</x:f>
      </x:c>
      <x:c r="O139" s="27" t="str">
        <x:f>IF(AND('Detalle'!$F71="Completado",O138=1),1,"")</x:f>
      </x:c>
      <x:c r="P139" s="27" t="str">
        <x:f>IF(AND('Detalle'!$F71="Completado",P138=1),1,"")</x:f>
      </x:c>
      <x:c r="Q139" s="27" t="str">
        <x:f>IF(AND('Detalle'!$F71="Completado",Q138=1),1,"")</x:f>
      </x:c>
      <x:c r="R139" s="49"/>
      <x:c r="S139" s="30" t="str"/>
      <x:c r="T139" s="30" t="str"/>
    </x:row>
    <x:row r="140" ht="17" customHeight="1">
      <x:c r="A140" s="28" t="str">
        <x:v>FE-02</x:v>
      </x:c>
      <x:c r="B140" s="28" t="str">
        <x:v>Transversal</x:v>
      </x:c>
      <x:c r="C140" s="28" t="str">
        <x:v>Configurar rutas y continuidad de sesión</x:v>
      </x:c>
      <x:c r="D140" s="46" t="str">
        <x:v>E</x:v>
      </x:c>
      <x:c r="E140" s="48" t="n">
        <x:f>IF('Detalle'!I72="","",'Detalle'!I72)</x:f>
        <x:v>1</x:v>
      </x:c>
      <x:c r="F140" s="44" t="str">
        <x:f>IF('Detalle'!F72="","",'Detalle'!F72)</x:f>
        <x:v>Completado</x:v>
      </x:c>
      <x:c r="G140" s="27" t="str">
        <x:f>IF(OR('Detalle'!$G72="",'Detalle'!$H72=""),"",IF(AND(G$8&lt;='Detalle'!$H72,G$9&gt;='Detalle'!$G72),1,""))</x:f>
      </x:c>
      <x:c r="H140" s="27" t="n">
        <x:f>IF(OR('Detalle'!$G72="",'Detalle'!$H72=""),"",IF(AND(H$8&lt;='Detalle'!$H72,H$9&gt;='Detalle'!$G72),1,""))</x:f>
        <x:v>1</x:v>
      </x:c>
      <x:c r="I140" s="27" t="str">
        <x:f>IF(OR('Detalle'!$G72="",'Detalle'!$H72=""),"",IF(AND(I$8&lt;='Detalle'!$H72,I$9&gt;='Detalle'!$G72),1,""))</x:f>
      </x:c>
      <x:c r="J140" s="27" t="str">
        <x:f>IF(OR('Detalle'!$G72="",'Detalle'!$H72=""),"",IF(AND(J$8&lt;='Detalle'!$H72,J$9&gt;='Detalle'!$G72),1,""))</x:f>
      </x:c>
      <x:c r="K140" s="27" t="str">
        <x:f>IF(OR('Detalle'!$G72="",'Detalle'!$H72=""),"",IF(AND(K$8&lt;='Detalle'!$H72,K$9&gt;='Detalle'!$G72),1,""))</x:f>
      </x:c>
      <x:c r="L140" s="27" t="str">
        <x:f>IF(OR('Detalle'!$G72="",'Detalle'!$H72=""),"",IF(AND(L$8&lt;='Detalle'!$H72,L$9&gt;='Detalle'!$G72),1,""))</x:f>
      </x:c>
      <x:c r="M140" s="27" t="str">
        <x:f>IF(OR('Detalle'!$G72="",'Detalle'!$H72=""),"",IF(AND(M$8&lt;='Detalle'!$H72,M$9&gt;='Detalle'!$G72),1,""))</x:f>
      </x:c>
      <x:c r="N140" s="27" t="str">
        <x:f>IF(OR('Detalle'!$G72="",'Detalle'!$H72=""),"",IF(AND(N$8&lt;='Detalle'!$H72,N$9&gt;='Detalle'!$G72),1,""))</x:f>
      </x:c>
      <x:c r="O140" s="27" t="str">
        <x:f>IF(OR('Detalle'!$G72="",'Detalle'!$H72=""),"",IF(AND(O$8&lt;='Detalle'!$H72,O$9&gt;='Detalle'!$G72),1,""))</x:f>
      </x:c>
      <x:c r="P140" s="27" t="str">
        <x:f>IF(OR('Detalle'!$G72="",'Detalle'!$H72=""),"",IF(AND(P$8&lt;='Detalle'!$H72,P$9&gt;='Detalle'!$G72),1,""))</x:f>
      </x:c>
      <x:c r="Q140" s="27" t="str">
        <x:f>IF(OR('Detalle'!$G72="",'Detalle'!$H72=""),"",IF(AND(Q$8&lt;='Detalle'!$H72,Q$9&gt;='Detalle'!$G72),1,""))</x:f>
      </x:c>
      <x:c r="R140" s="49"/>
      <x:c r="S140" s="30" t="str">
        <x:f>IF('Detalle'!L72="","",'Detalle'!L72)</x:f>
        <x:v>Fatima</x:v>
      </x:c>
      <x:c r="T140" s="30" t="str">
        <x:f>IF('Detalle'!M72="","",'Detalle'!M72)</x:f>
      </x:c>
    </x:row>
    <x:row r="141" ht="17" customHeight="1">
      <x:c r="A141" s="28" t="str">
        <x:v>FE-02</x:v>
      </x:c>
      <x:c r="B141" s="28" t="str">
        <x:v>Transversal</x:v>
      </x:c>
      <x:c r="C141" s="28" t="str">
        <x:v>Configurar rutas y continuidad de sesión</x:v>
      </x:c>
      <x:c r="D141" s="47" t="str">
        <x:v>R</x:v>
      </x:c>
      <x:c r="E141" s="48" t="n">
        <x:f>IF('Detalle'!J72="","",'Detalle'!J72)</x:f>
        <x:v>1</x:v>
      </x:c>
      <x:c r="F141" s="44" t="str"/>
      <x:c r="G141" s="27" t="str">
        <x:f>IF(AND('Detalle'!$F72="Completado",G140=1),1,"")</x:f>
      </x:c>
      <x:c r="H141" s="27" t="n">
        <x:f>IF(AND('Detalle'!$F72="Completado",H140=1),1,"")</x:f>
        <x:v>1</x:v>
      </x:c>
      <x:c r="I141" s="27" t="str">
        <x:f>IF(AND('Detalle'!$F72="Completado",I140=1),1,"")</x:f>
      </x:c>
      <x:c r="J141" s="27" t="str">
        <x:f>IF(AND('Detalle'!$F72="Completado",J140=1),1,"")</x:f>
      </x:c>
      <x:c r="K141" s="27" t="str">
        <x:f>IF(AND('Detalle'!$F72="Completado",K140=1),1,"")</x:f>
      </x:c>
      <x:c r="L141" s="27" t="str">
        <x:f>IF(AND('Detalle'!$F72="Completado",L140=1),1,"")</x:f>
      </x:c>
      <x:c r="M141" s="27" t="str">
        <x:f>IF(AND('Detalle'!$F72="Completado",M140=1),1,"")</x:f>
      </x:c>
      <x:c r="N141" s="27" t="str">
        <x:f>IF(AND('Detalle'!$F72="Completado",N140=1),1,"")</x:f>
      </x:c>
      <x:c r="O141" s="27" t="str">
        <x:f>IF(AND('Detalle'!$F72="Completado",O140=1),1,"")</x:f>
      </x:c>
      <x:c r="P141" s="27" t="str">
        <x:f>IF(AND('Detalle'!$F72="Completado",P140=1),1,"")</x:f>
      </x:c>
      <x:c r="Q141" s="27" t="str">
        <x:f>IF(AND('Detalle'!$F72="Completado",Q140=1),1,"")</x:f>
      </x:c>
      <x:c r="R141" s="49"/>
      <x:c r="S141" s="30" t="str"/>
      <x:c r="T141" s="30" t="str"/>
    </x:row>
    <x:row r="142" ht="17" customHeight="1">
      <x:c r="A142" s="28" t="str">
        <x:v>FE-03</x:v>
      </x:c>
      <x:c r="B142" s="28" t="str">
        <x:v>Autenticación</x:v>
      </x:c>
      <x:c r="C142" s="28" t="str">
        <x:v>Implementar registro en pasos y validadores</x:v>
      </x:c>
      <x:c r="D142" s="46" t="str">
        <x:v>E</x:v>
      </x:c>
      <x:c r="E142" s="48" t="n">
        <x:f>IF('Detalle'!I73="","",'Detalle'!I73)</x:f>
        <x:v>1</x:v>
      </x:c>
      <x:c r="F142" s="44" t="str">
        <x:f>IF('Detalle'!F73="","",'Detalle'!F73)</x:f>
        <x:v>Completado</x:v>
      </x:c>
      <x:c r="G142" s="27" t="str">
        <x:f>IF(OR('Detalle'!$G73="",'Detalle'!$H73=""),"",IF(AND(G$8&lt;='Detalle'!$H73,G$9&gt;='Detalle'!$G73),1,""))</x:f>
      </x:c>
      <x:c r="H142" s="27" t="str">
        <x:f>IF(OR('Detalle'!$G73="",'Detalle'!$H73=""),"",IF(AND(H$8&lt;='Detalle'!$H73,H$9&gt;='Detalle'!$G73),1,""))</x:f>
      </x:c>
      <x:c r="I142" s="27" t="str">
        <x:f>IF(OR('Detalle'!$G73="",'Detalle'!$H73=""),"",IF(AND(I$8&lt;='Detalle'!$H73,I$9&gt;='Detalle'!$G73),1,""))</x:f>
      </x:c>
      <x:c r="J142" s="27" t="n">
        <x:f>IF(OR('Detalle'!$G73="",'Detalle'!$H73=""),"",IF(AND(J$8&lt;='Detalle'!$H73,J$9&gt;='Detalle'!$G73),1,""))</x:f>
        <x:v>1</x:v>
      </x:c>
      <x:c r="K142" s="27" t="str">
        <x:f>IF(OR('Detalle'!$G73="",'Detalle'!$H73=""),"",IF(AND(K$8&lt;='Detalle'!$H73,K$9&gt;='Detalle'!$G73),1,""))</x:f>
      </x:c>
      <x:c r="L142" s="27" t="str">
        <x:f>IF(OR('Detalle'!$G73="",'Detalle'!$H73=""),"",IF(AND(L$8&lt;='Detalle'!$H73,L$9&gt;='Detalle'!$G73),1,""))</x:f>
      </x:c>
      <x:c r="M142" s="27" t="str">
        <x:f>IF(OR('Detalle'!$G73="",'Detalle'!$H73=""),"",IF(AND(M$8&lt;='Detalle'!$H73,M$9&gt;='Detalle'!$G73),1,""))</x:f>
      </x:c>
      <x:c r="N142" s="27" t="str">
        <x:f>IF(OR('Detalle'!$G73="",'Detalle'!$H73=""),"",IF(AND(N$8&lt;='Detalle'!$H73,N$9&gt;='Detalle'!$G73),1,""))</x:f>
      </x:c>
      <x:c r="O142" s="27" t="str">
        <x:f>IF(OR('Detalle'!$G73="",'Detalle'!$H73=""),"",IF(AND(O$8&lt;='Detalle'!$H73,O$9&gt;='Detalle'!$G73),1,""))</x:f>
      </x:c>
      <x:c r="P142" s="27" t="str">
        <x:f>IF(OR('Detalle'!$G73="",'Detalle'!$H73=""),"",IF(AND(P$8&lt;='Detalle'!$H73,P$9&gt;='Detalle'!$G73),1,""))</x:f>
      </x:c>
      <x:c r="Q142" s="27" t="str">
        <x:f>IF(OR('Detalle'!$G73="",'Detalle'!$H73=""),"",IF(AND(Q$8&lt;='Detalle'!$H73,Q$9&gt;='Detalle'!$G73),1,""))</x:f>
      </x:c>
      <x:c r="R142" s="49"/>
      <x:c r="S142" s="30" t="str">
        <x:f>IF('Detalle'!L73="","",'Detalle'!L73)</x:f>
        <x:v>Cristopher</x:v>
      </x:c>
      <x:c r="T142" s="30" t="str">
        <x:f>IF('Detalle'!M73="","",'Detalle'!M73)</x:f>
      </x:c>
    </x:row>
    <x:row r="143" ht="17" customHeight="1">
      <x:c r="A143" s="28" t="str">
        <x:v>FE-03</x:v>
      </x:c>
      <x:c r="B143" s="28" t="str">
        <x:v>Autenticación</x:v>
      </x:c>
      <x:c r="C143" s="28" t="str">
        <x:v>Implementar registro en pasos y validadores</x:v>
      </x:c>
      <x:c r="D143" s="47" t="str">
        <x:v>R</x:v>
      </x:c>
      <x:c r="E143" s="48" t="n">
        <x:f>IF('Detalle'!J73="","",'Detalle'!J73)</x:f>
        <x:v>1</x:v>
      </x:c>
      <x:c r="F143" s="44" t="str"/>
      <x:c r="G143" s="27" t="str">
        <x:f>IF(AND('Detalle'!$F73="Completado",G142=1),1,"")</x:f>
      </x:c>
      <x:c r="H143" s="27" t="str">
        <x:f>IF(AND('Detalle'!$F73="Completado",H142=1),1,"")</x:f>
      </x:c>
      <x:c r="I143" s="27" t="str">
        <x:f>IF(AND('Detalle'!$F73="Completado",I142=1),1,"")</x:f>
      </x:c>
      <x:c r="J143" s="27" t="n">
        <x:f>IF(AND('Detalle'!$F73="Completado",J142=1),1,"")</x:f>
        <x:v>1</x:v>
      </x:c>
      <x:c r="K143" s="27" t="str">
        <x:f>IF(AND('Detalle'!$F73="Completado",K142=1),1,"")</x:f>
      </x:c>
      <x:c r="L143" s="27" t="str">
        <x:f>IF(AND('Detalle'!$F73="Completado",L142=1),1,"")</x:f>
      </x:c>
      <x:c r="M143" s="27" t="str">
        <x:f>IF(AND('Detalle'!$F73="Completado",M142=1),1,"")</x:f>
      </x:c>
      <x:c r="N143" s="27" t="str">
        <x:f>IF(AND('Detalle'!$F73="Completado",N142=1),1,"")</x:f>
      </x:c>
      <x:c r="O143" s="27" t="str">
        <x:f>IF(AND('Detalle'!$F73="Completado",O142=1),1,"")</x:f>
      </x:c>
      <x:c r="P143" s="27" t="str">
        <x:f>IF(AND('Detalle'!$F73="Completado",P142=1),1,"")</x:f>
      </x:c>
      <x:c r="Q143" s="27" t="str">
        <x:f>IF(AND('Detalle'!$F73="Completado",Q142=1),1,"")</x:f>
      </x:c>
      <x:c r="R143" s="49"/>
      <x:c r="S143" s="30" t="str"/>
      <x:c r="T143" s="30" t="str"/>
    </x:row>
    <x:row r="144" ht="17" customHeight="1">
      <x:c r="A144" s="28" t="str">
        <x:v>FE-04</x:v>
      </x:c>
      <x:c r="B144" s="28" t="str">
        <x:v>Autenticación</x:v>
      </x:c>
      <x:c r="C144" s="28" t="str">
        <x:v>Implementar inicio, cierre y persistencia de sesión</x:v>
      </x:c>
      <x:c r="D144" s="46" t="str">
        <x:v>E</x:v>
      </x:c>
      <x:c r="E144" s="48" t="n">
        <x:f>IF('Detalle'!I74="","",'Detalle'!I74)</x:f>
        <x:v>1</x:v>
      </x:c>
      <x:c r="F144" s="44" t="str">
        <x:f>IF('Detalle'!F74="","",'Detalle'!F74)</x:f>
        <x:v>Completado</x:v>
      </x:c>
      <x:c r="G144" s="27" t="str">
        <x:f>IF(OR('Detalle'!$G74="",'Detalle'!$H74=""),"",IF(AND(G$8&lt;='Detalle'!$H74,G$9&gt;='Detalle'!$G74),1,""))</x:f>
      </x:c>
      <x:c r="H144" s="27" t="n">
        <x:f>IF(OR('Detalle'!$G74="",'Detalle'!$H74=""),"",IF(AND(H$8&lt;='Detalle'!$H74,H$9&gt;='Detalle'!$G74),1,""))</x:f>
        <x:v>1</x:v>
      </x:c>
      <x:c r="I144" s="27" t="str">
        <x:f>IF(OR('Detalle'!$G74="",'Detalle'!$H74=""),"",IF(AND(I$8&lt;='Detalle'!$H74,I$9&gt;='Detalle'!$G74),1,""))</x:f>
      </x:c>
      <x:c r="J144" s="27" t="str">
        <x:f>IF(OR('Detalle'!$G74="",'Detalle'!$H74=""),"",IF(AND(J$8&lt;='Detalle'!$H74,J$9&gt;='Detalle'!$G74),1,""))</x:f>
      </x:c>
      <x:c r="K144" s="27" t="str">
        <x:f>IF(OR('Detalle'!$G74="",'Detalle'!$H74=""),"",IF(AND(K$8&lt;='Detalle'!$H74,K$9&gt;='Detalle'!$G74),1,""))</x:f>
      </x:c>
      <x:c r="L144" s="27" t="str">
        <x:f>IF(OR('Detalle'!$G74="",'Detalle'!$H74=""),"",IF(AND(L$8&lt;='Detalle'!$H74,L$9&gt;='Detalle'!$G74),1,""))</x:f>
      </x:c>
      <x:c r="M144" s="27" t="str">
        <x:f>IF(OR('Detalle'!$G74="",'Detalle'!$H74=""),"",IF(AND(M$8&lt;='Detalle'!$H74,M$9&gt;='Detalle'!$G74),1,""))</x:f>
      </x:c>
      <x:c r="N144" s="27" t="str">
        <x:f>IF(OR('Detalle'!$G74="",'Detalle'!$H74=""),"",IF(AND(N$8&lt;='Detalle'!$H74,N$9&gt;='Detalle'!$G74),1,""))</x:f>
      </x:c>
      <x:c r="O144" s="27" t="str">
        <x:f>IF(OR('Detalle'!$G74="",'Detalle'!$H74=""),"",IF(AND(O$8&lt;='Detalle'!$H74,O$9&gt;='Detalle'!$G74),1,""))</x:f>
      </x:c>
      <x:c r="P144" s="27" t="str">
        <x:f>IF(OR('Detalle'!$G74="",'Detalle'!$H74=""),"",IF(AND(P$8&lt;='Detalle'!$H74,P$9&gt;='Detalle'!$G74),1,""))</x:f>
      </x:c>
      <x:c r="Q144" s="27" t="str">
        <x:f>IF(OR('Detalle'!$G74="",'Detalle'!$H74=""),"",IF(AND(Q$8&lt;='Detalle'!$H74,Q$9&gt;='Detalle'!$G74),1,""))</x:f>
      </x:c>
      <x:c r="R144" s="49"/>
      <x:c r="S144" s="30" t="str">
        <x:f>IF('Detalle'!L74="","",'Detalle'!L74)</x:f>
        <x:v>Cristopher</x:v>
      </x:c>
      <x:c r="T144" s="30" t="str">
        <x:f>IF('Detalle'!M74="","",'Detalle'!M74)</x:f>
      </x:c>
    </x:row>
    <x:row r="145" ht="17" customHeight="1">
      <x:c r="A145" s="28" t="str">
        <x:v>FE-04</x:v>
      </x:c>
      <x:c r="B145" s="28" t="str">
        <x:v>Autenticación</x:v>
      </x:c>
      <x:c r="C145" s="28" t="str">
        <x:v>Implementar inicio, cierre y persistencia de sesión</x:v>
      </x:c>
      <x:c r="D145" s="47" t="str">
        <x:v>R</x:v>
      </x:c>
      <x:c r="E145" s="48" t="n">
        <x:f>IF('Detalle'!J74="","",'Detalle'!J74)</x:f>
        <x:v>1</x:v>
      </x:c>
      <x:c r="F145" s="44" t="str"/>
      <x:c r="G145" s="27" t="str">
        <x:f>IF(AND('Detalle'!$F74="Completado",G144=1),1,"")</x:f>
      </x:c>
      <x:c r="H145" s="27" t="n">
        <x:f>IF(AND('Detalle'!$F74="Completado",H144=1),1,"")</x:f>
        <x:v>1</x:v>
      </x:c>
      <x:c r="I145" s="27" t="str">
        <x:f>IF(AND('Detalle'!$F74="Completado",I144=1),1,"")</x:f>
      </x:c>
      <x:c r="J145" s="27" t="str">
        <x:f>IF(AND('Detalle'!$F74="Completado",J144=1),1,"")</x:f>
      </x:c>
      <x:c r="K145" s="27" t="str">
        <x:f>IF(AND('Detalle'!$F74="Completado",K144=1),1,"")</x:f>
      </x:c>
      <x:c r="L145" s="27" t="str">
        <x:f>IF(AND('Detalle'!$F74="Completado",L144=1),1,"")</x:f>
      </x:c>
      <x:c r="M145" s="27" t="str">
        <x:f>IF(AND('Detalle'!$F74="Completado",M144=1),1,"")</x:f>
      </x:c>
      <x:c r="N145" s="27" t="str">
        <x:f>IF(AND('Detalle'!$F74="Completado",N144=1),1,"")</x:f>
      </x:c>
      <x:c r="O145" s="27" t="str">
        <x:f>IF(AND('Detalle'!$F74="Completado",O144=1),1,"")</x:f>
      </x:c>
      <x:c r="P145" s="27" t="str">
        <x:f>IF(AND('Detalle'!$F74="Completado",P144=1),1,"")</x:f>
      </x:c>
      <x:c r="Q145" s="27" t="str">
        <x:f>IF(AND('Detalle'!$F74="Completado",Q144=1),1,"")</x:f>
      </x:c>
      <x:c r="R145" s="49"/>
      <x:c r="S145" s="30" t="str"/>
      <x:c r="T145" s="30" t="str"/>
    </x:row>
    <x:row r="146" ht="17" customHeight="1">
      <x:c r="A146" s="28" t="str">
        <x:v>FE-05</x:v>
      </x:c>
      <x:c r="B146" s="28" t="str">
        <x:v>Autenticación</x:v>
      </x:c>
      <x:c r="C146" s="28" t="str">
        <x:v>Implementar recuperación mediante OTP</x:v>
      </x:c>
      <x:c r="D146" s="46" t="str">
        <x:v>E</x:v>
      </x:c>
      <x:c r="E146" s="48" t="n">
        <x:f>IF('Detalle'!I75="","",'Detalle'!I75)</x:f>
        <x:v>1</x:v>
      </x:c>
      <x:c r="F146" s="44" t="str">
        <x:f>IF('Detalle'!F75="","",'Detalle'!F75)</x:f>
        <x:v>Completado</x:v>
      </x:c>
      <x:c r="G146" s="27" t="str">
        <x:f>IF(OR('Detalle'!$G75="",'Detalle'!$H75=""),"",IF(AND(G$8&lt;='Detalle'!$H75,G$9&gt;='Detalle'!$G75),1,""))</x:f>
      </x:c>
      <x:c r="H146" s="27" t="n">
        <x:f>IF(OR('Detalle'!$G75="",'Detalle'!$H75=""),"",IF(AND(H$8&lt;='Detalle'!$H75,H$9&gt;='Detalle'!$G75),1,""))</x:f>
        <x:v>1</x:v>
      </x:c>
      <x:c r="I146" s="27" t="str">
        <x:f>IF(OR('Detalle'!$G75="",'Detalle'!$H75=""),"",IF(AND(I$8&lt;='Detalle'!$H75,I$9&gt;='Detalle'!$G75),1,""))</x:f>
      </x:c>
      <x:c r="J146" s="27" t="str">
        <x:f>IF(OR('Detalle'!$G75="",'Detalle'!$H75=""),"",IF(AND(J$8&lt;='Detalle'!$H75,J$9&gt;='Detalle'!$G75),1,""))</x:f>
      </x:c>
      <x:c r="K146" s="27" t="str">
        <x:f>IF(OR('Detalle'!$G75="",'Detalle'!$H75=""),"",IF(AND(K$8&lt;='Detalle'!$H75,K$9&gt;='Detalle'!$G75),1,""))</x:f>
      </x:c>
      <x:c r="L146" s="27" t="str">
        <x:f>IF(OR('Detalle'!$G75="",'Detalle'!$H75=""),"",IF(AND(L$8&lt;='Detalle'!$H75,L$9&gt;='Detalle'!$G75),1,""))</x:f>
      </x:c>
      <x:c r="M146" s="27" t="str">
        <x:f>IF(OR('Detalle'!$G75="",'Detalle'!$H75=""),"",IF(AND(M$8&lt;='Detalle'!$H75,M$9&gt;='Detalle'!$G75),1,""))</x:f>
      </x:c>
      <x:c r="N146" s="27" t="str">
        <x:f>IF(OR('Detalle'!$G75="",'Detalle'!$H75=""),"",IF(AND(N$8&lt;='Detalle'!$H75,N$9&gt;='Detalle'!$G75),1,""))</x:f>
      </x:c>
      <x:c r="O146" s="27" t="str">
        <x:f>IF(OR('Detalle'!$G75="",'Detalle'!$H75=""),"",IF(AND(O$8&lt;='Detalle'!$H75,O$9&gt;='Detalle'!$G75),1,""))</x:f>
      </x:c>
      <x:c r="P146" s="27" t="str">
        <x:f>IF(OR('Detalle'!$G75="",'Detalle'!$H75=""),"",IF(AND(P$8&lt;='Detalle'!$H75,P$9&gt;='Detalle'!$G75),1,""))</x:f>
      </x:c>
      <x:c r="Q146" s="27" t="str">
        <x:f>IF(OR('Detalle'!$G75="",'Detalle'!$H75=""),"",IF(AND(Q$8&lt;='Detalle'!$H75,Q$9&gt;='Detalle'!$G75),1,""))</x:f>
      </x:c>
      <x:c r="R146" s="49"/>
      <x:c r="S146" s="30" t="str">
        <x:f>IF('Detalle'!L75="","",'Detalle'!L75)</x:f>
        <x:v>Cristopher</x:v>
      </x:c>
      <x:c r="T146" s="30" t="str">
        <x:f>IF('Detalle'!M75="","",'Detalle'!M75)</x:f>
      </x:c>
    </x:row>
    <x:row r="147" ht="17" customHeight="1">
      <x:c r="A147" s="28" t="str">
        <x:v>FE-05</x:v>
      </x:c>
      <x:c r="B147" s="28" t="str">
        <x:v>Autenticación</x:v>
      </x:c>
      <x:c r="C147" s="28" t="str">
        <x:v>Implementar recuperación mediante OTP</x:v>
      </x:c>
      <x:c r="D147" s="47" t="str">
        <x:v>R</x:v>
      </x:c>
      <x:c r="E147" s="48" t="n">
        <x:f>IF('Detalle'!J75="","",'Detalle'!J75)</x:f>
        <x:v>1</x:v>
      </x:c>
      <x:c r="F147" s="44" t="str"/>
      <x:c r="G147" s="27" t="str">
        <x:f>IF(AND('Detalle'!$F75="Completado",G146=1),1,"")</x:f>
      </x:c>
      <x:c r="H147" s="27" t="n">
        <x:f>IF(AND('Detalle'!$F75="Completado",H146=1),1,"")</x:f>
        <x:v>1</x:v>
      </x:c>
      <x:c r="I147" s="27" t="str">
        <x:f>IF(AND('Detalle'!$F75="Completado",I146=1),1,"")</x:f>
      </x:c>
      <x:c r="J147" s="27" t="str">
        <x:f>IF(AND('Detalle'!$F75="Completado",J146=1),1,"")</x:f>
      </x:c>
      <x:c r="K147" s="27" t="str">
        <x:f>IF(AND('Detalle'!$F75="Completado",K146=1),1,"")</x:f>
      </x:c>
      <x:c r="L147" s="27" t="str">
        <x:f>IF(AND('Detalle'!$F75="Completado",L146=1),1,"")</x:f>
      </x:c>
      <x:c r="M147" s="27" t="str">
        <x:f>IF(AND('Detalle'!$F75="Completado",M146=1),1,"")</x:f>
      </x:c>
      <x:c r="N147" s="27" t="str">
        <x:f>IF(AND('Detalle'!$F75="Completado",N146=1),1,"")</x:f>
      </x:c>
      <x:c r="O147" s="27" t="str">
        <x:f>IF(AND('Detalle'!$F75="Completado",O146=1),1,"")</x:f>
      </x:c>
      <x:c r="P147" s="27" t="str">
        <x:f>IF(AND('Detalle'!$F75="Completado",P146=1),1,"")</x:f>
      </x:c>
      <x:c r="Q147" s="27" t="str">
        <x:f>IF(AND('Detalle'!$F75="Completado",Q146=1),1,"")</x:f>
      </x:c>
      <x:c r="R147" s="49"/>
      <x:c r="S147" s="30" t="str"/>
      <x:c r="T147" s="30" t="str"/>
    </x:row>
    <x:row r="148" ht="17" customHeight="1">
      <x:c r="A148" s="28" t="str">
        <x:v>FE-06</x:v>
      </x:c>
      <x:c r="B148" s="28" t="str">
        <x:v>Autenticación</x:v>
      </x:c>
      <x:c r="C148" s="28" t="str">
        <x:v>Implementar cambios de contraseña y correo</x:v>
      </x:c>
      <x:c r="D148" s="46" t="str">
        <x:v>E</x:v>
      </x:c>
      <x:c r="E148" s="48" t="n">
        <x:f>IF('Detalle'!I76="","",'Detalle'!I76)</x:f>
        <x:v>1</x:v>
      </x:c>
      <x:c r="F148" s="44" t="str">
        <x:f>IF('Detalle'!F76="","",'Detalle'!F76)</x:f>
        <x:v>Completado</x:v>
      </x:c>
      <x:c r="G148" s="27" t="str">
        <x:f>IF(OR('Detalle'!$G76="",'Detalle'!$H76=""),"",IF(AND(G$8&lt;='Detalle'!$H76,G$9&gt;='Detalle'!$G76),1,""))</x:f>
      </x:c>
      <x:c r="H148" s="27" t="n">
        <x:f>IF(OR('Detalle'!$G76="",'Detalle'!$H76=""),"",IF(AND(H$8&lt;='Detalle'!$H76,H$9&gt;='Detalle'!$G76),1,""))</x:f>
        <x:v>1</x:v>
      </x:c>
      <x:c r="I148" s="27" t="str">
        <x:f>IF(OR('Detalle'!$G76="",'Detalle'!$H76=""),"",IF(AND(I$8&lt;='Detalle'!$H76,I$9&gt;='Detalle'!$G76),1,""))</x:f>
      </x:c>
      <x:c r="J148" s="27" t="str">
        <x:f>IF(OR('Detalle'!$G76="",'Detalle'!$H76=""),"",IF(AND(J$8&lt;='Detalle'!$H76,J$9&gt;='Detalle'!$G76),1,""))</x:f>
      </x:c>
      <x:c r="K148" s="27" t="str">
        <x:f>IF(OR('Detalle'!$G76="",'Detalle'!$H76=""),"",IF(AND(K$8&lt;='Detalle'!$H76,K$9&gt;='Detalle'!$G76),1,""))</x:f>
      </x:c>
      <x:c r="L148" s="27" t="str">
        <x:f>IF(OR('Detalle'!$G76="",'Detalle'!$H76=""),"",IF(AND(L$8&lt;='Detalle'!$H76,L$9&gt;='Detalle'!$G76),1,""))</x:f>
      </x:c>
      <x:c r="M148" s="27" t="str">
        <x:f>IF(OR('Detalle'!$G76="",'Detalle'!$H76=""),"",IF(AND(M$8&lt;='Detalle'!$H76,M$9&gt;='Detalle'!$G76),1,""))</x:f>
      </x:c>
      <x:c r="N148" s="27" t="str">
        <x:f>IF(OR('Detalle'!$G76="",'Detalle'!$H76=""),"",IF(AND(N$8&lt;='Detalle'!$H76,N$9&gt;='Detalle'!$G76),1,""))</x:f>
      </x:c>
      <x:c r="O148" s="27" t="str">
        <x:f>IF(OR('Detalle'!$G76="",'Detalle'!$H76=""),"",IF(AND(O$8&lt;='Detalle'!$H76,O$9&gt;='Detalle'!$G76),1,""))</x:f>
      </x:c>
      <x:c r="P148" s="27" t="str">
        <x:f>IF(OR('Detalle'!$G76="",'Detalle'!$H76=""),"",IF(AND(P$8&lt;='Detalle'!$H76,P$9&gt;='Detalle'!$G76),1,""))</x:f>
      </x:c>
      <x:c r="Q148" s="27" t="str">
        <x:f>IF(OR('Detalle'!$G76="",'Detalle'!$H76=""),"",IF(AND(Q$8&lt;='Detalle'!$H76,Q$9&gt;='Detalle'!$G76),1,""))</x:f>
      </x:c>
      <x:c r="R148" s="49"/>
      <x:c r="S148" s="30" t="str">
        <x:f>IF('Detalle'!L76="","",'Detalle'!L76)</x:f>
        <x:v>Cristopher</x:v>
      </x:c>
      <x:c r="T148" s="30" t="str">
        <x:f>IF('Detalle'!M76="","",'Detalle'!M76)</x:f>
      </x:c>
    </x:row>
    <x:row r="149" ht="17" customHeight="1">
      <x:c r="A149" s="28" t="str">
        <x:v>FE-06</x:v>
      </x:c>
      <x:c r="B149" s="28" t="str">
        <x:v>Autenticación</x:v>
      </x:c>
      <x:c r="C149" s="28" t="str">
        <x:v>Implementar cambios de contraseña y correo</x:v>
      </x:c>
      <x:c r="D149" s="47" t="str">
        <x:v>R</x:v>
      </x:c>
      <x:c r="E149" s="48" t="n">
        <x:f>IF('Detalle'!J76="","",'Detalle'!J76)</x:f>
        <x:v>1</x:v>
      </x:c>
      <x:c r="F149" s="44" t="str"/>
      <x:c r="G149" s="27" t="str">
        <x:f>IF(AND('Detalle'!$F76="Completado",G148=1),1,"")</x:f>
      </x:c>
      <x:c r="H149" s="27" t="n">
        <x:f>IF(AND('Detalle'!$F76="Completado",H148=1),1,"")</x:f>
        <x:v>1</x:v>
      </x:c>
      <x:c r="I149" s="27" t="str">
        <x:f>IF(AND('Detalle'!$F76="Completado",I148=1),1,"")</x:f>
      </x:c>
      <x:c r="J149" s="27" t="str">
        <x:f>IF(AND('Detalle'!$F76="Completado",J148=1),1,"")</x:f>
      </x:c>
      <x:c r="K149" s="27" t="str">
        <x:f>IF(AND('Detalle'!$F76="Completado",K148=1),1,"")</x:f>
      </x:c>
      <x:c r="L149" s="27" t="str">
        <x:f>IF(AND('Detalle'!$F76="Completado",L148=1),1,"")</x:f>
      </x:c>
      <x:c r="M149" s="27" t="str">
        <x:f>IF(AND('Detalle'!$F76="Completado",M148=1),1,"")</x:f>
      </x:c>
      <x:c r="N149" s="27" t="str">
        <x:f>IF(AND('Detalle'!$F76="Completado",N148=1),1,"")</x:f>
      </x:c>
      <x:c r="O149" s="27" t="str">
        <x:f>IF(AND('Detalle'!$F76="Completado",O148=1),1,"")</x:f>
      </x:c>
      <x:c r="P149" s="27" t="str">
        <x:f>IF(AND('Detalle'!$F76="Completado",P148=1),1,"")</x:f>
      </x:c>
      <x:c r="Q149" s="27" t="str">
        <x:f>IF(AND('Detalle'!$F76="Completado",Q148=1),1,"")</x:f>
      </x:c>
      <x:c r="R149" s="49"/>
      <x:c r="S149" s="30" t="str"/>
      <x:c r="T149" s="30" t="str"/>
    </x:row>
    <x:row r="150" ht="17" customHeight="1">
      <x:c r="A150" s="28" t="str">
        <x:v>FE-07</x:v>
      </x:c>
      <x:c r="B150" s="28" t="str">
        <x:v>Autenticación</x:v>
      </x:c>
      <x:c r="C150" s="28" t="str">
        <x:v>Implementar aceptación de términos y mayoría de edad</x:v>
      </x:c>
      <x:c r="D150" s="46" t="str">
        <x:v>E</x:v>
      </x:c>
      <x:c r="E150" s="48" t="n">
        <x:f>IF('Detalle'!I77="","",'Detalle'!I77)</x:f>
        <x:v>1</x:v>
      </x:c>
      <x:c r="F150" s="44" t="str">
        <x:f>IF('Detalle'!F77="","",'Detalle'!F77)</x:f>
        <x:v>Completado</x:v>
      </x:c>
      <x:c r="G150" s="27" t="str">
        <x:f>IF(OR('Detalle'!$G77="",'Detalle'!$H77=""),"",IF(AND(G$8&lt;='Detalle'!$H77,G$9&gt;='Detalle'!$G77),1,""))</x:f>
      </x:c>
      <x:c r="H150" s="27" t="n">
        <x:f>IF(OR('Detalle'!$G77="",'Detalle'!$H77=""),"",IF(AND(H$8&lt;='Detalle'!$H77,H$9&gt;='Detalle'!$G77),1,""))</x:f>
        <x:v>1</x:v>
      </x:c>
      <x:c r="I150" s="27" t="str">
        <x:f>IF(OR('Detalle'!$G77="",'Detalle'!$H77=""),"",IF(AND(I$8&lt;='Detalle'!$H77,I$9&gt;='Detalle'!$G77),1,""))</x:f>
      </x:c>
      <x:c r="J150" s="27" t="str">
        <x:f>IF(OR('Detalle'!$G77="",'Detalle'!$H77=""),"",IF(AND(J$8&lt;='Detalle'!$H77,J$9&gt;='Detalle'!$G77),1,""))</x:f>
      </x:c>
      <x:c r="K150" s="27" t="str">
        <x:f>IF(OR('Detalle'!$G77="",'Detalle'!$H77=""),"",IF(AND(K$8&lt;='Detalle'!$H77,K$9&gt;='Detalle'!$G77),1,""))</x:f>
      </x:c>
      <x:c r="L150" s="27" t="str">
        <x:f>IF(OR('Detalle'!$G77="",'Detalle'!$H77=""),"",IF(AND(L$8&lt;='Detalle'!$H77,L$9&gt;='Detalle'!$G77),1,""))</x:f>
      </x:c>
      <x:c r="M150" s="27" t="str">
        <x:f>IF(OR('Detalle'!$G77="",'Detalle'!$H77=""),"",IF(AND(M$8&lt;='Detalle'!$H77,M$9&gt;='Detalle'!$G77),1,""))</x:f>
      </x:c>
      <x:c r="N150" s="27" t="str">
        <x:f>IF(OR('Detalle'!$G77="",'Detalle'!$H77=""),"",IF(AND(N$8&lt;='Detalle'!$H77,N$9&gt;='Detalle'!$G77),1,""))</x:f>
      </x:c>
      <x:c r="O150" s="27" t="str">
        <x:f>IF(OR('Detalle'!$G77="",'Detalle'!$H77=""),"",IF(AND(O$8&lt;='Detalle'!$H77,O$9&gt;='Detalle'!$G77),1,""))</x:f>
      </x:c>
      <x:c r="P150" s="27" t="str">
        <x:f>IF(OR('Detalle'!$G77="",'Detalle'!$H77=""),"",IF(AND(P$8&lt;='Detalle'!$H77,P$9&gt;='Detalle'!$G77),1,""))</x:f>
      </x:c>
      <x:c r="Q150" s="27" t="str">
        <x:f>IF(OR('Detalle'!$G77="",'Detalle'!$H77=""),"",IF(AND(Q$8&lt;='Detalle'!$H77,Q$9&gt;='Detalle'!$G77),1,""))</x:f>
      </x:c>
      <x:c r="R150" s="49"/>
      <x:c r="S150" s="30" t="str">
        <x:f>IF('Detalle'!L77="","",'Detalle'!L77)</x:f>
        <x:v>Cristopher</x:v>
      </x:c>
      <x:c r="T150" s="30" t="str">
        <x:f>IF('Detalle'!M77="","",'Detalle'!M77)</x:f>
      </x:c>
    </x:row>
    <x:row r="151" ht="17" customHeight="1">
      <x:c r="A151" s="28" t="str">
        <x:v>FE-07</x:v>
      </x:c>
      <x:c r="B151" s="28" t="str">
        <x:v>Autenticación</x:v>
      </x:c>
      <x:c r="C151" s="28" t="str">
        <x:v>Implementar aceptación de términos y mayoría de edad</x:v>
      </x:c>
      <x:c r="D151" s="47" t="str">
        <x:v>R</x:v>
      </x:c>
      <x:c r="E151" s="48" t="n">
        <x:f>IF('Detalle'!J77="","",'Detalle'!J77)</x:f>
        <x:v>1</x:v>
      </x:c>
      <x:c r="F151" s="44" t="str"/>
      <x:c r="G151" s="27" t="str">
        <x:f>IF(AND('Detalle'!$F77="Completado",G150=1),1,"")</x:f>
      </x:c>
      <x:c r="H151" s="27" t="n">
        <x:f>IF(AND('Detalle'!$F77="Completado",H150=1),1,"")</x:f>
        <x:v>1</x:v>
      </x:c>
      <x:c r="I151" s="27" t="str">
        <x:f>IF(AND('Detalle'!$F77="Completado",I150=1),1,"")</x:f>
      </x:c>
      <x:c r="J151" s="27" t="str">
        <x:f>IF(AND('Detalle'!$F77="Completado",J150=1),1,"")</x:f>
      </x:c>
      <x:c r="K151" s="27" t="str">
        <x:f>IF(AND('Detalle'!$F77="Completado",K150=1),1,"")</x:f>
      </x:c>
      <x:c r="L151" s="27" t="str">
        <x:f>IF(AND('Detalle'!$F77="Completado",L150=1),1,"")</x:f>
      </x:c>
      <x:c r="M151" s="27" t="str">
        <x:f>IF(AND('Detalle'!$F77="Completado",M150=1),1,"")</x:f>
      </x:c>
      <x:c r="N151" s="27" t="str">
        <x:f>IF(AND('Detalle'!$F77="Completado",N150=1),1,"")</x:f>
      </x:c>
      <x:c r="O151" s="27" t="str">
        <x:f>IF(AND('Detalle'!$F77="Completado",O150=1),1,"")</x:f>
      </x:c>
      <x:c r="P151" s="27" t="str">
        <x:f>IF(AND('Detalle'!$F77="Completado",P150=1),1,"")</x:f>
      </x:c>
      <x:c r="Q151" s="27" t="str">
        <x:f>IF(AND('Detalle'!$F77="Completado",Q150=1),1,"")</x:f>
      </x:c>
      <x:c r="R151" s="49"/>
      <x:c r="S151" s="30" t="str"/>
      <x:c r="T151" s="30" t="str"/>
    </x:row>
    <x:row r="152" ht="17" customHeight="1">
      <x:c r="A152" s="28" t="str">
        <x:v>FE-08</x:v>
      </x:c>
      <x:c r="B152" s="28" t="str">
        <x:v>Perfil y cuenta</x:v>
      </x:c>
      <x:c r="C152" s="28" t="str">
        <x:v>Implementar selección de los cuatro perfiles</x:v>
      </x:c>
      <x:c r="D152" s="46" t="str">
        <x:v>E</x:v>
      </x:c>
      <x:c r="E152" s="48" t="n">
        <x:f>IF('Detalle'!I78="","",'Detalle'!I78)</x:f>
        <x:v>1</x:v>
      </x:c>
      <x:c r="F152" s="44" t="str">
        <x:f>IF('Detalle'!F78="","",'Detalle'!F78)</x:f>
        <x:v>Completado</x:v>
      </x:c>
      <x:c r="G152" s="27" t="str">
        <x:f>IF(OR('Detalle'!$G78="",'Detalle'!$H78=""),"",IF(AND(G$8&lt;='Detalle'!$H78,G$9&gt;='Detalle'!$G78),1,""))</x:f>
      </x:c>
      <x:c r="H152" s="27" t="str">
        <x:f>IF(OR('Detalle'!$G78="",'Detalle'!$H78=""),"",IF(AND(H$8&lt;='Detalle'!$H78,H$9&gt;='Detalle'!$G78),1,""))</x:f>
      </x:c>
      <x:c r="I152" s="27" t="str">
        <x:f>IF(OR('Detalle'!$G78="",'Detalle'!$H78=""),"",IF(AND(I$8&lt;='Detalle'!$H78,I$9&gt;='Detalle'!$G78),1,""))</x:f>
      </x:c>
      <x:c r="J152" s="27" t="n">
        <x:f>IF(OR('Detalle'!$G78="",'Detalle'!$H78=""),"",IF(AND(J$8&lt;='Detalle'!$H78,J$9&gt;='Detalle'!$G78),1,""))</x:f>
        <x:v>1</x:v>
      </x:c>
      <x:c r="K152" s="27" t="str">
        <x:f>IF(OR('Detalle'!$G78="",'Detalle'!$H78=""),"",IF(AND(K$8&lt;='Detalle'!$H78,K$9&gt;='Detalle'!$G78),1,""))</x:f>
      </x:c>
      <x:c r="L152" s="27" t="str">
        <x:f>IF(OR('Detalle'!$G78="",'Detalle'!$H78=""),"",IF(AND(L$8&lt;='Detalle'!$H78,L$9&gt;='Detalle'!$G78),1,""))</x:f>
      </x:c>
      <x:c r="M152" s="27" t="str">
        <x:f>IF(OR('Detalle'!$G78="",'Detalle'!$H78=""),"",IF(AND(M$8&lt;='Detalle'!$H78,M$9&gt;='Detalle'!$G78),1,""))</x:f>
      </x:c>
      <x:c r="N152" s="27" t="str">
        <x:f>IF(OR('Detalle'!$G78="",'Detalle'!$H78=""),"",IF(AND(N$8&lt;='Detalle'!$H78,N$9&gt;='Detalle'!$G78),1,""))</x:f>
      </x:c>
      <x:c r="O152" s="27" t="str">
        <x:f>IF(OR('Detalle'!$G78="",'Detalle'!$H78=""),"",IF(AND(O$8&lt;='Detalle'!$H78,O$9&gt;='Detalle'!$G78),1,""))</x:f>
      </x:c>
      <x:c r="P152" s="27" t="str">
        <x:f>IF(OR('Detalle'!$G78="",'Detalle'!$H78=""),"",IF(AND(P$8&lt;='Detalle'!$H78,P$9&gt;='Detalle'!$G78),1,""))</x:f>
      </x:c>
      <x:c r="Q152" s="27" t="str">
        <x:f>IF(OR('Detalle'!$G78="",'Detalle'!$H78=""),"",IF(AND(Q$8&lt;='Detalle'!$H78,Q$9&gt;='Detalle'!$G78),1,""))</x:f>
      </x:c>
      <x:c r="R152" s="49"/>
      <x:c r="S152" s="30" t="str">
        <x:f>IF('Detalle'!L78="","",'Detalle'!L78)</x:f>
        <x:v>Fatima</x:v>
      </x:c>
      <x:c r="T152" s="30" t="str">
        <x:f>IF('Detalle'!M78="","",'Detalle'!M78)</x:f>
      </x:c>
    </x:row>
    <x:row r="153" ht="17" customHeight="1">
      <x:c r="A153" s="28" t="str">
        <x:v>FE-08</x:v>
      </x:c>
      <x:c r="B153" s="28" t="str">
        <x:v>Perfil y cuenta</x:v>
      </x:c>
      <x:c r="C153" s="28" t="str">
        <x:v>Implementar selección de los cuatro perfiles</x:v>
      </x:c>
      <x:c r="D153" s="47" t="str">
        <x:v>R</x:v>
      </x:c>
      <x:c r="E153" s="48" t="n">
        <x:f>IF('Detalle'!J78="","",'Detalle'!J78)</x:f>
        <x:v>1</x:v>
      </x:c>
      <x:c r="F153" s="44" t="str"/>
      <x:c r="G153" s="27" t="str">
        <x:f>IF(AND('Detalle'!$F78="Completado",G152=1),1,"")</x:f>
      </x:c>
      <x:c r="H153" s="27" t="str">
        <x:f>IF(AND('Detalle'!$F78="Completado",H152=1),1,"")</x:f>
      </x:c>
      <x:c r="I153" s="27" t="str">
        <x:f>IF(AND('Detalle'!$F78="Completado",I152=1),1,"")</x:f>
      </x:c>
      <x:c r="J153" s="27" t="n">
        <x:f>IF(AND('Detalle'!$F78="Completado",J152=1),1,"")</x:f>
        <x:v>1</x:v>
      </x:c>
      <x:c r="K153" s="27" t="str">
        <x:f>IF(AND('Detalle'!$F78="Completado",K152=1),1,"")</x:f>
      </x:c>
      <x:c r="L153" s="27" t="str">
        <x:f>IF(AND('Detalle'!$F78="Completado",L152=1),1,"")</x:f>
      </x:c>
      <x:c r="M153" s="27" t="str">
        <x:f>IF(AND('Detalle'!$F78="Completado",M152=1),1,"")</x:f>
      </x:c>
      <x:c r="N153" s="27" t="str">
        <x:f>IF(AND('Detalle'!$F78="Completado",N152=1),1,"")</x:f>
      </x:c>
      <x:c r="O153" s="27" t="str">
        <x:f>IF(AND('Detalle'!$F78="Completado",O152=1),1,"")</x:f>
      </x:c>
      <x:c r="P153" s="27" t="str">
        <x:f>IF(AND('Detalle'!$F78="Completado",P152=1),1,"")</x:f>
      </x:c>
      <x:c r="Q153" s="27" t="str">
        <x:f>IF(AND('Detalle'!$F78="Completado",Q152=1),1,"")</x:f>
      </x:c>
      <x:c r="R153" s="49"/>
      <x:c r="S153" s="30" t="str"/>
      <x:c r="T153" s="30" t="str"/>
    </x:row>
    <x:row r="154" ht="17" customHeight="1">
      <x:c r="A154" s="28" t="str">
        <x:v>FE-09</x:v>
      </x:c>
      <x:c r="B154" s="28" t="str">
        <x:v>Perfil y cuenta</x:v>
      </x:c>
      <x:c r="C154" s="28" t="str">
        <x:v>Implementar edición de identidad y datos profesionales</x:v>
      </x:c>
      <x:c r="D154" s="46" t="str">
        <x:v>E</x:v>
      </x:c>
      <x:c r="E154" s="48" t="n">
        <x:f>IF('Detalle'!I79="","",'Detalle'!I79)</x:f>
        <x:v>1</x:v>
      </x:c>
      <x:c r="F154" s="44" t="str">
        <x:f>IF('Detalle'!F79="","",'Detalle'!F79)</x:f>
        <x:v>Completado</x:v>
      </x:c>
      <x:c r="G154" s="27" t="str">
        <x:f>IF(OR('Detalle'!$G79="",'Detalle'!$H79=""),"",IF(AND(G$8&lt;='Detalle'!$H79,G$9&gt;='Detalle'!$G79),1,""))</x:f>
      </x:c>
      <x:c r="H154" s="27" t="str">
        <x:f>IF(OR('Detalle'!$G79="",'Detalle'!$H79=""),"",IF(AND(H$8&lt;='Detalle'!$H79,H$9&gt;='Detalle'!$G79),1,""))</x:f>
      </x:c>
      <x:c r="I154" s="27" t="str">
        <x:f>IF(OR('Detalle'!$G79="",'Detalle'!$H79=""),"",IF(AND(I$8&lt;='Detalle'!$H79,I$9&gt;='Detalle'!$G79),1,""))</x:f>
      </x:c>
      <x:c r="J154" s="27" t="n">
        <x:f>IF(OR('Detalle'!$G79="",'Detalle'!$H79=""),"",IF(AND(J$8&lt;='Detalle'!$H79,J$9&gt;='Detalle'!$G79),1,""))</x:f>
        <x:v>1</x:v>
      </x:c>
      <x:c r="K154" s="27" t="str">
        <x:f>IF(OR('Detalle'!$G79="",'Detalle'!$H79=""),"",IF(AND(K$8&lt;='Detalle'!$H79,K$9&gt;='Detalle'!$G79),1,""))</x:f>
      </x:c>
      <x:c r="L154" s="27" t="str">
        <x:f>IF(OR('Detalle'!$G79="",'Detalle'!$H79=""),"",IF(AND(L$8&lt;='Detalle'!$H79,L$9&gt;='Detalle'!$G79),1,""))</x:f>
      </x:c>
      <x:c r="M154" s="27" t="str">
        <x:f>IF(OR('Detalle'!$G79="",'Detalle'!$H79=""),"",IF(AND(M$8&lt;='Detalle'!$H79,M$9&gt;='Detalle'!$G79),1,""))</x:f>
      </x:c>
      <x:c r="N154" s="27" t="str">
        <x:f>IF(OR('Detalle'!$G79="",'Detalle'!$H79=""),"",IF(AND(N$8&lt;='Detalle'!$H79,N$9&gt;='Detalle'!$G79),1,""))</x:f>
      </x:c>
      <x:c r="O154" s="27" t="str">
        <x:f>IF(OR('Detalle'!$G79="",'Detalle'!$H79=""),"",IF(AND(O$8&lt;='Detalle'!$H79,O$9&gt;='Detalle'!$G79),1,""))</x:f>
      </x:c>
      <x:c r="P154" s="27" t="str">
        <x:f>IF(OR('Detalle'!$G79="",'Detalle'!$H79=""),"",IF(AND(P$8&lt;='Detalle'!$H79,P$9&gt;='Detalle'!$G79),1,""))</x:f>
      </x:c>
      <x:c r="Q154" s="27" t="str">
        <x:f>IF(OR('Detalle'!$G79="",'Detalle'!$H79=""),"",IF(AND(Q$8&lt;='Detalle'!$H79,Q$9&gt;='Detalle'!$G79),1,""))</x:f>
      </x:c>
      <x:c r="R154" s="49"/>
      <x:c r="S154" s="30" t="str">
        <x:f>IF('Detalle'!L79="","",'Detalle'!L79)</x:f>
        <x:v>Fatima</x:v>
      </x:c>
      <x:c r="T154" s="30" t="str">
        <x:f>IF('Detalle'!M79="","",'Detalle'!M79)</x:f>
      </x:c>
    </x:row>
    <x:row r="155" ht="17" customHeight="1">
      <x:c r="A155" s="28" t="str">
        <x:v>FE-09</x:v>
      </x:c>
      <x:c r="B155" s="28" t="str">
        <x:v>Perfil y cuenta</x:v>
      </x:c>
      <x:c r="C155" s="28" t="str">
        <x:v>Implementar edición de identidad y datos profesionales</x:v>
      </x:c>
      <x:c r="D155" s="47" t="str">
        <x:v>R</x:v>
      </x:c>
      <x:c r="E155" s="48" t="n">
        <x:f>IF('Detalle'!J79="","",'Detalle'!J79)</x:f>
        <x:v>1</x:v>
      </x:c>
      <x:c r="F155" s="44" t="str"/>
      <x:c r="G155" s="27" t="str">
        <x:f>IF(AND('Detalle'!$F79="Completado",G154=1),1,"")</x:f>
      </x:c>
      <x:c r="H155" s="27" t="str">
        <x:f>IF(AND('Detalle'!$F79="Completado",H154=1),1,"")</x:f>
      </x:c>
      <x:c r="I155" s="27" t="str">
        <x:f>IF(AND('Detalle'!$F79="Completado",I154=1),1,"")</x:f>
      </x:c>
      <x:c r="J155" s="27" t="n">
        <x:f>IF(AND('Detalle'!$F79="Completado",J154=1),1,"")</x:f>
        <x:v>1</x:v>
      </x:c>
      <x:c r="K155" s="27" t="str">
        <x:f>IF(AND('Detalle'!$F79="Completado",K154=1),1,"")</x:f>
      </x:c>
      <x:c r="L155" s="27" t="str">
        <x:f>IF(AND('Detalle'!$F79="Completado",L154=1),1,"")</x:f>
      </x:c>
      <x:c r="M155" s="27" t="str">
        <x:f>IF(AND('Detalle'!$F79="Completado",M154=1),1,"")</x:f>
      </x:c>
      <x:c r="N155" s="27" t="str">
        <x:f>IF(AND('Detalle'!$F79="Completado",N154=1),1,"")</x:f>
      </x:c>
      <x:c r="O155" s="27" t="str">
        <x:f>IF(AND('Detalle'!$F79="Completado",O154=1),1,"")</x:f>
      </x:c>
      <x:c r="P155" s="27" t="str">
        <x:f>IF(AND('Detalle'!$F79="Completado",P154=1),1,"")</x:f>
      </x:c>
      <x:c r="Q155" s="27" t="str">
        <x:f>IF(AND('Detalle'!$F79="Completado",Q154=1),1,"")</x:f>
      </x:c>
      <x:c r="R155" s="49"/>
      <x:c r="S155" s="30" t="str"/>
      <x:c r="T155" s="30" t="str"/>
    </x:row>
    <x:row r="156" ht="17" customHeight="1">
      <x:c r="A156" s="28" t="str">
        <x:v>FE-10</x:v>
      </x:c>
      <x:c r="B156" s="28" t="str">
        <x:v>Perfil y cuenta</x:v>
      </x:c>
      <x:c r="C156" s="28" t="str">
        <x:v>Implementar selección de avatar y portada</x:v>
      </x:c>
      <x:c r="D156" s="46" t="str">
        <x:v>E</x:v>
      </x:c>
      <x:c r="E156" s="48" t="n">
        <x:f>IF('Detalle'!I80="","",'Detalle'!I80)</x:f>
        <x:v>1</x:v>
      </x:c>
      <x:c r="F156" s="44" t="str">
        <x:f>IF('Detalle'!F80="","",'Detalle'!F80)</x:f>
        <x:v>Completado</x:v>
      </x:c>
      <x:c r="G156" s="27" t="str">
        <x:f>IF(OR('Detalle'!$G80="",'Detalle'!$H80=""),"",IF(AND(G$8&lt;='Detalle'!$H80,G$9&gt;='Detalle'!$G80),1,""))</x:f>
      </x:c>
      <x:c r="H156" s="27" t="n">
        <x:f>IF(OR('Detalle'!$G80="",'Detalle'!$H80=""),"",IF(AND(H$8&lt;='Detalle'!$H80,H$9&gt;='Detalle'!$G80),1,""))</x:f>
        <x:v>1</x:v>
      </x:c>
      <x:c r="I156" s="27" t="str">
        <x:f>IF(OR('Detalle'!$G80="",'Detalle'!$H80=""),"",IF(AND(I$8&lt;='Detalle'!$H80,I$9&gt;='Detalle'!$G80),1,""))</x:f>
      </x:c>
      <x:c r="J156" s="27" t="str">
        <x:f>IF(OR('Detalle'!$G80="",'Detalle'!$H80=""),"",IF(AND(J$8&lt;='Detalle'!$H80,J$9&gt;='Detalle'!$G80),1,""))</x:f>
      </x:c>
      <x:c r="K156" s="27" t="str">
        <x:f>IF(OR('Detalle'!$G80="",'Detalle'!$H80=""),"",IF(AND(K$8&lt;='Detalle'!$H80,K$9&gt;='Detalle'!$G80),1,""))</x:f>
      </x:c>
      <x:c r="L156" s="27" t="str">
        <x:f>IF(OR('Detalle'!$G80="",'Detalle'!$H80=""),"",IF(AND(L$8&lt;='Detalle'!$H80,L$9&gt;='Detalle'!$G80),1,""))</x:f>
      </x:c>
      <x:c r="M156" s="27" t="str">
        <x:f>IF(OR('Detalle'!$G80="",'Detalle'!$H80=""),"",IF(AND(M$8&lt;='Detalle'!$H80,M$9&gt;='Detalle'!$G80),1,""))</x:f>
      </x:c>
      <x:c r="N156" s="27" t="str">
        <x:f>IF(OR('Detalle'!$G80="",'Detalle'!$H80=""),"",IF(AND(N$8&lt;='Detalle'!$H80,N$9&gt;='Detalle'!$G80),1,""))</x:f>
      </x:c>
      <x:c r="O156" s="27" t="str">
        <x:f>IF(OR('Detalle'!$G80="",'Detalle'!$H80=""),"",IF(AND(O$8&lt;='Detalle'!$H80,O$9&gt;='Detalle'!$G80),1,""))</x:f>
      </x:c>
      <x:c r="P156" s="27" t="str">
        <x:f>IF(OR('Detalle'!$G80="",'Detalle'!$H80=""),"",IF(AND(P$8&lt;='Detalle'!$H80,P$9&gt;='Detalle'!$G80),1,""))</x:f>
      </x:c>
      <x:c r="Q156" s="27" t="str">
        <x:f>IF(OR('Detalle'!$G80="",'Detalle'!$H80=""),"",IF(AND(Q$8&lt;='Detalle'!$H80,Q$9&gt;='Detalle'!$G80),1,""))</x:f>
      </x:c>
      <x:c r="R156" s="49"/>
      <x:c r="S156" s="30" t="str">
        <x:f>IF('Detalle'!L80="","",'Detalle'!L80)</x:f>
        <x:v>Fatima</x:v>
      </x:c>
      <x:c r="T156" s="30" t="str">
        <x:f>IF('Detalle'!M80="","",'Detalle'!M80)</x:f>
      </x:c>
    </x:row>
    <x:row r="157" ht="17" customHeight="1">
      <x:c r="A157" s="28" t="str">
        <x:v>FE-10</x:v>
      </x:c>
      <x:c r="B157" s="28" t="str">
        <x:v>Perfil y cuenta</x:v>
      </x:c>
      <x:c r="C157" s="28" t="str">
        <x:v>Implementar selección de avatar y portada</x:v>
      </x:c>
      <x:c r="D157" s="47" t="str">
        <x:v>R</x:v>
      </x:c>
      <x:c r="E157" s="48" t="n">
        <x:f>IF('Detalle'!J80="","",'Detalle'!J80)</x:f>
        <x:v>1</x:v>
      </x:c>
      <x:c r="F157" s="44" t="str"/>
      <x:c r="G157" s="27" t="str">
        <x:f>IF(AND('Detalle'!$F80="Completado",G156=1),1,"")</x:f>
      </x:c>
      <x:c r="H157" s="27" t="n">
        <x:f>IF(AND('Detalle'!$F80="Completado",H156=1),1,"")</x:f>
        <x:v>1</x:v>
      </x:c>
      <x:c r="I157" s="27" t="str">
        <x:f>IF(AND('Detalle'!$F80="Completado",I156=1),1,"")</x:f>
      </x:c>
      <x:c r="J157" s="27" t="str">
        <x:f>IF(AND('Detalle'!$F80="Completado",J156=1),1,"")</x:f>
      </x:c>
      <x:c r="K157" s="27" t="str">
        <x:f>IF(AND('Detalle'!$F80="Completado",K156=1),1,"")</x:f>
      </x:c>
      <x:c r="L157" s="27" t="str">
        <x:f>IF(AND('Detalle'!$F80="Completado",L156=1),1,"")</x:f>
      </x:c>
      <x:c r="M157" s="27" t="str">
        <x:f>IF(AND('Detalle'!$F80="Completado",M156=1),1,"")</x:f>
      </x:c>
      <x:c r="N157" s="27" t="str">
        <x:f>IF(AND('Detalle'!$F80="Completado",N156=1),1,"")</x:f>
      </x:c>
      <x:c r="O157" s="27" t="str">
        <x:f>IF(AND('Detalle'!$F80="Completado",O156=1),1,"")</x:f>
      </x:c>
      <x:c r="P157" s="27" t="str">
        <x:f>IF(AND('Detalle'!$F80="Completado",P156=1),1,"")</x:f>
      </x:c>
      <x:c r="Q157" s="27" t="str">
        <x:f>IF(AND('Detalle'!$F80="Completado",Q156=1),1,"")</x:f>
      </x:c>
      <x:c r="R157" s="49"/>
      <x:c r="S157" s="30" t="str"/>
      <x:c r="T157" s="30" t="str"/>
    </x:row>
    <x:row r="158" ht="17" customHeight="1">
      <x:c r="A158" s="28" t="str">
        <x:v>FE-11</x:v>
      </x:c>
      <x:c r="B158" s="28" t="str">
        <x:v>Perfil y cuenta</x:v>
      </x:c>
      <x:c r="C158" s="28" t="str">
        <x:v>Implementar configuración y eliminación de cuenta</x:v>
      </x:c>
      <x:c r="D158" s="46" t="str">
        <x:v>E</x:v>
      </x:c>
      <x:c r="E158" s="48" t="n">
        <x:f>IF('Detalle'!I81="","",'Detalle'!I81)</x:f>
        <x:v>1</x:v>
      </x:c>
      <x:c r="F158" s="44" t="str">
        <x:f>IF('Detalle'!F81="","",'Detalle'!F81)</x:f>
        <x:v>Completado</x:v>
      </x:c>
      <x:c r="G158" s="27" t="str">
        <x:f>IF(OR('Detalle'!$G81="",'Detalle'!$H81=""),"",IF(AND(G$8&lt;='Detalle'!$H81,G$9&gt;='Detalle'!$G81),1,""))</x:f>
      </x:c>
      <x:c r="H158" s="27" t="str">
        <x:f>IF(OR('Detalle'!$G81="",'Detalle'!$H81=""),"",IF(AND(H$8&lt;='Detalle'!$H81,H$9&gt;='Detalle'!$G81),1,""))</x:f>
      </x:c>
      <x:c r="I158" s="27" t="str">
        <x:f>IF(OR('Detalle'!$G81="",'Detalle'!$H81=""),"",IF(AND(I$8&lt;='Detalle'!$H81,I$9&gt;='Detalle'!$G81),1,""))</x:f>
      </x:c>
      <x:c r="J158" s="27" t="n">
        <x:f>IF(OR('Detalle'!$G81="",'Detalle'!$H81=""),"",IF(AND(J$8&lt;='Detalle'!$H81,J$9&gt;='Detalle'!$G81),1,""))</x:f>
        <x:v>1</x:v>
      </x:c>
      <x:c r="K158" s="27" t="str">
        <x:f>IF(OR('Detalle'!$G81="",'Detalle'!$H81=""),"",IF(AND(K$8&lt;='Detalle'!$H81,K$9&gt;='Detalle'!$G81),1,""))</x:f>
      </x:c>
      <x:c r="L158" s="27" t="str">
        <x:f>IF(OR('Detalle'!$G81="",'Detalle'!$H81=""),"",IF(AND(L$8&lt;='Detalle'!$H81,L$9&gt;='Detalle'!$G81),1,""))</x:f>
      </x:c>
      <x:c r="M158" s="27" t="str">
        <x:f>IF(OR('Detalle'!$G81="",'Detalle'!$H81=""),"",IF(AND(M$8&lt;='Detalle'!$H81,M$9&gt;='Detalle'!$G81),1,""))</x:f>
      </x:c>
      <x:c r="N158" s="27" t="str">
        <x:f>IF(OR('Detalle'!$G81="",'Detalle'!$H81=""),"",IF(AND(N$8&lt;='Detalle'!$H81,N$9&gt;='Detalle'!$G81),1,""))</x:f>
      </x:c>
      <x:c r="O158" s="27" t="str">
        <x:f>IF(OR('Detalle'!$G81="",'Detalle'!$H81=""),"",IF(AND(O$8&lt;='Detalle'!$H81,O$9&gt;='Detalle'!$G81),1,""))</x:f>
      </x:c>
      <x:c r="P158" s="27" t="str">
        <x:f>IF(OR('Detalle'!$G81="",'Detalle'!$H81=""),"",IF(AND(P$8&lt;='Detalle'!$H81,P$9&gt;='Detalle'!$G81),1,""))</x:f>
      </x:c>
      <x:c r="Q158" s="27" t="str">
        <x:f>IF(OR('Detalle'!$G81="",'Detalle'!$H81=""),"",IF(AND(Q$8&lt;='Detalle'!$H81,Q$9&gt;='Detalle'!$G81),1,""))</x:f>
      </x:c>
      <x:c r="R158" s="49"/>
      <x:c r="S158" s="30" t="str">
        <x:f>IF('Detalle'!L81="","",'Detalle'!L81)</x:f>
        <x:v>Fatima</x:v>
      </x:c>
      <x:c r="T158" s="30" t="str">
        <x:f>IF('Detalle'!M81="","",'Detalle'!M81)</x:f>
      </x:c>
    </x:row>
    <x:row r="159" ht="17" customHeight="1">
      <x:c r="A159" s="28" t="str">
        <x:v>FE-11</x:v>
      </x:c>
      <x:c r="B159" s="28" t="str">
        <x:v>Perfil y cuenta</x:v>
      </x:c>
      <x:c r="C159" s="28" t="str">
        <x:v>Implementar configuración y eliminación de cuenta</x:v>
      </x:c>
      <x:c r="D159" s="47" t="str">
        <x:v>R</x:v>
      </x:c>
      <x:c r="E159" s="48" t="n">
        <x:f>IF('Detalle'!J81="","",'Detalle'!J81)</x:f>
        <x:v>1</x:v>
      </x:c>
      <x:c r="F159" s="44" t="str"/>
      <x:c r="G159" s="27" t="str">
        <x:f>IF(AND('Detalle'!$F81="Completado",G158=1),1,"")</x:f>
      </x:c>
      <x:c r="H159" s="27" t="str">
        <x:f>IF(AND('Detalle'!$F81="Completado",H158=1),1,"")</x:f>
      </x:c>
      <x:c r="I159" s="27" t="str">
        <x:f>IF(AND('Detalle'!$F81="Completado",I158=1),1,"")</x:f>
      </x:c>
      <x:c r="J159" s="27" t="n">
        <x:f>IF(AND('Detalle'!$F81="Completado",J158=1),1,"")</x:f>
        <x:v>1</x:v>
      </x:c>
      <x:c r="K159" s="27" t="str">
        <x:f>IF(AND('Detalle'!$F81="Completado",K158=1),1,"")</x:f>
      </x:c>
      <x:c r="L159" s="27" t="str">
        <x:f>IF(AND('Detalle'!$F81="Completado",L158=1),1,"")</x:f>
      </x:c>
      <x:c r="M159" s="27" t="str">
        <x:f>IF(AND('Detalle'!$F81="Completado",M158=1),1,"")</x:f>
      </x:c>
      <x:c r="N159" s="27" t="str">
        <x:f>IF(AND('Detalle'!$F81="Completado",N158=1),1,"")</x:f>
      </x:c>
      <x:c r="O159" s="27" t="str">
        <x:f>IF(AND('Detalle'!$F81="Completado",O158=1),1,"")</x:f>
      </x:c>
      <x:c r="P159" s="27" t="str">
        <x:f>IF(AND('Detalle'!$F81="Completado",P158=1),1,"")</x:f>
      </x:c>
      <x:c r="Q159" s="27" t="str">
        <x:f>IF(AND('Detalle'!$F81="Completado",Q158=1),1,"")</x:f>
      </x:c>
      <x:c r="R159" s="49"/>
      <x:c r="S159" s="30" t="str"/>
      <x:c r="T159" s="30" t="str"/>
    </x:row>
    <x:row r="160" ht="17" customHeight="1">
      <x:c r="A160" s="28" t="str">
        <x:v>FE-12</x:v>
      </x:c>
      <x:c r="B160" s="28" t="str">
        <x:v>Comunidad</x:v>
      </x:c>
      <x:c r="C160" s="28" t="str">
        <x:v>Implementar feed de inicio y exploración</x:v>
      </x:c>
      <x:c r="D160" s="46" t="str">
        <x:v>E</x:v>
      </x:c>
      <x:c r="E160" s="48" t="n">
        <x:f>IF('Detalle'!I82="","",'Detalle'!I82)</x:f>
        <x:v>1</x:v>
      </x:c>
      <x:c r="F160" s="44" t="str">
        <x:f>IF('Detalle'!F82="","",'Detalle'!F82)</x:f>
        <x:v>Completado</x:v>
      </x:c>
      <x:c r="G160" s="27" t="str">
        <x:f>IF(OR('Detalle'!$G82="",'Detalle'!$H82=""),"",IF(AND(G$8&lt;='Detalle'!$H82,G$9&gt;='Detalle'!$G82),1,""))</x:f>
      </x:c>
      <x:c r="H160" s="27" t="str">
        <x:f>IF(OR('Detalle'!$G82="",'Detalle'!$H82=""),"",IF(AND(H$8&lt;='Detalle'!$H82,H$9&gt;='Detalle'!$G82),1,""))</x:f>
      </x:c>
      <x:c r="I160" s="27" t="str">
        <x:f>IF(OR('Detalle'!$G82="",'Detalle'!$H82=""),"",IF(AND(I$8&lt;='Detalle'!$H82,I$9&gt;='Detalle'!$G82),1,""))</x:f>
      </x:c>
      <x:c r="J160" s="27" t="n">
        <x:f>IF(OR('Detalle'!$G82="",'Detalle'!$H82=""),"",IF(AND(J$8&lt;='Detalle'!$H82,J$9&gt;='Detalle'!$G82),1,""))</x:f>
        <x:v>1</x:v>
      </x:c>
      <x:c r="K160" s="27" t="str">
        <x:f>IF(OR('Detalle'!$G82="",'Detalle'!$H82=""),"",IF(AND(K$8&lt;='Detalle'!$H82,K$9&gt;='Detalle'!$G82),1,""))</x:f>
      </x:c>
      <x:c r="L160" s="27" t="str">
        <x:f>IF(OR('Detalle'!$G82="",'Detalle'!$H82=""),"",IF(AND(L$8&lt;='Detalle'!$H82,L$9&gt;='Detalle'!$G82),1,""))</x:f>
      </x:c>
      <x:c r="M160" s="27" t="str">
        <x:f>IF(OR('Detalle'!$G82="",'Detalle'!$H82=""),"",IF(AND(M$8&lt;='Detalle'!$H82,M$9&gt;='Detalle'!$G82),1,""))</x:f>
      </x:c>
      <x:c r="N160" s="27" t="str">
        <x:f>IF(OR('Detalle'!$G82="",'Detalle'!$H82=""),"",IF(AND(N$8&lt;='Detalle'!$H82,N$9&gt;='Detalle'!$G82),1,""))</x:f>
      </x:c>
      <x:c r="O160" s="27" t="str">
        <x:f>IF(OR('Detalle'!$G82="",'Detalle'!$H82=""),"",IF(AND(O$8&lt;='Detalle'!$H82,O$9&gt;='Detalle'!$G82),1,""))</x:f>
      </x:c>
      <x:c r="P160" s="27" t="str">
        <x:f>IF(OR('Detalle'!$G82="",'Detalle'!$H82=""),"",IF(AND(P$8&lt;='Detalle'!$H82,P$9&gt;='Detalle'!$G82),1,""))</x:f>
      </x:c>
      <x:c r="Q160" s="27" t="str">
        <x:f>IF(OR('Detalle'!$G82="",'Detalle'!$H82=""),"",IF(AND(Q$8&lt;='Detalle'!$H82,Q$9&gt;='Detalle'!$G82),1,""))</x:f>
      </x:c>
      <x:c r="R160" s="49"/>
      <x:c r="S160" s="30" t="str">
        <x:f>IF('Detalle'!L82="","",'Detalle'!L82)</x:f>
        <x:v>Fatima</x:v>
      </x:c>
      <x:c r="T160" s="30" t="str">
        <x:f>IF('Detalle'!M82="","",'Detalle'!M82)</x:f>
      </x:c>
    </x:row>
    <x:row r="161" ht="17" customHeight="1">
      <x:c r="A161" s="28" t="str">
        <x:v>FE-12</x:v>
      </x:c>
      <x:c r="B161" s="28" t="str">
        <x:v>Comunidad</x:v>
      </x:c>
      <x:c r="C161" s="28" t="str">
        <x:v>Implementar feed de inicio y exploración</x:v>
      </x:c>
      <x:c r="D161" s="47" t="str">
        <x:v>R</x:v>
      </x:c>
      <x:c r="E161" s="48" t="n">
        <x:f>IF('Detalle'!J82="","",'Detalle'!J82)</x:f>
        <x:v>1</x:v>
      </x:c>
      <x:c r="F161" s="44" t="str"/>
      <x:c r="G161" s="27" t="str">
        <x:f>IF(AND('Detalle'!$F82="Completado",G160=1),1,"")</x:f>
      </x:c>
      <x:c r="H161" s="27" t="str">
        <x:f>IF(AND('Detalle'!$F82="Completado",H160=1),1,"")</x:f>
      </x:c>
      <x:c r="I161" s="27" t="str">
        <x:f>IF(AND('Detalle'!$F82="Completado",I160=1),1,"")</x:f>
      </x:c>
      <x:c r="J161" s="27" t="n">
        <x:f>IF(AND('Detalle'!$F82="Completado",J160=1),1,"")</x:f>
        <x:v>1</x:v>
      </x:c>
      <x:c r="K161" s="27" t="str">
        <x:f>IF(AND('Detalle'!$F82="Completado",K160=1),1,"")</x:f>
      </x:c>
      <x:c r="L161" s="27" t="str">
        <x:f>IF(AND('Detalle'!$F82="Completado",L160=1),1,"")</x:f>
      </x:c>
      <x:c r="M161" s="27" t="str">
        <x:f>IF(AND('Detalle'!$F82="Completado",M160=1),1,"")</x:f>
      </x:c>
      <x:c r="N161" s="27" t="str">
        <x:f>IF(AND('Detalle'!$F82="Completado",N160=1),1,"")</x:f>
      </x:c>
      <x:c r="O161" s="27" t="str">
        <x:f>IF(AND('Detalle'!$F82="Completado",O160=1),1,"")</x:f>
      </x:c>
      <x:c r="P161" s="27" t="str">
        <x:f>IF(AND('Detalle'!$F82="Completado",P160=1),1,"")</x:f>
      </x:c>
      <x:c r="Q161" s="27" t="str">
        <x:f>IF(AND('Detalle'!$F82="Completado",Q160=1),1,"")</x:f>
      </x:c>
      <x:c r="R161" s="49"/>
      <x:c r="S161" s="30" t="str"/>
      <x:c r="T161" s="30" t="str"/>
    </x:row>
    <x:row r="162" ht="17" customHeight="1">
      <x:c r="A162" s="28" t="str">
        <x:v>FE-13</x:v>
      </x:c>
      <x:c r="B162" s="28" t="str">
        <x:v>Comunidad</x:v>
      </x:c>
      <x:c r="C162" s="28" t="str">
        <x:v>Implementar creación de posts con categorías y fotos</x:v>
      </x:c>
      <x:c r="D162" s="46" t="str">
        <x:v>E</x:v>
      </x:c>
      <x:c r="E162" s="48" t="n">
        <x:f>IF('Detalle'!I83="","",'Detalle'!I83)</x:f>
        <x:v>1</x:v>
      </x:c>
      <x:c r="F162" s="44" t="str">
        <x:f>IF('Detalle'!F83="","",'Detalle'!F83)</x:f>
        <x:v>Completado</x:v>
      </x:c>
      <x:c r="G162" s="27" t="str">
        <x:f>IF(OR('Detalle'!$G83="",'Detalle'!$H83=""),"",IF(AND(G$8&lt;='Detalle'!$H83,G$9&gt;='Detalle'!$G83),1,""))</x:f>
      </x:c>
      <x:c r="H162" s="27" t="str">
        <x:f>IF(OR('Detalle'!$G83="",'Detalle'!$H83=""),"",IF(AND(H$8&lt;='Detalle'!$H83,H$9&gt;='Detalle'!$G83),1,""))</x:f>
      </x:c>
      <x:c r="I162" s="27" t="n">
        <x:f>IF(OR('Detalle'!$G83="",'Detalle'!$H83=""),"",IF(AND(I$8&lt;='Detalle'!$H83,I$9&gt;='Detalle'!$G83),1,""))</x:f>
        <x:v>1</x:v>
      </x:c>
      <x:c r="J162" s="27" t="str">
        <x:f>IF(OR('Detalle'!$G83="",'Detalle'!$H83=""),"",IF(AND(J$8&lt;='Detalle'!$H83,J$9&gt;='Detalle'!$G83),1,""))</x:f>
      </x:c>
      <x:c r="K162" s="27" t="str">
        <x:f>IF(OR('Detalle'!$G83="",'Detalle'!$H83=""),"",IF(AND(K$8&lt;='Detalle'!$H83,K$9&gt;='Detalle'!$G83),1,""))</x:f>
      </x:c>
      <x:c r="L162" s="27" t="str">
        <x:f>IF(OR('Detalle'!$G83="",'Detalle'!$H83=""),"",IF(AND(L$8&lt;='Detalle'!$H83,L$9&gt;='Detalle'!$G83),1,""))</x:f>
      </x:c>
      <x:c r="M162" s="27" t="str">
        <x:f>IF(OR('Detalle'!$G83="",'Detalle'!$H83=""),"",IF(AND(M$8&lt;='Detalle'!$H83,M$9&gt;='Detalle'!$G83),1,""))</x:f>
      </x:c>
      <x:c r="N162" s="27" t="str">
        <x:f>IF(OR('Detalle'!$G83="",'Detalle'!$H83=""),"",IF(AND(N$8&lt;='Detalle'!$H83,N$9&gt;='Detalle'!$G83),1,""))</x:f>
      </x:c>
      <x:c r="O162" s="27" t="str">
        <x:f>IF(OR('Detalle'!$G83="",'Detalle'!$H83=""),"",IF(AND(O$8&lt;='Detalle'!$H83,O$9&gt;='Detalle'!$G83),1,""))</x:f>
      </x:c>
      <x:c r="P162" s="27" t="str">
        <x:f>IF(OR('Detalle'!$G83="",'Detalle'!$H83=""),"",IF(AND(P$8&lt;='Detalle'!$H83,P$9&gt;='Detalle'!$G83),1,""))</x:f>
      </x:c>
      <x:c r="Q162" s="27" t="str">
        <x:f>IF(OR('Detalle'!$G83="",'Detalle'!$H83=""),"",IF(AND(Q$8&lt;='Detalle'!$H83,Q$9&gt;='Detalle'!$G83),1,""))</x:f>
      </x:c>
      <x:c r="R162" s="49"/>
      <x:c r="S162" s="30" t="str">
        <x:f>IF('Detalle'!L83="","",'Detalle'!L83)</x:f>
        <x:v>Fatima</x:v>
      </x:c>
      <x:c r="T162" s="30" t="str">
        <x:f>IF('Detalle'!M83="","",'Detalle'!M83)</x:f>
      </x:c>
    </x:row>
    <x:row r="163" ht="17" customHeight="1">
      <x:c r="A163" s="28" t="str">
        <x:v>FE-13</x:v>
      </x:c>
      <x:c r="B163" s="28" t="str">
        <x:v>Comunidad</x:v>
      </x:c>
      <x:c r="C163" s="28" t="str">
        <x:v>Implementar creación de posts con categorías y fotos</x:v>
      </x:c>
      <x:c r="D163" s="47" t="str">
        <x:v>R</x:v>
      </x:c>
      <x:c r="E163" s="48" t="n">
        <x:f>IF('Detalle'!J83="","",'Detalle'!J83)</x:f>
        <x:v>1</x:v>
      </x:c>
      <x:c r="F163" s="44" t="str"/>
      <x:c r="G163" s="27" t="str">
        <x:f>IF(AND('Detalle'!$F83="Completado",G162=1),1,"")</x:f>
      </x:c>
      <x:c r="H163" s="27" t="str">
        <x:f>IF(AND('Detalle'!$F83="Completado",H162=1),1,"")</x:f>
      </x:c>
      <x:c r="I163" s="27" t="n">
        <x:f>IF(AND('Detalle'!$F83="Completado",I162=1),1,"")</x:f>
        <x:v>1</x:v>
      </x:c>
      <x:c r="J163" s="27" t="str">
        <x:f>IF(AND('Detalle'!$F83="Completado",J162=1),1,"")</x:f>
      </x:c>
      <x:c r="K163" s="27" t="str">
        <x:f>IF(AND('Detalle'!$F83="Completado",K162=1),1,"")</x:f>
      </x:c>
      <x:c r="L163" s="27" t="str">
        <x:f>IF(AND('Detalle'!$F83="Completado",L162=1),1,"")</x:f>
      </x:c>
      <x:c r="M163" s="27" t="str">
        <x:f>IF(AND('Detalle'!$F83="Completado",M162=1),1,"")</x:f>
      </x:c>
      <x:c r="N163" s="27" t="str">
        <x:f>IF(AND('Detalle'!$F83="Completado",N162=1),1,"")</x:f>
      </x:c>
      <x:c r="O163" s="27" t="str">
        <x:f>IF(AND('Detalle'!$F83="Completado",O162=1),1,"")</x:f>
      </x:c>
      <x:c r="P163" s="27" t="str">
        <x:f>IF(AND('Detalle'!$F83="Completado",P162=1),1,"")</x:f>
      </x:c>
      <x:c r="Q163" s="27" t="str">
        <x:f>IF(AND('Detalle'!$F83="Completado",Q162=1),1,"")</x:f>
      </x:c>
      <x:c r="R163" s="49"/>
      <x:c r="S163" s="30" t="str"/>
      <x:c r="T163" s="30" t="str"/>
    </x:row>
    <x:row r="164" ht="17" customHeight="1">
      <x:c r="A164" s="28" t="str">
        <x:v>FE-14</x:v>
      </x:c>
      <x:c r="B164" s="28" t="str">
        <x:v>Comunidad</x:v>
      </x:c>
      <x:c r="C164" s="28" t="str">
        <x:v>Implementar reacciones optimistas y gestos</x:v>
      </x:c>
      <x:c r="D164" s="46" t="str">
        <x:v>E</x:v>
      </x:c>
      <x:c r="E164" s="48" t="n">
        <x:f>IF('Detalle'!I84="","",'Detalle'!I84)</x:f>
        <x:v>1</x:v>
      </x:c>
      <x:c r="F164" s="44" t="str">
        <x:f>IF('Detalle'!F84="","",'Detalle'!F84)</x:f>
        <x:v>Completado</x:v>
      </x:c>
      <x:c r="G164" s="27" t="str">
        <x:f>IF(OR('Detalle'!$G84="",'Detalle'!$H84=""),"",IF(AND(G$8&lt;='Detalle'!$H84,G$9&gt;='Detalle'!$G84),1,""))</x:f>
      </x:c>
      <x:c r="H164" s="27" t="str">
        <x:f>IF(OR('Detalle'!$G84="",'Detalle'!$H84=""),"",IF(AND(H$8&lt;='Detalle'!$H84,H$9&gt;='Detalle'!$G84),1,""))</x:f>
      </x:c>
      <x:c r="I164" s="27" t="str">
        <x:f>IF(OR('Detalle'!$G84="",'Detalle'!$H84=""),"",IF(AND(I$8&lt;='Detalle'!$H84,I$9&gt;='Detalle'!$G84),1,""))</x:f>
      </x:c>
      <x:c r="J164" s="27" t="str">
        <x:f>IF(OR('Detalle'!$G84="",'Detalle'!$H84=""),"",IF(AND(J$8&lt;='Detalle'!$H84,J$9&gt;='Detalle'!$G84),1,""))</x:f>
      </x:c>
      <x:c r="K164" s="27" t="n">
        <x:f>IF(OR('Detalle'!$G84="",'Detalle'!$H84=""),"",IF(AND(K$8&lt;='Detalle'!$H84,K$9&gt;='Detalle'!$G84),1,""))</x:f>
        <x:v>1</x:v>
      </x:c>
      <x:c r="L164" s="27" t="str">
        <x:f>IF(OR('Detalle'!$G84="",'Detalle'!$H84=""),"",IF(AND(L$8&lt;='Detalle'!$H84,L$9&gt;='Detalle'!$G84),1,""))</x:f>
      </x:c>
      <x:c r="M164" s="27" t="str">
        <x:f>IF(OR('Detalle'!$G84="",'Detalle'!$H84=""),"",IF(AND(M$8&lt;='Detalle'!$H84,M$9&gt;='Detalle'!$G84),1,""))</x:f>
      </x:c>
      <x:c r="N164" s="27" t="str">
        <x:f>IF(OR('Detalle'!$G84="",'Detalle'!$H84=""),"",IF(AND(N$8&lt;='Detalle'!$H84,N$9&gt;='Detalle'!$G84),1,""))</x:f>
      </x:c>
      <x:c r="O164" s="27" t="str">
        <x:f>IF(OR('Detalle'!$G84="",'Detalle'!$H84=""),"",IF(AND(O$8&lt;='Detalle'!$H84,O$9&gt;='Detalle'!$G84),1,""))</x:f>
      </x:c>
      <x:c r="P164" s="27" t="str">
        <x:f>IF(OR('Detalle'!$G84="",'Detalle'!$H84=""),"",IF(AND(P$8&lt;='Detalle'!$H84,P$9&gt;='Detalle'!$G84),1,""))</x:f>
      </x:c>
      <x:c r="Q164" s="27" t="str">
        <x:f>IF(OR('Detalle'!$G84="",'Detalle'!$H84=""),"",IF(AND(Q$8&lt;='Detalle'!$H84,Q$9&gt;='Detalle'!$G84),1,""))</x:f>
      </x:c>
      <x:c r="R164" s="49"/>
      <x:c r="S164" s="30" t="str">
        <x:f>IF('Detalle'!L84="","",'Detalle'!L84)</x:f>
        <x:v>Fatima</x:v>
      </x:c>
      <x:c r="T164" s="30" t="str">
        <x:f>IF('Detalle'!M84="","",'Detalle'!M84)</x:f>
      </x:c>
    </x:row>
    <x:row r="165" ht="17" customHeight="1">
      <x:c r="A165" s="28" t="str">
        <x:v>FE-14</x:v>
      </x:c>
      <x:c r="B165" s="28" t="str">
        <x:v>Comunidad</x:v>
      </x:c>
      <x:c r="C165" s="28" t="str">
        <x:v>Implementar reacciones optimistas y gestos</x:v>
      </x:c>
      <x:c r="D165" s="47" t="str">
        <x:v>R</x:v>
      </x:c>
      <x:c r="E165" s="48" t="n">
        <x:f>IF('Detalle'!J84="","",'Detalle'!J84)</x:f>
        <x:v>1</x:v>
      </x:c>
      <x:c r="F165" s="44" t="str"/>
      <x:c r="G165" s="27" t="str">
        <x:f>IF(AND('Detalle'!$F84="Completado",G164=1),1,"")</x:f>
      </x:c>
      <x:c r="H165" s="27" t="str">
        <x:f>IF(AND('Detalle'!$F84="Completado",H164=1),1,"")</x:f>
      </x:c>
      <x:c r="I165" s="27" t="str">
        <x:f>IF(AND('Detalle'!$F84="Completado",I164=1),1,"")</x:f>
      </x:c>
      <x:c r="J165" s="27" t="str">
        <x:f>IF(AND('Detalle'!$F84="Completado",J164=1),1,"")</x:f>
      </x:c>
      <x:c r="K165" s="27" t="n">
        <x:f>IF(AND('Detalle'!$F84="Completado",K164=1),1,"")</x:f>
        <x:v>1</x:v>
      </x:c>
      <x:c r="L165" s="27" t="str">
        <x:f>IF(AND('Detalle'!$F84="Completado",L164=1),1,"")</x:f>
      </x:c>
      <x:c r="M165" s="27" t="str">
        <x:f>IF(AND('Detalle'!$F84="Completado",M164=1),1,"")</x:f>
      </x:c>
      <x:c r="N165" s="27" t="str">
        <x:f>IF(AND('Detalle'!$F84="Completado",N164=1),1,"")</x:f>
      </x:c>
      <x:c r="O165" s="27" t="str">
        <x:f>IF(AND('Detalle'!$F84="Completado",O164=1),1,"")</x:f>
      </x:c>
      <x:c r="P165" s="27" t="str">
        <x:f>IF(AND('Detalle'!$F84="Completado",P164=1),1,"")</x:f>
      </x:c>
      <x:c r="Q165" s="27" t="str">
        <x:f>IF(AND('Detalle'!$F84="Completado",Q164=1),1,"")</x:f>
      </x:c>
      <x:c r="R165" s="49"/>
      <x:c r="S165" s="30" t="str"/>
      <x:c r="T165" s="30" t="str"/>
    </x:row>
    <x:row r="166" ht="17" customHeight="1">
      <x:c r="A166" s="28" t="str">
        <x:v>FE-15</x:v>
      </x:c>
      <x:c r="B166" s="28" t="str">
        <x:v>Comunidad</x:v>
      </x:c>
      <x:c r="C166" s="28" t="str">
        <x:v>Implementar bandeja de comentarios</x:v>
      </x:c>
      <x:c r="D166" s="46" t="str">
        <x:v>E</x:v>
      </x:c>
      <x:c r="E166" s="48" t="n">
        <x:f>IF('Detalle'!I85="","",'Detalle'!I85)</x:f>
        <x:v>1</x:v>
      </x:c>
      <x:c r="F166" s="44" t="str">
        <x:f>IF('Detalle'!F85="","",'Detalle'!F85)</x:f>
        <x:v>Completado</x:v>
      </x:c>
      <x:c r="G166" s="27" t="str">
        <x:f>IF(OR('Detalle'!$G85="",'Detalle'!$H85=""),"",IF(AND(G$8&lt;='Detalle'!$H85,G$9&gt;='Detalle'!$G85),1,""))</x:f>
      </x:c>
      <x:c r="H166" s="27" t="str">
        <x:f>IF(OR('Detalle'!$G85="",'Detalle'!$H85=""),"",IF(AND(H$8&lt;='Detalle'!$H85,H$9&gt;='Detalle'!$G85),1,""))</x:f>
      </x:c>
      <x:c r="I166" s="27" t="str">
        <x:f>IF(OR('Detalle'!$G85="",'Detalle'!$H85=""),"",IF(AND(I$8&lt;='Detalle'!$H85,I$9&gt;='Detalle'!$G85),1,""))</x:f>
      </x:c>
      <x:c r="J166" s="27" t="n">
        <x:f>IF(OR('Detalle'!$G85="",'Detalle'!$H85=""),"",IF(AND(J$8&lt;='Detalle'!$H85,J$9&gt;='Detalle'!$G85),1,""))</x:f>
        <x:v>1</x:v>
      </x:c>
      <x:c r="K166" s="27" t="str">
        <x:f>IF(OR('Detalle'!$G85="",'Detalle'!$H85=""),"",IF(AND(K$8&lt;='Detalle'!$H85,K$9&gt;='Detalle'!$G85),1,""))</x:f>
      </x:c>
      <x:c r="L166" s="27" t="str">
        <x:f>IF(OR('Detalle'!$G85="",'Detalle'!$H85=""),"",IF(AND(L$8&lt;='Detalle'!$H85,L$9&gt;='Detalle'!$G85),1,""))</x:f>
      </x:c>
      <x:c r="M166" s="27" t="str">
        <x:f>IF(OR('Detalle'!$G85="",'Detalle'!$H85=""),"",IF(AND(M$8&lt;='Detalle'!$H85,M$9&gt;='Detalle'!$G85),1,""))</x:f>
      </x:c>
      <x:c r="N166" s="27" t="str">
        <x:f>IF(OR('Detalle'!$G85="",'Detalle'!$H85=""),"",IF(AND(N$8&lt;='Detalle'!$H85,N$9&gt;='Detalle'!$G85),1,""))</x:f>
      </x:c>
      <x:c r="O166" s="27" t="str">
        <x:f>IF(OR('Detalle'!$G85="",'Detalle'!$H85=""),"",IF(AND(O$8&lt;='Detalle'!$H85,O$9&gt;='Detalle'!$G85),1,""))</x:f>
      </x:c>
      <x:c r="P166" s="27" t="str">
        <x:f>IF(OR('Detalle'!$G85="",'Detalle'!$H85=""),"",IF(AND(P$8&lt;='Detalle'!$H85,P$9&gt;='Detalle'!$G85),1,""))</x:f>
      </x:c>
      <x:c r="Q166" s="27" t="str">
        <x:f>IF(OR('Detalle'!$G85="",'Detalle'!$H85=""),"",IF(AND(Q$8&lt;='Detalle'!$H85,Q$9&gt;='Detalle'!$G85),1,""))</x:f>
      </x:c>
      <x:c r="R166" s="49"/>
      <x:c r="S166" s="30" t="str">
        <x:f>IF('Detalle'!L85="","",'Detalle'!L85)</x:f>
        <x:v>Fatima</x:v>
      </x:c>
      <x:c r="T166" s="30" t="str">
        <x:f>IF('Detalle'!M85="","",'Detalle'!M85)</x:f>
      </x:c>
    </x:row>
    <x:row r="167" ht="17" customHeight="1">
      <x:c r="A167" s="28" t="str">
        <x:v>FE-15</x:v>
      </x:c>
      <x:c r="B167" s="28" t="str">
        <x:v>Comunidad</x:v>
      </x:c>
      <x:c r="C167" s="28" t="str">
        <x:v>Implementar bandeja de comentarios</x:v>
      </x:c>
      <x:c r="D167" s="47" t="str">
        <x:v>R</x:v>
      </x:c>
      <x:c r="E167" s="48" t="n">
        <x:f>IF('Detalle'!J85="","",'Detalle'!J85)</x:f>
        <x:v>1</x:v>
      </x:c>
      <x:c r="F167" s="44" t="str"/>
      <x:c r="G167" s="27" t="str">
        <x:f>IF(AND('Detalle'!$F85="Completado",G166=1),1,"")</x:f>
      </x:c>
      <x:c r="H167" s="27" t="str">
        <x:f>IF(AND('Detalle'!$F85="Completado",H166=1),1,"")</x:f>
      </x:c>
      <x:c r="I167" s="27" t="str">
        <x:f>IF(AND('Detalle'!$F85="Completado",I166=1),1,"")</x:f>
      </x:c>
      <x:c r="J167" s="27" t="n">
        <x:f>IF(AND('Detalle'!$F85="Completado",J166=1),1,"")</x:f>
        <x:v>1</x:v>
      </x:c>
      <x:c r="K167" s="27" t="str">
        <x:f>IF(AND('Detalle'!$F85="Completado",K166=1),1,"")</x:f>
      </x:c>
      <x:c r="L167" s="27" t="str">
        <x:f>IF(AND('Detalle'!$F85="Completado",L166=1),1,"")</x:f>
      </x:c>
      <x:c r="M167" s="27" t="str">
        <x:f>IF(AND('Detalle'!$F85="Completado",M166=1),1,"")</x:f>
      </x:c>
      <x:c r="N167" s="27" t="str">
        <x:f>IF(AND('Detalle'!$F85="Completado",N166=1),1,"")</x:f>
      </x:c>
      <x:c r="O167" s="27" t="str">
        <x:f>IF(AND('Detalle'!$F85="Completado",O166=1),1,"")</x:f>
      </x:c>
      <x:c r="P167" s="27" t="str">
        <x:f>IF(AND('Detalle'!$F85="Completado",P166=1),1,"")</x:f>
      </x:c>
      <x:c r="Q167" s="27" t="str">
        <x:f>IF(AND('Detalle'!$F85="Completado",Q166=1),1,"")</x:f>
      </x:c>
      <x:c r="R167" s="49"/>
      <x:c r="S167" s="30" t="str"/>
      <x:c r="T167" s="30" t="str"/>
    </x:row>
    <x:row r="168" ht="17" customHeight="1">
      <x:c r="A168" s="28" t="str">
        <x:v>FE-16</x:v>
      </x:c>
      <x:c r="B168" s="28" t="str">
        <x:v>Comunidad</x:v>
      </x:c>
      <x:c r="C168" s="28" t="str">
        <x:v>Implementar enlaces sociales y guardados</x:v>
      </x:c>
      <x:c r="D168" s="46" t="str">
        <x:v>E</x:v>
      </x:c>
      <x:c r="E168" s="48" t="n">
        <x:f>IF('Detalle'!I86="","",'Detalle'!I86)</x:f>
        <x:v>1</x:v>
      </x:c>
      <x:c r="F168" s="44" t="str">
        <x:f>IF('Detalle'!F86="","",'Detalle'!F86)</x:f>
        <x:v>Completado</x:v>
      </x:c>
      <x:c r="G168" s="27" t="str">
        <x:f>IF(OR('Detalle'!$G86="",'Detalle'!$H86=""),"",IF(AND(G$8&lt;='Detalle'!$H86,G$9&gt;='Detalle'!$G86),1,""))</x:f>
      </x:c>
      <x:c r="H168" s="27" t="str">
        <x:f>IF(OR('Detalle'!$G86="",'Detalle'!$H86=""),"",IF(AND(H$8&lt;='Detalle'!$H86,H$9&gt;='Detalle'!$G86),1,""))</x:f>
      </x:c>
      <x:c r="I168" s="27" t="str">
        <x:f>IF(OR('Detalle'!$G86="",'Detalle'!$H86=""),"",IF(AND(I$8&lt;='Detalle'!$H86,I$9&gt;='Detalle'!$G86),1,""))</x:f>
      </x:c>
      <x:c r="J168" s="27" t="n">
        <x:f>IF(OR('Detalle'!$G86="",'Detalle'!$H86=""),"",IF(AND(J$8&lt;='Detalle'!$H86,J$9&gt;='Detalle'!$G86),1,""))</x:f>
        <x:v>1</x:v>
      </x:c>
      <x:c r="K168" s="27" t="str">
        <x:f>IF(OR('Detalle'!$G86="",'Detalle'!$H86=""),"",IF(AND(K$8&lt;='Detalle'!$H86,K$9&gt;='Detalle'!$G86),1,""))</x:f>
      </x:c>
      <x:c r="L168" s="27" t="str">
        <x:f>IF(OR('Detalle'!$G86="",'Detalle'!$H86=""),"",IF(AND(L$8&lt;='Detalle'!$H86,L$9&gt;='Detalle'!$G86),1,""))</x:f>
      </x:c>
      <x:c r="M168" s="27" t="str">
        <x:f>IF(OR('Detalle'!$G86="",'Detalle'!$H86=""),"",IF(AND(M$8&lt;='Detalle'!$H86,M$9&gt;='Detalle'!$G86),1,""))</x:f>
      </x:c>
      <x:c r="N168" s="27" t="str">
        <x:f>IF(OR('Detalle'!$G86="",'Detalle'!$H86=""),"",IF(AND(N$8&lt;='Detalle'!$H86,N$9&gt;='Detalle'!$G86),1,""))</x:f>
      </x:c>
      <x:c r="O168" s="27" t="str">
        <x:f>IF(OR('Detalle'!$G86="",'Detalle'!$H86=""),"",IF(AND(O$8&lt;='Detalle'!$H86,O$9&gt;='Detalle'!$G86),1,""))</x:f>
      </x:c>
      <x:c r="P168" s="27" t="str">
        <x:f>IF(OR('Detalle'!$G86="",'Detalle'!$H86=""),"",IF(AND(P$8&lt;='Detalle'!$H86,P$9&gt;='Detalle'!$G86),1,""))</x:f>
      </x:c>
      <x:c r="Q168" s="27" t="str">
        <x:f>IF(OR('Detalle'!$G86="",'Detalle'!$H86=""),"",IF(AND(Q$8&lt;='Detalle'!$H86,Q$9&gt;='Detalle'!$G86),1,""))</x:f>
      </x:c>
      <x:c r="R168" s="49"/>
      <x:c r="S168" s="30" t="str">
        <x:f>IF('Detalle'!L86="","",'Detalle'!L86)</x:f>
        <x:v>Fatima</x:v>
      </x:c>
      <x:c r="T168" s="30" t="str">
        <x:f>IF('Detalle'!M86="","",'Detalle'!M86)</x:f>
      </x:c>
    </x:row>
    <x:row r="169" ht="17" customHeight="1">
      <x:c r="A169" s="28" t="str">
        <x:v>FE-16</x:v>
      </x:c>
      <x:c r="B169" s="28" t="str">
        <x:v>Comunidad</x:v>
      </x:c>
      <x:c r="C169" s="28" t="str">
        <x:v>Implementar enlaces sociales y guardados</x:v>
      </x:c>
      <x:c r="D169" s="47" t="str">
        <x:v>R</x:v>
      </x:c>
      <x:c r="E169" s="48" t="n">
        <x:f>IF('Detalle'!J86="","",'Detalle'!J86)</x:f>
        <x:v>1</x:v>
      </x:c>
      <x:c r="F169" s="44" t="str"/>
      <x:c r="G169" s="27" t="str">
        <x:f>IF(AND('Detalle'!$F86="Completado",G168=1),1,"")</x:f>
      </x:c>
      <x:c r="H169" s="27" t="str">
        <x:f>IF(AND('Detalle'!$F86="Completado",H168=1),1,"")</x:f>
      </x:c>
      <x:c r="I169" s="27" t="str">
        <x:f>IF(AND('Detalle'!$F86="Completado",I168=1),1,"")</x:f>
      </x:c>
      <x:c r="J169" s="27" t="n">
        <x:f>IF(AND('Detalle'!$F86="Completado",J168=1),1,"")</x:f>
        <x:v>1</x:v>
      </x:c>
      <x:c r="K169" s="27" t="str">
        <x:f>IF(AND('Detalle'!$F86="Completado",K168=1),1,"")</x:f>
      </x:c>
      <x:c r="L169" s="27" t="str">
        <x:f>IF(AND('Detalle'!$F86="Completado",L168=1),1,"")</x:f>
      </x:c>
      <x:c r="M169" s="27" t="str">
        <x:f>IF(AND('Detalle'!$F86="Completado",M168=1),1,"")</x:f>
      </x:c>
      <x:c r="N169" s="27" t="str">
        <x:f>IF(AND('Detalle'!$F86="Completado",N168=1),1,"")</x:f>
      </x:c>
      <x:c r="O169" s="27" t="str">
        <x:f>IF(AND('Detalle'!$F86="Completado",O168=1),1,"")</x:f>
      </x:c>
      <x:c r="P169" s="27" t="str">
        <x:f>IF(AND('Detalle'!$F86="Completado",P168=1),1,"")</x:f>
      </x:c>
      <x:c r="Q169" s="27" t="str">
        <x:f>IF(AND('Detalle'!$F86="Completado",Q168=1),1,"")</x:f>
      </x:c>
      <x:c r="R169" s="49"/>
      <x:c r="S169" s="30" t="str"/>
      <x:c r="T169" s="30" t="str"/>
    </x:row>
    <x:row r="170" ht="17" customHeight="1">
      <x:c r="A170" s="28" t="str">
        <x:v>FE-17</x:v>
      </x:c>
      <x:c r="B170" s="28" t="str">
        <x:v>Comunidad</x:v>
      </x:c>
      <x:c r="C170" s="28" t="str">
        <x:v>Implementar sincronización y paneles compartidos</x:v>
      </x:c>
      <x:c r="D170" s="46" t="str">
        <x:v>E</x:v>
      </x:c>
      <x:c r="E170" s="48" t="n">
        <x:f>IF('Detalle'!I87="","",'Detalle'!I87)</x:f>
        <x:v>1</x:v>
      </x:c>
      <x:c r="F170" s="44" t="str">
        <x:f>IF('Detalle'!F87="","",'Detalle'!F87)</x:f>
        <x:v>Completado</x:v>
      </x:c>
      <x:c r="G170" s="27" t="str">
        <x:f>IF(OR('Detalle'!$G87="",'Detalle'!$H87=""),"",IF(AND(G$8&lt;='Detalle'!$H87,G$9&gt;='Detalle'!$G87),1,""))</x:f>
      </x:c>
      <x:c r="H170" s="27" t="str">
        <x:f>IF(OR('Detalle'!$G87="",'Detalle'!$H87=""),"",IF(AND(H$8&lt;='Detalle'!$H87,H$9&gt;='Detalle'!$G87),1,""))</x:f>
      </x:c>
      <x:c r="I170" s="27" t="str">
        <x:f>IF(OR('Detalle'!$G87="",'Detalle'!$H87=""),"",IF(AND(I$8&lt;='Detalle'!$H87,I$9&gt;='Detalle'!$G87),1,""))</x:f>
      </x:c>
      <x:c r="J170" s="27" t="str">
        <x:f>IF(OR('Detalle'!$G87="",'Detalle'!$H87=""),"",IF(AND(J$8&lt;='Detalle'!$H87,J$9&gt;='Detalle'!$G87),1,""))</x:f>
      </x:c>
      <x:c r="K170" s="27" t="n">
        <x:f>IF(OR('Detalle'!$G87="",'Detalle'!$H87=""),"",IF(AND(K$8&lt;='Detalle'!$H87,K$9&gt;='Detalle'!$G87),1,""))</x:f>
        <x:v>1</x:v>
      </x:c>
      <x:c r="L170" s="27" t="str">
        <x:f>IF(OR('Detalle'!$G87="",'Detalle'!$H87=""),"",IF(AND(L$8&lt;='Detalle'!$H87,L$9&gt;='Detalle'!$G87),1,""))</x:f>
      </x:c>
      <x:c r="M170" s="27" t="str">
        <x:f>IF(OR('Detalle'!$G87="",'Detalle'!$H87=""),"",IF(AND(M$8&lt;='Detalle'!$H87,M$9&gt;='Detalle'!$G87),1,""))</x:f>
      </x:c>
      <x:c r="N170" s="27" t="str">
        <x:f>IF(OR('Detalle'!$G87="",'Detalle'!$H87=""),"",IF(AND(N$8&lt;='Detalle'!$H87,N$9&gt;='Detalle'!$G87),1,""))</x:f>
      </x:c>
      <x:c r="O170" s="27" t="str">
        <x:f>IF(OR('Detalle'!$G87="",'Detalle'!$H87=""),"",IF(AND(O$8&lt;='Detalle'!$H87,O$9&gt;='Detalle'!$G87),1,""))</x:f>
      </x:c>
      <x:c r="P170" s="27" t="str">
        <x:f>IF(OR('Detalle'!$G87="",'Detalle'!$H87=""),"",IF(AND(P$8&lt;='Detalle'!$H87,P$9&gt;='Detalle'!$G87),1,""))</x:f>
      </x:c>
      <x:c r="Q170" s="27" t="str">
        <x:f>IF(OR('Detalle'!$G87="",'Detalle'!$H87=""),"",IF(AND(Q$8&lt;='Detalle'!$H87,Q$9&gt;='Detalle'!$G87),1,""))</x:f>
      </x:c>
      <x:c r="R170" s="49"/>
      <x:c r="S170" s="30" t="str">
        <x:f>IF('Detalle'!L87="","",'Detalle'!L87)</x:f>
        <x:v>Fatima</x:v>
      </x:c>
      <x:c r="T170" s="30" t="str">
        <x:f>IF('Detalle'!M87="","",'Detalle'!M87)</x:f>
      </x:c>
    </x:row>
    <x:row r="171" ht="17" customHeight="1">
      <x:c r="A171" s="28" t="str">
        <x:v>FE-17</x:v>
      </x:c>
      <x:c r="B171" s="28" t="str">
        <x:v>Comunidad</x:v>
      </x:c>
      <x:c r="C171" s="28" t="str">
        <x:v>Implementar sincronización y paneles compartidos</x:v>
      </x:c>
      <x:c r="D171" s="47" t="str">
        <x:v>R</x:v>
      </x:c>
      <x:c r="E171" s="48" t="n">
        <x:f>IF('Detalle'!J87="","",'Detalle'!J87)</x:f>
        <x:v>1</x:v>
      </x:c>
      <x:c r="F171" s="44" t="str"/>
      <x:c r="G171" s="27" t="str">
        <x:f>IF(AND('Detalle'!$F87="Completado",G170=1),1,"")</x:f>
      </x:c>
      <x:c r="H171" s="27" t="str">
        <x:f>IF(AND('Detalle'!$F87="Completado",H170=1),1,"")</x:f>
      </x:c>
      <x:c r="I171" s="27" t="str">
        <x:f>IF(AND('Detalle'!$F87="Completado",I170=1),1,"")</x:f>
      </x:c>
      <x:c r="J171" s="27" t="str">
        <x:f>IF(AND('Detalle'!$F87="Completado",J170=1),1,"")</x:f>
      </x:c>
      <x:c r="K171" s="27" t="n">
        <x:f>IF(AND('Detalle'!$F87="Completado",K170=1),1,"")</x:f>
        <x:v>1</x:v>
      </x:c>
      <x:c r="L171" s="27" t="str">
        <x:f>IF(AND('Detalle'!$F87="Completado",L170=1),1,"")</x:f>
      </x:c>
      <x:c r="M171" s="27" t="str">
        <x:f>IF(AND('Detalle'!$F87="Completado",M170=1),1,"")</x:f>
      </x:c>
      <x:c r="N171" s="27" t="str">
        <x:f>IF(AND('Detalle'!$F87="Completado",N170=1),1,"")</x:f>
      </x:c>
      <x:c r="O171" s="27" t="str">
        <x:f>IF(AND('Detalle'!$F87="Completado",O170=1),1,"")</x:f>
      </x:c>
      <x:c r="P171" s="27" t="str">
        <x:f>IF(AND('Detalle'!$F87="Completado",P170=1),1,"")</x:f>
      </x:c>
      <x:c r="Q171" s="27" t="str">
        <x:f>IF(AND('Detalle'!$F87="Completado",Q170=1),1,"")</x:f>
      </x:c>
      <x:c r="R171" s="49"/>
      <x:c r="S171" s="30" t="str"/>
      <x:c r="T171" s="30" t="str"/>
    </x:row>
    <x:row r="172" ht="17" customHeight="1">
      <x:c r="A172" s="28" t="str">
        <x:v>FE-18</x:v>
      </x:c>
      <x:c r="B172" s="28" t="str">
        <x:v>Misiones</x:v>
      </x:c>
      <x:c r="C172" s="28" t="str">
        <x:v>Implementar compositor y borradores de misión</x:v>
      </x:c>
      <x:c r="D172" s="46" t="str">
        <x:v>E</x:v>
      </x:c>
      <x:c r="E172" s="48" t="n">
        <x:f>IF('Detalle'!I88="","",'Detalle'!I88)</x:f>
        <x:v>1</x:v>
      </x:c>
      <x:c r="F172" s="44" t="str">
        <x:f>IF('Detalle'!F88="","",'Detalle'!F88)</x:f>
        <x:v>Completado</x:v>
      </x:c>
      <x:c r="G172" s="27" t="str">
        <x:f>IF(OR('Detalle'!$G88="",'Detalle'!$H88=""),"",IF(AND(G$8&lt;='Detalle'!$H88,G$9&gt;='Detalle'!$G88),1,""))</x:f>
      </x:c>
      <x:c r="H172" s="27" t="str">
        <x:f>IF(OR('Detalle'!$G88="",'Detalle'!$H88=""),"",IF(AND(H$8&lt;='Detalle'!$H88,H$9&gt;='Detalle'!$G88),1,""))</x:f>
      </x:c>
      <x:c r="I172" s="27" t="str">
        <x:f>IF(OR('Detalle'!$G88="",'Detalle'!$H88=""),"",IF(AND(I$8&lt;='Detalle'!$H88,I$9&gt;='Detalle'!$G88),1,""))</x:f>
      </x:c>
      <x:c r="J172" s="27" t="n">
        <x:f>IF(OR('Detalle'!$G88="",'Detalle'!$H88=""),"",IF(AND(J$8&lt;='Detalle'!$H88,J$9&gt;='Detalle'!$G88),1,""))</x:f>
        <x:v>1</x:v>
      </x:c>
      <x:c r="K172" s="27" t="str">
        <x:f>IF(OR('Detalle'!$G88="",'Detalle'!$H88=""),"",IF(AND(K$8&lt;='Detalle'!$H88,K$9&gt;='Detalle'!$G88),1,""))</x:f>
      </x:c>
      <x:c r="L172" s="27" t="str">
        <x:f>IF(OR('Detalle'!$G88="",'Detalle'!$H88=""),"",IF(AND(L$8&lt;='Detalle'!$H88,L$9&gt;='Detalle'!$G88),1,""))</x:f>
      </x:c>
      <x:c r="M172" s="27" t="str">
        <x:f>IF(OR('Detalle'!$G88="",'Detalle'!$H88=""),"",IF(AND(M$8&lt;='Detalle'!$H88,M$9&gt;='Detalle'!$G88),1,""))</x:f>
      </x:c>
      <x:c r="N172" s="27" t="str">
        <x:f>IF(OR('Detalle'!$G88="",'Detalle'!$H88=""),"",IF(AND(N$8&lt;='Detalle'!$H88,N$9&gt;='Detalle'!$G88),1,""))</x:f>
      </x:c>
      <x:c r="O172" s="27" t="str">
        <x:f>IF(OR('Detalle'!$G88="",'Detalle'!$H88=""),"",IF(AND(O$8&lt;='Detalle'!$H88,O$9&gt;='Detalle'!$G88),1,""))</x:f>
      </x:c>
      <x:c r="P172" s="27" t="str">
        <x:f>IF(OR('Detalle'!$G88="",'Detalle'!$H88=""),"",IF(AND(P$8&lt;='Detalle'!$H88,P$9&gt;='Detalle'!$G88),1,""))</x:f>
      </x:c>
      <x:c r="Q172" s="27" t="str">
        <x:f>IF(OR('Detalle'!$G88="",'Detalle'!$H88=""),"",IF(AND(Q$8&lt;='Detalle'!$H88,Q$9&gt;='Detalle'!$G88),1,""))</x:f>
      </x:c>
      <x:c r="R172" s="49"/>
      <x:c r="S172" s="30" t="str">
        <x:f>IF('Detalle'!L88="","",'Detalle'!L88)</x:f>
        <x:v>Fatima</x:v>
      </x:c>
      <x:c r="T172" s="30" t="str">
        <x:f>IF('Detalle'!M88="","",'Detalle'!M88)</x:f>
      </x:c>
    </x:row>
    <x:row r="173" ht="17" customHeight="1">
      <x:c r="A173" s="28" t="str">
        <x:v>FE-18</x:v>
      </x:c>
      <x:c r="B173" s="28" t="str">
        <x:v>Misiones</x:v>
      </x:c>
      <x:c r="C173" s="28" t="str">
        <x:v>Implementar compositor y borradores de misión</x:v>
      </x:c>
      <x:c r="D173" s="47" t="str">
        <x:v>R</x:v>
      </x:c>
      <x:c r="E173" s="48" t="n">
        <x:f>IF('Detalle'!J88="","",'Detalle'!J88)</x:f>
        <x:v>1</x:v>
      </x:c>
      <x:c r="F173" s="44" t="str"/>
      <x:c r="G173" s="27" t="str">
        <x:f>IF(AND('Detalle'!$F88="Completado",G172=1),1,"")</x:f>
      </x:c>
      <x:c r="H173" s="27" t="str">
        <x:f>IF(AND('Detalle'!$F88="Completado",H172=1),1,"")</x:f>
      </x:c>
      <x:c r="I173" s="27" t="str">
        <x:f>IF(AND('Detalle'!$F88="Completado",I172=1),1,"")</x:f>
      </x:c>
      <x:c r="J173" s="27" t="n">
        <x:f>IF(AND('Detalle'!$F88="Completado",J172=1),1,"")</x:f>
        <x:v>1</x:v>
      </x:c>
      <x:c r="K173" s="27" t="str">
        <x:f>IF(AND('Detalle'!$F88="Completado",K172=1),1,"")</x:f>
      </x:c>
      <x:c r="L173" s="27" t="str">
        <x:f>IF(AND('Detalle'!$F88="Completado",L172=1),1,"")</x:f>
      </x:c>
      <x:c r="M173" s="27" t="str">
        <x:f>IF(AND('Detalle'!$F88="Completado",M172=1),1,"")</x:f>
      </x:c>
      <x:c r="N173" s="27" t="str">
        <x:f>IF(AND('Detalle'!$F88="Completado",N172=1),1,"")</x:f>
      </x:c>
      <x:c r="O173" s="27" t="str">
        <x:f>IF(AND('Detalle'!$F88="Completado",O172=1),1,"")</x:f>
      </x:c>
      <x:c r="P173" s="27" t="str">
        <x:f>IF(AND('Detalle'!$F88="Completado",P172=1),1,"")</x:f>
      </x:c>
      <x:c r="Q173" s="27" t="str">
        <x:f>IF(AND('Detalle'!$F88="Completado",Q172=1),1,"")</x:f>
      </x:c>
      <x:c r="R173" s="49"/>
      <x:c r="S173" s="30" t="str"/>
      <x:c r="T173" s="30" t="str"/>
    </x:row>
    <x:row r="174" ht="17" customHeight="1">
      <x:c r="A174" s="28" t="str">
        <x:v>FE-19</x:v>
      </x:c>
      <x:c r="B174" s="28" t="str">
        <x:v>Misiones</x:v>
      </x:c>
      <x:c r="C174" s="28" t="str">
        <x:v>Implementar formulario de candidatura</x:v>
      </x:c>
      <x:c r="D174" s="46" t="str">
        <x:v>E</x:v>
      </x:c>
      <x:c r="E174" s="48" t="n">
        <x:f>IF('Detalle'!I89="","",'Detalle'!I89)</x:f>
        <x:v>1</x:v>
      </x:c>
      <x:c r="F174" s="44" t="str">
        <x:f>IF('Detalle'!F89="","",'Detalle'!F89)</x:f>
        <x:v>Completado</x:v>
      </x:c>
      <x:c r="G174" s="27" t="str">
        <x:f>IF(OR('Detalle'!$G89="",'Detalle'!$H89=""),"",IF(AND(G$8&lt;='Detalle'!$H89,G$9&gt;='Detalle'!$G89),1,""))</x:f>
      </x:c>
      <x:c r="H174" s="27" t="str">
        <x:f>IF(OR('Detalle'!$G89="",'Detalle'!$H89=""),"",IF(AND(H$8&lt;='Detalle'!$H89,H$9&gt;='Detalle'!$G89),1,""))</x:f>
      </x:c>
      <x:c r="I174" s="27" t="str">
        <x:f>IF(OR('Detalle'!$G89="",'Detalle'!$H89=""),"",IF(AND(I$8&lt;='Detalle'!$H89,I$9&gt;='Detalle'!$G89),1,""))</x:f>
      </x:c>
      <x:c r="J174" s="27" t="n">
        <x:f>IF(OR('Detalle'!$G89="",'Detalle'!$H89=""),"",IF(AND(J$8&lt;='Detalle'!$H89,J$9&gt;='Detalle'!$G89),1,""))</x:f>
        <x:v>1</x:v>
      </x:c>
      <x:c r="K174" s="27" t="str">
        <x:f>IF(OR('Detalle'!$G89="",'Detalle'!$H89=""),"",IF(AND(K$8&lt;='Detalle'!$H89,K$9&gt;='Detalle'!$G89),1,""))</x:f>
      </x:c>
      <x:c r="L174" s="27" t="str">
        <x:f>IF(OR('Detalle'!$G89="",'Detalle'!$H89=""),"",IF(AND(L$8&lt;='Detalle'!$H89,L$9&gt;='Detalle'!$G89),1,""))</x:f>
      </x:c>
      <x:c r="M174" s="27" t="str">
        <x:f>IF(OR('Detalle'!$G89="",'Detalle'!$H89=""),"",IF(AND(M$8&lt;='Detalle'!$H89,M$9&gt;='Detalle'!$G89),1,""))</x:f>
      </x:c>
      <x:c r="N174" s="27" t="str">
        <x:f>IF(OR('Detalle'!$G89="",'Detalle'!$H89=""),"",IF(AND(N$8&lt;='Detalle'!$H89,N$9&gt;='Detalle'!$G89),1,""))</x:f>
      </x:c>
      <x:c r="O174" s="27" t="str">
        <x:f>IF(OR('Detalle'!$G89="",'Detalle'!$H89=""),"",IF(AND(O$8&lt;='Detalle'!$H89,O$9&gt;='Detalle'!$G89),1,""))</x:f>
      </x:c>
      <x:c r="P174" s="27" t="str">
        <x:f>IF(OR('Detalle'!$G89="",'Detalle'!$H89=""),"",IF(AND(P$8&lt;='Detalle'!$H89,P$9&gt;='Detalle'!$G89),1,""))</x:f>
      </x:c>
      <x:c r="Q174" s="27" t="str">
        <x:f>IF(OR('Detalle'!$G89="",'Detalle'!$H89=""),"",IF(AND(Q$8&lt;='Detalle'!$H89,Q$9&gt;='Detalle'!$G89),1,""))</x:f>
      </x:c>
      <x:c r="R174" s="49"/>
      <x:c r="S174" s="30" t="str">
        <x:f>IF('Detalle'!L89="","",'Detalle'!L89)</x:f>
        <x:v>Fatima</x:v>
      </x:c>
      <x:c r="T174" s="30" t="str">
        <x:f>IF('Detalle'!M89="","",'Detalle'!M89)</x:f>
      </x:c>
    </x:row>
    <x:row r="175" ht="17" customHeight="1">
      <x:c r="A175" s="28" t="str">
        <x:v>FE-19</x:v>
      </x:c>
      <x:c r="B175" s="28" t="str">
        <x:v>Misiones</x:v>
      </x:c>
      <x:c r="C175" s="28" t="str">
        <x:v>Implementar formulario de candidatura</x:v>
      </x:c>
      <x:c r="D175" s="47" t="str">
        <x:v>R</x:v>
      </x:c>
      <x:c r="E175" s="48" t="n">
        <x:f>IF('Detalle'!J89="","",'Detalle'!J89)</x:f>
        <x:v>1</x:v>
      </x:c>
      <x:c r="F175" s="44" t="str"/>
      <x:c r="G175" s="27" t="str">
        <x:f>IF(AND('Detalle'!$F89="Completado",G174=1),1,"")</x:f>
      </x:c>
      <x:c r="H175" s="27" t="str">
        <x:f>IF(AND('Detalle'!$F89="Completado",H174=1),1,"")</x:f>
      </x:c>
      <x:c r="I175" s="27" t="str">
        <x:f>IF(AND('Detalle'!$F89="Completado",I174=1),1,"")</x:f>
      </x:c>
      <x:c r="J175" s="27" t="n">
        <x:f>IF(AND('Detalle'!$F89="Completado",J174=1),1,"")</x:f>
        <x:v>1</x:v>
      </x:c>
      <x:c r="K175" s="27" t="str">
        <x:f>IF(AND('Detalle'!$F89="Completado",K174=1),1,"")</x:f>
      </x:c>
      <x:c r="L175" s="27" t="str">
        <x:f>IF(AND('Detalle'!$F89="Completado",L174=1),1,"")</x:f>
      </x:c>
      <x:c r="M175" s="27" t="str">
        <x:f>IF(AND('Detalle'!$F89="Completado",M174=1),1,"")</x:f>
      </x:c>
      <x:c r="N175" s="27" t="str">
        <x:f>IF(AND('Detalle'!$F89="Completado",N174=1),1,"")</x:f>
      </x:c>
      <x:c r="O175" s="27" t="str">
        <x:f>IF(AND('Detalle'!$F89="Completado",O174=1),1,"")</x:f>
      </x:c>
      <x:c r="P175" s="27" t="str">
        <x:f>IF(AND('Detalle'!$F89="Completado",P174=1),1,"")</x:f>
      </x:c>
      <x:c r="Q175" s="27" t="str">
        <x:f>IF(AND('Detalle'!$F89="Completado",Q174=1),1,"")</x:f>
      </x:c>
      <x:c r="R175" s="49"/>
      <x:c r="S175" s="30" t="str"/>
      <x:c r="T175" s="30" t="str"/>
    </x:row>
    <x:row r="176" ht="17" customHeight="1">
      <x:c r="A176" s="28" t="str">
        <x:v>FE-20</x:v>
      </x:c>
      <x:c r="B176" s="28" t="str">
        <x:v>Misiones</x:v>
      </x:c>
      <x:c r="C176" s="28" t="str">
        <x:v>Implementar gestión de finalistas por organizador</x:v>
      </x:c>
      <x:c r="D176" s="46" t="str">
        <x:v>E</x:v>
      </x:c>
      <x:c r="E176" s="48" t="n">
        <x:f>IF('Detalle'!I90="","",'Detalle'!I90)</x:f>
        <x:v>1</x:v>
      </x:c>
      <x:c r="F176" s="44" t="str">
        <x:f>IF('Detalle'!F90="","",'Detalle'!F90)</x:f>
        <x:v>Completado</x:v>
      </x:c>
      <x:c r="G176" s="27" t="str">
        <x:f>IF(OR('Detalle'!$G90="",'Detalle'!$H90=""),"",IF(AND(G$8&lt;='Detalle'!$H90,G$9&gt;='Detalle'!$G90),1,""))</x:f>
      </x:c>
      <x:c r="H176" s="27" t="str">
        <x:f>IF(OR('Detalle'!$G90="",'Detalle'!$H90=""),"",IF(AND(H$8&lt;='Detalle'!$H90,H$9&gt;='Detalle'!$G90),1,""))</x:f>
      </x:c>
      <x:c r="I176" s="27" t="str">
        <x:f>IF(OR('Detalle'!$G90="",'Detalle'!$H90=""),"",IF(AND(I$8&lt;='Detalle'!$H90,I$9&gt;='Detalle'!$G90),1,""))</x:f>
      </x:c>
      <x:c r="J176" s="27" t="n">
        <x:f>IF(OR('Detalle'!$G90="",'Detalle'!$H90=""),"",IF(AND(J$8&lt;='Detalle'!$H90,J$9&gt;='Detalle'!$G90),1,""))</x:f>
        <x:v>1</x:v>
      </x:c>
      <x:c r="K176" s="27" t="str">
        <x:f>IF(OR('Detalle'!$G90="",'Detalle'!$H90=""),"",IF(AND(K$8&lt;='Detalle'!$H90,K$9&gt;='Detalle'!$G90),1,""))</x:f>
      </x:c>
      <x:c r="L176" s="27" t="str">
        <x:f>IF(OR('Detalle'!$G90="",'Detalle'!$H90=""),"",IF(AND(L$8&lt;='Detalle'!$H90,L$9&gt;='Detalle'!$G90),1,""))</x:f>
      </x:c>
      <x:c r="M176" s="27" t="str">
        <x:f>IF(OR('Detalle'!$G90="",'Detalle'!$H90=""),"",IF(AND(M$8&lt;='Detalle'!$H90,M$9&gt;='Detalle'!$G90),1,""))</x:f>
      </x:c>
      <x:c r="N176" s="27" t="str">
        <x:f>IF(OR('Detalle'!$G90="",'Detalle'!$H90=""),"",IF(AND(N$8&lt;='Detalle'!$H90,N$9&gt;='Detalle'!$G90),1,""))</x:f>
      </x:c>
      <x:c r="O176" s="27" t="str">
        <x:f>IF(OR('Detalle'!$G90="",'Detalle'!$H90=""),"",IF(AND(O$8&lt;='Detalle'!$H90,O$9&gt;='Detalle'!$G90),1,""))</x:f>
      </x:c>
      <x:c r="P176" s="27" t="str">
        <x:f>IF(OR('Detalle'!$G90="",'Detalle'!$H90=""),"",IF(AND(P$8&lt;='Detalle'!$H90,P$9&gt;='Detalle'!$G90),1,""))</x:f>
      </x:c>
      <x:c r="Q176" s="27" t="str">
        <x:f>IF(OR('Detalle'!$G90="",'Detalle'!$H90=""),"",IF(AND(Q$8&lt;='Detalle'!$H90,Q$9&gt;='Detalle'!$G90),1,""))</x:f>
      </x:c>
      <x:c r="R176" s="49"/>
      <x:c r="S176" s="30" t="str">
        <x:f>IF('Detalle'!L90="","",'Detalle'!L90)</x:f>
        <x:v>Fatima</x:v>
      </x:c>
      <x:c r="T176" s="30" t="str">
        <x:f>IF('Detalle'!M90="","",'Detalle'!M90)</x:f>
      </x:c>
    </x:row>
    <x:row r="177" ht="17" customHeight="1">
      <x:c r="A177" s="28" t="str">
        <x:v>FE-20</x:v>
      </x:c>
      <x:c r="B177" s="28" t="str">
        <x:v>Misiones</x:v>
      </x:c>
      <x:c r="C177" s="28" t="str">
        <x:v>Implementar gestión de finalistas por organizador</x:v>
      </x:c>
      <x:c r="D177" s="47" t="str">
        <x:v>R</x:v>
      </x:c>
      <x:c r="E177" s="48" t="n">
        <x:f>IF('Detalle'!J90="","",'Detalle'!J90)</x:f>
        <x:v>1</x:v>
      </x:c>
      <x:c r="F177" s="44" t="str"/>
      <x:c r="G177" s="27" t="str">
        <x:f>IF(AND('Detalle'!$F90="Completado",G176=1),1,"")</x:f>
      </x:c>
      <x:c r="H177" s="27" t="str">
        <x:f>IF(AND('Detalle'!$F90="Completado",H176=1),1,"")</x:f>
      </x:c>
      <x:c r="I177" s="27" t="str">
        <x:f>IF(AND('Detalle'!$F90="Completado",I176=1),1,"")</x:f>
      </x:c>
      <x:c r="J177" s="27" t="n">
        <x:f>IF(AND('Detalle'!$F90="Completado",J176=1),1,"")</x:f>
        <x:v>1</x:v>
      </x:c>
      <x:c r="K177" s="27" t="str">
        <x:f>IF(AND('Detalle'!$F90="Completado",K176=1),1,"")</x:f>
      </x:c>
      <x:c r="L177" s="27" t="str">
        <x:f>IF(AND('Detalle'!$F90="Completado",L176=1),1,"")</x:f>
      </x:c>
      <x:c r="M177" s="27" t="str">
        <x:f>IF(AND('Detalle'!$F90="Completado",M176=1),1,"")</x:f>
      </x:c>
      <x:c r="N177" s="27" t="str">
        <x:f>IF(AND('Detalle'!$F90="Completado",N176=1),1,"")</x:f>
      </x:c>
      <x:c r="O177" s="27" t="str">
        <x:f>IF(AND('Detalle'!$F90="Completado",O176=1),1,"")</x:f>
      </x:c>
      <x:c r="P177" s="27" t="str">
        <x:f>IF(AND('Detalle'!$F90="Completado",P176=1),1,"")</x:f>
      </x:c>
      <x:c r="Q177" s="27" t="str">
        <x:f>IF(AND('Detalle'!$F90="Completado",Q176=1),1,"")</x:f>
      </x:c>
      <x:c r="R177" s="49"/>
      <x:c r="S177" s="30" t="str"/>
      <x:c r="T177" s="30" t="str"/>
    </x:row>
    <x:row r="178" ht="17" customHeight="1">
      <x:c r="A178" s="28" t="str">
        <x:v>FE-21</x:v>
      </x:c>
      <x:c r="B178" s="28" t="str">
        <x:v>Misiones</x:v>
      </x:c>
      <x:c r="C178" s="28" t="str">
        <x:v>Implementar listado y avisos del ciclo de misión</x:v>
      </x:c>
      <x:c r="D178" s="46" t="str">
        <x:v>E</x:v>
      </x:c>
      <x:c r="E178" s="48" t="n">
        <x:f>IF('Detalle'!I91="","",'Detalle'!I91)</x:f>
        <x:v>1</x:v>
      </x:c>
      <x:c r="F178" s="44" t="str">
        <x:f>IF('Detalle'!F91="","",'Detalle'!F91)</x:f>
        <x:v>Completado</x:v>
      </x:c>
      <x:c r="G178" s="27" t="str">
        <x:f>IF(OR('Detalle'!$G91="",'Detalle'!$H91=""),"",IF(AND(G$8&lt;='Detalle'!$H91,G$9&gt;='Detalle'!$G91),1,""))</x:f>
      </x:c>
      <x:c r="H178" s="27" t="str">
        <x:f>IF(OR('Detalle'!$G91="",'Detalle'!$H91=""),"",IF(AND(H$8&lt;='Detalle'!$H91,H$9&gt;='Detalle'!$G91),1,""))</x:f>
      </x:c>
      <x:c r="I178" s="27" t="str">
        <x:f>IF(OR('Detalle'!$G91="",'Detalle'!$H91=""),"",IF(AND(I$8&lt;='Detalle'!$H91,I$9&gt;='Detalle'!$G91),1,""))</x:f>
      </x:c>
      <x:c r="J178" s="27" t="n">
        <x:f>IF(OR('Detalle'!$G91="",'Detalle'!$H91=""),"",IF(AND(J$8&lt;='Detalle'!$H91,J$9&gt;='Detalle'!$G91),1,""))</x:f>
        <x:v>1</x:v>
      </x:c>
      <x:c r="K178" s="27" t="str">
        <x:f>IF(OR('Detalle'!$G91="",'Detalle'!$H91=""),"",IF(AND(K$8&lt;='Detalle'!$H91,K$9&gt;='Detalle'!$G91),1,""))</x:f>
      </x:c>
      <x:c r="L178" s="27" t="str">
        <x:f>IF(OR('Detalle'!$G91="",'Detalle'!$H91=""),"",IF(AND(L$8&lt;='Detalle'!$H91,L$9&gt;='Detalle'!$G91),1,""))</x:f>
      </x:c>
      <x:c r="M178" s="27" t="str">
        <x:f>IF(OR('Detalle'!$G91="",'Detalle'!$H91=""),"",IF(AND(M$8&lt;='Detalle'!$H91,M$9&gt;='Detalle'!$G91),1,""))</x:f>
      </x:c>
      <x:c r="N178" s="27" t="str">
        <x:f>IF(OR('Detalle'!$G91="",'Detalle'!$H91=""),"",IF(AND(N$8&lt;='Detalle'!$H91,N$9&gt;='Detalle'!$G91),1,""))</x:f>
      </x:c>
      <x:c r="O178" s="27" t="str">
        <x:f>IF(OR('Detalle'!$G91="",'Detalle'!$H91=""),"",IF(AND(O$8&lt;='Detalle'!$H91,O$9&gt;='Detalle'!$G91),1,""))</x:f>
      </x:c>
      <x:c r="P178" s="27" t="str">
        <x:f>IF(OR('Detalle'!$G91="",'Detalle'!$H91=""),"",IF(AND(P$8&lt;='Detalle'!$H91,P$9&gt;='Detalle'!$G91),1,""))</x:f>
      </x:c>
      <x:c r="Q178" s="27" t="str">
        <x:f>IF(OR('Detalle'!$G91="",'Detalle'!$H91=""),"",IF(AND(Q$8&lt;='Detalle'!$H91,Q$9&gt;='Detalle'!$G91),1,""))</x:f>
      </x:c>
      <x:c r="R178" s="49"/>
      <x:c r="S178" s="30" t="str">
        <x:f>IF('Detalle'!L91="","",'Detalle'!L91)</x:f>
        <x:v>Fatima</x:v>
      </x:c>
      <x:c r="T178" s="30" t="str">
        <x:f>IF('Detalle'!M91="","",'Detalle'!M91)</x:f>
      </x:c>
    </x:row>
    <x:row r="179" ht="17" customHeight="1">
      <x:c r="A179" s="28" t="str">
        <x:v>FE-21</x:v>
      </x:c>
      <x:c r="B179" s="28" t="str">
        <x:v>Misiones</x:v>
      </x:c>
      <x:c r="C179" s="28" t="str">
        <x:v>Implementar listado y avisos del ciclo de misión</x:v>
      </x:c>
      <x:c r="D179" s="47" t="str">
        <x:v>R</x:v>
      </x:c>
      <x:c r="E179" s="48" t="n">
        <x:f>IF('Detalle'!J91="","",'Detalle'!J91)</x:f>
        <x:v>1</x:v>
      </x:c>
      <x:c r="F179" s="44" t="str"/>
      <x:c r="G179" s="27" t="str">
        <x:f>IF(AND('Detalle'!$F91="Completado",G178=1),1,"")</x:f>
      </x:c>
      <x:c r="H179" s="27" t="str">
        <x:f>IF(AND('Detalle'!$F91="Completado",H178=1),1,"")</x:f>
      </x:c>
      <x:c r="I179" s="27" t="str">
        <x:f>IF(AND('Detalle'!$F91="Completado",I178=1),1,"")</x:f>
      </x:c>
      <x:c r="J179" s="27" t="n">
        <x:f>IF(AND('Detalle'!$F91="Completado",J178=1),1,"")</x:f>
        <x:v>1</x:v>
      </x:c>
      <x:c r="K179" s="27" t="str">
        <x:f>IF(AND('Detalle'!$F91="Completado",K178=1),1,"")</x:f>
      </x:c>
      <x:c r="L179" s="27" t="str">
        <x:f>IF(AND('Detalle'!$F91="Completado",L178=1),1,"")</x:f>
      </x:c>
      <x:c r="M179" s="27" t="str">
        <x:f>IF(AND('Detalle'!$F91="Completado",M178=1),1,"")</x:f>
      </x:c>
      <x:c r="N179" s="27" t="str">
        <x:f>IF(AND('Detalle'!$F91="Completado",N178=1),1,"")</x:f>
      </x:c>
      <x:c r="O179" s="27" t="str">
        <x:f>IF(AND('Detalle'!$F91="Completado",O178=1),1,"")</x:f>
      </x:c>
      <x:c r="P179" s="27" t="str">
        <x:f>IF(AND('Detalle'!$F91="Completado",P178=1),1,"")</x:f>
      </x:c>
      <x:c r="Q179" s="27" t="str">
        <x:f>IF(AND('Detalle'!$F91="Completado",Q178=1),1,"")</x:f>
      </x:c>
      <x:c r="R179" s="49"/>
      <x:c r="S179" s="30" t="str"/>
      <x:c r="T179" s="30" t="str"/>
    </x:row>
    <x:row r="180" ht="17" customHeight="1">
      <x:c r="A180" s="28" t="str">
        <x:v>FE-22</x:v>
      </x:c>
      <x:c r="B180" s="28" t="str">
        <x:v>Fichas profesionales</x:v>
      </x:c>
      <x:c r="C180" s="28" t="str">
        <x:v>Implementar creación de fichas profesionales</x:v>
      </x:c>
      <x:c r="D180" s="46" t="str">
        <x:v>E</x:v>
      </x:c>
      <x:c r="E180" s="48" t="n">
        <x:f>IF('Detalle'!I92="","",'Detalle'!I92)</x:f>
        <x:v>1</x:v>
      </x:c>
      <x:c r="F180" s="44" t="str">
        <x:f>IF('Detalle'!F92="","",'Detalle'!F92)</x:f>
        <x:v>Completado</x:v>
      </x:c>
      <x:c r="G180" s="27" t="str">
        <x:f>IF(OR('Detalle'!$G92="",'Detalle'!$H92=""),"",IF(AND(G$8&lt;='Detalle'!$H92,G$9&gt;='Detalle'!$G92),1,""))</x:f>
      </x:c>
      <x:c r="H180" s="27" t="str">
        <x:f>IF(OR('Detalle'!$G92="",'Detalle'!$H92=""),"",IF(AND(H$8&lt;='Detalle'!$H92,H$9&gt;='Detalle'!$G92),1,""))</x:f>
      </x:c>
      <x:c r="I180" s="27" t="str">
        <x:f>IF(OR('Detalle'!$G92="",'Detalle'!$H92=""),"",IF(AND(I$8&lt;='Detalle'!$H92,I$9&gt;='Detalle'!$G92),1,""))</x:f>
      </x:c>
      <x:c r="J180" s="27" t="n">
        <x:f>IF(OR('Detalle'!$G92="",'Detalle'!$H92=""),"",IF(AND(J$8&lt;='Detalle'!$H92,J$9&gt;='Detalle'!$G92),1,""))</x:f>
        <x:v>1</x:v>
      </x:c>
      <x:c r="K180" s="27" t="str">
        <x:f>IF(OR('Detalle'!$G92="",'Detalle'!$H92=""),"",IF(AND(K$8&lt;='Detalle'!$H92,K$9&gt;='Detalle'!$G92),1,""))</x:f>
      </x:c>
      <x:c r="L180" s="27" t="str">
        <x:f>IF(OR('Detalle'!$G92="",'Detalle'!$H92=""),"",IF(AND(L$8&lt;='Detalle'!$H92,L$9&gt;='Detalle'!$G92),1,""))</x:f>
      </x:c>
      <x:c r="M180" s="27" t="str">
        <x:f>IF(OR('Detalle'!$G92="",'Detalle'!$H92=""),"",IF(AND(M$8&lt;='Detalle'!$H92,M$9&gt;='Detalle'!$G92),1,""))</x:f>
      </x:c>
      <x:c r="N180" s="27" t="str">
        <x:f>IF(OR('Detalle'!$G92="",'Detalle'!$H92=""),"",IF(AND(N$8&lt;='Detalle'!$H92,N$9&gt;='Detalle'!$G92),1,""))</x:f>
      </x:c>
      <x:c r="O180" s="27" t="str">
        <x:f>IF(OR('Detalle'!$G92="",'Detalle'!$H92=""),"",IF(AND(O$8&lt;='Detalle'!$H92,O$9&gt;='Detalle'!$G92),1,""))</x:f>
      </x:c>
      <x:c r="P180" s="27" t="str">
        <x:f>IF(OR('Detalle'!$G92="",'Detalle'!$H92=""),"",IF(AND(P$8&lt;='Detalle'!$H92,P$9&gt;='Detalle'!$G92),1,""))</x:f>
      </x:c>
      <x:c r="Q180" s="27" t="str">
        <x:f>IF(OR('Detalle'!$G92="",'Detalle'!$H92=""),"",IF(AND(Q$8&lt;='Detalle'!$H92,Q$9&gt;='Detalle'!$G92),1,""))</x:f>
      </x:c>
      <x:c r="R180" s="49"/>
      <x:c r="S180" s="30" t="str">
        <x:f>IF('Detalle'!L92="","",'Detalle'!L92)</x:f>
        <x:v>Fatima</x:v>
      </x:c>
      <x:c r="T180" s="30" t="str">
        <x:f>IF('Detalle'!M92="","",'Detalle'!M92)</x:f>
      </x:c>
    </x:row>
    <x:row r="181" ht="17" customHeight="1">
      <x:c r="A181" s="28" t="str">
        <x:v>FE-22</x:v>
      </x:c>
      <x:c r="B181" s="28" t="str">
        <x:v>Fichas profesionales</x:v>
      </x:c>
      <x:c r="C181" s="28" t="str">
        <x:v>Implementar creación de fichas profesionales</x:v>
      </x:c>
      <x:c r="D181" s="47" t="str">
        <x:v>R</x:v>
      </x:c>
      <x:c r="E181" s="48" t="n">
        <x:f>IF('Detalle'!J92="","",'Detalle'!J92)</x:f>
        <x:v>1</x:v>
      </x:c>
      <x:c r="F181" s="44" t="str"/>
      <x:c r="G181" s="27" t="str">
        <x:f>IF(AND('Detalle'!$F92="Completado",G180=1),1,"")</x:f>
      </x:c>
      <x:c r="H181" s="27" t="str">
        <x:f>IF(AND('Detalle'!$F92="Completado",H180=1),1,"")</x:f>
      </x:c>
      <x:c r="I181" s="27" t="str">
        <x:f>IF(AND('Detalle'!$F92="Completado",I180=1),1,"")</x:f>
      </x:c>
      <x:c r="J181" s="27" t="n">
        <x:f>IF(AND('Detalle'!$F92="Completado",J180=1),1,"")</x:f>
        <x:v>1</x:v>
      </x:c>
      <x:c r="K181" s="27" t="str">
        <x:f>IF(AND('Detalle'!$F92="Completado",K180=1),1,"")</x:f>
      </x:c>
      <x:c r="L181" s="27" t="str">
        <x:f>IF(AND('Detalle'!$F92="Completado",L180=1),1,"")</x:f>
      </x:c>
      <x:c r="M181" s="27" t="str">
        <x:f>IF(AND('Detalle'!$F92="Completado",M180=1),1,"")</x:f>
      </x:c>
      <x:c r="N181" s="27" t="str">
        <x:f>IF(AND('Detalle'!$F92="Completado",N180=1),1,"")</x:f>
      </x:c>
      <x:c r="O181" s="27" t="str">
        <x:f>IF(AND('Detalle'!$F92="Completado",O180=1),1,"")</x:f>
      </x:c>
      <x:c r="P181" s="27" t="str">
        <x:f>IF(AND('Detalle'!$F92="Completado",P180=1),1,"")</x:f>
      </x:c>
      <x:c r="Q181" s="27" t="str">
        <x:f>IF(AND('Detalle'!$F92="Completado",Q180=1),1,"")</x:f>
      </x:c>
      <x:c r="R181" s="49"/>
      <x:c r="S181" s="30" t="str"/>
      <x:c r="T181" s="30" t="str"/>
    </x:row>
    <x:row r="182" ht="17" customHeight="1">
      <x:c r="A182" s="28" t="str">
        <x:v>FE-23</x:v>
      </x:c>
      <x:c r="B182" s="28" t="str">
        <x:v>Fichas profesionales</x:v>
      </x:c>
      <x:c r="C182" s="28" t="str">
        <x:v>Implementar galería, precio y disponibilidad</x:v>
      </x:c>
      <x:c r="D182" s="46" t="str">
        <x:v>E</x:v>
      </x:c>
      <x:c r="E182" s="48" t="n">
        <x:f>IF('Detalle'!I93="","",'Detalle'!I93)</x:f>
        <x:v>1</x:v>
      </x:c>
      <x:c r="F182" s="44" t="str">
        <x:f>IF('Detalle'!F93="","",'Detalle'!F93)</x:f>
        <x:v>Completado</x:v>
      </x:c>
      <x:c r="G182" s="27" t="str">
        <x:f>IF(OR('Detalle'!$G93="",'Detalle'!$H93=""),"",IF(AND(G$8&lt;='Detalle'!$H93,G$9&gt;='Detalle'!$G93),1,""))</x:f>
      </x:c>
      <x:c r="H182" s="27" t="str">
        <x:f>IF(OR('Detalle'!$G93="",'Detalle'!$H93=""),"",IF(AND(H$8&lt;='Detalle'!$H93,H$9&gt;='Detalle'!$G93),1,""))</x:f>
      </x:c>
      <x:c r="I182" s="27" t="str">
        <x:f>IF(OR('Detalle'!$G93="",'Detalle'!$H93=""),"",IF(AND(I$8&lt;='Detalle'!$H93,I$9&gt;='Detalle'!$G93),1,""))</x:f>
      </x:c>
      <x:c r="J182" s="27" t="n">
        <x:f>IF(OR('Detalle'!$G93="",'Detalle'!$H93=""),"",IF(AND(J$8&lt;='Detalle'!$H93,J$9&gt;='Detalle'!$G93),1,""))</x:f>
        <x:v>1</x:v>
      </x:c>
      <x:c r="K182" s="27" t="str">
        <x:f>IF(OR('Detalle'!$G93="",'Detalle'!$H93=""),"",IF(AND(K$8&lt;='Detalle'!$H93,K$9&gt;='Detalle'!$G93),1,""))</x:f>
      </x:c>
      <x:c r="L182" s="27" t="str">
        <x:f>IF(OR('Detalle'!$G93="",'Detalle'!$H93=""),"",IF(AND(L$8&lt;='Detalle'!$H93,L$9&gt;='Detalle'!$G93),1,""))</x:f>
      </x:c>
      <x:c r="M182" s="27" t="str">
        <x:f>IF(OR('Detalle'!$G93="",'Detalle'!$H93=""),"",IF(AND(M$8&lt;='Detalle'!$H93,M$9&gt;='Detalle'!$G93),1,""))</x:f>
      </x:c>
      <x:c r="N182" s="27" t="str">
        <x:f>IF(OR('Detalle'!$G93="",'Detalle'!$H93=""),"",IF(AND(N$8&lt;='Detalle'!$H93,N$9&gt;='Detalle'!$G93),1,""))</x:f>
      </x:c>
      <x:c r="O182" s="27" t="str">
        <x:f>IF(OR('Detalle'!$G93="",'Detalle'!$H93=""),"",IF(AND(O$8&lt;='Detalle'!$H93,O$9&gt;='Detalle'!$G93),1,""))</x:f>
      </x:c>
      <x:c r="P182" s="27" t="str">
        <x:f>IF(OR('Detalle'!$G93="",'Detalle'!$H93=""),"",IF(AND(P$8&lt;='Detalle'!$H93,P$9&gt;='Detalle'!$G93),1,""))</x:f>
      </x:c>
      <x:c r="Q182" s="27" t="str">
        <x:f>IF(OR('Detalle'!$G93="",'Detalle'!$H93=""),"",IF(AND(Q$8&lt;='Detalle'!$H93,Q$9&gt;='Detalle'!$G93),1,""))</x:f>
      </x:c>
      <x:c r="R182" s="49"/>
      <x:c r="S182" s="30" t="str">
        <x:f>IF('Detalle'!L93="","",'Detalle'!L93)</x:f>
        <x:v>Fatima</x:v>
      </x:c>
      <x:c r="T182" s="30" t="str">
        <x:f>IF('Detalle'!M93="","",'Detalle'!M93)</x:f>
      </x:c>
    </x:row>
    <x:row r="183" ht="17" customHeight="1">
      <x:c r="A183" s="28" t="str">
        <x:v>FE-23</x:v>
      </x:c>
      <x:c r="B183" s="28" t="str">
        <x:v>Fichas profesionales</x:v>
      </x:c>
      <x:c r="C183" s="28" t="str">
        <x:v>Implementar galería, precio y disponibilidad</x:v>
      </x:c>
      <x:c r="D183" s="47" t="str">
        <x:v>R</x:v>
      </x:c>
      <x:c r="E183" s="48" t="n">
        <x:f>IF('Detalle'!J93="","",'Detalle'!J93)</x:f>
        <x:v>1</x:v>
      </x:c>
      <x:c r="F183" s="44" t="str"/>
      <x:c r="G183" s="27" t="str">
        <x:f>IF(AND('Detalle'!$F93="Completado",G182=1),1,"")</x:f>
      </x:c>
      <x:c r="H183" s="27" t="str">
        <x:f>IF(AND('Detalle'!$F93="Completado",H182=1),1,"")</x:f>
      </x:c>
      <x:c r="I183" s="27" t="str">
        <x:f>IF(AND('Detalle'!$F93="Completado",I182=1),1,"")</x:f>
      </x:c>
      <x:c r="J183" s="27" t="n">
        <x:f>IF(AND('Detalle'!$F93="Completado",J182=1),1,"")</x:f>
        <x:v>1</x:v>
      </x:c>
      <x:c r="K183" s="27" t="str">
        <x:f>IF(AND('Detalle'!$F93="Completado",K182=1),1,"")</x:f>
      </x:c>
      <x:c r="L183" s="27" t="str">
        <x:f>IF(AND('Detalle'!$F93="Completado",L182=1),1,"")</x:f>
      </x:c>
      <x:c r="M183" s="27" t="str">
        <x:f>IF(AND('Detalle'!$F93="Completado",M182=1),1,"")</x:f>
      </x:c>
      <x:c r="N183" s="27" t="str">
        <x:f>IF(AND('Detalle'!$F93="Completado",N182=1),1,"")</x:f>
      </x:c>
      <x:c r="O183" s="27" t="str">
        <x:f>IF(AND('Detalle'!$F93="Completado",O182=1),1,"")</x:f>
      </x:c>
      <x:c r="P183" s="27" t="str">
        <x:f>IF(AND('Detalle'!$F93="Completado",P182=1),1,"")</x:f>
      </x:c>
      <x:c r="Q183" s="27" t="str">
        <x:f>IF(AND('Detalle'!$F93="Completado",Q182=1),1,"")</x:f>
      </x:c>
      <x:c r="R183" s="49"/>
      <x:c r="S183" s="30" t="str"/>
      <x:c r="T183" s="30" t="str"/>
    </x:row>
    <x:row r="184" ht="17" customHeight="1">
      <x:c r="A184" s="28" t="str">
        <x:v>FE-24</x:v>
      </x:c>
      <x:c r="B184" s="28" t="str">
        <x:v>Fichas profesionales</x:v>
      </x:c>
      <x:c r="C184" s="28" t="str">
        <x:v>Implementar detalle y herramientas de fichas</x:v>
      </x:c>
      <x:c r="D184" s="46" t="str">
        <x:v>E</x:v>
      </x:c>
      <x:c r="E184" s="48" t="n">
        <x:f>IF('Detalle'!I94="","",'Detalle'!I94)</x:f>
        <x:v>1</x:v>
      </x:c>
      <x:c r="F184" s="44" t="str">
        <x:f>IF('Detalle'!F94="","",'Detalle'!F94)</x:f>
        <x:v>Completado</x:v>
      </x:c>
      <x:c r="G184" s="27" t="str">
        <x:f>IF(OR('Detalle'!$G94="",'Detalle'!$H94=""),"",IF(AND(G$8&lt;='Detalle'!$H94,G$9&gt;='Detalle'!$G94),1,""))</x:f>
      </x:c>
      <x:c r="H184" s="27" t="str">
        <x:f>IF(OR('Detalle'!$G94="",'Detalle'!$H94=""),"",IF(AND(H$8&lt;='Detalle'!$H94,H$9&gt;='Detalle'!$G94),1,""))</x:f>
      </x:c>
      <x:c r="I184" s="27" t="str">
        <x:f>IF(OR('Detalle'!$G94="",'Detalle'!$H94=""),"",IF(AND(I$8&lt;='Detalle'!$H94,I$9&gt;='Detalle'!$G94),1,""))</x:f>
      </x:c>
      <x:c r="J184" s="27" t="n">
        <x:f>IF(OR('Detalle'!$G94="",'Detalle'!$H94=""),"",IF(AND(J$8&lt;='Detalle'!$H94,J$9&gt;='Detalle'!$G94),1,""))</x:f>
        <x:v>1</x:v>
      </x:c>
      <x:c r="K184" s="27" t="str">
        <x:f>IF(OR('Detalle'!$G94="",'Detalle'!$H94=""),"",IF(AND(K$8&lt;='Detalle'!$H94,K$9&gt;='Detalle'!$G94),1,""))</x:f>
      </x:c>
      <x:c r="L184" s="27" t="str">
        <x:f>IF(OR('Detalle'!$G94="",'Detalle'!$H94=""),"",IF(AND(L$8&lt;='Detalle'!$H94,L$9&gt;='Detalle'!$G94),1,""))</x:f>
      </x:c>
      <x:c r="M184" s="27" t="str">
        <x:f>IF(OR('Detalle'!$G94="",'Detalle'!$H94=""),"",IF(AND(M$8&lt;='Detalle'!$H94,M$9&gt;='Detalle'!$G94),1,""))</x:f>
      </x:c>
      <x:c r="N184" s="27" t="str">
        <x:f>IF(OR('Detalle'!$G94="",'Detalle'!$H94=""),"",IF(AND(N$8&lt;='Detalle'!$H94,N$9&gt;='Detalle'!$G94),1,""))</x:f>
      </x:c>
      <x:c r="O184" s="27" t="str">
        <x:f>IF(OR('Detalle'!$G94="",'Detalle'!$H94=""),"",IF(AND(O$8&lt;='Detalle'!$H94,O$9&gt;='Detalle'!$G94),1,""))</x:f>
      </x:c>
      <x:c r="P184" s="27" t="str">
        <x:f>IF(OR('Detalle'!$G94="",'Detalle'!$H94=""),"",IF(AND(P$8&lt;='Detalle'!$H94,P$9&gt;='Detalle'!$G94),1,""))</x:f>
      </x:c>
      <x:c r="Q184" s="27" t="str">
        <x:f>IF(OR('Detalle'!$G94="",'Detalle'!$H94=""),"",IF(AND(Q$8&lt;='Detalle'!$H94,Q$9&gt;='Detalle'!$G94),1,""))</x:f>
      </x:c>
      <x:c r="R184" s="49"/>
      <x:c r="S184" s="30" t="str">
        <x:f>IF('Detalle'!L94="","",'Detalle'!L94)</x:f>
        <x:v>Fatima</x:v>
      </x:c>
      <x:c r="T184" s="30" t="str">
        <x:f>IF('Detalle'!M94="","",'Detalle'!M94)</x:f>
      </x:c>
    </x:row>
    <x:row r="185" ht="17" customHeight="1">
      <x:c r="A185" s="28" t="str">
        <x:v>FE-24</x:v>
      </x:c>
      <x:c r="B185" s="28" t="str">
        <x:v>Fichas profesionales</x:v>
      </x:c>
      <x:c r="C185" s="28" t="str">
        <x:v>Implementar detalle y herramientas de fichas</x:v>
      </x:c>
      <x:c r="D185" s="47" t="str">
        <x:v>R</x:v>
      </x:c>
      <x:c r="E185" s="48" t="n">
        <x:f>IF('Detalle'!J94="","",'Detalle'!J94)</x:f>
        <x:v>1</x:v>
      </x:c>
      <x:c r="F185" s="44" t="str"/>
      <x:c r="G185" s="27" t="str">
        <x:f>IF(AND('Detalle'!$F94="Completado",G184=1),1,"")</x:f>
      </x:c>
      <x:c r="H185" s="27" t="str">
        <x:f>IF(AND('Detalle'!$F94="Completado",H184=1),1,"")</x:f>
      </x:c>
      <x:c r="I185" s="27" t="str">
        <x:f>IF(AND('Detalle'!$F94="Completado",I184=1),1,"")</x:f>
      </x:c>
      <x:c r="J185" s="27" t="n">
        <x:f>IF(AND('Detalle'!$F94="Completado",J184=1),1,"")</x:f>
        <x:v>1</x:v>
      </x:c>
      <x:c r="K185" s="27" t="str">
        <x:f>IF(AND('Detalle'!$F94="Completado",K184=1),1,"")</x:f>
      </x:c>
      <x:c r="L185" s="27" t="str">
        <x:f>IF(AND('Detalle'!$F94="Completado",L184=1),1,"")</x:f>
      </x:c>
      <x:c r="M185" s="27" t="str">
        <x:f>IF(AND('Detalle'!$F94="Completado",M184=1),1,"")</x:f>
      </x:c>
      <x:c r="N185" s="27" t="str">
        <x:f>IF(AND('Detalle'!$F94="Completado",N184=1),1,"")</x:f>
      </x:c>
      <x:c r="O185" s="27" t="str">
        <x:f>IF(AND('Detalle'!$F94="Completado",O184=1),1,"")</x:f>
      </x:c>
      <x:c r="P185" s="27" t="str">
        <x:f>IF(AND('Detalle'!$F94="Completado",P184=1),1,"")</x:f>
      </x:c>
      <x:c r="Q185" s="27" t="str">
        <x:f>IF(AND('Detalle'!$F94="Completado",Q184=1),1,"")</x:f>
      </x:c>
      <x:c r="R185" s="49"/>
      <x:c r="S185" s="30" t="str"/>
      <x:c r="T185" s="30" t="str"/>
    </x:row>
    <x:row r="186" ht="17" customHeight="1">
      <x:c r="A186" s="28" t="str">
        <x:v>FE-25</x:v>
      </x:c>
      <x:c r="B186" s="28" t="str">
        <x:v>Mapa</x:v>
      </x:c>
      <x:c r="C186" s="28" t="str">
        <x:v>Integrar mapa OpenStreetMap y selección de ubicación</x:v>
      </x:c>
      <x:c r="D186" s="46" t="str">
        <x:v>E</x:v>
      </x:c>
      <x:c r="E186" s="48" t="n">
        <x:f>IF('Detalle'!I95="","",'Detalle'!I95)</x:f>
        <x:v>1</x:v>
      </x:c>
      <x:c r="F186" s="44" t="str">
        <x:f>IF('Detalle'!F95="","",'Detalle'!F95)</x:f>
        <x:v>Completado</x:v>
      </x:c>
      <x:c r="G186" s="27" t="str">
        <x:f>IF(OR('Detalle'!$G95="",'Detalle'!$H95=""),"",IF(AND(G$8&lt;='Detalle'!$H95,G$9&gt;='Detalle'!$G95),1,""))</x:f>
      </x:c>
      <x:c r="H186" s="27" t="str">
        <x:f>IF(OR('Detalle'!$G95="",'Detalle'!$H95=""),"",IF(AND(H$8&lt;='Detalle'!$H95,H$9&gt;='Detalle'!$G95),1,""))</x:f>
      </x:c>
      <x:c r="I186" s="27" t="str">
        <x:f>IF(OR('Detalle'!$G95="",'Detalle'!$H95=""),"",IF(AND(I$8&lt;='Detalle'!$H95,I$9&gt;='Detalle'!$G95),1,""))</x:f>
      </x:c>
      <x:c r="J186" s="27" t="str">
        <x:f>IF(OR('Detalle'!$G95="",'Detalle'!$H95=""),"",IF(AND(J$8&lt;='Detalle'!$H95,J$9&gt;='Detalle'!$G95),1,""))</x:f>
      </x:c>
      <x:c r="K186" s="27" t="n">
        <x:f>IF(OR('Detalle'!$G95="",'Detalle'!$H95=""),"",IF(AND(K$8&lt;='Detalle'!$H95,K$9&gt;='Detalle'!$G95),1,""))</x:f>
        <x:v>1</x:v>
      </x:c>
      <x:c r="L186" s="27" t="str">
        <x:f>IF(OR('Detalle'!$G95="",'Detalle'!$H95=""),"",IF(AND(L$8&lt;='Detalle'!$H95,L$9&gt;='Detalle'!$G95),1,""))</x:f>
      </x:c>
      <x:c r="M186" s="27" t="str">
        <x:f>IF(OR('Detalle'!$G95="",'Detalle'!$H95=""),"",IF(AND(M$8&lt;='Detalle'!$H95,M$9&gt;='Detalle'!$G95),1,""))</x:f>
      </x:c>
      <x:c r="N186" s="27" t="str">
        <x:f>IF(OR('Detalle'!$G95="",'Detalle'!$H95=""),"",IF(AND(N$8&lt;='Detalle'!$H95,N$9&gt;='Detalle'!$G95),1,""))</x:f>
      </x:c>
      <x:c r="O186" s="27" t="str">
        <x:f>IF(OR('Detalle'!$G95="",'Detalle'!$H95=""),"",IF(AND(O$8&lt;='Detalle'!$H95,O$9&gt;='Detalle'!$G95),1,""))</x:f>
      </x:c>
      <x:c r="P186" s="27" t="str">
        <x:f>IF(OR('Detalle'!$G95="",'Detalle'!$H95=""),"",IF(AND(P$8&lt;='Detalle'!$H95,P$9&gt;='Detalle'!$G95),1,""))</x:f>
      </x:c>
      <x:c r="Q186" s="27" t="str">
        <x:f>IF(OR('Detalle'!$G95="",'Detalle'!$H95=""),"",IF(AND(Q$8&lt;='Detalle'!$H95,Q$9&gt;='Detalle'!$G95),1,""))</x:f>
      </x:c>
      <x:c r="R186" s="49"/>
      <x:c r="S186" s="30" t="str">
        <x:f>IF('Detalle'!L95="","",'Detalle'!L95)</x:f>
        <x:v>Fatima</x:v>
      </x:c>
      <x:c r="T186" s="30" t="str">
        <x:f>IF('Detalle'!M95="","",'Detalle'!M95)</x:f>
      </x:c>
    </x:row>
    <x:row r="187" ht="17" customHeight="1">
      <x:c r="A187" s="28" t="str">
        <x:v>FE-25</x:v>
      </x:c>
      <x:c r="B187" s="28" t="str">
        <x:v>Mapa</x:v>
      </x:c>
      <x:c r="C187" s="28" t="str">
        <x:v>Integrar mapa OpenStreetMap y selección de ubicación</x:v>
      </x:c>
      <x:c r="D187" s="47" t="str">
        <x:v>R</x:v>
      </x:c>
      <x:c r="E187" s="48" t="n">
        <x:f>IF('Detalle'!J95="","",'Detalle'!J95)</x:f>
        <x:v>1</x:v>
      </x:c>
      <x:c r="F187" s="44" t="str"/>
      <x:c r="G187" s="27" t="str">
        <x:f>IF(AND('Detalle'!$F95="Completado",G186=1),1,"")</x:f>
      </x:c>
      <x:c r="H187" s="27" t="str">
        <x:f>IF(AND('Detalle'!$F95="Completado",H186=1),1,"")</x:f>
      </x:c>
      <x:c r="I187" s="27" t="str">
        <x:f>IF(AND('Detalle'!$F95="Completado",I186=1),1,"")</x:f>
      </x:c>
      <x:c r="J187" s="27" t="str">
        <x:f>IF(AND('Detalle'!$F95="Completado",J186=1),1,"")</x:f>
      </x:c>
      <x:c r="K187" s="27" t="n">
        <x:f>IF(AND('Detalle'!$F95="Completado",K186=1),1,"")</x:f>
        <x:v>1</x:v>
      </x:c>
      <x:c r="L187" s="27" t="str">
        <x:f>IF(AND('Detalle'!$F95="Completado",L186=1),1,"")</x:f>
      </x:c>
      <x:c r="M187" s="27" t="str">
        <x:f>IF(AND('Detalle'!$F95="Completado",M186=1),1,"")</x:f>
      </x:c>
      <x:c r="N187" s="27" t="str">
        <x:f>IF(AND('Detalle'!$F95="Completado",N186=1),1,"")</x:f>
      </x:c>
      <x:c r="O187" s="27" t="str">
        <x:f>IF(AND('Detalle'!$F95="Completado",O186=1),1,"")</x:f>
      </x:c>
      <x:c r="P187" s="27" t="str">
        <x:f>IF(AND('Detalle'!$F95="Completado",P186=1),1,"")</x:f>
      </x:c>
      <x:c r="Q187" s="27" t="str">
        <x:f>IF(AND('Detalle'!$F95="Completado",Q186=1),1,"")</x:f>
      </x:c>
      <x:c r="R187" s="49"/>
      <x:c r="S187" s="30" t="str"/>
      <x:c r="T187" s="30" t="str"/>
    </x:row>
    <x:row r="188" ht="17" customHeight="1">
      <x:c r="A188" s="28" t="str">
        <x:v>FE-26</x:v>
      </x:c>
      <x:c r="B188" s="28" t="str">
        <x:v>Mapa</x:v>
      </x:c>
      <x:c r="C188" s="28" t="str">
        <x:v>Implementar búsqueda por área y radios de 1 a 10 km</x:v>
      </x:c>
      <x:c r="D188" s="46" t="str">
        <x:v>E</x:v>
      </x:c>
      <x:c r="E188" s="48" t="n">
        <x:f>IF('Detalle'!I96="","",'Detalle'!I96)</x:f>
        <x:v>1</x:v>
      </x:c>
      <x:c r="F188" s="44" t="str">
        <x:f>IF('Detalle'!F96="","",'Detalle'!F96)</x:f>
        <x:v>Completado</x:v>
      </x:c>
      <x:c r="G188" s="27" t="str">
        <x:f>IF(OR('Detalle'!$G96="",'Detalle'!$H96=""),"",IF(AND(G$8&lt;='Detalle'!$H96,G$9&gt;='Detalle'!$G96),1,""))</x:f>
      </x:c>
      <x:c r="H188" s="27" t="str">
        <x:f>IF(OR('Detalle'!$G96="",'Detalle'!$H96=""),"",IF(AND(H$8&lt;='Detalle'!$H96,H$9&gt;='Detalle'!$G96),1,""))</x:f>
      </x:c>
      <x:c r="I188" s="27" t="str">
        <x:f>IF(OR('Detalle'!$G96="",'Detalle'!$H96=""),"",IF(AND(I$8&lt;='Detalle'!$H96,I$9&gt;='Detalle'!$G96),1,""))</x:f>
      </x:c>
      <x:c r="J188" s="27" t="str">
        <x:f>IF(OR('Detalle'!$G96="",'Detalle'!$H96=""),"",IF(AND(J$8&lt;='Detalle'!$H96,J$9&gt;='Detalle'!$G96),1,""))</x:f>
      </x:c>
      <x:c r="K188" s="27" t="n">
        <x:f>IF(OR('Detalle'!$G96="",'Detalle'!$H96=""),"",IF(AND(K$8&lt;='Detalle'!$H96,K$9&gt;='Detalle'!$G96),1,""))</x:f>
        <x:v>1</x:v>
      </x:c>
      <x:c r="L188" s="27" t="str">
        <x:f>IF(OR('Detalle'!$G96="",'Detalle'!$H96=""),"",IF(AND(L$8&lt;='Detalle'!$H96,L$9&gt;='Detalle'!$G96),1,""))</x:f>
      </x:c>
      <x:c r="M188" s="27" t="str">
        <x:f>IF(OR('Detalle'!$G96="",'Detalle'!$H96=""),"",IF(AND(M$8&lt;='Detalle'!$H96,M$9&gt;='Detalle'!$G96),1,""))</x:f>
      </x:c>
      <x:c r="N188" s="27" t="str">
        <x:f>IF(OR('Detalle'!$G96="",'Detalle'!$H96=""),"",IF(AND(N$8&lt;='Detalle'!$H96,N$9&gt;='Detalle'!$G96),1,""))</x:f>
      </x:c>
      <x:c r="O188" s="27" t="str">
        <x:f>IF(OR('Detalle'!$G96="",'Detalle'!$H96=""),"",IF(AND(O$8&lt;='Detalle'!$H96,O$9&gt;='Detalle'!$G96),1,""))</x:f>
      </x:c>
      <x:c r="P188" s="27" t="str">
        <x:f>IF(OR('Detalle'!$G96="",'Detalle'!$H96=""),"",IF(AND(P$8&lt;='Detalle'!$H96,P$9&gt;='Detalle'!$G96),1,""))</x:f>
      </x:c>
      <x:c r="Q188" s="27" t="str">
        <x:f>IF(OR('Detalle'!$G96="",'Detalle'!$H96=""),"",IF(AND(Q$8&lt;='Detalle'!$H96,Q$9&gt;='Detalle'!$G96),1,""))</x:f>
      </x:c>
      <x:c r="R188" s="49"/>
      <x:c r="S188" s="30" t="str">
        <x:f>IF('Detalle'!L96="","",'Detalle'!L96)</x:f>
        <x:v>Fatima</x:v>
      </x:c>
      <x:c r="T188" s="30" t="str">
        <x:f>IF('Detalle'!M96="","",'Detalle'!M96)</x:f>
      </x:c>
    </x:row>
    <x:row r="189" ht="17" customHeight="1">
      <x:c r="A189" s="28" t="str">
        <x:v>FE-26</x:v>
      </x:c>
      <x:c r="B189" s="28" t="str">
        <x:v>Mapa</x:v>
      </x:c>
      <x:c r="C189" s="28" t="str">
        <x:v>Implementar búsqueda por área y radios de 1 a 10 km</x:v>
      </x:c>
      <x:c r="D189" s="47" t="str">
        <x:v>R</x:v>
      </x:c>
      <x:c r="E189" s="48" t="n">
        <x:f>IF('Detalle'!J96="","",'Detalle'!J96)</x:f>
        <x:v>1</x:v>
      </x:c>
      <x:c r="F189" s="44" t="str"/>
      <x:c r="G189" s="27" t="str">
        <x:f>IF(AND('Detalle'!$F96="Completado",G188=1),1,"")</x:f>
      </x:c>
      <x:c r="H189" s="27" t="str">
        <x:f>IF(AND('Detalle'!$F96="Completado",H188=1),1,"")</x:f>
      </x:c>
      <x:c r="I189" s="27" t="str">
        <x:f>IF(AND('Detalle'!$F96="Completado",I188=1),1,"")</x:f>
      </x:c>
      <x:c r="J189" s="27" t="str">
        <x:f>IF(AND('Detalle'!$F96="Completado",J188=1),1,"")</x:f>
      </x:c>
      <x:c r="K189" s="27" t="n">
        <x:f>IF(AND('Detalle'!$F96="Completado",K188=1),1,"")</x:f>
        <x:v>1</x:v>
      </x:c>
      <x:c r="L189" s="27" t="str">
        <x:f>IF(AND('Detalle'!$F96="Completado",L188=1),1,"")</x:f>
      </x:c>
      <x:c r="M189" s="27" t="str">
        <x:f>IF(AND('Detalle'!$F96="Completado",M188=1),1,"")</x:f>
      </x:c>
      <x:c r="N189" s="27" t="str">
        <x:f>IF(AND('Detalle'!$F96="Completado",N188=1),1,"")</x:f>
      </x:c>
      <x:c r="O189" s="27" t="str">
        <x:f>IF(AND('Detalle'!$F96="Completado",O188=1),1,"")</x:f>
      </x:c>
      <x:c r="P189" s="27" t="str">
        <x:f>IF(AND('Detalle'!$F96="Completado",P188=1),1,"")</x:f>
      </x:c>
      <x:c r="Q189" s="27" t="str">
        <x:f>IF(AND('Detalle'!$F96="Completado",Q188=1),1,"")</x:f>
      </x:c>
      <x:c r="R189" s="49"/>
      <x:c r="S189" s="30" t="str"/>
      <x:c r="T189" s="30" t="str"/>
    </x:row>
    <x:row r="190" ht="17" customHeight="1">
      <x:c r="A190" s="28" t="str">
        <x:v>FE-27</x:v>
      </x:c>
      <x:c r="B190" s="28" t="str">
        <x:v>Mapa</x:v>
      </x:c>
      <x:c r="C190" s="28" t="str">
        <x:v>Implementar clusters y navegación a misiones</x:v>
      </x:c>
      <x:c r="D190" s="46" t="str">
        <x:v>E</x:v>
      </x:c>
      <x:c r="E190" s="48" t="n">
        <x:f>IF('Detalle'!I97="","",'Detalle'!I97)</x:f>
        <x:v>1</x:v>
      </x:c>
      <x:c r="F190" s="44" t="str">
        <x:f>IF('Detalle'!F97="","",'Detalle'!F97)</x:f>
        <x:v>Completado</x:v>
      </x:c>
      <x:c r="G190" s="27" t="str">
        <x:f>IF(OR('Detalle'!$G97="",'Detalle'!$H97=""),"",IF(AND(G$8&lt;='Detalle'!$H97,G$9&gt;='Detalle'!$G97),1,""))</x:f>
      </x:c>
      <x:c r="H190" s="27" t="str">
        <x:f>IF(OR('Detalle'!$G97="",'Detalle'!$H97=""),"",IF(AND(H$8&lt;='Detalle'!$H97,H$9&gt;='Detalle'!$G97),1,""))</x:f>
      </x:c>
      <x:c r="I190" s="27" t="str">
        <x:f>IF(OR('Detalle'!$G97="",'Detalle'!$H97=""),"",IF(AND(I$8&lt;='Detalle'!$H97,I$9&gt;='Detalle'!$G97),1,""))</x:f>
      </x:c>
      <x:c r="J190" s="27" t="str">
        <x:f>IF(OR('Detalle'!$G97="",'Detalle'!$H97=""),"",IF(AND(J$8&lt;='Detalle'!$H97,J$9&gt;='Detalle'!$G97),1,""))</x:f>
      </x:c>
      <x:c r="K190" s="27" t="n">
        <x:f>IF(OR('Detalle'!$G97="",'Detalle'!$H97=""),"",IF(AND(K$8&lt;='Detalle'!$H97,K$9&gt;='Detalle'!$G97),1,""))</x:f>
        <x:v>1</x:v>
      </x:c>
      <x:c r="L190" s="27" t="str">
        <x:f>IF(OR('Detalle'!$G97="",'Detalle'!$H97=""),"",IF(AND(L$8&lt;='Detalle'!$H97,L$9&gt;='Detalle'!$G97),1,""))</x:f>
      </x:c>
      <x:c r="M190" s="27" t="str">
        <x:f>IF(OR('Detalle'!$G97="",'Detalle'!$H97=""),"",IF(AND(M$8&lt;='Detalle'!$H97,M$9&gt;='Detalle'!$G97),1,""))</x:f>
      </x:c>
      <x:c r="N190" s="27" t="str">
        <x:f>IF(OR('Detalle'!$G97="",'Detalle'!$H97=""),"",IF(AND(N$8&lt;='Detalle'!$H97,N$9&gt;='Detalle'!$G97),1,""))</x:f>
      </x:c>
      <x:c r="O190" s="27" t="str">
        <x:f>IF(OR('Detalle'!$G97="",'Detalle'!$H97=""),"",IF(AND(O$8&lt;='Detalle'!$H97,O$9&gt;='Detalle'!$G97),1,""))</x:f>
      </x:c>
      <x:c r="P190" s="27" t="str">
        <x:f>IF(OR('Detalle'!$G97="",'Detalle'!$H97=""),"",IF(AND(P$8&lt;='Detalle'!$H97,P$9&gt;='Detalle'!$G97),1,""))</x:f>
      </x:c>
      <x:c r="Q190" s="27" t="str">
        <x:f>IF(OR('Detalle'!$G97="",'Detalle'!$H97=""),"",IF(AND(Q$8&lt;='Detalle'!$H97,Q$9&gt;='Detalle'!$G97),1,""))</x:f>
      </x:c>
      <x:c r="R190" s="49"/>
      <x:c r="S190" s="30" t="str">
        <x:f>IF('Detalle'!L97="","",'Detalle'!L97)</x:f>
        <x:v>Fatima</x:v>
      </x:c>
      <x:c r="T190" s="30" t="str">
        <x:f>IF('Detalle'!M97="","",'Detalle'!M97)</x:f>
      </x:c>
    </x:row>
    <x:row r="191" ht="17" customHeight="1">
      <x:c r="A191" s="28" t="str">
        <x:v>FE-27</x:v>
      </x:c>
      <x:c r="B191" s="28" t="str">
        <x:v>Mapa</x:v>
      </x:c>
      <x:c r="C191" s="28" t="str">
        <x:v>Implementar clusters y navegación a misiones</x:v>
      </x:c>
      <x:c r="D191" s="47" t="str">
        <x:v>R</x:v>
      </x:c>
      <x:c r="E191" s="48" t="n">
        <x:f>IF('Detalle'!J97="","",'Detalle'!J97)</x:f>
        <x:v>1</x:v>
      </x:c>
      <x:c r="F191" s="44" t="str"/>
      <x:c r="G191" s="27" t="str">
        <x:f>IF(AND('Detalle'!$F97="Completado",G190=1),1,"")</x:f>
      </x:c>
      <x:c r="H191" s="27" t="str">
        <x:f>IF(AND('Detalle'!$F97="Completado",H190=1),1,"")</x:f>
      </x:c>
      <x:c r="I191" s="27" t="str">
        <x:f>IF(AND('Detalle'!$F97="Completado",I190=1),1,"")</x:f>
      </x:c>
      <x:c r="J191" s="27" t="str">
        <x:f>IF(AND('Detalle'!$F97="Completado",J190=1),1,"")</x:f>
      </x:c>
      <x:c r="K191" s="27" t="n">
        <x:f>IF(AND('Detalle'!$F97="Completado",K190=1),1,"")</x:f>
        <x:v>1</x:v>
      </x:c>
      <x:c r="L191" s="27" t="str">
        <x:f>IF(AND('Detalle'!$F97="Completado",L190=1),1,"")</x:f>
      </x:c>
      <x:c r="M191" s="27" t="str">
        <x:f>IF(AND('Detalle'!$F97="Completado",M190=1),1,"")</x:f>
      </x:c>
      <x:c r="N191" s="27" t="str">
        <x:f>IF(AND('Detalle'!$F97="Completado",N190=1),1,"")</x:f>
      </x:c>
      <x:c r="O191" s="27" t="str">
        <x:f>IF(AND('Detalle'!$F97="Completado",O190=1),1,"")</x:f>
      </x:c>
      <x:c r="P191" s="27" t="str">
        <x:f>IF(AND('Detalle'!$F97="Completado",P190=1),1,"")</x:f>
      </x:c>
      <x:c r="Q191" s="27" t="str">
        <x:f>IF(AND('Detalle'!$F97="Completado",Q190=1),1,"")</x:f>
      </x:c>
      <x:c r="R191" s="49"/>
      <x:c r="S191" s="30" t="str"/>
      <x:c r="T191" s="30" t="str"/>
    </x:row>
    <x:row r="192" ht="17" customHeight="1">
      <x:c r="A192" s="28" t="str">
        <x:v>FE-28</x:v>
      </x:c>
      <x:c r="B192" s="28" t="str">
        <x:v>Push</x:v>
      </x:c>
      <x:c r="C192" s="28" t="str">
        <x:v>Integrar cliente FCM y permisos Android</x:v>
      </x:c>
      <x:c r="D192" s="46" t="str">
        <x:v>E</x:v>
      </x:c>
      <x:c r="E192" s="48" t="n">
        <x:f>IF('Detalle'!I98="","",'Detalle'!I98)</x:f>
        <x:v>1</x:v>
      </x:c>
      <x:c r="F192" s="44" t="str">
        <x:f>IF('Detalle'!F98="","",'Detalle'!F98)</x:f>
        <x:v>Completado</x:v>
      </x:c>
      <x:c r="G192" s="27" t="str">
        <x:f>IF(OR('Detalle'!$G98="",'Detalle'!$H98=""),"",IF(AND(G$8&lt;='Detalle'!$H98,G$9&gt;='Detalle'!$G98),1,""))</x:f>
      </x:c>
      <x:c r="H192" s="27" t="str">
        <x:f>IF(OR('Detalle'!$G98="",'Detalle'!$H98=""),"",IF(AND(H$8&lt;='Detalle'!$H98,H$9&gt;='Detalle'!$G98),1,""))</x:f>
      </x:c>
      <x:c r="I192" s="27" t="str">
        <x:f>IF(OR('Detalle'!$G98="",'Detalle'!$H98=""),"",IF(AND(I$8&lt;='Detalle'!$H98,I$9&gt;='Detalle'!$G98),1,""))</x:f>
      </x:c>
      <x:c r="J192" s="27" t="str">
        <x:f>IF(OR('Detalle'!$G98="",'Detalle'!$H98=""),"",IF(AND(J$8&lt;='Detalle'!$H98,J$9&gt;='Detalle'!$G98),1,""))</x:f>
      </x:c>
      <x:c r="K192" s="27" t="n">
        <x:f>IF(OR('Detalle'!$G98="",'Detalle'!$H98=""),"",IF(AND(K$8&lt;='Detalle'!$H98,K$9&gt;='Detalle'!$G98),1,""))</x:f>
        <x:v>1</x:v>
      </x:c>
      <x:c r="L192" s="27" t="str">
        <x:f>IF(OR('Detalle'!$G98="",'Detalle'!$H98=""),"",IF(AND(L$8&lt;='Detalle'!$H98,L$9&gt;='Detalle'!$G98),1,""))</x:f>
      </x:c>
      <x:c r="M192" s="27" t="str">
        <x:f>IF(OR('Detalle'!$G98="",'Detalle'!$H98=""),"",IF(AND(M$8&lt;='Detalle'!$H98,M$9&gt;='Detalle'!$G98),1,""))</x:f>
      </x:c>
      <x:c r="N192" s="27" t="str">
        <x:f>IF(OR('Detalle'!$G98="",'Detalle'!$H98=""),"",IF(AND(N$8&lt;='Detalle'!$H98,N$9&gt;='Detalle'!$G98),1,""))</x:f>
      </x:c>
      <x:c r="O192" s="27" t="str">
        <x:f>IF(OR('Detalle'!$G98="",'Detalle'!$H98=""),"",IF(AND(O$8&lt;='Detalle'!$H98,O$9&gt;='Detalle'!$G98),1,""))</x:f>
      </x:c>
      <x:c r="P192" s="27" t="str">
        <x:f>IF(OR('Detalle'!$G98="",'Detalle'!$H98=""),"",IF(AND(P$8&lt;='Detalle'!$H98,P$9&gt;='Detalle'!$G98),1,""))</x:f>
      </x:c>
      <x:c r="Q192" s="27" t="str">
        <x:f>IF(OR('Detalle'!$G98="",'Detalle'!$H98=""),"",IF(AND(Q$8&lt;='Detalle'!$H98,Q$9&gt;='Detalle'!$G98),1,""))</x:f>
      </x:c>
      <x:c r="R192" s="49"/>
      <x:c r="S192" s="30" t="str">
        <x:f>IF('Detalle'!L98="","",'Detalle'!L98)</x:f>
        <x:v>Cristopher</x:v>
      </x:c>
      <x:c r="T192" s="30" t="str">
        <x:f>IF('Detalle'!M98="","",'Detalle'!M98)</x:f>
      </x:c>
    </x:row>
    <x:row r="193" ht="17" customHeight="1">
      <x:c r="A193" s="28" t="str">
        <x:v>FE-28</x:v>
      </x:c>
      <x:c r="B193" s="28" t="str">
        <x:v>Push</x:v>
      </x:c>
      <x:c r="C193" s="28" t="str">
        <x:v>Integrar cliente FCM y permisos Android</x:v>
      </x:c>
      <x:c r="D193" s="47" t="str">
        <x:v>R</x:v>
      </x:c>
      <x:c r="E193" s="48" t="n">
        <x:f>IF('Detalle'!J98="","",'Detalle'!J98)</x:f>
        <x:v>1</x:v>
      </x:c>
      <x:c r="F193" s="44" t="str"/>
      <x:c r="G193" s="27" t="str">
        <x:f>IF(AND('Detalle'!$F98="Completado",G192=1),1,"")</x:f>
      </x:c>
      <x:c r="H193" s="27" t="str">
        <x:f>IF(AND('Detalle'!$F98="Completado",H192=1),1,"")</x:f>
      </x:c>
      <x:c r="I193" s="27" t="str">
        <x:f>IF(AND('Detalle'!$F98="Completado",I192=1),1,"")</x:f>
      </x:c>
      <x:c r="J193" s="27" t="str">
        <x:f>IF(AND('Detalle'!$F98="Completado",J192=1),1,"")</x:f>
      </x:c>
      <x:c r="K193" s="27" t="n">
        <x:f>IF(AND('Detalle'!$F98="Completado",K192=1),1,"")</x:f>
        <x:v>1</x:v>
      </x:c>
      <x:c r="L193" s="27" t="str">
        <x:f>IF(AND('Detalle'!$F98="Completado",L192=1),1,"")</x:f>
      </x:c>
      <x:c r="M193" s="27" t="str">
        <x:f>IF(AND('Detalle'!$F98="Completado",M192=1),1,"")</x:f>
      </x:c>
      <x:c r="N193" s="27" t="str">
        <x:f>IF(AND('Detalle'!$F98="Completado",N192=1),1,"")</x:f>
      </x:c>
      <x:c r="O193" s="27" t="str">
        <x:f>IF(AND('Detalle'!$F98="Completado",O192=1),1,"")</x:f>
      </x:c>
      <x:c r="P193" s="27" t="str">
        <x:f>IF(AND('Detalle'!$F98="Completado",P192=1),1,"")</x:f>
      </x:c>
      <x:c r="Q193" s="27" t="str">
        <x:f>IF(AND('Detalle'!$F98="Completado",Q192=1),1,"")</x:f>
      </x:c>
      <x:c r="R193" s="49"/>
      <x:c r="S193" s="30" t="str"/>
      <x:c r="T193" s="30" t="str"/>
    </x:row>
    <x:row r="194" ht="17" customHeight="1">
      <x:c r="A194" s="28" t="str">
        <x:v>FE-29</x:v>
      </x:c>
      <x:c r="B194" s="28" t="str">
        <x:v>Push</x:v>
      </x:c>
      <x:c r="C194" s="28" t="str">
        <x:v>Implementar preferencias y apertura de notificaciones</x:v>
      </x:c>
      <x:c r="D194" s="46" t="str">
        <x:v>E</x:v>
      </x:c>
      <x:c r="E194" s="48" t="n">
        <x:f>IF('Detalle'!I99="","",'Detalle'!I99)</x:f>
        <x:v>1</x:v>
      </x:c>
      <x:c r="F194" s="44" t="str">
        <x:f>IF('Detalle'!F99="","",'Detalle'!F99)</x:f>
        <x:v>Completado</x:v>
      </x:c>
      <x:c r="G194" s="27" t="str">
        <x:f>IF(OR('Detalle'!$G99="",'Detalle'!$H99=""),"",IF(AND(G$8&lt;='Detalle'!$H99,G$9&gt;='Detalle'!$G99),1,""))</x:f>
      </x:c>
      <x:c r="H194" s="27" t="str">
        <x:f>IF(OR('Detalle'!$G99="",'Detalle'!$H99=""),"",IF(AND(H$8&lt;='Detalle'!$H99,H$9&gt;='Detalle'!$G99),1,""))</x:f>
      </x:c>
      <x:c r="I194" s="27" t="str">
        <x:f>IF(OR('Detalle'!$G99="",'Detalle'!$H99=""),"",IF(AND(I$8&lt;='Detalle'!$H99,I$9&gt;='Detalle'!$G99),1,""))</x:f>
      </x:c>
      <x:c r="J194" s="27" t="str">
        <x:f>IF(OR('Detalle'!$G99="",'Detalle'!$H99=""),"",IF(AND(J$8&lt;='Detalle'!$H99,J$9&gt;='Detalle'!$G99),1,""))</x:f>
      </x:c>
      <x:c r="K194" s="27" t="n">
        <x:f>IF(OR('Detalle'!$G99="",'Detalle'!$H99=""),"",IF(AND(K$8&lt;='Detalle'!$H99,K$9&gt;='Detalle'!$G99),1,""))</x:f>
        <x:v>1</x:v>
      </x:c>
      <x:c r="L194" s="27" t="str">
        <x:f>IF(OR('Detalle'!$G99="",'Detalle'!$H99=""),"",IF(AND(L$8&lt;='Detalle'!$H99,L$9&gt;='Detalle'!$G99),1,""))</x:f>
      </x:c>
      <x:c r="M194" s="27" t="str">
        <x:f>IF(OR('Detalle'!$G99="",'Detalle'!$H99=""),"",IF(AND(M$8&lt;='Detalle'!$H99,M$9&gt;='Detalle'!$G99),1,""))</x:f>
      </x:c>
      <x:c r="N194" s="27" t="str">
        <x:f>IF(OR('Detalle'!$G99="",'Detalle'!$H99=""),"",IF(AND(N$8&lt;='Detalle'!$H99,N$9&gt;='Detalle'!$G99),1,""))</x:f>
      </x:c>
      <x:c r="O194" s="27" t="str">
        <x:f>IF(OR('Detalle'!$G99="",'Detalle'!$H99=""),"",IF(AND(O$8&lt;='Detalle'!$H99,O$9&gt;='Detalle'!$G99),1,""))</x:f>
      </x:c>
      <x:c r="P194" s="27" t="str">
        <x:f>IF(OR('Detalle'!$G99="",'Detalle'!$H99=""),"",IF(AND(P$8&lt;='Detalle'!$H99,P$9&gt;='Detalle'!$G99),1,""))</x:f>
      </x:c>
      <x:c r="Q194" s="27" t="str">
        <x:f>IF(OR('Detalle'!$G99="",'Detalle'!$H99=""),"",IF(AND(Q$8&lt;='Detalle'!$H99,Q$9&gt;='Detalle'!$G99),1,""))</x:f>
      </x:c>
      <x:c r="R194" s="49"/>
      <x:c r="S194" s="30" t="str">
        <x:f>IF('Detalle'!L99="","",'Detalle'!L99)</x:f>
        <x:v>Cristopher</x:v>
      </x:c>
      <x:c r="T194" s="30" t="str">
        <x:f>IF('Detalle'!M99="","",'Detalle'!M99)</x:f>
      </x:c>
    </x:row>
    <x:row r="195" ht="17" customHeight="1">
      <x:c r="A195" s="28" t="str">
        <x:v>FE-29</x:v>
      </x:c>
      <x:c r="B195" s="28" t="str">
        <x:v>Push</x:v>
      </x:c>
      <x:c r="C195" s="28" t="str">
        <x:v>Implementar preferencias y apertura de notificaciones</x:v>
      </x:c>
      <x:c r="D195" s="47" t="str">
        <x:v>R</x:v>
      </x:c>
      <x:c r="E195" s="48" t="n">
        <x:f>IF('Detalle'!J99="","",'Detalle'!J99)</x:f>
        <x:v>1</x:v>
      </x:c>
      <x:c r="F195" s="44" t="str"/>
      <x:c r="G195" s="27" t="str">
        <x:f>IF(AND('Detalle'!$F99="Completado",G194=1),1,"")</x:f>
      </x:c>
      <x:c r="H195" s="27" t="str">
        <x:f>IF(AND('Detalle'!$F99="Completado",H194=1),1,"")</x:f>
      </x:c>
      <x:c r="I195" s="27" t="str">
        <x:f>IF(AND('Detalle'!$F99="Completado",I194=1),1,"")</x:f>
      </x:c>
      <x:c r="J195" s="27" t="str">
        <x:f>IF(AND('Detalle'!$F99="Completado",J194=1),1,"")</x:f>
      </x:c>
      <x:c r="K195" s="27" t="n">
        <x:f>IF(AND('Detalle'!$F99="Completado",K194=1),1,"")</x:f>
        <x:v>1</x:v>
      </x:c>
      <x:c r="L195" s="27" t="str">
        <x:f>IF(AND('Detalle'!$F99="Completado",L194=1),1,"")</x:f>
      </x:c>
      <x:c r="M195" s="27" t="str">
        <x:f>IF(AND('Detalle'!$F99="Completado",M194=1),1,"")</x:f>
      </x:c>
      <x:c r="N195" s="27" t="str">
        <x:f>IF(AND('Detalle'!$F99="Completado",N194=1),1,"")</x:f>
      </x:c>
      <x:c r="O195" s="27" t="str">
        <x:f>IF(AND('Detalle'!$F99="Completado",O194=1),1,"")</x:f>
      </x:c>
      <x:c r="P195" s="27" t="str">
        <x:f>IF(AND('Detalle'!$F99="Completado",P194=1),1,"")</x:f>
      </x:c>
      <x:c r="Q195" s="27" t="str">
        <x:f>IF(AND('Detalle'!$F99="Completado",Q194=1),1,"")</x:f>
      </x:c>
      <x:c r="R195" s="49"/>
      <x:c r="S195" s="30" t="str"/>
      <x:c r="T195" s="30" t="str"/>
    </x:row>
    <x:row r="196" ht="17" customHeight="1">
      <x:c r="A196" s="28" t="str">
        <x:v>FE-30</x:v>
      </x:c>
      <x:c r="B196" s="28" t="str">
        <x:v>Recorridos y AR</x:v>
      </x:c>
      <x:c r="C196" s="28" t="str">
        <x:v>Implementar editor de recorridos, zonas y puntos</x:v>
      </x:c>
      <x:c r="D196" s="46" t="str">
        <x:v>E</x:v>
      </x:c>
      <x:c r="E196" s="48" t="n">
        <x:f>IF('Detalle'!I100="","",'Detalle'!I100)</x:f>
        <x:v>1</x:v>
      </x:c>
      <x:c r="F196" s="44" t="str">
        <x:f>IF('Detalle'!F100="","",'Detalle'!F100)</x:f>
        <x:v>Completado</x:v>
      </x:c>
      <x:c r="G196" s="27" t="str">
        <x:f>IF(OR('Detalle'!$G100="",'Detalle'!$H100=""),"",IF(AND(G$8&lt;='Detalle'!$H100,G$9&gt;='Detalle'!$G100),1,""))</x:f>
      </x:c>
      <x:c r="H196" s="27" t="str">
        <x:f>IF(OR('Detalle'!$G100="",'Detalle'!$H100=""),"",IF(AND(H$8&lt;='Detalle'!$H100,H$9&gt;='Detalle'!$G100),1,""))</x:f>
      </x:c>
      <x:c r="I196" s="27" t="str">
        <x:f>IF(OR('Detalle'!$G100="",'Detalle'!$H100=""),"",IF(AND(I$8&lt;='Detalle'!$H100,I$9&gt;='Detalle'!$G100),1,""))</x:f>
      </x:c>
      <x:c r="J196" s="27" t="str">
        <x:f>IF(OR('Detalle'!$G100="",'Detalle'!$H100=""),"",IF(AND(J$8&lt;='Detalle'!$H100,J$9&gt;='Detalle'!$G100),1,""))</x:f>
      </x:c>
      <x:c r="K196" s="27" t="n">
        <x:f>IF(OR('Detalle'!$G100="",'Detalle'!$H100=""),"",IF(AND(K$8&lt;='Detalle'!$H100,K$9&gt;='Detalle'!$G100),1,""))</x:f>
        <x:v>1</x:v>
      </x:c>
      <x:c r="L196" s="27" t="str">
        <x:f>IF(OR('Detalle'!$G100="",'Detalle'!$H100=""),"",IF(AND(L$8&lt;='Detalle'!$H100,L$9&gt;='Detalle'!$G100),1,""))</x:f>
      </x:c>
      <x:c r="M196" s="27" t="str">
        <x:f>IF(OR('Detalle'!$G100="",'Detalle'!$H100=""),"",IF(AND(M$8&lt;='Detalle'!$H100,M$9&gt;='Detalle'!$G100),1,""))</x:f>
      </x:c>
      <x:c r="N196" s="27" t="str">
        <x:f>IF(OR('Detalle'!$G100="",'Detalle'!$H100=""),"",IF(AND(N$8&lt;='Detalle'!$H100,N$9&gt;='Detalle'!$G100),1,""))</x:f>
      </x:c>
      <x:c r="O196" s="27" t="str">
        <x:f>IF(OR('Detalle'!$G100="",'Detalle'!$H100=""),"",IF(AND(O$8&lt;='Detalle'!$H100,O$9&gt;='Detalle'!$G100),1,""))</x:f>
      </x:c>
      <x:c r="P196" s="27" t="str">
        <x:f>IF(OR('Detalle'!$G100="",'Detalle'!$H100=""),"",IF(AND(P$8&lt;='Detalle'!$H100,P$9&gt;='Detalle'!$G100),1,""))</x:f>
      </x:c>
      <x:c r="Q196" s="27" t="str">
        <x:f>IF(OR('Detalle'!$G100="",'Detalle'!$H100=""),"",IF(AND(Q$8&lt;='Detalle'!$H100,Q$9&gt;='Detalle'!$G100),1,""))</x:f>
      </x:c>
      <x:c r="R196" s="49"/>
      <x:c r="S196" s="30" t="str">
        <x:f>IF('Detalle'!L100="","",'Detalle'!L100)</x:f>
        <x:v>Ximena</x:v>
      </x:c>
      <x:c r="T196" s="30" t="str">
        <x:f>IF('Detalle'!M100="","",'Detalle'!M100)</x:f>
      </x:c>
    </x:row>
    <x:row r="197" ht="17" customHeight="1">
      <x:c r="A197" s="28" t="str">
        <x:v>FE-30</x:v>
      </x:c>
      <x:c r="B197" s="28" t="str">
        <x:v>Recorridos y AR</x:v>
      </x:c>
      <x:c r="C197" s="28" t="str">
        <x:v>Implementar editor de recorridos, zonas y puntos</x:v>
      </x:c>
      <x:c r="D197" s="47" t="str">
        <x:v>R</x:v>
      </x:c>
      <x:c r="E197" s="48" t="n">
        <x:f>IF('Detalle'!J100="","",'Detalle'!J100)</x:f>
        <x:v>1</x:v>
      </x:c>
      <x:c r="F197" s="44" t="str"/>
      <x:c r="G197" s="27" t="str">
        <x:f>IF(AND('Detalle'!$F100="Completado",G196=1),1,"")</x:f>
      </x:c>
      <x:c r="H197" s="27" t="str">
        <x:f>IF(AND('Detalle'!$F100="Completado",H196=1),1,"")</x:f>
      </x:c>
      <x:c r="I197" s="27" t="str">
        <x:f>IF(AND('Detalle'!$F100="Completado",I196=1),1,"")</x:f>
      </x:c>
      <x:c r="J197" s="27" t="str">
        <x:f>IF(AND('Detalle'!$F100="Completado",J196=1),1,"")</x:f>
      </x:c>
      <x:c r="K197" s="27" t="n">
        <x:f>IF(AND('Detalle'!$F100="Completado",K196=1),1,"")</x:f>
        <x:v>1</x:v>
      </x:c>
      <x:c r="L197" s="27" t="str">
        <x:f>IF(AND('Detalle'!$F100="Completado",L196=1),1,"")</x:f>
      </x:c>
      <x:c r="M197" s="27" t="str">
        <x:f>IF(AND('Detalle'!$F100="Completado",M196=1),1,"")</x:f>
      </x:c>
      <x:c r="N197" s="27" t="str">
        <x:f>IF(AND('Detalle'!$F100="Completado",N196=1),1,"")</x:f>
      </x:c>
      <x:c r="O197" s="27" t="str">
        <x:f>IF(AND('Detalle'!$F100="Completado",O196=1),1,"")</x:f>
      </x:c>
      <x:c r="P197" s="27" t="str">
        <x:f>IF(AND('Detalle'!$F100="Completado",P196=1),1,"")</x:f>
      </x:c>
      <x:c r="Q197" s="27" t="str">
        <x:f>IF(AND('Detalle'!$F100="Completado",Q196=1),1,"")</x:f>
      </x:c>
      <x:c r="R197" s="49"/>
      <x:c r="S197" s="30" t="str"/>
      <x:c r="T197" s="30" t="str"/>
    </x:row>
    <x:row r="198" ht="17" customHeight="1">
      <x:c r="A198" s="28" t="str">
        <x:v>FE-31</x:v>
      </x:c>
      <x:c r="B198" s="28" t="str">
        <x:v>Recorridos y AR</x:v>
      </x:c>
      <x:c r="C198" s="28" t="str">
        <x:v>Implementar captura guiada y orientación nativa</x:v>
      </x:c>
      <x:c r="D198" s="46" t="str">
        <x:v>E</x:v>
      </x:c>
      <x:c r="E198" s="48" t="n">
        <x:f>IF('Detalle'!I101="","",'Detalle'!I101)</x:f>
        <x:v>1</x:v>
      </x:c>
      <x:c r="F198" s="44" t="str">
        <x:f>IF('Detalle'!F101="","",'Detalle'!F101)</x:f>
        <x:v>Completado</x:v>
      </x:c>
      <x:c r="G198" s="27" t="str">
        <x:f>IF(OR('Detalle'!$G101="",'Detalle'!$H101=""),"",IF(AND(G$8&lt;='Detalle'!$H101,G$9&gt;='Detalle'!$G101),1,""))</x:f>
      </x:c>
      <x:c r="H198" s="27" t="str">
        <x:f>IF(OR('Detalle'!$G101="",'Detalle'!$H101=""),"",IF(AND(H$8&lt;='Detalle'!$H101,H$9&gt;='Detalle'!$G101),1,""))</x:f>
      </x:c>
      <x:c r="I198" s="27" t="str">
        <x:f>IF(OR('Detalle'!$G101="",'Detalle'!$H101=""),"",IF(AND(I$8&lt;='Detalle'!$H101,I$9&gt;='Detalle'!$G101),1,""))</x:f>
      </x:c>
      <x:c r="J198" s="27" t="str">
        <x:f>IF(OR('Detalle'!$G101="",'Detalle'!$H101=""),"",IF(AND(J$8&lt;='Detalle'!$H101,J$9&gt;='Detalle'!$G101),1,""))</x:f>
      </x:c>
      <x:c r="K198" s="27" t="n">
        <x:f>IF(OR('Detalle'!$G101="",'Detalle'!$H101=""),"",IF(AND(K$8&lt;='Detalle'!$H101,K$9&gt;='Detalle'!$G101),1,""))</x:f>
        <x:v>1</x:v>
      </x:c>
      <x:c r="L198" s="27" t="str">
        <x:f>IF(OR('Detalle'!$G101="",'Detalle'!$H101=""),"",IF(AND(L$8&lt;='Detalle'!$H101,L$9&gt;='Detalle'!$G101),1,""))</x:f>
      </x:c>
      <x:c r="M198" s="27" t="str">
        <x:f>IF(OR('Detalle'!$G101="",'Detalle'!$H101=""),"",IF(AND(M$8&lt;='Detalle'!$H101,M$9&gt;='Detalle'!$G101),1,""))</x:f>
      </x:c>
      <x:c r="N198" s="27" t="str">
        <x:f>IF(OR('Detalle'!$G101="",'Detalle'!$H101=""),"",IF(AND(N$8&lt;='Detalle'!$H101,N$9&gt;='Detalle'!$G101),1,""))</x:f>
      </x:c>
      <x:c r="O198" s="27" t="str">
        <x:f>IF(OR('Detalle'!$G101="",'Detalle'!$H101=""),"",IF(AND(O$8&lt;='Detalle'!$H101,O$9&gt;='Detalle'!$G101),1,""))</x:f>
      </x:c>
      <x:c r="P198" s="27" t="str">
        <x:f>IF(OR('Detalle'!$G101="",'Detalle'!$H101=""),"",IF(AND(P$8&lt;='Detalle'!$H101,P$9&gt;='Detalle'!$G101),1,""))</x:f>
      </x:c>
      <x:c r="Q198" s="27" t="str">
        <x:f>IF(OR('Detalle'!$G101="",'Detalle'!$H101=""),"",IF(AND(Q$8&lt;='Detalle'!$H101,Q$9&gt;='Detalle'!$G101),1,""))</x:f>
      </x:c>
      <x:c r="R198" s="49"/>
      <x:c r="S198" s="30" t="str">
        <x:f>IF('Detalle'!L101="","",'Detalle'!L101)</x:f>
        <x:v>Ximena</x:v>
      </x:c>
      <x:c r="T198" s="30" t="str">
        <x:f>IF('Detalle'!M101="","",'Detalle'!M101)</x:f>
      </x:c>
    </x:row>
    <x:row r="199" ht="17" customHeight="1">
      <x:c r="A199" s="28" t="str">
        <x:v>FE-31</x:v>
      </x:c>
      <x:c r="B199" s="28" t="str">
        <x:v>Recorridos y AR</x:v>
      </x:c>
      <x:c r="C199" s="28" t="str">
        <x:v>Implementar captura guiada y orientación nativa</x:v>
      </x:c>
      <x:c r="D199" s="47" t="str">
        <x:v>R</x:v>
      </x:c>
      <x:c r="E199" s="48" t="n">
        <x:f>IF('Detalle'!J101="","",'Detalle'!J101)</x:f>
        <x:v>1</x:v>
      </x:c>
      <x:c r="F199" s="44" t="str"/>
      <x:c r="G199" s="27" t="str">
        <x:f>IF(AND('Detalle'!$F101="Completado",G198=1),1,"")</x:f>
      </x:c>
      <x:c r="H199" s="27" t="str">
        <x:f>IF(AND('Detalle'!$F101="Completado",H198=1),1,"")</x:f>
      </x:c>
      <x:c r="I199" s="27" t="str">
        <x:f>IF(AND('Detalle'!$F101="Completado",I198=1),1,"")</x:f>
      </x:c>
      <x:c r="J199" s="27" t="str">
        <x:f>IF(AND('Detalle'!$F101="Completado",J198=1),1,"")</x:f>
      </x:c>
      <x:c r="K199" s="27" t="n">
        <x:f>IF(AND('Detalle'!$F101="Completado",K198=1),1,"")</x:f>
        <x:v>1</x:v>
      </x:c>
      <x:c r="L199" s="27" t="str">
        <x:f>IF(AND('Detalle'!$F101="Completado",L198=1),1,"")</x:f>
      </x:c>
      <x:c r="M199" s="27" t="str">
        <x:f>IF(AND('Detalle'!$F101="Completado",M198=1),1,"")</x:f>
      </x:c>
      <x:c r="N199" s="27" t="str">
        <x:f>IF(AND('Detalle'!$F101="Completado",N198=1),1,"")</x:f>
      </x:c>
      <x:c r="O199" s="27" t="str">
        <x:f>IF(AND('Detalle'!$F101="Completado",O198=1),1,"")</x:f>
      </x:c>
      <x:c r="P199" s="27" t="str">
        <x:f>IF(AND('Detalle'!$F101="Completado",P198=1),1,"")</x:f>
      </x:c>
      <x:c r="Q199" s="27" t="str">
        <x:f>IF(AND('Detalle'!$F101="Completado",Q198=1),1,"")</x:f>
      </x:c>
      <x:c r="R199" s="49"/>
      <x:c r="S199" s="30" t="str"/>
      <x:c r="T199" s="30" t="str"/>
    </x:row>
    <x:row r="200" ht="17" customHeight="1">
      <x:c r="A200" s="28" t="str">
        <x:v>FE-32</x:v>
      </x:c>
      <x:c r="B200" s="28" t="str">
        <x:v>Recorridos y AR</x:v>
      </x:c>
      <x:c r="C200" s="28" t="str">
        <x:v>Implementar importación GPano y subida reanudable</x:v>
      </x:c>
      <x:c r="D200" s="46" t="str">
        <x:v>E</x:v>
      </x:c>
      <x:c r="E200" s="48" t="n">
        <x:f>IF('Detalle'!I102="","",'Detalle'!I102)</x:f>
        <x:v>1</x:v>
      </x:c>
      <x:c r="F200" s="44" t="str">
        <x:f>IF('Detalle'!F102="","",'Detalle'!F102)</x:f>
        <x:v>Completado</x:v>
      </x:c>
      <x:c r="G200" s="27" t="str">
        <x:f>IF(OR('Detalle'!$G102="",'Detalle'!$H102=""),"",IF(AND(G$8&lt;='Detalle'!$H102,G$9&gt;='Detalle'!$G102),1,""))</x:f>
      </x:c>
      <x:c r="H200" s="27" t="str">
        <x:f>IF(OR('Detalle'!$G102="",'Detalle'!$H102=""),"",IF(AND(H$8&lt;='Detalle'!$H102,H$9&gt;='Detalle'!$G102),1,""))</x:f>
      </x:c>
      <x:c r="I200" s="27" t="str">
        <x:f>IF(OR('Detalle'!$G102="",'Detalle'!$H102=""),"",IF(AND(I$8&lt;='Detalle'!$H102,I$9&gt;='Detalle'!$G102),1,""))</x:f>
      </x:c>
      <x:c r="J200" s="27" t="str">
        <x:f>IF(OR('Detalle'!$G102="",'Detalle'!$H102=""),"",IF(AND(J$8&lt;='Detalle'!$H102,J$9&gt;='Detalle'!$G102),1,""))</x:f>
      </x:c>
      <x:c r="K200" s="27" t="n">
        <x:f>IF(OR('Detalle'!$G102="",'Detalle'!$H102=""),"",IF(AND(K$8&lt;='Detalle'!$H102,K$9&gt;='Detalle'!$G102),1,""))</x:f>
        <x:v>1</x:v>
      </x:c>
      <x:c r="L200" s="27" t="str">
        <x:f>IF(OR('Detalle'!$G102="",'Detalle'!$H102=""),"",IF(AND(L$8&lt;='Detalle'!$H102,L$9&gt;='Detalle'!$G102),1,""))</x:f>
      </x:c>
      <x:c r="M200" s="27" t="str">
        <x:f>IF(OR('Detalle'!$G102="",'Detalle'!$H102=""),"",IF(AND(M$8&lt;='Detalle'!$H102,M$9&gt;='Detalle'!$G102),1,""))</x:f>
      </x:c>
      <x:c r="N200" s="27" t="str">
        <x:f>IF(OR('Detalle'!$G102="",'Detalle'!$H102=""),"",IF(AND(N$8&lt;='Detalle'!$H102,N$9&gt;='Detalle'!$G102),1,""))</x:f>
      </x:c>
      <x:c r="O200" s="27" t="str">
        <x:f>IF(OR('Detalle'!$G102="",'Detalle'!$H102=""),"",IF(AND(O$8&lt;='Detalle'!$H102,O$9&gt;='Detalle'!$G102),1,""))</x:f>
      </x:c>
      <x:c r="P200" s="27" t="str">
        <x:f>IF(OR('Detalle'!$G102="",'Detalle'!$H102=""),"",IF(AND(P$8&lt;='Detalle'!$H102,P$9&gt;='Detalle'!$G102),1,""))</x:f>
      </x:c>
      <x:c r="Q200" s="27" t="str">
        <x:f>IF(OR('Detalle'!$G102="",'Detalle'!$H102=""),"",IF(AND(Q$8&lt;='Detalle'!$H102,Q$9&gt;='Detalle'!$G102),1,""))</x:f>
      </x:c>
      <x:c r="R200" s="49"/>
      <x:c r="S200" s="30" t="str">
        <x:f>IF('Detalle'!L102="","",'Detalle'!L102)</x:f>
        <x:v>Ximena</x:v>
      </x:c>
      <x:c r="T200" s="30" t="str">
        <x:f>IF('Detalle'!M102="","",'Detalle'!M102)</x:f>
      </x:c>
    </x:row>
    <x:row r="201" ht="17" customHeight="1">
      <x:c r="A201" s="28" t="str">
        <x:v>FE-32</x:v>
      </x:c>
      <x:c r="B201" s="28" t="str">
        <x:v>Recorridos y AR</x:v>
      </x:c>
      <x:c r="C201" s="28" t="str">
        <x:v>Implementar importación GPano y subida reanudable</x:v>
      </x:c>
      <x:c r="D201" s="47" t="str">
        <x:v>R</x:v>
      </x:c>
      <x:c r="E201" s="48" t="n">
        <x:f>IF('Detalle'!J102="","",'Detalle'!J102)</x:f>
        <x:v>1</x:v>
      </x:c>
      <x:c r="F201" s="44" t="str"/>
      <x:c r="G201" s="27" t="str">
        <x:f>IF(AND('Detalle'!$F102="Completado",G200=1),1,"")</x:f>
      </x:c>
      <x:c r="H201" s="27" t="str">
        <x:f>IF(AND('Detalle'!$F102="Completado",H200=1),1,"")</x:f>
      </x:c>
      <x:c r="I201" s="27" t="str">
        <x:f>IF(AND('Detalle'!$F102="Completado",I200=1),1,"")</x:f>
      </x:c>
      <x:c r="J201" s="27" t="str">
        <x:f>IF(AND('Detalle'!$F102="Completado",J200=1),1,"")</x:f>
      </x:c>
      <x:c r="K201" s="27" t="n">
        <x:f>IF(AND('Detalle'!$F102="Completado",K200=1),1,"")</x:f>
        <x:v>1</x:v>
      </x:c>
      <x:c r="L201" s="27" t="str">
        <x:f>IF(AND('Detalle'!$F102="Completado",L200=1),1,"")</x:f>
      </x:c>
      <x:c r="M201" s="27" t="str">
        <x:f>IF(AND('Detalle'!$F102="Completado",M200=1),1,"")</x:f>
      </x:c>
      <x:c r="N201" s="27" t="str">
        <x:f>IF(AND('Detalle'!$F102="Completado",N200=1),1,"")</x:f>
      </x:c>
      <x:c r="O201" s="27" t="str">
        <x:f>IF(AND('Detalle'!$F102="Completado",O200=1),1,"")</x:f>
      </x:c>
      <x:c r="P201" s="27" t="str">
        <x:f>IF(AND('Detalle'!$F102="Completado",P200=1),1,"")</x:f>
      </x:c>
      <x:c r="Q201" s="27" t="str">
        <x:f>IF(AND('Detalle'!$F102="Completado",Q200=1),1,"")</x:f>
      </x:c>
      <x:c r="R201" s="49"/>
      <x:c r="S201" s="30" t="str"/>
      <x:c r="T201" s="30" t="str"/>
    </x:row>
    <x:row r="202" ht="17" customHeight="1">
      <x:c r="A202" s="28" t="str">
        <x:v>FE-33</x:v>
      </x:c>
      <x:c r="B202" s="28" t="str">
        <x:v>Recorridos y AR</x:v>
      </x:c>
      <x:c r="C202" s="28" t="str">
        <x:v>Implementar visor 360° y progreso del recorrido</x:v>
      </x:c>
      <x:c r="D202" s="46" t="str">
        <x:v>E</x:v>
      </x:c>
      <x:c r="E202" s="48" t="n">
        <x:f>IF('Detalle'!I103="","",'Detalle'!I103)</x:f>
        <x:v>1</x:v>
      </x:c>
      <x:c r="F202" s="44" t="str">
        <x:f>IF('Detalle'!F103="","",'Detalle'!F103)</x:f>
        <x:v>Completado</x:v>
      </x:c>
      <x:c r="G202" s="27" t="str">
        <x:f>IF(OR('Detalle'!$G103="",'Detalle'!$H103=""),"",IF(AND(G$8&lt;='Detalle'!$H103,G$9&gt;='Detalle'!$G103),1,""))</x:f>
      </x:c>
      <x:c r="H202" s="27" t="str">
        <x:f>IF(OR('Detalle'!$G103="",'Detalle'!$H103=""),"",IF(AND(H$8&lt;='Detalle'!$H103,H$9&gt;='Detalle'!$G103),1,""))</x:f>
      </x:c>
      <x:c r="I202" s="27" t="str">
        <x:f>IF(OR('Detalle'!$G103="",'Detalle'!$H103=""),"",IF(AND(I$8&lt;='Detalle'!$H103,I$9&gt;='Detalle'!$G103),1,""))</x:f>
      </x:c>
      <x:c r="J202" s="27" t="str">
        <x:f>IF(OR('Detalle'!$G103="",'Detalle'!$H103=""),"",IF(AND(J$8&lt;='Detalle'!$H103,J$9&gt;='Detalle'!$G103),1,""))</x:f>
      </x:c>
      <x:c r="K202" s="27" t="n">
        <x:f>IF(OR('Detalle'!$G103="",'Detalle'!$H103=""),"",IF(AND(K$8&lt;='Detalle'!$H103,K$9&gt;='Detalle'!$G103),1,""))</x:f>
        <x:v>1</x:v>
      </x:c>
      <x:c r="L202" s="27" t="str">
        <x:f>IF(OR('Detalle'!$G103="",'Detalle'!$H103=""),"",IF(AND(L$8&lt;='Detalle'!$H103,L$9&gt;='Detalle'!$G103),1,""))</x:f>
      </x:c>
      <x:c r="M202" s="27" t="str">
        <x:f>IF(OR('Detalle'!$G103="",'Detalle'!$H103=""),"",IF(AND(M$8&lt;='Detalle'!$H103,M$9&gt;='Detalle'!$G103),1,""))</x:f>
      </x:c>
      <x:c r="N202" s="27" t="str">
        <x:f>IF(OR('Detalle'!$G103="",'Detalle'!$H103=""),"",IF(AND(N$8&lt;='Detalle'!$H103,N$9&gt;='Detalle'!$G103),1,""))</x:f>
      </x:c>
      <x:c r="O202" s="27" t="str">
        <x:f>IF(OR('Detalle'!$G103="",'Detalle'!$H103=""),"",IF(AND(O$8&lt;='Detalle'!$H103,O$9&gt;='Detalle'!$G103),1,""))</x:f>
      </x:c>
      <x:c r="P202" s="27" t="str">
        <x:f>IF(OR('Detalle'!$G103="",'Detalle'!$H103=""),"",IF(AND(P$8&lt;='Detalle'!$H103,P$9&gt;='Detalle'!$G103),1,""))</x:f>
      </x:c>
      <x:c r="Q202" s="27" t="str">
        <x:f>IF(OR('Detalle'!$G103="",'Detalle'!$H103=""),"",IF(AND(Q$8&lt;='Detalle'!$H103,Q$9&gt;='Detalle'!$G103),1,""))</x:f>
      </x:c>
      <x:c r="R202" s="49"/>
      <x:c r="S202" s="30" t="str">
        <x:f>IF('Detalle'!L103="","",'Detalle'!L103)</x:f>
        <x:v>Ximena</x:v>
      </x:c>
      <x:c r="T202" s="30" t="str">
        <x:f>IF('Detalle'!M103="","",'Detalle'!M103)</x:f>
      </x:c>
    </x:row>
    <x:row r="203" ht="17" customHeight="1">
      <x:c r="A203" s="28" t="str">
        <x:v>FE-33</x:v>
      </x:c>
      <x:c r="B203" s="28" t="str">
        <x:v>Recorridos y AR</x:v>
      </x:c>
      <x:c r="C203" s="28" t="str">
        <x:v>Implementar visor 360° y progreso del recorrido</x:v>
      </x:c>
      <x:c r="D203" s="47" t="str">
        <x:v>R</x:v>
      </x:c>
      <x:c r="E203" s="48" t="n">
        <x:f>IF('Detalle'!J103="","",'Detalle'!J103)</x:f>
        <x:v>1</x:v>
      </x:c>
      <x:c r="F203" s="44" t="str"/>
      <x:c r="G203" s="27" t="str">
        <x:f>IF(AND('Detalle'!$F103="Completado",G202=1),1,"")</x:f>
      </x:c>
      <x:c r="H203" s="27" t="str">
        <x:f>IF(AND('Detalle'!$F103="Completado",H202=1),1,"")</x:f>
      </x:c>
      <x:c r="I203" s="27" t="str">
        <x:f>IF(AND('Detalle'!$F103="Completado",I202=1),1,"")</x:f>
      </x:c>
      <x:c r="J203" s="27" t="str">
        <x:f>IF(AND('Detalle'!$F103="Completado",J202=1),1,"")</x:f>
      </x:c>
      <x:c r="K203" s="27" t="n">
        <x:f>IF(AND('Detalle'!$F103="Completado",K202=1),1,"")</x:f>
        <x:v>1</x:v>
      </x:c>
      <x:c r="L203" s="27" t="str">
        <x:f>IF(AND('Detalle'!$F103="Completado",L202=1),1,"")</x:f>
      </x:c>
      <x:c r="M203" s="27" t="str">
        <x:f>IF(AND('Detalle'!$F103="Completado",M202=1),1,"")</x:f>
      </x:c>
      <x:c r="N203" s="27" t="str">
        <x:f>IF(AND('Detalle'!$F103="Completado",N202=1),1,"")</x:f>
      </x:c>
      <x:c r="O203" s="27" t="str">
        <x:f>IF(AND('Detalle'!$F103="Completado",O202=1),1,"")</x:f>
      </x:c>
      <x:c r="P203" s="27" t="str">
        <x:f>IF(AND('Detalle'!$F103="Completado",P202=1),1,"")</x:f>
      </x:c>
      <x:c r="Q203" s="27" t="str">
        <x:f>IF(AND('Detalle'!$F103="Completado",Q202=1),1,"")</x:f>
      </x:c>
      <x:c r="R203" s="49"/>
      <x:c r="S203" s="30" t="str"/>
      <x:c r="T203" s="30" t="str"/>
    </x:row>
    <x:row r="204" ht="17" customHeight="1">
      <x:c r="A204" s="28" t="str">
        <x:v>FE-34</x:v>
      </x:c>
      <x:c r="B204" s="28" t="str">
        <x:v>Recorridos y AR</x:v>
      </x:c>
      <x:c r="C204" s="28" t="str">
        <x:v>Integrar reconocimiento y recuperación AR nativos</x:v>
      </x:c>
      <x:c r="D204" s="46" t="str">
        <x:v>E</x:v>
      </x:c>
      <x:c r="E204" s="48" t="n">
        <x:f>IF('Detalle'!I104="","",'Detalle'!I104)</x:f>
        <x:v>3</x:v>
      </x:c>
      <x:c r="F204" s="44" t="str">
        <x:f>IF('Detalle'!F104="","",'Detalle'!F104)</x:f>
        <x:v>WIP</x:v>
      </x:c>
      <x:c r="G204" s="27" t="str">
        <x:f>IF(OR('Detalle'!$G104="",'Detalle'!$H104=""),"",IF(AND(G$8&lt;='Detalle'!$H104,G$9&gt;='Detalle'!$G104),1,""))</x:f>
      </x:c>
      <x:c r="H204" s="27" t="str">
        <x:f>IF(OR('Detalle'!$G104="",'Detalle'!$H104=""),"",IF(AND(H$8&lt;='Detalle'!$H104,H$9&gt;='Detalle'!$G104),1,""))</x:f>
      </x:c>
      <x:c r="I204" s="27" t="str">
        <x:f>IF(OR('Detalle'!$G104="",'Detalle'!$H104=""),"",IF(AND(I$8&lt;='Detalle'!$H104,I$9&gt;='Detalle'!$G104),1,""))</x:f>
      </x:c>
      <x:c r="J204" s="27" t="str">
        <x:f>IF(OR('Detalle'!$G104="",'Detalle'!$H104=""),"",IF(AND(J$8&lt;='Detalle'!$H104,J$9&gt;='Detalle'!$G104),1,""))</x:f>
      </x:c>
      <x:c r="K204" s="27" t="n">
        <x:f>IF(OR('Detalle'!$G104="",'Detalle'!$H104=""),"",IF(AND(K$8&lt;='Detalle'!$H104,K$9&gt;='Detalle'!$G104),1,""))</x:f>
        <x:v>1</x:v>
      </x:c>
      <x:c r="L204" s="27" t="n">
        <x:f>IF(OR('Detalle'!$G104="",'Detalle'!$H104=""),"",IF(AND(L$8&lt;='Detalle'!$H104,L$9&gt;='Detalle'!$G104),1,""))</x:f>
        <x:v>1</x:v>
      </x:c>
      <x:c r="M204" s="27" t="n">
        <x:f>IF(OR('Detalle'!$G104="",'Detalle'!$H104=""),"",IF(AND(M$8&lt;='Detalle'!$H104,M$9&gt;='Detalle'!$G104),1,""))</x:f>
        <x:v>1</x:v>
      </x:c>
      <x:c r="N204" s="27" t="str">
        <x:f>IF(OR('Detalle'!$G104="",'Detalle'!$H104=""),"",IF(AND(N$8&lt;='Detalle'!$H104,N$9&gt;='Detalle'!$G104),1,""))</x:f>
      </x:c>
      <x:c r="O204" s="27" t="str">
        <x:f>IF(OR('Detalle'!$G104="",'Detalle'!$H104=""),"",IF(AND(O$8&lt;='Detalle'!$H104,O$9&gt;='Detalle'!$G104),1,""))</x:f>
      </x:c>
      <x:c r="P204" s="27" t="str">
        <x:f>IF(OR('Detalle'!$G104="",'Detalle'!$H104=""),"",IF(AND(P$8&lt;='Detalle'!$H104,P$9&gt;='Detalle'!$G104),1,""))</x:f>
      </x:c>
      <x:c r="Q204" s="27" t="str">
        <x:f>IF(OR('Detalle'!$G104="",'Detalle'!$H104=""),"",IF(AND(Q$8&lt;='Detalle'!$H104,Q$9&gt;='Detalle'!$G104),1,""))</x:f>
      </x:c>
      <x:c r="R204" s="49"/>
      <x:c r="S204" s="30" t="str">
        <x:f>IF('Detalle'!L104="","",'Detalle'!L104)</x:f>
        <x:v>Santiago</x:v>
      </x:c>
      <x:c r="T204" s="30" t="str">
        <x:f>IF('Detalle'!M104="","",'Detalle'!M104)</x:f>
      </x:c>
    </x:row>
    <x:row r="205" ht="17" customHeight="1">
      <x:c r="A205" s="28" t="str">
        <x:v>FE-34</x:v>
      </x:c>
      <x:c r="B205" s="28" t="str">
        <x:v>Recorridos y AR</x:v>
      </x:c>
      <x:c r="C205" s="28" t="str">
        <x:v>Integrar reconocimiento y recuperación AR nativos</x:v>
      </x:c>
      <x:c r="D205" s="47" t="str">
        <x:v>R</x:v>
      </x:c>
      <x:c r="E205" s="48" t="str">
        <x:f>IF('Detalle'!J104="","",'Detalle'!J104)</x:f>
      </x:c>
      <x:c r="F205" s="44" t="str"/>
      <x:c r="G205" s="27" t="str">
        <x:f>IF(AND('Detalle'!$F104="Completado",G204=1),1,"")</x:f>
      </x:c>
      <x:c r="H205" s="27" t="str">
        <x:f>IF(AND('Detalle'!$F104="Completado",H204=1),1,"")</x:f>
      </x:c>
      <x:c r="I205" s="27" t="str">
        <x:f>IF(AND('Detalle'!$F104="Completado",I204=1),1,"")</x:f>
      </x:c>
      <x:c r="J205" s="27" t="str">
        <x:f>IF(AND('Detalle'!$F104="Completado",J204=1),1,"")</x:f>
      </x:c>
      <x:c r="K205" s="27" t="str">
        <x:f>IF(AND('Detalle'!$F104="Completado",K204=1),1,"")</x:f>
      </x:c>
      <x:c r="L205" s="27" t="str">
        <x:f>IF(AND('Detalle'!$F104="Completado",L204=1),1,"")</x:f>
      </x:c>
      <x:c r="M205" s="27" t="str">
        <x:f>IF(AND('Detalle'!$F104="Completado",M204=1),1,"")</x:f>
      </x:c>
      <x:c r="N205" s="27" t="str">
        <x:f>IF(AND('Detalle'!$F104="Completado",N204=1),1,"")</x:f>
      </x:c>
      <x:c r="O205" s="27" t="str">
        <x:f>IF(AND('Detalle'!$F104="Completado",O204=1),1,"")</x:f>
      </x:c>
      <x:c r="P205" s="27" t="str">
        <x:f>IF(AND('Detalle'!$F104="Completado",P204=1),1,"")</x:f>
      </x:c>
      <x:c r="Q205" s="27" t="str">
        <x:f>IF(AND('Detalle'!$F104="Completado",Q204=1),1,"")</x:f>
      </x:c>
      <x:c r="R205" s="49"/>
      <x:c r="S205" s="30" t="str"/>
      <x:c r="T205" s="30" t="str"/>
    </x:row>
    <x:row r="206" ht="17" customHeight="1">
      <x:c r="A206" s="28" t="str">
        <x:v>FE-35</x:v>
      </x:c>
      <x:c r="B206" s="28" t="str">
        <x:v>Moderación</x:v>
      </x:c>
      <x:c r="C206" s="28" t="str">
        <x:v>Implementar reporte de publicación y misión</x:v>
      </x:c>
      <x:c r="D206" s="46" t="str">
        <x:v>E</x:v>
      </x:c>
      <x:c r="E206" s="48" t="n">
        <x:f>IF('Detalle'!I105="","",'Detalle'!I105)</x:f>
        <x:v>1</x:v>
      </x:c>
      <x:c r="F206" s="44" t="str">
        <x:f>IF('Detalle'!F105="","",'Detalle'!F105)</x:f>
        <x:v>Completado</x:v>
      </x:c>
      <x:c r="G206" s="27" t="str">
        <x:f>IF(OR('Detalle'!$G105="",'Detalle'!$H105=""),"",IF(AND(G$8&lt;='Detalle'!$H105,G$9&gt;='Detalle'!$G105),1,""))</x:f>
      </x:c>
      <x:c r="H206" s="27" t="str">
        <x:f>IF(OR('Detalle'!$G105="",'Detalle'!$H105=""),"",IF(AND(H$8&lt;='Detalle'!$H105,H$9&gt;='Detalle'!$G105),1,""))</x:f>
      </x:c>
      <x:c r="I206" s="27" t="n">
        <x:f>IF(OR('Detalle'!$G105="",'Detalle'!$H105=""),"",IF(AND(I$8&lt;='Detalle'!$H105,I$9&gt;='Detalle'!$G105),1,""))</x:f>
        <x:v>1</x:v>
      </x:c>
      <x:c r="J206" s="27" t="str">
        <x:f>IF(OR('Detalle'!$G105="",'Detalle'!$H105=""),"",IF(AND(J$8&lt;='Detalle'!$H105,J$9&gt;='Detalle'!$G105),1,""))</x:f>
      </x:c>
      <x:c r="K206" s="27" t="str">
        <x:f>IF(OR('Detalle'!$G105="",'Detalle'!$H105=""),"",IF(AND(K$8&lt;='Detalle'!$H105,K$9&gt;='Detalle'!$G105),1,""))</x:f>
      </x:c>
      <x:c r="L206" s="27" t="str">
        <x:f>IF(OR('Detalle'!$G105="",'Detalle'!$H105=""),"",IF(AND(L$8&lt;='Detalle'!$H105,L$9&gt;='Detalle'!$G105),1,""))</x:f>
      </x:c>
      <x:c r="M206" s="27" t="str">
        <x:f>IF(OR('Detalle'!$G105="",'Detalle'!$H105=""),"",IF(AND(M$8&lt;='Detalle'!$H105,M$9&gt;='Detalle'!$G105),1,""))</x:f>
      </x:c>
      <x:c r="N206" s="27" t="str">
        <x:f>IF(OR('Detalle'!$G105="",'Detalle'!$H105=""),"",IF(AND(N$8&lt;='Detalle'!$H105,N$9&gt;='Detalle'!$G105),1,""))</x:f>
      </x:c>
      <x:c r="O206" s="27" t="str">
        <x:f>IF(OR('Detalle'!$G105="",'Detalle'!$H105=""),"",IF(AND(O$8&lt;='Detalle'!$H105,O$9&gt;='Detalle'!$G105),1,""))</x:f>
      </x:c>
      <x:c r="P206" s="27" t="str">
        <x:f>IF(OR('Detalle'!$G105="",'Detalle'!$H105=""),"",IF(AND(P$8&lt;='Detalle'!$H105,P$9&gt;='Detalle'!$G105),1,""))</x:f>
      </x:c>
      <x:c r="Q206" s="27" t="str">
        <x:f>IF(OR('Detalle'!$G105="",'Detalle'!$H105=""),"",IF(AND(Q$8&lt;='Detalle'!$H105,Q$9&gt;='Detalle'!$G105),1,""))</x:f>
      </x:c>
      <x:c r="R206" s="49"/>
      <x:c r="S206" s="30" t="str">
        <x:f>IF('Detalle'!L105="","",'Detalle'!L105)</x:f>
        <x:v>Fatima</x:v>
      </x:c>
      <x:c r="T206" s="30" t="str">
        <x:f>IF('Detalle'!M105="","",'Detalle'!M105)</x:f>
      </x:c>
    </x:row>
    <x:row r="207" ht="17" customHeight="1">
      <x:c r="A207" s="28" t="str">
        <x:v>FE-35</x:v>
      </x:c>
      <x:c r="B207" s="28" t="str">
        <x:v>Moderación</x:v>
      </x:c>
      <x:c r="C207" s="28" t="str">
        <x:v>Implementar reporte de publicación y misión</x:v>
      </x:c>
      <x:c r="D207" s="47" t="str">
        <x:v>R</x:v>
      </x:c>
      <x:c r="E207" s="48" t="n">
        <x:f>IF('Detalle'!J105="","",'Detalle'!J105)</x:f>
        <x:v>1</x:v>
      </x:c>
      <x:c r="F207" s="44" t="str"/>
      <x:c r="G207" s="27" t="str">
        <x:f>IF(AND('Detalle'!$F105="Completado",G206=1),1,"")</x:f>
      </x:c>
      <x:c r="H207" s="27" t="str">
        <x:f>IF(AND('Detalle'!$F105="Completado",H206=1),1,"")</x:f>
      </x:c>
      <x:c r="I207" s="27" t="n">
        <x:f>IF(AND('Detalle'!$F105="Completado",I206=1),1,"")</x:f>
        <x:v>1</x:v>
      </x:c>
      <x:c r="J207" s="27" t="str">
        <x:f>IF(AND('Detalle'!$F105="Completado",J206=1),1,"")</x:f>
      </x:c>
      <x:c r="K207" s="27" t="str">
        <x:f>IF(AND('Detalle'!$F105="Completado",K206=1),1,"")</x:f>
      </x:c>
      <x:c r="L207" s="27" t="str">
        <x:f>IF(AND('Detalle'!$F105="Completado",L206=1),1,"")</x:f>
      </x:c>
      <x:c r="M207" s="27" t="str">
        <x:f>IF(AND('Detalle'!$F105="Completado",M206=1),1,"")</x:f>
      </x:c>
      <x:c r="N207" s="27" t="str">
        <x:f>IF(AND('Detalle'!$F105="Completado",N206=1),1,"")</x:f>
      </x:c>
      <x:c r="O207" s="27" t="str">
        <x:f>IF(AND('Detalle'!$F105="Completado",O206=1),1,"")</x:f>
      </x:c>
      <x:c r="P207" s="27" t="str">
        <x:f>IF(AND('Detalle'!$F105="Completado",P206=1),1,"")</x:f>
      </x:c>
      <x:c r="Q207" s="27" t="str">
        <x:f>IF(AND('Detalle'!$F105="Completado",Q206=1),1,"")</x:f>
      </x:c>
      <x:c r="R207" s="49"/>
      <x:c r="S207" s="30" t="str"/>
      <x:c r="T207" s="30" t="str"/>
    </x:row>
    <x:row r="208" ht="17" customHeight="1">
      <x:c r="A208" s="28" t="str">
        <x:v>FE-36</x:v>
      </x:c>
      <x:c r="B208" s="28" t="str">
        <x:v>Moderación</x:v>
      </x:c>
      <x:c r="C208" s="28" t="str">
        <x:v>Implementar bandeja privada de moderación</x:v>
      </x:c>
      <x:c r="D208" s="46" t="str">
        <x:v>E</x:v>
      </x:c>
      <x:c r="E208" s="48" t="n">
        <x:f>IF('Detalle'!I106="","",'Detalle'!I106)</x:f>
        <x:v>1</x:v>
      </x:c>
      <x:c r="F208" s="44" t="str">
        <x:f>IF('Detalle'!F106="","",'Detalle'!F106)</x:f>
        <x:v>Completado</x:v>
      </x:c>
      <x:c r="G208" s="27" t="str">
        <x:f>IF(OR('Detalle'!$G106="",'Detalle'!$H106=""),"",IF(AND(G$8&lt;='Detalle'!$H106,G$9&gt;='Detalle'!$G106),1,""))</x:f>
      </x:c>
      <x:c r="H208" s="27" t="str">
        <x:f>IF(OR('Detalle'!$G106="",'Detalle'!$H106=""),"",IF(AND(H$8&lt;='Detalle'!$H106,H$9&gt;='Detalle'!$G106),1,""))</x:f>
      </x:c>
      <x:c r="I208" s="27" t="n">
        <x:f>IF(OR('Detalle'!$G106="",'Detalle'!$H106=""),"",IF(AND(I$8&lt;='Detalle'!$H106,I$9&gt;='Detalle'!$G106),1,""))</x:f>
        <x:v>1</x:v>
      </x:c>
      <x:c r="J208" s="27" t="str">
        <x:f>IF(OR('Detalle'!$G106="",'Detalle'!$H106=""),"",IF(AND(J$8&lt;='Detalle'!$H106,J$9&gt;='Detalle'!$G106),1,""))</x:f>
      </x:c>
      <x:c r="K208" s="27" t="str">
        <x:f>IF(OR('Detalle'!$G106="",'Detalle'!$H106=""),"",IF(AND(K$8&lt;='Detalle'!$H106,K$9&gt;='Detalle'!$G106),1,""))</x:f>
      </x:c>
      <x:c r="L208" s="27" t="str">
        <x:f>IF(OR('Detalle'!$G106="",'Detalle'!$H106=""),"",IF(AND(L$8&lt;='Detalle'!$H106,L$9&gt;='Detalle'!$G106),1,""))</x:f>
      </x:c>
      <x:c r="M208" s="27" t="str">
        <x:f>IF(OR('Detalle'!$G106="",'Detalle'!$H106=""),"",IF(AND(M$8&lt;='Detalle'!$H106,M$9&gt;='Detalle'!$G106),1,""))</x:f>
      </x:c>
      <x:c r="N208" s="27" t="str">
        <x:f>IF(OR('Detalle'!$G106="",'Detalle'!$H106=""),"",IF(AND(N$8&lt;='Detalle'!$H106,N$9&gt;='Detalle'!$G106),1,""))</x:f>
      </x:c>
      <x:c r="O208" s="27" t="str">
        <x:f>IF(OR('Detalle'!$G106="",'Detalle'!$H106=""),"",IF(AND(O$8&lt;='Detalle'!$H106,O$9&gt;='Detalle'!$G106),1,""))</x:f>
      </x:c>
      <x:c r="P208" s="27" t="str">
        <x:f>IF(OR('Detalle'!$G106="",'Detalle'!$H106=""),"",IF(AND(P$8&lt;='Detalle'!$H106,P$9&gt;='Detalle'!$G106),1,""))</x:f>
      </x:c>
      <x:c r="Q208" s="27" t="str">
        <x:f>IF(OR('Detalle'!$G106="",'Detalle'!$H106=""),"",IF(AND(Q$8&lt;='Detalle'!$H106,Q$9&gt;='Detalle'!$G106),1,""))</x:f>
      </x:c>
      <x:c r="R208" s="49"/>
      <x:c r="S208" s="30" t="str">
        <x:f>IF('Detalle'!L106="","",'Detalle'!L106)</x:f>
        <x:v>Fatima</x:v>
      </x:c>
      <x:c r="T208" s="30" t="str">
        <x:f>IF('Detalle'!M106="","",'Detalle'!M106)</x:f>
      </x:c>
    </x:row>
    <x:row r="209" ht="17" customHeight="1">
      <x:c r="A209" s="28" t="str">
        <x:v>FE-36</x:v>
      </x:c>
      <x:c r="B209" s="28" t="str">
        <x:v>Moderación</x:v>
      </x:c>
      <x:c r="C209" s="28" t="str">
        <x:v>Implementar bandeja privada de moderación</x:v>
      </x:c>
      <x:c r="D209" s="47" t="str">
        <x:v>R</x:v>
      </x:c>
      <x:c r="E209" s="48" t="n">
        <x:f>IF('Detalle'!J106="","",'Detalle'!J106)</x:f>
        <x:v>1</x:v>
      </x:c>
      <x:c r="F209" s="44" t="str"/>
      <x:c r="G209" s="27" t="str">
        <x:f>IF(AND('Detalle'!$F106="Completado",G208=1),1,"")</x:f>
      </x:c>
      <x:c r="H209" s="27" t="str">
        <x:f>IF(AND('Detalle'!$F106="Completado",H208=1),1,"")</x:f>
      </x:c>
      <x:c r="I209" s="27" t="n">
        <x:f>IF(AND('Detalle'!$F106="Completado",I208=1),1,"")</x:f>
        <x:v>1</x:v>
      </x:c>
      <x:c r="J209" s="27" t="str">
        <x:f>IF(AND('Detalle'!$F106="Completado",J208=1),1,"")</x:f>
      </x:c>
      <x:c r="K209" s="27" t="str">
        <x:f>IF(AND('Detalle'!$F106="Completado",K208=1),1,"")</x:f>
      </x:c>
      <x:c r="L209" s="27" t="str">
        <x:f>IF(AND('Detalle'!$F106="Completado",L208=1),1,"")</x:f>
      </x:c>
      <x:c r="M209" s="27" t="str">
        <x:f>IF(AND('Detalle'!$F106="Completado",M208=1),1,"")</x:f>
      </x:c>
      <x:c r="N209" s="27" t="str">
        <x:f>IF(AND('Detalle'!$F106="Completado",N208=1),1,"")</x:f>
      </x:c>
      <x:c r="O209" s="27" t="str">
        <x:f>IF(AND('Detalle'!$F106="Completado",O208=1),1,"")</x:f>
      </x:c>
      <x:c r="P209" s="27" t="str">
        <x:f>IF(AND('Detalle'!$F106="Completado",P208=1),1,"")</x:f>
      </x:c>
      <x:c r="Q209" s="27" t="str">
        <x:f>IF(AND('Detalle'!$F106="Completado",Q208=1),1,"")</x:f>
      </x:c>
      <x:c r="R209" s="49"/>
      <x:c r="S209" s="30" t="str"/>
      <x:c r="T209" s="30" t="str"/>
    </x:row>
    <x:row r="210" ht="17" customHeight="1">
      <x:c r="A210" s="28" t="str">
        <x:v>FE-37</x:v>
      </x:c>
      <x:c r="B210" s="28" t="str">
        <x:v>Moderación</x:v>
      </x:c>
      <x:c r="C210" s="28" t="str">
        <x:v>Implementar acciones de ocultar y restaurar</x:v>
      </x:c>
      <x:c r="D210" s="46" t="str">
        <x:v>E</x:v>
      </x:c>
      <x:c r="E210" s="48" t="n">
        <x:f>IF('Detalle'!I107="","",'Detalle'!I107)</x:f>
        <x:v>1</x:v>
      </x:c>
      <x:c r="F210" s="44" t="str">
        <x:f>IF('Detalle'!F107="","",'Detalle'!F107)</x:f>
        <x:v>Completado</x:v>
      </x:c>
      <x:c r="G210" s="27" t="str">
        <x:f>IF(OR('Detalle'!$G107="",'Detalle'!$H107=""),"",IF(AND(G$8&lt;='Detalle'!$H107,G$9&gt;='Detalle'!$G107),1,""))</x:f>
      </x:c>
      <x:c r="H210" s="27" t="str">
        <x:f>IF(OR('Detalle'!$G107="",'Detalle'!$H107=""),"",IF(AND(H$8&lt;='Detalle'!$H107,H$9&gt;='Detalle'!$G107),1,""))</x:f>
      </x:c>
      <x:c r="I210" s="27" t="n">
        <x:f>IF(OR('Detalle'!$G107="",'Detalle'!$H107=""),"",IF(AND(I$8&lt;='Detalle'!$H107,I$9&gt;='Detalle'!$G107),1,""))</x:f>
        <x:v>1</x:v>
      </x:c>
      <x:c r="J210" s="27" t="str">
        <x:f>IF(OR('Detalle'!$G107="",'Detalle'!$H107=""),"",IF(AND(J$8&lt;='Detalle'!$H107,J$9&gt;='Detalle'!$G107),1,""))</x:f>
      </x:c>
      <x:c r="K210" s="27" t="str">
        <x:f>IF(OR('Detalle'!$G107="",'Detalle'!$H107=""),"",IF(AND(K$8&lt;='Detalle'!$H107,K$9&gt;='Detalle'!$G107),1,""))</x:f>
      </x:c>
      <x:c r="L210" s="27" t="str">
        <x:f>IF(OR('Detalle'!$G107="",'Detalle'!$H107=""),"",IF(AND(L$8&lt;='Detalle'!$H107,L$9&gt;='Detalle'!$G107),1,""))</x:f>
      </x:c>
      <x:c r="M210" s="27" t="str">
        <x:f>IF(OR('Detalle'!$G107="",'Detalle'!$H107=""),"",IF(AND(M$8&lt;='Detalle'!$H107,M$9&gt;='Detalle'!$G107),1,""))</x:f>
      </x:c>
      <x:c r="N210" s="27" t="str">
        <x:f>IF(OR('Detalle'!$G107="",'Detalle'!$H107=""),"",IF(AND(N$8&lt;='Detalle'!$H107,N$9&gt;='Detalle'!$G107),1,""))</x:f>
      </x:c>
      <x:c r="O210" s="27" t="str">
        <x:f>IF(OR('Detalle'!$G107="",'Detalle'!$H107=""),"",IF(AND(O$8&lt;='Detalle'!$H107,O$9&gt;='Detalle'!$G107),1,""))</x:f>
      </x:c>
      <x:c r="P210" s="27" t="str">
        <x:f>IF(OR('Detalle'!$G107="",'Detalle'!$H107=""),"",IF(AND(P$8&lt;='Detalle'!$H107,P$9&gt;='Detalle'!$G107),1,""))</x:f>
      </x:c>
      <x:c r="Q210" s="27" t="str">
        <x:f>IF(OR('Detalle'!$G107="",'Detalle'!$H107=""),"",IF(AND(Q$8&lt;='Detalle'!$H107,Q$9&gt;='Detalle'!$G107),1,""))</x:f>
      </x:c>
      <x:c r="R210" s="49"/>
      <x:c r="S210" s="30" t="str">
        <x:f>IF('Detalle'!L107="","",'Detalle'!L107)</x:f>
        <x:v>Fatima</x:v>
      </x:c>
      <x:c r="T210" s="30" t="str">
        <x:f>IF('Detalle'!M107="","",'Detalle'!M107)</x:f>
      </x:c>
    </x:row>
    <x:row r="211" ht="17" customHeight="1">
      <x:c r="A211" s="28" t="str">
        <x:v>FE-37</x:v>
      </x:c>
      <x:c r="B211" s="28" t="str">
        <x:v>Moderación</x:v>
      </x:c>
      <x:c r="C211" s="28" t="str">
        <x:v>Implementar acciones de ocultar y restaurar</x:v>
      </x:c>
      <x:c r="D211" s="47" t="str">
        <x:v>R</x:v>
      </x:c>
      <x:c r="E211" s="48" t="n">
        <x:f>IF('Detalle'!J107="","",'Detalle'!J107)</x:f>
        <x:v>1</x:v>
      </x:c>
      <x:c r="F211" s="44" t="str"/>
      <x:c r="G211" s="27" t="str">
        <x:f>IF(AND('Detalle'!$F107="Completado",G210=1),1,"")</x:f>
      </x:c>
      <x:c r="H211" s="27" t="str">
        <x:f>IF(AND('Detalle'!$F107="Completado",H210=1),1,"")</x:f>
      </x:c>
      <x:c r="I211" s="27" t="n">
        <x:f>IF(AND('Detalle'!$F107="Completado",I210=1),1,"")</x:f>
        <x:v>1</x:v>
      </x:c>
      <x:c r="J211" s="27" t="str">
        <x:f>IF(AND('Detalle'!$F107="Completado",J210=1),1,"")</x:f>
      </x:c>
      <x:c r="K211" s="27" t="str">
        <x:f>IF(AND('Detalle'!$F107="Completado",K210=1),1,"")</x:f>
      </x:c>
      <x:c r="L211" s="27" t="str">
        <x:f>IF(AND('Detalle'!$F107="Completado",L210=1),1,"")</x:f>
      </x:c>
      <x:c r="M211" s="27" t="str">
        <x:f>IF(AND('Detalle'!$F107="Completado",M210=1),1,"")</x:f>
      </x:c>
      <x:c r="N211" s="27" t="str">
        <x:f>IF(AND('Detalle'!$F107="Completado",N210=1),1,"")</x:f>
      </x:c>
      <x:c r="O211" s="27" t="str">
        <x:f>IF(AND('Detalle'!$F107="Completado",O210=1),1,"")</x:f>
      </x:c>
      <x:c r="P211" s="27" t="str">
        <x:f>IF(AND('Detalle'!$F107="Completado",P210=1),1,"")</x:f>
      </x:c>
      <x:c r="Q211" s="27" t="str">
        <x:f>IF(AND('Detalle'!$F107="Completado",Q210=1),1,"")</x:f>
      </x:c>
      <x:c r="R211" s="49"/>
      <x:c r="S211" s="30" t="str"/>
      <x:c r="T211" s="30" t="str"/>
    </x:row>
    <x:row r="212" ht="17" customHeight="1">
      <x:c r="A212" s="28" t="str">
        <x:v>FE-38</x:v>
      </x:c>
      <x:c r="B212" s="28" t="str">
        <x:v>Transversal</x:v>
      </x:c>
      <x:c r="C212" s="28" t="str">
        <x:v>Unificar diseño responsivo, skeletons y refresco</x:v>
      </x:c>
      <x:c r="D212" s="46" t="str">
        <x:v>E</x:v>
      </x:c>
      <x:c r="E212" s="48" t="n">
        <x:f>IF('Detalle'!I108="","",'Detalle'!I108)</x:f>
        <x:v>1</x:v>
      </x:c>
      <x:c r="F212" s="44" t="str">
        <x:f>IF('Detalle'!F108="","",'Detalle'!F108)</x:f>
        <x:v>Completado</x:v>
      </x:c>
      <x:c r="G212" s="27" t="str">
        <x:f>IF(OR('Detalle'!$G108="",'Detalle'!$H108=""),"",IF(AND(G$8&lt;='Detalle'!$H108,G$9&gt;='Detalle'!$G108),1,""))</x:f>
      </x:c>
      <x:c r="H212" s="27" t="str">
        <x:f>IF(OR('Detalle'!$G108="",'Detalle'!$H108=""),"",IF(AND(H$8&lt;='Detalle'!$H108,H$9&gt;='Detalle'!$G108),1,""))</x:f>
      </x:c>
      <x:c r="I212" s="27" t="str">
        <x:f>IF(OR('Detalle'!$G108="",'Detalle'!$H108=""),"",IF(AND(I$8&lt;='Detalle'!$H108,I$9&gt;='Detalle'!$G108),1,""))</x:f>
      </x:c>
      <x:c r="J212" s="27" t="str">
        <x:f>IF(OR('Detalle'!$G108="",'Detalle'!$H108=""),"",IF(AND(J$8&lt;='Detalle'!$H108,J$9&gt;='Detalle'!$G108),1,""))</x:f>
      </x:c>
      <x:c r="K212" s="27" t="n">
        <x:f>IF(OR('Detalle'!$G108="",'Detalle'!$H108=""),"",IF(AND(K$8&lt;='Detalle'!$H108,K$9&gt;='Detalle'!$G108),1,""))</x:f>
        <x:v>1</x:v>
      </x:c>
      <x:c r="L212" s="27" t="str">
        <x:f>IF(OR('Detalle'!$G108="",'Detalle'!$H108=""),"",IF(AND(L$8&lt;='Detalle'!$H108,L$9&gt;='Detalle'!$G108),1,""))</x:f>
      </x:c>
      <x:c r="M212" s="27" t="str">
        <x:f>IF(OR('Detalle'!$G108="",'Detalle'!$H108=""),"",IF(AND(M$8&lt;='Detalle'!$H108,M$9&gt;='Detalle'!$G108),1,""))</x:f>
      </x:c>
      <x:c r="N212" s="27" t="str">
        <x:f>IF(OR('Detalle'!$G108="",'Detalle'!$H108=""),"",IF(AND(N$8&lt;='Detalle'!$H108,N$9&gt;='Detalle'!$G108),1,""))</x:f>
      </x:c>
      <x:c r="O212" s="27" t="str">
        <x:f>IF(OR('Detalle'!$G108="",'Detalle'!$H108=""),"",IF(AND(O$8&lt;='Detalle'!$H108,O$9&gt;='Detalle'!$G108),1,""))</x:f>
      </x:c>
      <x:c r="P212" s="27" t="str">
        <x:f>IF(OR('Detalle'!$G108="",'Detalle'!$H108=""),"",IF(AND(P$8&lt;='Detalle'!$H108,P$9&gt;='Detalle'!$G108),1,""))</x:f>
      </x:c>
      <x:c r="Q212" s="27" t="str">
        <x:f>IF(OR('Detalle'!$G108="",'Detalle'!$H108=""),"",IF(AND(Q$8&lt;='Detalle'!$H108,Q$9&gt;='Detalle'!$G108),1,""))</x:f>
      </x:c>
      <x:c r="R212" s="49"/>
      <x:c r="S212" s="30" t="str">
        <x:f>IF('Detalle'!L108="","",'Detalle'!L108)</x:f>
        <x:v>Fatima</x:v>
      </x:c>
      <x:c r="T212" s="30" t="str">
        <x:f>IF('Detalle'!M108="","",'Detalle'!M108)</x:f>
      </x:c>
    </x:row>
    <x:row r="213" ht="17" customHeight="1">
      <x:c r="A213" s="28" t="str">
        <x:v>FE-38</x:v>
      </x:c>
      <x:c r="B213" s="28" t="str">
        <x:v>Transversal</x:v>
      </x:c>
      <x:c r="C213" s="28" t="str">
        <x:v>Unificar diseño responsivo, skeletons y refresco</x:v>
      </x:c>
      <x:c r="D213" s="47" t="str">
        <x:v>R</x:v>
      </x:c>
      <x:c r="E213" s="48" t="n">
        <x:f>IF('Detalle'!J108="","",'Detalle'!J108)</x:f>
        <x:v>1</x:v>
      </x:c>
      <x:c r="F213" s="44" t="str"/>
      <x:c r="G213" s="27" t="str">
        <x:f>IF(AND('Detalle'!$F108="Completado",G212=1),1,"")</x:f>
      </x:c>
      <x:c r="H213" s="27" t="str">
        <x:f>IF(AND('Detalle'!$F108="Completado",H212=1),1,"")</x:f>
      </x:c>
      <x:c r="I213" s="27" t="str">
        <x:f>IF(AND('Detalle'!$F108="Completado",I212=1),1,"")</x:f>
      </x:c>
      <x:c r="J213" s="27" t="str">
        <x:f>IF(AND('Detalle'!$F108="Completado",J212=1),1,"")</x:f>
      </x:c>
      <x:c r="K213" s="27" t="n">
        <x:f>IF(AND('Detalle'!$F108="Completado",K212=1),1,"")</x:f>
        <x:v>1</x:v>
      </x:c>
      <x:c r="L213" s="27" t="str">
        <x:f>IF(AND('Detalle'!$F108="Completado",L212=1),1,"")</x:f>
      </x:c>
      <x:c r="M213" s="27" t="str">
        <x:f>IF(AND('Detalle'!$F108="Completado",M212=1),1,"")</x:f>
      </x:c>
      <x:c r="N213" s="27" t="str">
        <x:f>IF(AND('Detalle'!$F108="Completado",N212=1),1,"")</x:f>
      </x:c>
      <x:c r="O213" s="27" t="str">
        <x:f>IF(AND('Detalle'!$F108="Completado",O212=1),1,"")</x:f>
      </x:c>
      <x:c r="P213" s="27" t="str">
        <x:f>IF(AND('Detalle'!$F108="Completado",P212=1),1,"")</x:f>
      </x:c>
      <x:c r="Q213" s="27" t="str">
        <x:f>IF(AND('Detalle'!$F108="Completado",Q212=1),1,"")</x:f>
      </x:c>
      <x:c r="R213" s="49"/>
      <x:c r="S213" s="30" t="str"/>
      <x:c r="T213" s="30" t="str"/>
    </x:row>
    <x:row r="214" ht="23" customHeight="1">
      <x:c r="A214" s="42" t="str">
        <x:v>QA — Pruebas y Verificación (QA)</x:v>
      </x:c>
      <x:c r="B214" s="42" t="str">
        <x:v>QA — Pruebas y Verificación (QA)</x:v>
      </x:c>
      <x:c r="C214" s="42" t="str">
        <x:v>QA — Pruebas y Verificación (QA)</x:v>
      </x:c>
      <x:c r="D214" s="42" t="str">
        <x:v>QA — Pruebas y Verificación (QA)</x:v>
      </x:c>
      <x:c r="E214" s="42" t="str">
        <x:v>QA — Pruebas y Verificación (QA)</x:v>
      </x:c>
      <x:c r="F214" s="42" t="str">
        <x:v>QA — Pruebas y Verificación (QA)</x:v>
      </x:c>
      <x:c r="G214" s="43" t="str">
        <x:v>QA — Pruebas y Verificación (QA)</x:v>
      </x:c>
      <x:c r="H214" s="43" t="str">
        <x:v>QA — Pruebas y Verificación (QA)</x:v>
      </x:c>
      <x:c r="I214" s="43" t="str">
        <x:v>QA — Pruebas y Verificación (QA)</x:v>
      </x:c>
      <x:c r="J214" s="43" t="str">
        <x:v>QA — Pruebas y Verificación (QA)</x:v>
      </x:c>
      <x:c r="K214" s="43" t="str">
        <x:v>QA — Pruebas y Verificación (QA)</x:v>
      </x:c>
      <x:c r="L214" s="43" t="str">
        <x:v>QA — Pruebas y Verificación (QA)</x:v>
      </x:c>
      <x:c r="M214" s="43" t="str">
        <x:v>QA — Pruebas y Verificación (QA)</x:v>
      </x:c>
      <x:c r="N214" s="43" t="str">
        <x:v>QA — Pruebas y Verificación (QA)</x:v>
      </x:c>
      <x:c r="O214" s="43" t="str">
        <x:v>QA — Pruebas y Verificación (QA)</x:v>
      </x:c>
      <x:c r="P214" s="43" t="str">
        <x:v>QA — Pruebas y Verificación (QA)</x:v>
      </x:c>
      <x:c r="Q214" s="43" t="str">
        <x:v>QA — Pruebas y Verificación (QA)</x:v>
      </x:c>
      <x:c r="R214" s="42" t="str">
        <x:v>QA — Pruebas y Verificación (QA)</x:v>
      </x:c>
      <x:c r="S214" s="42" t="str">
        <x:v>QA — Pruebas y Verificación (QA)</x:v>
      </x:c>
      <x:c r="T214" s="42" t="str">
        <x:v>QA — Pruebas y Verificación (QA)</x:v>
      </x:c>
    </x:row>
    <x:row r="215" ht="17" customHeight="1">
      <x:c r="A215" s="28" t="str">
        <x:v>QA-01</x:v>
      </x:c>
      <x:c r="B215" s="28" t="str">
        <x:v>Autenticación</x:v>
      </x:c>
      <x:c r="C215" s="28" t="str">
        <x:v>Verificar validadores, sesión y guards de acceso</x:v>
      </x:c>
      <x:c r="D215" s="46" t="str">
        <x:v>E</x:v>
      </x:c>
      <x:c r="E215" s="48" t="n">
        <x:f>IF('Detalle'!I109="","",'Detalle'!I109)</x:f>
        <x:v>1</x:v>
      </x:c>
      <x:c r="F215" s="44" t="str">
        <x:f>IF('Detalle'!F109="","",'Detalle'!F109)</x:f>
        <x:v>Completado</x:v>
      </x:c>
      <x:c r="G215" s="27" t="str">
        <x:f>IF(OR('Detalle'!$G109="",'Detalle'!$H109=""),"",IF(AND(G$8&lt;='Detalle'!$H109,G$9&gt;='Detalle'!$G109),1,""))</x:f>
      </x:c>
      <x:c r="H215" s="27" t="str">
        <x:f>IF(OR('Detalle'!$G109="",'Detalle'!$H109=""),"",IF(AND(H$8&lt;='Detalle'!$H109,H$9&gt;='Detalle'!$G109),1,""))</x:f>
      </x:c>
      <x:c r="I215" s="27" t="n">
        <x:f>IF(OR('Detalle'!$G109="",'Detalle'!$H109=""),"",IF(AND(I$8&lt;='Detalle'!$H109,I$9&gt;='Detalle'!$G109),1,""))</x:f>
        <x:v>1</x:v>
      </x:c>
      <x:c r="J215" s="27" t="str">
        <x:f>IF(OR('Detalle'!$G109="",'Detalle'!$H109=""),"",IF(AND(J$8&lt;='Detalle'!$H109,J$9&gt;='Detalle'!$G109),1,""))</x:f>
      </x:c>
      <x:c r="K215" s="27" t="str">
        <x:f>IF(OR('Detalle'!$G109="",'Detalle'!$H109=""),"",IF(AND(K$8&lt;='Detalle'!$H109,K$9&gt;='Detalle'!$G109),1,""))</x:f>
      </x:c>
      <x:c r="L215" s="27" t="str">
        <x:f>IF(OR('Detalle'!$G109="",'Detalle'!$H109=""),"",IF(AND(L$8&lt;='Detalle'!$H109,L$9&gt;='Detalle'!$G109),1,""))</x:f>
      </x:c>
      <x:c r="M215" s="27" t="str">
        <x:f>IF(OR('Detalle'!$G109="",'Detalle'!$H109=""),"",IF(AND(M$8&lt;='Detalle'!$H109,M$9&gt;='Detalle'!$G109),1,""))</x:f>
      </x:c>
      <x:c r="N215" s="27" t="str">
        <x:f>IF(OR('Detalle'!$G109="",'Detalle'!$H109=""),"",IF(AND(N$8&lt;='Detalle'!$H109,N$9&gt;='Detalle'!$G109),1,""))</x:f>
      </x:c>
      <x:c r="O215" s="27" t="str">
        <x:f>IF(OR('Detalle'!$G109="",'Detalle'!$H109=""),"",IF(AND(O$8&lt;='Detalle'!$H109,O$9&gt;='Detalle'!$G109),1,""))</x:f>
      </x:c>
      <x:c r="P215" s="27" t="str">
        <x:f>IF(OR('Detalle'!$G109="",'Detalle'!$H109=""),"",IF(AND(P$8&lt;='Detalle'!$H109,P$9&gt;='Detalle'!$G109),1,""))</x:f>
      </x:c>
      <x:c r="Q215" s="27" t="str">
        <x:f>IF(OR('Detalle'!$G109="",'Detalle'!$H109=""),"",IF(AND(Q$8&lt;='Detalle'!$H109,Q$9&gt;='Detalle'!$G109),1,""))</x:f>
      </x:c>
      <x:c r="R215" s="49"/>
      <x:c r="S215" s="30" t="str">
        <x:f>IF('Detalle'!L109="","",'Detalle'!L109)</x:f>
        <x:v>Fatima</x:v>
      </x:c>
      <x:c r="T215" s="30" t="str">
        <x:f>IF('Detalle'!M109="","",'Detalle'!M109)</x:f>
      </x:c>
    </x:row>
    <x:row r="216" ht="17" customHeight="1">
      <x:c r="A216" s="28" t="str">
        <x:v>QA-01</x:v>
      </x:c>
      <x:c r="B216" s="28" t="str">
        <x:v>Autenticación</x:v>
      </x:c>
      <x:c r="C216" s="28" t="str">
        <x:v>Verificar validadores, sesión y guards de acceso</x:v>
      </x:c>
      <x:c r="D216" s="47" t="str">
        <x:v>R</x:v>
      </x:c>
      <x:c r="E216" s="48" t="n">
        <x:f>IF('Detalle'!J109="","",'Detalle'!J109)</x:f>
        <x:v>1</x:v>
      </x:c>
      <x:c r="F216" s="44" t="str"/>
      <x:c r="G216" s="27" t="str">
        <x:f>IF(AND('Detalle'!$F109="Completado",G215=1),1,"")</x:f>
      </x:c>
      <x:c r="H216" s="27" t="str">
        <x:f>IF(AND('Detalle'!$F109="Completado",H215=1),1,"")</x:f>
      </x:c>
      <x:c r="I216" s="27" t="n">
        <x:f>IF(AND('Detalle'!$F109="Completado",I215=1),1,"")</x:f>
        <x:v>1</x:v>
      </x:c>
      <x:c r="J216" s="27" t="str">
        <x:f>IF(AND('Detalle'!$F109="Completado",J215=1),1,"")</x:f>
      </x:c>
      <x:c r="K216" s="27" t="str">
        <x:f>IF(AND('Detalle'!$F109="Completado",K215=1),1,"")</x:f>
      </x:c>
      <x:c r="L216" s="27" t="str">
        <x:f>IF(AND('Detalle'!$F109="Completado",L215=1),1,"")</x:f>
      </x:c>
      <x:c r="M216" s="27" t="str">
        <x:f>IF(AND('Detalle'!$F109="Completado",M215=1),1,"")</x:f>
      </x:c>
      <x:c r="N216" s="27" t="str">
        <x:f>IF(AND('Detalle'!$F109="Completado",N215=1),1,"")</x:f>
      </x:c>
      <x:c r="O216" s="27" t="str">
        <x:f>IF(AND('Detalle'!$F109="Completado",O215=1),1,"")</x:f>
      </x:c>
      <x:c r="P216" s="27" t="str">
        <x:f>IF(AND('Detalle'!$F109="Completado",P215=1),1,"")</x:f>
      </x:c>
      <x:c r="Q216" s="27" t="str">
        <x:f>IF(AND('Detalle'!$F109="Completado",Q215=1),1,"")</x:f>
      </x:c>
      <x:c r="R216" s="49"/>
      <x:c r="S216" s="30" t="str"/>
      <x:c r="T216" s="30" t="str"/>
    </x:row>
    <x:row r="217" ht="17" customHeight="1">
      <x:c r="A217" s="28" t="str">
        <x:v>QA-02</x:v>
      </x:c>
      <x:c r="B217" s="28" t="str">
        <x:v>Autenticación</x:v>
      </x:c>
      <x:c r="C217" s="28" t="str">
        <x:v>Verificar contrato SQL de consentimientos y privacidad</x:v>
      </x:c>
      <x:c r="D217" s="46" t="str">
        <x:v>E</x:v>
      </x:c>
      <x:c r="E217" s="48" t="n">
        <x:f>IF('Detalle'!I110="","",'Detalle'!I110)</x:f>
        <x:v>1</x:v>
      </x:c>
      <x:c r="F217" s="44" t="str">
        <x:f>IF('Detalle'!F110="","",'Detalle'!F110)</x:f>
        <x:v>Completado</x:v>
      </x:c>
      <x:c r="G217" s="27" t="str">
        <x:f>IF(OR('Detalle'!$G110="",'Detalle'!$H110=""),"",IF(AND(G$8&lt;='Detalle'!$H110,G$9&gt;='Detalle'!$G110),1,""))</x:f>
      </x:c>
      <x:c r="H217" s="27" t="str">
        <x:f>IF(OR('Detalle'!$G110="",'Detalle'!$H110=""),"",IF(AND(H$8&lt;='Detalle'!$H110,H$9&gt;='Detalle'!$G110),1,""))</x:f>
      </x:c>
      <x:c r="I217" s="27" t="n">
        <x:f>IF(OR('Detalle'!$G110="",'Detalle'!$H110=""),"",IF(AND(I$8&lt;='Detalle'!$H110,I$9&gt;='Detalle'!$G110),1,""))</x:f>
        <x:v>1</x:v>
      </x:c>
      <x:c r="J217" s="27" t="str">
        <x:f>IF(OR('Detalle'!$G110="",'Detalle'!$H110=""),"",IF(AND(J$8&lt;='Detalle'!$H110,J$9&gt;='Detalle'!$G110),1,""))</x:f>
      </x:c>
      <x:c r="K217" s="27" t="str">
        <x:f>IF(OR('Detalle'!$G110="",'Detalle'!$H110=""),"",IF(AND(K$8&lt;='Detalle'!$H110,K$9&gt;='Detalle'!$G110),1,""))</x:f>
      </x:c>
      <x:c r="L217" s="27" t="str">
        <x:f>IF(OR('Detalle'!$G110="",'Detalle'!$H110=""),"",IF(AND(L$8&lt;='Detalle'!$H110,L$9&gt;='Detalle'!$G110),1,""))</x:f>
      </x:c>
      <x:c r="M217" s="27" t="str">
        <x:f>IF(OR('Detalle'!$G110="",'Detalle'!$H110=""),"",IF(AND(M$8&lt;='Detalle'!$H110,M$9&gt;='Detalle'!$G110),1,""))</x:f>
      </x:c>
      <x:c r="N217" s="27" t="str">
        <x:f>IF(OR('Detalle'!$G110="",'Detalle'!$H110=""),"",IF(AND(N$8&lt;='Detalle'!$H110,N$9&gt;='Detalle'!$G110),1,""))</x:f>
      </x:c>
      <x:c r="O217" s="27" t="str">
        <x:f>IF(OR('Detalle'!$G110="",'Detalle'!$H110=""),"",IF(AND(O$8&lt;='Detalle'!$H110,O$9&gt;='Detalle'!$G110),1,""))</x:f>
      </x:c>
      <x:c r="P217" s="27" t="str">
        <x:f>IF(OR('Detalle'!$G110="",'Detalle'!$H110=""),"",IF(AND(P$8&lt;='Detalle'!$H110,P$9&gt;='Detalle'!$G110),1,""))</x:f>
      </x:c>
      <x:c r="Q217" s="27" t="str">
        <x:f>IF(OR('Detalle'!$G110="",'Detalle'!$H110=""),"",IF(AND(Q$8&lt;='Detalle'!$H110,Q$9&gt;='Detalle'!$G110),1,""))</x:f>
      </x:c>
      <x:c r="R217" s="49"/>
      <x:c r="S217" s="30" t="str">
        <x:f>IF('Detalle'!L110="","",'Detalle'!L110)</x:f>
        <x:v>Alan</x:v>
      </x:c>
      <x:c r="T217" s="30" t="str">
        <x:f>IF('Detalle'!M110="","",'Detalle'!M110)</x:f>
      </x:c>
    </x:row>
    <x:row r="218" ht="17" customHeight="1">
      <x:c r="A218" s="28" t="str">
        <x:v>QA-02</x:v>
      </x:c>
      <x:c r="B218" s="28" t="str">
        <x:v>Autenticación</x:v>
      </x:c>
      <x:c r="C218" s="28" t="str">
        <x:v>Verificar contrato SQL de consentimientos y privacidad</x:v>
      </x:c>
      <x:c r="D218" s="47" t="str">
        <x:v>R</x:v>
      </x:c>
      <x:c r="E218" s="48" t="n">
        <x:f>IF('Detalle'!J110="","",'Detalle'!J110)</x:f>
        <x:v>1</x:v>
      </x:c>
      <x:c r="F218" s="44" t="str"/>
      <x:c r="G218" s="27" t="str">
        <x:f>IF(AND('Detalle'!$F110="Completado",G217=1),1,"")</x:f>
      </x:c>
      <x:c r="H218" s="27" t="str">
        <x:f>IF(AND('Detalle'!$F110="Completado",H217=1),1,"")</x:f>
      </x:c>
      <x:c r="I218" s="27" t="n">
        <x:f>IF(AND('Detalle'!$F110="Completado",I217=1),1,"")</x:f>
        <x:v>1</x:v>
      </x:c>
      <x:c r="J218" s="27" t="str">
        <x:f>IF(AND('Detalle'!$F110="Completado",J217=1),1,"")</x:f>
      </x:c>
      <x:c r="K218" s="27" t="str">
        <x:f>IF(AND('Detalle'!$F110="Completado",K217=1),1,"")</x:f>
      </x:c>
      <x:c r="L218" s="27" t="str">
        <x:f>IF(AND('Detalle'!$F110="Completado",L217=1),1,"")</x:f>
      </x:c>
      <x:c r="M218" s="27" t="str">
        <x:f>IF(AND('Detalle'!$F110="Completado",M217=1),1,"")</x:f>
      </x:c>
      <x:c r="N218" s="27" t="str">
        <x:f>IF(AND('Detalle'!$F110="Completado",N217=1),1,"")</x:f>
      </x:c>
      <x:c r="O218" s="27" t="str">
        <x:f>IF(AND('Detalle'!$F110="Completado",O217=1),1,"")</x:f>
      </x:c>
      <x:c r="P218" s="27" t="str">
        <x:f>IF(AND('Detalle'!$F110="Completado",P217=1),1,"")</x:f>
      </x:c>
      <x:c r="Q218" s="27" t="str">
        <x:f>IF(AND('Detalle'!$F110="Completado",Q217=1),1,"")</x:f>
      </x:c>
      <x:c r="R218" s="49"/>
      <x:c r="S218" s="30" t="str"/>
      <x:c r="T218" s="30" t="str"/>
    </x:row>
    <x:row r="219" ht="17" customHeight="1">
      <x:c r="A219" s="28" t="str">
        <x:v>QA-03</x:v>
      </x:c>
      <x:c r="B219" s="28" t="str">
        <x:v>Perfil y cuenta</x:v>
      </x:c>
      <x:c r="C219" s="28" t="str">
        <x:v>Verificar widgets y tipos de perfil</x:v>
      </x:c>
      <x:c r="D219" s="46" t="str">
        <x:v>E</x:v>
      </x:c>
      <x:c r="E219" s="48" t="n">
        <x:f>IF('Detalle'!I111="","",'Detalle'!I111)</x:f>
        <x:v>1</x:v>
      </x:c>
      <x:c r="F219" s="44" t="str">
        <x:f>IF('Detalle'!F111="","",'Detalle'!F111)</x:f>
        <x:v>Completado</x:v>
      </x:c>
      <x:c r="G219" s="27" t="str">
        <x:f>IF(OR('Detalle'!$G111="",'Detalle'!$H111=""),"",IF(AND(G$8&lt;='Detalle'!$H111,G$9&gt;='Detalle'!$G111),1,""))</x:f>
      </x:c>
      <x:c r="H219" s="27" t="str">
        <x:f>IF(OR('Detalle'!$G111="",'Detalle'!$H111=""),"",IF(AND(H$8&lt;='Detalle'!$H111,H$9&gt;='Detalle'!$G111),1,""))</x:f>
      </x:c>
      <x:c r="I219" s="27" t="str">
        <x:f>IF(OR('Detalle'!$G111="",'Detalle'!$H111=""),"",IF(AND(I$8&lt;='Detalle'!$H111,I$9&gt;='Detalle'!$G111),1,""))</x:f>
      </x:c>
      <x:c r="J219" s="27" t="n">
        <x:f>IF(OR('Detalle'!$G111="",'Detalle'!$H111=""),"",IF(AND(J$8&lt;='Detalle'!$H111,J$9&gt;='Detalle'!$G111),1,""))</x:f>
        <x:v>1</x:v>
      </x:c>
      <x:c r="K219" s="27" t="str">
        <x:f>IF(OR('Detalle'!$G111="",'Detalle'!$H111=""),"",IF(AND(K$8&lt;='Detalle'!$H111,K$9&gt;='Detalle'!$G111),1,""))</x:f>
      </x:c>
      <x:c r="L219" s="27" t="str">
        <x:f>IF(OR('Detalle'!$G111="",'Detalle'!$H111=""),"",IF(AND(L$8&lt;='Detalle'!$H111,L$9&gt;='Detalle'!$G111),1,""))</x:f>
      </x:c>
      <x:c r="M219" s="27" t="str">
        <x:f>IF(OR('Detalle'!$G111="",'Detalle'!$H111=""),"",IF(AND(M$8&lt;='Detalle'!$H111,M$9&gt;='Detalle'!$G111),1,""))</x:f>
      </x:c>
      <x:c r="N219" s="27" t="str">
        <x:f>IF(OR('Detalle'!$G111="",'Detalle'!$H111=""),"",IF(AND(N$8&lt;='Detalle'!$H111,N$9&gt;='Detalle'!$G111),1,""))</x:f>
      </x:c>
      <x:c r="O219" s="27" t="str">
        <x:f>IF(OR('Detalle'!$G111="",'Detalle'!$H111=""),"",IF(AND(O$8&lt;='Detalle'!$H111,O$9&gt;='Detalle'!$G111),1,""))</x:f>
      </x:c>
      <x:c r="P219" s="27" t="str">
        <x:f>IF(OR('Detalle'!$G111="",'Detalle'!$H111=""),"",IF(AND(P$8&lt;='Detalle'!$H111,P$9&gt;='Detalle'!$G111),1,""))</x:f>
      </x:c>
      <x:c r="Q219" s="27" t="str">
        <x:f>IF(OR('Detalle'!$G111="",'Detalle'!$H111=""),"",IF(AND(Q$8&lt;='Detalle'!$H111,Q$9&gt;='Detalle'!$G111),1,""))</x:f>
      </x:c>
      <x:c r="R219" s="49"/>
      <x:c r="S219" s="30" t="str">
        <x:f>IF('Detalle'!L111="","",'Detalle'!L111)</x:f>
        <x:v>Fatima</x:v>
      </x:c>
      <x:c r="T219" s="30" t="str">
        <x:f>IF('Detalle'!M111="","",'Detalle'!M111)</x:f>
      </x:c>
    </x:row>
    <x:row r="220" ht="17" customHeight="1">
      <x:c r="A220" s="28" t="str">
        <x:v>QA-03</x:v>
      </x:c>
      <x:c r="B220" s="28" t="str">
        <x:v>Perfil y cuenta</x:v>
      </x:c>
      <x:c r="C220" s="28" t="str">
        <x:v>Verificar widgets y tipos de perfil</x:v>
      </x:c>
      <x:c r="D220" s="47" t="str">
        <x:v>R</x:v>
      </x:c>
      <x:c r="E220" s="48" t="n">
        <x:f>IF('Detalle'!J111="","",'Detalle'!J111)</x:f>
        <x:v>1</x:v>
      </x:c>
      <x:c r="F220" s="44" t="str"/>
      <x:c r="G220" s="27" t="str">
        <x:f>IF(AND('Detalle'!$F111="Completado",G219=1),1,"")</x:f>
      </x:c>
      <x:c r="H220" s="27" t="str">
        <x:f>IF(AND('Detalle'!$F111="Completado",H219=1),1,"")</x:f>
      </x:c>
      <x:c r="I220" s="27" t="str">
        <x:f>IF(AND('Detalle'!$F111="Completado",I219=1),1,"")</x:f>
      </x:c>
      <x:c r="J220" s="27" t="n">
        <x:f>IF(AND('Detalle'!$F111="Completado",J219=1),1,"")</x:f>
        <x:v>1</x:v>
      </x:c>
      <x:c r="K220" s="27" t="str">
        <x:f>IF(AND('Detalle'!$F111="Completado",K219=1),1,"")</x:f>
      </x:c>
      <x:c r="L220" s="27" t="str">
        <x:f>IF(AND('Detalle'!$F111="Completado",L219=1),1,"")</x:f>
      </x:c>
      <x:c r="M220" s="27" t="str">
        <x:f>IF(AND('Detalle'!$F111="Completado",M219=1),1,"")</x:f>
      </x:c>
      <x:c r="N220" s="27" t="str">
        <x:f>IF(AND('Detalle'!$F111="Completado",N219=1),1,"")</x:f>
      </x:c>
      <x:c r="O220" s="27" t="str">
        <x:f>IF(AND('Detalle'!$F111="Completado",O219=1),1,"")</x:f>
      </x:c>
      <x:c r="P220" s="27" t="str">
        <x:f>IF(AND('Detalle'!$F111="Completado",P219=1),1,"")</x:f>
      </x:c>
      <x:c r="Q220" s="27" t="str">
        <x:f>IF(AND('Detalle'!$F111="Completado",Q219=1),1,"")</x:f>
      </x:c>
      <x:c r="R220" s="49"/>
      <x:c r="S220" s="30" t="str"/>
      <x:c r="T220" s="30" t="str"/>
    </x:row>
    <x:row r="221" ht="17" customHeight="1">
      <x:c r="A221" s="28" t="str">
        <x:v>QA-04</x:v>
      </x:c>
      <x:c r="B221" s="28" t="str">
        <x:v>Comunidad</x:v>
      </x:c>
      <x:c r="C221" s="28" t="str">
        <x:v>Verificar comentarios, reacciones y guardados</x:v>
      </x:c>
      <x:c r="D221" s="46" t="str">
        <x:v>E</x:v>
      </x:c>
      <x:c r="E221" s="48" t="n">
        <x:f>IF('Detalle'!I112="","",'Detalle'!I112)</x:f>
        <x:v>1</x:v>
      </x:c>
      <x:c r="F221" s="44" t="str">
        <x:f>IF('Detalle'!F112="","",'Detalle'!F112)</x:f>
        <x:v>Completado</x:v>
      </x:c>
      <x:c r="G221" s="27" t="str">
        <x:f>IF(OR('Detalle'!$G112="",'Detalle'!$H112=""),"",IF(AND(G$8&lt;='Detalle'!$H112,G$9&gt;='Detalle'!$G112),1,""))</x:f>
      </x:c>
      <x:c r="H221" s="27" t="str">
        <x:f>IF(OR('Detalle'!$G112="",'Detalle'!$H112=""),"",IF(AND(H$8&lt;='Detalle'!$H112,H$9&gt;='Detalle'!$G112),1,""))</x:f>
      </x:c>
      <x:c r="I221" s="27" t="str">
        <x:f>IF(OR('Detalle'!$G112="",'Detalle'!$H112=""),"",IF(AND(I$8&lt;='Detalle'!$H112,I$9&gt;='Detalle'!$G112),1,""))</x:f>
      </x:c>
      <x:c r="J221" s="27" t="n">
        <x:f>IF(OR('Detalle'!$G112="",'Detalle'!$H112=""),"",IF(AND(J$8&lt;='Detalle'!$H112,J$9&gt;='Detalle'!$G112),1,""))</x:f>
        <x:v>1</x:v>
      </x:c>
      <x:c r="K221" s="27" t="str">
        <x:f>IF(OR('Detalle'!$G112="",'Detalle'!$H112=""),"",IF(AND(K$8&lt;='Detalle'!$H112,K$9&gt;='Detalle'!$G112),1,""))</x:f>
      </x:c>
      <x:c r="L221" s="27" t="str">
        <x:f>IF(OR('Detalle'!$G112="",'Detalle'!$H112=""),"",IF(AND(L$8&lt;='Detalle'!$H112,L$9&gt;='Detalle'!$G112),1,""))</x:f>
      </x:c>
      <x:c r="M221" s="27" t="str">
        <x:f>IF(OR('Detalle'!$G112="",'Detalle'!$H112=""),"",IF(AND(M$8&lt;='Detalle'!$H112,M$9&gt;='Detalle'!$G112),1,""))</x:f>
      </x:c>
      <x:c r="N221" s="27" t="str">
        <x:f>IF(OR('Detalle'!$G112="",'Detalle'!$H112=""),"",IF(AND(N$8&lt;='Detalle'!$H112,N$9&gt;='Detalle'!$G112),1,""))</x:f>
      </x:c>
      <x:c r="O221" s="27" t="str">
        <x:f>IF(OR('Detalle'!$G112="",'Detalle'!$H112=""),"",IF(AND(O$8&lt;='Detalle'!$H112,O$9&gt;='Detalle'!$G112),1,""))</x:f>
      </x:c>
      <x:c r="P221" s="27" t="str">
        <x:f>IF(OR('Detalle'!$G112="",'Detalle'!$H112=""),"",IF(AND(P$8&lt;='Detalle'!$H112,P$9&gt;='Detalle'!$G112),1,""))</x:f>
      </x:c>
      <x:c r="Q221" s="27" t="str">
        <x:f>IF(OR('Detalle'!$G112="",'Detalle'!$H112=""),"",IF(AND(Q$8&lt;='Detalle'!$H112,Q$9&gt;='Detalle'!$G112),1,""))</x:f>
      </x:c>
      <x:c r="R221" s="49"/>
      <x:c r="S221" s="30" t="str">
        <x:f>IF('Detalle'!L112="","",'Detalle'!L112)</x:f>
        <x:v>Alan</x:v>
      </x:c>
      <x:c r="T221" s="30" t="str">
        <x:f>IF('Detalle'!M112="","",'Detalle'!M112)</x:f>
      </x:c>
    </x:row>
    <x:row r="222" ht="17" customHeight="1">
      <x:c r="A222" s="28" t="str">
        <x:v>QA-04</x:v>
      </x:c>
      <x:c r="B222" s="28" t="str">
        <x:v>Comunidad</x:v>
      </x:c>
      <x:c r="C222" s="28" t="str">
        <x:v>Verificar comentarios, reacciones y guardados</x:v>
      </x:c>
      <x:c r="D222" s="47" t="str">
        <x:v>R</x:v>
      </x:c>
      <x:c r="E222" s="48" t="n">
        <x:f>IF('Detalle'!J112="","",'Detalle'!J112)</x:f>
        <x:v>1</x:v>
      </x:c>
      <x:c r="F222" s="44" t="str"/>
      <x:c r="G222" s="27" t="str">
        <x:f>IF(AND('Detalle'!$F112="Completado",G221=1),1,"")</x:f>
      </x:c>
      <x:c r="H222" s="27" t="str">
        <x:f>IF(AND('Detalle'!$F112="Completado",H221=1),1,"")</x:f>
      </x:c>
      <x:c r="I222" s="27" t="str">
        <x:f>IF(AND('Detalle'!$F112="Completado",I221=1),1,"")</x:f>
      </x:c>
      <x:c r="J222" s="27" t="n">
        <x:f>IF(AND('Detalle'!$F112="Completado",J221=1),1,"")</x:f>
        <x:v>1</x:v>
      </x:c>
      <x:c r="K222" s="27" t="str">
        <x:f>IF(AND('Detalle'!$F112="Completado",K221=1),1,"")</x:f>
      </x:c>
      <x:c r="L222" s="27" t="str">
        <x:f>IF(AND('Detalle'!$F112="Completado",L221=1),1,"")</x:f>
      </x:c>
      <x:c r="M222" s="27" t="str">
        <x:f>IF(AND('Detalle'!$F112="Completado",M221=1),1,"")</x:f>
      </x:c>
      <x:c r="N222" s="27" t="str">
        <x:f>IF(AND('Detalle'!$F112="Completado",N221=1),1,"")</x:f>
      </x:c>
      <x:c r="O222" s="27" t="str">
        <x:f>IF(AND('Detalle'!$F112="Completado",O221=1),1,"")</x:f>
      </x:c>
      <x:c r="P222" s="27" t="str">
        <x:f>IF(AND('Detalle'!$F112="Completado",P221=1),1,"")</x:f>
      </x:c>
      <x:c r="Q222" s="27" t="str">
        <x:f>IF(AND('Detalle'!$F112="Completado",Q221=1),1,"")</x:f>
      </x:c>
      <x:c r="R222" s="49"/>
      <x:c r="S222" s="30" t="str"/>
      <x:c r="T222" s="30" t="str"/>
    </x:row>
    <x:row r="223" ht="17" customHeight="1">
      <x:c r="A223" s="28" t="str">
        <x:v>QA-05</x:v>
      </x:c>
      <x:c r="B223" s="28" t="str">
        <x:v>Comunidad</x:v>
      </x:c>
      <x:c r="C223" s="28" t="str">
        <x:v>Verificar regresión de la interfaz v7</x:v>
      </x:c>
      <x:c r="D223" s="46" t="str">
        <x:v>E</x:v>
      </x:c>
      <x:c r="E223" s="48" t="n">
        <x:f>IF('Detalle'!I113="","",'Detalle'!I113)</x:f>
        <x:v>1</x:v>
      </x:c>
      <x:c r="F223" s="44" t="str">
        <x:f>IF('Detalle'!F113="","",'Detalle'!F113)</x:f>
        <x:v>Completado</x:v>
      </x:c>
      <x:c r="G223" s="27" t="str">
        <x:f>IF(OR('Detalle'!$G113="",'Detalle'!$H113=""),"",IF(AND(G$8&lt;='Detalle'!$H113,G$9&gt;='Detalle'!$G113),1,""))</x:f>
      </x:c>
      <x:c r="H223" s="27" t="str">
        <x:f>IF(OR('Detalle'!$G113="",'Detalle'!$H113=""),"",IF(AND(H$8&lt;='Detalle'!$H113,H$9&gt;='Detalle'!$G113),1,""))</x:f>
      </x:c>
      <x:c r="I223" s="27" t="str">
        <x:f>IF(OR('Detalle'!$G113="",'Detalle'!$H113=""),"",IF(AND(I$8&lt;='Detalle'!$H113,I$9&gt;='Detalle'!$G113),1,""))</x:f>
      </x:c>
      <x:c r="J223" s="27" t="n">
        <x:f>IF(OR('Detalle'!$G113="",'Detalle'!$H113=""),"",IF(AND(J$8&lt;='Detalle'!$H113,J$9&gt;='Detalle'!$G113),1,""))</x:f>
        <x:v>1</x:v>
      </x:c>
      <x:c r="K223" s="27" t="str">
        <x:f>IF(OR('Detalle'!$G113="",'Detalle'!$H113=""),"",IF(AND(K$8&lt;='Detalle'!$H113,K$9&gt;='Detalle'!$G113),1,""))</x:f>
      </x:c>
      <x:c r="L223" s="27" t="str">
        <x:f>IF(OR('Detalle'!$G113="",'Detalle'!$H113=""),"",IF(AND(L$8&lt;='Detalle'!$H113,L$9&gt;='Detalle'!$G113),1,""))</x:f>
      </x:c>
      <x:c r="M223" s="27" t="str">
        <x:f>IF(OR('Detalle'!$G113="",'Detalle'!$H113=""),"",IF(AND(M$8&lt;='Detalle'!$H113,M$9&gt;='Detalle'!$G113),1,""))</x:f>
      </x:c>
      <x:c r="N223" s="27" t="str">
        <x:f>IF(OR('Detalle'!$G113="",'Detalle'!$H113=""),"",IF(AND(N$8&lt;='Detalle'!$H113,N$9&gt;='Detalle'!$G113),1,""))</x:f>
      </x:c>
      <x:c r="O223" s="27" t="str">
        <x:f>IF(OR('Detalle'!$G113="",'Detalle'!$H113=""),"",IF(AND(O$8&lt;='Detalle'!$H113,O$9&gt;='Detalle'!$G113),1,""))</x:f>
      </x:c>
      <x:c r="P223" s="27" t="str">
        <x:f>IF(OR('Detalle'!$G113="",'Detalle'!$H113=""),"",IF(AND(P$8&lt;='Detalle'!$H113,P$9&gt;='Detalle'!$G113),1,""))</x:f>
      </x:c>
      <x:c r="Q223" s="27" t="str">
        <x:f>IF(OR('Detalle'!$G113="",'Detalle'!$H113=""),"",IF(AND(Q$8&lt;='Detalle'!$H113,Q$9&gt;='Detalle'!$G113),1,""))</x:f>
      </x:c>
      <x:c r="R223" s="49"/>
      <x:c r="S223" s="30" t="str">
        <x:f>IF('Detalle'!L113="","",'Detalle'!L113)</x:f>
        <x:v>Fatima</x:v>
      </x:c>
      <x:c r="T223" s="30" t="str">
        <x:f>IF('Detalle'!M113="","",'Detalle'!M113)</x:f>
      </x:c>
    </x:row>
    <x:row r="224" ht="17" customHeight="1">
      <x:c r="A224" s="28" t="str">
        <x:v>QA-05</x:v>
      </x:c>
      <x:c r="B224" s="28" t="str">
        <x:v>Comunidad</x:v>
      </x:c>
      <x:c r="C224" s="28" t="str">
        <x:v>Verificar regresión de la interfaz v7</x:v>
      </x:c>
      <x:c r="D224" s="47" t="str">
        <x:v>R</x:v>
      </x:c>
      <x:c r="E224" s="48" t="n">
        <x:f>IF('Detalle'!J113="","",'Detalle'!J113)</x:f>
        <x:v>1</x:v>
      </x:c>
      <x:c r="F224" s="44" t="str"/>
      <x:c r="G224" s="27" t="str">
        <x:f>IF(AND('Detalle'!$F113="Completado",G223=1),1,"")</x:f>
      </x:c>
      <x:c r="H224" s="27" t="str">
        <x:f>IF(AND('Detalle'!$F113="Completado",H223=1),1,"")</x:f>
      </x:c>
      <x:c r="I224" s="27" t="str">
        <x:f>IF(AND('Detalle'!$F113="Completado",I223=1),1,"")</x:f>
      </x:c>
      <x:c r="J224" s="27" t="n">
        <x:f>IF(AND('Detalle'!$F113="Completado",J223=1),1,"")</x:f>
        <x:v>1</x:v>
      </x:c>
      <x:c r="K224" s="27" t="str">
        <x:f>IF(AND('Detalle'!$F113="Completado",K223=1),1,"")</x:f>
      </x:c>
      <x:c r="L224" s="27" t="str">
        <x:f>IF(AND('Detalle'!$F113="Completado",L223=1),1,"")</x:f>
      </x:c>
      <x:c r="M224" s="27" t="str">
        <x:f>IF(AND('Detalle'!$F113="Completado",M223=1),1,"")</x:f>
      </x:c>
      <x:c r="N224" s="27" t="str">
        <x:f>IF(AND('Detalle'!$F113="Completado",N223=1),1,"")</x:f>
      </x:c>
      <x:c r="O224" s="27" t="str">
        <x:f>IF(AND('Detalle'!$F113="Completado",O223=1),1,"")</x:f>
      </x:c>
      <x:c r="P224" s="27" t="str">
        <x:f>IF(AND('Detalle'!$F113="Completado",P223=1),1,"")</x:f>
      </x:c>
      <x:c r="Q224" s="27" t="str">
        <x:f>IF(AND('Detalle'!$F113="Completado",Q223=1),1,"")</x:f>
      </x:c>
      <x:c r="R224" s="49"/>
      <x:c r="S224" s="30" t="str"/>
      <x:c r="T224" s="30" t="str"/>
    </x:row>
    <x:row r="225" ht="17" customHeight="1">
      <x:c r="A225" s="28" t="str">
        <x:v>QA-06</x:v>
      </x:c>
      <x:c r="B225" s="28" t="str">
        <x:v>Misiones</x:v>
      </x:c>
      <x:c r="C225" s="28" t="str">
        <x:v>Ejecutar comprobaciones SQL de misiones</x:v>
      </x:c>
      <x:c r="D225" s="46" t="str">
        <x:v>E</x:v>
      </x:c>
      <x:c r="E225" s="48" t="n">
        <x:f>IF('Detalle'!I114="","",'Detalle'!I114)</x:f>
        <x:v>1</x:v>
      </x:c>
      <x:c r="F225" s="44" t="str">
        <x:f>IF('Detalle'!F114="","",'Detalle'!F114)</x:f>
        <x:v>Completado</x:v>
      </x:c>
      <x:c r="G225" s="27" t="str">
        <x:f>IF(OR('Detalle'!$G114="",'Detalle'!$H114=""),"",IF(AND(G$8&lt;='Detalle'!$H114,G$9&gt;='Detalle'!$G114),1,""))</x:f>
      </x:c>
      <x:c r="H225" s="27" t="str">
        <x:f>IF(OR('Detalle'!$G114="",'Detalle'!$H114=""),"",IF(AND(H$8&lt;='Detalle'!$H114,H$9&gt;='Detalle'!$G114),1,""))</x:f>
      </x:c>
      <x:c r="I225" s="27" t="str">
        <x:f>IF(OR('Detalle'!$G114="",'Detalle'!$H114=""),"",IF(AND(I$8&lt;='Detalle'!$H114,I$9&gt;='Detalle'!$G114),1,""))</x:f>
      </x:c>
      <x:c r="J225" s="27" t="n">
        <x:f>IF(OR('Detalle'!$G114="",'Detalle'!$H114=""),"",IF(AND(J$8&lt;='Detalle'!$H114,J$9&gt;='Detalle'!$G114),1,""))</x:f>
        <x:v>1</x:v>
      </x:c>
      <x:c r="K225" s="27" t="str">
        <x:f>IF(OR('Detalle'!$G114="",'Detalle'!$H114=""),"",IF(AND(K$8&lt;='Detalle'!$H114,K$9&gt;='Detalle'!$G114),1,""))</x:f>
      </x:c>
      <x:c r="L225" s="27" t="str">
        <x:f>IF(OR('Detalle'!$G114="",'Detalle'!$H114=""),"",IF(AND(L$8&lt;='Detalle'!$H114,L$9&gt;='Detalle'!$G114),1,""))</x:f>
      </x:c>
      <x:c r="M225" s="27" t="str">
        <x:f>IF(OR('Detalle'!$G114="",'Detalle'!$H114=""),"",IF(AND(M$8&lt;='Detalle'!$H114,M$9&gt;='Detalle'!$G114),1,""))</x:f>
      </x:c>
      <x:c r="N225" s="27" t="str">
        <x:f>IF(OR('Detalle'!$G114="",'Detalle'!$H114=""),"",IF(AND(N$8&lt;='Detalle'!$H114,N$9&gt;='Detalle'!$G114),1,""))</x:f>
      </x:c>
      <x:c r="O225" s="27" t="str">
        <x:f>IF(OR('Detalle'!$G114="",'Detalle'!$H114=""),"",IF(AND(O$8&lt;='Detalle'!$H114,O$9&gt;='Detalle'!$G114),1,""))</x:f>
      </x:c>
      <x:c r="P225" s="27" t="str">
        <x:f>IF(OR('Detalle'!$G114="",'Detalle'!$H114=""),"",IF(AND(P$8&lt;='Detalle'!$H114,P$9&gt;='Detalle'!$G114),1,""))</x:f>
      </x:c>
      <x:c r="Q225" s="27" t="str">
        <x:f>IF(OR('Detalle'!$G114="",'Detalle'!$H114=""),"",IF(AND(Q$8&lt;='Detalle'!$H114,Q$9&gt;='Detalle'!$G114),1,""))</x:f>
      </x:c>
      <x:c r="R225" s="49"/>
      <x:c r="S225" s="30" t="str">
        <x:f>IF('Detalle'!L114="","",'Detalle'!L114)</x:f>
        <x:v>Alan</x:v>
      </x:c>
      <x:c r="T225" s="30" t="str">
        <x:f>IF('Detalle'!M114="","",'Detalle'!M114)</x:f>
      </x:c>
    </x:row>
    <x:row r="226" ht="17" customHeight="1">
      <x:c r="A226" s="28" t="str">
        <x:v>QA-06</x:v>
      </x:c>
      <x:c r="B226" s="28" t="str">
        <x:v>Misiones</x:v>
      </x:c>
      <x:c r="C226" s="28" t="str">
        <x:v>Ejecutar comprobaciones SQL de misiones</x:v>
      </x:c>
      <x:c r="D226" s="47" t="str">
        <x:v>R</x:v>
      </x:c>
      <x:c r="E226" s="48" t="n">
        <x:f>IF('Detalle'!J114="","",'Detalle'!J114)</x:f>
        <x:v>1</x:v>
      </x:c>
      <x:c r="F226" s="44" t="str"/>
      <x:c r="G226" s="27" t="str">
        <x:f>IF(AND('Detalle'!$F114="Completado",G225=1),1,"")</x:f>
      </x:c>
      <x:c r="H226" s="27" t="str">
        <x:f>IF(AND('Detalle'!$F114="Completado",H225=1),1,"")</x:f>
      </x:c>
      <x:c r="I226" s="27" t="str">
        <x:f>IF(AND('Detalle'!$F114="Completado",I225=1),1,"")</x:f>
      </x:c>
      <x:c r="J226" s="27" t="n">
        <x:f>IF(AND('Detalle'!$F114="Completado",J225=1),1,"")</x:f>
        <x:v>1</x:v>
      </x:c>
      <x:c r="K226" s="27" t="str">
        <x:f>IF(AND('Detalle'!$F114="Completado",K225=1),1,"")</x:f>
      </x:c>
      <x:c r="L226" s="27" t="str">
        <x:f>IF(AND('Detalle'!$F114="Completado",L225=1),1,"")</x:f>
      </x:c>
      <x:c r="M226" s="27" t="str">
        <x:f>IF(AND('Detalle'!$F114="Completado",M225=1),1,"")</x:f>
      </x:c>
      <x:c r="N226" s="27" t="str">
        <x:f>IF(AND('Detalle'!$F114="Completado",N225=1),1,"")</x:f>
      </x:c>
      <x:c r="O226" s="27" t="str">
        <x:f>IF(AND('Detalle'!$F114="Completado",O225=1),1,"")</x:f>
      </x:c>
      <x:c r="P226" s="27" t="str">
        <x:f>IF(AND('Detalle'!$F114="Completado",P225=1),1,"")</x:f>
      </x:c>
      <x:c r="Q226" s="27" t="str">
        <x:f>IF(AND('Detalle'!$F114="Completado",Q225=1),1,"")</x:f>
      </x:c>
      <x:c r="R226" s="49"/>
      <x:c r="S226" s="30" t="str"/>
      <x:c r="T226" s="30" t="str"/>
    </x:row>
    <x:row r="227" ht="17" customHeight="1">
      <x:c r="A227" s="28" t="str">
        <x:v>QA-07</x:v>
      </x:c>
      <x:c r="B227" s="28" t="str">
        <x:v>Misiones</x:v>
      </x:c>
      <x:c r="C227" s="28" t="str">
        <x:v>Verificar widgets y regresión de candidaturas</x:v>
      </x:c>
      <x:c r="D227" s="46" t="str">
        <x:v>E</x:v>
      </x:c>
      <x:c r="E227" s="48" t="n">
        <x:f>IF('Detalle'!I115="","",'Detalle'!I115)</x:f>
        <x:v>1</x:v>
      </x:c>
      <x:c r="F227" s="44" t="str">
        <x:f>IF('Detalle'!F115="","",'Detalle'!F115)</x:f>
        <x:v>Completado</x:v>
      </x:c>
      <x:c r="G227" s="27" t="str">
        <x:f>IF(OR('Detalle'!$G115="",'Detalle'!$H115=""),"",IF(AND(G$8&lt;='Detalle'!$H115,G$9&gt;='Detalle'!$G115),1,""))</x:f>
      </x:c>
      <x:c r="H227" s="27" t="str">
        <x:f>IF(OR('Detalle'!$G115="",'Detalle'!$H115=""),"",IF(AND(H$8&lt;='Detalle'!$H115,H$9&gt;='Detalle'!$G115),1,""))</x:f>
      </x:c>
      <x:c r="I227" s="27" t="str">
        <x:f>IF(OR('Detalle'!$G115="",'Detalle'!$H115=""),"",IF(AND(I$8&lt;='Detalle'!$H115,I$9&gt;='Detalle'!$G115),1,""))</x:f>
      </x:c>
      <x:c r="J227" s="27" t="n">
        <x:f>IF(OR('Detalle'!$G115="",'Detalle'!$H115=""),"",IF(AND(J$8&lt;='Detalle'!$H115,J$9&gt;='Detalle'!$G115),1,""))</x:f>
        <x:v>1</x:v>
      </x:c>
      <x:c r="K227" s="27" t="str">
        <x:f>IF(OR('Detalle'!$G115="",'Detalle'!$H115=""),"",IF(AND(K$8&lt;='Detalle'!$H115,K$9&gt;='Detalle'!$G115),1,""))</x:f>
      </x:c>
      <x:c r="L227" s="27" t="str">
        <x:f>IF(OR('Detalle'!$G115="",'Detalle'!$H115=""),"",IF(AND(L$8&lt;='Detalle'!$H115,L$9&gt;='Detalle'!$G115),1,""))</x:f>
      </x:c>
      <x:c r="M227" s="27" t="str">
        <x:f>IF(OR('Detalle'!$G115="",'Detalle'!$H115=""),"",IF(AND(M$8&lt;='Detalle'!$H115,M$9&gt;='Detalle'!$G115),1,""))</x:f>
      </x:c>
      <x:c r="N227" s="27" t="str">
        <x:f>IF(OR('Detalle'!$G115="",'Detalle'!$H115=""),"",IF(AND(N$8&lt;='Detalle'!$H115,N$9&gt;='Detalle'!$G115),1,""))</x:f>
      </x:c>
      <x:c r="O227" s="27" t="str">
        <x:f>IF(OR('Detalle'!$G115="",'Detalle'!$H115=""),"",IF(AND(O$8&lt;='Detalle'!$H115,O$9&gt;='Detalle'!$G115),1,""))</x:f>
      </x:c>
      <x:c r="P227" s="27" t="str">
        <x:f>IF(OR('Detalle'!$G115="",'Detalle'!$H115=""),"",IF(AND(P$8&lt;='Detalle'!$H115,P$9&gt;='Detalle'!$G115),1,""))</x:f>
      </x:c>
      <x:c r="Q227" s="27" t="str">
        <x:f>IF(OR('Detalle'!$G115="",'Detalle'!$H115=""),"",IF(AND(Q$8&lt;='Detalle'!$H115,Q$9&gt;='Detalle'!$G115),1,""))</x:f>
      </x:c>
      <x:c r="R227" s="49"/>
      <x:c r="S227" s="30" t="str">
        <x:f>IF('Detalle'!L115="","",'Detalle'!L115)</x:f>
        <x:v>Fatima</x:v>
      </x:c>
      <x:c r="T227" s="30" t="str">
        <x:f>IF('Detalle'!M115="","",'Detalle'!M115)</x:f>
      </x:c>
    </x:row>
    <x:row r="228" ht="17" customHeight="1">
      <x:c r="A228" s="28" t="str">
        <x:v>QA-07</x:v>
      </x:c>
      <x:c r="B228" s="28" t="str">
        <x:v>Misiones</x:v>
      </x:c>
      <x:c r="C228" s="28" t="str">
        <x:v>Verificar widgets y regresión de candidaturas</x:v>
      </x:c>
      <x:c r="D228" s="47" t="str">
        <x:v>R</x:v>
      </x:c>
      <x:c r="E228" s="48" t="n">
        <x:f>IF('Detalle'!J115="","",'Detalle'!J115)</x:f>
        <x:v>1</x:v>
      </x:c>
      <x:c r="F228" s="44" t="str"/>
      <x:c r="G228" s="27" t="str">
        <x:f>IF(AND('Detalle'!$F115="Completado",G227=1),1,"")</x:f>
      </x:c>
      <x:c r="H228" s="27" t="str">
        <x:f>IF(AND('Detalle'!$F115="Completado",H227=1),1,"")</x:f>
      </x:c>
      <x:c r="I228" s="27" t="str">
        <x:f>IF(AND('Detalle'!$F115="Completado",I227=1),1,"")</x:f>
      </x:c>
      <x:c r="J228" s="27" t="n">
        <x:f>IF(AND('Detalle'!$F115="Completado",J227=1),1,"")</x:f>
        <x:v>1</x:v>
      </x:c>
      <x:c r="K228" s="27" t="str">
        <x:f>IF(AND('Detalle'!$F115="Completado",K227=1),1,"")</x:f>
      </x:c>
      <x:c r="L228" s="27" t="str">
        <x:f>IF(AND('Detalle'!$F115="Completado",L227=1),1,"")</x:f>
      </x:c>
      <x:c r="M228" s="27" t="str">
        <x:f>IF(AND('Detalle'!$F115="Completado",M227=1),1,"")</x:f>
      </x:c>
      <x:c r="N228" s="27" t="str">
        <x:f>IF(AND('Detalle'!$F115="Completado",N227=1),1,"")</x:f>
      </x:c>
      <x:c r="O228" s="27" t="str">
        <x:f>IF(AND('Detalle'!$F115="Completado",O227=1),1,"")</x:f>
      </x:c>
      <x:c r="P228" s="27" t="str">
        <x:f>IF(AND('Detalle'!$F115="Completado",P227=1),1,"")</x:f>
      </x:c>
      <x:c r="Q228" s="27" t="str">
        <x:f>IF(AND('Detalle'!$F115="Completado",Q227=1),1,"")</x:f>
      </x:c>
      <x:c r="R228" s="49"/>
      <x:c r="S228" s="30" t="str"/>
      <x:c r="T228" s="30" t="str"/>
    </x:row>
    <x:row r="229" ht="17" customHeight="1">
      <x:c r="A229" s="28" t="str">
        <x:v>QA-08</x:v>
      </x:c>
      <x:c r="B229" s="28" t="str">
        <x:v>Fichas profesionales</x:v>
      </x:c>
      <x:c r="C229" s="28" t="str">
        <x:v>Verificar edición y visibilidad de fichas</x:v>
      </x:c>
      <x:c r="D229" s="46" t="str">
        <x:v>E</x:v>
      </x:c>
      <x:c r="E229" s="48" t="n">
        <x:f>IF('Detalle'!I116="","",'Detalle'!I116)</x:f>
        <x:v>1</x:v>
      </x:c>
      <x:c r="F229" s="44" t="str">
        <x:f>IF('Detalle'!F116="","",'Detalle'!F116)</x:f>
        <x:v>Completado</x:v>
      </x:c>
      <x:c r="G229" s="27" t="str">
        <x:f>IF(OR('Detalle'!$G116="",'Detalle'!$H116=""),"",IF(AND(G$8&lt;='Detalle'!$H116,G$9&gt;='Detalle'!$G116),1,""))</x:f>
      </x:c>
      <x:c r="H229" s="27" t="str">
        <x:f>IF(OR('Detalle'!$G116="",'Detalle'!$H116=""),"",IF(AND(H$8&lt;='Detalle'!$H116,H$9&gt;='Detalle'!$G116),1,""))</x:f>
      </x:c>
      <x:c r="I229" s="27" t="str">
        <x:f>IF(OR('Detalle'!$G116="",'Detalle'!$H116=""),"",IF(AND(I$8&lt;='Detalle'!$H116,I$9&gt;='Detalle'!$G116),1,""))</x:f>
      </x:c>
      <x:c r="J229" s="27" t="n">
        <x:f>IF(OR('Detalle'!$G116="",'Detalle'!$H116=""),"",IF(AND(J$8&lt;='Detalle'!$H116,J$9&gt;='Detalle'!$G116),1,""))</x:f>
        <x:v>1</x:v>
      </x:c>
      <x:c r="K229" s="27" t="str">
        <x:f>IF(OR('Detalle'!$G116="",'Detalle'!$H116=""),"",IF(AND(K$8&lt;='Detalle'!$H116,K$9&gt;='Detalle'!$G116),1,""))</x:f>
      </x:c>
      <x:c r="L229" s="27" t="str">
        <x:f>IF(OR('Detalle'!$G116="",'Detalle'!$H116=""),"",IF(AND(L$8&lt;='Detalle'!$H116,L$9&gt;='Detalle'!$G116),1,""))</x:f>
      </x:c>
      <x:c r="M229" s="27" t="str">
        <x:f>IF(OR('Detalle'!$G116="",'Detalle'!$H116=""),"",IF(AND(M$8&lt;='Detalle'!$H116,M$9&gt;='Detalle'!$G116),1,""))</x:f>
      </x:c>
      <x:c r="N229" s="27" t="str">
        <x:f>IF(OR('Detalle'!$G116="",'Detalle'!$H116=""),"",IF(AND(N$8&lt;='Detalle'!$H116,N$9&gt;='Detalle'!$G116),1,""))</x:f>
      </x:c>
      <x:c r="O229" s="27" t="str">
        <x:f>IF(OR('Detalle'!$G116="",'Detalle'!$H116=""),"",IF(AND(O$8&lt;='Detalle'!$H116,O$9&gt;='Detalle'!$G116),1,""))</x:f>
      </x:c>
      <x:c r="P229" s="27" t="str">
        <x:f>IF(OR('Detalle'!$G116="",'Detalle'!$H116=""),"",IF(AND(P$8&lt;='Detalle'!$H116,P$9&gt;='Detalle'!$G116),1,""))</x:f>
      </x:c>
      <x:c r="Q229" s="27" t="str">
        <x:f>IF(OR('Detalle'!$G116="",'Detalle'!$H116=""),"",IF(AND(Q$8&lt;='Detalle'!$H116,Q$9&gt;='Detalle'!$G116),1,""))</x:f>
      </x:c>
      <x:c r="R229" s="49"/>
      <x:c r="S229" s="30" t="str">
        <x:f>IF('Detalle'!L116="","",'Detalle'!L116)</x:f>
        <x:v>Fatima</x:v>
      </x:c>
      <x:c r="T229" s="30" t="str">
        <x:f>IF('Detalle'!M116="","",'Detalle'!M116)</x:f>
      </x:c>
    </x:row>
    <x:row r="230" ht="17" customHeight="1">
      <x:c r="A230" s="28" t="str">
        <x:v>QA-08</x:v>
      </x:c>
      <x:c r="B230" s="28" t="str">
        <x:v>Fichas profesionales</x:v>
      </x:c>
      <x:c r="C230" s="28" t="str">
        <x:v>Verificar edición y visibilidad de fichas</x:v>
      </x:c>
      <x:c r="D230" s="47" t="str">
        <x:v>R</x:v>
      </x:c>
      <x:c r="E230" s="48" t="n">
        <x:f>IF('Detalle'!J116="","",'Detalle'!J116)</x:f>
        <x:v>1</x:v>
      </x:c>
      <x:c r="F230" s="44" t="str"/>
      <x:c r="G230" s="27" t="str">
        <x:f>IF(AND('Detalle'!$F116="Completado",G229=1),1,"")</x:f>
      </x:c>
      <x:c r="H230" s="27" t="str">
        <x:f>IF(AND('Detalle'!$F116="Completado",H229=1),1,"")</x:f>
      </x:c>
      <x:c r="I230" s="27" t="str">
        <x:f>IF(AND('Detalle'!$F116="Completado",I229=1),1,"")</x:f>
      </x:c>
      <x:c r="J230" s="27" t="n">
        <x:f>IF(AND('Detalle'!$F116="Completado",J229=1),1,"")</x:f>
        <x:v>1</x:v>
      </x:c>
      <x:c r="K230" s="27" t="str">
        <x:f>IF(AND('Detalle'!$F116="Completado",K229=1),1,"")</x:f>
      </x:c>
      <x:c r="L230" s="27" t="str">
        <x:f>IF(AND('Detalle'!$F116="Completado",L229=1),1,"")</x:f>
      </x:c>
      <x:c r="M230" s="27" t="str">
        <x:f>IF(AND('Detalle'!$F116="Completado",M229=1),1,"")</x:f>
      </x:c>
      <x:c r="N230" s="27" t="str">
        <x:f>IF(AND('Detalle'!$F116="Completado",N229=1),1,"")</x:f>
      </x:c>
      <x:c r="O230" s="27" t="str">
        <x:f>IF(AND('Detalle'!$F116="Completado",O229=1),1,"")</x:f>
      </x:c>
      <x:c r="P230" s="27" t="str">
        <x:f>IF(AND('Detalle'!$F116="Completado",P229=1),1,"")</x:f>
      </x:c>
      <x:c r="Q230" s="27" t="str">
        <x:f>IF(AND('Detalle'!$F116="Completado",Q229=1),1,"")</x:f>
      </x:c>
      <x:c r="R230" s="49"/>
      <x:c r="S230" s="30" t="str"/>
      <x:c r="T230" s="30" t="str"/>
    </x:row>
    <x:row r="231" ht="17" customHeight="1">
      <x:c r="A231" s="28" t="str">
        <x:v>QA-09</x:v>
      </x:c>
      <x:c r="B231" s="28" t="str">
        <x:v>Push</x:v>
      </x:c>
      <x:c r="C231" s="28" t="str">
        <x:v>Verificar envío y apertura push en Samsung</x:v>
      </x:c>
      <x:c r="D231" s="46" t="str">
        <x:v>E</x:v>
      </x:c>
      <x:c r="E231" s="48" t="n">
        <x:f>IF('Detalle'!I117="","",'Detalle'!I117)</x:f>
        <x:v>1</x:v>
      </x:c>
      <x:c r="F231" s="44" t="str">
        <x:f>IF('Detalle'!F117="","",'Detalle'!F117)</x:f>
        <x:v>Completado</x:v>
      </x:c>
      <x:c r="G231" s="27" t="str">
        <x:f>IF(OR('Detalle'!$G117="",'Detalle'!$H117=""),"",IF(AND(G$8&lt;='Detalle'!$H117,G$9&gt;='Detalle'!$G117),1,""))</x:f>
      </x:c>
      <x:c r="H231" s="27" t="str">
        <x:f>IF(OR('Detalle'!$G117="",'Detalle'!$H117=""),"",IF(AND(H$8&lt;='Detalle'!$H117,H$9&gt;='Detalle'!$G117),1,""))</x:f>
      </x:c>
      <x:c r="I231" s="27" t="str">
        <x:f>IF(OR('Detalle'!$G117="",'Detalle'!$H117=""),"",IF(AND(I$8&lt;='Detalle'!$H117,I$9&gt;='Detalle'!$G117),1,""))</x:f>
      </x:c>
      <x:c r="J231" s="27" t="str">
        <x:f>IF(OR('Detalle'!$G117="",'Detalle'!$H117=""),"",IF(AND(J$8&lt;='Detalle'!$H117,J$9&gt;='Detalle'!$G117),1,""))</x:f>
      </x:c>
      <x:c r="K231" s="27" t="n">
        <x:f>IF(OR('Detalle'!$G117="",'Detalle'!$H117=""),"",IF(AND(K$8&lt;='Detalle'!$H117,K$9&gt;='Detalle'!$G117),1,""))</x:f>
        <x:v>1</x:v>
      </x:c>
      <x:c r="L231" s="27" t="str">
        <x:f>IF(OR('Detalle'!$G117="",'Detalle'!$H117=""),"",IF(AND(L$8&lt;='Detalle'!$H117,L$9&gt;='Detalle'!$G117),1,""))</x:f>
      </x:c>
      <x:c r="M231" s="27" t="str">
        <x:f>IF(OR('Detalle'!$G117="",'Detalle'!$H117=""),"",IF(AND(M$8&lt;='Detalle'!$H117,M$9&gt;='Detalle'!$G117),1,""))</x:f>
      </x:c>
      <x:c r="N231" s="27" t="str">
        <x:f>IF(OR('Detalle'!$G117="",'Detalle'!$H117=""),"",IF(AND(N$8&lt;='Detalle'!$H117,N$9&gt;='Detalle'!$G117),1,""))</x:f>
      </x:c>
      <x:c r="O231" s="27" t="str">
        <x:f>IF(OR('Detalle'!$G117="",'Detalle'!$H117=""),"",IF(AND(O$8&lt;='Detalle'!$H117,O$9&gt;='Detalle'!$G117),1,""))</x:f>
      </x:c>
      <x:c r="P231" s="27" t="str">
        <x:f>IF(OR('Detalle'!$G117="",'Detalle'!$H117=""),"",IF(AND(P$8&lt;='Detalle'!$H117,P$9&gt;='Detalle'!$G117),1,""))</x:f>
      </x:c>
      <x:c r="Q231" s="27" t="str">
        <x:f>IF(OR('Detalle'!$G117="",'Detalle'!$H117=""),"",IF(AND(Q$8&lt;='Detalle'!$H117,Q$9&gt;='Detalle'!$G117),1,""))</x:f>
      </x:c>
      <x:c r="R231" s="49"/>
      <x:c r="S231" s="30" t="str">
        <x:f>IF('Detalle'!L117="","",'Detalle'!L117)</x:f>
        <x:v>Cristopher</x:v>
      </x:c>
      <x:c r="T231" s="30" t="str">
        <x:f>IF('Detalle'!M117="","",'Detalle'!M117)</x:f>
      </x:c>
    </x:row>
    <x:row r="232" ht="17" customHeight="1">
      <x:c r="A232" s="28" t="str">
        <x:v>QA-09</x:v>
      </x:c>
      <x:c r="B232" s="28" t="str">
        <x:v>Push</x:v>
      </x:c>
      <x:c r="C232" s="28" t="str">
        <x:v>Verificar envío y apertura push en Samsung</x:v>
      </x:c>
      <x:c r="D232" s="47" t="str">
        <x:v>R</x:v>
      </x:c>
      <x:c r="E232" s="48" t="n">
        <x:f>IF('Detalle'!J117="","",'Detalle'!J117)</x:f>
        <x:v>1</x:v>
      </x:c>
      <x:c r="F232" s="44" t="str"/>
      <x:c r="G232" s="27" t="str">
        <x:f>IF(AND('Detalle'!$F117="Completado",G231=1),1,"")</x:f>
      </x:c>
      <x:c r="H232" s="27" t="str">
        <x:f>IF(AND('Detalle'!$F117="Completado",H231=1),1,"")</x:f>
      </x:c>
      <x:c r="I232" s="27" t="str">
        <x:f>IF(AND('Detalle'!$F117="Completado",I231=1),1,"")</x:f>
      </x:c>
      <x:c r="J232" s="27" t="str">
        <x:f>IF(AND('Detalle'!$F117="Completado",J231=1),1,"")</x:f>
      </x:c>
      <x:c r="K232" s="27" t="n">
        <x:f>IF(AND('Detalle'!$F117="Completado",K231=1),1,"")</x:f>
        <x:v>1</x:v>
      </x:c>
      <x:c r="L232" s="27" t="str">
        <x:f>IF(AND('Detalle'!$F117="Completado",L231=1),1,"")</x:f>
      </x:c>
      <x:c r="M232" s="27" t="str">
        <x:f>IF(AND('Detalle'!$F117="Completado",M231=1),1,"")</x:f>
      </x:c>
      <x:c r="N232" s="27" t="str">
        <x:f>IF(AND('Detalle'!$F117="Completado",N231=1),1,"")</x:f>
      </x:c>
      <x:c r="O232" s="27" t="str">
        <x:f>IF(AND('Detalle'!$F117="Completado",O231=1),1,"")</x:f>
      </x:c>
      <x:c r="P232" s="27" t="str">
        <x:f>IF(AND('Detalle'!$F117="Completado",P231=1),1,"")</x:f>
      </x:c>
      <x:c r="Q232" s="27" t="str">
        <x:f>IF(AND('Detalle'!$F117="Completado",Q231=1),1,"")</x:f>
      </x:c>
      <x:c r="R232" s="49"/>
      <x:c r="S232" s="30" t="str"/>
      <x:c r="T232" s="30" t="str"/>
    </x:row>
    <x:row r="233" ht="17" customHeight="1">
      <x:c r="A233" s="28" t="str">
        <x:v>QA-10</x:v>
      </x:c>
      <x:c r="B233" s="28" t="str">
        <x:v>Recorridos y AR</x:v>
      </x:c>
      <x:c r="C233" s="28" t="str">
        <x:v>Ejecutar pruebas automáticas de recorridos</x:v>
      </x:c>
      <x:c r="D233" s="46" t="str">
        <x:v>E</x:v>
      </x:c>
      <x:c r="E233" s="48" t="n">
        <x:f>IF('Detalle'!I118="","",'Detalle'!I118)</x:f>
        <x:v>1</x:v>
      </x:c>
      <x:c r="F233" s="44" t="str">
        <x:f>IF('Detalle'!F118="","",'Detalle'!F118)</x:f>
        <x:v>Completado</x:v>
      </x:c>
      <x:c r="G233" s="27" t="str">
        <x:f>IF(OR('Detalle'!$G118="",'Detalle'!$H118=""),"",IF(AND(G$8&lt;='Detalle'!$H118,G$9&gt;='Detalle'!$G118),1,""))</x:f>
      </x:c>
      <x:c r="H233" s="27" t="str">
        <x:f>IF(OR('Detalle'!$G118="",'Detalle'!$H118=""),"",IF(AND(H$8&lt;='Detalle'!$H118,H$9&gt;='Detalle'!$G118),1,""))</x:f>
      </x:c>
      <x:c r="I233" s="27" t="str">
        <x:f>IF(OR('Detalle'!$G118="",'Detalle'!$H118=""),"",IF(AND(I$8&lt;='Detalle'!$H118,I$9&gt;='Detalle'!$G118),1,""))</x:f>
      </x:c>
      <x:c r="J233" s="27" t="str">
        <x:f>IF(OR('Detalle'!$G118="",'Detalle'!$H118=""),"",IF(AND(J$8&lt;='Detalle'!$H118,J$9&gt;='Detalle'!$G118),1,""))</x:f>
      </x:c>
      <x:c r="K233" s="27" t="n">
        <x:f>IF(OR('Detalle'!$G118="",'Detalle'!$H118=""),"",IF(AND(K$8&lt;='Detalle'!$H118,K$9&gt;='Detalle'!$G118),1,""))</x:f>
        <x:v>1</x:v>
      </x:c>
      <x:c r="L233" s="27" t="str">
        <x:f>IF(OR('Detalle'!$G118="",'Detalle'!$H118=""),"",IF(AND(L$8&lt;='Detalle'!$H118,L$9&gt;='Detalle'!$G118),1,""))</x:f>
      </x:c>
      <x:c r="M233" s="27" t="str">
        <x:f>IF(OR('Detalle'!$G118="",'Detalle'!$H118=""),"",IF(AND(M$8&lt;='Detalle'!$H118,M$9&gt;='Detalle'!$G118),1,""))</x:f>
      </x:c>
      <x:c r="N233" s="27" t="str">
        <x:f>IF(OR('Detalle'!$G118="",'Detalle'!$H118=""),"",IF(AND(N$8&lt;='Detalle'!$H118,N$9&gt;='Detalle'!$G118),1,""))</x:f>
      </x:c>
      <x:c r="O233" s="27" t="str">
        <x:f>IF(OR('Detalle'!$G118="",'Detalle'!$H118=""),"",IF(AND(O$8&lt;='Detalle'!$H118,O$9&gt;='Detalle'!$G118),1,""))</x:f>
      </x:c>
      <x:c r="P233" s="27" t="str">
        <x:f>IF(OR('Detalle'!$G118="",'Detalle'!$H118=""),"",IF(AND(P$8&lt;='Detalle'!$H118,P$9&gt;='Detalle'!$G118),1,""))</x:f>
      </x:c>
      <x:c r="Q233" s="27" t="str">
        <x:f>IF(OR('Detalle'!$G118="",'Detalle'!$H118=""),"",IF(AND(Q$8&lt;='Detalle'!$H118,Q$9&gt;='Detalle'!$G118),1,""))</x:f>
      </x:c>
      <x:c r="R233" s="49"/>
      <x:c r="S233" s="30" t="str">
        <x:f>IF('Detalle'!L118="","",'Detalle'!L118)</x:f>
        <x:v>Cristopher</x:v>
      </x:c>
      <x:c r="T233" s="30" t="str">
        <x:f>IF('Detalle'!M118="","",'Detalle'!M118)</x:f>
      </x:c>
    </x:row>
    <x:row r="234" ht="17" customHeight="1">
      <x:c r="A234" s="28" t="str">
        <x:v>QA-10</x:v>
      </x:c>
      <x:c r="B234" s="28" t="str">
        <x:v>Recorridos y AR</x:v>
      </x:c>
      <x:c r="C234" s="28" t="str">
        <x:v>Ejecutar pruebas automáticas de recorridos</x:v>
      </x:c>
      <x:c r="D234" s="47" t="str">
        <x:v>R</x:v>
      </x:c>
      <x:c r="E234" s="48" t="n">
        <x:f>IF('Detalle'!J118="","",'Detalle'!J118)</x:f>
        <x:v>1</x:v>
      </x:c>
      <x:c r="F234" s="44" t="str"/>
      <x:c r="G234" s="27" t="str">
        <x:f>IF(AND('Detalle'!$F118="Completado",G233=1),1,"")</x:f>
      </x:c>
      <x:c r="H234" s="27" t="str">
        <x:f>IF(AND('Detalle'!$F118="Completado",H233=1),1,"")</x:f>
      </x:c>
      <x:c r="I234" s="27" t="str">
        <x:f>IF(AND('Detalle'!$F118="Completado",I233=1),1,"")</x:f>
      </x:c>
      <x:c r="J234" s="27" t="str">
        <x:f>IF(AND('Detalle'!$F118="Completado",J233=1),1,"")</x:f>
      </x:c>
      <x:c r="K234" s="27" t="n">
        <x:f>IF(AND('Detalle'!$F118="Completado",K233=1),1,"")</x:f>
        <x:v>1</x:v>
      </x:c>
      <x:c r="L234" s="27" t="str">
        <x:f>IF(AND('Detalle'!$F118="Completado",L233=1),1,"")</x:f>
      </x:c>
      <x:c r="M234" s="27" t="str">
        <x:f>IF(AND('Detalle'!$F118="Completado",M233=1),1,"")</x:f>
      </x:c>
      <x:c r="N234" s="27" t="str">
        <x:f>IF(AND('Detalle'!$F118="Completado",N233=1),1,"")</x:f>
      </x:c>
      <x:c r="O234" s="27" t="str">
        <x:f>IF(AND('Detalle'!$F118="Completado",O233=1),1,"")</x:f>
      </x:c>
      <x:c r="P234" s="27" t="str">
        <x:f>IF(AND('Detalle'!$F118="Completado",P233=1),1,"")</x:f>
      </x:c>
      <x:c r="Q234" s="27" t="str">
        <x:f>IF(AND('Detalle'!$F118="Completado",Q233=1),1,"")</x:f>
      </x:c>
      <x:c r="R234" s="49"/>
      <x:c r="S234" s="30" t="str"/>
      <x:c r="T234" s="30" t="str"/>
    </x:row>
    <x:row r="235" ht="17" customHeight="1">
      <x:c r="A235" s="28" t="str">
        <x:v>QA-11</x:v>
      </x:c>
      <x:c r="B235" s="28" t="str">
        <x:v>Recorridos y AR</x:v>
      </x:c>
      <x:c r="C235" s="28" t="str">
        <x:v>Procesar panoramas con fixtures sintéticos</x:v>
      </x:c>
      <x:c r="D235" s="46" t="str">
        <x:v>E</x:v>
      </x:c>
      <x:c r="E235" s="48" t="n">
        <x:f>IF('Detalle'!I119="","",'Detalle'!I119)</x:f>
        <x:v>1</x:v>
      </x:c>
      <x:c r="F235" s="44" t="str">
        <x:f>IF('Detalle'!F119="","",'Detalle'!F119)</x:f>
        <x:v>Completado</x:v>
      </x:c>
      <x:c r="G235" s="27" t="str">
        <x:f>IF(OR('Detalle'!$G119="",'Detalle'!$H119=""),"",IF(AND(G$8&lt;='Detalle'!$H119,G$9&gt;='Detalle'!$G119),1,""))</x:f>
      </x:c>
      <x:c r="H235" s="27" t="str">
        <x:f>IF(OR('Detalle'!$G119="",'Detalle'!$H119=""),"",IF(AND(H$8&lt;='Detalle'!$H119,H$9&gt;='Detalle'!$G119),1,""))</x:f>
      </x:c>
      <x:c r="I235" s="27" t="str">
        <x:f>IF(OR('Detalle'!$G119="",'Detalle'!$H119=""),"",IF(AND(I$8&lt;='Detalle'!$H119,I$9&gt;='Detalle'!$G119),1,""))</x:f>
      </x:c>
      <x:c r="J235" s="27" t="str">
        <x:f>IF(OR('Detalle'!$G119="",'Detalle'!$H119=""),"",IF(AND(J$8&lt;='Detalle'!$H119,J$9&gt;='Detalle'!$G119),1,""))</x:f>
      </x:c>
      <x:c r="K235" s="27" t="n">
        <x:f>IF(OR('Detalle'!$G119="",'Detalle'!$H119=""),"",IF(AND(K$8&lt;='Detalle'!$H119,K$9&gt;='Detalle'!$G119),1,""))</x:f>
        <x:v>1</x:v>
      </x:c>
      <x:c r="L235" s="27" t="str">
        <x:f>IF(OR('Detalle'!$G119="",'Detalle'!$H119=""),"",IF(AND(L$8&lt;='Detalle'!$H119,L$9&gt;='Detalle'!$G119),1,""))</x:f>
      </x:c>
      <x:c r="M235" s="27" t="str">
        <x:f>IF(OR('Detalle'!$G119="",'Detalle'!$H119=""),"",IF(AND(M$8&lt;='Detalle'!$H119,M$9&gt;='Detalle'!$G119),1,""))</x:f>
      </x:c>
      <x:c r="N235" s="27" t="str">
        <x:f>IF(OR('Detalle'!$G119="",'Detalle'!$H119=""),"",IF(AND(N$8&lt;='Detalle'!$H119,N$9&gt;='Detalle'!$G119),1,""))</x:f>
      </x:c>
      <x:c r="O235" s="27" t="str">
        <x:f>IF(OR('Detalle'!$G119="",'Detalle'!$H119=""),"",IF(AND(O$8&lt;='Detalle'!$H119,O$9&gt;='Detalle'!$G119),1,""))</x:f>
      </x:c>
      <x:c r="P235" s="27" t="str">
        <x:f>IF(OR('Detalle'!$G119="",'Detalle'!$H119=""),"",IF(AND(P$8&lt;='Detalle'!$H119,P$9&gt;='Detalle'!$G119),1,""))</x:f>
      </x:c>
      <x:c r="Q235" s="27" t="str">
        <x:f>IF(OR('Detalle'!$G119="",'Detalle'!$H119=""),"",IF(AND(Q$8&lt;='Detalle'!$H119,Q$9&gt;='Detalle'!$G119),1,""))</x:f>
      </x:c>
      <x:c r="R235" s="49"/>
      <x:c r="S235" s="30" t="str">
        <x:f>IF('Detalle'!L119="","",'Detalle'!L119)</x:f>
        <x:v>Cristopher</x:v>
      </x:c>
      <x:c r="T235" s="30" t="str">
        <x:f>IF('Detalle'!M119="","",'Detalle'!M119)</x:f>
      </x:c>
    </x:row>
    <x:row r="236" ht="17" customHeight="1">
      <x:c r="A236" s="28" t="str">
        <x:v>QA-11</x:v>
      </x:c>
      <x:c r="B236" s="28" t="str">
        <x:v>Recorridos y AR</x:v>
      </x:c>
      <x:c r="C236" s="28" t="str">
        <x:v>Procesar panoramas con fixtures sintéticos</x:v>
      </x:c>
      <x:c r="D236" s="47" t="str">
        <x:v>R</x:v>
      </x:c>
      <x:c r="E236" s="48" t="n">
        <x:f>IF('Detalle'!J119="","",'Detalle'!J119)</x:f>
        <x:v>1</x:v>
      </x:c>
      <x:c r="F236" s="44" t="str"/>
      <x:c r="G236" s="27" t="str">
        <x:f>IF(AND('Detalle'!$F119="Completado",G235=1),1,"")</x:f>
      </x:c>
      <x:c r="H236" s="27" t="str">
        <x:f>IF(AND('Detalle'!$F119="Completado",H235=1),1,"")</x:f>
      </x:c>
      <x:c r="I236" s="27" t="str">
        <x:f>IF(AND('Detalle'!$F119="Completado",I235=1),1,"")</x:f>
      </x:c>
      <x:c r="J236" s="27" t="str">
        <x:f>IF(AND('Detalle'!$F119="Completado",J235=1),1,"")</x:f>
      </x:c>
      <x:c r="K236" s="27" t="n">
        <x:f>IF(AND('Detalle'!$F119="Completado",K235=1),1,"")</x:f>
        <x:v>1</x:v>
      </x:c>
      <x:c r="L236" s="27" t="str">
        <x:f>IF(AND('Detalle'!$F119="Completado",L235=1),1,"")</x:f>
      </x:c>
      <x:c r="M236" s="27" t="str">
        <x:f>IF(AND('Detalle'!$F119="Completado",M235=1),1,"")</x:f>
      </x:c>
      <x:c r="N236" s="27" t="str">
        <x:f>IF(AND('Detalle'!$F119="Completado",N235=1),1,"")</x:f>
      </x:c>
      <x:c r="O236" s="27" t="str">
        <x:f>IF(AND('Detalle'!$F119="Completado",O235=1),1,"")</x:f>
      </x:c>
      <x:c r="P236" s="27" t="str">
        <x:f>IF(AND('Detalle'!$F119="Completado",P235=1),1,"")</x:f>
      </x:c>
      <x:c r="Q236" s="27" t="str">
        <x:f>IF(AND('Detalle'!$F119="Completado",Q235=1),1,"")</x:f>
      </x:c>
      <x:c r="R236" s="49"/>
      <x:c r="S236" s="30" t="str"/>
      <x:c r="T236" s="30" t="str"/>
    </x:row>
    <x:row r="237" ht="17" customHeight="1">
      <x:c r="A237" s="28" t="str">
        <x:v>QA-12</x:v>
      </x:c>
      <x:c r="B237" s="28" t="str">
        <x:v>Recorridos y AR</x:v>
      </x:c>
      <x:c r="C237" s="28" t="str">
        <x:v>Corregir fallos encontrados en el piloto local</x:v>
      </x:c>
      <x:c r="D237" s="46" t="str">
        <x:v>E</x:v>
      </x:c>
      <x:c r="E237" s="48" t="n">
        <x:f>IF('Detalle'!I120="","",'Detalle'!I120)</x:f>
        <x:v>1</x:v>
      </x:c>
      <x:c r="F237" s="44" t="str">
        <x:f>IF('Detalle'!F120="","",'Detalle'!F120)</x:f>
        <x:v>Completado</x:v>
      </x:c>
      <x:c r="G237" s="27" t="str">
        <x:f>IF(OR('Detalle'!$G120="",'Detalle'!$H120=""),"",IF(AND(G$8&lt;='Detalle'!$H120,G$9&gt;='Detalle'!$G120),1,""))</x:f>
      </x:c>
      <x:c r="H237" s="27" t="str">
        <x:f>IF(OR('Detalle'!$G120="",'Detalle'!$H120=""),"",IF(AND(H$8&lt;='Detalle'!$H120,H$9&gt;='Detalle'!$G120),1,""))</x:f>
      </x:c>
      <x:c r="I237" s="27" t="str">
        <x:f>IF(OR('Detalle'!$G120="",'Detalle'!$H120=""),"",IF(AND(I$8&lt;='Detalle'!$H120,I$9&gt;='Detalle'!$G120),1,""))</x:f>
      </x:c>
      <x:c r="J237" s="27" t="str">
        <x:f>IF(OR('Detalle'!$G120="",'Detalle'!$H120=""),"",IF(AND(J$8&lt;='Detalle'!$H120,J$9&gt;='Detalle'!$G120),1,""))</x:f>
      </x:c>
      <x:c r="K237" s="27" t="n">
        <x:f>IF(OR('Detalle'!$G120="",'Detalle'!$H120=""),"",IF(AND(K$8&lt;='Detalle'!$H120,K$9&gt;='Detalle'!$G120),1,""))</x:f>
        <x:v>1</x:v>
      </x:c>
      <x:c r="L237" s="27" t="str">
        <x:f>IF(OR('Detalle'!$G120="",'Detalle'!$H120=""),"",IF(AND(L$8&lt;='Detalle'!$H120,L$9&gt;='Detalle'!$G120),1,""))</x:f>
      </x:c>
      <x:c r="M237" s="27" t="str">
        <x:f>IF(OR('Detalle'!$G120="",'Detalle'!$H120=""),"",IF(AND(M$8&lt;='Detalle'!$H120,M$9&gt;='Detalle'!$G120),1,""))</x:f>
      </x:c>
      <x:c r="N237" s="27" t="str">
        <x:f>IF(OR('Detalle'!$G120="",'Detalle'!$H120=""),"",IF(AND(N$8&lt;='Detalle'!$H120,N$9&gt;='Detalle'!$G120),1,""))</x:f>
      </x:c>
      <x:c r="O237" s="27" t="str">
        <x:f>IF(OR('Detalle'!$G120="",'Detalle'!$H120=""),"",IF(AND(O$8&lt;='Detalle'!$H120,O$9&gt;='Detalle'!$G120),1,""))</x:f>
      </x:c>
      <x:c r="P237" s="27" t="str">
        <x:f>IF(OR('Detalle'!$G120="",'Detalle'!$H120=""),"",IF(AND(P$8&lt;='Detalle'!$H120,P$9&gt;='Detalle'!$G120),1,""))</x:f>
      </x:c>
      <x:c r="Q237" s="27" t="str">
        <x:f>IF(OR('Detalle'!$G120="",'Detalle'!$H120=""),"",IF(AND(Q$8&lt;='Detalle'!$H120,Q$9&gt;='Detalle'!$G120),1,""))</x:f>
      </x:c>
      <x:c r="R237" s="49"/>
      <x:c r="S237" s="30" t="str">
        <x:f>IF('Detalle'!L120="","",'Detalle'!L120)</x:f>
        <x:v>Cristopher</x:v>
      </x:c>
      <x:c r="T237" s="30" t="str">
        <x:f>IF('Detalle'!M120="","",'Detalle'!M120)</x:f>
      </x:c>
    </x:row>
    <x:row r="238" ht="17" customHeight="1">
      <x:c r="A238" s="28" t="str">
        <x:v>QA-12</x:v>
      </x:c>
      <x:c r="B238" s="28" t="str">
        <x:v>Recorridos y AR</x:v>
      </x:c>
      <x:c r="C238" s="28" t="str">
        <x:v>Corregir fallos encontrados en el piloto local</x:v>
      </x:c>
      <x:c r="D238" s="47" t="str">
        <x:v>R</x:v>
      </x:c>
      <x:c r="E238" s="48" t="n">
        <x:f>IF('Detalle'!J120="","",'Detalle'!J120)</x:f>
        <x:v>1</x:v>
      </x:c>
      <x:c r="F238" s="44" t="str"/>
      <x:c r="G238" s="27" t="str">
        <x:f>IF(AND('Detalle'!$F120="Completado",G237=1),1,"")</x:f>
      </x:c>
      <x:c r="H238" s="27" t="str">
        <x:f>IF(AND('Detalle'!$F120="Completado",H237=1),1,"")</x:f>
      </x:c>
      <x:c r="I238" s="27" t="str">
        <x:f>IF(AND('Detalle'!$F120="Completado",I237=1),1,"")</x:f>
      </x:c>
      <x:c r="J238" s="27" t="str">
        <x:f>IF(AND('Detalle'!$F120="Completado",J237=1),1,"")</x:f>
      </x:c>
      <x:c r="K238" s="27" t="n">
        <x:f>IF(AND('Detalle'!$F120="Completado",K237=1),1,"")</x:f>
        <x:v>1</x:v>
      </x:c>
      <x:c r="L238" s="27" t="str">
        <x:f>IF(AND('Detalle'!$F120="Completado",L237=1),1,"")</x:f>
      </x:c>
      <x:c r="M238" s="27" t="str">
        <x:f>IF(AND('Detalle'!$F120="Completado",M237=1),1,"")</x:f>
      </x:c>
      <x:c r="N238" s="27" t="str">
        <x:f>IF(AND('Detalle'!$F120="Completado",N237=1),1,"")</x:f>
      </x:c>
      <x:c r="O238" s="27" t="str">
        <x:f>IF(AND('Detalle'!$F120="Completado",O237=1),1,"")</x:f>
      </x:c>
      <x:c r="P238" s="27" t="str">
        <x:f>IF(AND('Detalle'!$F120="Completado",P237=1),1,"")</x:f>
      </x:c>
      <x:c r="Q238" s="27" t="str">
        <x:f>IF(AND('Detalle'!$F120="Completado",Q237=1),1,"")</x:f>
      </x:c>
      <x:c r="R238" s="49"/>
      <x:c r="S238" s="30" t="str"/>
      <x:c r="T238" s="30" t="str"/>
    </x:row>
    <x:row r="239" ht="17" customHeight="1">
      <x:c r="A239" s="28" t="str">
        <x:v>QA-13</x:v>
      </x:c>
      <x:c r="B239" s="28" t="str">
        <x:v>Autenticación</x:v>
      </x:c>
      <x:c r="C239" s="28" t="str">
        <x:v>Verificar entrega real de OTP y recuperación</x:v>
      </x:c>
      <x:c r="D239" s="46" t="str">
        <x:v>E</x:v>
      </x:c>
      <x:c r="E239" s="48" t="n">
        <x:f>IF('Detalle'!I121="","",'Detalle'!I121)</x:f>
        <x:v>1</x:v>
      </x:c>
      <x:c r="F239" s="44" t="str">
        <x:f>IF('Detalle'!F121="","",'Detalle'!F121)</x:f>
        <x:v>Pendiente</x:v>
      </x:c>
      <x:c r="G239" s="27" t="str">
        <x:f>IF(OR('Detalle'!$G121="",'Detalle'!$H121=""),"",IF(AND(G$8&lt;='Detalle'!$H121,G$9&gt;='Detalle'!$G121),1,""))</x:f>
      </x:c>
      <x:c r="H239" s="27" t="str">
        <x:f>IF(OR('Detalle'!$G121="",'Detalle'!$H121=""),"",IF(AND(H$8&lt;='Detalle'!$H121,H$9&gt;='Detalle'!$G121),1,""))</x:f>
      </x:c>
      <x:c r="I239" s="27" t="str">
        <x:f>IF(OR('Detalle'!$G121="",'Detalle'!$H121=""),"",IF(AND(I$8&lt;='Detalle'!$H121,I$9&gt;='Detalle'!$G121),1,""))</x:f>
      </x:c>
      <x:c r="J239" s="27" t="str">
        <x:f>IF(OR('Detalle'!$G121="",'Detalle'!$H121=""),"",IF(AND(J$8&lt;='Detalle'!$H121,J$9&gt;='Detalle'!$G121),1,""))</x:f>
      </x:c>
      <x:c r="K239" s="27" t="str">
        <x:f>IF(OR('Detalle'!$G121="",'Detalle'!$H121=""),"",IF(AND(K$8&lt;='Detalle'!$H121,K$9&gt;='Detalle'!$G121),1,""))</x:f>
      </x:c>
      <x:c r="L239" s="27" t="n">
        <x:f>IF(OR('Detalle'!$G121="",'Detalle'!$H121=""),"",IF(AND(L$8&lt;='Detalle'!$H121,L$9&gt;='Detalle'!$G121),1,""))</x:f>
        <x:v>1</x:v>
      </x:c>
      <x:c r="M239" s="27" t="str">
        <x:f>IF(OR('Detalle'!$G121="",'Detalle'!$H121=""),"",IF(AND(M$8&lt;='Detalle'!$H121,M$9&gt;='Detalle'!$G121),1,""))</x:f>
      </x:c>
      <x:c r="N239" s="27" t="str">
        <x:f>IF(OR('Detalle'!$G121="",'Detalle'!$H121=""),"",IF(AND(N$8&lt;='Detalle'!$H121,N$9&gt;='Detalle'!$G121),1,""))</x:f>
      </x:c>
      <x:c r="O239" s="27" t="str">
        <x:f>IF(OR('Detalle'!$G121="",'Detalle'!$H121=""),"",IF(AND(O$8&lt;='Detalle'!$H121,O$9&gt;='Detalle'!$G121),1,""))</x:f>
      </x:c>
      <x:c r="P239" s="27" t="str">
        <x:f>IF(OR('Detalle'!$G121="",'Detalle'!$H121=""),"",IF(AND(P$8&lt;='Detalle'!$H121,P$9&gt;='Detalle'!$G121),1,""))</x:f>
      </x:c>
      <x:c r="Q239" s="27" t="str">
        <x:f>IF(OR('Detalle'!$G121="",'Detalle'!$H121=""),"",IF(AND(Q$8&lt;='Detalle'!$H121,Q$9&gt;='Detalle'!$G121),1,""))</x:f>
      </x:c>
      <x:c r="R239" s="49"/>
      <x:c r="S239" s="30" t="str">
        <x:f>IF('Detalle'!L121="","",'Detalle'!L121)</x:f>
        <x:v>Cristopher</x:v>
      </x:c>
      <x:c r="T239" s="30" t="str">
        <x:f>IF('Detalle'!M121="","",'Detalle'!M121)</x:f>
      </x:c>
    </x:row>
    <x:row r="240" ht="17" customHeight="1">
      <x:c r="A240" s="28" t="str">
        <x:v>QA-13</x:v>
      </x:c>
      <x:c r="B240" s="28" t="str">
        <x:v>Autenticación</x:v>
      </x:c>
      <x:c r="C240" s="28" t="str">
        <x:v>Verificar entrega real de OTP y recuperación</x:v>
      </x:c>
      <x:c r="D240" s="47" t="str">
        <x:v>R</x:v>
      </x:c>
      <x:c r="E240" s="48" t="str">
        <x:f>IF('Detalle'!J121="","",'Detalle'!J121)</x:f>
      </x:c>
      <x:c r="F240" s="44" t="str"/>
      <x:c r="G240" s="27" t="str">
        <x:f>IF(AND('Detalle'!$F121="Completado",G239=1),1,"")</x:f>
      </x:c>
      <x:c r="H240" s="27" t="str">
        <x:f>IF(AND('Detalle'!$F121="Completado",H239=1),1,"")</x:f>
      </x:c>
      <x:c r="I240" s="27" t="str">
        <x:f>IF(AND('Detalle'!$F121="Completado",I239=1),1,"")</x:f>
      </x:c>
      <x:c r="J240" s="27" t="str">
        <x:f>IF(AND('Detalle'!$F121="Completado",J239=1),1,"")</x:f>
      </x:c>
      <x:c r="K240" s="27" t="str">
        <x:f>IF(AND('Detalle'!$F121="Completado",K239=1),1,"")</x:f>
      </x:c>
      <x:c r="L240" s="27" t="str">
        <x:f>IF(AND('Detalle'!$F121="Completado",L239=1),1,"")</x:f>
      </x:c>
      <x:c r="M240" s="27" t="str">
        <x:f>IF(AND('Detalle'!$F121="Completado",M239=1),1,"")</x:f>
      </x:c>
      <x:c r="N240" s="27" t="str">
        <x:f>IF(AND('Detalle'!$F121="Completado",N239=1),1,"")</x:f>
      </x:c>
      <x:c r="O240" s="27" t="str">
        <x:f>IF(AND('Detalle'!$F121="Completado",O239=1),1,"")</x:f>
      </x:c>
      <x:c r="P240" s="27" t="str">
        <x:f>IF(AND('Detalle'!$F121="Completado",P239=1),1,"")</x:f>
      </x:c>
      <x:c r="Q240" s="27" t="str">
        <x:f>IF(AND('Detalle'!$F121="Completado",Q239=1),1,"")</x:f>
      </x:c>
      <x:c r="R240" s="49"/>
      <x:c r="S240" s="30" t="str"/>
      <x:c r="T240" s="30" t="str"/>
    </x:row>
    <x:row r="241" ht="17" customHeight="1">
      <x:c r="A241" s="28" t="str">
        <x:v>QA-14</x:v>
      </x:c>
      <x:c r="B241" s="28" t="str">
        <x:v>Perfil y cuenta</x:v>
      </x:c>
      <x:c r="C241" s="28" t="str">
        <x:v>Verificar privacidad al cambiar de sesión</x:v>
      </x:c>
      <x:c r="D241" s="46" t="str">
        <x:v>E</x:v>
      </x:c>
      <x:c r="E241" s="48" t="n">
        <x:f>IF('Detalle'!I122="","",'Detalle'!I122)</x:f>
        <x:v>1</x:v>
      </x:c>
      <x:c r="F241" s="44" t="str">
        <x:f>IF('Detalle'!F122="","",'Detalle'!F122)</x:f>
        <x:v>Pendiente</x:v>
      </x:c>
      <x:c r="G241" s="27" t="str">
        <x:f>IF(OR('Detalle'!$G122="",'Detalle'!$H122=""),"",IF(AND(G$8&lt;='Detalle'!$H122,G$9&gt;='Detalle'!$G122),1,""))</x:f>
      </x:c>
      <x:c r="H241" s="27" t="str">
        <x:f>IF(OR('Detalle'!$G122="",'Detalle'!$H122=""),"",IF(AND(H$8&lt;='Detalle'!$H122,H$9&gt;='Detalle'!$G122),1,""))</x:f>
      </x:c>
      <x:c r="I241" s="27" t="str">
        <x:f>IF(OR('Detalle'!$G122="",'Detalle'!$H122=""),"",IF(AND(I$8&lt;='Detalle'!$H122,I$9&gt;='Detalle'!$G122),1,""))</x:f>
      </x:c>
      <x:c r="J241" s="27" t="str">
        <x:f>IF(OR('Detalle'!$G122="",'Detalle'!$H122=""),"",IF(AND(J$8&lt;='Detalle'!$H122,J$9&gt;='Detalle'!$G122),1,""))</x:f>
      </x:c>
      <x:c r="K241" s="27" t="str">
        <x:f>IF(OR('Detalle'!$G122="",'Detalle'!$H122=""),"",IF(AND(K$8&lt;='Detalle'!$H122,K$9&gt;='Detalle'!$G122),1,""))</x:f>
      </x:c>
      <x:c r="L241" s="27" t="n">
        <x:f>IF(OR('Detalle'!$G122="",'Detalle'!$H122=""),"",IF(AND(L$8&lt;='Detalle'!$H122,L$9&gt;='Detalle'!$G122),1,""))</x:f>
        <x:v>1</x:v>
      </x:c>
      <x:c r="M241" s="27" t="str">
        <x:f>IF(OR('Detalle'!$G122="",'Detalle'!$H122=""),"",IF(AND(M$8&lt;='Detalle'!$H122,M$9&gt;='Detalle'!$G122),1,""))</x:f>
      </x:c>
      <x:c r="N241" s="27" t="str">
        <x:f>IF(OR('Detalle'!$G122="",'Detalle'!$H122=""),"",IF(AND(N$8&lt;='Detalle'!$H122,N$9&gt;='Detalle'!$G122),1,""))</x:f>
      </x:c>
      <x:c r="O241" s="27" t="str">
        <x:f>IF(OR('Detalle'!$G122="",'Detalle'!$H122=""),"",IF(AND(O$8&lt;='Detalle'!$H122,O$9&gt;='Detalle'!$G122),1,""))</x:f>
      </x:c>
      <x:c r="P241" s="27" t="str">
        <x:f>IF(OR('Detalle'!$G122="",'Detalle'!$H122=""),"",IF(AND(P$8&lt;='Detalle'!$H122,P$9&gt;='Detalle'!$G122),1,""))</x:f>
      </x:c>
      <x:c r="Q241" s="27" t="str">
        <x:f>IF(OR('Detalle'!$G122="",'Detalle'!$H122=""),"",IF(AND(Q$8&lt;='Detalle'!$H122,Q$9&gt;='Detalle'!$G122),1,""))</x:f>
      </x:c>
      <x:c r="R241" s="49"/>
      <x:c r="S241" s="30" t="str">
        <x:f>IF('Detalle'!L122="","",'Detalle'!L122)</x:f>
        <x:v>Alan</x:v>
      </x:c>
      <x:c r="T241" s="30" t="str">
        <x:f>IF('Detalle'!M122="","",'Detalle'!M122)</x:f>
      </x:c>
    </x:row>
    <x:row r="242" ht="17" customHeight="1">
      <x:c r="A242" s="28" t="str">
        <x:v>QA-14</x:v>
      </x:c>
      <x:c r="B242" s="28" t="str">
        <x:v>Perfil y cuenta</x:v>
      </x:c>
      <x:c r="C242" s="28" t="str">
        <x:v>Verificar privacidad al cambiar de sesión</x:v>
      </x:c>
      <x:c r="D242" s="47" t="str">
        <x:v>R</x:v>
      </x:c>
      <x:c r="E242" s="48" t="str">
        <x:f>IF('Detalle'!J122="","",'Detalle'!J122)</x:f>
      </x:c>
      <x:c r="F242" s="44" t="str"/>
      <x:c r="G242" s="27" t="str">
        <x:f>IF(AND('Detalle'!$F122="Completado",G241=1),1,"")</x:f>
      </x:c>
      <x:c r="H242" s="27" t="str">
        <x:f>IF(AND('Detalle'!$F122="Completado",H241=1),1,"")</x:f>
      </x:c>
      <x:c r="I242" s="27" t="str">
        <x:f>IF(AND('Detalle'!$F122="Completado",I241=1),1,"")</x:f>
      </x:c>
      <x:c r="J242" s="27" t="str">
        <x:f>IF(AND('Detalle'!$F122="Completado",J241=1),1,"")</x:f>
      </x:c>
      <x:c r="K242" s="27" t="str">
        <x:f>IF(AND('Detalle'!$F122="Completado",K241=1),1,"")</x:f>
      </x:c>
      <x:c r="L242" s="27" t="str">
        <x:f>IF(AND('Detalle'!$F122="Completado",L241=1),1,"")</x:f>
      </x:c>
      <x:c r="M242" s="27" t="str">
        <x:f>IF(AND('Detalle'!$F122="Completado",M241=1),1,"")</x:f>
      </x:c>
      <x:c r="N242" s="27" t="str">
        <x:f>IF(AND('Detalle'!$F122="Completado",N241=1),1,"")</x:f>
      </x:c>
      <x:c r="O242" s="27" t="str">
        <x:f>IF(AND('Detalle'!$F122="Completado",O241=1),1,"")</x:f>
      </x:c>
      <x:c r="P242" s="27" t="str">
        <x:f>IF(AND('Detalle'!$F122="Completado",P241=1),1,"")</x:f>
      </x:c>
      <x:c r="Q242" s="27" t="str">
        <x:f>IF(AND('Detalle'!$F122="Completado",Q241=1),1,"")</x:f>
      </x:c>
      <x:c r="R242" s="49"/>
      <x:c r="S242" s="30" t="str"/>
      <x:c r="T242" s="30" t="str"/>
    </x:row>
    <x:row r="243" ht="17" customHeight="1">
      <x:c r="A243" s="28" t="str">
        <x:v>QA-15</x:v>
      </x:c>
      <x:c r="B243" s="28" t="str">
        <x:v>Comunidad</x:v>
      </x:c>
      <x:c r="C243" s="28" t="str">
        <x:v>Verificar fotografías y gestos en dispositivos reales</x:v>
      </x:c>
      <x:c r="D243" s="46" t="str">
        <x:v>E</x:v>
      </x:c>
      <x:c r="E243" s="48" t="n">
        <x:f>IF('Detalle'!I123="","",'Detalle'!I123)</x:f>
        <x:v>1</x:v>
      </x:c>
      <x:c r="F243" s="44" t="str">
        <x:f>IF('Detalle'!F123="","",'Detalle'!F123)</x:f>
        <x:v>Pendiente</x:v>
      </x:c>
      <x:c r="G243" s="27" t="str">
        <x:f>IF(OR('Detalle'!$G123="",'Detalle'!$H123=""),"",IF(AND(G$8&lt;='Detalle'!$H123,G$9&gt;='Detalle'!$G123),1,""))</x:f>
      </x:c>
      <x:c r="H243" s="27" t="str">
        <x:f>IF(OR('Detalle'!$G123="",'Detalle'!$H123=""),"",IF(AND(H$8&lt;='Detalle'!$H123,H$9&gt;='Detalle'!$G123),1,""))</x:f>
      </x:c>
      <x:c r="I243" s="27" t="str">
        <x:f>IF(OR('Detalle'!$G123="",'Detalle'!$H123=""),"",IF(AND(I$8&lt;='Detalle'!$H123,I$9&gt;='Detalle'!$G123),1,""))</x:f>
      </x:c>
      <x:c r="J243" s="27" t="str">
        <x:f>IF(OR('Detalle'!$G123="",'Detalle'!$H123=""),"",IF(AND(J$8&lt;='Detalle'!$H123,J$9&gt;='Detalle'!$G123),1,""))</x:f>
      </x:c>
      <x:c r="K243" s="27" t="str">
        <x:f>IF(OR('Detalle'!$G123="",'Detalle'!$H123=""),"",IF(AND(K$8&lt;='Detalle'!$H123,K$9&gt;='Detalle'!$G123),1,""))</x:f>
      </x:c>
      <x:c r="L243" s="27" t="n">
        <x:f>IF(OR('Detalle'!$G123="",'Detalle'!$H123=""),"",IF(AND(L$8&lt;='Detalle'!$H123,L$9&gt;='Detalle'!$G123),1,""))</x:f>
        <x:v>1</x:v>
      </x:c>
      <x:c r="M243" s="27" t="str">
        <x:f>IF(OR('Detalle'!$G123="",'Detalle'!$H123=""),"",IF(AND(M$8&lt;='Detalle'!$H123,M$9&gt;='Detalle'!$G123),1,""))</x:f>
      </x:c>
      <x:c r="N243" s="27" t="str">
        <x:f>IF(OR('Detalle'!$G123="",'Detalle'!$H123=""),"",IF(AND(N$8&lt;='Detalle'!$H123,N$9&gt;='Detalle'!$G123),1,""))</x:f>
      </x:c>
      <x:c r="O243" s="27" t="str">
        <x:f>IF(OR('Detalle'!$G123="",'Detalle'!$H123=""),"",IF(AND(O$8&lt;='Detalle'!$H123,O$9&gt;='Detalle'!$G123),1,""))</x:f>
      </x:c>
      <x:c r="P243" s="27" t="str">
        <x:f>IF(OR('Detalle'!$G123="",'Detalle'!$H123=""),"",IF(AND(P$8&lt;='Detalle'!$H123,P$9&gt;='Detalle'!$G123),1,""))</x:f>
      </x:c>
      <x:c r="Q243" s="27" t="str">
        <x:f>IF(OR('Detalle'!$G123="",'Detalle'!$H123=""),"",IF(AND(Q$8&lt;='Detalle'!$H123,Q$9&gt;='Detalle'!$G123),1,""))</x:f>
      </x:c>
      <x:c r="R243" s="49"/>
      <x:c r="S243" s="30" t="str">
        <x:f>IF('Detalle'!L123="","",'Detalle'!L123)</x:f>
        <x:v>Fatima</x:v>
      </x:c>
      <x:c r="T243" s="30" t="str">
        <x:f>IF('Detalle'!M123="","",'Detalle'!M123)</x:f>
      </x:c>
    </x:row>
    <x:row r="244" ht="17" customHeight="1">
      <x:c r="A244" s="28" t="str">
        <x:v>QA-15</x:v>
      </x:c>
      <x:c r="B244" s="28" t="str">
        <x:v>Comunidad</x:v>
      </x:c>
      <x:c r="C244" s="28" t="str">
        <x:v>Verificar fotografías y gestos en dispositivos reales</x:v>
      </x:c>
      <x:c r="D244" s="47" t="str">
        <x:v>R</x:v>
      </x:c>
      <x:c r="E244" s="48" t="str">
        <x:f>IF('Detalle'!J123="","",'Detalle'!J123)</x:f>
      </x:c>
      <x:c r="F244" s="44" t="str"/>
      <x:c r="G244" s="27" t="str">
        <x:f>IF(AND('Detalle'!$F123="Completado",G243=1),1,"")</x:f>
      </x:c>
      <x:c r="H244" s="27" t="str">
        <x:f>IF(AND('Detalle'!$F123="Completado",H243=1),1,"")</x:f>
      </x:c>
      <x:c r="I244" s="27" t="str">
        <x:f>IF(AND('Detalle'!$F123="Completado",I243=1),1,"")</x:f>
      </x:c>
      <x:c r="J244" s="27" t="str">
        <x:f>IF(AND('Detalle'!$F123="Completado",J243=1),1,"")</x:f>
      </x:c>
      <x:c r="K244" s="27" t="str">
        <x:f>IF(AND('Detalle'!$F123="Completado",K243=1),1,"")</x:f>
      </x:c>
      <x:c r="L244" s="27" t="str">
        <x:f>IF(AND('Detalle'!$F123="Completado",L243=1),1,"")</x:f>
      </x:c>
      <x:c r="M244" s="27" t="str">
        <x:f>IF(AND('Detalle'!$F123="Completado",M243=1),1,"")</x:f>
      </x:c>
      <x:c r="N244" s="27" t="str">
        <x:f>IF(AND('Detalle'!$F123="Completado",N243=1),1,"")</x:f>
      </x:c>
      <x:c r="O244" s="27" t="str">
        <x:f>IF(AND('Detalle'!$F123="Completado",O243=1),1,"")</x:f>
      </x:c>
      <x:c r="P244" s="27" t="str">
        <x:f>IF(AND('Detalle'!$F123="Completado",P243=1),1,"")</x:f>
      </x:c>
      <x:c r="Q244" s="27" t="str">
        <x:f>IF(AND('Detalle'!$F123="Completado",Q243=1),1,"")</x:f>
      </x:c>
      <x:c r="R244" s="49"/>
      <x:c r="S244" s="30" t="str"/>
      <x:c r="T244" s="30" t="str"/>
    </x:row>
    <x:row r="245" ht="17" customHeight="1">
      <x:c r="A245" s="28" t="str">
        <x:v>QA-16</x:v>
      </x:c>
      <x:c r="B245" s="28" t="str">
        <x:v>Mapa</x:v>
      </x:c>
      <x:c r="C245" s="28" t="str">
        <x:v>Verificar permisos GPS y búsqueda geográfica real</x:v>
      </x:c>
      <x:c r="D245" s="46" t="str">
        <x:v>E</x:v>
      </x:c>
      <x:c r="E245" s="48" t="n">
        <x:f>IF('Detalle'!I124="","",'Detalle'!I124)</x:f>
        <x:v>1</x:v>
      </x:c>
      <x:c r="F245" s="44" t="str">
        <x:f>IF('Detalle'!F124="","",'Detalle'!F124)</x:f>
        <x:v>Pendiente</x:v>
      </x:c>
      <x:c r="G245" s="27" t="str">
        <x:f>IF(OR('Detalle'!$G124="",'Detalle'!$H124=""),"",IF(AND(G$8&lt;='Detalle'!$H124,G$9&gt;='Detalle'!$G124),1,""))</x:f>
      </x:c>
      <x:c r="H245" s="27" t="str">
        <x:f>IF(OR('Detalle'!$G124="",'Detalle'!$H124=""),"",IF(AND(H$8&lt;='Detalle'!$H124,H$9&gt;='Detalle'!$G124),1,""))</x:f>
      </x:c>
      <x:c r="I245" s="27" t="str">
        <x:f>IF(OR('Detalle'!$G124="",'Detalle'!$H124=""),"",IF(AND(I$8&lt;='Detalle'!$H124,I$9&gt;='Detalle'!$G124),1,""))</x:f>
      </x:c>
      <x:c r="J245" s="27" t="str">
        <x:f>IF(OR('Detalle'!$G124="",'Detalle'!$H124=""),"",IF(AND(J$8&lt;='Detalle'!$H124,J$9&gt;='Detalle'!$G124),1,""))</x:f>
      </x:c>
      <x:c r="K245" s="27" t="str">
        <x:f>IF(OR('Detalle'!$G124="",'Detalle'!$H124=""),"",IF(AND(K$8&lt;='Detalle'!$H124,K$9&gt;='Detalle'!$G124),1,""))</x:f>
      </x:c>
      <x:c r="L245" s="27" t="n">
        <x:f>IF(OR('Detalle'!$G124="",'Detalle'!$H124=""),"",IF(AND(L$8&lt;='Detalle'!$H124,L$9&gt;='Detalle'!$G124),1,""))</x:f>
        <x:v>1</x:v>
      </x:c>
      <x:c r="M245" s="27" t="str">
        <x:f>IF(OR('Detalle'!$G124="",'Detalle'!$H124=""),"",IF(AND(M$8&lt;='Detalle'!$H124,M$9&gt;='Detalle'!$G124),1,""))</x:f>
      </x:c>
      <x:c r="N245" s="27" t="str">
        <x:f>IF(OR('Detalle'!$G124="",'Detalle'!$H124=""),"",IF(AND(N$8&lt;='Detalle'!$H124,N$9&gt;='Detalle'!$G124),1,""))</x:f>
      </x:c>
      <x:c r="O245" s="27" t="str">
        <x:f>IF(OR('Detalle'!$G124="",'Detalle'!$H124=""),"",IF(AND(O$8&lt;='Detalle'!$H124,O$9&gt;='Detalle'!$G124),1,""))</x:f>
      </x:c>
      <x:c r="P245" s="27" t="str">
        <x:f>IF(OR('Detalle'!$G124="",'Detalle'!$H124=""),"",IF(AND(P$8&lt;='Detalle'!$H124,P$9&gt;='Detalle'!$G124),1,""))</x:f>
      </x:c>
      <x:c r="Q245" s="27" t="str">
        <x:f>IF(OR('Detalle'!$G124="",'Detalle'!$H124=""),"",IF(AND(Q$8&lt;='Detalle'!$H124,Q$9&gt;='Detalle'!$G124),1,""))</x:f>
      </x:c>
      <x:c r="R245" s="49"/>
      <x:c r="S245" s="30" t="str">
        <x:f>IF('Detalle'!L124="","",'Detalle'!L124)</x:f>
        <x:v>Fatima</x:v>
      </x:c>
      <x:c r="T245" s="30" t="str">
        <x:f>IF('Detalle'!M124="","",'Detalle'!M124)</x:f>
      </x:c>
    </x:row>
    <x:row r="246" ht="17" customHeight="1">
      <x:c r="A246" s="28" t="str">
        <x:v>QA-16</x:v>
      </x:c>
      <x:c r="B246" s="28" t="str">
        <x:v>Mapa</x:v>
      </x:c>
      <x:c r="C246" s="28" t="str">
        <x:v>Verificar permisos GPS y búsqueda geográfica real</x:v>
      </x:c>
      <x:c r="D246" s="47" t="str">
        <x:v>R</x:v>
      </x:c>
      <x:c r="E246" s="48" t="str">
        <x:f>IF('Detalle'!J124="","",'Detalle'!J124)</x:f>
      </x:c>
      <x:c r="F246" s="44" t="str"/>
      <x:c r="G246" s="27" t="str">
        <x:f>IF(AND('Detalle'!$F124="Completado",G245=1),1,"")</x:f>
      </x:c>
      <x:c r="H246" s="27" t="str">
        <x:f>IF(AND('Detalle'!$F124="Completado",H245=1),1,"")</x:f>
      </x:c>
      <x:c r="I246" s="27" t="str">
        <x:f>IF(AND('Detalle'!$F124="Completado",I245=1),1,"")</x:f>
      </x:c>
      <x:c r="J246" s="27" t="str">
        <x:f>IF(AND('Detalle'!$F124="Completado",J245=1),1,"")</x:f>
      </x:c>
      <x:c r="K246" s="27" t="str">
        <x:f>IF(AND('Detalle'!$F124="Completado",K245=1),1,"")</x:f>
      </x:c>
      <x:c r="L246" s="27" t="str">
        <x:f>IF(AND('Detalle'!$F124="Completado",L245=1),1,"")</x:f>
      </x:c>
      <x:c r="M246" s="27" t="str">
        <x:f>IF(AND('Detalle'!$F124="Completado",M245=1),1,"")</x:f>
      </x:c>
      <x:c r="N246" s="27" t="str">
        <x:f>IF(AND('Detalle'!$F124="Completado",N245=1),1,"")</x:f>
      </x:c>
      <x:c r="O246" s="27" t="str">
        <x:f>IF(AND('Detalle'!$F124="Completado",O245=1),1,"")</x:f>
      </x:c>
      <x:c r="P246" s="27" t="str">
        <x:f>IF(AND('Detalle'!$F124="Completado",P245=1),1,"")</x:f>
      </x:c>
      <x:c r="Q246" s="27" t="str">
        <x:f>IF(AND('Detalle'!$F124="Completado",Q245=1),1,"")</x:f>
      </x:c>
      <x:c r="R246" s="49"/>
      <x:c r="S246" s="30" t="str"/>
      <x:c r="T246" s="30" t="str"/>
    </x:row>
    <x:row r="247" ht="17" customHeight="1">
      <x:c r="A247" s="28" t="str">
        <x:v>QA-17</x:v>
      </x:c>
      <x:c r="B247" s="28" t="str">
        <x:v>Push</x:v>
      </x:c>
      <x:c r="C247" s="28" t="str">
        <x:v>Probar permisos, cambio de cuenta y renovación de token</x:v>
      </x:c>
      <x:c r="D247" s="46" t="str">
        <x:v>E</x:v>
      </x:c>
      <x:c r="E247" s="48" t="n">
        <x:f>IF('Detalle'!I125="","",'Detalle'!I125)</x:f>
        <x:v>2</x:v>
      </x:c>
      <x:c r="F247" s="44" t="str">
        <x:f>IF('Detalle'!F125="","",'Detalle'!F125)</x:f>
        <x:v>Pendiente</x:v>
      </x:c>
      <x:c r="G247" s="27" t="str">
        <x:f>IF(OR('Detalle'!$G125="",'Detalle'!$H125=""),"",IF(AND(G$8&lt;='Detalle'!$H125,G$9&gt;='Detalle'!$G125),1,""))</x:f>
      </x:c>
      <x:c r="H247" s="27" t="str">
        <x:f>IF(OR('Detalle'!$G125="",'Detalle'!$H125=""),"",IF(AND(H$8&lt;='Detalle'!$H125,H$9&gt;='Detalle'!$G125),1,""))</x:f>
      </x:c>
      <x:c r="I247" s="27" t="str">
        <x:f>IF(OR('Detalle'!$G125="",'Detalle'!$H125=""),"",IF(AND(I$8&lt;='Detalle'!$H125,I$9&gt;='Detalle'!$G125),1,""))</x:f>
      </x:c>
      <x:c r="J247" s="27" t="str">
        <x:f>IF(OR('Detalle'!$G125="",'Detalle'!$H125=""),"",IF(AND(J$8&lt;='Detalle'!$H125,J$9&gt;='Detalle'!$G125),1,""))</x:f>
      </x:c>
      <x:c r="K247" s="27" t="str">
        <x:f>IF(OR('Detalle'!$G125="",'Detalle'!$H125=""),"",IF(AND(K$8&lt;='Detalle'!$H125,K$9&gt;='Detalle'!$G125),1,""))</x:f>
      </x:c>
      <x:c r="L247" s="27" t="n">
        <x:f>IF(OR('Detalle'!$G125="",'Detalle'!$H125=""),"",IF(AND(L$8&lt;='Detalle'!$H125,L$9&gt;='Detalle'!$G125),1,""))</x:f>
        <x:v>1</x:v>
      </x:c>
      <x:c r="M247" s="27" t="n">
        <x:f>IF(OR('Detalle'!$G125="",'Detalle'!$H125=""),"",IF(AND(M$8&lt;='Detalle'!$H125,M$9&gt;='Detalle'!$G125),1,""))</x:f>
        <x:v>1</x:v>
      </x:c>
      <x:c r="N247" s="27" t="str">
        <x:f>IF(OR('Detalle'!$G125="",'Detalle'!$H125=""),"",IF(AND(N$8&lt;='Detalle'!$H125,N$9&gt;='Detalle'!$G125),1,""))</x:f>
      </x:c>
      <x:c r="O247" s="27" t="str">
        <x:f>IF(OR('Detalle'!$G125="",'Detalle'!$H125=""),"",IF(AND(O$8&lt;='Detalle'!$H125,O$9&gt;='Detalle'!$G125),1,""))</x:f>
      </x:c>
      <x:c r="P247" s="27" t="str">
        <x:f>IF(OR('Detalle'!$G125="",'Detalle'!$H125=""),"",IF(AND(P$8&lt;='Detalle'!$H125,P$9&gt;='Detalle'!$G125),1,""))</x:f>
      </x:c>
      <x:c r="Q247" s="27" t="str">
        <x:f>IF(OR('Detalle'!$G125="",'Detalle'!$H125=""),"",IF(AND(Q$8&lt;='Detalle'!$H125,Q$9&gt;='Detalle'!$G125),1,""))</x:f>
      </x:c>
      <x:c r="R247" s="49"/>
      <x:c r="S247" s="30" t="str">
        <x:f>IF('Detalle'!L125="","",'Detalle'!L125)</x:f>
        <x:v>Cristopher</x:v>
      </x:c>
      <x:c r="T247" s="30" t="str">
        <x:f>IF('Detalle'!M125="","",'Detalle'!M125)</x:f>
      </x:c>
    </x:row>
    <x:row r="248" ht="17" customHeight="1">
      <x:c r="A248" s="28" t="str">
        <x:v>QA-17</x:v>
      </x:c>
      <x:c r="B248" s="28" t="str">
        <x:v>Push</x:v>
      </x:c>
      <x:c r="C248" s="28" t="str">
        <x:v>Probar permisos, cambio de cuenta y renovación de token</x:v>
      </x:c>
      <x:c r="D248" s="47" t="str">
        <x:v>R</x:v>
      </x:c>
      <x:c r="E248" s="48" t="str">
        <x:f>IF('Detalle'!J125="","",'Detalle'!J125)</x:f>
      </x:c>
      <x:c r="F248" s="44" t="str"/>
      <x:c r="G248" s="27" t="str">
        <x:f>IF(AND('Detalle'!$F125="Completado",G247=1),1,"")</x:f>
      </x:c>
      <x:c r="H248" s="27" t="str">
        <x:f>IF(AND('Detalle'!$F125="Completado",H247=1),1,"")</x:f>
      </x:c>
      <x:c r="I248" s="27" t="str">
        <x:f>IF(AND('Detalle'!$F125="Completado",I247=1),1,"")</x:f>
      </x:c>
      <x:c r="J248" s="27" t="str">
        <x:f>IF(AND('Detalle'!$F125="Completado",J247=1),1,"")</x:f>
      </x:c>
      <x:c r="K248" s="27" t="str">
        <x:f>IF(AND('Detalle'!$F125="Completado",K247=1),1,"")</x:f>
      </x:c>
      <x:c r="L248" s="27" t="str">
        <x:f>IF(AND('Detalle'!$F125="Completado",L247=1),1,"")</x:f>
      </x:c>
      <x:c r="M248" s="27" t="str">
        <x:f>IF(AND('Detalle'!$F125="Completado",M247=1),1,"")</x:f>
      </x:c>
      <x:c r="N248" s="27" t="str">
        <x:f>IF(AND('Detalle'!$F125="Completado",N247=1),1,"")</x:f>
      </x:c>
      <x:c r="O248" s="27" t="str">
        <x:f>IF(AND('Detalle'!$F125="Completado",O247=1),1,"")</x:f>
      </x:c>
      <x:c r="P248" s="27" t="str">
        <x:f>IF(AND('Detalle'!$F125="Completado",P247=1),1,"")</x:f>
      </x:c>
      <x:c r="Q248" s="27" t="str">
        <x:f>IF(AND('Detalle'!$F125="Completado",Q247=1),1,"")</x:f>
      </x:c>
      <x:c r="R248" s="49"/>
      <x:c r="S248" s="30" t="str"/>
      <x:c r="T248" s="30" t="str"/>
    </x:row>
    <x:row r="249" ht="17" customHeight="1">
      <x:c r="A249" s="28" t="str">
        <x:v>QA-18</x:v>
      </x:c>
      <x:c r="B249" s="28" t="str">
        <x:v>Moderación</x:v>
      </x:c>
      <x:c r="C249" s="28" t="str">
        <x:v>Verificar reportes y restauración con cuentas reales</x:v>
      </x:c>
      <x:c r="D249" s="46" t="str">
        <x:v>E</x:v>
      </x:c>
      <x:c r="E249" s="48" t="n">
        <x:f>IF('Detalle'!I126="","",'Detalle'!I126)</x:f>
        <x:v>1</x:v>
      </x:c>
      <x:c r="F249" s="44" t="str">
        <x:f>IF('Detalle'!F126="","",'Detalle'!F126)</x:f>
        <x:v>Pendiente</x:v>
      </x:c>
      <x:c r="G249" s="27" t="str">
        <x:f>IF(OR('Detalle'!$G126="",'Detalle'!$H126=""),"",IF(AND(G$8&lt;='Detalle'!$H126,G$9&gt;='Detalle'!$G126),1,""))</x:f>
      </x:c>
      <x:c r="H249" s="27" t="str">
        <x:f>IF(OR('Detalle'!$G126="",'Detalle'!$H126=""),"",IF(AND(H$8&lt;='Detalle'!$H126,H$9&gt;='Detalle'!$G126),1,""))</x:f>
      </x:c>
      <x:c r="I249" s="27" t="str">
        <x:f>IF(OR('Detalle'!$G126="",'Detalle'!$H126=""),"",IF(AND(I$8&lt;='Detalle'!$H126,I$9&gt;='Detalle'!$G126),1,""))</x:f>
      </x:c>
      <x:c r="J249" s="27" t="str">
        <x:f>IF(OR('Detalle'!$G126="",'Detalle'!$H126=""),"",IF(AND(J$8&lt;='Detalle'!$H126,J$9&gt;='Detalle'!$G126),1,""))</x:f>
      </x:c>
      <x:c r="K249" s="27" t="str">
        <x:f>IF(OR('Detalle'!$G126="",'Detalle'!$H126=""),"",IF(AND(K$8&lt;='Detalle'!$H126,K$9&gt;='Detalle'!$G126),1,""))</x:f>
      </x:c>
      <x:c r="L249" s="27" t="str">
        <x:f>IF(OR('Detalle'!$G126="",'Detalle'!$H126=""),"",IF(AND(L$8&lt;='Detalle'!$H126,L$9&gt;='Detalle'!$G126),1,""))</x:f>
      </x:c>
      <x:c r="M249" s="27" t="n">
        <x:f>IF(OR('Detalle'!$G126="",'Detalle'!$H126=""),"",IF(AND(M$8&lt;='Detalle'!$H126,M$9&gt;='Detalle'!$G126),1,""))</x:f>
        <x:v>1</x:v>
      </x:c>
      <x:c r="N249" s="27" t="str">
        <x:f>IF(OR('Detalle'!$G126="",'Detalle'!$H126=""),"",IF(AND(N$8&lt;='Detalle'!$H126,N$9&gt;='Detalle'!$G126),1,""))</x:f>
      </x:c>
      <x:c r="O249" s="27" t="str">
        <x:f>IF(OR('Detalle'!$G126="",'Detalle'!$H126=""),"",IF(AND(O$8&lt;='Detalle'!$H126,O$9&gt;='Detalle'!$G126),1,""))</x:f>
      </x:c>
      <x:c r="P249" s="27" t="str">
        <x:f>IF(OR('Detalle'!$G126="",'Detalle'!$H126=""),"",IF(AND(P$8&lt;='Detalle'!$H126,P$9&gt;='Detalle'!$G126),1,""))</x:f>
      </x:c>
      <x:c r="Q249" s="27" t="str">
        <x:f>IF(OR('Detalle'!$G126="",'Detalle'!$H126=""),"",IF(AND(Q$8&lt;='Detalle'!$H126,Q$9&gt;='Detalle'!$G126),1,""))</x:f>
      </x:c>
      <x:c r="R249" s="49"/>
      <x:c r="S249" s="30" t="str">
        <x:f>IF('Detalle'!L126="","",'Detalle'!L126)</x:f>
        <x:v>Alan</x:v>
      </x:c>
      <x:c r="T249" s="30" t="str">
        <x:f>IF('Detalle'!M126="","",'Detalle'!M126)</x:f>
      </x:c>
    </x:row>
    <x:row r="250" ht="17" customHeight="1">
      <x:c r="A250" s="28" t="str">
        <x:v>QA-18</x:v>
      </x:c>
      <x:c r="B250" s="28" t="str">
        <x:v>Moderación</x:v>
      </x:c>
      <x:c r="C250" s="28" t="str">
        <x:v>Verificar reportes y restauración con cuentas reales</x:v>
      </x:c>
      <x:c r="D250" s="47" t="str">
        <x:v>R</x:v>
      </x:c>
      <x:c r="E250" s="48" t="str">
        <x:f>IF('Detalle'!J126="","",'Detalle'!J126)</x:f>
      </x:c>
      <x:c r="F250" s="44" t="str"/>
      <x:c r="G250" s="27" t="str">
        <x:f>IF(AND('Detalle'!$F126="Completado",G249=1),1,"")</x:f>
      </x:c>
      <x:c r="H250" s="27" t="str">
        <x:f>IF(AND('Detalle'!$F126="Completado",H249=1),1,"")</x:f>
      </x:c>
      <x:c r="I250" s="27" t="str">
        <x:f>IF(AND('Detalle'!$F126="Completado",I249=1),1,"")</x:f>
      </x:c>
      <x:c r="J250" s="27" t="str">
        <x:f>IF(AND('Detalle'!$F126="Completado",J249=1),1,"")</x:f>
      </x:c>
      <x:c r="K250" s="27" t="str">
        <x:f>IF(AND('Detalle'!$F126="Completado",K249=1),1,"")</x:f>
      </x:c>
      <x:c r="L250" s="27" t="str">
        <x:f>IF(AND('Detalle'!$F126="Completado",L249=1),1,"")</x:f>
      </x:c>
      <x:c r="M250" s="27" t="str">
        <x:f>IF(AND('Detalle'!$F126="Completado",M249=1),1,"")</x:f>
      </x:c>
      <x:c r="N250" s="27" t="str">
        <x:f>IF(AND('Detalle'!$F126="Completado",N249=1),1,"")</x:f>
      </x:c>
      <x:c r="O250" s="27" t="str">
        <x:f>IF(AND('Detalle'!$F126="Completado",O249=1),1,"")</x:f>
      </x:c>
      <x:c r="P250" s="27" t="str">
        <x:f>IF(AND('Detalle'!$F126="Completado",P249=1),1,"")</x:f>
      </x:c>
      <x:c r="Q250" s="27" t="str">
        <x:f>IF(AND('Detalle'!$F126="Completado",Q249=1),1,"")</x:f>
      </x:c>
      <x:c r="R250" s="49"/>
      <x:c r="S250" s="30" t="str"/>
      <x:c r="T250" s="30" t="str"/>
    </x:row>
    <x:row r="251" ht="17" customHeight="1">
      <x:c r="A251" s="28" t="str">
        <x:v>QA-19</x:v>
      </x:c>
      <x:c r="B251" s="28" t="str">
        <x:v>Recorridos y AR</x:v>
      </x:c>
      <x:c r="C251" s="28" t="str">
        <x:v>Calibrar captura óptica y FOV en teléfonos</x:v>
      </x:c>
      <x:c r="D251" s="46" t="str">
        <x:v>E</x:v>
      </x:c>
      <x:c r="E251" s="48" t="n">
        <x:f>IF('Detalle'!I127="","",'Detalle'!I127)</x:f>
        <x:v>2</x:v>
      </x:c>
      <x:c r="F251" s="44" t="str">
        <x:f>IF('Detalle'!F127="","",'Detalle'!F127)</x:f>
        <x:v>Pendiente</x:v>
      </x:c>
      <x:c r="G251" s="27" t="str">
        <x:f>IF(OR('Detalle'!$G127="",'Detalle'!$H127=""),"",IF(AND(G$8&lt;='Detalle'!$H127,G$9&gt;='Detalle'!$G127),1,""))</x:f>
      </x:c>
      <x:c r="H251" s="27" t="str">
        <x:f>IF(OR('Detalle'!$G127="",'Detalle'!$H127=""),"",IF(AND(H$8&lt;='Detalle'!$H127,H$9&gt;='Detalle'!$G127),1,""))</x:f>
      </x:c>
      <x:c r="I251" s="27" t="str">
        <x:f>IF(OR('Detalle'!$G127="",'Detalle'!$H127=""),"",IF(AND(I$8&lt;='Detalle'!$H127,I$9&gt;='Detalle'!$G127),1,""))</x:f>
      </x:c>
      <x:c r="J251" s="27" t="str">
        <x:f>IF(OR('Detalle'!$G127="",'Detalle'!$H127=""),"",IF(AND(J$8&lt;='Detalle'!$H127,J$9&gt;='Detalle'!$G127),1,""))</x:f>
      </x:c>
      <x:c r="K251" s="27" t="str">
        <x:f>IF(OR('Detalle'!$G127="",'Detalle'!$H127=""),"",IF(AND(K$8&lt;='Detalle'!$H127,K$9&gt;='Detalle'!$G127),1,""))</x:f>
      </x:c>
      <x:c r="L251" s="27" t="n">
        <x:f>IF(OR('Detalle'!$G127="",'Detalle'!$H127=""),"",IF(AND(L$8&lt;='Detalle'!$H127,L$9&gt;='Detalle'!$G127),1,""))</x:f>
        <x:v>1</x:v>
      </x:c>
      <x:c r="M251" s="27" t="n">
        <x:f>IF(OR('Detalle'!$G127="",'Detalle'!$H127=""),"",IF(AND(M$8&lt;='Detalle'!$H127,M$9&gt;='Detalle'!$G127),1,""))</x:f>
        <x:v>1</x:v>
      </x:c>
      <x:c r="N251" s="27" t="str">
        <x:f>IF(OR('Detalle'!$G127="",'Detalle'!$H127=""),"",IF(AND(N$8&lt;='Detalle'!$H127,N$9&gt;='Detalle'!$G127),1,""))</x:f>
      </x:c>
      <x:c r="O251" s="27" t="str">
        <x:f>IF(OR('Detalle'!$G127="",'Detalle'!$H127=""),"",IF(AND(O$8&lt;='Detalle'!$H127,O$9&gt;='Detalle'!$G127),1,""))</x:f>
      </x:c>
      <x:c r="P251" s="27" t="str">
        <x:f>IF(OR('Detalle'!$G127="",'Detalle'!$H127=""),"",IF(AND(P$8&lt;='Detalle'!$H127,P$9&gt;='Detalle'!$G127),1,""))</x:f>
      </x:c>
      <x:c r="Q251" s="27" t="str">
        <x:f>IF(OR('Detalle'!$G127="",'Detalle'!$H127=""),"",IF(AND(Q$8&lt;='Detalle'!$H127,Q$9&gt;='Detalle'!$G127),1,""))</x:f>
      </x:c>
      <x:c r="R251" s="49"/>
      <x:c r="S251" s="30" t="str">
        <x:f>IF('Detalle'!L127="","",'Detalle'!L127)</x:f>
        <x:v>Ximena</x:v>
      </x:c>
      <x:c r="T251" s="30" t="str">
        <x:f>IF('Detalle'!M127="","",'Detalle'!M127)</x:f>
      </x:c>
    </x:row>
    <x:row r="252" ht="17" customHeight="1">
      <x:c r="A252" s="28" t="str">
        <x:v>QA-19</x:v>
      </x:c>
      <x:c r="B252" s="28" t="str">
        <x:v>Recorridos y AR</x:v>
      </x:c>
      <x:c r="C252" s="28" t="str">
        <x:v>Calibrar captura óptica y FOV en teléfonos</x:v>
      </x:c>
      <x:c r="D252" s="47" t="str">
        <x:v>R</x:v>
      </x:c>
      <x:c r="E252" s="48" t="str">
        <x:f>IF('Detalle'!J127="","",'Detalle'!J127)</x:f>
      </x:c>
      <x:c r="F252" s="44" t="str"/>
      <x:c r="G252" s="27" t="str">
        <x:f>IF(AND('Detalle'!$F127="Completado",G251=1),1,"")</x:f>
      </x:c>
      <x:c r="H252" s="27" t="str">
        <x:f>IF(AND('Detalle'!$F127="Completado",H251=1),1,"")</x:f>
      </x:c>
      <x:c r="I252" s="27" t="str">
        <x:f>IF(AND('Detalle'!$F127="Completado",I251=1),1,"")</x:f>
      </x:c>
      <x:c r="J252" s="27" t="str">
        <x:f>IF(AND('Detalle'!$F127="Completado",J251=1),1,"")</x:f>
      </x:c>
      <x:c r="K252" s="27" t="str">
        <x:f>IF(AND('Detalle'!$F127="Completado",K251=1),1,"")</x:f>
      </x:c>
      <x:c r="L252" s="27" t="str">
        <x:f>IF(AND('Detalle'!$F127="Completado",L251=1),1,"")</x:f>
      </x:c>
      <x:c r="M252" s="27" t="str">
        <x:f>IF(AND('Detalle'!$F127="Completado",M251=1),1,"")</x:f>
      </x:c>
      <x:c r="N252" s="27" t="str">
        <x:f>IF(AND('Detalle'!$F127="Completado",N251=1),1,"")</x:f>
      </x:c>
      <x:c r="O252" s="27" t="str">
        <x:f>IF(AND('Detalle'!$F127="Completado",O251=1),1,"")</x:f>
      </x:c>
      <x:c r="P252" s="27" t="str">
        <x:f>IF(AND('Detalle'!$F127="Completado",P251=1),1,"")</x:f>
      </x:c>
      <x:c r="Q252" s="27" t="str">
        <x:f>IF(AND('Detalle'!$F127="Completado",Q251=1),1,"")</x:f>
      </x:c>
      <x:c r="R252" s="49"/>
      <x:c r="S252" s="30" t="str"/>
      <x:c r="T252" s="30" t="str"/>
    </x:row>
    <x:row r="253" ht="17" customHeight="1">
      <x:c r="A253" s="28" t="str">
        <x:v>QA-20</x:v>
      </x:c>
      <x:c r="B253" s="28" t="str">
        <x:v>Recorridos y AR</x:v>
      </x:c>
      <x:c r="C253" s="28" t="str">
        <x:v>Validar panoramas de un local físico</x:v>
      </x:c>
      <x:c r="D253" s="46" t="str">
        <x:v>E</x:v>
      </x:c>
      <x:c r="E253" s="48" t="n">
        <x:f>IF('Detalle'!I128="","",'Detalle'!I128)</x:f>
        <x:v>2</x:v>
      </x:c>
      <x:c r="F253" s="44" t="str">
        <x:f>IF('Detalle'!F128="","",'Detalle'!F128)</x:f>
        <x:v>Pendiente</x:v>
      </x:c>
      <x:c r="G253" s="27" t="str">
        <x:f>IF(OR('Detalle'!$G128="",'Detalle'!$H128=""),"",IF(AND(G$8&lt;='Detalle'!$H128,G$9&gt;='Detalle'!$G128),1,""))</x:f>
      </x:c>
      <x:c r="H253" s="27" t="str">
        <x:f>IF(OR('Detalle'!$G128="",'Detalle'!$H128=""),"",IF(AND(H$8&lt;='Detalle'!$H128,H$9&gt;='Detalle'!$G128),1,""))</x:f>
      </x:c>
      <x:c r="I253" s="27" t="str">
        <x:f>IF(OR('Detalle'!$G128="",'Detalle'!$H128=""),"",IF(AND(I$8&lt;='Detalle'!$H128,I$9&gt;='Detalle'!$G128),1,""))</x:f>
      </x:c>
      <x:c r="J253" s="27" t="str">
        <x:f>IF(OR('Detalle'!$G128="",'Detalle'!$H128=""),"",IF(AND(J$8&lt;='Detalle'!$H128,J$9&gt;='Detalle'!$G128),1,""))</x:f>
      </x:c>
      <x:c r="K253" s="27" t="str">
        <x:f>IF(OR('Detalle'!$G128="",'Detalle'!$H128=""),"",IF(AND(K$8&lt;='Detalle'!$H128,K$9&gt;='Detalle'!$G128),1,""))</x:f>
      </x:c>
      <x:c r="L253" s="27" t="str">
        <x:f>IF(OR('Detalle'!$G128="",'Detalle'!$H128=""),"",IF(AND(L$8&lt;='Detalle'!$H128,L$9&gt;='Detalle'!$G128),1,""))</x:f>
      </x:c>
      <x:c r="M253" s="27" t="n">
        <x:f>IF(OR('Detalle'!$G128="",'Detalle'!$H128=""),"",IF(AND(M$8&lt;='Detalle'!$H128,M$9&gt;='Detalle'!$G128),1,""))</x:f>
        <x:v>1</x:v>
      </x:c>
      <x:c r="N253" s="27" t="n">
        <x:f>IF(OR('Detalle'!$G128="",'Detalle'!$H128=""),"",IF(AND(N$8&lt;='Detalle'!$H128,N$9&gt;='Detalle'!$G128),1,""))</x:f>
        <x:v>1</x:v>
      </x:c>
      <x:c r="O253" s="27" t="str">
        <x:f>IF(OR('Detalle'!$G128="",'Detalle'!$H128=""),"",IF(AND(O$8&lt;='Detalle'!$H128,O$9&gt;='Detalle'!$G128),1,""))</x:f>
      </x:c>
      <x:c r="P253" s="27" t="str">
        <x:f>IF(OR('Detalle'!$G128="",'Detalle'!$H128=""),"",IF(AND(P$8&lt;='Detalle'!$H128,P$9&gt;='Detalle'!$G128),1,""))</x:f>
      </x:c>
      <x:c r="Q253" s="27" t="str">
        <x:f>IF(OR('Detalle'!$G128="",'Detalle'!$H128=""),"",IF(AND(Q$8&lt;='Detalle'!$H128,Q$9&gt;='Detalle'!$G128),1,""))</x:f>
      </x:c>
      <x:c r="R253" s="49"/>
      <x:c r="S253" s="30" t="str">
        <x:f>IF('Detalle'!L128="","",'Detalle'!L128)</x:f>
        <x:v>Ximena</x:v>
      </x:c>
      <x:c r="T253" s="30" t="str">
        <x:f>IF('Detalle'!M128="","",'Detalle'!M128)</x:f>
      </x:c>
    </x:row>
    <x:row r="254" ht="17" customHeight="1">
      <x:c r="A254" s="28" t="str">
        <x:v>QA-20</x:v>
      </x:c>
      <x:c r="B254" s="28" t="str">
        <x:v>Recorridos y AR</x:v>
      </x:c>
      <x:c r="C254" s="28" t="str">
        <x:v>Validar panoramas de un local físico</x:v>
      </x:c>
      <x:c r="D254" s="47" t="str">
        <x:v>R</x:v>
      </x:c>
      <x:c r="E254" s="48" t="str">
        <x:f>IF('Detalle'!J128="","",'Detalle'!J128)</x:f>
      </x:c>
      <x:c r="F254" s="44" t="str"/>
      <x:c r="G254" s="27" t="str">
        <x:f>IF(AND('Detalle'!$F128="Completado",G253=1),1,"")</x:f>
      </x:c>
      <x:c r="H254" s="27" t="str">
        <x:f>IF(AND('Detalle'!$F128="Completado",H253=1),1,"")</x:f>
      </x:c>
      <x:c r="I254" s="27" t="str">
        <x:f>IF(AND('Detalle'!$F128="Completado",I253=1),1,"")</x:f>
      </x:c>
      <x:c r="J254" s="27" t="str">
        <x:f>IF(AND('Detalle'!$F128="Completado",J253=1),1,"")</x:f>
      </x:c>
      <x:c r="K254" s="27" t="str">
        <x:f>IF(AND('Detalle'!$F128="Completado",K253=1),1,"")</x:f>
      </x:c>
      <x:c r="L254" s="27" t="str">
        <x:f>IF(AND('Detalle'!$F128="Completado",L253=1),1,"")</x:f>
      </x:c>
      <x:c r="M254" s="27" t="str">
        <x:f>IF(AND('Detalle'!$F128="Completado",M253=1),1,"")</x:f>
      </x:c>
      <x:c r="N254" s="27" t="str">
        <x:f>IF(AND('Detalle'!$F128="Completado",N253=1),1,"")</x:f>
      </x:c>
      <x:c r="O254" s="27" t="str">
        <x:f>IF(AND('Detalle'!$F128="Completado",O253=1),1,"")</x:f>
      </x:c>
      <x:c r="P254" s="27" t="str">
        <x:f>IF(AND('Detalle'!$F128="Completado",P253=1),1,"")</x:f>
      </x:c>
      <x:c r="Q254" s="27" t="str">
        <x:f>IF(AND('Detalle'!$F128="Completado",Q253=1),1,"")</x:f>
      </x:c>
      <x:c r="R254" s="49"/>
      <x:c r="S254" s="30" t="str"/>
      <x:c r="T254" s="30" t="str"/>
    </x:row>
    <x:row r="255" ht="17" customHeight="1">
      <x:c r="A255" s="28" t="str">
        <x:v>QA-21</x:v>
      </x:c>
      <x:c r="B255" s="28" t="str">
        <x:v>Recorridos y AR</x:v>
      </x:c>
      <x:c r="C255" s="28" t="str">
        <x:v>Validar reconocimiento AR en Android e iPhone</x:v>
      </x:c>
      <x:c r="D255" s="46" t="str">
        <x:v>E</x:v>
      </x:c>
      <x:c r="E255" s="48" t="n">
        <x:f>IF('Detalle'!I129="","",'Detalle'!I129)</x:f>
        <x:v>2</x:v>
      </x:c>
      <x:c r="F255" s="44" t="str">
        <x:f>IF('Detalle'!F129="","",'Detalle'!F129)</x:f>
        <x:v>Pendiente</x:v>
      </x:c>
      <x:c r="G255" s="27" t="str">
        <x:f>IF(OR('Detalle'!$G129="",'Detalle'!$H129=""),"",IF(AND(G$8&lt;='Detalle'!$H129,G$9&gt;='Detalle'!$G129),1,""))</x:f>
      </x:c>
      <x:c r="H255" s="27" t="str">
        <x:f>IF(OR('Detalle'!$G129="",'Detalle'!$H129=""),"",IF(AND(H$8&lt;='Detalle'!$H129,H$9&gt;='Detalle'!$G129),1,""))</x:f>
      </x:c>
      <x:c r="I255" s="27" t="str">
        <x:f>IF(OR('Detalle'!$G129="",'Detalle'!$H129=""),"",IF(AND(I$8&lt;='Detalle'!$H129,I$9&gt;='Detalle'!$G129),1,""))</x:f>
      </x:c>
      <x:c r="J255" s="27" t="str">
        <x:f>IF(OR('Detalle'!$G129="",'Detalle'!$H129=""),"",IF(AND(J$8&lt;='Detalle'!$H129,J$9&gt;='Detalle'!$G129),1,""))</x:f>
      </x:c>
      <x:c r="K255" s="27" t="str">
        <x:f>IF(OR('Detalle'!$G129="",'Detalle'!$H129=""),"",IF(AND(K$8&lt;='Detalle'!$H129,K$9&gt;='Detalle'!$G129),1,""))</x:f>
      </x:c>
      <x:c r="L255" s="27" t="str">
        <x:f>IF(OR('Detalle'!$G129="",'Detalle'!$H129=""),"",IF(AND(L$8&lt;='Detalle'!$H129,L$9&gt;='Detalle'!$G129),1,""))</x:f>
      </x:c>
      <x:c r="M255" s="27" t="n">
        <x:f>IF(OR('Detalle'!$G129="",'Detalle'!$H129=""),"",IF(AND(M$8&lt;='Detalle'!$H129,M$9&gt;='Detalle'!$G129),1,""))</x:f>
        <x:v>1</x:v>
      </x:c>
      <x:c r="N255" s="27" t="n">
        <x:f>IF(OR('Detalle'!$G129="",'Detalle'!$H129=""),"",IF(AND(N$8&lt;='Detalle'!$H129,N$9&gt;='Detalle'!$G129),1,""))</x:f>
        <x:v>1</x:v>
      </x:c>
      <x:c r="O255" s="27" t="str">
        <x:f>IF(OR('Detalle'!$G129="",'Detalle'!$H129=""),"",IF(AND(O$8&lt;='Detalle'!$H129,O$9&gt;='Detalle'!$G129),1,""))</x:f>
      </x:c>
      <x:c r="P255" s="27" t="str">
        <x:f>IF(OR('Detalle'!$G129="",'Detalle'!$H129=""),"",IF(AND(P$8&lt;='Detalle'!$H129,P$9&gt;='Detalle'!$G129),1,""))</x:f>
      </x:c>
      <x:c r="Q255" s="27" t="str">
        <x:f>IF(OR('Detalle'!$G129="",'Detalle'!$H129=""),"",IF(AND(Q$8&lt;='Detalle'!$H129,Q$9&gt;='Detalle'!$G129),1,""))</x:f>
      </x:c>
      <x:c r="R255" s="49"/>
      <x:c r="S255" s="30" t="str">
        <x:f>IF('Detalle'!L129="","",'Detalle'!L129)</x:f>
        <x:v>Santiago</x:v>
      </x:c>
      <x:c r="T255" s="30" t="str">
        <x:f>IF('Detalle'!M129="","",'Detalle'!M129)</x:f>
      </x:c>
    </x:row>
    <x:row r="256" ht="17" customHeight="1">
      <x:c r="A256" s="28" t="str">
        <x:v>QA-21</x:v>
      </x:c>
      <x:c r="B256" s="28" t="str">
        <x:v>Recorridos y AR</x:v>
      </x:c>
      <x:c r="C256" s="28" t="str">
        <x:v>Validar reconocimiento AR en Android e iPhone</x:v>
      </x:c>
      <x:c r="D256" s="47" t="str">
        <x:v>R</x:v>
      </x:c>
      <x:c r="E256" s="48" t="str">
        <x:f>IF('Detalle'!J129="","",'Detalle'!J129)</x:f>
      </x:c>
      <x:c r="F256" s="44" t="str"/>
      <x:c r="G256" s="27" t="str">
        <x:f>IF(AND('Detalle'!$F129="Completado",G255=1),1,"")</x:f>
      </x:c>
      <x:c r="H256" s="27" t="str">
        <x:f>IF(AND('Detalle'!$F129="Completado",H255=1),1,"")</x:f>
      </x:c>
      <x:c r="I256" s="27" t="str">
        <x:f>IF(AND('Detalle'!$F129="Completado",I255=1),1,"")</x:f>
      </x:c>
      <x:c r="J256" s="27" t="str">
        <x:f>IF(AND('Detalle'!$F129="Completado",J255=1),1,"")</x:f>
      </x:c>
      <x:c r="K256" s="27" t="str">
        <x:f>IF(AND('Detalle'!$F129="Completado",K255=1),1,"")</x:f>
      </x:c>
      <x:c r="L256" s="27" t="str">
        <x:f>IF(AND('Detalle'!$F129="Completado",L255=1),1,"")</x:f>
      </x:c>
      <x:c r="M256" s="27" t="str">
        <x:f>IF(AND('Detalle'!$F129="Completado",M255=1),1,"")</x:f>
      </x:c>
      <x:c r="N256" s="27" t="str">
        <x:f>IF(AND('Detalle'!$F129="Completado",N255=1),1,"")</x:f>
      </x:c>
      <x:c r="O256" s="27" t="str">
        <x:f>IF(AND('Detalle'!$F129="Completado",O255=1),1,"")</x:f>
      </x:c>
      <x:c r="P256" s="27" t="str">
        <x:f>IF(AND('Detalle'!$F129="Completado",P255=1),1,"")</x:f>
      </x:c>
      <x:c r="Q256" s="27" t="str">
        <x:f>IF(AND('Detalle'!$F129="Completado",Q255=1),1,"")</x:f>
      </x:c>
      <x:c r="R256" s="49"/>
      <x:c r="S256" s="30" t="str"/>
      <x:c r="T256" s="30" t="str"/>
    </x:row>
    <x:row r="257" ht="17" customHeight="1">
      <x:c r="A257" s="28" t="str">
        <x:v>QA-22</x:v>
      </x:c>
      <x:c r="B257" s="28" t="str">
        <x:v>Recorridos y AR</x:v>
      </x:c>
      <x:c r="C257" s="28" t="str">
        <x:v>Validar recuperación, permisos y equipos sin soporte</x:v>
      </x:c>
      <x:c r="D257" s="46" t="str">
        <x:v>E</x:v>
      </x:c>
      <x:c r="E257" s="48" t="n">
        <x:f>IF('Detalle'!I130="","",'Detalle'!I130)</x:f>
        <x:v>1</x:v>
      </x:c>
      <x:c r="F257" s="44" t="str">
        <x:f>IF('Detalle'!F130="","",'Detalle'!F130)</x:f>
        <x:v>Pendiente</x:v>
      </x:c>
      <x:c r="G257" s="27" t="str">
        <x:f>IF(OR('Detalle'!$G130="",'Detalle'!$H130=""),"",IF(AND(G$8&lt;='Detalle'!$H130,G$9&gt;='Detalle'!$G130),1,""))</x:f>
      </x:c>
      <x:c r="H257" s="27" t="str">
        <x:f>IF(OR('Detalle'!$G130="",'Detalle'!$H130=""),"",IF(AND(H$8&lt;='Detalle'!$H130,H$9&gt;='Detalle'!$G130),1,""))</x:f>
      </x:c>
      <x:c r="I257" s="27" t="str">
        <x:f>IF(OR('Detalle'!$G130="",'Detalle'!$H130=""),"",IF(AND(I$8&lt;='Detalle'!$H130,I$9&gt;='Detalle'!$G130),1,""))</x:f>
      </x:c>
      <x:c r="J257" s="27" t="str">
        <x:f>IF(OR('Detalle'!$G130="",'Detalle'!$H130=""),"",IF(AND(J$8&lt;='Detalle'!$H130,J$9&gt;='Detalle'!$G130),1,""))</x:f>
      </x:c>
      <x:c r="K257" s="27" t="str">
        <x:f>IF(OR('Detalle'!$G130="",'Detalle'!$H130=""),"",IF(AND(K$8&lt;='Detalle'!$H130,K$9&gt;='Detalle'!$G130),1,""))</x:f>
      </x:c>
      <x:c r="L257" s="27" t="str">
        <x:f>IF(OR('Detalle'!$G130="",'Detalle'!$H130=""),"",IF(AND(L$8&lt;='Detalle'!$H130,L$9&gt;='Detalle'!$G130),1,""))</x:f>
      </x:c>
      <x:c r="M257" s="27" t="str">
        <x:f>IF(OR('Detalle'!$G130="",'Detalle'!$H130=""),"",IF(AND(M$8&lt;='Detalle'!$H130,M$9&gt;='Detalle'!$G130),1,""))</x:f>
      </x:c>
      <x:c r="N257" s="27" t="n">
        <x:f>IF(OR('Detalle'!$G130="",'Detalle'!$H130=""),"",IF(AND(N$8&lt;='Detalle'!$H130,N$9&gt;='Detalle'!$G130),1,""))</x:f>
        <x:v>1</x:v>
      </x:c>
      <x:c r="O257" s="27" t="str">
        <x:f>IF(OR('Detalle'!$G130="",'Detalle'!$H130=""),"",IF(AND(O$8&lt;='Detalle'!$H130,O$9&gt;='Detalle'!$G130),1,""))</x:f>
      </x:c>
      <x:c r="P257" s="27" t="str">
        <x:f>IF(OR('Detalle'!$G130="",'Detalle'!$H130=""),"",IF(AND(P$8&lt;='Detalle'!$H130,P$9&gt;='Detalle'!$G130),1,""))</x:f>
      </x:c>
      <x:c r="Q257" s="27" t="str">
        <x:f>IF(OR('Detalle'!$G130="",'Detalle'!$H130=""),"",IF(AND(Q$8&lt;='Detalle'!$H130,Q$9&gt;='Detalle'!$G130),1,""))</x:f>
      </x:c>
      <x:c r="R257" s="49"/>
      <x:c r="S257" s="30" t="str">
        <x:f>IF('Detalle'!L130="","",'Detalle'!L130)</x:f>
        <x:v>Santiago</x:v>
      </x:c>
      <x:c r="T257" s="30" t="str">
        <x:f>IF('Detalle'!M130="","",'Detalle'!M130)</x:f>
      </x:c>
    </x:row>
    <x:row r="258" ht="17" customHeight="1">
      <x:c r="A258" s="28" t="str">
        <x:v>QA-22</x:v>
      </x:c>
      <x:c r="B258" s="28" t="str">
        <x:v>Recorridos y AR</x:v>
      </x:c>
      <x:c r="C258" s="28" t="str">
        <x:v>Validar recuperación, permisos y equipos sin soporte</x:v>
      </x:c>
      <x:c r="D258" s="47" t="str">
        <x:v>R</x:v>
      </x:c>
      <x:c r="E258" s="48" t="str">
        <x:f>IF('Detalle'!J130="","",'Detalle'!J130)</x:f>
      </x:c>
      <x:c r="F258" s="44" t="str"/>
      <x:c r="G258" s="27" t="str">
        <x:f>IF(AND('Detalle'!$F130="Completado",G257=1),1,"")</x:f>
      </x:c>
      <x:c r="H258" s="27" t="str">
        <x:f>IF(AND('Detalle'!$F130="Completado",H257=1),1,"")</x:f>
      </x:c>
      <x:c r="I258" s="27" t="str">
        <x:f>IF(AND('Detalle'!$F130="Completado",I257=1),1,"")</x:f>
      </x:c>
      <x:c r="J258" s="27" t="str">
        <x:f>IF(AND('Detalle'!$F130="Completado",J257=1),1,"")</x:f>
      </x:c>
      <x:c r="K258" s="27" t="str">
        <x:f>IF(AND('Detalle'!$F130="Completado",K257=1),1,"")</x:f>
      </x:c>
      <x:c r="L258" s="27" t="str">
        <x:f>IF(AND('Detalle'!$F130="Completado",L257=1),1,"")</x:f>
      </x:c>
      <x:c r="M258" s="27" t="str">
        <x:f>IF(AND('Detalle'!$F130="Completado",M257=1),1,"")</x:f>
      </x:c>
      <x:c r="N258" s="27" t="str">
        <x:f>IF(AND('Detalle'!$F130="Completado",N257=1),1,"")</x:f>
      </x:c>
      <x:c r="O258" s="27" t="str">
        <x:f>IF(AND('Detalle'!$F130="Completado",O257=1),1,"")</x:f>
      </x:c>
      <x:c r="P258" s="27" t="str">
        <x:f>IF(AND('Detalle'!$F130="Completado",P257=1),1,"")</x:f>
      </x:c>
      <x:c r="Q258" s="27" t="str">
        <x:f>IF(AND('Detalle'!$F130="Completado",Q257=1),1,"")</x:f>
      </x:c>
      <x:c r="R258" s="49"/>
      <x:c r="S258" s="30" t="str"/>
      <x:c r="T258" s="30" t="str"/>
    </x:row>
    <x:row r="259" ht="17" customHeight="1">
      <x:c r="A259" s="28" t="str">
        <x:v>QA-23</x:v>
      </x:c>
      <x:c r="B259" s="28" t="str">
        <x:v>Recorridos y AR</x:v>
      </x:c>
      <x:c r="C259" s="28" t="str">
        <x:v>Corregir incidencias de captura y reconocimiento</x:v>
      </x:c>
      <x:c r="D259" s="46" t="str">
        <x:v>E</x:v>
      </x:c>
      <x:c r="E259" s="48" t="n">
        <x:f>IF('Detalle'!I131="","",'Detalle'!I131)</x:f>
        <x:v>2</x:v>
      </x:c>
      <x:c r="F259" s="44" t="str">
        <x:f>IF('Detalle'!F131="","",'Detalle'!F131)</x:f>
        <x:v>Pendiente</x:v>
      </x:c>
      <x:c r="G259" s="27" t="str">
        <x:f>IF(OR('Detalle'!$G131="",'Detalle'!$H131=""),"",IF(AND(G$8&lt;='Detalle'!$H131,G$9&gt;='Detalle'!$G131),1,""))</x:f>
      </x:c>
      <x:c r="H259" s="27" t="str">
        <x:f>IF(OR('Detalle'!$G131="",'Detalle'!$H131=""),"",IF(AND(H$8&lt;='Detalle'!$H131,H$9&gt;='Detalle'!$G131),1,""))</x:f>
      </x:c>
      <x:c r="I259" s="27" t="str">
        <x:f>IF(OR('Detalle'!$G131="",'Detalle'!$H131=""),"",IF(AND(I$8&lt;='Detalle'!$H131,I$9&gt;='Detalle'!$G131),1,""))</x:f>
      </x:c>
      <x:c r="J259" s="27" t="str">
        <x:f>IF(OR('Detalle'!$G131="",'Detalle'!$H131=""),"",IF(AND(J$8&lt;='Detalle'!$H131,J$9&gt;='Detalle'!$G131),1,""))</x:f>
      </x:c>
      <x:c r="K259" s="27" t="str">
        <x:f>IF(OR('Detalle'!$G131="",'Detalle'!$H131=""),"",IF(AND(K$8&lt;='Detalle'!$H131,K$9&gt;='Detalle'!$G131),1,""))</x:f>
      </x:c>
      <x:c r="L259" s="27" t="str">
        <x:f>IF(OR('Detalle'!$G131="",'Detalle'!$H131=""),"",IF(AND(L$8&lt;='Detalle'!$H131,L$9&gt;='Detalle'!$G131),1,""))</x:f>
      </x:c>
      <x:c r="M259" s="27" t="str">
        <x:f>IF(OR('Detalle'!$G131="",'Detalle'!$H131=""),"",IF(AND(M$8&lt;='Detalle'!$H131,M$9&gt;='Detalle'!$G131),1,""))</x:f>
      </x:c>
      <x:c r="N259" s="27" t="n">
        <x:f>IF(OR('Detalle'!$G131="",'Detalle'!$H131=""),"",IF(AND(N$8&lt;='Detalle'!$H131,N$9&gt;='Detalle'!$G131),1,""))</x:f>
        <x:v>1</x:v>
      </x:c>
      <x:c r="O259" s="27" t="n">
        <x:f>IF(OR('Detalle'!$G131="",'Detalle'!$H131=""),"",IF(AND(O$8&lt;='Detalle'!$H131,O$9&gt;='Detalle'!$G131),1,""))</x:f>
        <x:v>1</x:v>
      </x:c>
      <x:c r="P259" s="27" t="str">
        <x:f>IF(OR('Detalle'!$G131="",'Detalle'!$H131=""),"",IF(AND(P$8&lt;='Detalle'!$H131,P$9&gt;='Detalle'!$G131),1,""))</x:f>
      </x:c>
      <x:c r="Q259" s="27" t="str">
        <x:f>IF(OR('Detalle'!$G131="",'Detalle'!$H131=""),"",IF(AND(Q$8&lt;='Detalle'!$H131,Q$9&gt;='Detalle'!$G131),1,""))</x:f>
      </x:c>
      <x:c r="R259" s="49"/>
      <x:c r="S259" s="30" t="str">
        <x:f>IF('Detalle'!L131="","",'Detalle'!L131)</x:f>
        <x:v>Cristopher</x:v>
      </x:c>
      <x:c r="T259" s="30" t="str">
        <x:f>IF('Detalle'!M131="","",'Detalle'!M131)</x:f>
      </x:c>
    </x:row>
    <x:row r="260" ht="17" customHeight="1">
      <x:c r="A260" s="28" t="str">
        <x:v>QA-23</x:v>
      </x:c>
      <x:c r="B260" s="28" t="str">
        <x:v>Recorridos y AR</x:v>
      </x:c>
      <x:c r="C260" s="28" t="str">
        <x:v>Corregir incidencias de captura y reconocimiento</x:v>
      </x:c>
      <x:c r="D260" s="47" t="str">
        <x:v>R</x:v>
      </x:c>
      <x:c r="E260" s="48" t="str">
        <x:f>IF('Detalle'!J131="","",'Detalle'!J131)</x:f>
      </x:c>
      <x:c r="F260" s="44" t="str"/>
      <x:c r="G260" s="27" t="str">
        <x:f>IF(AND('Detalle'!$F131="Completado",G259=1),1,"")</x:f>
      </x:c>
      <x:c r="H260" s="27" t="str">
        <x:f>IF(AND('Detalle'!$F131="Completado",H259=1),1,"")</x:f>
      </x:c>
      <x:c r="I260" s="27" t="str">
        <x:f>IF(AND('Detalle'!$F131="Completado",I259=1),1,"")</x:f>
      </x:c>
      <x:c r="J260" s="27" t="str">
        <x:f>IF(AND('Detalle'!$F131="Completado",J259=1),1,"")</x:f>
      </x:c>
      <x:c r="K260" s="27" t="str">
        <x:f>IF(AND('Detalle'!$F131="Completado",K259=1),1,"")</x:f>
      </x:c>
      <x:c r="L260" s="27" t="str">
        <x:f>IF(AND('Detalle'!$F131="Completado",L259=1),1,"")</x:f>
      </x:c>
      <x:c r="M260" s="27" t="str">
        <x:f>IF(AND('Detalle'!$F131="Completado",M259=1),1,"")</x:f>
      </x:c>
      <x:c r="N260" s="27" t="str">
        <x:f>IF(AND('Detalle'!$F131="Completado",N259=1),1,"")</x:f>
      </x:c>
      <x:c r="O260" s="27" t="str">
        <x:f>IF(AND('Detalle'!$F131="Completado",O259=1),1,"")</x:f>
      </x:c>
      <x:c r="P260" s="27" t="str">
        <x:f>IF(AND('Detalle'!$F131="Completado",P259=1),1,"")</x:f>
      </x:c>
      <x:c r="Q260" s="27" t="str">
        <x:f>IF(AND('Detalle'!$F131="Completado",Q259=1),1,"")</x:f>
      </x:c>
      <x:c r="R260" s="49"/>
      <x:c r="S260" s="30" t="str"/>
      <x:c r="T260" s="30" t="str"/>
    </x:row>
    <x:row r="261" ht="17" customHeight="1">
      <x:c r="A261" s="28" t="str">
        <x:v>QA-24</x:v>
      </x:c>
      <x:c r="B261" s="28" t="str">
        <x:v>Transversal</x:v>
      </x:c>
      <x:c r="C261" s="28" t="str">
        <x:v>Ejecutar regresión integrada después de los ajustes</x:v>
      </x:c>
      <x:c r="D261" s="46" t="str">
        <x:v>E</x:v>
      </x:c>
      <x:c r="E261" s="48" t="n">
        <x:f>IF('Detalle'!I132="","",'Detalle'!I132)</x:f>
        <x:v>2</x:v>
      </x:c>
      <x:c r="F261" s="44" t="str">
        <x:f>IF('Detalle'!F132="","",'Detalle'!F132)</x:f>
        <x:v>Pendiente</x:v>
      </x:c>
      <x:c r="G261" s="27" t="str">
        <x:f>IF(OR('Detalle'!$G132="",'Detalle'!$H132=""),"",IF(AND(G$8&lt;='Detalle'!$H132,G$9&gt;='Detalle'!$G132),1,""))</x:f>
      </x:c>
      <x:c r="H261" s="27" t="str">
        <x:f>IF(OR('Detalle'!$G132="",'Detalle'!$H132=""),"",IF(AND(H$8&lt;='Detalle'!$H132,H$9&gt;='Detalle'!$G132),1,""))</x:f>
      </x:c>
      <x:c r="I261" s="27" t="str">
        <x:f>IF(OR('Detalle'!$G132="",'Detalle'!$H132=""),"",IF(AND(I$8&lt;='Detalle'!$H132,I$9&gt;='Detalle'!$G132),1,""))</x:f>
      </x:c>
      <x:c r="J261" s="27" t="str">
        <x:f>IF(OR('Detalle'!$G132="",'Detalle'!$H132=""),"",IF(AND(J$8&lt;='Detalle'!$H132,J$9&gt;='Detalle'!$G132),1,""))</x:f>
      </x:c>
      <x:c r="K261" s="27" t="str">
        <x:f>IF(OR('Detalle'!$G132="",'Detalle'!$H132=""),"",IF(AND(K$8&lt;='Detalle'!$H132,K$9&gt;='Detalle'!$G132),1,""))</x:f>
      </x:c>
      <x:c r="L261" s="27" t="str">
        <x:f>IF(OR('Detalle'!$G132="",'Detalle'!$H132=""),"",IF(AND(L$8&lt;='Detalle'!$H132,L$9&gt;='Detalle'!$G132),1,""))</x:f>
      </x:c>
      <x:c r="M261" s="27" t="str">
        <x:f>IF(OR('Detalle'!$G132="",'Detalle'!$H132=""),"",IF(AND(M$8&lt;='Detalle'!$H132,M$9&gt;='Detalle'!$G132),1,""))</x:f>
      </x:c>
      <x:c r="N261" s="27" t="str">
        <x:f>IF(OR('Detalle'!$G132="",'Detalle'!$H132=""),"",IF(AND(N$8&lt;='Detalle'!$H132,N$9&gt;='Detalle'!$G132),1,""))</x:f>
      </x:c>
      <x:c r="O261" s="27" t="n">
        <x:f>IF(OR('Detalle'!$G132="",'Detalle'!$H132=""),"",IF(AND(O$8&lt;='Detalle'!$H132,O$9&gt;='Detalle'!$G132),1,""))</x:f>
        <x:v>1</x:v>
      </x:c>
      <x:c r="P261" s="27" t="n">
        <x:f>IF(OR('Detalle'!$G132="",'Detalle'!$H132=""),"",IF(AND(P$8&lt;='Detalle'!$H132,P$9&gt;='Detalle'!$G132),1,""))</x:f>
        <x:v>1</x:v>
      </x:c>
      <x:c r="Q261" s="27" t="str">
        <x:f>IF(OR('Detalle'!$G132="",'Detalle'!$H132=""),"",IF(AND(Q$8&lt;='Detalle'!$H132,Q$9&gt;='Detalle'!$G132),1,""))</x:f>
      </x:c>
      <x:c r="R261" s="49"/>
      <x:c r="S261" s="30" t="str">
        <x:f>IF('Detalle'!L132="","",'Detalle'!L132)</x:f>
        <x:v>Cristopher</x:v>
      </x:c>
      <x:c r="T261" s="30" t="str">
        <x:f>IF('Detalle'!M132="","",'Detalle'!M132)</x:f>
      </x:c>
    </x:row>
    <x:row r="262" ht="17" customHeight="1">
      <x:c r="A262" s="28" t="str">
        <x:v>QA-24</x:v>
      </x:c>
      <x:c r="B262" s="28" t="str">
        <x:v>Transversal</x:v>
      </x:c>
      <x:c r="C262" s="28" t="str">
        <x:v>Ejecutar regresión integrada después de los ajustes</x:v>
      </x:c>
      <x:c r="D262" s="47" t="str">
        <x:v>R</x:v>
      </x:c>
      <x:c r="E262" s="48" t="str">
        <x:f>IF('Detalle'!J132="","",'Detalle'!J132)</x:f>
      </x:c>
      <x:c r="F262" s="44" t="str"/>
      <x:c r="G262" s="27" t="str">
        <x:f>IF(AND('Detalle'!$F132="Completado",G261=1),1,"")</x:f>
      </x:c>
      <x:c r="H262" s="27" t="str">
        <x:f>IF(AND('Detalle'!$F132="Completado",H261=1),1,"")</x:f>
      </x:c>
      <x:c r="I262" s="27" t="str">
        <x:f>IF(AND('Detalle'!$F132="Completado",I261=1),1,"")</x:f>
      </x:c>
      <x:c r="J262" s="27" t="str">
        <x:f>IF(AND('Detalle'!$F132="Completado",J261=1),1,"")</x:f>
      </x:c>
      <x:c r="K262" s="27" t="str">
        <x:f>IF(AND('Detalle'!$F132="Completado",K261=1),1,"")</x:f>
      </x:c>
      <x:c r="L262" s="27" t="str">
        <x:f>IF(AND('Detalle'!$F132="Completado",L261=1),1,"")</x:f>
      </x:c>
      <x:c r="M262" s="27" t="str">
        <x:f>IF(AND('Detalle'!$F132="Completado",M261=1),1,"")</x:f>
      </x:c>
      <x:c r="N262" s="27" t="str">
        <x:f>IF(AND('Detalle'!$F132="Completado",N261=1),1,"")</x:f>
      </x:c>
      <x:c r="O262" s="27" t="str">
        <x:f>IF(AND('Detalle'!$F132="Completado",O261=1),1,"")</x:f>
      </x:c>
      <x:c r="P262" s="27" t="str">
        <x:f>IF(AND('Detalle'!$F132="Completado",P261=1),1,"")</x:f>
      </x:c>
      <x:c r="Q262" s="27" t="str">
        <x:f>IF(AND('Detalle'!$F132="Completado",Q261=1),1,"")</x:f>
      </x:c>
      <x:c r="R262" s="49"/>
      <x:c r="S262" s="30" t="str"/>
      <x:c r="T262" s="30" t="str"/>
    </x:row>
    <x:row r="263" ht="23" customHeight="1">
      <x:c r="A263" s="42" t="str">
        <x:v>DEP — Despliegue y Pilotos</x:v>
      </x:c>
      <x:c r="B263" s="42" t="str">
        <x:v>DEP — Despliegue y Pilotos</x:v>
      </x:c>
      <x:c r="C263" s="42" t="str">
        <x:v>DEP — Despliegue y Pilotos</x:v>
      </x:c>
      <x:c r="D263" s="42" t="str">
        <x:v>DEP — Despliegue y Pilotos</x:v>
      </x:c>
      <x:c r="E263" s="42" t="str">
        <x:v>DEP — Despliegue y Pilotos</x:v>
      </x:c>
      <x:c r="F263" s="42" t="str">
        <x:v>DEP — Despliegue y Pilotos</x:v>
      </x:c>
      <x:c r="G263" s="43" t="str">
        <x:v>DEP — Despliegue y Pilotos</x:v>
      </x:c>
      <x:c r="H263" s="43" t="str">
        <x:v>DEP — Despliegue y Pilotos</x:v>
      </x:c>
      <x:c r="I263" s="43" t="str">
        <x:v>DEP — Despliegue y Pilotos</x:v>
      </x:c>
      <x:c r="J263" s="43" t="str">
        <x:v>DEP — Despliegue y Pilotos</x:v>
      </x:c>
      <x:c r="K263" s="43" t="str">
        <x:v>DEP — Despliegue y Pilotos</x:v>
      </x:c>
      <x:c r="L263" s="43" t="str">
        <x:v>DEP — Despliegue y Pilotos</x:v>
      </x:c>
      <x:c r="M263" s="43" t="str">
        <x:v>DEP — Despliegue y Pilotos</x:v>
      </x:c>
      <x:c r="N263" s="43" t="str">
        <x:v>DEP — Despliegue y Pilotos</x:v>
      </x:c>
      <x:c r="O263" s="43" t="str">
        <x:v>DEP — Despliegue y Pilotos</x:v>
      </x:c>
      <x:c r="P263" s="43" t="str">
        <x:v>DEP — Despliegue y Pilotos</x:v>
      </x:c>
      <x:c r="Q263" s="43" t="str">
        <x:v>DEP — Despliegue y Pilotos</x:v>
      </x:c>
      <x:c r="R263" s="42" t="str">
        <x:v>DEP — Despliegue y Pilotos</x:v>
      </x:c>
      <x:c r="S263" s="42" t="str">
        <x:v>DEP — Despliegue y Pilotos</x:v>
      </x:c>
      <x:c r="T263" s="42" t="str">
        <x:v>DEP — Despliegue y Pilotos</x:v>
      </x:c>
    </x:row>
    <x:row r="264" ht="17" customHeight="1">
      <x:c r="A264" s="28" t="str">
        <x:v>DEP-01</x:v>
      </x:c>
      <x:c r="B264" s="28" t="str">
        <x:v>Transversal</x:v>
      </x:c>
      <x:c r="C264" s="28" t="str">
        <x:v>Publicar repositorio y conservar historial del MVP</x:v>
      </x:c>
      <x:c r="D264" s="46" t="str">
        <x:v>E</x:v>
      </x:c>
      <x:c r="E264" s="48" t="n">
        <x:f>IF('Detalle'!I133="","",'Detalle'!I133)</x:f>
        <x:v>1</x:v>
      </x:c>
      <x:c r="F264" s="44" t="str">
        <x:f>IF('Detalle'!F133="","",'Detalle'!F133)</x:f>
        <x:v>Completado</x:v>
      </x:c>
      <x:c r="G264" s="27" t="str">
        <x:f>IF(OR('Detalle'!$G133="",'Detalle'!$H133=""),"",IF(AND(G$8&lt;='Detalle'!$H133,G$9&gt;='Detalle'!$G133),1,""))</x:f>
      </x:c>
      <x:c r="H264" s="27" t="str">
        <x:f>IF(OR('Detalle'!$G133="",'Detalle'!$H133=""),"",IF(AND(H$8&lt;='Detalle'!$H133,H$9&gt;='Detalle'!$G133),1,""))</x:f>
      </x:c>
      <x:c r="I264" s="27" t="str">
        <x:f>IF(OR('Detalle'!$G133="",'Detalle'!$H133=""),"",IF(AND(I$8&lt;='Detalle'!$H133,I$9&gt;='Detalle'!$G133),1,""))</x:f>
      </x:c>
      <x:c r="J264" s="27" t="n">
        <x:f>IF(OR('Detalle'!$G133="",'Detalle'!$H133=""),"",IF(AND(J$8&lt;='Detalle'!$H133,J$9&gt;='Detalle'!$G133),1,""))</x:f>
        <x:v>1</x:v>
      </x:c>
      <x:c r="K264" s="27" t="str">
        <x:f>IF(OR('Detalle'!$G133="",'Detalle'!$H133=""),"",IF(AND(K$8&lt;='Detalle'!$H133,K$9&gt;='Detalle'!$G133),1,""))</x:f>
      </x:c>
      <x:c r="L264" s="27" t="str">
        <x:f>IF(OR('Detalle'!$G133="",'Detalle'!$H133=""),"",IF(AND(L$8&lt;='Detalle'!$H133,L$9&gt;='Detalle'!$G133),1,""))</x:f>
      </x:c>
      <x:c r="M264" s="27" t="str">
        <x:f>IF(OR('Detalle'!$G133="",'Detalle'!$H133=""),"",IF(AND(M$8&lt;='Detalle'!$H133,M$9&gt;='Detalle'!$G133),1,""))</x:f>
      </x:c>
      <x:c r="N264" s="27" t="str">
        <x:f>IF(OR('Detalle'!$G133="",'Detalle'!$H133=""),"",IF(AND(N$8&lt;='Detalle'!$H133,N$9&gt;='Detalle'!$G133),1,""))</x:f>
      </x:c>
      <x:c r="O264" s="27" t="str">
        <x:f>IF(OR('Detalle'!$G133="",'Detalle'!$H133=""),"",IF(AND(O$8&lt;='Detalle'!$H133,O$9&gt;='Detalle'!$G133),1,""))</x:f>
      </x:c>
      <x:c r="P264" s="27" t="str">
        <x:f>IF(OR('Detalle'!$G133="",'Detalle'!$H133=""),"",IF(AND(P$8&lt;='Detalle'!$H133,P$9&gt;='Detalle'!$G133),1,""))</x:f>
      </x:c>
      <x:c r="Q264" s="27" t="str">
        <x:f>IF(OR('Detalle'!$G133="",'Detalle'!$H133=""),"",IF(AND(Q$8&lt;='Detalle'!$H133,Q$9&gt;='Detalle'!$G133),1,""))</x:f>
      </x:c>
      <x:c r="R264" s="49"/>
      <x:c r="S264" s="30" t="str">
        <x:f>IF('Detalle'!L133="","",'Detalle'!L133)</x:f>
        <x:v>Cristopher</x:v>
      </x:c>
      <x:c r="T264" s="30" t="str">
        <x:f>IF('Detalle'!M133="","",'Detalle'!M133)</x:f>
      </x:c>
    </x:row>
    <x:row r="265" ht="17" customHeight="1">
      <x:c r="A265" s="28" t="str">
        <x:v>DEP-01</x:v>
      </x:c>
      <x:c r="B265" s="28" t="str">
        <x:v>Transversal</x:v>
      </x:c>
      <x:c r="C265" s="28" t="str">
        <x:v>Publicar repositorio y conservar historial del MVP</x:v>
      </x:c>
      <x:c r="D265" s="47" t="str">
        <x:v>R</x:v>
      </x:c>
      <x:c r="E265" s="48" t="n">
        <x:f>IF('Detalle'!J133="","",'Detalle'!J133)</x:f>
        <x:v>1</x:v>
      </x:c>
      <x:c r="F265" s="44" t="str"/>
      <x:c r="G265" s="27" t="str">
        <x:f>IF(AND('Detalle'!$F133="Completado",G264=1),1,"")</x:f>
      </x:c>
      <x:c r="H265" s="27" t="str">
        <x:f>IF(AND('Detalle'!$F133="Completado",H264=1),1,"")</x:f>
      </x:c>
      <x:c r="I265" s="27" t="str">
        <x:f>IF(AND('Detalle'!$F133="Completado",I264=1),1,"")</x:f>
      </x:c>
      <x:c r="J265" s="27" t="n">
        <x:f>IF(AND('Detalle'!$F133="Completado",J264=1),1,"")</x:f>
        <x:v>1</x:v>
      </x:c>
      <x:c r="K265" s="27" t="str">
        <x:f>IF(AND('Detalle'!$F133="Completado",K264=1),1,"")</x:f>
      </x:c>
      <x:c r="L265" s="27" t="str">
        <x:f>IF(AND('Detalle'!$F133="Completado",L264=1),1,"")</x:f>
      </x:c>
      <x:c r="M265" s="27" t="str">
        <x:f>IF(AND('Detalle'!$F133="Completado",M264=1),1,"")</x:f>
      </x:c>
      <x:c r="N265" s="27" t="str">
        <x:f>IF(AND('Detalle'!$F133="Completado",N264=1),1,"")</x:f>
      </x:c>
      <x:c r="O265" s="27" t="str">
        <x:f>IF(AND('Detalle'!$F133="Completado",O264=1),1,"")</x:f>
      </x:c>
      <x:c r="P265" s="27" t="str">
        <x:f>IF(AND('Detalle'!$F133="Completado",P264=1),1,"")</x:f>
      </x:c>
      <x:c r="Q265" s="27" t="str">
        <x:f>IF(AND('Detalle'!$F133="Completado",Q264=1),1,"")</x:f>
      </x:c>
      <x:c r="R265" s="49"/>
      <x:c r="S265" s="30" t="str"/>
      <x:c r="T265" s="30" t="str"/>
    </x:row>
    <x:row r="266" ht="17" customHeight="1">
      <x:c r="A266" s="28" t="str">
        <x:v>DEP-02</x:v>
      </x:c>
      <x:c r="B266" s="28" t="str">
        <x:v>Autenticación</x:v>
      </x:c>
      <x:c r="C266" s="28" t="str">
        <x:v>Aplicar migraciones iniciales de acceso y cuenta</x:v>
      </x:c>
      <x:c r="D266" s="46" t="str">
        <x:v>E</x:v>
      </x:c>
      <x:c r="E266" s="48" t="n">
        <x:f>IF('Detalle'!I134="","",'Detalle'!I134)</x:f>
        <x:v>1</x:v>
      </x:c>
      <x:c r="F266" s="44" t="str">
        <x:f>IF('Detalle'!F134="","",'Detalle'!F134)</x:f>
        <x:v>Completado</x:v>
      </x:c>
      <x:c r="G266" s="27" t="str">
        <x:f>IF(OR('Detalle'!$G134="",'Detalle'!$H134=""),"",IF(AND(G$8&lt;='Detalle'!$H134,G$9&gt;='Detalle'!$G134),1,""))</x:f>
      </x:c>
      <x:c r="H266" s="27" t="n">
        <x:f>IF(OR('Detalle'!$G134="",'Detalle'!$H134=""),"",IF(AND(H$8&lt;='Detalle'!$H134,H$9&gt;='Detalle'!$G134),1,""))</x:f>
        <x:v>1</x:v>
      </x:c>
      <x:c r="I266" s="27" t="str">
        <x:f>IF(OR('Detalle'!$G134="",'Detalle'!$H134=""),"",IF(AND(I$8&lt;='Detalle'!$H134,I$9&gt;='Detalle'!$G134),1,""))</x:f>
      </x:c>
      <x:c r="J266" s="27" t="str">
        <x:f>IF(OR('Detalle'!$G134="",'Detalle'!$H134=""),"",IF(AND(J$8&lt;='Detalle'!$H134,J$9&gt;='Detalle'!$G134),1,""))</x:f>
      </x:c>
      <x:c r="K266" s="27" t="str">
        <x:f>IF(OR('Detalle'!$G134="",'Detalle'!$H134=""),"",IF(AND(K$8&lt;='Detalle'!$H134,K$9&gt;='Detalle'!$G134),1,""))</x:f>
      </x:c>
      <x:c r="L266" s="27" t="str">
        <x:f>IF(OR('Detalle'!$G134="",'Detalle'!$H134=""),"",IF(AND(L$8&lt;='Detalle'!$H134,L$9&gt;='Detalle'!$G134),1,""))</x:f>
      </x:c>
      <x:c r="M266" s="27" t="str">
        <x:f>IF(OR('Detalle'!$G134="",'Detalle'!$H134=""),"",IF(AND(M$8&lt;='Detalle'!$H134,M$9&gt;='Detalle'!$G134),1,""))</x:f>
      </x:c>
      <x:c r="N266" s="27" t="str">
        <x:f>IF(OR('Detalle'!$G134="",'Detalle'!$H134=""),"",IF(AND(N$8&lt;='Detalle'!$H134,N$9&gt;='Detalle'!$G134),1,""))</x:f>
      </x:c>
      <x:c r="O266" s="27" t="str">
        <x:f>IF(OR('Detalle'!$G134="",'Detalle'!$H134=""),"",IF(AND(O$8&lt;='Detalle'!$H134,O$9&gt;='Detalle'!$G134),1,""))</x:f>
      </x:c>
      <x:c r="P266" s="27" t="str">
        <x:f>IF(OR('Detalle'!$G134="",'Detalle'!$H134=""),"",IF(AND(P$8&lt;='Detalle'!$H134,P$9&gt;='Detalle'!$G134),1,""))</x:f>
      </x:c>
      <x:c r="Q266" s="27" t="str">
        <x:f>IF(OR('Detalle'!$G134="",'Detalle'!$H134=""),"",IF(AND(Q$8&lt;='Detalle'!$H134,Q$9&gt;='Detalle'!$G134),1,""))</x:f>
      </x:c>
      <x:c r="R266" s="49"/>
      <x:c r="S266" s="30" t="str">
        <x:f>IF('Detalle'!L134="","",'Detalle'!L134)</x:f>
        <x:v>Alan</x:v>
      </x:c>
      <x:c r="T266" s="30" t="str">
        <x:f>IF('Detalle'!M134="","",'Detalle'!M134)</x:f>
      </x:c>
    </x:row>
    <x:row r="267" ht="17" customHeight="1">
      <x:c r="A267" s="28" t="str">
        <x:v>DEP-02</x:v>
      </x:c>
      <x:c r="B267" s="28" t="str">
        <x:v>Autenticación</x:v>
      </x:c>
      <x:c r="C267" s="28" t="str">
        <x:v>Aplicar migraciones iniciales de acceso y cuenta</x:v>
      </x:c>
      <x:c r="D267" s="47" t="str">
        <x:v>R</x:v>
      </x:c>
      <x:c r="E267" s="48" t="n">
        <x:f>IF('Detalle'!J134="","",'Detalle'!J134)</x:f>
        <x:v>1</x:v>
      </x:c>
      <x:c r="F267" s="44" t="str"/>
      <x:c r="G267" s="27" t="str">
        <x:f>IF(AND('Detalle'!$F134="Completado",G266=1),1,"")</x:f>
      </x:c>
      <x:c r="H267" s="27" t="n">
        <x:f>IF(AND('Detalle'!$F134="Completado",H266=1),1,"")</x:f>
        <x:v>1</x:v>
      </x:c>
      <x:c r="I267" s="27" t="str">
        <x:f>IF(AND('Detalle'!$F134="Completado",I266=1),1,"")</x:f>
      </x:c>
      <x:c r="J267" s="27" t="str">
        <x:f>IF(AND('Detalle'!$F134="Completado",J266=1),1,"")</x:f>
      </x:c>
      <x:c r="K267" s="27" t="str">
        <x:f>IF(AND('Detalle'!$F134="Completado",K266=1),1,"")</x:f>
      </x:c>
      <x:c r="L267" s="27" t="str">
        <x:f>IF(AND('Detalle'!$F134="Completado",L266=1),1,"")</x:f>
      </x:c>
      <x:c r="M267" s="27" t="str">
        <x:f>IF(AND('Detalle'!$F134="Completado",M266=1),1,"")</x:f>
      </x:c>
      <x:c r="N267" s="27" t="str">
        <x:f>IF(AND('Detalle'!$F134="Completado",N266=1),1,"")</x:f>
      </x:c>
      <x:c r="O267" s="27" t="str">
        <x:f>IF(AND('Detalle'!$F134="Completado",O266=1),1,"")</x:f>
      </x:c>
      <x:c r="P267" s="27" t="str">
        <x:f>IF(AND('Detalle'!$F134="Completado",P266=1),1,"")</x:f>
      </x:c>
      <x:c r="Q267" s="27" t="str">
        <x:f>IF(AND('Detalle'!$F134="Completado",Q266=1),1,"")</x:f>
      </x:c>
      <x:c r="R267" s="49"/>
      <x:c r="S267" s="30" t="str"/>
      <x:c r="T267" s="30" t="str"/>
    </x:row>
    <x:row r="268" ht="17" customHeight="1">
      <x:c r="A268" s="28" t="str">
        <x:v>DEP-03</x:v>
      </x:c>
      <x:c r="B268" s="28" t="str">
        <x:v>Comunidad</x:v>
      </x:c>
      <x:c r="C268" s="28" t="str">
        <x:v>Aplicar migraciones sociales y almacenamiento</x:v>
      </x:c>
      <x:c r="D268" s="46" t="str">
        <x:v>E</x:v>
      </x:c>
      <x:c r="E268" s="48" t="n">
        <x:f>IF('Detalle'!I135="","",'Detalle'!I135)</x:f>
        <x:v>1</x:v>
      </x:c>
      <x:c r="F268" s="44" t="str">
        <x:f>IF('Detalle'!F135="","",'Detalle'!F135)</x:f>
        <x:v>Completado</x:v>
      </x:c>
      <x:c r="G268" s="27" t="str">
        <x:f>IF(OR('Detalle'!$G135="",'Detalle'!$H135=""),"",IF(AND(G$8&lt;='Detalle'!$H135,G$9&gt;='Detalle'!$G135),1,""))</x:f>
      </x:c>
      <x:c r="H268" s="27" t="str">
        <x:f>IF(OR('Detalle'!$G135="",'Detalle'!$H135=""),"",IF(AND(H$8&lt;='Detalle'!$H135,H$9&gt;='Detalle'!$G135),1,""))</x:f>
      </x:c>
      <x:c r="I268" s="27" t="n">
        <x:f>IF(OR('Detalle'!$G135="",'Detalle'!$H135=""),"",IF(AND(I$8&lt;='Detalle'!$H135,I$9&gt;='Detalle'!$G135),1,""))</x:f>
        <x:v>1</x:v>
      </x:c>
      <x:c r="J268" s="27" t="str">
        <x:f>IF(OR('Detalle'!$G135="",'Detalle'!$H135=""),"",IF(AND(J$8&lt;='Detalle'!$H135,J$9&gt;='Detalle'!$G135),1,""))</x:f>
      </x:c>
      <x:c r="K268" s="27" t="str">
        <x:f>IF(OR('Detalle'!$G135="",'Detalle'!$H135=""),"",IF(AND(K$8&lt;='Detalle'!$H135,K$9&gt;='Detalle'!$G135),1,""))</x:f>
      </x:c>
      <x:c r="L268" s="27" t="str">
        <x:f>IF(OR('Detalle'!$G135="",'Detalle'!$H135=""),"",IF(AND(L$8&lt;='Detalle'!$H135,L$9&gt;='Detalle'!$G135),1,""))</x:f>
      </x:c>
      <x:c r="M268" s="27" t="str">
        <x:f>IF(OR('Detalle'!$G135="",'Detalle'!$H135=""),"",IF(AND(M$8&lt;='Detalle'!$H135,M$9&gt;='Detalle'!$G135),1,""))</x:f>
      </x:c>
      <x:c r="N268" s="27" t="str">
        <x:f>IF(OR('Detalle'!$G135="",'Detalle'!$H135=""),"",IF(AND(N$8&lt;='Detalle'!$H135,N$9&gt;='Detalle'!$G135),1,""))</x:f>
      </x:c>
      <x:c r="O268" s="27" t="str">
        <x:f>IF(OR('Detalle'!$G135="",'Detalle'!$H135=""),"",IF(AND(O$8&lt;='Detalle'!$H135,O$9&gt;='Detalle'!$G135),1,""))</x:f>
      </x:c>
      <x:c r="P268" s="27" t="str">
        <x:f>IF(OR('Detalle'!$G135="",'Detalle'!$H135=""),"",IF(AND(P$8&lt;='Detalle'!$H135,P$9&gt;='Detalle'!$G135),1,""))</x:f>
      </x:c>
      <x:c r="Q268" s="27" t="str">
        <x:f>IF(OR('Detalle'!$G135="",'Detalle'!$H135=""),"",IF(AND(Q$8&lt;='Detalle'!$H135,Q$9&gt;='Detalle'!$G135),1,""))</x:f>
      </x:c>
      <x:c r="R268" s="49"/>
      <x:c r="S268" s="30" t="str">
        <x:f>IF('Detalle'!L135="","",'Detalle'!L135)</x:f>
        <x:v>Alan</x:v>
      </x:c>
      <x:c r="T268" s="30" t="str">
        <x:f>IF('Detalle'!M135="","",'Detalle'!M135)</x:f>
      </x:c>
    </x:row>
    <x:row r="269" ht="17" customHeight="1">
      <x:c r="A269" s="28" t="str">
        <x:v>DEP-03</x:v>
      </x:c>
      <x:c r="B269" s="28" t="str">
        <x:v>Comunidad</x:v>
      </x:c>
      <x:c r="C269" s="28" t="str">
        <x:v>Aplicar migraciones sociales y almacenamiento</x:v>
      </x:c>
      <x:c r="D269" s="47" t="str">
        <x:v>R</x:v>
      </x:c>
      <x:c r="E269" s="48" t="n">
        <x:f>IF('Detalle'!J135="","",'Detalle'!J135)</x:f>
        <x:v>1</x:v>
      </x:c>
      <x:c r="F269" s="44" t="str"/>
      <x:c r="G269" s="27" t="str">
        <x:f>IF(AND('Detalle'!$F135="Completado",G268=1),1,"")</x:f>
      </x:c>
      <x:c r="H269" s="27" t="str">
        <x:f>IF(AND('Detalle'!$F135="Completado",H268=1),1,"")</x:f>
      </x:c>
      <x:c r="I269" s="27" t="n">
        <x:f>IF(AND('Detalle'!$F135="Completado",I268=1),1,"")</x:f>
        <x:v>1</x:v>
      </x:c>
      <x:c r="J269" s="27" t="str">
        <x:f>IF(AND('Detalle'!$F135="Completado",J268=1),1,"")</x:f>
      </x:c>
      <x:c r="K269" s="27" t="str">
        <x:f>IF(AND('Detalle'!$F135="Completado",K268=1),1,"")</x:f>
      </x:c>
      <x:c r="L269" s="27" t="str">
        <x:f>IF(AND('Detalle'!$F135="Completado",L268=1),1,"")</x:f>
      </x:c>
      <x:c r="M269" s="27" t="str">
        <x:f>IF(AND('Detalle'!$F135="Completado",M268=1),1,"")</x:f>
      </x:c>
      <x:c r="N269" s="27" t="str">
        <x:f>IF(AND('Detalle'!$F135="Completado",N268=1),1,"")</x:f>
      </x:c>
      <x:c r="O269" s="27" t="str">
        <x:f>IF(AND('Detalle'!$F135="Completado",O268=1),1,"")</x:f>
      </x:c>
      <x:c r="P269" s="27" t="str">
        <x:f>IF(AND('Detalle'!$F135="Completado",P268=1),1,"")</x:f>
      </x:c>
      <x:c r="Q269" s="27" t="str">
        <x:f>IF(AND('Detalle'!$F135="Completado",Q268=1),1,"")</x:f>
      </x:c>
      <x:c r="R269" s="49"/>
      <x:c r="S269" s="30" t="str"/>
      <x:c r="T269" s="30" t="str"/>
    </x:row>
    <x:row r="270" ht="17" customHeight="1">
      <x:c r="A270" s="28" t="str">
        <x:v>DEP-04</x:v>
      </x:c>
      <x:c r="B270" s="28" t="str">
        <x:v>Transversal</x:v>
      </x:c>
      <x:c r="C270" s="28" t="str">
        <x:v>Integrar perfiles, fichas y diseño social v7</x:v>
      </x:c>
      <x:c r="D270" s="46" t="str">
        <x:v>E</x:v>
      </x:c>
      <x:c r="E270" s="48" t="n">
        <x:f>IF('Detalle'!I136="","",'Detalle'!I136)</x:f>
        <x:v>1</x:v>
      </x:c>
      <x:c r="F270" s="44" t="str">
        <x:f>IF('Detalle'!F136="","",'Detalle'!F136)</x:f>
        <x:v>Completado</x:v>
      </x:c>
      <x:c r="G270" s="27" t="str">
        <x:f>IF(OR('Detalle'!$G136="",'Detalle'!$H136=""),"",IF(AND(G$8&lt;='Detalle'!$H136,G$9&gt;='Detalle'!$G136),1,""))</x:f>
      </x:c>
      <x:c r="H270" s="27" t="str">
        <x:f>IF(OR('Detalle'!$G136="",'Detalle'!$H136=""),"",IF(AND(H$8&lt;='Detalle'!$H136,H$9&gt;='Detalle'!$G136),1,""))</x:f>
      </x:c>
      <x:c r="I270" s="27" t="str">
        <x:f>IF(OR('Detalle'!$G136="",'Detalle'!$H136=""),"",IF(AND(I$8&lt;='Detalle'!$H136,I$9&gt;='Detalle'!$G136),1,""))</x:f>
      </x:c>
      <x:c r="J270" s="27" t="n">
        <x:f>IF(OR('Detalle'!$G136="",'Detalle'!$H136=""),"",IF(AND(J$8&lt;='Detalle'!$H136,J$9&gt;='Detalle'!$G136),1,""))</x:f>
        <x:v>1</x:v>
      </x:c>
      <x:c r="K270" s="27" t="str">
        <x:f>IF(OR('Detalle'!$G136="",'Detalle'!$H136=""),"",IF(AND(K$8&lt;='Detalle'!$H136,K$9&gt;='Detalle'!$G136),1,""))</x:f>
      </x:c>
      <x:c r="L270" s="27" t="str">
        <x:f>IF(OR('Detalle'!$G136="",'Detalle'!$H136=""),"",IF(AND(L$8&lt;='Detalle'!$H136,L$9&gt;='Detalle'!$G136),1,""))</x:f>
      </x:c>
      <x:c r="M270" s="27" t="str">
        <x:f>IF(OR('Detalle'!$G136="",'Detalle'!$H136=""),"",IF(AND(M$8&lt;='Detalle'!$H136,M$9&gt;='Detalle'!$G136),1,""))</x:f>
      </x:c>
      <x:c r="N270" s="27" t="str">
        <x:f>IF(OR('Detalle'!$G136="",'Detalle'!$H136=""),"",IF(AND(N$8&lt;='Detalle'!$H136,N$9&gt;='Detalle'!$G136),1,""))</x:f>
      </x:c>
      <x:c r="O270" s="27" t="str">
        <x:f>IF(OR('Detalle'!$G136="",'Detalle'!$H136=""),"",IF(AND(O$8&lt;='Detalle'!$H136,O$9&gt;='Detalle'!$G136),1,""))</x:f>
      </x:c>
      <x:c r="P270" s="27" t="str">
        <x:f>IF(OR('Detalle'!$G136="",'Detalle'!$H136=""),"",IF(AND(P$8&lt;='Detalle'!$H136,P$9&gt;='Detalle'!$G136),1,""))</x:f>
      </x:c>
      <x:c r="Q270" s="27" t="str">
        <x:f>IF(OR('Detalle'!$G136="",'Detalle'!$H136=""),"",IF(AND(Q$8&lt;='Detalle'!$H136,Q$9&gt;='Detalle'!$G136),1,""))</x:f>
      </x:c>
      <x:c r="R270" s="49"/>
      <x:c r="S270" s="30" t="str">
        <x:f>IF('Detalle'!L136="","",'Detalle'!L136)</x:f>
        <x:v>Alan</x:v>
      </x:c>
      <x:c r="T270" s="30" t="str">
        <x:f>IF('Detalle'!M136="","",'Detalle'!M136)</x:f>
      </x:c>
    </x:row>
    <x:row r="271" ht="17" customHeight="1">
      <x:c r="A271" s="28" t="str">
        <x:v>DEP-04</x:v>
      </x:c>
      <x:c r="B271" s="28" t="str">
        <x:v>Transversal</x:v>
      </x:c>
      <x:c r="C271" s="28" t="str">
        <x:v>Integrar perfiles, fichas y diseño social v7</x:v>
      </x:c>
      <x:c r="D271" s="47" t="str">
        <x:v>R</x:v>
      </x:c>
      <x:c r="E271" s="48" t="n">
        <x:f>IF('Detalle'!J136="","",'Detalle'!J136)</x:f>
        <x:v>1</x:v>
      </x:c>
      <x:c r="F271" s="44" t="str"/>
      <x:c r="G271" s="27" t="str">
        <x:f>IF(AND('Detalle'!$F136="Completado",G270=1),1,"")</x:f>
      </x:c>
      <x:c r="H271" s="27" t="str">
        <x:f>IF(AND('Detalle'!$F136="Completado",H270=1),1,"")</x:f>
      </x:c>
      <x:c r="I271" s="27" t="str">
        <x:f>IF(AND('Detalle'!$F136="Completado",I270=1),1,"")</x:f>
      </x:c>
      <x:c r="J271" s="27" t="n">
        <x:f>IF(AND('Detalle'!$F136="Completado",J270=1),1,"")</x:f>
        <x:v>1</x:v>
      </x:c>
      <x:c r="K271" s="27" t="str">
        <x:f>IF(AND('Detalle'!$F136="Completado",K270=1),1,"")</x:f>
      </x:c>
      <x:c r="L271" s="27" t="str">
        <x:f>IF(AND('Detalle'!$F136="Completado",L270=1),1,"")</x:f>
      </x:c>
      <x:c r="M271" s="27" t="str">
        <x:f>IF(AND('Detalle'!$F136="Completado",M270=1),1,"")</x:f>
      </x:c>
      <x:c r="N271" s="27" t="str">
        <x:f>IF(AND('Detalle'!$F136="Completado",N270=1),1,"")</x:f>
      </x:c>
      <x:c r="O271" s="27" t="str">
        <x:f>IF(AND('Detalle'!$F136="Completado",O270=1),1,"")</x:f>
      </x:c>
      <x:c r="P271" s="27" t="str">
        <x:f>IF(AND('Detalle'!$F136="Completado",P270=1),1,"")</x:f>
      </x:c>
      <x:c r="Q271" s="27" t="str">
        <x:f>IF(AND('Detalle'!$F136="Completado",Q270=1),1,"")</x:f>
      </x:c>
      <x:c r="R271" s="49"/>
      <x:c r="S271" s="30" t="str"/>
      <x:c r="T271" s="30" t="str"/>
    </x:row>
    <x:row r="272" ht="17" customHeight="1">
      <x:c r="A272" s="28" t="str">
        <x:v>DEP-05</x:v>
      </x:c>
      <x:c r="B272" s="28" t="str">
        <x:v>Misiones</x:v>
      </x:c>
      <x:c r="C272" s="28" t="str">
        <x:v>Desplegar rediseño de misiones y verificar contrato</x:v>
      </x:c>
      <x:c r="D272" s="46" t="str">
        <x:v>E</x:v>
      </x:c>
      <x:c r="E272" s="48" t="n">
        <x:f>IF('Detalle'!I137="","",'Detalle'!I137)</x:f>
        <x:v>1</x:v>
      </x:c>
      <x:c r="F272" s="44" t="str">
        <x:f>IF('Detalle'!F137="","",'Detalle'!F137)</x:f>
        <x:v>Completado</x:v>
      </x:c>
      <x:c r="G272" s="27" t="str">
        <x:f>IF(OR('Detalle'!$G137="",'Detalle'!$H137=""),"",IF(AND(G$8&lt;='Detalle'!$H137,G$9&gt;='Detalle'!$G137),1,""))</x:f>
      </x:c>
      <x:c r="H272" s="27" t="str">
        <x:f>IF(OR('Detalle'!$G137="",'Detalle'!$H137=""),"",IF(AND(H$8&lt;='Detalle'!$H137,H$9&gt;='Detalle'!$G137),1,""))</x:f>
      </x:c>
      <x:c r="I272" s="27" t="str">
        <x:f>IF(OR('Detalle'!$G137="",'Detalle'!$H137=""),"",IF(AND(I$8&lt;='Detalle'!$H137,I$9&gt;='Detalle'!$G137),1,""))</x:f>
      </x:c>
      <x:c r="J272" s="27" t="n">
        <x:f>IF(OR('Detalle'!$G137="",'Detalle'!$H137=""),"",IF(AND(J$8&lt;='Detalle'!$H137,J$9&gt;='Detalle'!$G137),1,""))</x:f>
        <x:v>1</x:v>
      </x:c>
      <x:c r="K272" s="27" t="str">
        <x:f>IF(OR('Detalle'!$G137="",'Detalle'!$H137=""),"",IF(AND(K$8&lt;='Detalle'!$H137,K$9&gt;='Detalle'!$G137),1,""))</x:f>
      </x:c>
      <x:c r="L272" s="27" t="str">
        <x:f>IF(OR('Detalle'!$G137="",'Detalle'!$H137=""),"",IF(AND(L$8&lt;='Detalle'!$H137,L$9&gt;='Detalle'!$G137),1,""))</x:f>
      </x:c>
      <x:c r="M272" s="27" t="str">
        <x:f>IF(OR('Detalle'!$G137="",'Detalle'!$H137=""),"",IF(AND(M$8&lt;='Detalle'!$H137,M$9&gt;='Detalle'!$G137),1,""))</x:f>
      </x:c>
      <x:c r="N272" s="27" t="str">
        <x:f>IF(OR('Detalle'!$G137="",'Detalle'!$H137=""),"",IF(AND(N$8&lt;='Detalle'!$H137,N$9&gt;='Detalle'!$G137),1,""))</x:f>
      </x:c>
      <x:c r="O272" s="27" t="str">
        <x:f>IF(OR('Detalle'!$G137="",'Detalle'!$H137=""),"",IF(AND(O$8&lt;='Detalle'!$H137,O$9&gt;='Detalle'!$G137),1,""))</x:f>
      </x:c>
      <x:c r="P272" s="27" t="str">
        <x:f>IF(OR('Detalle'!$G137="",'Detalle'!$H137=""),"",IF(AND(P$8&lt;='Detalle'!$H137,P$9&gt;='Detalle'!$G137),1,""))</x:f>
      </x:c>
      <x:c r="Q272" s="27" t="str">
        <x:f>IF(OR('Detalle'!$G137="",'Detalle'!$H137=""),"",IF(AND(Q$8&lt;='Detalle'!$H137,Q$9&gt;='Detalle'!$G137),1,""))</x:f>
      </x:c>
      <x:c r="R272" s="49"/>
      <x:c r="S272" s="30" t="str">
        <x:f>IF('Detalle'!L137="","",'Detalle'!L137)</x:f>
        <x:v>Alan</x:v>
      </x:c>
      <x:c r="T272" s="30" t="str">
        <x:f>IF('Detalle'!M137="","",'Detalle'!M137)</x:f>
      </x:c>
    </x:row>
    <x:row r="273" ht="17" customHeight="1">
      <x:c r="A273" s="28" t="str">
        <x:v>DEP-05</x:v>
      </x:c>
      <x:c r="B273" s="28" t="str">
        <x:v>Misiones</x:v>
      </x:c>
      <x:c r="C273" s="28" t="str">
        <x:v>Desplegar rediseño de misiones y verificar contrato</x:v>
      </x:c>
      <x:c r="D273" s="47" t="str">
        <x:v>R</x:v>
      </x:c>
      <x:c r="E273" s="48" t="n">
        <x:f>IF('Detalle'!J137="","",'Detalle'!J137)</x:f>
        <x:v>1</x:v>
      </x:c>
      <x:c r="F273" s="44" t="str"/>
      <x:c r="G273" s="27" t="str">
        <x:f>IF(AND('Detalle'!$F137="Completado",G272=1),1,"")</x:f>
      </x:c>
      <x:c r="H273" s="27" t="str">
        <x:f>IF(AND('Detalle'!$F137="Completado",H272=1),1,"")</x:f>
      </x:c>
      <x:c r="I273" s="27" t="str">
        <x:f>IF(AND('Detalle'!$F137="Completado",I272=1),1,"")</x:f>
      </x:c>
      <x:c r="J273" s="27" t="n">
        <x:f>IF(AND('Detalle'!$F137="Completado",J272=1),1,"")</x:f>
        <x:v>1</x:v>
      </x:c>
      <x:c r="K273" s="27" t="str">
        <x:f>IF(AND('Detalle'!$F137="Completado",K272=1),1,"")</x:f>
      </x:c>
      <x:c r="L273" s="27" t="str">
        <x:f>IF(AND('Detalle'!$F137="Completado",L272=1),1,"")</x:f>
      </x:c>
      <x:c r="M273" s="27" t="str">
        <x:f>IF(AND('Detalle'!$F137="Completado",M272=1),1,"")</x:f>
      </x:c>
      <x:c r="N273" s="27" t="str">
        <x:f>IF(AND('Detalle'!$F137="Completado",N272=1),1,"")</x:f>
      </x:c>
      <x:c r="O273" s="27" t="str">
        <x:f>IF(AND('Detalle'!$F137="Completado",O272=1),1,"")</x:f>
      </x:c>
      <x:c r="P273" s="27" t="str">
        <x:f>IF(AND('Detalle'!$F137="Completado",P272=1),1,"")</x:f>
      </x:c>
      <x:c r="Q273" s="27" t="str">
        <x:f>IF(AND('Detalle'!$F137="Completado",Q272=1),1,"")</x:f>
      </x:c>
      <x:c r="R273" s="49"/>
      <x:c r="S273" s="30" t="str"/>
      <x:c r="T273" s="30" t="str"/>
    </x:row>
    <x:row r="274" ht="17" customHeight="1">
      <x:c r="A274" s="28" t="str">
        <x:v>DEP-06</x:v>
      </x:c>
      <x:c r="B274" s="28" t="str">
        <x:v>Mapa</x:v>
      </x:c>
      <x:c r="C274" s="28" t="str">
        <x:v>Aplicar consultas de mapa al backend remoto</x:v>
      </x:c>
      <x:c r="D274" s="46" t="str">
        <x:v>E</x:v>
      </x:c>
      <x:c r="E274" s="48" t="n">
        <x:f>IF('Detalle'!I138="","",'Detalle'!I138)</x:f>
        <x:v>1</x:v>
      </x:c>
      <x:c r="F274" s="44" t="str">
        <x:f>IF('Detalle'!F138="","",'Detalle'!F138)</x:f>
        <x:v>Completado</x:v>
      </x:c>
      <x:c r="G274" s="27" t="str">
        <x:f>IF(OR('Detalle'!$G138="",'Detalle'!$H138=""),"",IF(AND(G$8&lt;='Detalle'!$H138,G$9&gt;='Detalle'!$G138),1,""))</x:f>
      </x:c>
      <x:c r="H274" s="27" t="str">
        <x:f>IF(OR('Detalle'!$G138="",'Detalle'!$H138=""),"",IF(AND(H$8&lt;='Detalle'!$H138,H$9&gt;='Detalle'!$G138),1,""))</x:f>
      </x:c>
      <x:c r="I274" s="27" t="str">
        <x:f>IF(OR('Detalle'!$G138="",'Detalle'!$H138=""),"",IF(AND(I$8&lt;='Detalle'!$H138,I$9&gt;='Detalle'!$G138),1,""))</x:f>
      </x:c>
      <x:c r="J274" s="27" t="str">
        <x:f>IF(OR('Detalle'!$G138="",'Detalle'!$H138=""),"",IF(AND(J$8&lt;='Detalle'!$H138,J$9&gt;='Detalle'!$G138),1,""))</x:f>
      </x:c>
      <x:c r="K274" s="27" t="n">
        <x:f>IF(OR('Detalle'!$G138="",'Detalle'!$H138=""),"",IF(AND(K$8&lt;='Detalle'!$H138,K$9&gt;='Detalle'!$G138),1,""))</x:f>
        <x:v>1</x:v>
      </x:c>
      <x:c r="L274" s="27" t="str">
        <x:f>IF(OR('Detalle'!$G138="",'Detalle'!$H138=""),"",IF(AND(L$8&lt;='Detalle'!$H138,L$9&gt;='Detalle'!$G138),1,""))</x:f>
      </x:c>
      <x:c r="M274" s="27" t="str">
        <x:f>IF(OR('Detalle'!$G138="",'Detalle'!$H138=""),"",IF(AND(M$8&lt;='Detalle'!$H138,M$9&gt;='Detalle'!$G138),1,""))</x:f>
      </x:c>
      <x:c r="N274" s="27" t="str">
        <x:f>IF(OR('Detalle'!$G138="",'Detalle'!$H138=""),"",IF(AND(N$8&lt;='Detalle'!$H138,N$9&gt;='Detalle'!$G138),1,""))</x:f>
      </x:c>
      <x:c r="O274" s="27" t="str">
        <x:f>IF(OR('Detalle'!$G138="",'Detalle'!$H138=""),"",IF(AND(O$8&lt;='Detalle'!$H138,O$9&gt;='Detalle'!$G138),1,""))</x:f>
      </x:c>
      <x:c r="P274" s="27" t="str">
        <x:f>IF(OR('Detalle'!$G138="",'Detalle'!$H138=""),"",IF(AND(P$8&lt;='Detalle'!$H138,P$9&gt;='Detalle'!$G138),1,""))</x:f>
      </x:c>
      <x:c r="Q274" s="27" t="str">
        <x:f>IF(OR('Detalle'!$G138="",'Detalle'!$H138=""),"",IF(AND(Q$8&lt;='Detalle'!$H138,Q$9&gt;='Detalle'!$G138),1,""))</x:f>
      </x:c>
      <x:c r="R274" s="49"/>
      <x:c r="S274" s="30" t="str">
        <x:f>IF('Detalle'!L138="","",'Detalle'!L138)</x:f>
        <x:v>Alan</x:v>
      </x:c>
      <x:c r="T274" s="30" t="str">
        <x:f>IF('Detalle'!M138="","",'Detalle'!M138)</x:f>
      </x:c>
    </x:row>
    <x:row r="275" ht="17" customHeight="1">
      <x:c r="A275" s="28" t="str">
        <x:v>DEP-06</x:v>
      </x:c>
      <x:c r="B275" s="28" t="str">
        <x:v>Mapa</x:v>
      </x:c>
      <x:c r="C275" s="28" t="str">
        <x:v>Aplicar consultas de mapa al backend remoto</x:v>
      </x:c>
      <x:c r="D275" s="47" t="str">
        <x:v>R</x:v>
      </x:c>
      <x:c r="E275" s="48" t="n">
        <x:f>IF('Detalle'!J138="","",'Detalle'!J138)</x:f>
        <x:v>1</x:v>
      </x:c>
      <x:c r="F275" s="44" t="str"/>
      <x:c r="G275" s="27" t="str">
        <x:f>IF(AND('Detalle'!$F138="Completado",G274=1),1,"")</x:f>
      </x:c>
      <x:c r="H275" s="27" t="str">
        <x:f>IF(AND('Detalle'!$F138="Completado",H274=1),1,"")</x:f>
      </x:c>
      <x:c r="I275" s="27" t="str">
        <x:f>IF(AND('Detalle'!$F138="Completado",I274=1),1,"")</x:f>
      </x:c>
      <x:c r="J275" s="27" t="str">
        <x:f>IF(AND('Detalle'!$F138="Completado",J274=1),1,"")</x:f>
      </x:c>
      <x:c r="K275" s="27" t="n">
        <x:f>IF(AND('Detalle'!$F138="Completado",K274=1),1,"")</x:f>
        <x:v>1</x:v>
      </x:c>
      <x:c r="L275" s="27" t="str">
        <x:f>IF(AND('Detalle'!$F138="Completado",L274=1),1,"")</x:f>
      </x:c>
      <x:c r="M275" s="27" t="str">
        <x:f>IF(AND('Detalle'!$F138="Completado",M274=1),1,"")</x:f>
      </x:c>
      <x:c r="N275" s="27" t="str">
        <x:f>IF(AND('Detalle'!$F138="Completado",N274=1),1,"")</x:f>
      </x:c>
      <x:c r="O275" s="27" t="str">
        <x:f>IF(AND('Detalle'!$F138="Completado",O274=1),1,"")</x:f>
      </x:c>
      <x:c r="P275" s="27" t="str">
        <x:f>IF(AND('Detalle'!$F138="Completado",P274=1),1,"")</x:f>
      </x:c>
      <x:c r="Q275" s="27" t="str">
        <x:f>IF(AND('Detalle'!$F138="Completado",Q274=1),1,"")</x:f>
      </x:c>
      <x:c r="R275" s="49"/>
      <x:c r="S275" s="30" t="str"/>
      <x:c r="T275" s="30" t="str"/>
    </x:row>
    <x:row r="276" ht="17" customHeight="1">
      <x:c r="A276" s="28" t="str">
        <x:v>DEP-07</x:v>
      </x:c>
      <x:c r="B276" s="28" t="str">
        <x:v>Push</x:v>
      </x:c>
      <x:c r="C276" s="28" t="str">
        <x:v>Configurar Firebase y secretos de entrega en Vault</x:v>
      </x:c>
      <x:c r="D276" s="46" t="str">
        <x:v>E</x:v>
      </x:c>
      <x:c r="E276" s="48" t="n">
        <x:f>IF('Detalle'!I139="","",'Detalle'!I139)</x:f>
        <x:v>1</x:v>
      </x:c>
      <x:c r="F276" s="44" t="str">
        <x:f>IF('Detalle'!F139="","",'Detalle'!F139)</x:f>
        <x:v>Completado</x:v>
      </x:c>
      <x:c r="G276" s="27" t="str">
        <x:f>IF(OR('Detalle'!$G139="",'Detalle'!$H139=""),"",IF(AND(G$8&lt;='Detalle'!$H139,G$9&gt;='Detalle'!$G139),1,""))</x:f>
      </x:c>
      <x:c r="H276" s="27" t="str">
        <x:f>IF(OR('Detalle'!$G139="",'Detalle'!$H139=""),"",IF(AND(H$8&lt;='Detalle'!$H139,H$9&gt;='Detalle'!$G139),1,""))</x:f>
      </x:c>
      <x:c r="I276" s="27" t="str">
        <x:f>IF(OR('Detalle'!$G139="",'Detalle'!$H139=""),"",IF(AND(I$8&lt;='Detalle'!$H139,I$9&gt;='Detalle'!$G139),1,""))</x:f>
      </x:c>
      <x:c r="J276" s="27" t="str">
        <x:f>IF(OR('Detalle'!$G139="",'Detalle'!$H139=""),"",IF(AND(J$8&lt;='Detalle'!$H139,J$9&gt;='Detalle'!$G139),1,""))</x:f>
      </x:c>
      <x:c r="K276" s="27" t="n">
        <x:f>IF(OR('Detalle'!$G139="",'Detalle'!$H139=""),"",IF(AND(K$8&lt;='Detalle'!$H139,K$9&gt;='Detalle'!$G139),1,""))</x:f>
        <x:v>1</x:v>
      </x:c>
      <x:c r="L276" s="27" t="str">
        <x:f>IF(OR('Detalle'!$G139="",'Detalle'!$H139=""),"",IF(AND(L$8&lt;='Detalle'!$H139,L$9&gt;='Detalle'!$G139),1,""))</x:f>
      </x:c>
      <x:c r="M276" s="27" t="str">
        <x:f>IF(OR('Detalle'!$G139="",'Detalle'!$H139=""),"",IF(AND(M$8&lt;='Detalle'!$H139,M$9&gt;='Detalle'!$G139),1,""))</x:f>
      </x:c>
      <x:c r="N276" s="27" t="str">
        <x:f>IF(OR('Detalle'!$G139="",'Detalle'!$H139=""),"",IF(AND(N$8&lt;='Detalle'!$H139,N$9&gt;='Detalle'!$G139),1,""))</x:f>
      </x:c>
      <x:c r="O276" s="27" t="str">
        <x:f>IF(OR('Detalle'!$G139="",'Detalle'!$H139=""),"",IF(AND(O$8&lt;='Detalle'!$H139,O$9&gt;='Detalle'!$G139),1,""))</x:f>
      </x:c>
      <x:c r="P276" s="27" t="str">
        <x:f>IF(OR('Detalle'!$G139="",'Detalle'!$H139=""),"",IF(AND(P$8&lt;='Detalle'!$H139,P$9&gt;='Detalle'!$G139),1,""))</x:f>
      </x:c>
      <x:c r="Q276" s="27" t="str">
        <x:f>IF(OR('Detalle'!$G139="",'Detalle'!$H139=""),"",IF(AND(Q$8&lt;='Detalle'!$H139,Q$9&gt;='Detalle'!$G139),1,""))</x:f>
      </x:c>
      <x:c r="R276" s="49"/>
      <x:c r="S276" s="30" t="str">
        <x:f>IF('Detalle'!L139="","",'Detalle'!L139)</x:f>
        <x:v>Cristopher</x:v>
      </x:c>
      <x:c r="T276" s="30" t="str">
        <x:f>IF('Detalle'!M139="","",'Detalle'!M139)</x:f>
      </x:c>
    </x:row>
    <x:row r="277" ht="17" customHeight="1">
      <x:c r="A277" s="28" t="str">
        <x:v>DEP-07</x:v>
      </x:c>
      <x:c r="B277" s="28" t="str">
        <x:v>Push</x:v>
      </x:c>
      <x:c r="C277" s="28" t="str">
        <x:v>Configurar Firebase y secretos de entrega en Vault</x:v>
      </x:c>
      <x:c r="D277" s="47" t="str">
        <x:v>R</x:v>
      </x:c>
      <x:c r="E277" s="48" t="n">
        <x:f>IF('Detalle'!J139="","",'Detalle'!J139)</x:f>
        <x:v>1</x:v>
      </x:c>
      <x:c r="F277" s="44" t="str"/>
      <x:c r="G277" s="27" t="str">
        <x:f>IF(AND('Detalle'!$F139="Completado",G276=1),1,"")</x:f>
      </x:c>
      <x:c r="H277" s="27" t="str">
        <x:f>IF(AND('Detalle'!$F139="Completado",H276=1),1,"")</x:f>
      </x:c>
      <x:c r="I277" s="27" t="str">
        <x:f>IF(AND('Detalle'!$F139="Completado",I276=1),1,"")</x:f>
      </x:c>
      <x:c r="J277" s="27" t="str">
        <x:f>IF(AND('Detalle'!$F139="Completado",J276=1),1,"")</x:f>
      </x:c>
      <x:c r="K277" s="27" t="n">
        <x:f>IF(AND('Detalle'!$F139="Completado",K276=1),1,"")</x:f>
        <x:v>1</x:v>
      </x:c>
      <x:c r="L277" s="27" t="str">
        <x:f>IF(AND('Detalle'!$F139="Completado",L276=1),1,"")</x:f>
      </x:c>
      <x:c r="M277" s="27" t="str">
        <x:f>IF(AND('Detalle'!$F139="Completado",M276=1),1,"")</x:f>
      </x:c>
      <x:c r="N277" s="27" t="str">
        <x:f>IF(AND('Detalle'!$F139="Completado",N276=1),1,"")</x:f>
      </x:c>
      <x:c r="O277" s="27" t="str">
        <x:f>IF(AND('Detalle'!$F139="Completado",O276=1),1,"")</x:f>
      </x:c>
      <x:c r="P277" s="27" t="str">
        <x:f>IF(AND('Detalle'!$F139="Completado",P276=1),1,"")</x:f>
      </x:c>
      <x:c r="Q277" s="27" t="str">
        <x:f>IF(AND('Detalle'!$F139="Completado",Q276=1),1,"")</x:f>
      </x:c>
      <x:c r="R277" s="49"/>
      <x:c r="S277" s="30" t="str"/>
      <x:c r="T277" s="30" t="str"/>
    </x:row>
    <x:row r="278" ht="17" customHeight="1">
      <x:c r="A278" s="28" t="str">
        <x:v>DEP-08</x:v>
      </x:c>
      <x:c r="B278" s="28" t="str">
        <x:v>Push</x:v>
      </x:c>
      <x:c r="C278" s="28" t="str">
        <x:v>Desplegar función push y programar la cola</x:v>
      </x:c>
      <x:c r="D278" s="46" t="str">
        <x:v>E</x:v>
      </x:c>
      <x:c r="E278" s="48" t="n">
        <x:f>IF('Detalle'!I140="","",'Detalle'!I140)</x:f>
        <x:v>1</x:v>
      </x:c>
      <x:c r="F278" s="44" t="str">
        <x:f>IF('Detalle'!F140="","",'Detalle'!F140)</x:f>
        <x:v>Completado</x:v>
      </x:c>
      <x:c r="G278" s="27" t="str">
        <x:f>IF(OR('Detalle'!$G140="",'Detalle'!$H140=""),"",IF(AND(G$8&lt;='Detalle'!$H140,G$9&gt;='Detalle'!$G140),1,""))</x:f>
      </x:c>
      <x:c r="H278" s="27" t="str">
        <x:f>IF(OR('Detalle'!$G140="",'Detalle'!$H140=""),"",IF(AND(H$8&lt;='Detalle'!$H140,H$9&gt;='Detalle'!$G140),1,""))</x:f>
      </x:c>
      <x:c r="I278" s="27" t="str">
        <x:f>IF(OR('Detalle'!$G140="",'Detalle'!$H140=""),"",IF(AND(I$8&lt;='Detalle'!$H140,I$9&gt;='Detalle'!$G140),1,""))</x:f>
      </x:c>
      <x:c r="J278" s="27" t="str">
        <x:f>IF(OR('Detalle'!$G140="",'Detalle'!$H140=""),"",IF(AND(J$8&lt;='Detalle'!$H140,J$9&gt;='Detalle'!$G140),1,""))</x:f>
      </x:c>
      <x:c r="K278" s="27" t="n">
        <x:f>IF(OR('Detalle'!$G140="",'Detalle'!$H140=""),"",IF(AND(K$8&lt;='Detalle'!$H140,K$9&gt;='Detalle'!$G140),1,""))</x:f>
        <x:v>1</x:v>
      </x:c>
      <x:c r="L278" s="27" t="str">
        <x:f>IF(OR('Detalle'!$G140="",'Detalle'!$H140=""),"",IF(AND(L$8&lt;='Detalle'!$H140,L$9&gt;='Detalle'!$G140),1,""))</x:f>
      </x:c>
      <x:c r="M278" s="27" t="str">
        <x:f>IF(OR('Detalle'!$G140="",'Detalle'!$H140=""),"",IF(AND(M$8&lt;='Detalle'!$H140,M$9&gt;='Detalle'!$G140),1,""))</x:f>
      </x:c>
      <x:c r="N278" s="27" t="str">
        <x:f>IF(OR('Detalle'!$G140="",'Detalle'!$H140=""),"",IF(AND(N$8&lt;='Detalle'!$H140,N$9&gt;='Detalle'!$G140),1,""))</x:f>
      </x:c>
      <x:c r="O278" s="27" t="str">
        <x:f>IF(OR('Detalle'!$G140="",'Detalle'!$H140=""),"",IF(AND(O$8&lt;='Detalle'!$H140,O$9&gt;='Detalle'!$G140),1,""))</x:f>
      </x:c>
      <x:c r="P278" s="27" t="str">
        <x:f>IF(OR('Detalle'!$G140="",'Detalle'!$H140=""),"",IF(AND(P$8&lt;='Detalle'!$H140,P$9&gt;='Detalle'!$G140),1,""))</x:f>
      </x:c>
      <x:c r="Q278" s="27" t="str">
        <x:f>IF(OR('Detalle'!$G140="",'Detalle'!$H140=""),"",IF(AND(Q$8&lt;='Detalle'!$H140,Q$9&gt;='Detalle'!$G140),1,""))</x:f>
      </x:c>
      <x:c r="R278" s="49"/>
      <x:c r="S278" s="30" t="str">
        <x:f>IF('Detalle'!L140="","",'Detalle'!L140)</x:f>
        <x:v>Cristopher</x:v>
      </x:c>
      <x:c r="T278" s="30" t="str">
        <x:f>IF('Detalle'!M140="","",'Detalle'!M140)</x:f>
      </x:c>
    </x:row>
    <x:row r="279" ht="17" customHeight="1">
      <x:c r="A279" s="28" t="str">
        <x:v>DEP-08</x:v>
      </x:c>
      <x:c r="B279" s="28" t="str">
        <x:v>Push</x:v>
      </x:c>
      <x:c r="C279" s="28" t="str">
        <x:v>Desplegar función push y programar la cola</x:v>
      </x:c>
      <x:c r="D279" s="47" t="str">
        <x:v>R</x:v>
      </x:c>
      <x:c r="E279" s="48" t="n">
        <x:f>IF('Detalle'!J140="","",'Detalle'!J140)</x:f>
        <x:v>1</x:v>
      </x:c>
      <x:c r="F279" s="44" t="str"/>
      <x:c r="G279" s="27" t="str">
        <x:f>IF(AND('Detalle'!$F140="Completado",G278=1),1,"")</x:f>
      </x:c>
      <x:c r="H279" s="27" t="str">
        <x:f>IF(AND('Detalle'!$F140="Completado",H278=1),1,"")</x:f>
      </x:c>
      <x:c r="I279" s="27" t="str">
        <x:f>IF(AND('Detalle'!$F140="Completado",I278=1),1,"")</x:f>
      </x:c>
      <x:c r="J279" s="27" t="str">
        <x:f>IF(AND('Detalle'!$F140="Completado",J278=1),1,"")</x:f>
      </x:c>
      <x:c r="K279" s="27" t="n">
        <x:f>IF(AND('Detalle'!$F140="Completado",K278=1),1,"")</x:f>
        <x:v>1</x:v>
      </x:c>
      <x:c r="L279" s="27" t="str">
        <x:f>IF(AND('Detalle'!$F140="Completado",L278=1),1,"")</x:f>
      </x:c>
      <x:c r="M279" s="27" t="str">
        <x:f>IF(AND('Detalle'!$F140="Completado",M278=1),1,"")</x:f>
      </x:c>
      <x:c r="N279" s="27" t="str">
        <x:f>IF(AND('Detalle'!$F140="Completado",N278=1),1,"")</x:f>
      </x:c>
      <x:c r="O279" s="27" t="str">
        <x:f>IF(AND('Detalle'!$F140="Completado",O278=1),1,"")</x:f>
      </x:c>
      <x:c r="P279" s="27" t="str">
        <x:f>IF(AND('Detalle'!$F140="Completado",P278=1),1,"")</x:f>
      </x:c>
      <x:c r="Q279" s="27" t="str">
        <x:f>IF(AND('Detalle'!$F140="Completado",Q278=1),1,"")</x:f>
      </x:c>
      <x:c r="R279" s="49"/>
      <x:c r="S279" s="30" t="str"/>
      <x:c r="T279" s="30" t="str"/>
    </x:row>
    <x:row r="280" ht="17" customHeight="1">
      <x:c r="A280" s="28" t="str">
        <x:v>DEP-09</x:v>
      </x:c>
      <x:c r="B280" s="28" t="str">
        <x:v>Transversal</x:v>
      </x:c>
      <x:c r="C280" s="28" t="str">
        <x:v>Publicar compilación Web y preparar APK</x:v>
      </x:c>
      <x:c r="D280" s="46" t="str">
        <x:v>E</x:v>
      </x:c>
      <x:c r="E280" s="48" t="n">
        <x:f>IF('Detalle'!I141="","",'Detalle'!I141)</x:f>
        <x:v>1</x:v>
      </x:c>
      <x:c r="F280" s="44" t="str">
        <x:f>IF('Detalle'!F141="","",'Detalle'!F141)</x:f>
        <x:v>Completado</x:v>
      </x:c>
      <x:c r="G280" s="27" t="str">
        <x:f>IF(OR('Detalle'!$G141="",'Detalle'!$H141=""),"",IF(AND(G$8&lt;='Detalle'!$H141,G$9&gt;='Detalle'!$G141),1,""))</x:f>
      </x:c>
      <x:c r="H280" s="27" t="str">
        <x:f>IF(OR('Detalle'!$G141="",'Detalle'!$H141=""),"",IF(AND(H$8&lt;='Detalle'!$H141,H$9&gt;='Detalle'!$G141),1,""))</x:f>
      </x:c>
      <x:c r="I280" s="27" t="str">
        <x:f>IF(OR('Detalle'!$G141="",'Detalle'!$H141=""),"",IF(AND(I$8&lt;='Detalle'!$H141,I$9&gt;='Detalle'!$G141),1,""))</x:f>
      </x:c>
      <x:c r="J280" s="27" t="str">
        <x:f>IF(OR('Detalle'!$G141="",'Detalle'!$H141=""),"",IF(AND(J$8&lt;='Detalle'!$H141,J$9&gt;='Detalle'!$G141),1,""))</x:f>
      </x:c>
      <x:c r="K280" s="27" t="n">
        <x:f>IF(OR('Detalle'!$G141="",'Detalle'!$H141=""),"",IF(AND(K$8&lt;='Detalle'!$H141,K$9&gt;='Detalle'!$G141),1,""))</x:f>
        <x:v>1</x:v>
      </x:c>
      <x:c r="L280" s="27" t="str">
        <x:f>IF(OR('Detalle'!$G141="",'Detalle'!$H141=""),"",IF(AND(L$8&lt;='Detalle'!$H141,L$9&gt;='Detalle'!$G141),1,""))</x:f>
      </x:c>
      <x:c r="M280" s="27" t="str">
        <x:f>IF(OR('Detalle'!$G141="",'Detalle'!$H141=""),"",IF(AND(M$8&lt;='Detalle'!$H141,M$9&gt;='Detalle'!$G141),1,""))</x:f>
      </x:c>
      <x:c r="N280" s="27" t="str">
        <x:f>IF(OR('Detalle'!$G141="",'Detalle'!$H141=""),"",IF(AND(N$8&lt;='Detalle'!$H141,N$9&gt;='Detalle'!$G141),1,""))</x:f>
      </x:c>
      <x:c r="O280" s="27" t="str">
        <x:f>IF(OR('Detalle'!$G141="",'Detalle'!$H141=""),"",IF(AND(O$8&lt;='Detalle'!$H141,O$9&gt;='Detalle'!$G141),1,""))</x:f>
      </x:c>
      <x:c r="P280" s="27" t="str">
        <x:f>IF(OR('Detalle'!$G141="",'Detalle'!$H141=""),"",IF(AND(P$8&lt;='Detalle'!$H141,P$9&gt;='Detalle'!$G141),1,""))</x:f>
      </x:c>
      <x:c r="Q280" s="27" t="str">
        <x:f>IF(OR('Detalle'!$G141="",'Detalle'!$H141=""),"",IF(AND(Q$8&lt;='Detalle'!$H141,Q$9&gt;='Detalle'!$G141),1,""))</x:f>
      </x:c>
      <x:c r="R280" s="49"/>
      <x:c r="S280" s="30" t="str">
        <x:f>IF('Detalle'!L141="","",'Detalle'!L141)</x:f>
        <x:v>Cristopher</x:v>
      </x:c>
      <x:c r="T280" s="30" t="str">
        <x:f>IF('Detalle'!M141="","",'Detalle'!M141)</x:f>
      </x:c>
    </x:row>
    <x:row r="281" ht="17" customHeight="1">
      <x:c r="A281" s="28" t="str">
        <x:v>DEP-09</x:v>
      </x:c>
      <x:c r="B281" s="28" t="str">
        <x:v>Transversal</x:v>
      </x:c>
      <x:c r="C281" s="28" t="str">
        <x:v>Publicar compilación Web y preparar APK</x:v>
      </x:c>
      <x:c r="D281" s="47" t="str">
        <x:v>R</x:v>
      </x:c>
      <x:c r="E281" s="48" t="n">
        <x:f>IF('Detalle'!J141="","",'Detalle'!J141)</x:f>
        <x:v>1</x:v>
      </x:c>
      <x:c r="F281" s="44" t="str"/>
      <x:c r="G281" s="27" t="str">
        <x:f>IF(AND('Detalle'!$F141="Completado",G280=1),1,"")</x:f>
      </x:c>
      <x:c r="H281" s="27" t="str">
        <x:f>IF(AND('Detalle'!$F141="Completado",H280=1),1,"")</x:f>
      </x:c>
      <x:c r="I281" s="27" t="str">
        <x:f>IF(AND('Detalle'!$F141="Completado",I280=1),1,"")</x:f>
      </x:c>
      <x:c r="J281" s="27" t="str">
        <x:f>IF(AND('Detalle'!$F141="Completado",J280=1),1,"")</x:f>
      </x:c>
      <x:c r="K281" s="27" t="n">
        <x:f>IF(AND('Detalle'!$F141="Completado",K280=1),1,"")</x:f>
        <x:v>1</x:v>
      </x:c>
      <x:c r="L281" s="27" t="str">
        <x:f>IF(AND('Detalle'!$F141="Completado",L280=1),1,"")</x:f>
      </x:c>
      <x:c r="M281" s="27" t="str">
        <x:f>IF(AND('Detalle'!$F141="Completado",M280=1),1,"")</x:f>
      </x:c>
      <x:c r="N281" s="27" t="str">
        <x:f>IF(AND('Detalle'!$F141="Completado",N280=1),1,"")</x:f>
      </x:c>
      <x:c r="O281" s="27" t="str">
        <x:f>IF(AND('Detalle'!$F141="Completado",O280=1),1,"")</x:f>
      </x:c>
      <x:c r="P281" s="27" t="str">
        <x:f>IF(AND('Detalle'!$F141="Completado",P280=1),1,"")</x:f>
      </x:c>
      <x:c r="Q281" s="27" t="str">
        <x:f>IF(AND('Detalle'!$F141="Completado",Q280=1),1,"")</x:f>
      </x:c>
      <x:c r="R281" s="49"/>
      <x:c r="S281" s="30" t="str"/>
      <x:c r="T281" s="30" t="str"/>
    </x:row>
    <x:row r="282" ht="17" customHeight="1">
      <x:c r="A282" s="28" t="str">
        <x:v>DEP-10</x:v>
      </x:c>
      <x:c r="B282" s="28" t="str">
        <x:v>Recorridos y AR</x:v>
      </x:c>
      <x:c r="C282" s="28" t="str">
        <x:v>Aplicar migración de recorridos y limpieza remota</x:v>
      </x:c>
      <x:c r="D282" s="46" t="str">
        <x:v>E</x:v>
      </x:c>
      <x:c r="E282" s="48" t="n">
        <x:f>IF('Detalle'!I142="","",'Detalle'!I142)</x:f>
        <x:v>1</x:v>
      </x:c>
      <x:c r="F282" s="44" t="str">
        <x:f>IF('Detalle'!F142="","",'Detalle'!F142)</x:f>
        <x:v>Completado</x:v>
      </x:c>
      <x:c r="G282" s="27" t="str">
        <x:f>IF(OR('Detalle'!$G142="",'Detalle'!$H142=""),"",IF(AND(G$8&lt;='Detalle'!$H142,G$9&gt;='Detalle'!$G142),1,""))</x:f>
      </x:c>
      <x:c r="H282" s="27" t="str">
        <x:f>IF(OR('Detalle'!$G142="",'Detalle'!$H142=""),"",IF(AND(H$8&lt;='Detalle'!$H142,H$9&gt;='Detalle'!$G142),1,""))</x:f>
      </x:c>
      <x:c r="I282" s="27" t="str">
        <x:f>IF(OR('Detalle'!$G142="",'Detalle'!$H142=""),"",IF(AND(I$8&lt;='Detalle'!$H142,I$9&gt;='Detalle'!$G142),1,""))</x:f>
      </x:c>
      <x:c r="J282" s="27" t="str">
        <x:f>IF(OR('Detalle'!$G142="",'Detalle'!$H142=""),"",IF(AND(J$8&lt;='Detalle'!$H142,J$9&gt;='Detalle'!$G142),1,""))</x:f>
      </x:c>
      <x:c r="K282" s="27" t="n">
        <x:f>IF(OR('Detalle'!$G142="",'Detalle'!$H142=""),"",IF(AND(K$8&lt;='Detalle'!$H142,K$9&gt;='Detalle'!$G142),1,""))</x:f>
        <x:v>1</x:v>
      </x:c>
      <x:c r="L282" s="27" t="str">
        <x:f>IF(OR('Detalle'!$G142="",'Detalle'!$H142=""),"",IF(AND(L$8&lt;='Detalle'!$H142,L$9&gt;='Detalle'!$G142),1,""))</x:f>
      </x:c>
      <x:c r="M282" s="27" t="str">
        <x:f>IF(OR('Detalle'!$G142="",'Detalle'!$H142=""),"",IF(AND(M$8&lt;='Detalle'!$H142,M$9&gt;='Detalle'!$G142),1,""))</x:f>
      </x:c>
      <x:c r="N282" s="27" t="str">
        <x:f>IF(OR('Detalle'!$G142="",'Detalle'!$H142=""),"",IF(AND(N$8&lt;='Detalle'!$H142,N$9&gt;='Detalle'!$G142),1,""))</x:f>
      </x:c>
      <x:c r="O282" s="27" t="str">
        <x:f>IF(OR('Detalle'!$G142="",'Detalle'!$H142=""),"",IF(AND(O$8&lt;='Detalle'!$H142,O$9&gt;='Detalle'!$G142),1,""))</x:f>
      </x:c>
      <x:c r="P282" s="27" t="str">
        <x:f>IF(OR('Detalle'!$G142="",'Detalle'!$H142=""),"",IF(AND(P$8&lt;='Detalle'!$H142,P$9&gt;='Detalle'!$G142),1,""))</x:f>
      </x:c>
      <x:c r="Q282" s="27" t="str">
        <x:f>IF(OR('Detalle'!$G142="",'Detalle'!$H142=""),"",IF(AND(Q$8&lt;='Detalle'!$H142,Q$9&gt;='Detalle'!$G142),1,""))</x:f>
      </x:c>
      <x:c r="R282" s="49"/>
      <x:c r="S282" s="30" t="str">
        <x:f>IF('Detalle'!L142="","",'Detalle'!L142)</x:f>
        <x:v>Alan</x:v>
      </x:c>
      <x:c r="T282" s="30" t="str">
        <x:f>IF('Detalle'!M142="","",'Detalle'!M142)</x:f>
      </x:c>
    </x:row>
    <x:row r="283" ht="17" customHeight="1">
      <x:c r="A283" s="28" t="str">
        <x:v>DEP-10</x:v>
      </x:c>
      <x:c r="B283" s="28" t="str">
        <x:v>Recorridos y AR</x:v>
      </x:c>
      <x:c r="C283" s="28" t="str">
        <x:v>Aplicar migración de recorridos y limpieza remota</x:v>
      </x:c>
      <x:c r="D283" s="47" t="str">
        <x:v>R</x:v>
      </x:c>
      <x:c r="E283" s="48" t="n">
        <x:f>IF('Detalle'!J142="","",'Detalle'!J142)</x:f>
        <x:v>1</x:v>
      </x:c>
      <x:c r="F283" s="44" t="str"/>
      <x:c r="G283" s="27" t="str">
        <x:f>IF(AND('Detalle'!$F142="Completado",G282=1),1,"")</x:f>
      </x:c>
      <x:c r="H283" s="27" t="str">
        <x:f>IF(AND('Detalle'!$F142="Completado",H282=1),1,"")</x:f>
      </x:c>
      <x:c r="I283" s="27" t="str">
        <x:f>IF(AND('Detalle'!$F142="Completado",I282=1),1,"")</x:f>
      </x:c>
      <x:c r="J283" s="27" t="str">
        <x:f>IF(AND('Detalle'!$F142="Completado",J282=1),1,"")</x:f>
      </x:c>
      <x:c r="K283" s="27" t="n">
        <x:f>IF(AND('Detalle'!$F142="Completado",K282=1),1,"")</x:f>
        <x:v>1</x:v>
      </x:c>
      <x:c r="L283" s="27" t="str">
        <x:f>IF(AND('Detalle'!$F142="Completado",L282=1),1,"")</x:f>
      </x:c>
      <x:c r="M283" s="27" t="str">
        <x:f>IF(AND('Detalle'!$F142="Completado",M282=1),1,"")</x:f>
      </x:c>
      <x:c r="N283" s="27" t="str">
        <x:f>IF(AND('Detalle'!$F142="Completado",N282=1),1,"")</x:f>
      </x:c>
      <x:c r="O283" s="27" t="str">
        <x:f>IF(AND('Detalle'!$F142="Completado",O282=1),1,"")</x:f>
      </x:c>
      <x:c r="P283" s="27" t="str">
        <x:f>IF(AND('Detalle'!$F142="Completado",P282=1),1,"")</x:f>
      </x:c>
      <x:c r="Q283" s="27" t="str">
        <x:f>IF(AND('Detalle'!$F142="Completado",Q282=1),1,"")</x:f>
      </x:c>
      <x:c r="R283" s="49"/>
      <x:c r="S283" s="30" t="str"/>
      <x:c r="T283" s="30" t="str"/>
    </x:row>
    <x:row r="284" ht="17" customHeight="1">
      <x:c r="A284" s="28" t="str">
        <x:v>DEP-11</x:v>
      </x:c>
      <x:c r="B284" s="28" t="str">
        <x:v>Recorridos y AR</x:v>
      </x:c>
      <x:c r="C284" s="28" t="str">
        <x:v>Ejecutar piloto Docker con Supabase real</x:v>
      </x:c>
      <x:c r="D284" s="46" t="str">
        <x:v>E</x:v>
      </x:c>
      <x:c r="E284" s="48" t="n">
        <x:f>IF('Detalle'!I143="","",'Detalle'!I143)</x:f>
        <x:v>1</x:v>
      </x:c>
      <x:c r="F284" s="44" t="str">
        <x:f>IF('Detalle'!F143="","",'Detalle'!F143)</x:f>
        <x:v>Completado</x:v>
      </x:c>
      <x:c r="G284" s="27" t="str">
        <x:f>IF(OR('Detalle'!$G143="",'Detalle'!$H143=""),"",IF(AND(G$8&lt;='Detalle'!$H143,G$9&gt;='Detalle'!$G143),1,""))</x:f>
      </x:c>
      <x:c r="H284" s="27" t="str">
        <x:f>IF(OR('Detalle'!$G143="",'Detalle'!$H143=""),"",IF(AND(H$8&lt;='Detalle'!$H143,H$9&gt;='Detalle'!$G143),1,""))</x:f>
      </x:c>
      <x:c r="I284" s="27" t="str">
        <x:f>IF(OR('Detalle'!$G143="",'Detalle'!$H143=""),"",IF(AND(I$8&lt;='Detalle'!$H143,I$9&gt;='Detalle'!$G143),1,""))</x:f>
      </x:c>
      <x:c r="J284" s="27" t="str">
        <x:f>IF(OR('Detalle'!$G143="",'Detalle'!$H143=""),"",IF(AND(J$8&lt;='Detalle'!$H143,J$9&gt;='Detalle'!$G143),1,""))</x:f>
      </x:c>
      <x:c r="K284" s="27" t="n">
        <x:f>IF(OR('Detalle'!$G143="",'Detalle'!$H143=""),"",IF(AND(K$8&lt;='Detalle'!$H143,K$9&gt;='Detalle'!$G143),1,""))</x:f>
        <x:v>1</x:v>
      </x:c>
      <x:c r="L284" s="27" t="str">
        <x:f>IF(OR('Detalle'!$G143="",'Detalle'!$H143=""),"",IF(AND(L$8&lt;='Detalle'!$H143,L$9&gt;='Detalle'!$G143),1,""))</x:f>
      </x:c>
      <x:c r="M284" s="27" t="str">
        <x:f>IF(OR('Detalle'!$G143="",'Detalle'!$H143=""),"",IF(AND(M$8&lt;='Detalle'!$H143,M$9&gt;='Detalle'!$G143),1,""))</x:f>
      </x:c>
      <x:c r="N284" s="27" t="str">
        <x:f>IF(OR('Detalle'!$G143="",'Detalle'!$H143=""),"",IF(AND(N$8&lt;='Detalle'!$H143,N$9&gt;='Detalle'!$G143),1,""))</x:f>
      </x:c>
      <x:c r="O284" s="27" t="str">
        <x:f>IF(OR('Detalle'!$G143="",'Detalle'!$H143=""),"",IF(AND(O$8&lt;='Detalle'!$H143,O$9&gt;='Detalle'!$G143),1,""))</x:f>
      </x:c>
      <x:c r="P284" s="27" t="str">
        <x:f>IF(OR('Detalle'!$G143="",'Detalle'!$H143=""),"",IF(AND(P$8&lt;='Detalle'!$H143,P$9&gt;='Detalle'!$G143),1,""))</x:f>
      </x:c>
      <x:c r="Q284" s="27" t="str">
        <x:f>IF(OR('Detalle'!$G143="",'Detalle'!$H143=""),"",IF(AND(Q$8&lt;='Detalle'!$H143,Q$9&gt;='Detalle'!$G143),1,""))</x:f>
      </x:c>
      <x:c r="R284" s="49"/>
      <x:c r="S284" s="30" t="str">
        <x:f>IF('Detalle'!L143="","",'Detalle'!L143)</x:f>
        <x:v>Cristopher</x:v>
      </x:c>
      <x:c r="T284" s="30" t="str">
        <x:f>IF('Detalle'!M143="","",'Detalle'!M143)</x:f>
      </x:c>
    </x:row>
    <x:row r="285" ht="17" customHeight="1">
      <x:c r="A285" s="28" t="str">
        <x:v>DEP-11</x:v>
      </x:c>
      <x:c r="B285" s="28" t="str">
        <x:v>Recorridos y AR</x:v>
      </x:c>
      <x:c r="C285" s="28" t="str">
        <x:v>Ejecutar piloto Docker con Supabase real</x:v>
      </x:c>
      <x:c r="D285" s="47" t="str">
        <x:v>R</x:v>
      </x:c>
      <x:c r="E285" s="48" t="n">
        <x:f>IF('Detalle'!J143="","",'Detalle'!J143)</x:f>
        <x:v>1</x:v>
      </x:c>
      <x:c r="F285" s="44" t="str"/>
      <x:c r="G285" s="27" t="str">
        <x:f>IF(AND('Detalle'!$F143="Completado",G284=1),1,"")</x:f>
      </x:c>
      <x:c r="H285" s="27" t="str">
        <x:f>IF(AND('Detalle'!$F143="Completado",H284=1),1,"")</x:f>
      </x:c>
      <x:c r="I285" s="27" t="str">
        <x:f>IF(AND('Detalle'!$F143="Completado",I284=1),1,"")</x:f>
      </x:c>
      <x:c r="J285" s="27" t="str">
        <x:f>IF(AND('Detalle'!$F143="Completado",J284=1),1,"")</x:f>
      </x:c>
      <x:c r="K285" s="27" t="n">
        <x:f>IF(AND('Detalle'!$F143="Completado",K284=1),1,"")</x:f>
        <x:v>1</x:v>
      </x:c>
      <x:c r="L285" s="27" t="str">
        <x:f>IF(AND('Detalle'!$F143="Completado",L284=1),1,"")</x:f>
      </x:c>
      <x:c r="M285" s="27" t="str">
        <x:f>IF(AND('Detalle'!$F143="Completado",M284=1),1,"")</x:f>
      </x:c>
      <x:c r="N285" s="27" t="str">
        <x:f>IF(AND('Detalle'!$F143="Completado",N284=1),1,"")</x:f>
      </x:c>
      <x:c r="O285" s="27" t="str">
        <x:f>IF(AND('Detalle'!$F143="Completado",O284=1),1,"")</x:f>
      </x:c>
      <x:c r="P285" s="27" t="str">
        <x:f>IF(AND('Detalle'!$F143="Completado",P284=1),1,"")</x:f>
      </x:c>
      <x:c r="Q285" s="27" t="str">
        <x:f>IF(AND('Detalle'!$F143="Completado",Q284=1),1,"")</x:f>
      </x:c>
      <x:c r="R285" s="49"/>
      <x:c r="S285" s="30" t="str"/>
      <x:c r="T285" s="30" t="str"/>
    </x:row>
    <x:row r="286" ht="17" customHeight="1">
      <x:c r="A286" s="28" t="str">
        <x:v>DEP-12</x:v>
      </x:c>
      <x:c r="B286" s="28" t="str">
        <x:v>Recorridos y AR</x:v>
      </x:c>
      <x:c r="C286" s="28" t="str">
        <x:v>Habilitar facturación e identidad de Google Cloud</x:v>
      </x:c>
      <x:c r="D286" s="46" t="str">
        <x:v>E</x:v>
      </x:c>
      <x:c r="E286" s="48" t="n">
        <x:f>IF('Detalle'!I144="","",'Detalle'!I144)</x:f>
        <x:v>2</x:v>
      </x:c>
      <x:c r="F286" s="44" t="str">
        <x:f>IF('Detalle'!F144="","",'Detalle'!F144)</x:f>
        <x:v>Pendiente</x:v>
      </x:c>
      <x:c r="G286" s="27" t="str">
        <x:f>IF(OR('Detalle'!$G144="",'Detalle'!$H144=""),"",IF(AND(G$8&lt;='Detalle'!$H144,G$9&gt;='Detalle'!$G144),1,""))</x:f>
      </x:c>
      <x:c r="H286" s="27" t="str">
        <x:f>IF(OR('Detalle'!$G144="",'Detalle'!$H144=""),"",IF(AND(H$8&lt;='Detalle'!$H144,H$9&gt;='Detalle'!$G144),1,""))</x:f>
      </x:c>
      <x:c r="I286" s="27" t="str">
        <x:f>IF(OR('Detalle'!$G144="",'Detalle'!$H144=""),"",IF(AND(I$8&lt;='Detalle'!$H144,I$9&gt;='Detalle'!$G144),1,""))</x:f>
      </x:c>
      <x:c r="J286" s="27" t="str">
        <x:f>IF(OR('Detalle'!$G144="",'Detalle'!$H144=""),"",IF(AND(J$8&lt;='Detalle'!$H144,J$9&gt;='Detalle'!$G144),1,""))</x:f>
      </x:c>
      <x:c r="K286" s="27" t="str">
        <x:f>IF(OR('Detalle'!$G144="",'Detalle'!$H144=""),"",IF(AND(K$8&lt;='Detalle'!$H144,K$9&gt;='Detalle'!$G144),1,""))</x:f>
      </x:c>
      <x:c r="L286" s="27" t="n">
        <x:f>IF(OR('Detalle'!$G144="",'Detalle'!$H144=""),"",IF(AND(L$8&lt;='Detalle'!$H144,L$9&gt;='Detalle'!$G144),1,""))</x:f>
        <x:v>1</x:v>
      </x:c>
      <x:c r="M286" s="27" t="n">
        <x:f>IF(OR('Detalle'!$G144="",'Detalle'!$H144=""),"",IF(AND(M$8&lt;='Detalle'!$H144,M$9&gt;='Detalle'!$G144),1,""))</x:f>
        <x:v>1</x:v>
      </x:c>
      <x:c r="N286" s="27" t="str">
        <x:f>IF(OR('Detalle'!$G144="",'Detalle'!$H144=""),"",IF(AND(N$8&lt;='Detalle'!$H144,N$9&gt;='Detalle'!$G144),1,""))</x:f>
      </x:c>
      <x:c r="O286" s="27" t="str">
        <x:f>IF(OR('Detalle'!$G144="",'Detalle'!$H144=""),"",IF(AND(O$8&lt;='Detalle'!$H144,O$9&gt;='Detalle'!$G144),1,""))</x:f>
      </x:c>
      <x:c r="P286" s="27" t="str">
        <x:f>IF(OR('Detalle'!$G144="",'Detalle'!$H144=""),"",IF(AND(P$8&lt;='Detalle'!$H144,P$9&gt;='Detalle'!$G144),1,""))</x:f>
      </x:c>
      <x:c r="Q286" s="27" t="str">
        <x:f>IF(OR('Detalle'!$G144="",'Detalle'!$H144=""),"",IF(AND(Q$8&lt;='Detalle'!$H144,Q$9&gt;='Detalle'!$G144),1,""))</x:f>
      </x:c>
      <x:c r="R286" s="49"/>
      <x:c r="S286" s="30" t="str">
        <x:f>IF('Detalle'!L144="","",'Detalle'!L144)</x:f>
        <x:v>Cristopher</x:v>
      </x:c>
      <x:c r="T286" s="30" t="str">
        <x:f>IF('Detalle'!M144="","",'Detalle'!M144)</x:f>
      </x:c>
    </x:row>
    <x:row r="287" ht="17" customHeight="1">
      <x:c r="A287" s="28" t="str">
        <x:v>DEP-12</x:v>
      </x:c>
      <x:c r="B287" s="28" t="str">
        <x:v>Recorridos y AR</x:v>
      </x:c>
      <x:c r="C287" s="28" t="str">
        <x:v>Habilitar facturación e identidad de Google Cloud</x:v>
      </x:c>
      <x:c r="D287" s="47" t="str">
        <x:v>R</x:v>
      </x:c>
      <x:c r="E287" s="48" t="str">
        <x:f>IF('Detalle'!J144="","",'Detalle'!J144)</x:f>
      </x:c>
      <x:c r="F287" s="44" t="str"/>
      <x:c r="G287" s="27" t="str">
        <x:f>IF(AND('Detalle'!$F144="Completado",G286=1),1,"")</x:f>
      </x:c>
      <x:c r="H287" s="27" t="str">
        <x:f>IF(AND('Detalle'!$F144="Completado",H286=1),1,"")</x:f>
      </x:c>
      <x:c r="I287" s="27" t="str">
        <x:f>IF(AND('Detalle'!$F144="Completado",I286=1),1,"")</x:f>
      </x:c>
      <x:c r="J287" s="27" t="str">
        <x:f>IF(AND('Detalle'!$F144="Completado",J286=1),1,"")</x:f>
      </x:c>
      <x:c r="K287" s="27" t="str">
        <x:f>IF(AND('Detalle'!$F144="Completado",K286=1),1,"")</x:f>
      </x:c>
      <x:c r="L287" s="27" t="str">
        <x:f>IF(AND('Detalle'!$F144="Completado",L286=1),1,"")</x:f>
      </x:c>
      <x:c r="M287" s="27" t="str">
        <x:f>IF(AND('Detalle'!$F144="Completado",M286=1),1,"")</x:f>
      </x:c>
      <x:c r="N287" s="27" t="str">
        <x:f>IF(AND('Detalle'!$F144="Completado",N286=1),1,"")</x:f>
      </x:c>
      <x:c r="O287" s="27" t="str">
        <x:f>IF(AND('Detalle'!$F144="Completado",O286=1),1,"")</x:f>
      </x:c>
      <x:c r="P287" s="27" t="str">
        <x:f>IF(AND('Detalle'!$F144="Completado",P286=1),1,"")</x:f>
      </x:c>
      <x:c r="Q287" s="27" t="str">
        <x:f>IF(AND('Detalle'!$F144="Completado",Q286=1),1,"")</x:f>
      </x:c>
      <x:c r="R287" s="49"/>
      <x:c r="S287" s="30" t="str"/>
      <x:c r="T287" s="30" t="str"/>
    </x:row>
    <x:row r="288" ht="17" customHeight="1">
      <x:c r="A288" s="28" t="str">
        <x:v>DEP-13</x:v>
      </x:c>
      <x:c r="B288" s="28" t="str">
        <x:v>Recorridos y AR</x:v>
      </x:c>
      <x:c r="C288" s="28" t="str">
        <x:v>Configurar IAM, secretos y registro de imágenes</x:v>
      </x:c>
      <x:c r="D288" s="46" t="str">
        <x:v>E</x:v>
      </x:c>
      <x:c r="E288" s="48" t="n">
        <x:f>IF('Detalle'!I145="","",'Detalle'!I145)</x:f>
        <x:v>2</x:v>
      </x:c>
      <x:c r="F288" s="44" t="str">
        <x:f>IF('Detalle'!F145="","",'Detalle'!F145)</x:f>
        <x:v>Pendiente</x:v>
      </x:c>
      <x:c r="G288" s="27" t="str">
        <x:f>IF(OR('Detalle'!$G145="",'Detalle'!$H145=""),"",IF(AND(G$8&lt;='Detalle'!$H145,G$9&gt;='Detalle'!$G145),1,""))</x:f>
      </x:c>
      <x:c r="H288" s="27" t="str">
        <x:f>IF(OR('Detalle'!$G145="",'Detalle'!$H145=""),"",IF(AND(H$8&lt;='Detalle'!$H145,H$9&gt;='Detalle'!$G145),1,""))</x:f>
      </x:c>
      <x:c r="I288" s="27" t="str">
        <x:f>IF(OR('Detalle'!$G145="",'Detalle'!$H145=""),"",IF(AND(I$8&lt;='Detalle'!$H145,I$9&gt;='Detalle'!$G145),1,""))</x:f>
      </x:c>
      <x:c r="J288" s="27" t="str">
        <x:f>IF(OR('Detalle'!$G145="",'Detalle'!$H145=""),"",IF(AND(J$8&lt;='Detalle'!$H145,J$9&gt;='Detalle'!$G145),1,""))</x:f>
      </x:c>
      <x:c r="K288" s="27" t="str">
        <x:f>IF(OR('Detalle'!$G145="",'Detalle'!$H145=""),"",IF(AND(K$8&lt;='Detalle'!$H145,K$9&gt;='Detalle'!$G145),1,""))</x:f>
      </x:c>
      <x:c r="L288" s="27" t="str">
        <x:f>IF(OR('Detalle'!$G145="",'Detalle'!$H145=""),"",IF(AND(L$8&lt;='Detalle'!$H145,L$9&gt;='Detalle'!$G145),1,""))</x:f>
      </x:c>
      <x:c r="M288" s="27" t="n">
        <x:f>IF(OR('Detalle'!$G145="",'Detalle'!$H145=""),"",IF(AND(M$8&lt;='Detalle'!$H145,M$9&gt;='Detalle'!$G145),1,""))</x:f>
        <x:v>1</x:v>
      </x:c>
      <x:c r="N288" s="27" t="n">
        <x:f>IF(OR('Detalle'!$G145="",'Detalle'!$H145=""),"",IF(AND(N$8&lt;='Detalle'!$H145,N$9&gt;='Detalle'!$G145),1,""))</x:f>
        <x:v>1</x:v>
      </x:c>
      <x:c r="O288" s="27" t="str">
        <x:f>IF(OR('Detalle'!$G145="",'Detalle'!$H145=""),"",IF(AND(O$8&lt;='Detalle'!$H145,O$9&gt;='Detalle'!$G145),1,""))</x:f>
      </x:c>
      <x:c r="P288" s="27" t="str">
        <x:f>IF(OR('Detalle'!$G145="",'Detalle'!$H145=""),"",IF(AND(P$8&lt;='Detalle'!$H145,P$9&gt;='Detalle'!$G145),1,""))</x:f>
      </x:c>
      <x:c r="Q288" s="27" t="str">
        <x:f>IF(OR('Detalle'!$G145="",'Detalle'!$H145=""),"",IF(AND(Q$8&lt;='Detalle'!$H145,Q$9&gt;='Detalle'!$G145),1,""))</x:f>
      </x:c>
      <x:c r="R288" s="49"/>
      <x:c r="S288" s="30" t="str">
        <x:f>IF('Detalle'!L145="","",'Detalle'!L145)</x:f>
        <x:v>Cristopher</x:v>
      </x:c>
      <x:c r="T288" s="30" t="str">
        <x:f>IF('Detalle'!M145="","",'Detalle'!M145)</x:f>
      </x:c>
    </x:row>
    <x:row r="289" ht="17" customHeight="1">
      <x:c r="A289" s="28" t="str">
        <x:v>DEP-13</x:v>
      </x:c>
      <x:c r="B289" s="28" t="str">
        <x:v>Recorridos y AR</x:v>
      </x:c>
      <x:c r="C289" s="28" t="str">
        <x:v>Configurar IAM, secretos y registro de imágenes</x:v>
      </x:c>
      <x:c r="D289" s="47" t="str">
        <x:v>R</x:v>
      </x:c>
      <x:c r="E289" s="48" t="str">
        <x:f>IF('Detalle'!J145="","",'Detalle'!J145)</x:f>
      </x:c>
      <x:c r="F289" s="44" t="str"/>
      <x:c r="G289" s="27" t="str">
        <x:f>IF(AND('Detalle'!$F145="Completado",G288=1),1,"")</x:f>
      </x:c>
      <x:c r="H289" s="27" t="str">
        <x:f>IF(AND('Detalle'!$F145="Completado",H288=1),1,"")</x:f>
      </x:c>
      <x:c r="I289" s="27" t="str">
        <x:f>IF(AND('Detalle'!$F145="Completado",I288=1),1,"")</x:f>
      </x:c>
      <x:c r="J289" s="27" t="str">
        <x:f>IF(AND('Detalle'!$F145="Completado",J288=1),1,"")</x:f>
      </x:c>
      <x:c r="K289" s="27" t="str">
        <x:f>IF(AND('Detalle'!$F145="Completado",K288=1),1,"")</x:f>
      </x:c>
      <x:c r="L289" s="27" t="str">
        <x:f>IF(AND('Detalle'!$F145="Completado",L288=1),1,"")</x:f>
      </x:c>
      <x:c r="M289" s="27" t="str">
        <x:f>IF(AND('Detalle'!$F145="Completado",M288=1),1,"")</x:f>
      </x:c>
      <x:c r="N289" s="27" t="str">
        <x:f>IF(AND('Detalle'!$F145="Completado",N288=1),1,"")</x:f>
      </x:c>
      <x:c r="O289" s="27" t="str">
        <x:f>IF(AND('Detalle'!$F145="Completado",O288=1),1,"")</x:f>
      </x:c>
      <x:c r="P289" s="27" t="str">
        <x:f>IF(AND('Detalle'!$F145="Completado",P288=1),1,"")</x:f>
      </x:c>
      <x:c r="Q289" s="27" t="str">
        <x:f>IF(AND('Detalle'!$F145="Completado",Q288=1),1,"")</x:f>
      </x:c>
      <x:c r="R289" s="49"/>
      <x:c r="S289" s="30" t="str"/>
      <x:c r="T289" s="30" t="str"/>
    </x:row>
    <x:row r="290" ht="17" customHeight="1">
      <x:c r="A290" s="28" t="str">
        <x:v>DEP-14</x:v>
      </x:c>
      <x:c r="B290" s="28" t="str">
        <x:v>Recorridos y AR</x:v>
      </x:c>
      <x:c r="C290" s="28" t="str">
        <x:v>Desplegar worker en Cloud Run y activar monitoreo</x:v>
      </x:c>
      <x:c r="D290" s="46" t="str">
        <x:v>E</x:v>
      </x:c>
      <x:c r="E290" s="48" t="n">
        <x:f>IF('Detalle'!I146="","",'Detalle'!I146)</x:f>
        <x:v>2</x:v>
      </x:c>
      <x:c r="F290" s="44" t="str">
        <x:f>IF('Detalle'!F146="","",'Detalle'!F146)</x:f>
        <x:v>Pendiente</x:v>
      </x:c>
      <x:c r="G290" s="27" t="str">
        <x:f>IF(OR('Detalle'!$G146="",'Detalle'!$H146=""),"",IF(AND(G$8&lt;='Detalle'!$H146,G$9&gt;='Detalle'!$G146),1,""))</x:f>
      </x:c>
      <x:c r="H290" s="27" t="str">
        <x:f>IF(OR('Detalle'!$G146="",'Detalle'!$H146=""),"",IF(AND(H$8&lt;='Detalle'!$H146,H$9&gt;='Detalle'!$G146),1,""))</x:f>
      </x:c>
      <x:c r="I290" s="27" t="str">
        <x:f>IF(OR('Detalle'!$G146="",'Detalle'!$H146=""),"",IF(AND(I$8&lt;='Detalle'!$H146,I$9&gt;='Detalle'!$G146),1,""))</x:f>
      </x:c>
      <x:c r="J290" s="27" t="str">
        <x:f>IF(OR('Detalle'!$G146="",'Detalle'!$H146=""),"",IF(AND(J$8&lt;='Detalle'!$H146,J$9&gt;='Detalle'!$G146),1,""))</x:f>
      </x:c>
      <x:c r="K290" s="27" t="str">
        <x:f>IF(OR('Detalle'!$G146="",'Detalle'!$H146=""),"",IF(AND(K$8&lt;='Detalle'!$H146,K$9&gt;='Detalle'!$G146),1,""))</x:f>
      </x:c>
      <x:c r="L290" s="27" t="str">
        <x:f>IF(OR('Detalle'!$G146="",'Detalle'!$H146=""),"",IF(AND(L$8&lt;='Detalle'!$H146,L$9&gt;='Detalle'!$G146),1,""))</x:f>
      </x:c>
      <x:c r="M290" s="27" t="str">
        <x:f>IF(OR('Detalle'!$G146="",'Detalle'!$H146=""),"",IF(AND(M$8&lt;='Detalle'!$H146,M$9&gt;='Detalle'!$G146),1,""))</x:f>
      </x:c>
      <x:c r="N290" s="27" t="n">
        <x:f>IF(OR('Detalle'!$G146="",'Detalle'!$H146=""),"",IF(AND(N$8&lt;='Detalle'!$H146,N$9&gt;='Detalle'!$G146),1,""))</x:f>
        <x:v>1</x:v>
      </x:c>
      <x:c r="O290" s="27" t="n">
        <x:f>IF(OR('Detalle'!$G146="",'Detalle'!$H146=""),"",IF(AND(O$8&lt;='Detalle'!$H146,O$9&gt;='Detalle'!$G146),1,""))</x:f>
        <x:v>1</x:v>
      </x:c>
      <x:c r="P290" s="27" t="str">
        <x:f>IF(OR('Detalle'!$G146="",'Detalle'!$H146=""),"",IF(AND(P$8&lt;='Detalle'!$H146,P$9&gt;='Detalle'!$G146),1,""))</x:f>
      </x:c>
      <x:c r="Q290" s="27" t="str">
        <x:f>IF(OR('Detalle'!$G146="",'Detalle'!$H146=""),"",IF(AND(Q$8&lt;='Detalle'!$H146,Q$9&gt;='Detalle'!$G146),1,""))</x:f>
      </x:c>
      <x:c r="R290" s="49"/>
      <x:c r="S290" s="30" t="str">
        <x:f>IF('Detalle'!L146="","",'Detalle'!L146)</x:f>
        <x:v>Cristopher</x:v>
      </x:c>
      <x:c r="T290" s="30" t="str">
        <x:f>IF('Detalle'!M146="","",'Detalle'!M146)</x:f>
      </x:c>
    </x:row>
    <x:row r="291" ht="17" customHeight="1">
      <x:c r="A291" s="28" t="str">
        <x:v>DEP-14</x:v>
      </x:c>
      <x:c r="B291" s="28" t="str">
        <x:v>Recorridos y AR</x:v>
      </x:c>
      <x:c r="C291" s="28" t="str">
        <x:v>Desplegar worker en Cloud Run y activar monitoreo</x:v>
      </x:c>
      <x:c r="D291" s="47" t="str">
        <x:v>R</x:v>
      </x:c>
      <x:c r="E291" s="48" t="str">
        <x:f>IF('Detalle'!J146="","",'Detalle'!J146)</x:f>
      </x:c>
      <x:c r="F291" s="44" t="str"/>
      <x:c r="G291" s="27" t="str">
        <x:f>IF(AND('Detalle'!$F146="Completado",G290=1),1,"")</x:f>
      </x:c>
      <x:c r="H291" s="27" t="str">
        <x:f>IF(AND('Detalle'!$F146="Completado",H290=1),1,"")</x:f>
      </x:c>
      <x:c r="I291" s="27" t="str">
        <x:f>IF(AND('Detalle'!$F146="Completado",I290=1),1,"")</x:f>
      </x:c>
      <x:c r="J291" s="27" t="str">
        <x:f>IF(AND('Detalle'!$F146="Completado",J290=1),1,"")</x:f>
      </x:c>
      <x:c r="K291" s="27" t="str">
        <x:f>IF(AND('Detalle'!$F146="Completado",K290=1),1,"")</x:f>
      </x:c>
      <x:c r="L291" s="27" t="str">
        <x:f>IF(AND('Detalle'!$F146="Completado",L290=1),1,"")</x:f>
      </x:c>
      <x:c r="M291" s="27" t="str">
        <x:f>IF(AND('Detalle'!$F146="Completado",M290=1),1,"")</x:f>
      </x:c>
      <x:c r="N291" s="27" t="str">
        <x:f>IF(AND('Detalle'!$F146="Completado",N290=1),1,"")</x:f>
      </x:c>
      <x:c r="O291" s="27" t="str">
        <x:f>IF(AND('Detalle'!$F146="Completado",O290=1),1,"")</x:f>
      </x:c>
      <x:c r="P291" s="27" t="str">
        <x:f>IF(AND('Detalle'!$F146="Completado",P290=1),1,"")</x:f>
      </x:c>
      <x:c r="Q291" s="27" t="str">
        <x:f>IF(AND('Detalle'!$F146="Completado",Q290=1),1,"")</x:f>
      </x:c>
      <x:c r="R291" s="49"/>
      <x:c r="S291" s="30" t="str"/>
      <x:c r="T291" s="30" t="str"/>
    </x:row>
    <x:row r="292" ht="17" customHeight="1">
      <x:c r="A292" s="28" t="str">
        <x:v>DEP-15</x:v>
      </x:c>
      <x:c r="B292" s="28" t="str">
        <x:v>Transversal</x:v>
      </x:c>
      <x:c r="C292" s="28" t="str">
        <x:v>Preparar distribución Android e instalación iOS de piloto</x:v>
      </x:c>
      <x:c r="D292" s="46" t="str">
        <x:v>E</x:v>
      </x:c>
      <x:c r="E292" s="48" t="n">
        <x:f>IF('Detalle'!I147="","",'Detalle'!I147)</x:f>
        <x:v>1</x:v>
      </x:c>
      <x:c r="F292" s="44" t="str">
        <x:f>IF('Detalle'!F147="","",'Detalle'!F147)</x:f>
        <x:v>Pendiente</x:v>
      </x:c>
      <x:c r="G292" s="27" t="str">
        <x:f>IF(OR('Detalle'!$G147="",'Detalle'!$H147=""),"",IF(AND(G$8&lt;='Detalle'!$H147,G$9&gt;='Detalle'!$G147),1,""))</x:f>
      </x:c>
      <x:c r="H292" s="27" t="str">
        <x:f>IF(OR('Detalle'!$G147="",'Detalle'!$H147=""),"",IF(AND(H$8&lt;='Detalle'!$H147,H$9&gt;='Detalle'!$G147),1,""))</x:f>
      </x:c>
      <x:c r="I292" s="27" t="str">
        <x:f>IF(OR('Detalle'!$G147="",'Detalle'!$H147=""),"",IF(AND(I$8&lt;='Detalle'!$H147,I$9&gt;='Detalle'!$G147),1,""))</x:f>
      </x:c>
      <x:c r="J292" s="27" t="str">
        <x:f>IF(OR('Detalle'!$G147="",'Detalle'!$H147=""),"",IF(AND(J$8&lt;='Detalle'!$H147,J$9&gt;='Detalle'!$G147),1,""))</x:f>
      </x:c>
      <x:c r="K292" s="27" t="str">
        <x:f>IF(OR('Detalle'!$G147="",'Detalle'!$H147=""),"",IF(AND(K$8&lt;='Detalle'!$H147,K$9&gt;='Detalle'!$G147),1,""))</x:f>
      </x:c>
      <x:c r="L292" s="27" t="str">
        <x:f>IF(OR('Detalle'!$G147="",'Detalle'!$H147=""),"",IF(AND(L$8&lt;='Detalle'!$H147,L$9&gt;='Detalle'!$G147),1,""))</x:f>
      </x:c>
      <x:c r="M292" s="27" t="str">
        <x:f>IF(OR('Detalle'!$G147="",'Detalle'!$H147=""),"",IF(AND(M$8&lt;='Detalle'!$H147,M$9&gt;='Detalle'!$G147),1,""))</x:f>
      </x:c>
      <x:c r="N292" s="27" t="str">
        <x:f>IF(OR('Detalle'!$G147="",'Detalle'!$H147=""),"",IF(AND(N$8&lt;='Detalle'!$H147,N$9&gt;='Detalle'!$G147),1,""))</x:f>
      </x:c>
      <x:c r="O292" s="27" t="n">
        <x:f>IF(OR('Detalle'!$G147="",'Detalle'!$H147=""),"",IF(AND(O$8&lt;='Detalle'!$H147,O$9&gt;='Detalle'!$G147),1,""))</x:f>
        <x:v>1</x:v>
      </x:c>
      <x:c r="P292" s="27" t="str">
        <x:f>IF(OR('Detalle'!$G147="",'Detalle'!$H147=""),"",IF(AND(P$8&lt;='Detalle'!$H147,P$9&gt;='Detalle'!$G147),1,""))</x:f>
      </x:c>
      <x:c r="Q292" s="27" t="str">
        <x:f>IF(OR('Detalle'!$G147="",'Detalle'!$H147=""),"",IF(AND(Q$8&lt;='Detalle'!$H147,Q$9&gt;='Detalle'!$G147),1,""))</x:f>
      </x:c>
      <x:c r="R292" s="49"/>
      <x:c r="S292" s="30" t="str">
        <x:f>IF('Detalle'!L147="","",'Detalle'!L147)</x:f>
        <x:v>Cristopher</x:v>
      </x:c>
      <x:c r="T292" s="30" t="str">
        <x:f>IF('Detalle'!M147="","",'Detalle'!M147)</x:f>
      </x:c>
    </x:row>
    <x:row r="293" ht="17" customHeight="1">
      <x:c r="A293" s="28" t="str">
        <x:v>DEP-15</x:v>
      </x:c>
      <x:c r="B293" s="28" t="str">
        <x:v>Transversal</x:v>
      </x:c>
      <x:c r="C293" s="28" t="str">
        <x:v>Preparar distribución Android e instalación iOS de piloto</x:v>
      </x:c>
      <x:c r="D293" s="47" t="str">
        <x:v>R</x:v>
      </x:c>
      <x:c r="E293" s="48" t="str">
        <x:f>IF('Detalle'!J147="","",'Detalle'!J147)</x:f>
      </x:c>
      <x:c r="F293" s="44" t="str"/>
      <x:c r="G293" s="27" t="str">
        <x:f>IF(AND('Detalle'!$F147="Completado",G292=1),1,"")</x:f>
      </x:c>
      <x:c r="H293" s="27" t="str">
        <x:f>IF(AND('Detalle'!$F147="Completado",H292=1),1,"")</x:f>
      </x:c>
      <x:c r="I293" s="27" t="str">
        <x:f>IF(AND('Detalle'!$F147="Completado",I292=1),1,"")</x:f>
      </x:c>
      <x:c r="J293" s="27" t="str">
        <x:f>IF(AND('Detalle'!$F147="Completado",J292=1),1,"")</x:f>
      </x:c>
      <x:c r="K293" s="27" t="str">
        <x:f>IF(AND('Detalle'!$F147="Completado",K292=1),1,"")</x:f>
      </x:c>
      <x:c r="L293" s="27" t="str">
        <x:f>IF(AND('Detalle'!$F147="Completado",L292=1),1,"")</x:f>
      </x:c>
      <x:c r="M293" s="27" t="str">
        <x:f>IF(AND('Detalle'!$F147="Completado",M292=1),1,"")</x:f>
      </x:c>
      <x:c r="N293" s="27" t="str">
        <x:f>IF(AND('Detalle'!$F147="Completado",N292=1),1,"")</x:f>
      </x:c>
      <x:c r="O293" s="27" t="str">
        <x:f>IF(AND('Detalle'!$F147="Completado",O292=1),1,"")</x:f>
      </x:c>
      <x:c r="P293" s="27" t="str">
        <x:f>IF(AND('Detalle'!$F147="Completado",P292=1),1,"")</x:f>
      </x:c>
      <x:c r="Q293" s="27" t="str">
        <x:f>IF(AND('Detalle'!$F147="Completado",Q292=1),1,"")</x:f>
      </x:c>
      <x:c r="R293" s="49"/>
      <x:c r="S293" s="30" t="str"/>
      <x:c r="T293" s="30" t="str"/>
    </x:row>
    <x:row r="294" ht="17" customHeight="1">
      <x:c r="A294" s="28" t="str">
        <x:v>DEP-16</x:v>
      </x:c>
      <x:c r="B294" s="28" t="str">
        <x:v>Transversal</x:v>
      </x:c>
      <x:c r="C294" s="28" t="str">
        <x:v>Ejecutar piloto de aceptación en un local real</x:v>
      </x:c>
      <x:c r="D294" s="46" t="str">
        <x:v>E</x:v>
      </x:c>
      <x:c r="E294" s="48" t="n">
        <x:f>IF('Detalle'!I148="","",'Detalle'!I148)</x:f>
        <x:v>2</x:v>
      </x:c>
      <x:c r="F294" s="44" t="str">
        <x:f>IF('Detalle'!F148="","",'Detalle'!F148)</x:f>
        <x:v>Pendiente</x:v>
      </x:c>
      <x:c r="G294" s="27" t="str">
        <x:f>IF(OR('Detalle'!$G148="",'Detalle'!$H148=""),"",IF(AND(G$8&lt;='Detalle'!$H148,G$9&gt;='Detalle'!$G148),1,""))</x:f>
      </x:c>
      <x:c r="H294" s="27" t="str">
        <x:f>IF(OR('Detalle'!$G148="",'Detalle'!$H148=""),"",IF(AND(H$8&lt;='Detalle'!$H148,H$9&gt;='Detalle'!$G148),1,""))</x:f>
      </x:c>
      <x:c r="I294" s="27" t="str">
        <x:f>IF(OR('Detalle'!$G148="",'Detalle'!$H148=""),"",IF(AND(I$8&lt;='Detalle'!$H148,I$9&gt;='Detalle'!$G148),1,""))</x:f>
      </x:c>
      <x:c r="J294" s="27" t="str">
        <x:f>IF(OR('Detalle'!$G148="",'Detalle'!$H148=""),"",IF(AND(J$8&lt;='Detalle'!$H148,J$9&gt;='Detalle'!$G148),1,""))</x:f>
      </x:c>
      <x:c r="K294" s="27" t="str">
        <x:f>IF(OR('Detalle'!$G148="",'Detalle'!$H148=""),"",IF(AND(K$8&lt;='Detalle'!$H148,K$9&gt;='Detalle'!$G148),1,""))</x:f>
      </x:c>
      <x:c r="L294" s="27" t="str">
        <x:f>IF(OR('Detalle'!$G148="",'Detalle'!$H148=""),"",IF(AND(L$8&lt;='Detalle'!$H148,L$9&gt;='Detalle'!$G148),1,""))</x:f>
      </x:c>
      <x:c r="M294" s="27" t="str">
        <x:f>IF(OR('Detalle'!$G148="",'Detalle'!$H148=""),"",IF(AND(M$8&lt;='Detalle'!$H148,M$9&gt;='Detalle'!$G148),1,""))</x:f>
      </x:c>
      <x:c r="N294" s="27" t="str">
        <x:f>IF(OR('Detalle'!$G148="",'Detalle'!$H148=""),"",IF(AND(N$8&lt;='Detalle'!$H148,N$9&gt;='Detalle'!$G148),1,""))</x:f>
      </x:c>
      <x:c r="O294" s="27" t="n">
        <x:f>IF(OR('Detalle'!$G148="",'Detalle'!$H148=""),"",IF(AND(O$8&lt;='Detalle'!$H148,O$9&gt;='Detalle'!$G148),1,""))</x:f>
        <x:v>1</x:v>
      </x:c>
      <x:c r="P294" s="27" t="n">
        <x:f>IF(OR('Detalle'!$G148="",'Detalle'!$H148=""),"",IF(AND(P$8&lt;='Detalle'!$H148,P$9&gt;='Detalle'!$G148),1,""))</x:f>
        <x:v>1</x:v>
      </x:c>
      <x:c r="Q294" s="27" t="str">
        <x:f>IF(OR('Detalle'!$G148="",'Detalle'!$H148=""),"",IF(AND(Q$8&lt;='Detalle'!$H148,Q$9&gt;='Detalle'!$G148),1,""))</x:f>
      </x:c>
      <x:c r="R294" s="49"/>
      <x:c r="S294" s="30" t="str">
        <x:f>IF('Detalle'!L148="","",'Detalle'!L148)</x:f>
        <x:v>Santiago</x:v>
      </x:c>
      <x:c r="T294" s="30" t="str">
        <x:f>IF('Detalle'!M148="","",'Detalle'!M148)</x:f>
      </x:c>
    </x:row>
    <x:row r="295" ht="17" customHeight="1">
      <x:c r="A295" s="28" t="str">
        <x:v>DEP-16</x:v>
      </x:c>
      <x:c r="B295" s="28" t="str">
        <x:v>Transversal</x:v>
      </x:c>
      <x:c r="C295" s="28" t="str">
        <x:v>Ejecutar piloto de aceptación en un local real</x:v>
      </x:c>
      <x:c r="D295" s="47" t="str">
        <x:v>R</x:v>
      </x:c>
      <x:c r="E295" s="48" t="str">
        <x:f>IF('Detalle'!J148="","",'Detalle'!J148)</x:f>
      </x:c>
      <x:c r="F295" s="44" t="str"/>
      <x:c r="G295" s="27" t="str">
        <x:f>IF(AND('Detalle'!$F148="Completado",G294=1),1,"")</x:f>
      </x:c>
      <x:c r="H295" s="27" t="str">
        <x:f>IF(AND('Detalle'!$F148="Completado",H294=1),1,"")</x:f>
      </x:c>
      <x:c r="I295" s="27" t="str">
        <x:f>IF(AND('Detalle'!$F148="Completado",I294=1),1,"")</x:f>
      </x:c>
      <x:c r="J295" s="27" t="str">
        <x:f>IF(AND('Detalle'!$F148="Completado",J294=1),1,"")</x:f>
      </x:c>
      <x:c r="K295" s="27" t="str">
        <x:f>IF(AND('Detalle'!$F148="Completado",K294=1),1,"")</x:f>
      </x:c>
      <x:c r="L295" s="27" t="str">
        <x:f>IF(AND('Detalle'!$F148="Completado",L294=1),1,"")</x:f>
      </x:c>
      <x:c r="M295" s="27" t="str">
        <x:f>IF(AND('Detalle'!$F148="Completado",M294=1),1,"")</x:f>
      </x:c>
      <x:c r="N295" s="27" t="str">
        <x:f>IF(AND('Detalle'!$F148="Completado",N294=1),1,"")</x:f>
      </x:c>
      <x:c r="O295" s="27" t="str">
        <x:f>IF(AND('Detalle'!$F148="Completado",O294=1),1,"")</x:f>
      </x:c>
      <x:c r="P295" s="27" t="str">
        <x:f>IF(AND('Detalle'!$F148="Completado",P294=1),1,"")</x:f>
      </x:c>
      <x:c r="Q295" s="27" t="str">
        <x:f>IF(AND('Detalle'!$F148="Completado",Q294=1),1,"")</x:f>
      </x:c>
      <x:c r="R295" s="49"/>
      <x:c r="S295" s="30" t="str"/>
      <x:c r="T295" s="30" t="str"/>
    </x:row>
    <x:row r="296" ht="17" customHeight="1">
      <x:c r="A296" s="28" t="str">
        <x:v>DEP-17</x:v>
      </x:c>
      <x:c r="B296" s="28" t="str">
        <x:v>Transversal</x:v>
      </x:c>
      <x:c r="C296" s="28" t="str">
        <x:v>Estabilizar la versión tras el piloto</x:v>
      </x:c>
      <x:c r="D296" s="46" t="str">
        <x:v>E</x:v>
      </x:c>
      <x:c r="E296" s="48" t="n">
        <x:f>IF('Detalle'!I149="","",'Detalle'!I149)</x:f>
        <x:v>2</x:v>
      </x:c>
      <x:c r="F296" s="44" t="str">
        <x:f>IF('Detalle'!F149="","",'Detalle'!F149)</x:f>
        <x:v>Pendiente</x:v>
      </x:c>
      <x:c r="G296" s="27" t="str">
        <x:f>IF(OR('Detalle'!$G149="",'Detalle'!$H149=""),"",IF(AND(G$8&lt;='Detalle'!$H149,G$9&gt;='Detalle'!$G149),1,""))</x:f>
      </x:c>
      <x:c r="H296" s="27" t="str">
        <x:f>IF(OR('Detalle'!$G149="",'Detalle'!$H149=""),"",IF(AND(H$8&lt;='Detalle'!$H149,H$9&gt;='Detalle'!$G149),1,""))</x:f>
      </x:c>
      <x:c r="I296" s="27" t="str">
        <x:f>IF(OR('Detalle'!$G149="",'Detalle'!$H149=""),"",IF(AND(I$8&lt;='Detalle'!$H149,I$9&gt;='Detalle'!$G149),1,""))</x:f>
      </x:c>
      <x:c r="J296" s="27" t="str">
        <x:f>IF(OR('Detalle'!$G149="",'Detalle'!$H149=""),"",IF(AND(J$8&lt;='Detalle'!$H149,J$9&gt;='Detalle'!$G149),1,""))</x:f>
      </x:c>
      <x:c r="K296" s="27" t="str">
        <x:f>IF(OR('Detalle'!$G149="",'Detalle'!$H149=""),"",IF(AND(K$8&lt;='Detalle'!$H149,K$9&gt;='Detalle'!$G149),1,""))</x:f>
      </x:c>
      <x:c r="L296" s="27" t="str">
        <x:f>IF(OR('Detalle'!$G149="",'Detalle'!$H149=""),"",IF(AND(L$8&lt;='Detalle'!$H149,L$9&gt;='Detalle'!$G149),1,""))</x:f>
      </x:c>
      <x:c r="M296" s="27" t="str">
        <x:f>IF(OR('Detalle'!$G149="",'Detalle'!$H149=""),"",IF(AND(M$8&lt;='Detalle'!$H149,M$9&gt;='Detalle'!$G149),1,""))</x:f>
      </x:c>
      <x:c r="N296" s="27" t="str">
        <x:f>IF(OR('Detalle'!$G149="",'Detalle'!$H149=""),"",IF(AND(N$8&lt;='Detalle'!$H149,N$9&gt;='Detalle'!$G149),1,""))</x:f>
      </x:c>
      <x:c r="O296" s="27" t="str">
        <x:f>IF(OR('Detalle'!$G149="",'Detalle'!$H149=""),"",IF(AND(O$8&lt;='Detalle'!$H149,O$9&gt;='Detalle'!$G149),1,""))</x:f>
      </x:c>
      <x:c r="P296" s="27" t="n">
        <x:f>IF(OR('Detalle'!$G149="",'Detalle'!$H149=""),"",IF(AND(P$8&lt;='Detalle'!$H149,P$9&gt;='Detalle'!$G149),1,""))</x:f>
        <x:v>1</x:v>
      </x:c>
      <x:c r="Q296" s="27" t="n">
        <x:f>IF(OR('Detalle'!$G149="",'Detalle'!$H149=""),"",IF(AND(Q$8&lt;='Detalle'!$H149,Q$9&gt;='Detalle'!$G149),1,""))</x:f>
        <x:v>1</x:v>
      </x:c>
      <x:c r="R296" s="49"/>
      <x:c r="S296" s="30" t="str">
        <x:f>IF('Detalle'!L149="","",'Detalle'!L149)</x:f>
        <x:v>Santiago</x:v>
      </x:c>
      <x:c r="T296" s="30" t="str">
        <x:f>IF('Detalle'!M149="","",'Detalle'!M149)</x:f>
      </x:c>
    </x:row>
    <x:row r="297" ht="17" customHeight="1">
      <x:c r="A297" s="28" t="str">
        <x:v>DEP-17</x:v>
      </x:c>
      <x:c r="B297" s="28" t="str">
        <x:v>Transversal</x:v>
      </x:c>
      <x:c r="C297" s="28" t="str">
        <x:v>Estabilizar la versión tras el piloto</x:v>
      </x:c>
      <x:c r="D297" s="47" t="str">
        <x:v>R</x:v>
      </x:c>
      <x:c r="E297" s="48" t="str">
        <x:f>IF('Detalle'!J149="","",'Detalle'!J149)</x:f>
      </x:c>
      <x:c r="F297" s="44" t="str"/>
      <x:c r="G297" s="27" t="str">
        <x:f>IF(AND('Detalle'!$F149="Completado",G296=1),1,"")</x:f>
      </x:c>
      <x:c r="H297" s="27" t="str">
        <x:f>IF(AND('Detalle'!$F149="Completado",H296=1),1,"")</x:f>
      </x:c>
      <x:c r="I297" s="27" t="str">
        <x:f>IF(AND('Detalle'!$F149="Completado",I296=1),1,"")</x:f>
      </x:c>
      <x:c r="J297" s="27" t="str">
        <x:f>IF(AND('Detalle'!$F149="Completado",J296=1),1,"")</x:f>
      </x:c>
      <x:c r="K297" s="27" t="str">
        <x:f>IF(AND('Detalle'!$F149="Completado",K296=1),1,"")</x:f>
      </x:c>
      <x:c r="L297" s="27" t="str">
        <x:f>IF(AND('Detalle'!$F149="Completado",L296=1),1,"")</x:f>
      </x:c>
      <x:c r="M297" s="27" t="str">
        <x:f>IF(AND('Detalle'!$F149="Completado",M296=1),1,"")</x:f>
      </x:c>
      <x:c r="N297" s="27" t="str">
        <x:f>IF(AND('Detalle'!$F149="Completado",N296=1),1,"")</x:f>
      </x:c>
      <x:c r="O297" s="27" t="str">
        <x:f>IF(AND('Detalle'!$F149="Completado",O296=1),1,"")</x:f>
      </x:c>
      <x:c r="P297" s="27" t="str">
        <x:f>IF(AND('Detalle'!$F149="Completado",P296=1),1,"")</x:f>
      </x:c>
      <x:c r="Q297" s="27" t="str">
        <x:f>IF(AND('Detalle'!$F149="Completado",Q296=1),1,"")</x:f>
      </x:c>
      <x:c r="R297" s="49"/>
      <x:c r="S297" s="30" t="str"/>
      <x:c r="T297" s="30" t="str"/>
    </x:row>
    <x:row r="298" ht="17" customHeight="1">
      <x:c r="A298" s="28" t="str">
        <x:v>DEP-18</x:v>
      </x:c>
      <x:c r="B298" s="28" t="str">
        <x:v>Transversal</x:v>
      </x:c>
      <x:c r="C298" s="28" t="str">
        <x:v>Entregar la versión técnica final el 18 de noviembre</x:v>
      </x:c>
      <x:c r="D298" s="46" t="str">
        <x:v>E</x:v>
      </x:c>
      <x:c r="E298" s="48" t="n">
        <x:f>IF('Detalle'!I150="","",'Detalle'!I150)</x:f>
        <x:v>1</x:v>
      </x:c>
      <x:c r="F298" s="44" t="str">
        <x:f>IF('Detalle'!F150="","",'Detalle'!F150)</x:f>
        <x:v>Pendiente</x:v>
      </x:c>
      <x:c r="G298" s="27" t="str">
        <x:f>IF(OR('Detalle'!$G150="",'Detalle'!$H150=""),"",IF(AND(G$8&lt;='Detalle'!$H150,G$9&gt;='Detalle'!$G150),1,""))</x:f>
      </x:c>
      <x:c r="H298" s="27" t="str">
        <x:f>IF(OR('Detalle'!$G150="",'Detalle'!$H150=""),"",IF(AND(H$8&lt;='Detalle'!$H150,H$9&gt;='Detalle'!$G150),1,""))</x:f>
      </x:c>
      <x:c r="I298" s="27" t="str">
        <x:f>IF(OR('Detalle'!$G150="",'Detalle'!$H150=""),"",IF(AND(I$8&lt;='Detalle'!$H150,I$9&gt;='Detalle'!$G150),1,""))</x:f>
      </x:c>
      <x:c r="J298" s="27" t="str">
        <x:f>IF(OR('Detalle'!$G150="",'Detalle'!$H150=""),"",IF(AND(J$8&lt;='Detalle'!$H150,J$9&gt;='Detalle'!$G150),1,""))</x:f>
      </x:c>
      <x:c r="K298" s="27" t="str">
        <x:f>IF(OR('Detalle'!$G150="",'Detalle'!$H150=""),"",IF(AND(K$8&lt;='Detalle'!$H150,K$9&gt;='Detalle'!$G150),1,""))</x:f>
      </x:c>
      <x:c r="L298" s="27" t="str">
        <x:f>IF(OR('Detalle'!$G150="",'Detalle'!$H150=""),"",IF(AND(L$8&lt;='Detalle'!$H150,L$9&gt;='Detalle'!$G150),1,""))</x:f>
      </x:c>
      <x:c r="M298" s="27" t="str">
        <x:f>IF(OR('Detalle'!$G150="",'Detalle'!$H150=""),"",IF(AND(M$8&lt;='Detalle'!$H150,M$9&gt;='Detalle'!$G150),1,""))</x:f>
      </x:c>
      <x:c r="N298" s="27" t="str">
        <x:f>IF(OR('Detalle'!$G150="",'Detalle'!$H150=""),"",IF(AND(N$8&lt;='Detalle'!$H150,N$9&gt;='Detalle'!$G150),1,""))</x:f>
      </x:c>
      <x:c r="O298" s="27" t="str">
        <x:f>IF(OR('Detalle'!$G150="",'Detalle'!$H150=""),"",IF(AND(O$8&lt;='Detalle'!$H150,O$9&gt;='Detalle'!$G150),1,""))</x:f>
      </x:c>
      <x:c r="P298" s="27" t="str">
        <x:f>IF(OR('Detalle'!$G150="",'Detalle'!$H150=""),"",IF(AND(P$8&lt;='Detalle'!$H150,P$9&gt;='Detalle'!$G150),1,""))</x:f>
      </x:c>
      <x:c r="Q298" s="27" t="n">
        <x:f>IF(OR('Detalle'!$G150="",'Detalle'!$H150=""),"",IF(AND(Q$8&lt;='Detalle'!$H150,Q$9&gt;='Detalle'!$G150),1,""))</x:f>
        <x:v>1</x:v>
      </x:c>
      <x:c r="R298" s="49"/>
      <x:c r="S298" s="30" t="str">
        <x:f>IF('Detalle'!L150="","",'Detalle'!L150)</x:f>
        <x:v>Josefina</x:v>
      </x:c>
      <x:c r="T298" s="30" t="str">
        <x:f>IF('Detalle'!M150="","",'Detalle'!M150)</x:f>
      </x:c>
    </x:row>
    <x:row r="299" ht="17" customHeight="1">
      <x:c r="A299" s="28" t="str">
        <x:v>DEP-18</x:v>
      </x:c>
      <x:c r="B299" s="28" t="str">
        <x:v>Transversal</x:v>
      </x:c>
      <x:c r="C299" s="28" t="str">
        <x:v>Entregar la versión técnica final el 18 de noviembre</x:v>
      </x:c>
      <x:c r="D299" s="47" t="str">
        <x:v>R</x:v>
      </x:c>
      <x:c r="E299" s="48" t="str">
        <x:f>IF('Detalle'!J150="","",'Detalle'!J150)</x:f>
      </x:c>
      <x:c r="F299" s="44" t="str"/>
      <x:c r="G299" s="27" t="str">
        <x:f>IF(AND('Detalle'!$F150="Completado",G298=1),1,"")</x:f>
      </x:c>
      <x:c r="H299" s="27" t="str">
        <x:f>IF(AND('Detalle'!$F150="Completado",H298=1),1,"")</x:f>
      </x:c>
      <x:c r="I299" s="27" t="str">
        <x:f>IF(AND('Detalle'!$F150="Completado",I298=1),1,"")</x:f>
      </x:c>
      <x:c r="J299" s="27" t="str">
        <x:f>IF(AND('Detalle'!$F150="Completado",J298=1),1,"")</x:f>
      </x:c>
      <x:c r="K299" s="27" t="str">
        <x:f>IF(AND('Detalle'!$F150="Completado",K298=1),1,"")</x:f>
      </x:c>
      <x:c r="L299" s="27" t="str">
        <x:f>IF(AND('Detalle'!$F150="Completado",L298=1),1,"")</x:f>
      </x:c>
      <x:c r="M299" s="27" t="str">
        <x:f>IF(AND('Detalle'!$F150="Completado",M298=1),1,"")</x:f>
      </x:c>
      <x:c r="N299" s="27" t="str">
        <x:f>IF(AND('Detalle'!$F150="Completado",N298=1),1,"")</x:f>
      </x:c>
      <x:c r="O299" s="27" t="str">
        <x:f>IF(AND('Detalle'!$F150="Completado",O298=1),1,"")</x:f>
      </x:c>
      <x:c r="P299" s="27" t="str">
        <x:f>IF(AND('Detalle'!$F150="Completado",P298=1),1,"")</x:f>
      </x:c>
      <x:c r="Q299" s="27" t="str">
        <x:f>IF(AND('Detalle'!$F150="Completado",Q298=1),1,"")</x:f>
      </x:c>
      <x:c r="R299" s="49"/>
      <x:c r="S299" s="30" t="str"/>
      <x:c r="T299" s="30" t="str"/>
    </x:row>
  </x:sheetData>
  <x:mergeCells>
    <x:mergeCell ref="A2:T2"/>
    <x:mergeCell ref="A3:T3"/>
    <x:mergeCell ref="A4:T4"/>
    <x:mergeCell ref="A5:F5"/>
    <x:mergeCell ref="G5:J5"/>
    <x:mergeCell ref="K5:N5"/>
    <x:mergeCell ref="O5:T5"/>
    <x:mergeCell ref="A6:A9"/>
    <x:mergeCell ref="B6:B9"/>
    <x:mergeCell ref="C6:C9"/>
    <x:mergeCell ref="D6:D9"/>
    <x:mergeCell ref="E6:E9"/>
    <x:mergeCell ref="F6:F9"/>
    <x:mergeCell ref="S6:S9"/>
    <x:mergeCell ref="T6:T9"/>
    <x:mergeCell ref="G6:J6"/>
    <x:mergeCell ref="K6:N6"/>
    <x:mergeCell ref="O6:R6"/>
    <x:mergeCell ref="A10:T10"/>
    <x:mergeCell ref="A11:A12"/>
    <x:mergeCell ref="B11:B12"/>
    <x:mergeCell ref="C11:C12"/>
    <x:mergeCell ref="F11:F12"/>
    <x:mergeCell ref="S11:S12"/>
    <x:mergeCell ref="T11:T12"/>
    <x:mergeCell ref="A13:A14"/>
    <x:mergeCell ref="B13:B14"/>
    <x:mergeCell ref="C13:C14"/>
    <x:mergeCell ref="F13:F14"/>
    <x:mergeCell ref="S13:S14"/>
    <x:mergeCell ref="T13:T14"/>
    <x:mergeCell ref="A15:A16"/>
    <x:mergeCell ref="B15:B16"/>
    <x:mergeCell ref="C15:C16"/>
    <x:mergeCell ref="F15:F16"/>
    <x:mergeCell ref="S15:S16"/>
    <x:mergeCell ref="T15:T16"/>
    <x:mergeCell ref="A17:A18"/>
    <x:mergeCell ref="B17:B18"/>
    <x:mergeCell ref="C17:C18"/>
    <x:mergeCell ref="F17:F18"/>
    <x:mergeCell ref="S17:S18"/>
    <x:mergeCell ref="T17:T18"/>
    <x:mergeCell ref="A19:A20"/>
    <x:mergeCell ref="B19:B20"/>
    <x:mergeCell ref="C19:C20"/>
    <x:mergeCell ref="F19:F20"/>
    <x:mergeCell ref="S19:S20"/>
    <x:mergeCell ref="T19:T20"/>
    <x:mergeCell ref="A21:A22"/>
    <x:mergeCell ref="B21:B22"/>
    <x:mergeCell ref="C21:C22"/>
    <x:mergeCell ref="F21:F22"/>
    <x:mergeCell ref="S21:S22"/>
    <x:mergeCell ref="T21:T22"/>
    <x:mergeCell ref="A23:A24"/>
    <x:mergeCell ref="B23:B24"/>
    <x:mergeCell ref="C23:C24"/>
    <x:mergeCell ref="F23:F24"/>
    <x:mergeCell ref="S23:S24"/>
    <x:mergeCell ref="T23:T24"/>
    <x:mergeCell ref="A25:A26"/>
    <x:mergeCell ref="B25:B26"/>
    <x:mergeCell ref="C25:C26"/>
    <x:mergeCell ref="F25:F26"/>
    <x:mergeCell ref="S25:S26"/>
    <x:mergeCell ref="T25:T26"/>
    <x:mergeCell ref="A27:A28"/>
    <x:mergeCell ref="B27:B28"/>
    <x:mergeCell ref="C27:C28"/>
    <x:mergeCell ref="F27:F28"/>
    <x:mergeCell ref="S27:S28"/>
    <x:mergeCell ref="T27:T28"/>
    <x:mergeCell ref="A29:A30"/>
    <x:mergeCell ref="B29:B30"/>
    <x:mergeCell ref="C29:C30"/>
    <x:mergeCell ref="F29:F30"/>
    <x:mergeCell ref="S29:S30"/>
    <x:mergeCell ref="T29:T30"/>
    <x:mergeCell ref="A31:A32"/>
    <x:mergeCell ref="B31:B32"/>
    <x:mergeCell ref="C31:C32"/>
    <x:mergeCell ref="F31:F32"/>
    <x:mergeCell ref="S31:S32"/>
    <x:mergeCell ref="T31:T32"/>
    <x:mergeCell ref="A33:A34"/>
    <x:mergeCell ref="B33:B34"/>
    <x:mergeCell ref="C33:C34"/>
    <x:mergeCell ref="F33:F34"/>
    <x:mergeCell ref="S33:S34"/>
    <x:mergeCell ref="T33:T34"/>
    <x:mergeCell ref="A35:A36"/>
    <x:mergeCell ref="B35:B36"/>
    <x:mergeCell ref="C35:C36"/>
    <x:mergeCell ref="F35:F36"/>
    <x:mergeCell ref="S35:S36"/>
    <x:mergeCell ref="T35:T36"/>
    <x:mergeCell ref="A37:A38"/>
    <x:mergeCell ref="B37:B38"/>
    <x:mergeCell ref="C37:C38"/>
    <x:mergeCell ref="F37:F38"/>
    <x:mergeCell ref="S37:S38"/>
    <x:mergeCell ref="T37:T38"/>
    <x:mergeCell ref="A39:A40"/>
    <x:mergeCell ref="B39:B40"/>
    <x:mergeCell ref="C39:C40"/>
    <x:mergeCell ref="F39:F40"/>
    <x:mergeCell ref="S39:S40"/>
    <x:mergeCell ref="T39:T40"/>
    <x:mergeCell ref="A41:A42"/>
    <x:mergeCell ref="B41:B42"/>
    <x:mergeCell ref="C41:C42"/>
    <x:mergeCell ref="F41:F42"/>
    <x:mergeCell ref="S41:S42"/>
    <x:mergeCell ref="T41:T42"/>
    <x:mergeCell ref="A43:A44"/>
    <x:mergeCell ref="B43:B44"/>
    <x:mergeCell ref="C43:C44"/>
    <x:mergeCell ref="F43:F44"/>
    <x:mergeCell ref="S43:S44"/>
    <x:mergeCell ref="T43:T44"/>
    <x:mergeCell ref="A45:A46"/>
    <x:mergeCell ref="B45:B46"/>
    <x:mergeCell ref="C45:C46"/>
    <x:mergeCell ref="F45:F46"/>
    <x:mergeCell ref="S45:S46"/>
    <x:mergeCell ref="T45:T46"/>
    <x:mergeCell ref="A47:T47"/>
    <x:mergeCell ref="A48:A49"/>
    <x:mergeCell ref="B48:B49"/>
    <x:mergeCell ref="C48:C49"/>
    <x:mergeCell ref="F48:F49"/>
    <x:mergeCell ref="S48:S49"/>
    <x:mergeCell ref="T48:T49"/>
    <x:mergeCell ref="A50:A51"/>
    <x:mergeCell ref="B50:B51"/>
    <x:mergeCell ref="C50:C51"/>
    <x:mergeCell ref="F50:F51"/>
    <x:mergeCell ref="S50:S51"/>
    <x:mergeCell ref="T50:T51"/>
    <x:mergeCell ref="A52:A53"/>
    <x:mergeCell ref="B52:B53"/>
    <x:mergeCell ref="C52:C53"/>
    <x:mergeCell ref="F52:F53"/>
    <x:mergeCell ref="S52:S53"/>
    <x:mergeCell ref="T52:T53"/>
    <x:mergeCell ref="A54:A55"/>
    <x:mergeCell ref="B54:B55"/>
    <x:mergeCell ref="C54:C55"/>
    <x:mergeCell ref="F54:F55"/>
    <x:mergeCell ref="S54:S55"/>
    <x:mergeCell ref="T54:T55"/>
    <x:mergeCell ref="A56:A57"/>
    <x:mergeCell ref="B56:B57"/>
    <x:mergeCell ref="C56:C57"/>
    <x:mergeCell ref="F56:F57"/>
    <x:mergeCell ref="S56:S57"/>
    <x:mergeCell ref="T56:T57"/>
    <x:mergeCell ref="A58:A59"/>
    <x:mergeCell ref="B58:B59"/>
    <x:mergeCell ref="C58:C59"/>
    <x:mergeCell ref="F58:F59"/>
    <x:mergeCell ref="S58:S59"/>
    <x:mergeCell ref="T58:T59"/>
    <x:mergeCell ref="A60:A61"/>
    <x:mergeCell ref="B60:B61"/>
    <x:mergeCell ref="C60:C61"/>
    <x:mergeCell ref="F60:F61"/>
    <x:mergeCell ref="S60:S61"/>
    <x:mergeCell ref="T60:T61"/>
    <x:mergeCell ref="A62:A63"/>
    <x:mergeCell ref="B62:B63"/>
    <x:mergeCell ref="C62:C63"/>
    <x:mergeCell ref="F62:F63"/>
    <x:mergeCell ref="S62:S63"/>
    <x:mergeCell ref="T62:T63"/>
    <x:mergeCell ref="A64:A65"/>
    <x:mergeCell ref="B64:B65"/>
    <x:mergeCell ref="C64:C65"/>
    <x:mergeCell ref="F64:F65"/>
    <x:mergeCell ref="S64:S65"/>
    <x:mergeCell ref="T64:T65"/>
    <x:mergeCell ref="A66:A67"/>
    <x:mergeCell ref="B66:B67"/>
    <x:mergeCell ref="C66:C67"/>
    <x:mergeCell ref="F66:F67"/>
    <x:mergeCell ref="S66:S67"/>
    <x:mergeCell ref="T66:T67"/>
    <x:mergeCell ref="A68:A69"/>
    <x:mergeCell ref="B68:B69"/>
    <x:mergeCell ref="C68:C69"/>
    <x:mergeCell ref="F68:F69"/>
    <x:mergeCell ref="S68:S69"/>
    <x:mergeCell ref="T68:T69"/>
    <x:mergeCell ref="A70:A71"/>
    <x:mergeCell ref="B70:B71"/>
    <x:mergeCell ref="C70:C71"/>
    <x:mergeCell ref="F70:F71"/>
    <x:mergeCell ref="S70:S71"/>
    <x:mergeCell ref="T70:T71"/>
    <x:mergeCell ref="A72:A73"/>
    <x:mergeCell ref="B72:B73"/>
    <x:mergeCell ref="C72:C73"/>
    <x:mergeCell ref="F72:F73"/>
    <x:mergeCell ref="S72:S73"/>
    <x:mergeCell ref="T72:T73"/>
    <x:mergeCell ref="A74:A75"/>
    <x:mergeCell ref="B74:B75"/>
    <x:mergeCell ref="C74:C75"/>
    <x:mergeCell ref="F74:F75"/>
    <x:mergeCell ref="S74:S75"/>
    <x:mergeCell ref="T74:T75"/>
    <x:mergeCell ref="A76:A77"/>
    <x:mergeCell ref="B76:B77"/>
    <x:mergeCell ref="C76:C77"/>
    <x:mergeCell ref="F76:F77"/>
    <x:mergeCell ref="S76:S77"/>
    <x:mergeCell ref="T76:T77"/>
    <x:mergeCell ref="A78:A79"/>
    <x:mergeCell ref="B78:B79"/>
    <x:mergeCell ref="C78:C79"/>
    <x:mergeCell ref="F78:F79"/>
    <x:mergeCell ref="S78:S79"/>
    <x:mergeCell ref="T78:T79"/>
    <x:mergeCell ref="A80:A81"/>
    <x:mergeCell ref="B80:B81"/>
    <x:mergeCell ref="C80:C81"/>
    <x:mergeCell ref="F80:F81"/>
    <x:mergeCell ref="S80:S81"/>
    <x:mergeCell ref="T80:T81"/>
    <x:mergeCell ref="A82:A83"/>
    <x:mergeCell ref="B82:B83"/>
    <x:mergeCell ref="C82:C83"/>
    <x:mergeCell ref="F82:F83"/>
    <x:mergeCell ref="S82:S83"/>
    <x:mergeCell ref="T82:T83"/>
    <x:mergeCell ref="A84:T84"/>
    <x:mergeCell ref="A85:A86"/>
    <x:mergeCell ref="B85:B86"/>
    <x:mergeCell ref="C85:C86"/>
    <x:mergeCell ref="F85:F86"/>
    <x:mergeCell ref="S85:S86"/>
    <x:mergeCell ref="T85:T86"/>
    <x:mergeCell ref="A87:A88"/>
    <x:mergeCell ref="B87:B88"/>
    <x:mergeCell ref="C87:C88"/>
    <x:mergeCell ref="F87:F88"/>
    <x:mergeCell ref="S87:S88"/>
    <x:mergeCell ref="T87:T88"/>
    <x:mergeCell ref="A89:A90"/>
    <x:mergeCell ref="B89:B90"/>
    <x:mergeCell ref="C89:C90"/>
    <x:mergeCell ref="F89:F90"/>
    <x:mergeCell ref="S89:S90"/>
    <x:mergeCell ref="T89:T90"/>
    <x:mergeCell ref="A91:A92"/>
    <x:mergeCell ref="B91:B92"/>
    <x:mergeCell ref="C91:C92"/>
    <x:mergeCell ref="F91:F92"/>
    <x:mergeCell ref="S91:S92"/>
    <x:mergeCell ref="T91:T92"/>
    <x:mergeCell ref="A93:A94"/>
    <x:mergeCell ref="B93:B94"/>
    <x:mergeCell ref="C93:C94"/>
    <x:mergeCell ref="F93:F94"/>
    <x:mergeCell ref="S93:S94"/>
    <x:mergeCell ref="T93:T94"/>
    <x:mergeCell ref="A95:A96"/>
    <x:mergeCell ref="B95:B96"/>
    <x:mergeCell ref="C95:C96"/>
    <x:mergeCell ref="F95:F96"/>
    <x:mergeCell ref="S95:S96"/>
    <x:mergeCell ref="T95:T96"/>
    <x:mergeCell ref="A97:A98"/>
    <x:mergeCell ref="B97:B98"/>
    <x:mergeCell ref="C97:C98"/>
    <x:mergeCell ref="F97:F98"/>
    <x:mergeCell ref="S97:S98"/>
    <x:mergeCell ref="T97:T98"/>
    <x:mergeCell ref="A99:A100"/>
    <x:mergeCell ref="B99:B100"/>
    <x:mergeCell ref="C99:C100"/>
    <x:mergeCell ref="F99:F100"/>
    <x:mergeCell ref="S99:S100"/>
    <x:mergeCell ref="T99:T100"/>
    <x:mergeCell ref="A101:A102"/>
    <x:mergeCell ref="B101:B102"/>
    <x:mergeCell ref="C101:C102"/>
    <x:mergeCell ref="F101:F102"/>
    <x:mergeCell ref="S101:S102"/>
    <x:mergeCell ref="T101:T102"/>
    <x:mergeCell ref="A103:A104"/>
    <x:mergeCell ref="B103:B104"/>
    <x:mergeCell ref="C103:C104"/>
    <x:mergeCell ref="F103:F104"/>
    <x:mergeCell ref="S103:S104"/>
    <x:mergeCell ref="T103:T104"/>
    <x:mergeCell ref="A105:A106"/>
    <x:mergeCell ref="B105:B106"/>
    <x:mergeCell ref="C105:C106"/>
    <x:mergeCell ref="F105:F106"/>
    <x:mergeCell ref="S105:S106"/>
    <x:mergeCell ref="T105:T106"/>
    <x:mergeCell ref="A107:A108"/>
    <x:mergeCell ref="B107:B108"/>
    <x:mergeCell ref="C107:C108"/>
    <x:mergeCell ref="F107:F108"/>
    <x:mergeCell ref="S107:S108"/>
    <x:mergeCell ref="T107:T108"/>
    <x:mergeCell ref="A109:A110"/>
    <x:mergeCell ref="B109:B110"/>
    <x:mergeCell ref="C109:C110"/>
    <x:mergeCell ref="F109:F110"/>
    <x:mergeCell ref="S109:S110"/>
    <x:mergeCell ref="T109:T110"/>
    <x:mergeCell ref="A111:A112"/>
    <x:mergeCell ref="B111:B112"/>
    <x:mergeCell ref="C111:C112"/>
    <x:mergeCell ref="F111:F112"/>
    <x:mergeCell ref="S111:S112"/>
    <x:mergeCell ref="T111:T112"/>
    <x:mergeCell ref="A113:A114"/>
    <x:mergeCell ref="B113:B114"/>
    <x:mergeCell ref="C113:C114"/>
    <x:mergeCell ref="F113:F114"/>
    <x:mergeCell ref="S113:S114"/>
    <x:mergeCell ref="T113:T114"/>
    <x:mergeCell ref="A115:A116"/>
    <x:mergeCell ref="B115:B116"/>
    <x:mergeCell ref="C115:C116"/>
    <x:mergeCell ref="F115:F116"/>
    <x:mergeCell ref="S115:S116"/>
    <x:mergeCell ref="T115:T116"/>
    <x:mergeCell ref="A117:A118"/>
    <x:mergeCell ref="B117:B118"/>
    <x:mergeCell ref="C117:C118"/>
    <x:mergeCell ref="F117:F118"/>
    <x:mergeCell ref="S117:S118"/>
    <x:mergeCell ref="T117:T118"/>
    <x:mergeCell ref="A119:A120"/>
    <x:mergeCell ref="B119:B120"/>
    <x:mergeCell ref="C119:C120"/>
    <x:mergeCell ref="F119:F120"/>
    <x:mergeCell ref="S119:S120"/>
    <x:mergeCell ref="T119:T120"/>
    <x:mergeCell ref="A121:A122"/>
    <x:mergeCell ref="B121:B122"/>
    <x:mergeCell ref="C121:C122"/>
    <x:mergeCell ref="F121:F122"/>
    <x:mergeCell ref="S121:S122"/>
    <x:mergeCell ref="T121:T122"/>
    <x:mergeCell ref="A123:A124"/>
    <x:mergeCell ref="B123:B124"/>
    <x:mergeCell ref="C123:C124"/>
    <x:mergeCell ref="F123:F124"/>
    <x:mergeCell ref="S123:S124"/>
    <x:mergeCell ref="T123:T124"/>
    <x:mergeCell ref="A125:A126"/>
    <x:mergeCell ref="B125:B126"/>
    <x:mergeCell ref="C125:C126"/>
    <x:mergeCell ref="F125:F126"/>
    <x:mergeCell ref="S125:S126"/>
    <x:mergeCell ref="T125:T126"/>
    <x:mergeCell ref="A127:A128"/>
    <x:mergeCell ref="B127:B128"/>
    <x:mergeCell ref="C127:C128"/>
    <x:mergeCell ref="F127:F128"/>
    <x:mergeCell ref="S127:S128"/>
    <x:mergeCell ref="T127:T128"/>
    <x:mergeCell ref="A129:A130"/>
    <x:mergeCell ref="B129:B130"/>
    <x:mergeCell ref="C129:C130"/>
    <x:mergeCell ref="F129:F130"/>
    <x:mergeCell ref="S129:S130"/>
    <x:mergeCell ref="T129:T130"/>
    <x:mergeCell ref="A131:A132"/>
    <x:mergeCell ref="B131:B132"/>
    <x:mergeCell ref="C131:C132"/>
    <x:mergeCell ref="F131:F132"/>
    <x:mergeCell ref="S131:S132"/>
    <x:mergeCell ref="T131:T132"/>
    <x:mergeCell ref="A133:A134"/>
    <x:mergeCell ref="B133:B134"/>
    <x:mergeCell ref="C133:C134"/>
    <x:mergeCell ref="F133:F134"/>
    <x:mergeCell ref="S133:S134"/>
    <x:mergeCell ref="T133:T134"/>
    <x:mergeCell ref="A135:A136"/>
    <x:mergeCell ref="B135:B136"/>
    <x:mergeCell ref="C135:C136"/>
    <x:mergeCell ref="F135:F136"/>
    <x:mergeCell ref="S135:S136"/>
    <x:mergeCell ref="T135:T136"/>
    <x:mergeCell ref="A137:T137"/>
    <x:mergeCell ref="A138:A139"/>
    <x:mergeCell ref="B138:B139"/>
    <x:mergeCell ref="C138:C139"/>
    <x:mergeCell ref="F138:F139"/>
    <x:mergeCell ref="S138:S139"/>
    <x:mergeCell ref="T138:T139"/>
    <x:mergeCell ref="A140:A141"/>
    <x:mergeCell ref="B140:B141"/>
    <x:mergeCell ref="C140:C141"/>
    <x:mergeCell ref="F140:F141"/>
    <x:mergeCell ref="S140:S141"/>
    <x:mergeCell ref="T140:T141"/>
    <x:mergeCell ref="A142:A143"/>
    <x:mergeCell ref="B142:B143"/>
    <x:mergeCell ref="C142:C143"/>
    <x:mergeCell ref="F142:F143"/>
    <x:mergeCell ref="S142:S143"/>
    <x:mergeCell ref="T142:T143"/>
    <x:mergeCell ref="A144:A145"/>
    <x:mergeCell ref="B144:B145"/>
    <x:mergeCell ref="C144:C145"/>
    <x:mergeCell ref="F144:F145"/>
    <x:mergeCell ref="S144:S145"/>
    <x:mergeCell ref="T144:T145"/>
    <x:mergeCell ref="A146:A147"/>
    <x:mergeCell ref="B146:B147"/>
    <x:mergeCell ref="C146:C147"/>
    <x:mergeCell ref="F146:F147"/>
    <x:mergeCell ref="S146:S147"/>
    <x:mergeCell ref="T146:T147"/>
    <x:mergeCell ref="A148:A149"/>
    <x:mergeCell ref="B148:B149"/>
    <x:mergeCell ref="C148:C149"/>
    <x:mergeCell ref="F148:F149"/>
    <x:mergeCell ref="S148:S149"/>
    <x:mergeCell ref="T148:T149"/>
    <x:mergeCell ref="A150:A151"/>
    <x:mergeCell ref="B150:B151"/>
    <x:mergeCell ref="C150:C151"/>
    <x:mergeCell ref="F150:F151"/>
    <x:mergeCell ref="S150:S151"/>
    <x:mergeCell ref="T150:T151"/>
    <x:mergeCell ref="A152:A153"/>
    <x:mergeCell ref="B152:B153"/>
    <x:mergeCell ref="C152:C153"/>
    <x:mergeCell ref="F152:F153"/>
    <x:mergeCell ref="S152:S153"/>
    <x:mergeCell ref="T152:T153"/>
    <x:mergeCell ref="A154:A155"/>
    <x:mergeCell ref="B154:B155"/>
    <x:mergeCell ref="C154:C155"/>
    <x:mergeCell ref="F154:F155"/>
    <x:mergeCell ref="S154:S155"/>
    <x:mergeCell ref="T154:T155"/>
    <x:mergeCell ref="A156:A157"/>
    <x:mergeCell ref="B156:B157"/>
    <x:mergeCell ref="C156:C157"/>
    <x:mergeCell ref="F156:F157"/>
    <x:mergeCell ref="S156:S157"/>
    <x:mergeCell ref="T156:T157"/>
    <x:mergeCell ref="A158:A159"/>
    <x:mergeCell ref="B158:B159"/>
    <x:mergeCell ref="C158:C159"/>
    <x:mergeCell ref="F158:F159"/>
    <x:mergeCell ref="S158:S159"/>
    <x:mergeCell ref="T158:T159"/>
    <x:mergeCell ref="A160:A161"/>
    <x:mergeCell ref="B160:B161"/>
    <x:mergeCell ref="C160:C161"/>
    <x:mergeCell ref="F160:F161"/>
    <x:mergeCell ref="S160:S161"/>
    <x:mergeCell ref="T160:T161"/>
    <x:mergeCell ref="A162:A163"/>
    <x:mergeCell ref="B162:B163"/>
    <x:mergeCell ref="C162:C163"/>
    <x:mergeCell ref="F162:F163"/>
    <x:mergeCell ref="S162:S163"/>
    <x:mergeCell ref="T162:T163"/>
    <x:mergeCell ref="A164:A165"/>
    <x:mergeCell ref="B164:B165"/>
    <x:mergeCell ref="C164:C165"/>
    <x:mergeCell ref="F164:F165"/>
    <x:mergeCell ref="S164:S165"/>
    <x:mergeCell ref="T164:T165"/>
    <x:mergeCell ref="A166:A167"/>
    <x:mergeCell ref="B166:B167"/>
    <x:mergeCell ref="C166:C167"/>
    <x:mergeCell ref="F166:F167"/>
    <x:mergeCell ref="S166:S167"/>
    <x:mergeCell ref="T166:T167"/>
    <x:mergeCell ref="A168:A169"/>
    <x:mergeCell ref="B168:B169"/>
    <x:mergeCell ref="C168:C169"/>
    <x:mergeCell ref="F168:F169"/>
    <x:mergeCell ref="S168:S169"/>
    <x:mergeCell ref="T168:T169"/>
    <x:mergeCell ref="A170:A171"/>
    <x:mergeCell ref="B170:B171"/>
    <x:mergeCell ref="C170:C171"/>
    <x:mergeCell ref="F170:F171"/>
    <x:mergeCell ref="S170:S171"/>
    <x:mergeCell ref="T170:T171"/>
    <x:mergeCell ref="A172:A173"/>
    <x:mergeCell ref="B172:B173"/>
    <x:mergeCell ref="C172:C173"/>
    <x:mergeCell ref="F172:F173"/>
    <x:mergeCell ref="S172:S173"/>
    <x:mergeCell ref="T172:T173"/>
    <x:mergeCell ref="A174:A175"/>
    <x:mergeCell ref="B174:B175"/>
    <x:mergeCell ref="C174:C175"/>
    <x:mergeCell ref="F174:F175"/>
    <x:mergeCell ref="S174:S175"/>
    <x:mergeCell ref="T174:T175"/>
    <x:mergeCell ref="A176:A177"/>
    <x:mergeCell ref="B176:B177"/>
    <x:mergeCell ref="C176:C177"/>
    <x:mergeCell ref="F176:F177"/>
    <x:mergeCell ref="S176:S177"/>
    <x:mergeCell ref="T176:T177"/>
    <x:mergeCell ref="A178:A179"/>
    <x:mergeCell ref="B178:B179"/>
    <x:mergeCell ref="C178:C179"/>
    <x:mergeCell ref="F178:F179"/>
    <x:mergeCell ref="S178:S179"/>
    <x:mergeCell ref="T178:T179"/>
    <x:mergeCell ref="A180:A181"/>
    <x:mergeCell ref="B180:B181"/>
    <x:mergeCell ref="C180:C181"/>
    <x:mergeCell ref="F180:F181"/>
    <x:mergeCell ref="S180:S181"/>
    <x:mergeCell ref="T180:T181"/>
    <x:mergeCell ref="A182:A183"/>
    <x:mergeCell ref="B182:B183"/>
    <x:mergeCell ref="C182:C183"/>
    <x:mergeCell ref="F182:F183"/>
    <x:mergeCell ref="S182:S183"/>
    <x:mergeCell ref="T182:T183"/>
    <x:mergeCell ref="A184:A185"/>
    <x:mergeCell ref="B184:B185"/>
    <x:mergeCell ref="C184:C185"/>
    <x:mergeCell ref="F184:F185"/>
    <x:mergeCell ref="S184:S185"/>
    <x:mergeCell ref="T184:T185"/>
    <x:mergeCell ref="A186:A187"/>
    <x:mergeCell ref="B186:B187"/>
    <x:mergeCell ref="C186:C187"/>
    <x:mergeCell ref="F186:F187"/>
    <x:mergeCell ref="S186:S187"/>
    <x:mergeCell ref="T186:T187"/>
    <x:mergeCell ref="A188:A189"/>
    <x:mergeCell ref="B188:B189"/>
    <x:mergeCell ref="C188:C189"/>
    <x:mergeCell ref="F188:F189"/>
    <x:mergeCell ref="S188:S189"/>
    <x:mergeCell ref="T188:T189"/>
    <x:mergeCell ref="A190:A191"/>
    <x:mergeCell ref="B190:B191"/>
    <x:mergeCell ref="C190:C191"/>
    <x:mergeCell ref="F190:F191"/>
    <x:mergeCell ref="S190:S191"/>
    <x:mergeCell ref="T190:T191"/>
    <x:mergeCell ref="A192:A193"/>
    <x:mergeCell ref="B192:B193"/>
    <x:mergeCell ref="C192:C193"/>
    <x:mergeCell ref="F192:F193"/>
    <x:mergeCell ref="S192:S193"/>
    <x:mergeCell ref="T192:T193"/>
    <x:mergeCell ref="A194:A195"/>
    <x:mergeCell ref="B194:B195"/>
    <x:mergeCell ref="C194:C195"/>
    <x:mergeCell ref="F194:F195"/>
    <x:mergeCell ref="S194:S195"/>
    <x:mergeCell ref="T194:T195"/>
    <x:mergeCell ref="A196:A197"/>
    <x:mergeCell ref="B196:B197"/>
    <x:mergeCell ref="C196:C197"/>
    <x:mergeCell ref="F196:F197"/>
    <x:mergeCell ref="S196:S197"/>
    <x:mergeCell ref="T196:T197"/>
    <x:mergeCell ref="A198:A199"/>
    <x:mergeCell ref="B198:B199"/>
    <x:mergeCell ref="C198:C199"/>
    <x:mergeCell ref="F198:F199"/>
    <x:mergeCell ref="S198:S199"/>
    <x:mergeCell ref="T198:T199"/>
    <x:mergeCell ref="A200:A201"/>
    <x:mergeCell ref="B200:B201"/>
    <x:mergeCell ref="C200:C201"/>
    <x:mergeCell ref="F200:F201"/>
    <x:mergeCell ref="S200:S201"/>
    <x:mergeCell ref="T200:T201"/>
    <x:mergeCell ref="A202:A203"/>
    <x:mergeCell ref="B202:B203"/>
    <x:mergeCell ref="C202:C203"/>
    <x:mergeCell ref="F202:F203"/>
    <x:mergeCell ref="S202:S203"/>
    <x:mergeCell ref="T202:T203"/>
    <x:mergeCell ref="A204:A205"/>
    <x:mergeCell ref="B204:B205"/>
    <x:mergeCell ref="C204:C205"/>
    <x:mergeCell ref="F204:F205"/>
    <x:mergeCell ref="S204:S205"/>
    <x:mergeCell ref="T204:T205"/>
    <x:mergeCell ref="A206:A207"/>
    <x:mergeCell ref="B206:B207"/>
    <x:mergeCell ref="C206:C207"/>
    <x:mergeCell ref="F206:F207"/>
    <x:mergeCell ref="S206:S207"/>
    <x:mergeCell ref="T206:T207"/>
    <x:mergeCell ref="A208:A209"/>
    <x:mergeCell ref="B208:B209"/>
    <x:mergeCell ref="C208:C209"/>
    <x:mergeCell ref="F208:F209"/>
    <x:mergeCell ref="S208:S209"/>
    <x:mergeCell ref="T208:T209"/>
    <x:mergeCell ref="A210:A211"/>
    <x:mergeCell ref="B210:B211"/>
    <x:mergeCell ref="C210:C211"/>
    <x:mergeCell ref="F210:F211"/>
    <x:mergeCell ref="S210:S211"/>
    <x:mergeCell ref="T210:T211"/>
    <x:mergeCell ref="A212:A213"/>
    <x:mergeCell ref="B212:B213"/>
    <x:mergeCell ref="C212:C213"/>
    <x:mergeCell ref="F212:F213"/>
    <x:mergeCell ref="S212:S213"/>
    <x:mergeCell ref="T212:T213"/>
    <x:mergeCell ref="A214:T214"/>
    <x:mergeCell ref="A215:A216"/>
    <x:mergeCell ref="B215:B216"/>
    <x:mergeCell ref="C215:C216"/>
    <x:mergeCell ref="F215:F216"/>
    <x:mergeCell ref="S215:S216"/>
    <x:mergeCell ref="T215:T216"/>
    <x:mergeCell ref="A217:A218"/>
    <x:mergeCell ref="B217:B218"/>
    <x:mergeCell ref="C217:C218"/>
    <x:mergeCell ref="F217:F218"/>
    <x:mergeCell ref="S217:S218"/>
    <x:mergeCell ref="T217:T218"/>
    <x:mergeCell ref="A219:A220"/>
    <x:mergeCell ref="B219:B220"/>
    <x:mergeCell ref="C219:C220"/>
    <x:mergeCell ref="F219:F220"/>
    <x:mergeCell ref="S219:S220"/>
    <x:mergeCell ref="T219:T220"/>
    <x:mergeCell ref="A221:A222"/>
    <x:mergeCell ref="B221:B222"/>
    <x:mergeCell ref="C221:C222"/>
    <x:mergeCell ref="F221:F222"/>
    <x:mergeCell ref="S221:S222"/>
    <x:mergeCell ref="T221:T222"/>
    <x:mergeCell ref="A223:A224"/>
    <x:mergeCell ref="B223:B224"/>
    <x:mergeCell ref="C223:C224"/>
    <x:mergeCell ref="F223:F224"/>
    <x:mergeCell ref="S223:S224"/>
    <x:mergeCell ref="T223:T224"/>
    <x:mergeCell ref="A225:A226"/>
    <x:mergeCell ref="B225:B226"/>
    <x:mergeCell ref="C225:C226"/>
    <x:mergeCell ref="F225:F226"/>
    <x:mergeCell ref="S225:S226"/>
    <x:mergeCell ref="T225:T226"/>
    <x:mergeCell ref="A227:A228"/>
    <x:mergeCell ref="B227:B228"/>
    <x:mergeCell ref="C227:C228"/>
    <x:mergeCell ref="F227:F228"/>
    <x:mergeCell ref="S227:S228"/>
    <x:mergeCell ref="T227:T228"/>
    <x:mergeCell ref="A229:A230"/>
    <x:mergeCell ref="B229:B230"/>
    <x:mergeCell ref="C229:C230"/>
    <x:mergeCell ref="F229:F230"/>
    <x:mergeCell ref="S229:S230"/>
    <x:mergeCell ref="T229:T230"/>
    <x:mergeCell ref="A231:A232"/>
    <x:mergeCell ref="B231:B232"/>
    <x:mergeCell ref="C231:C232"/>
    <x:mergeCell ref="F231:F232"/>
    <x:mergeCell ref="S231:S232"/>
    <x:mergeCell ref="T231:T232"/>
    <x:mergeCell ref="A233:A234"/>
    <x:mergeCell ref="B233:B234"/>
    <x:mergeCell ref="C233:C234"/>
    <x:mergeCell ref="F233:F234"/>
    <x:mergeCell ref="S233:S234"/>
    <x:mergeCell ref="T233:T234"/>
    <x:mergeCell ref="A235:A236"/>
    <x:mergeCell ref="B235:B236"/>
    <x:mergeCell ref="C235:C236"/>
    <x:mergeCell ref="F235:F236"/>
    <x:mergeCell ref="S235:S236"/>
    <x:mergeCell ref="T235:T236"/>
    <x:mergeCell ref="A237:A238"/>
    <x:mergeCell ref="B237:B238"/>
    <x:mergeCell ref="C237:C238"/>
    <x:mergeCell ref="F237:F238"/>
    <x:mergeCell ref="S237:S238"/>
    <x:mergeCell ref="T237:T238"/>
    <x:mergeCell ref="A239:A240"/>
    <x:mergeCell ref="B239:B240"/>
    <x:mergeCell ref="C239:C240"/>
    <x:mergeCell ref="F239:F240"/>
    <x:mergeCell ref="S239:S240"/>
    <x:mergeCell ref="T239:T240"/>
    <x:mergeCell ref="A241:A242"/>
    <x:mergeCell ref="B241:B242"/>
    <x:mergeCell ref="C241:C242"/>
    <x:mergeCell ref="F241:F242"/>
    <x:mergeCell ref="S241:S242"/>
    <x:mergeCell ref="T241:T242"/>
    <x:mergeCell ref="A243:A244"/>
    <x:mergeCell ref="B243:B244"/>
    <x:mergeCell ref="C243:C244"/>
    <x:mergeCell ref="F243:F244"/>
    <x:mergeCell ref="S243:S244"/>
    <x:mergeCell ref="T243:T244"/>
    <x:mergeCell ref="A245:A246"/>
    <x:mergeCell ref="B245:B246"/>
    <x:mergeCell ref="C245:C246"/>
    <x:mergeCell ref="F245:F246"/>
    <x:mergeCell ref="S245:S246"/>
    <x:mergeCell ref="T245:T246"/>
    <x:mergeCell ref="A247:A248"/>
    <x:mergeCell ref="B247:B248"/>
    <x:mergeCell ref="C247:C248"/>
    <x:mergeCell ref="F247:F248"/>
    <x:mergeCell ref="S247:S248"/>
    <x:mergeCell ref="T247:T248"/>
    <x:mergeCell ref="A249:A250"/>
    <x:mergeCell ref="B249:B250"/>
    <x:mergeCell ref="C249:C250"/>
    <x:mergeCell ref="F249:F250"/>
    <x:mergeCell ref="S249:S250"/>
    <x:mergeCell ref="T249:T250"/>
    <x:mergeCell ref="A251:A252"/>
    <x:mergeCell ref="B251:B252"/>
    <x:mergeCell ref="C251:C252"/>
    <x:mergeCell ref="F251:F252"/>
    <x:mergeCell ref="S251:S252"/>
    <x:mergeCell ref="T251:T252"/>
    <x:mergeCell ref="A253:A254"/>
    <x:mergeCell ref="B253:B254"/>
    <x:mergeCell ref="C253:C254"/>
    <x:mergeCell ref="F253:F254"/>
    <x:mergeCell ref="S253:S254"/>
    <x:mergeCell ref="T253:T254"/>
    <x:mergeCell ref="A255:A256"/>
    <x:mergeCell ref="B255:B256"/>
    <x:mergeCell ref="C255:C256"/>
    <x:mergeCell ref="F255:F256"/>
    <x:mergeCell ref="S255:S256"/>
    <x:mergeCell ref="T255:T256"/>
    <x:mergeCell ref="A257:A258"/>
    <x:mergeCell ref="B257:B258"/>
    <x:mergeCell ref="C257:C258"/>
    <x:mergeCell ref="F257:F258"/>
    <x:mergeCell ref="S257:S258"/>
    <x:mergeCell ref="T257:T258"/>
    <x:mergeCell ref="A259:A260"/>
    <x:mergeCell ref="B259:B260"/>
    <x:mergeCell ref="C259:C260"/>
    <x:mergeCell ref="F259:F260"/>
    <x:mergeCell ref="S259:S260"/>
    <x:mergeCell ref="T259:T260"/>
    <x:mergeCell ref="A261:A262"/>
    <x:mergeCell ref="B261:B262"/>
    <x:mergeCell ref="C261:C262"/>
    <x:mergeCell ref="F261:F262"/>
    <x:mergeCell ref="S261:S262"/>
    <x:mergeCell ref="T261:T262"/>
    <x:mergeCell ref="A263:T263"/>
    <x:mergeCell ref="A264:A265"/>
    <x:mergeCell ref="B264:B265"/>
    <x:mergeCell ref="C264:C265"/>
    <x:mergeCell ref="F264:F265"/>
    <x:mergeCell ref="S264:S265"/>
    <x:mergeCell ref="T264:T265"/>
    <x:mergeCell ref="A266:A267"/>
    <x:mergeCell ref="B266:B267"/>
    <x:mergeCell ref="C266:C267"/>
    <x:mergeCell ref="F266:F267"/>
    <x:mergeCell ref="S266:S267"/>
    <x:mergeCell ref="T266:T267"/>
    <x:mergeCell ref="A268:A269"/>
    <x:mergeCell ref="B268:B269"/>
    <x:mergeCell ref="C268:C269"/>
    <x:mergeCell ref="F268:F269"/>
    <x:mergeCell ref="S268:S269"/>
    <x:mergeCell ref="T268:T269"/>
    <x:mergeCell ref="A270:A271"/>
    <x:mergeCell ref="B270:B271"/>
    <x:mergeCell ref="C270:C271"/>
    <x:mergeCell ref="F270:F271"/>
    <x:mergeCell ref="S270:S271"/>
    <x:mergeCell ref="T270:T271"/>
    <x:mergeCell ref="A272:A273"/>
    <x:mergeCell ref="B272:B273"/>
    <x:mergeCell ref="C272:C273"/>
    <x:mergeCell ref="F272:F273"/>
    <x:mergeCell ref="S272:S273"/>
    <x:mergeCell ref="T272:T273"/>
    <x:mergeCell ref="A274:A275"/>
    <x:mergeCell ref="B274:B275"/>
    <x:mergeCell ref="C274:C275"/>
    <x:mergeCell ref="F274:F275"/>
    <x:mergeCell ref="S274:S275"/>
    <x:mergeCell ref="T274:T275"/>
    <x:mergeCell ref="A276:A277"/>
    <x:mergeCell ref="B276:B277"/>
    <x:mergeCell ref="C276:C277"/>
    <x:mergeCell ref="F276:F277"/>
    <x:mergeCell ref="S276:S277"/>
    <x:mergeCell ref="T276:T277"/>
    <x:mergeCell ref="A278:A279"/>
    <x:mergeCell ref="B278:B279"/>
    <x:mergeCell ref="C278:C279"/>
    <x:mergeCell ref="F278:F279"/>
    <x:mergeCell ref="S278:S279"/>
    <x:mergeCell ref="T278:T279"/>
    <x:mergeCell ref="A280:A281"/>
    <x:mergeCell ref="B280:B281"/>
    <x:mergeCell ref="C280:C281"/>
    <x:mergeCell ref="F280:F281"/>
    <x:mergeCell ref="S280:S281"/>
    <x:mergeCell ref="T280:T281"/>
    <x:mergeCell ref="A282:A283"/>
    <x:mergeCell ref="B282:B283"/>
    <x:mergeCell ref="C282:C283"/>
    <x:mergeCell ref="F282:F283"/>
    <x:mergeCell ref="S282:S283"/>
    <x:mergeCell ref="T282:T283"/>
    <x:mergeCell ref="A284:A285"/>
    <x:mergeCell ref="B284:B285"/>
    <x:mergeCell ref="C284:C285"/>
    <x:mergeCell ref="F284:F285"/>
    <x:mergeCell ref="S284:S285"/>
    <x:mergeCell ref="T284:T285"/>
    <x:mergeCell ref="A286:A287"/>
    <x:mergeCell ref="B286:B287"/>
    <x:mergeCell ref="C286:C287"/>
    <x:mergeCell ref="F286:F287"/>
    <x:mergeCell ref="S286:S287"/>
    <x:mergeCell ref="T286:T287"/>
    <x:mergeCell ref="A288:A289"/>
    <x:mergeCell ref="B288:B289"/>
    <x:mergeCell ref="C288:C289"/>
    <x:mergeCell ref="F288:F289"/>
    <x:mergeCell ref="S288:S289"/>
    <x:mergeCell ref="T288:T289"/>
    <x:mergeCell ref="A290:A291"/>
    <x:mergeCell ref="B290:B291"/>
    <x:mergeCell ref="C290:C291"/>
    <x:mergeCell ref="F290:F291"/>
    <x:mergeCell ref="S290:S291"/>
    <x:mergeCell ref="T290:T291"/>
    <x:mergeCell ref="A292:A293"/>
    <x:mergeCell ref="B292:B293"/>
    <x:mergeCell ref="C292:C293"/>
    <x:mergeCell ref="F292:F293"/>
    <x:mergeCell ref="S292:S293"/>
    <x:mergeCell ref="T292:T293"/>
    <x:mergeCell ref="A294:A295"/>
    <x:mergeCell ref="B294:B295"/>
    <x:mergeCell ref="C294:C295"/>
    <x:mergeCell ref="F294:F295"/>
    <x:mergeCell ref="S294:S295"/>
    <x:mergeCell ref="T294:T295"/>
    <x:mergeCell ref="A296:A297"/>
    <x:mergeCell ref="B296:B297"/>
    <x:mergeCell ref="C296:C297"/>
    <x:mergeCell ref="F296:F297"/>
    <x:mergeCell ref="S296:S297"/>
    <x:mergeCell ref="T296:T297"/>
    <x:mergeCell ref="A298:A299"/>
    <x:mergeCell ref="B298:B299"/>
    <x:mergeCell ref="C298:C299"/>
    <x:mergeCell ref="F298:F299"/>
    <x:mergeCell ref="S298:S299"/>
    <x:mergeCell ref="T298:T299"/>
  </x:mergeCells>
  <x:conditionalFormatting sqref="G10:Q299">
    <x:cfRule type="expression" dxfId="0" priority="1">
      <x:formula>AND($D10="E",G10=1)</x:formula>
    </x:cfRule>
    <x:cfRule type="expression" dxfId="1" priority="2">
      <x:formula>AND($D10="R",G10=1)</x:formula>
    </x:cfRule>
  </x:conditionalFormatting>
  <x:printOptions gridLines="0" headings="0"/>
  <x:pageMargins left="0.25" right="0.25" top="0.35" bottom="0.35" header="0.15" footer="0.15"/>
  <x:pageSetup paperSize="8" orientation="landscape" fitToWidth="1" fitToHeight="0"/>
  <x:headerFooter>
    <x:oddFooter>&amp;LMAREA&amp;C&amp;P / &amp;N&amp;R01 sep–18 nov 2026</x:oddFooter>
  </x:headerFooter>
  <x:rowBreaks count="8" manualBreakCount="8">
    <x:brk id="42" min="0" max="16383" man="1"/>
    <x:brk id="75" min="0" max="16383" man="1"/>
    <x:brk id="108" min="0" max="16383" man="1"/>
    <x:brk id="141" min="0" max="16383" man="1"/>
    <x:brk id="175" min="0" max="16383" man="1"/>
    <x:brk id="209" min="0" max="16383" man="1"/>
    <x:brk id="242" min="0" max="16383" man="1"/>
    <x:brk id="275" min="0" max="16383" man="1"/>
  </x:rowBreak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rgb="FF0B255E"/>
    <x:pageSetUpPr fitToPage="0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10" hidden="0" customWidth="1"/>
    <x:col min="2" max="2" width="38" hidden="0" customWidth="1"/>
    <x:col min="3" max="3" width="30" hidden="0" customWidth="1"/>
    <x:col min="4" max="4" width="52" hidden="0" customWidth="1"/>
    <x:col min="5" max="5" width="68" hidden="0" customWidth="1"/>
    <x:col min="6" max="6" width="14" hidden="0" customWidth="1"/>
    <x:col min="7" max="7" width="13" hidden="0" customWidth="1"/>
    <x:col min="8" max="8" width="13" hidden="0" customWidth="1"/>
    <x:col min="9" max="9" width="10" hidden="0" customWidth="1"/>
    <x:col min="10" max="10" width="10" hidden="0" customWidth="1"/>
    <x:col min="11" max="11" width="26" hidden="0" customWidth="1"/>
    <x:col min="12" max="12" width="21" hidden="0" customWidth="1"/>
    <x:col min="13" max="13" width="21" hidden="0" customWidth="1"/>
    <x:col min="14" max="14" width="17" hidden="0" customWidth="1"/>
    <x:col min="15" max="15" width="16" hidden="0" customWidth="1"/>
    <x:col min="16" max="16" width="68" hidden="0" customWidth="1"/>
    <x:col min="17" max="17" width="85" hidden="0" customWidth="1"/>
    <x:col min="18" max="18" width="90" hidden="0" customWidth="1"/>
  </x:cols>
  <x:sheetData>
    <x:row r="1" ht="8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8" customHeight="1">
      <x:c r="A2" s="5" t="str">
        <x:v>MAREA — Detalle de tareas, responsables y evidencia</x:v>
      </x:c>
      <x:c r="B2" s="5" t="str">
        <x:v>MAREA — Detalle de tareas, responsables y evidencia</x:v>
      </x:c>
      <x:c r="C2" s="5" t="str">
        <x:v>MAREA — Detalle de tareas, responsables y evidencia</x:v>
      </x:c>
      <x:c r="D2" s="5" t="str">
        <x:v>MAREA — Detalle de tareas, responsables y evidencia</x:v>
      </x:c>
      <x:c r="E2" s="5" t="str">
        <x:v>MAREA — Detalle de tareas, responsables y evidencia</x:v>
      </x:c>
      <x:c r="F2" s="5" t="str">
        <x:v>MAREA — Detalle de tareas, responsables y evidencia</x:v>
      </x:c>
      <x:c r="G2" s="5" t="str">
        <x:v>MAREA — Detalle de tareas, responsables y evidencia</x:v>
      </x:c>
      <x:c r="H2" s="5" t="str">
        <x:v>MAREA — Detalle de tareas, responsables y evidencia</x:v>
      </x:c>
      <x:c r="I2" s="5" t="str">
        <x:v>MAREA — Detalle de tareas, responsables y evidencia</x:v>
      </x:c>
      <x:c r="J2" s="5" t="str">
        <x:v>MAREA — Detalle de tareas, responsables y evidencia</x:v>
      </x:c>
      <x:c r="K2" s="5" t="str">
        <x:v>MAREA — Detalle de tareas, responsables y evidencia</x:v>
      </x:c>
      <x:c r="L2" s="5" t="str">
        <x:v>MAREA — Detalle de tareas, responsables y evidencia</x:v>
      </x:c>
      <x:c r="M2" s="5" t="str">
        <x:v>MAREA — Detalle de tareas, responsables y evidencia</x:v>
      </x:c>
      <x:c r="N2" s="5" t="str">
        <x:v>MAREA — Detalle de tareas, responsables y evidencia</x:v>
      </x:c>
      <x:c r="O2" s="5" t="str">
        <x:v>MAREA — Detalle de tareas, responsables y evidencia</x:v>
      </x:c>
      <x:c r="P2" s="5" t="str">
        <x:v>MAREA — Detalle de tareas, responsables y evidencia</x:v>
      </x:c>
      <x:c r="Q2" s="5" t="str">
        <x:v>MAREA — Detalle de tareas, responsables y evidencia</x:v>
      </x:c>
      <x:c r="R2" s="5" t="str">
        <x:v>MAREA — Detalle de tareas, responsables y evidencia</x:v>
      </x:c>
    </x:row>
    <x:row r="3" ht="23" customHeight="1">
      <x:c r="A3" s="4" t="str">
        <x:v>Completado: R en los mismos bloques que E. WIP y Pendiente: solo E. Alineación semanal solicitada, sin duración de esfuerzo medida.</x:v>
      </x:c>
      <x:c r="B3" s="4" t="str">
        <x:v>Completado: R en los mismos bloques que E. WIP y Pendiente: solo E. Alineación semanal solicitada, sin duración de esfuerzo medida.</x:v>
      </x:c>
      <x:c r="C3" s="4" t="str">
        <x:v>Completado: R en los mismos bloques que E. WIP y Pendiente: solo E. Alineación semanal solicitada, sin duración de esfuerzo medida.</x:v>
      </x:c>
      <x:c r="D3" s="4" t="str">
        <x:v>Completado: R en los mismos bloques que E. WIP y Pendiente: solo E. Alineación semanal solicitada, sin duración de esfuerzo medida.</x:v>
      </x:c>
      <x:c r="E3" s="4" t="str">
        <x:v>Completado: R en los mismos bloques que E. WIP y Pendiente: solo E. Alineación semanal solicitada, sin duración de esfuerzo medida.</x:v>
      </x:c>
      <x:c r="F3" s="4" t="str">
        <x:v>Completado: R en los mismos bloques que E. WIP y Pendiente: solo E. Alineación semanal solicitada, sin duración de esfuerzo medida.</x:v>
      </x:c>
      <x:c r="G3" s="4" t="str">
        <x:v>Completado: R en los mismos bloques que E. WIP y Pendiente: solo E. Alineación semanal solicitada, sin duración de esfuerzo medida.</x:v>
      </x:c>
      <x:c r="H3" s="4" t="str">
        <x:v>Completado: R en los mismos bloques que E. WIP y Pendiente: solo E. Alineación semanal solicitada, sin duración de esfuerzo medida.</x:v>
      </x:c>
      <x:c r="I3" s="4" t="str">
        <x:v>Completado: R en los mismos bloques que E. WIP y Pendiente: solo E. Alineación semanal solicitada, sin duración de esfuerzo medida.</x:v>
      </x:c>
      <x:c r="J3" s="4" t="str">
        <x:v>Completado: R en los mismos bloques que E. WIP y Pendiente: solo E. Alineación semanal solicitada, sin duración de esfuerzo medida.</x:v>
      </x:c>
      <x:c r="K3" s="4" t="str">
        <x:v>Completado: R en los mismos bloques que E. WIP y Pendiente: solo E. Alineación semanal solicitada, sin duración de esfuerzo medida.</x:v>
      </x:c>
      <x:c r="L3" s="4" t="str">
        <x:v>Completado: R en los mismos bloques que E. WIP y Pendiente: solo E. Alineación semanal solicitada, sin duración de esfuerzo medida.</x:v>
      </x:c>
      <x:c r="M3" s="4" t="str">
        <x:v>Completado: R en los mismos bloques que E. WIP y Pendiente: solo E. Alineación semanal solicitada, sin duración de esfuerzo medida.</x:v>
      </x:c>
      <x:c r="N3" s="4" t="str">
        <x:v>Completado: R en los mismos bloques que E. WIP y Pendiente: solo E. Alineación semanal solicitada, sin duración de esfuerzo medida.</x:v>
      </x:c>
      <x:c r="O3" s="4" t="str">
        <x:v>Completado: R en los mismos bloques que E. WIP y Pendiente: solo E. Alineación semanal solicitada, sin duración de esfuerzo medida.</x:v>
      </x:c>
      <x:c r="P3" s="4" t="str">
        <x:v>Completado: R en los mismos bloques que E. WIP y Pendiente: solo E. Alineación semanal solicitada, sin duración de esfuerzo medida.</x:v>
      </x:c>
      <x:c r="Q3" s="4" t="str">
        <x:v>Completado: R en los mismos bloques que E. WIP y Pendiente: solo E. Alineación semanal solicitada, sin duración de esfuerzo medida.</x:v>
      </x:c>
      <x:c r="R3" s="4" t="str">
        <x:v>Completado: R en los mismos bloques que E. WIP y Pendiente: solo E. Alineación semanal solicitada, sin duración de esfuerzo medida.</x:v>
      </x:c>
    </x:row>
    <x:row r="4" ht="23" customHeight="1">
      <x:c r="A4" s="4" t="str">
        <x:v>Editar Estado, E inicio, E fin y nombres aquí. E/R y barras se actualizan en Cronograma. Realizado por admite el nombre confirmado.</x:v>
      </x:c>
      <x:c r="B4" s="4" t="str">
        <x:v>Editar Estado, E inicio, E fin y nombres aquí. E/R y barras se actualizan en Cronograma. Realizado por admite el nombre confirmado.</x:v>
      </x:c>
      <x:c r="C4" s="4" t="str">
        <x:v>Editar Estado, E inicio, E fin y nombres aquí. E/R y barras se actualizan en Cronograma. Realizado por admite el nombre confirmado.</x:v>
      </x:c>
      <x:c r="D4" s="4" t="str">
        <x:v>Editar Estado, E inicio, E fin y nombres aquí. E/R y barras se actualizan en Cronograma. Realizado por admite el nombre confirmado.</x:v>
      </x:c>
      <x:c r="E4" s="4" t="str">
        <x:v>Editar Estado, E inicio, E fin y nombres aquí. E/R y barras se actualizan en Cronograma. Realizado por admite el nombre confirmado.</x:v>
      </x:c>
      <x:c r="F4" s="4" t="str">
        <x:v>Editar Estado, E inicio, E fin y nombres aquí. E/R y barras se actualizan en Cronograma. Realizado por admite el nombre confirmado.</x:v>
      </x:c>
      <x:c r="G4" s="4" t="str">
        <x:v>Editar Estado, E inicio, E fin y nombres aquí. E/R y barras se actualizan en Cronograma. Realizado por admite el nombre confirmado.</x:v>
      </x:c>
      <x:c r="H4" s="4" t="str">
        <x:v>Editar Estado, E inicio, E fin y nombres aquí. E/R y barras se actualizan en Cronograma. Realizado por admite el nombre confirmado.</x:v>
      </x:c>
      <x:c r="I4" s="4" t="str">
        <x:v>Editar Estado, E inicio, E fin y nombres aquí. E/R y barras se actualizan en Cronograma. Realizado por admite el nombre confirmado.</x:v>
      </x:c>
      <x:c r="J4" s="4" t="str">
        <x:v>Editar Estado, E inicio, E fin y nombres aquí. E/R y barras se actualizan en Cronograma. Realizado por admite el nombre confirmado.</x:v>
      </x:c>
      <x:c r="K4" s="4" t="str">
        <x:v>Editar Estado, E inicio, E fin y nombres aquí. E/R y barras se actualizan en Cronograma. Realizado por admite el nombre confirmado.</x:v>
      </x:c>
      <x:c r="L4" s="4" t="str">
        <x:v>Editar Estado, E inicio, E fin y nombres aquí. E/R y barras se actualizan en Cronograma. Realizado por admite el nombre confirmado.</x:v>
      </x:c>
      <x:c r="M4" s="4" t="str">
        <x:v>Editar Estado, E inicio, E fin y nombres aquí. E/R y barras se actualizan en Cronograma. Realizado por admite el nombre confirmado.</x:v>
      </x:c>
      <x:c r="N4" s="4" t="str">
        <x:v>Editar Estado, E inicio, E fin y nombres aquí. E/R y barras se actualizan en Cronograma. Realizado por admite el nombre confirmado.</x:v>
      </x:c>
      <x:c r="O4" s="4" t="str">
        <x:v>Editar Estado, E inicio, E fin y nombres aquí. E/R y barras se actualizan en Cronograma. Realizado por admite el nombre confirmado.</x:v>
      </x:c>
      <x:c r="P4" s="4" t="str">
        <x:v>Editar Estado, E inicio, E fin y nombres aquí. E/R y barras se actualizan en Cronograma. Realizado por admite el nombre confirmado.</x:v>
      </x:c>
      <x:c r="Q4" s="4" t="str">
        <x:v>Editar Estado, E inicio, E fin y nombres aquí. E/R y barras se actualizan en Cronograma. Realizado por admite el nombre confirmado.</x:v>
      </x:c>
      <x:c r="R4" s="4" t="str">
        <x:v>Editar Estado, E inicio, E fin y nombres aquí. E/R y barras se actualizan en Cronograma. Realizado por admite el nombre confirmado.</x:v>
      </x:c>
    </x:row>
    <x:row r="5" ht="23" customHeight="1">
      <x:c r="A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B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C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D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E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F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G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H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I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J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K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L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M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N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O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P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Q5" s="4" t="str">
        <x:v>E es una propuesta retrospectiva para lo terminado y futura para los pendientes. Reparto propuesto con los nombres y especialidades indicados por el usuario. Realizado por queda editable: no se atribuye autoría histórica.</x:v>
      </x:c>
      <x:c r="R5" s="4" t="str">
        <x:v>E es una propuesta retrospectiva para lo terminado y futura para los pendientes. Reparto propuesto con los nombres y especialidades indicados por el usuario. Realizado por queda editable: no se atribuye autoría histórica.</x:v>
      </x:c>
    </x:row>
    <x:row r="6" ht="23" customHeight="1">
      <x:c r="A6" s="4" t="str">
        <x:v>Equipo: Santiago (Líder AR); Cristopher (Back-end AR); Alan (Base de datos); Ximena (AR); Josefina (Documentación y planeación); Fatima (UI/UX)</x:v>
      </x:c>
      <x:c r="B6" s="4" t="str">
        <x:v>Equipo: Santiago (Líder AR); Cristopher (Back-end AR); Alan (Base de datos); Ximena (AR); Josefina (Documentación y planeación); Fatima (UI/UX)</x:v>
      </x:c>
      <x:c r="C6" s="4" t="str">
        <x:v>Equipo: Santiago (Líder AR); Cristopher (Back-end AR); Alan (Base de datos); Ximena (AR); Josefina (Documentación y planeación); Fatima (UI/UX)</x:v>
      </x:c>
      <x:c r="D6" s="4" t="str">
        <x:v>Equipo: Santiago (Líder AR); Cristopher (Back-end AR); Alan (Base de datos); Ximena (AR); Josefina (Documentación y planeación); Fatima (UI/UX)</x:v>
      </x:c>
      <x:c r="E6" s="4" t="str">
        <x:v>Equipo: Santiago (Líder AR); Cristopher (Back-end AR); Alan (Base de datos); Ximena (AR); Josefina (Documentación y planeación); Fatima (UI/UX)</x:v>
      </x:c>
      <x:c r="F6" s="4" t="str">
        <x:v>Equipo: Santiago (Líder AR); Cristopher (Back-end AR); Alan (Base de datos); Ximena (AR); Josefina (Documentación y planeación); Fatima (UI/UX)</x:v>
      </x:c>
      <x:c r="G6" s="4" t="str">
        <x:v>Equipo: Santiago (Líder AR); Cristopher (Back-end AR); Alan (Base de datos); Ximena (AR); Josefina (Documentación y planeación); Fatima (UI/UX)</x:v>
      </x:c>
      <x:c r="H6" s="4" t="str">
        <x:v>Equipo: Santiago (Líder AR); Cristopher (Back-end AR); Alan (Base de datos); Ximena (AR); Josefina (Documentación y planeación); Fatima (UI/UX)</x:v>
      </x:c>
      <x:c r="I6" s="4" t="str">
        <x:v>Equipo: Santiago (Líder AR); Cristopher (Back-end AR); Alan (Base de datos); Ximena (AR); Josefina (Documentación y planeación); Fatima (UI/UX)</x:v>
      </x:c>
      <x:c r="J6" s="4" t="str">
        <x:v>Equipo: Santiago (Líder AR); Cristopher (Back-end AR); Alan (Base de datos); Ximena (AR); Josefina (Documentación y planeación); Fatima (UI/UX)</x:v>
      </x:c>
      <x:c r="K6" s="4" t="str">
        <x:v>Equipo: Santiago (Líder AR); Cristopher (Back-end AR); Alan (Base de datos); Ximena (AR); Josefina (Documentación y planeación); Fatima (UI/UX)</x:v>
      </x:c>
      <x:c r="L6" s="4" t="str">
        <x:v>Equipo: Santiago (Líder AR); Cristopher (Back-end AR); Alan (Base de datos); Ximena (AR); Josefina (Documentación y planeación); Fatima (UI/UX)</x:v>
      </x:c>
      <x:c r="M6" s="4" t="str">
        <x:v>Equipo: Santiago (Líder AR); Cristopher (Back-end AR); Alan (Base de datos); Ximena (AR); Josefina (Documentación y planeación); Fatima (UI/UX)</x:v>
      </x:c>
      <x:c r="N6" s="4" t="str">
        <x:v>Equipo: Santiago (Líder AR); Cristopher (Back-end AR); Alan (Base de datos); Ximena (AR); Josefina (Documentación y planeación); Fatima (UI/UX)</x:v>
      </x:c>
      <x:c r="O6" s="4" t="str">
        <x:v>Equipo: Santiago (Líder AR); Cristopher (Back-end AR); Alan (Base de datos); Ximena (AR); Josefina (Documentación y planeación); Fatima (UI/UX)</x:v>
      </x:c>
      <x:c r="P6" s="4" t="str">
        <x:v>Equipo: Santiago (Líder AR); Cristopher (Back-end AR); Alan (Base de datos); Ximena (AR); Josefina (Documentación y planeación); Fatima (UI/UX)</x:v>
      </x:c>
      <x:c r="Q6" s="4" t="str">
        <x:v>Equipo: Santiago (Líder AR); Cristopher (Back-end AR); Alan (Base de datos); Ximena (AR); Josefina (Documentación y planeación); Fatima (UI/UX)</x:v>
      </x:c>
      <x:c r="R6" s="4" t="str">
        <x:v>Equipo: Santiago (Líder AR); Cristopher (Back-end AR); Alan (Base de datos); Ximena (AR); Josefina (Documentación y planeación); Fatima (UI/UX)</x:v>
      </x:c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</x:row>
    <x:row r="8" ht="35" customHeight="1">
      <x:c r="A8" s="22" t="str">
        <x:v>ID</x:v>
      </x:c>
      <x:c r="B8" s="22" t="str">
        <x:v>Etapa</x:v>
      </x:c>
      <x:c r="C8" s="22" t="str">
        <x:v>Módulo</x:v>
      </x:c>
      <x:c r="D8" s="22" t="str">
        <x:v>Actividad</x:v>
      </x:c>
      <x:c r="E8" s="22" t="str">
        <x:v>Resultado / entregable</x:v>
      </x:c>
      <x:c r="F8" s="22" t="str">
        <x:v>Estado</x:v>
      </x:c>
      <x:c r="G8" s="22" t="str">
        <x:v>E inicio</x:v>
      </x:c>
      <x:c r="H8" s="22" t="str">
        <x:v>E fin</x:v>
      </x:c>
      <x:c r="I8" s="22" t="str">
        <x:v>E bloques</x:v>
      </x:c>
      <x:c r="J8" s="22" t="str">
        <x:v>R bloques</x:v>
      </x:c>
      <x:c r="K8" s="22" t="str">
        <x:v>Especialidad</x:v>
      </x:c>
      <x:c r="L8" s="22" t="str">
        <x:v>Responsable asignado</x:v>
      </x:c>
      <x:c r="M8" s="22" t="str">
        <x:v>Realizado por</x:v>
      </x:c>
      <x:c r="N8" s="22" t="str">
        <x:v>Fecha de evidencia</x:v>
      </x:c>
      <x:c r="O8" s="22" t="str">
        <x:v>Dependencias</x:v>
      </x:c>
      <x:c r="P8" s="22" t="str">
        <x:v>Para cerrar</x:v>
      </x:c>
      <x:c r="Q8" s="22" t="str">
        <x:v>Observaciones</x:v>
      </x:c>
      <x:c r="R8" s="22" t="str">
        <x:v>Fuentes verificables</x:v>
      </x:c>
    </x:row>
    <x:row r="9" ht="46" customHeight="1">
      <x:c r="A9" s="34" t="str">
        <x:v>INV-01</x:v>
      </x:c>
      <x:c r="B9" s="34" t="str">
        <x:v>Investigación y Requisitos</x:v>
      </x:c>
      <x:c r="C9" s="34" t="str">
        <x:v>Transversal</x:v>
      </x:c>
      <x:c r="D9" s="34" t="str">
        <x:v>Delimitar el problema de conexión local</x:v>
      </x:c>
      <x:c r="E9" s="35" t="str">
        <x:v>Describir la necesidad de conectar personas, proyectos y oportunidades cercanas.</x:v>
      </x:c>
      <x:c r="F9" s="35" t="str">
        <x:v>Completado</x:v>
      </x:c>
      <x:c r="G9" s="36" t="n">
        <x:v>46266</x:v>
      </x:c>
      <x:c r="H9" s="36" t="n">
        <x:v>46272</x:v>
      </x:c>
      <x:c r="I9" s="37" t="n">
        <x:f>IF(OR(G9="",H9=""),"",SUMPRODUCT(('Cronograma'!$G$8:$Q$8&lt;=H9)*('Cronograma'!$G$9:$Q$9&gt;=G9)))</x:f>
        <x:v>1</x:v>
      </x:c>
      <x:c r="J9" s="37" t="n">
        <x:f>IF(F9="Completado",I9,"")</x:f>
        <x:v>1</x:v>
      </x:c>
      <x:c r="K9" s="35" t="str">
        <x:v>Documentación y planeación</x:v>
      </x:c>
      <x:c r="L9" s="38" t="str">
        <x:v>Josefina</x:v>
      </x:c>
      <x:c r="M9" s="38" t="str"/>
      <x:c r="N9" s="39"/>
      <x:c r="O9" s="35" t="str"/>
      <x:c r="P9" s="35" t="str">
        <x:v>Completado</x:v>
      </x:c>
      <x:c r="Q9" s="35" t="str">
        <x:v>Investigación realizada según confirmación general del usuario. Distribución semanal retrospectiva; no hay duración individual medida.</x:v>
      </x:c>
      <x:c r="R9" s="35" t="str">
        <x:v>README.md
docs/design-experiments/mobile-social-ui-product.md
docs/design-experiments/social-mobile-redesign-product.md</x:v>
      </x:c>
    </x:row>
    <x:row r="10" ht="46" customHeight="1">
      <x:c r="A10" s="34" t="str">
        <x:v>INV-02</x:v>
      </x:c>
      <x:c r="B10" s="34" t="str">
        <x:v>Investigación y Requisitos</x:v>
      </x:c>
      <x:c r="C10" s="34" t="str">
        <x:v>Transversal</x:v>
      </x:c>
      <x:c r="D10" s="34" t="str">
        <x:v>Identificar necesidades por tipo de usuario</x:v>
      </x:c>
      <x:c r="E10" s="35" t="str">
        <x:v>Diferenciar necesidades de usuario general, creador, emprendimiento y negocio.</x:v>
      </x:c>
      <x:c r="F10" s="35" t="str">
        <x:v>Completado</x:v>
      </x:c>
      <x:c r="G10" s="36" t="n">
        <x:v>46266</x:v>
      </x:c>
      <x:c r="H10" s="36" t="n">
        <x:v>46272</x:v>
      </x:c>
      <x:c r="I10" s="37" t="n">
        <x:f>IF(OR(G10="",H10=""),"",SUMPRODUCT(('Cronograma'!$G$8:$Q$8&lt;=H10)*('Cronograma'!$G$9:$Q$9&gt;=G10)))</x:f>
        <x:v>1</x:v>
      </x:c>
      <x:c r="J10" s="37" t="n">
        <x:f>IF(F10="Completado",I10,"")</x:f>
        <x:v>1</x:v>
      </x:c>
      <x:c r="K10" s="35" t="str">
        <x:v>Documentación y planeación</x:v>
      </x:c>
      <x:c r="L10" s="38" t="str">
        <x:v>Josefina</x:v>
      </x:c>
      <x:c r="M10" s="38" t="str"/>
      <x:c r="N10" s="39"/>
      <x:c r="O10" s="35" t="str"/>
      <x:c r="P10" s="35" t="str">
        <x:v>Completado</x:v>
      </x:c>
      <x:c r="Q10" s="35" t="str">
        <x:v>Investigación realizada según confirmación general del usuario. Distribución semanal retrospectiva; no hay duración individual medida.</x:v>
      </x:c>
      <x:c r="R10" s="35" t="str">
        <x:v>README.md
docs/design-experiments/mobile-social-ui-product.md
docs/design-experiments/social-mobile-redesign-product.md</x:v>
      </x:c>
    </x:row>
    <x:row r="11" ht="46" customHeight="1">
      <x:c r="A11" s="34" t="str">
        <x:v>INV-03</x:v>
      </x:c>
      <x:c r="B11" s="34" t="str">
        <x:v>Investigación y Requisitos</x:v>
      </x:c>
      <x:c r="C11" s="34" t="str">
        <x:v>Transversal</x:v>
      </x:c>
      <x:c r="D11" s="34" t="str">
        <x:v>Redactar requisitos y límites del producto</x:v>
      </x:c>
      <x:c r="E11" s="35" t="str">
        <x:v>Priorizar acceso, comunidad, descubrimiento y colaboración local.</x:v>
      </x:c>
      <x:c r="F11" s="35" t="str">
        <x:v>Completado</x:v>
      </x:c>
      <x:c r="G11" s="36" t="n">
        <x:v>46266</x:v>
      </x:c>
      <x:c r="H11" s="36" t="n">
        <x:v>46272</x:v>
      </x:c>
      <x:c r="I11" s="37" t="n">
        <x:f>IF(OR(G11="",H11=""),"",SUMPRODUCT(('Cronograma'!$G$8:$Q$8&lt;=H11)*('Cronograma'!$G$9:$Q$9&gt;=G11)))</x:f>
        <x:v>1</x:v>
      </x:c>
      <x:c r="J11" s="37" t="n">
        <x:f>IF(F11="Completado",I11,"")</x:f>
        <x:v>1</x:v>
      </x:c>
      <x:c r="K11" s="35" t="str">
        <x:v>Documentación y planeación</x:v>
      </x:c>
      <x:c r="L11" s="38" t="str">
        <x:v>Josefina</x:v>
      </x:c>
      <x:c r="M11" s="38" t="str"/>
      <x:c r="N11" s="39"/>
      <x:c r="O11" s="35" t="str"/>
      <x:c r="P11" s="35" t="str">
        <x:v>Completado</x:v>
      </x:c>
      <x:c r="Q11" s="35" t="str">
        <x:v>Investigación realizada según confirmación general del usuario. Distribución semanal retrospectiva; no hay duración individual medida.</x:v>
      </x:c>
      <x:c r="R11" s="35" t="str">
        <x:v>README.md
docs/design-experiments/mobile-social-ui-product.md
docs/design-experiments/social-mobile-redesign-product.md</x:v>
      </x:c>
    </x:row>
    <x:row r="12" ht="56" customHeight="1">
      <x:c r="A12" s="34" t="str">
        <x:v>INV-04</x:v>
      </x:c>
      <x:c r="B12" s="34" t="str">
        <x:v>Investigación y Requisitos</x:v>
      </x:c>
      <x:c r="C12" s="34" t="str">
        <x:v>Transversal</x:v>
      </x:c>
      <x:c r="D12" s="34" t="str">
        <x:v>Estudiar Flutter y arquitectura del cliente</x:v>
      </x:c>
      <x:c r="E12" s="35" t="str">
        <x:v>Fundamentar una aplicación compartida para Android, iOS y Web.</x:v>
      </x:c>
      <x:c r="F12" s="35" t="str">
        <x:v>Completado</x:v>
      </x:c>
      <x:c r="G12" s="36" t="n">
        <x:v>46266</x:v>
      </x:c>
      <x:c r="H12" s="36" t="n">
        <x:v>46272</x:v>
      </x:c>
      <x:c r="I12" s="37" t="n">
        <x:f>IF(OR(G12="",H12=""),"",SUMPRODUCT(('Cronograma'!$G$8:$Q$8&lt;=H12)*('Cronograma'!$G$9:$Q$9&gt;=G12)))</x:f>
        <x:v>1</x:v>
      </x:c>
      <x:c r="J12" s="37" t="n">
        <x:f>IF(F12="Completado",I12,"")</x:f>
        <x:v>1</x:v>
      </x:c>
      <x:c r="K12" s="35" t="str">
        <x:v>Documentación y planeación</x:v>
      </x:c>
      <x:c r="L12" s="38" t="str">
        <x:v>Josefina</x:v>
      </x:c>
      <x:c r="M12" s="38" t="str"/>
      <x:c r="N12" s="39"/>
      <x:c r="O12" s="35" t="str"/>
      <x:c r="P12" s="35" t="str">
        <x:v>Completado</x:v>
      </x:c>
      <x:c r="Q12" s="35" t="str">
        <x:v>Investigación realizada según confirmación general del usuario. Distribución semanal retrospectiva; no hay duración individual medida.</x:v>
      </x:c>
      <x:c r="R12" s="35" t="str">
        <x:v>README.md
docs/design-system.md
docs/account-completion.md
supabase/migrations/001_initial_schema.sql</x:v>
      </x:c>
    </x:row>
    <x:row r="13" ht="56" customHeight="1">
      <x:c r="A13" s="34" t="str">
        <x:v>INV-05</x:v>
      </x:c>
      <x:c r="B13" s="34" t="str">
        <x:v>Investigación y Requisitos</x:v>
      </x:c>
      <x:c r="C13" s="34" t="str">
        <x:v>Transversal</x:v>
      </x:c>
      <x:c r="D13" s="34" t="str">
        <x:v>Estudiar servicios de Supabase</x:v>
      </x:c>
      <x:c r="E13" s="35" t="str">
        <x:v>Relacionar Auth, PostgreSQL, Storage y funciones de servidor.</x:v>
      </x:c>
      <x:c r="F13" s="35" t="str">
        <x:v>Completado</x:v>
      </x:c>
      <x:c r="G13" s="36" t="n">
        <x:v>46266</x:v>
      </x:c>
      <x:c r="H13" s="36" t="n">
        <x:v>46272</x:v>
      </x:c>
      <x:c r="I13" s="37" t="n">
        <x:f>IF(OR(G13="",H13=""),"",SUMPRODUCT(('Cronograma'!$G$8:$Q$8&lt;=H13)*('Cronograma'!$G$9:$Q$9&gt;=G13)))</x:f>
        <x:v>1</x:v>
      </x:c>
      <x:c r="J13" s="37" t="n">
        <x:f>IF(F13="Completado",I13,"")</x:f>
        <x:v>1</x:v>
      </x:c>
      <x:c r="K13" s="35" t="str">
        <x:v>Documentación y planeación</x:v>
      </x:c>
      <x:c r="L13" s="38" t="str">
        <x:v>Josefina</x:v>
      </x:c>
      <x:c r="M13" s="38" t="str"/>
      <x:c r="N13" s="39"/>
      <x:c r="O13" s="35" t="str"/>
      <x:c r="P13" s="35" t="str">
        <x:v>Completado</x:v>
      </x:c>
      <x:c r="Q13" s="35" t="str">
        <x:v>Investigación realizada según confirmación general del usuario. Distribución semanal retrospectiva; no hay duración individual medida.</x:v>
      </x:c>
      <x:c r="R13" s="35" t="str">
        <x:v>README.md
docs/design-system.md
docs/account-completion.md
supabase/migrations/001_initial_schema.sql</x:v>
      </x:c>
    </x:row>
    <x:row r="14" ht="56" customHeight="1">
      <x:c r="A14" s="34" t="str">
        <x:v>INV-06</x:v>
      </x:c>
      <x:c r="B14" s="34" t="str">
        <x:v>Investigación y Requisitos</x:v>
      </x:c>
      <x:c r="C14" s="34" t="str">
        <x:v>Transversal</x:v>
      </x:c>
      <x:c r="D14" s="34" t="str">
        <x:v>Definir criterios de privacidad y RLS</x:v>
      </x:c>
      <x:c r="E14" s="35" t="str">
        <x:v>Distinguir datos públicos, privados y permisos por propietario.</x:v>
      </x:c>
      <x:c r="F14" s="35" t="str">
        <x:v>Completado</x:v>
      </x:c>
      <x:c r="G14" s="36" t="n">
        <x:v>46266</x:v>
      </x:c>
      <x:c r="H14" s="36" t="n">
        <x:v>46272</x:v>
      </x:c>
      <x:c r="I14" s="37" t="n">
        <x:f>IF(OR(G14="",H14=""),"",SUMPRODUCT(('Cronograma'!$G$8:$Q$8&lt;=H14)*('Cronograma'!$G$9:$Q$9&gt;=G14)))</x:f>
        <x:v>1</x:v>
      </x:c>
      <x:c r="J14" s="37" t="n">
        <x:f>IF(F14="Completado",I14,"")</x:f>
        <x:v>1</x:v>
      </x:c>
      <x:c r="K14" s="35" t="str">
        <x:v>Documentación y planeación</x:v>
      </x:c>
      <x:c r="L14" s="38" t="str">
        <x:v>Josefina</x:v>
      </x:c>
      <x:c r="M14" s="38" t="str"/>
      <x:c r="N14" s="39"/>
      <x:c r="O14" s="35" t="str"/>
      <x:c r="P14" s="35" t="str">
        <x:v>Completado</x:v>
      </x:c>
      <x:c r="Q14" s="35" t="str">
        <x:v>Investigación realizada según confirmación general del usuario. Distribución semanal retrospectiva; no hay duración individual medida.</x:v>
      </x:c>
      <x:c r="R14" s="35" t="str">
        <x:v>README.md
docs/design-system.md
docs/account-completion.md
supabase/migrations/001_initial_schema.sql</x:v>
      </x:c>
    </x:row>
    <x:row r="15" ht="56" customHeight="1">
      <x:c r="A15" s="34" t="str">
        <x:v>INV-07</x:v>
      </x:c>
      <x:c r="B15" s="34" t="str">
        <x:v>Investigación y Requisitos</x:v>
      </x:c>
      <x:c r="C15" s="34" t="str">
        <x:v>Autenticación y Acceso</x:v>
      </x:c>
      <x:c r="D15" s="34" t="str">
        <x:v>Investigar OTP y consentimiento explícito</x:v>
      </x:c>
      <x:c r="E15" s="35" t="str">
        <x:v>Fundamentar recuperación, términos y declaración de mayoría de edad.</x:v>
      </x:c>
      <x:c r="F15" s="35" t="str">
        <x:v>Completado</x:v>
      </x:c>
      <x:c r="G15" s="36" t="n">
        <x:v>46266</x:v>
      </x:c>
      <x:c r="H15" s="36" t="n">
        <x:v>46272</x:v>
      </x:c>
      <x:c r="I15" s="37" t="n">
        <x:f>IF(OR(G15="",H15=""),"",SUMPRODUCT(('Cronograma'!$G$8:$Q$8&lt;=H15)*('Cronograma'!$G$9:$Q$9&gt;=G15)))</x:f>
        <x:v>1</x:v>
      </x:c>
      <x:c r="J15" s="37" t="n">
        <x:f>IF(F15="Completado",I15,"")</x:f>
        <x:v>1</x:v>
      </x:c>
      <x:c r="K15" s="35" t="str">
        <x:v>Documentación y planeación</x:v>
      </x:c>
      <x:c r="L15" s="38" t="str">
        <x:v>Josefina</x:v>
      </x:c>
      <x:c r="M15" s="38" t="str"/>
      <x:c r="N15" s="39"/>
      <x:c r="O15" s="35" t="str"/>
      <x:c r="P15" s="35" t="str">
        <x:v>Completado</x:v>
      </x:c>
      <x:c r="Q15" s="35" t="str">
        <x:v>Investigación realizada según confirmación general del usuario. Distribución semanal retrospectiva; no hay duración individual medida.</x:v>
      </x:c>
      <x:c r="R15" s="35" t="str">
        <x:v>README.md
docs/design-system.md
docs/account-completion.md
supabase/migrations/001_initial_schema.sql</x:v>
      </x:c>
    </x:row>
    <x:row r="16" ht="56" customHeight="1">
      <x:c r="A16" s="34" t="str">
        <x:v>INV-08</x:v>
      </x:c>
      <x:c r="B16" s="34" t="str">
        <x:v>Investigación y Requisitos</x:v>
      </x:c>
      <x:c r="C16" s="34" t="str">
        <x:v>Perfil y Cuenta</x:v>
      </x:c>
      <x:c r="D16" s="34" t="str">
        <x:v>Estudiar almacenamiento privado de imágenes</x:v>
      </x:c>
      <x:c r="E16" s="35" t="str">
        <x:v>Definir propiedad, normalización y acceso mediante URLs firmadas.</x:v>
      </x:c>
      <x:c r="F16" s="35" t="str">
        <x:v>Completado</x:v>
      </x:c>
      <x:c r="G16" s="36" t="n">
        <x:v>46266</x:v>
      </x:c>
      <x:c r="H16" s="36" t="n">
        <x:v>46272</x:v>
      </x:c>
      <x:c r="I16" s="37" t="n">
        <x:f>IF(OR(G16="",H16=""),"",SUMPRODUCT(('Cronograma'!$G$8:$Q$8&lt;=H16)*('Cronograma'!$G$9:$Q$9&gt;=G16)))</x:f>
        <x:v>1</x:v>
      </x:c>
      <x:c r="J16" s="37" t="n">
        <x:f>IF(F16="Completado",I16,"")</x:f>
        <x:v>1</x:v>
      </x:c>
      <x:c r="K16" s="35" t="str">
        <x:v>Documentación y planeación</x:v>
      </x:c>
      <x:c r="L16" s="38" t="str">
        <x:v>Josefina</x:v>
      </x:c>
      <x:c r="M16" s="38" t="str"/>
      <x:c r="N16" s="39"/>
      <x:c r="O16" s="35" t="str"/>
      <x:c r="P16" s="35" t="str">
        <x:v>Completado</x:v>
      </x:c>
      <x:c r="Q16" s="35" t="str">
        <x:v>Investigación realizada según confirmación general del usuario. Distribución semanal retrospectiva; no hay duración individual medida.</x:v>
      </x:c>
      <x:c r="R16" s="35" t="str">
        <x:v>README.md
docs/design-system.md
docs/account-completion.md
supabase/migrations/001_initial_schema.sql</x:v>
      </x:c>
    </x:row>
    <x:row r="17" ht="46" customHeight="1">
      <x:c r="A17" s="34" t="str">
        <x:v>INV-09</x:v>
      </x:c>
      <x:c r="B17" s="34" t="str">
        <x:v>Investigación y Requisitos</x:v>
      </x:c>
      <x:c r="C17" s="34" t="str">
        <x:v>Comunidad y Publicaciones</x:v>
      </x:c>
      <x:c r="D17" s="34" t="str">
        <x:v>Analizar feed e interacciones sociales</x:v>
      </x:c>
      <x:c r="E17" s="35" t="str">
        <x:v>Determinar categorías, comentarios, reacciones y guardados privados.</x:v>
      </x:c>
      <x:c r="F17" s="35" t="str">
        <x:v>Completado</x:v>
      </x:c>
      <x:c r="G17" s="36" t="n">
        <x:v>46266</x:v>
      </x:c>
      <x:c r="H17" s="36" t="n">
        <x:v>46272</x:v>
      </x:c>
      <x:c r="I17" s="37" t="n">
        <x:f>IF(OR(G17="",H17=""),"",SUMPRODUCT(('Cronograma'!$G$8:$Q$8&lt;=H17)*('Cronograma'!$G$9:$Q$9&gt;=G17)))</x:f>
        <x:v>1</x:v>
      </x:c>
      <x:c r="J17" s="37" t="n">
        <x:f>IF(F17="Completado",I17,"")</x:f>
        <x:v>1</x:v>
      </x:c>
      <x:c r="K17" s="35" t="str">
        <x:v>Documentación y planeación</x:v>
      </x:c>
      <x:c r="L17" s="38" t="str">
        <x:v>Josefina</x:v>
      </x:c>
      <x:c r="M17" s="38" t="str"/>
      <x:c r="N17" s="39"/>
      <x:c r="O17" s="35" t="str"/>
      <x:c r="P17" s="35" t="str">
        <x:v>Completado</x:v>
      </x:c>
      <x:c r="Q17" s="35" t="str">
        <x:v>Investigación realizada según confirmación general del usuario. Distribución semanal retrospectiva; no hay duración individual medida.</x:v>
      </x:c>
      <x:c r="R17" s="35" t="str">
        <x:v>README.md
docs/design-experiments/mobile-social-ui-product.md
docs/design-experiments/social-mobile-redesign-product.md</x:v>
      </x:c>
    </x:row>
    <x:row r="18" ht="46" customHeight="1">
      <x:c r="A18" s="34" t="str">
        <x:v>INV-10</x:v>
      </x:c>
      <x:c r="B18" s="34" t="str">
        <x:v>Investigación y Requisitos</x:v>
      </x:c>
      <x:c r="C18" s="34" t="str">
        <x:v>Misiones</x:v>
      </x:c>
      <x:c r="D18" s="34" t="str">
        <x:v>Definir reglas de convocatorias y candidaturas</x:v>
      </x:c>
      <x:c r="E18" s="35" t="str">
        <x:v>Distinguir estados, fechas, cupos, participantes y selección de finalistas.</x:v>
      </x:c>
      <x:c r="F18" s="35" t="str">
        <x:v>Completado</x:v>
      </x:c>
      <x:c r="G18" s="36" t="n">
        <x:v>46266</x:v>
      </x:c>
      <x:c r="H18" s="36" t="n">
        <x:v>46272</x:v>
      </x:c>
      <x:c r="I18" s="37" t="n">
        <x:f>IF(OR(G18="",H18=""),"",SUMPRODUCT(('Cronograma'!$G$8:$Q$8&lt;=H18)*('Cronograma'!$G$9:$Q$9&gt;=G18)))</x:f>
        <x:v>1</x:v>
      </x:c>
      <x:c r="J18" s="37" t="n">
        <x:f>IF(F18="Completado",I18,"")</x:f>
        <x:v>1</x:v>
      </x:c>
      <x:c r="K18" s="35" t="str">
        <x:v>Documentación y planeación</x:v>
      </x:c>
      <x:c r="L18" s="38" t="str">
        <x:v>Josefina</x:v>
      </x:c>
      <x:c r="M18" s="38" t="str"/>
      <x:c r="N18" s="39"/>
      <x:c r="O18" s="35" t="str"/>
      <x:c r="P18" s="35" t="str">
        <x:v>Completado</x:v>
      </x:c>
      <x:c r="Q18" s="35" t="str">
        <x:v>Investigación realizada según confirmación general del usuario. Distribución semanal retrospectiva; no hay duración individual medida.</x:v>
      </x:c>
      <x:c r="R18" s="35" t="str">
        <x:v>README.md
docs/design-experiments/mobile-social-ui-product.md
docs/design-experiments/social-mobile-redesign-product.md</x:v>
      </x:c>
    </x:row>
    <x:row r="19" ht="46" customHeight="1">
      <x:c r="A19" s="34" t="str">
        <x:v>INV-11</x:v>
      </x:c>
      <x:c r="B19" s="34" t="str">
        <x:v>Investigación y Requisitos</x:v>
      </x:c>
      <x:c r="C19" s="34" t="str">
        <x:v>Fichas Profesionales</x:v>
      </x:c>
      <x:c r="D19" s="34" t="str">
        <x:v>Diferenciar portafolio, catálogo y servicios</x:v>
      </x:c>
      <x:c r="E19" s="35" t="str">
        <x:v>Definir obras, productos, precios MXN y disponibilidad.</x:v>
      </x:c>
      <x:c r="F19" s="35" t="str">
        <x:v>Completado</x:v>
      </x:c>
      <x:c r="G19" s="36" t="n">
        <x:v>46266</x:v>
      </x:c>
      <x:c r="H19" s="36" t="n">
        <x:v>46272</x:v>
      </x:c>
      <x:c r="I19" s="37" t="n">
        <x:f>IF(OR(G19="",H19=""),"",SUMPRODUCT(('Cronograma'!$G$8:$Q$8&lt;=H19)*('Cronograma'!$G$9:$Q$9&gt;=G19)))</x:f>
        <x:v>1</x:v>
      </x:c>
      <x:c r="J19" s="37" t="n">
        <x:f>IF(F19="Completado",I19,"")</x:f>
        <x:v>1</x:v>
      </x:c>
      <x:c r="K19" s="35" t="str">
        <x:v>Documentación y planeación</x:v>
      </x:c>
      <x:c r="L19" s="38" t="str">
        <x:v>Josefina</x:v>
      </x:c>
      <x:c r="M19" s="38" t="str"/>
      <x:c r="N19" s="39"/>
      <x:c r="O19" s="35" t="str"/>
      <x:c r="P19" s="35" t="str">
        <x:v>Completado</x:v>
      </x:c>
      <x:c r="Q19" s="35" t="str">
        <x:v>Investigación realizada según confirmación general del usuario. Distribución semanal retrospectiva; no hay duración individual medida.</x:v>
      </x:c>
      <x:c r="R19" s="35" t="str">
        <x:v>README.md
docs/design-experiments/mobile-social-ui-product.md
docs/design-experiments/social-mobile-redesign-product.md</x:v>
      </x:c>
    </x:row>
    <x:row r="20" ht="56" customHeight="1">
      <x:c r="A20" s="34" t="str">
        <x:v>INV-12</x:v>
      </x:c>
      <x:c r="B20" s="34" t="str">
        <x:v>Investigación y Requisitos</x:v>
      </x:c>
      <x:c r="C20" s="34" t="str">
        <x:v>Mapa y Ubicación</x:v>
      </x:c>
      <x:c r="D20" s="34" t="str">
        <x:v>Estudiar OpenStreetMap y coordenadas</x:v>
      </x:c>
      <x:c r="E20" s="35" t="str">
        <x:v>Definir precisión aproximada, posición exacta y consulta geográfica.</x:v>
      </x:c>
      <x:c r="F20" s="35" t="str">
        <x:v>Completado</x:v>
      </x:c>
      <x:c r="G20" s="36" t="n">
        <x:v>46266</x:v>
      </x:c>
      <x:c r="H20" s="36" t="n">
        <x:v>46272</x:v>
      </x:c>
      <x:c r="I20" s="37" t="n">
        <x:f>IF(OR(G20="",H20=""),"",SUMPRODUCT(('Cronograma'!$G$8:$Q$8&lt;=H20)*('Cronograma'!$G$9:$Q$9&gt;=G20)))</x:f>
        <x:v>1</x:v>
      </x:c>
      <x:c r="J20" s="37" t="n">
        <x:f>IF(F20="Completado",I20,"")</x:f>
        <x:v>1</x:v>
      </x:c>
      <x:c r="K20" s="35" t="str">
        <x:v>Documentación y planeación</x:v>
      </x:c>
      <x:c r="L20" s="38" t="str">
        <x:v>Josefina</x:v>
      </x:c>
      <x:c r="M20" s="38" t="str"/>
      <x:c r="N20" s="39"/>
      <x:c r="O20" s="35" t="str"/>
      <x:c r="P20" s="35" t="str">
        <x:v>Completado</x:v>
      </x:c>
      <x:c r="Q20" s="35" t="str">
        <x:v>Investigación realizada según confirmación general del usuario. Distribución semanal retrospectiva; no hay duración individual medida.</x:v>
      </x:c>
      <x:c r="R20" s="35" t="str">
        <x:v>docs/map.md
docs/ar-experience-design.md
docs/implementation/tours-native.md
processing/tours/README.md</x:v>
      </x:c>
    </x:row>
    <x:row r="21" ht="56" customHeight="1">
      <x:c r="A21" s="34" t="str">
        <x:v>INV-13</x:v>
      </x:c>
      <x:c r="B21" s="34" t="str">
        <x:v>Investigación y Requisitos</x:v>
      </x:c>
      <x:c r="C21" s="34" t="str">
        <x:v>Notificaciones Push</x:v>
      </x:c>
      <x:c r="D21" s="34" t="str">
        <x:v>Analizar colas de alertas y entrega FCM</x:v>
      </x:c>
      <x:c r="E21" s="35" t="str">
        <x:v>Definir eventos, preferencias y separación entre cola y transporte.</x:v>
      </x:c>
      <x:c r="F21" s="35" t="str">
        <x:v>Completado</x:v>
      </x:c>
      <x:c r="G21" s="36" t="n">
        <x:v>46266</x:v>
      </x:c>
      <x:c r="H21" s="36" t="n">
        <x:v>46272</x:v>
      </x:c>
      <x:c r="I21" s="37" t="n">
        <x:f>IF(OR(G21="",H21=""),"",SUMPRODUCT(('Cronograma'!$G$8:$Q$8&lt;=H21)*('Cronograma'!$G$9:$Q$9&gt;=G21)))</x:f>
        <x:v>1</x:v>
      </x:c>
      <x:c r="J21" s="37" t="n">
        <x:f>IF(F21="Completado",I21,"")</x:f>
        <x:v>1</x:v>
      </x:c>
      <x:c r="K21" s="35" t="str">
        <x:v>Documentación y planeación</x:v>
      </x:c>
      <x:c r="L21" s="38" t="str">
        <x:v>Josefina</x:v>
      </x:c>
      <x:c r="M21" s="38" t="str"/>
      <x:c r="N21" s="39"/>
      <x:c r="O21" s="35" t="str"/>
      <x:c r="P21" s="35" t="str">
        <x:v>Completado</x:v>
      </x:c>
      <x:c r="Q21" s="35" t="str">
        <x:v>Investigación realizada según confirmación general del usuario. Distribución semanal retrospectiva; no hay duración individual medida.</x:v>
      </x:c>
      <x:c r="R21" s="35" t="str">
        <x:v>README.md
docs/design-system.md
docs/account-completion.md
supabase/migrations/001_initial_schema.sql</x:v>
      </x:c>
    </x:row>
    <x:row r="22" ht="56" customHeight="1">
      <x:c r="A22" s="34" t="str">
        <x:v>INV-14</x:v>
      </x:c>
      <x:c r="B22" s="34" t="str">
        <x:v>Investigación y Requisitos</x:v>
      </x:c>
      <x:c r="C22" s="34" t="str">
        <x:v>Recorridos y Realidad Aumentada</x:v>
      </x:c>
      <x:c r="D22" s="34" t="str">
        <x:v>Estudiar panoramas 360° y metadatos GPano</x:v>
      </x:c>
      <x:c r="E22" s="35" t="str">
        <x:v>Definir proyección equirectangular y cobertura de esfera completa.</x:v>
      </x:c>
      <x:c r="F22" s="35" t="str">
        <x:v>Completado</x:v>
      </x:c>
      <x:c r="G22" s="36" t="n">
        <x:v>46266</x:v>
      </x:c>
      <x:c r="H22" s="36" t="n">
        <x:v>46272</x:v>
      </x:c>
      <x:c r="I22" s="37" t="n">
        <x:f>IF(OR(G22="",H22=""),"",SUMPRODUCT(('Cronograma'!$G$8:$Q$8&lt;=H22)*('Cronograma'!$G$9:$Q$9&gt;=G22)))</x:f>
        <x:v>1</x:v>
      </x:c>
      <x:c r="J22" s="37" t="n">
        <x:f>IF(F22="Completado",I22,"")</x:f>
        <x:v>1</x:v>
      </x:c>
      <x:c r="K22" s="35" t="str">
        <x:v>Documentación y planeación</x:v>
      </x:c>
      <x:c r="L22" s="38" t="str">
        <x:v>Josefina</x:v>
      </x:c>
      <x:c r="M22" s="38" t="str"/>
      <x:c r="N22" s="39"/>
      <x:c r="O22" s="35" t="str"/>
      <x:c r="P22" s="35" t="str">
        <x:v>Completado</x:v>
      </x:c>
      <x:c r="Q22" s="35" t="str">
        <x:v>Investigación realizada según confirmación general del usuario. Distribución semanal retrospectiva; no hay duración individual medida.</x:v>
      </x:c>
      <x:c r="R22" s="35" t="str">
        <x:v>docs/map.md
docs/ar-experience-design.md
docs/implementation/tours-native.md
processing/tours/README.md</x:v>
      </x:c>
    </x:row>
    <x:row r="23" ht="56" customHeight="1">
      <x:c r="A23" s="34" t="str">
        <x:v>INV-15</x:v>
      </x:c>
      <x:c r="B23" s="34" t="str">
        <x:v>Investigación y Requisitos</x:v>
      </x:c>
      <x:c r="C23" s="34" t="str">
        <x:v>Recorridos y Realidad Aumentada</x:v>
      </x:c>
      <x:c r="D23" s="34" t="str">
        <x:v>Investigar cosido Hugin y mezcla Enblend</x:v>
      </x:c>
      <x:c r="E23" s="35" t="str">
        <x:v>Comprender coincidencias, optimización, remapeo y mezcla de tomas.</x:v>
      </x:c>
      <x:c r="F23" s="35" t="str">
        <x:v>Completado</x:v>
      </x:c>
      <x:c r="G23" s="36" t="n">
        <x:v>46266</x:v>
      </x:c>
      <x:c r="H23" s="36" t="n">
        <x:v>46272</x:v>
      </x:c>
      <x:c r="I23" s="37" t="n">
        <x:f>IF(OR(G23="",H23=""),"",SUMPRODUCT(('Cronograma'!$G$8:$Q$8&lt;=H23)*('Cronograma'!$G$9:$Q$9&gt;=G23)))</x:f>
        <x:v>1</x:v>
      </x:c>
      <x:c r="J23" s="37" t="n">
        <x:f>IF(F23="Completado",I23,"")</x:f>
        <x:v>1</x:v>
      </x:c>
      <x:c r="K23" s="35" t="str">
        <x:v>Documentación y planeación</x:v>
      </x:c>
      <x:c r="L23" s="38" t="str">
        <x:v>Josefina</x:v>
      </x:c>
      <x:c r="M23" s="38" t="str"/>
      <x:c r="N23" s="39"/>
      <x:c r="O23" s="35" t="str"/>
      <x:c r="P23" s="35" t="str">
        <x:v>Completado</x:v>
      </x:c>
      <x:c r="Q23" s="35" t="str">
        <x:v>Investigación realizada según confirmación general del usuario. Distribución semanal retrospectiva; no hay duración individual medida.</x:v>
      </x:c>
      <x:c r="R23" s="35" t="str">
        <x:v>docs/map.md
docs/ar-experience-design.md
docs/implementation/tours-native.md
processing/tours/README.md</x:v>
      </x:c>
    </x:row>
    <x:row r="24" ht="56" customHeight="1">
      <x:c r="A24" s="34" t="str">
        <x:v>INV-16</x:v>
      </x:c>
      <x:c r="B24" s="34" t="str">
        <x:v>Investigación y Requisitos</x:v>
      </x:c>
      <x:c r="C24" s="34" t="str">
        <x:v>Recorridos y Realidad Aumentada</x:v>
      </x:c>
      <x:c r="D24" s="34" t="str">
        <x:v>Estudiar ARCore y ARKit</x:v>
      </x:c>
      <x:c r="E24" s="35" t="str">
        <x:v>Definir soporte nativo y reconocimiento de referencias físicas.</x:v>
      </x:c>
      <x:c r="F24" s="35" t="str">
        <x:v>Completado</x:v>
      </x:c>
      <x:c r="G24" s="36" t="n">
        <x:v>46266</x:v>
      </x:c>
      <x:c r="H24" s="36" t="n">
        <x:v>46272</x:v>
      </x:c>
      <x:c r="I24" s="37" t="n">
        <x:f>IF(OR(G24="",H24=""),"",SUMPRODUCT(('Cronograma'!$G$8:$Q$8&lt;=H24)*('Cronograma'!$G$9:$Q$9&gt;=G24)))</x:f>
        <x:v>1</x:v>
      </x:c>
      <x:c r="J24" s="37" t="n">
        <x:f>IF(F24="Completado",I24,"")</x:f>
        <x:v>1</x:v>
      </x:c>
      <x:c r="K24" s="35" t="str">
        <x:v>Documentación y planeación</x:v>
      </x:c>
      <x:c r="L24" s="38" t="str">
        <x:v>Josefina</x:v>
      </x:c>
      <x:c r="M24" s="38" t="str"/>
      <x:c r="N24" s="39"/>
      <x:c r="O24" s="35" t="str"/>
      <x:c r="P24" s="35" t="str">
        <x:v>Completado</x:v>
      </x:c>
      <x:c r="Q24" s="35" t="str">
        <x:v>Investigación realizada según confirmación general del usuario. Distribución semanal retrospectiva; no hay duración individual medida.</x:v>
      </x:c>
      <x:c r="R24" s="35" t="str">
        <x:v>docs/map.md
docs/ar-experience-design.md
docs/implementation/tours-native.md
processing/tours/README.md</x:v>
      </x:c>
    </x:row>
    <x:row r="25" ht="56" customHeight="1">
      <x:c r="A25" s="34" t="str">
        <x:v>INV-17</x:v>
      </x:c>
      <x:c r="B25" s="34" t="str">
        <x:v>Investigación y Requisitos</x:v>
      </x:c>
      <x:c r="C25" s="34" t="str">
        <x:v>Recorridos y Realidad Aumentada</x:v>
      </x:c>
      <x:c r="D25" s="34" t="str">
        <x:v>Estudiar orientación, FOV y solapamiento</x:v>
      </x:c>
      <x:c r="E25" s="35" t="str">
        <x:v>Definir yaw, pitch, roll, anillos y cobertura óptica de captura.</x:v>
      </x:c>
      <x:c r="F25" s="35" t="str">
        <x:v>Completado</x:v>
      </x:c>
      <x:c r="G25" s="36" t="n">
        <x:v>46266</x:v>
      </x:c>
      <x:c r="H25" s="36" t="n">
        <x:v>46272</x:v>
      </x:c>
      <x:c r="I25" s="37" t="n">
        <x:f>IF(OR(G25="",H25=""),"",SUMPRODUCT(('Cronograma'!$G$8:$Q$8&lt;=H25)*('Cronograma'!$G$9:$Q$9&gt;=G25)))</x:f>
        <x:v>1</x:v>
      </x:c>
      <x:c r="J25" s="37" t="n">
        <x:f>IF(F25="Completado",I25,"")</x:f>
        <x:v>1</x:v>
      </x:c>
      <x:c r="K25" s="35" t="str">
        <x:v>Documentación y planeación</x:v>
      </x:c>
      <x:c r="L25" s="38" t="str">
        <x:v>Josefina</x:v>
      </x:c>
      <x:c r="M25" s="38" t="str"/>
      <x:c r="N25" s="39"/>
      <x:c r="O25" s="35" t="str"/>
      <x:c r="P25" s="35" t="str">
        <x:v>Completado</x:v>
      </x:c>
      <x:c r="Q25" s="35" t="str">
        <x:v>Investigación realizada según confirmación general del usuario. Distribución semanal retrospectiva; no hay duración individual medida.</x:v>
      </x:c>
      <x:c r="R25" s="35" t="str">
        <x:v>docs/map.md
docs/ar-experience-design.md
docs/implementation/tours-native.md
processing/tours/README.md</x:v>
      </x:c>
    </x:row>
    <x:row r="26" ht="46" customHeight="1">
      <x:c r="A26" s="34" t="str">
        <x:v>INV-18</x:v>
      </x:c>
      <x:c r="B26" s="34" t="str">
        <x:v>Investigación y Requisitos</x:v>
      </x:c>
      <x:c r="C26" s="34" t="str">
        <x:v>Moderación y Administración</x:v>
      </x:c>
      <x:c r="D26" s="34" t="str">
        <x:v>Definir reglas de reportes y moderación</x:v>
      </x:c>
      <x:c r="E26" s="35" t="str">
        <x:v>Separar ocultamiento, restauración y acceso a la cola privada.</x:v>
      </x:c>
      <x:c r="F26" s="35" t="str">
        <x:v>Completado</x:v>
      </x:c>
      <x:c r="G26" s="36" t="n">
        <x:v>46266</x:v>
      </x:c>
      <x:c r="H26" s="36" t="n">
        <x:v>46272</x:v>
      </x:c>
      <x:c r="I26" s="37" t="n">
        <x:f>IF(OR(G26="",H26=""),"",SUMPRODUCT(('Cronograma'!$G$8:$Q$8&lt;=H26)*('Cronograma'!$G$9:$Q$9&gt;=G26)))</x:f>
        <x:v>1</x:v>
      </x:c>
      <x:c r="J26" s="37" t="n">
        <x:f>IF(F26="Completado",I26,"")</x:f>
        <x:v>1</x:v>
      </x:c>
      <x:c r="K26" s="35" t="str">
        <x:v>Documentación y planeación</x:v>
      </x:c>
      <x:c r="L26" s="38" t="str">
        <x:v>Josefina</x:v>
      </x:c>
      <x:c r="M26" s="38" t="str"/>
      <x:c r="N26" s="39"/>
      <x:c r="O26" s="35" t="str"/>
      <x:c r="P26" s="35" t="str">
        <x:v>Completado</x:v>
      </x:c>
      <x:c r="Q26" s="35" t="str">
        <x:v>Investigación realizada según confirmación general del usuario. Distribución semanal retrospectiva; no hay duración individual medida.</x:v>
      </x:c>
      <x:c r="R26" s="35" t="str">
        <x:v>README.md
docs/design-experiments/mobile-social-ui-product.md
docs/design-experiments/social-mobile-redesign-product.md</x:v>
      </x:c>
    </x:row>
    <x:row r="27" ht="46" customHeight="1">
      <x:c r="A27" s="34" t="str">
        <x:v>DIS-01</x:v>
      </x:c>
      <x:c r="B27" s="34" t="str">
        <x:v>Planificación y Diseño</x:v>
      </x:c>
      <x:c r="C27" s="34" t="str">
        <x:v>Transversal</x:v>
      </x:c>
      <x:c r="D27" s="34" t="str">
        <x:v>Definir el alcance del MVP</x:v>
      </x:c>
      <x:c r="E27" s="35" t="str">
        <x:v>Priorizar cuenta, sesión, perfil y navegación inicial.</x:v>
      </x:c>
      <x:c r="F27" s="35" t="str">
        <x:v>Completado</x:v>
      </x:c>
      <x:c r="G27" s="36" t="n">
        <x:v>46273</x:v>
      </x:c>
      <x:c r="H27" s="36" t="n">
        <x:v>46279</x:v>
      </x:c>
      <x:c r="I27" s="37" t="n">
        <x:f>IF(OR(G27="",H27=""),"",SUMPRODUCT(('Cronograma'!$G$8:$Q$8&lt;=H27)*('Cronograma'!$G$9:$Q$9&gt;=G27)))</x:f>
        <x:v>1</x:v>
      </x:c>
      <x:c r="J27" s="37" t="n">
        <x:f>IF(F27="Completado",I27,"")</x:f>
        <x:v>1</x:v>
      </x:c>
      <x:c r="K27" s="35" t="str">
        <x:v>Documentación y planeación</x:v>
      </x:c>
      <x:c r="L27" s="38" t="str">
        <x:v>Josefina</x:v>
      </x:c>
      <x:c r="M27" s="38" t="str"/>
      <x:c r="N27" s="39" t="n">
        <x:v>46276</x:v>
      </x:c>
      <x:c r="O27" s="35" t="str">
        <x:v>INV-06</x:v>
      </x:c>
      <x:c r="P27" s="35" t="str">
        <x:v>Completado</x:v>
      </x:c>
      <x:c r="Q27" s="35" t="str">
        <x:v>R se coloca en los mismos bloques que E por criterio del cronograma; no representa una duración de trabajo medida.</x:v>
      </x:c>
      <x:c r="R27" s="35" t="str">
        <x:v>git:b92a237:docs/design-system.md
git:b92a237:lib/core/theme/app_theme.dart
git:b92a237:lib/features/shell/presentation/app_shell.dart</x:v>
      </x:c>
    </x:row>
    <x:row r="28" ht="46" customHeight="1">
      <x:c r="A28" s="34" t="str">
        <x:v>DIS-02</x:v>
      </x:c>
      <x:c r="B28" s="34" t="str">
        <x:v>Planificación y Diseño</x:v>
      </x:c>
      <x:c r="C28" s="34" t="str">
        <x:v>Transversal</x:v>
      </x:c>
      <x:c r="D28" s="34" t="str">
        <x:v>Definir la paleta oficial MAREA</x:v>
      </x:c>
      <x:c r="E28" s="35" t="str">
        <x:v>Aplicar navy, azul, aqua, mint y superficies claras.</x:v>
      </x:c>
      <x:c r="F28" s="35" t="str">
        <x:v>Completado</x:v>
      </x:c>
      <x:c r="G28" s="36" t="n">
        <x:v>46287</x:v>
      </x:c>
      <x:c r="H28" s="36" t="n">
        <x:v>46295</x:v>
      </x:c>
      <x:c r="I28" s="37" t="n">
        <x:f>IF(OR(G28="",H28=""),"",SUMPRODUCT(('Cronograma'!$G$8:$Q$8&lt;=H28)*('Cronograma'!$G$9:$Q$9&gt;=G28)))</x:f>
        <x:v>1</x:v>
      </x:c>
      <x:c r="J28" s="37" t="n">
        <x:f>IF(F28="Completado",I28,"")</x:f>
        <x:v>1</x:v>
      </x:c>
      <x:c r="K28" s="35" t="str">
        <x:v>UI/UX</x:v>
      </x:c>
      <x:c r="L28" s="38" t="str">
        <x:v>Fatima</x:v>
      </x:c>
      <x:c r="M28" s="38" t="str"/>
      <x:c r="N28" s="39" t="n">
        <x:v>46294</x:v>
      </x:c>
      <x:c r="O28" s="35" t="str">
        <x:v>INV-06</x:v>
      </x:c>
      <x:c r="P28" s="35" t="str">
        <x:v>Completado</x:v>
      </x:c>
      <x:c r="Q28" s="35" t="str">
        <x:v>R se coloca en los mismos bloques que E por criterio del cronograma; no representa una duración de trabajo medida.</x:v>
      </x:c>
      <x:c r="R28" s="35" t="str">
        <x:v>docs/home-polished-ui-v7.md
git:37d4c23:README.md
docs/home-social-v7-integration.md</x:v>
      </x:c>
    </x:row>
    <x:row r="29" ht="46" customHeight="1">
      <x:c r="A29" s="34" t="str">
        <x:v>DIS-03</x:v>
      </x:c>
      <x:c r="B29" s="34" t="str">
        <x:v>Planificación y Diseño</x:v>
      </x:c>
      <x:c r="C29" s="34" t="str">
        <x:v>Transversal</x:v>
      </x:c>
      <x:c r="D29" s="34" t="str">
        <x:v>Integrar tipografía Nunito Sans</x:v>
      </x:c>
      <x:c r="E29" s="35" t="str">
        <x:v>Unificar pesos, jerarquía de texto y legibilidad.</x:v>
      </x:c>
      <x:c r="F29" s="35" t="str">
        <x:v>Completado</x:v>
      </x:c>
      <x:c r="G29" s="36" t="n">
        <x:v>46273</x:v>
      </x:c>
      <x:c r="H29" s="36" t="n">
        <x:v>46279</x:v>
      </x:c>
      <x:c r="I29" s="37" t="n">
        <x:f>IF(OR(G29="",H29=""),"",SUMPRODUCT(('Cronograma'!$G$8:$Q$8&lt;=H29)*('Cronograma'!$G$9:$Q$9&gt;=G29)))</x:f>
        <x:v>1</x:v>
      </x:c>
      <x:c r="J29" s="37" t="n">
        <x:f>IF(F29="Completado",I29,"")</x:f>
        <x:v>1</x:v>
      </x:c>
      <x:c r="K29" s="35" t="str">
        <x:v>UI/UX</x:v>
      </x:c>
      <x:c r="L29" s="38" t="str">
        <x:v>Fatima</x:v>
      </x:c>
      <x:c r="M29" s="38" t="str"/>
      <x:c r="N29" s="39" t="n">
        <x:v>46276</x:v>
      </x:c>
      <x:c r="O29" s="35" t="str">
        <x:v>INV-06</x:v>
      </x:c>
      <x:c r="P29" s="35" t="str">
        <x:v>Completado</x:v>
      </x:c>
      <x:c r="Q29" s="35" t="str">
        <x:v>R se coloca en los mismos bloques que E por criterio del cronograma; no representa una duración de trabajo medida.</x:v>
      </x:c>
      <x:c r="R29" s="35" t="str">
        <x:v>git:b92a237:docs/design-system.md
git:b92a237:lib/core/theme/app_theme.dart
git:b92a237:lib/features/shell/presentation/app_shell.dart</x:v>
      </x:c>
    </x:row>
    <x:row r="30" ht="56" customHeight="1">
      <x:c r="A30" s="34" t="str">
        <x:v>DIS-04</x:v>
      </x:c>
      <x:c r="B30" s="34" t="str">
        <x:v>Planificación y Diseño</x:v>
      </x:c>
      <x:c r="C30" s="34" t="str">
        <x:v>Transversal</x:v>
      </x:c>
      <x:c r="D30" s="34" t="str">
        <x:v>Diseñar componentes y estados de carga</x:v>
      </x:c>
      <x:c r="E30" s="35" t="str">
        <x:v>Definir botones, paneles, campos y MareaSkeleton.</x:v>
      </x:c>
      <x:c r="F30" s="35" t="str">
        <x:v>Completado</x:v>
      </x:c>
      <x:c r="G30" s="36" t="n">
        <x:v>46296</x:v>
      </x:c>
      <x:c r="H30" s="36" t="n">
        <x:v>46302</x:v>
      </x:c>
      <x:c r="I30" s="37" t="n">
        <x:f>IF(OR(G30="",H30=""),"",SUMPRODUCT(('Cronograma'!$G$8:$Q$8&lt;=H30)*('Cronograma'!$G$9:$Q$9&gt;=G30)))</x:f>
        <x:v>1</x:v>
      </x:c>
      <x:c r="J30" s="37" t="n">
        <x:f>IF(F30="Completado",I30,"")</x:f>
        <x:v>1</x:v>
      </x:c>
      <x:c r="K30" s="35" t="str">
        <x:v>UI/UX</x:v>
      </x:c>
      <x:c r="L30" s="38" t="str">
        <x:v>Fatima</x:v>
      </x:c>
      <x:c r="M30" s="38" t="str"/>
      <x:c r="N30" s="39" t="n">
        <x:v>46301</x:v>
      </x:c>
      <x:c r="O30" s="35" t="str">
        <x:v>INV-06</x:v>
      </x:c>
      <x:c r="P30" s="35" t="str">
        <x:v>Completado</x:v>
      </x:c>
      <x:c r="Q30" s="35" t="str">
        <x:v>R se coloca en los mismos bloques que E por criterio del cronograma; no representa una duración de trabajo medida.</x:v>
      </x:c>
      <x:c r="R30" s="35" t="str">
        <x:v>docs/implementation/modern-interactions-push-progress.md
lib/shared/widgets/marea_action_button.dart
lib/shared/widgets/marea_panel.dart
lib/shared/widgets/marea_skeleton.dart</x:v>
      </x:c>
    </x:row>
    <x:row r="31" ht="46" customHeight="1">
      <x:c r="A31" s="34" t="str">
        <x:v>DIS-05</x:v>
      </x:c>
      <x:c r="B31" s="34" t="str">
        <x:v>Planificación y Diseño</x:v>
      </x:c>
      <x:c r="C31" s="34" t="str">
        <x:v>Transversal</x:v>
      </x:c>
      <x:c r="D31" s="34" t="str">
        <x:v>Diseñar navegación responsiva</x:v>
      </x:c>
      <x:c r="E31" s="35" t="str">
        <x:v>Distribuir Inicio, Explorar, Crear, Misiones y Perfil.</x:v>
      </x:c>
      <x:c r="F31" s="35" t="str">
        <x:v>Completado</x:v>
      </x:c>
      <x:c r="G31" s="36" t="n">
        <x:v>46273</x:v>
      </x:c>
      <x:c r="H31" s="36" t="n">
        <x:v>46279</x:v>
      </x:c>
      <x:c r="I31" s="37" t="n">
        <x:f>IF(OR(G31="",H31=""),"",SUMPRODUCT(('Cronograma'!$G$8:$Q$8&lt;=H31)*('Cronograma'!$G$9:$Q$9&gt;=G31)))</x:f>
        <x:v>1</x:v>
      </x:c>
      <x:c r="J31" s="37" t="n">
        <x:f>IF(F31="Completado",I31,"")</x:f>
        <x:v>1</x:v>
      </x:c>
      <x:c r="K31" s="35" t="str">
        <x:v>UI/UX</x:v>
      </x:c>
      <x:c r="L31" s="38" t="str">
        <x:v>Fatima</x:v>
      </x:c>
      <x:c r="M31" s="38" t="str"/>
      <x:c r="N31" s="39" t="n">
        <x:v>46276</x:v>
      </x:c>
      <x:c r="O31" s="35" t="str">
        <x:v>INV-06</x:v>
      </x:c>
      <x:c r="P31" s="35" t="str">
        <x:v>Completado</x:v>
      </x:c>
      <x:c r="Q31" s="35" t="str">
        <x:v>R se coloca en los mismos bloques que E por criterio del cronograma; no representa una duración de trabajo medida.</x:v>
      </x:c>
      <x:c r="R31" s="35" t="str">
        <x:v>git:b92a237:docs/design-system.md
git:b92a237:lib/core/theme/app_theme.dart
git:b92a237:lib/features/shell/presentation/app_shell.dart</x:v>
      </x:c>
    </x:row>
    <x:row r="32" ht="46" customHeight="1">
      <x:c r="A32" s="34" t="str">
        <x:v>DIS-06</x:v>
      </x:c>
      <x:c r="B32" s="34" t="str">
        <x:v>Planificación y Diseño</x:v>
      </x:c>
      <x:c r="C32" s="34" t="str">
        <x:v>Autenticación y Acceso</x:v>
      </x:c>
      <x:c r="D32" s="34" t="str">
        <x:v>Diseñar registro por pasos y recuperación</x:v>
      </x:c>
      <x:c r="E32" s="35" t="str">
        <x:v>Separar identidad, acceso, consentimiento y verificación OTP.</x:v>
      </x:c>
      <x:c r="F32" s="35" t="str">
        <x:v>Completado</x:v>
      </x:c>
      <x:c r="G32" s="36" t="n">
        <x:v>46287</x:v>
      </x:c>
      <x:c r="H32" s="36" t="n">
        <x:v>46295</x:v>
      </x:c>
      <x:c r="I32" s="37" t="n">
        <x:f>IF(OR(G32="",H32=""),"",SUMPRODUCT(('Cronograma'!$G$8:$Q$8&lt;=H32)*('Cronograma'!$G$9:$Q$9&gt;=G32)))</x:f>
        <x:v>1</x:v>
      </x:c>
      <x:c r="J32" s="37" t="n">
        <x:f>IF(F32="Completado",I32,"")</x:f>
        <x:v>1</x:v>
      </x:c>
      <x:c r="K32" s="35" t="str">
        <x:v>UI/UX</x:v>
      </x:c>
      <x:c r="L32" s="38" t="str">
        <x:v>Fatima</x:v>
      </x:c>
      <x:c r="M32" s="38" t="str"/>
      <x:c r="N32" s="39" t="n">
        <x:v>46293</x:v>
      </x:c>
      <x:c r="O32" s="35" t="str">
        <x:v>INV-07</x:v>
      </x:c>
      <x:c r="P32" s="35" t="str">
        <x:v>Completado</x:v>
      </x:c>
      <x:c r="Q32" s="35" t="str">
        <x:v>R se coloca en los mismos bloques que E por criterio del cronograma; no representa una duración de trabajo medida.</x:v>
      </x:c>
      <x:c r="R32" s="35" t="str">
        <x:v>docs/access-redesign.md
output/access-redesign-progress.md
supabase/migrations/007_minimal_registration.sql</x:v>
      </x:c>
    </x:row>
    <x:row r="33" ht="46" customHeight="1">
      <x:c r="A33" s="34" t="str">
        <x:v>DIS-07</x:v>
      </x:c>
      <x:c r="B33" s="34" t="str">
        <x:v>Planificación y Diseño</x:v>
      </x:c>
      <x:c r="C33" s="34" t="str">
        <x:v>Perfil y Cuenta</x:v>
      </x:c>
      <x:c r="D33" s="34" t="str">
        <x:v>Diseñar los cuatro tipos de perfil</x:v>
      </x:c>
      <x:c r="E33" s="35" t="str">
        <x:v>Mostrar herramientas específicas y datos opcionales por tipo.</x:v>
      </x:c>
      <x:c r="F33" s="35" t="str">
        <x:v>Completado</x:v>
      </x:c>
      <x:c r="G33" s="36" t="n">
        <x:v>46287</x:v>
      </x:c>
      <x:c r="H33" s="36" t="n">
        <x:v>46295</x:v>
      </x:c>
      <x:c r="I33" s="37" t="n">
        <x:f>IF(OR(G33="",H33=""),"",SUMPRODUCT(('Cronograma'!$G$8:$Q$8&lt;=H33)*('Cronograma'!$G$9:$Q$9&gt;=G33)))</x:f>
        <x:v>1</x:v>
      </x:c>
      <x:c r="J33" s="37" t="n">
        <x:f>IF(F33="Completado",I33,"")</x:f>
        <x:v>1</x:v>
      </x:c>
      <x:c r="K33" s="35" t="str">
        <x:v>UI/UX</x:v>
      </x:c>
      <x:c r="L33" s="38" t="str">
        <x:v>Fatima</x:v>
      </x:c>
      <x:c r="M33" s="38" t="str"/>
      <x:c r="N33" s="39" t="n">
        <x:v>46293</x:v>
      </x:c>
      <x:c r="O33" s="35" t="str">
        <x:v>INV-08</x:v>
      </x:c>
      <x:c r="P33" s="35" t="str">
        <x:v>Completado</x:v>
      </x:c>
      <x:c r="Q33" s="35" t="str">
        <x:v>R se coloca en los mismos bloques que E por criterio del cronograma; no representa una duración de trabajo medida.</x:v>
      </x:c>
      <x:c r="R33" s="35" t="str">
        <x:v>output/ux-permissions-progress.md
docs/community.md
lib/features/profile/presentation/profile_tools_sheet.dart</x:v>
      </x:c>
    </x:row>
    <x:row r="34" ht="46" customHeight="1">
      <x:c r="A34" s="34" t="str">
        <x:v>DIS-08</x:v>
      </x:c>
      <x:c r="B34" s="34" t="str">
        <x:v>Planificación y Diseño</x:v>
      </x:c>
      <x:c r="C34" s="34" t="str">
        <x:v>Perfil y Cuenta</x:v>
      </x:c>
      <x:c r="D34" s="34" t="str">
        <x:v>Diseñar edición de identidad y configuración</x:v>
      </x:c>
      <x:c r="E34" s="35" t="str">
        <x:v>Organizar avatar, portada, seguridad y eliminación de cuenta.</x:v>
      </x:c>
      <x:c r="F34" s="35" t="str">
        <x:v>Completado</x:v>
      </x:c>
      <x:c r="G34" s="36" t="n">
        <x:v>46287</x:v>
      </x:c>
      <x:c r="H34" s="36" t="n">
        <x:v>46295</x:v>
      </x:c>
      <x:c r="I34" s="37" t="n">
        <x:f>IF(OR(G34="",H34=""),"",SUMPRODUCT(('Cronograma'!$G$8:$Q$8&lt;=H34)*('Cronograma'!$G$9:$Q$9&gt;=G34)))</x:f>
        <x:v>1</x:v>
      </x:c>
      <x:c r="J34" s="37" t="n">
        <x:f>IF(F34="Completado",I34,"")</x:f>
        <x:v>1</x:v>
      </x:c>
      <x:c r="K34" s="35" t="str">
        <x:v>UI/UX</x:v>
      </x:c>
      <x:c r="L34" s="38" t="str">
        <x:v>Fatima</x:v>
      </x:c>
      <x:c r="M34" s="38" t="str"/>
      <x:c r="N34" s="39" t="n">
        <x:v>46294</x:v>
      </x:c>
      <x:c r="O34" s="35" t="str">
        <x:v>INV-08</x:v>
      </x:c>
      <x:c r="P34" s="35" t="str">
        <x:v>Completado</x:v>
      </x:c>
      <x:c r="Q34" s="35" t="str">
        <x:v>R se coloca en los mismos bloques que E por criterio del cronograma; no representa una duración de trabajo medida.</x:v>
      </x:c>
      <x:c r="R34" s="35" t="str">
        <x:v>output/profile-redesign-progress.md
output/ux-permissions-progress.md
git:84f3151:lib/features/profile/presentation/profile_experience.dart</x:v>
      </x:c>
    </x:row>
    <x:row r="35" ht="46" customHeight="1">
      <x:c r="A35" s="34" t="str">
        <x:v>DIS-09</x:v>
      </x:c>
      <x:c r="B35" s="34" t="str">
        <x:v>Planificación y Diseño</x:v>
      </x:c>
      <x:c r="C35" s="34" t="str">
        <x:v>Comunidad y Publicaciones</x:v>
      </x:c>
      <x:c r="D35" s="34" t="str">
        <x:v>Diseñar feed, tarjetas y compositor</x:v>
      </x:c>
      <x:c r="E35" s="35" t="str">
        <x:v>Definir lectura de publicaciones y creación con fotos y categorías.</x:v>
      </x:c>
      <x:c r="F35" s="35" t="str">
        <x:v>Completado</x:v>
      </x:c>
      <x:c r="G35" s="36" t="n">
        <x:v>46287</x:v>
      </x:c>
      <x:c r="H35" s="36" t="n">
        <x:v>46295</x:v>
      </x:c>
      <x:c r="I35" s="37" t="n">
        <x:f>IF(OR(G35="",H35=""),"",SUMPRODUCT(('Cronograma'!$G$8:$Q$8&lt;=H35)*('Cronograma'!$G$9:$Q$9&gt;=G35)))</x:f>
        <x:v>1</x:v>
      </x:c>
      <x:c r="J35" s="37" t="n">
        <x:f>IF(F35="Completado",I35,"")</x:f>
        <x:v>1</x:v>
      </x:c>
      <x:c r="K35" s="35" t="str">
        <x:v>UI/UX</x:v>
      </x:c>
      <x:c r="L35" s="38" t="str">
        <x:v>Fatima</x:v>
      </x:c>
      <x:c r="M35" s="38" t="str"/>
      <x:c r="N35" s="39" t="n">
        <x:v>46294</x:v>
      </x:c>
      <x:c r="O35" s="35" t="str">
        <x:v>INV-09</x:v>
      </x:c>
      <x:c r="P35" s="35" t="str">
        <x:v>Completado</x:v>
      </x:c>
      <x:c r="Q35" s="35" t="str">
        <x:v>R se coloca en los mismos bloques que E por criterio del cronograma; no representa una duración de trabajo medida.</x:v>
      </x:c>
      <x:c r="R35" s="35" t="str">
        <x:v>docs/home-social-v7-integration.md
git:9f2f91d:lib/features/community/presentation/posts_feed.dart
git:9c551ab:README.md</x:v>
      </x:c>
    </x:row>
    <x:row r="36" ht="68" customHeight="1">
      <x:c r="A36" s="34" t="str">
        <x:v>DIS-10</x:v>
      </x:c>
      <x:c r="B36" s="34" t="str">
        <x:v>Planificación y Diseño</x:v>
      </x:c>
      <x:c r="C36" s="34" t="str">
        <x:v>Comunidad y Publicaciones</x:v>
      </x:c>
      <x:c r="D36" s="34" t="str">
        <x:v>Revisar propuestas visuales v3 a v6</x:v>
      </x:c>
      <x:c r="E36" s="35" t="str">
        <x:v>Comparar alternativas antes de consolidar la interfaz vigente.</x:v>
      </x:c>
      <x:c r="F36" s="35" t="str">
        <x:v>Completado</x:v>
      </x:c>
      <x:c r="G36" s="36" t="n">
        <x:v>46287</x:v>
      </x:c>
      <x:c r="H36" s="36" t="n">
        <x:v>46295</x:v>
      </x:c>
      <x:c r="I36" s="37" t="n">
        <x:f>IF(OR(G36="",H36=""),"",SUMPRODUCT(('Cronograma'!$G$8:$Q$8&lt;=H36)*('Cronograma'!$G$9:$Q$9&gt;=G36)))</x:f>
        <x:v>1</x:v>
      </x:c>
      <x:c r="J36" s="37" t="n">
        <x:f>IF(F36="Completado",I36,"")</x:f>
        <x:v>1</x:v>
      </x:c>
      <x:c r="K36" s="35" t="str">
        <x:v>UI/UX</x:v>
      </x:c>
      <x:c r="L36" s="38" t="str">
        <x:v>Fatima</x:v>
      </x:c>
      <x:c r="M36" s="38" t="str"/>
      <x:c r="N36" s="39" t="n">
        <x:v>46294</x:v>
      </x:c>
      <x:c r="O36" s="35" t="str">
        <x:v>INV-09</x:v>
      </x:c>
      <x:c r="P36" s="35" t="str">
        <x:v>Completado</x:v>
      </x:c>
      <x:c r="Q36" s="35" t="str">
        <x:v>R se coloca en los mismos bloques que E por criterio del cronograma; no representa una duración de trabajo medida.</x:v>
      </x:c>
      <x:c r="R36" s="35" t="str">
        <x:v>docs/home-social-ui-v3.md
docs/home-vertical-ui-v4.md
docs/home-brand-ui-v5.md
docs/home-final-ui-v6.md
docs/design-experiments/README.md</x:v>
      </x:c>
    </x:row>
    <x:row r="37" ht="46" customHeight="1">
      <x:c r="A37" s="34" t="str">
        <x:v>DIS-11</x:v>
      </x:c>
      <x:c r="B37" s="34" t="str">
        <x:v>Planificación y Diseño</x:v>
      </x:c>
      <x:c r="C37" s="34" t="str">
        <x:v>Comunidad y Publicaciones</x:v>
      </x:c>
      <x:c r="D37" s="34" t="str">
        <x:v>Consolidar interfaz social v7</x:v>
      </x:c>
      <x:c r="E37" s="35" t="str">
        <x:v>Aplicar diseño final de feed, comentarios y acciones sociales.</x:v>
      </x:c>
      <x:c r="F37" s="35" t="str">
        <x:v>Completado</x:v>
      </x:c>
      <x:c r="G37" s="36" t="n">
        <x:v>46287</x:v>
      </x:c>
      <x:c r="H37" s="36" t="n">
        <x:v>46295</x:v>
      </x:c>
      <x:c r="I37" s="37" t="n">
        <x:f>IF(OR(G37="",H37=""),"",SUMPRODUCT(('Cronograma'!$G$8:$Q$8&lt;=H37)*('Cronograma'!$G$9:$Q$9&gt;=G37)))</x:f>
        <x:v>1</x:v>
      </x:c>
      <x:c r="J37" s="37" t="n">
        <x:f>IF(F37="Completado",I37,"")</x:f>
        <x:v>1</x:v>
      </x:c>
      <x:c r="K37" s="35" t="str">
        <x:v>UI/UX</x:v>
      </x:c>
      <x:c r="L37" s="38" t="str">
        <x:v>Fatima</x:v>
      </x:c>
      <x:c r="M37" s="38" t="str"/>
      <x:c r="N37" s="39" t="n">
        <x:v>46294</x:v>
      </x:c>
      <x:c r="O37" s="35" t="str">
        <x:v>INV-09</x:v>
      </x:c>
      <x:c r="P37" s="35" t="str">
        <x:v>Completado</x:v>
      </x:c>
      <x:c r="Q37" s="35" t="str">
        <x:v>R se coloca en los mismos bloques que E por criterio del cronograma; no representa una duración de trabajo medida.</x:v>
      </x:c>
      <x:c r="R37" s="35" t="str">
        <x:v>docs/home-polished-ui-v7.md
git:37d4c23:README.md
docs/home-social-v7-integration.md</x:v>
      </x:c>
    </x:row>
    <x:row r="38" ht="46" customHeight="1">
      <x:c r="A38" s="34" t="str">
        <x:v>DIS-12</x:v>
      </x:c>
      <x:c r="B38" s="34" t="str">
        <x:v>Planificación y Diseño</x:v>
      </x:c>
      <x:c r="C38" s="34" t="str">
        <x:v>Misiones</x:v>
      </x:c>
      <x:c r="D38" s="34" t="str">
        <x:v>Diseñar creación y administración de misiones</x:v>
      </x:c>
      <x:c r="E38" s="35" t="str">
        <x:v>Organizar fechas, cupos, borradores y control del organizador.</x:v>
      </x:c>
      <x:c r="F38" s="35" t="str">
        <x:v>Completado</x:v>
      </x:c>
      <x:c r="G38" s="36" t="n">
        <x:v>46287</x:v>
      </x:c>
      <x:c r="H38" s="36" t="n">
        <x:v>46295</x:v>
      </x:c>
      <x:c r="I38" s="37" t="n">
        <x:f>IF(OR(G38="",H38=""),"",SUMPRODUCT(('Cronograma'!$G$8:$Q$8&lt;=H38)*('Cronograma'!$G$9:$Q$9&gt;=G38)))</x:f>
        <x:v>1</x:v>
      </x:c>
      <x:c r="J38" s="37" t="n">
        <x:f>IF(F38="Completado",I38,"")</x:f>
        <x:v>1</x:v>
      </x:c>
      <x:c r="K38" s="35" t="str">
        <x:v>UI/UX</x:v>
      </x:c>
      <x:c r="L38" s="38" t="str">
        <x:v>Fatima</x:v>
      </x:c>
      <x:c r="M38" s="38" t="str"/>
      <x:c r="N38" s="39" t="n">
        <x:v>46295</x:v>
      </x:c>
      <x:c r="O38" s="35" t="str">
        <x:v>INV-10</x:v>
      </x:c>
      <x:c r="P38" s="35" t="str">
        <x:v>Completado</x:v>
      </x:c>
      <x:c r="Q38" s="35" t="str">
        <x:v>R se coloca en los mismos bloques que E por criterio del cronograma; no representa una duración de trabajo medida.</x:v>
      </x:c>
      <x:c r="R38" s="35" t="str">
        <x:v>docs/missions-redesign.md
docs/implementation/missions-redesign-progress.md
supabase/migrations/013_missions_redesign.sql</x:v>
      </x:c>
    </x:row>
    <x:row r="39" ht="46" customHeight="1">
      <x:c r="A39" s="34" t="str">
        <x:v>DIS-13</x:v>
      </x:c>
      <x:c r="B39" s="34" t="str">
        <x:v>Planificación y Diseño</x:v>
      </x:c>
      <x:c r="C39" s="34" t="str">
        <x:v>Misiones</x:v>
      </x:c>
      <x:c r="D39" s="34" t="str">
        <x:v>Diseñar candidatura y selección de finalistas</x:v>
      </x:c>
      <x:c r="E39" s="35" t="str">
        <x:v>Definir formulario estructurado y seguimiento del participante.</x:v>
      </x:c>
      <x:c r="F39" s="35" t="str">
        <x:v>Completado</x:v>
      </x:c>
      <x:c r="G39" s="36" t="n">
        <x:v>46287</x:v>
      </x:c>
      <x:c r="H39" s="36" t="n">
        <x:v>46295</x:v>
      </x:c>
      <x:c r="I39" s="37" t="n">
        <x:f>IF(OR(G39="",H39=""),"",SUMPRODUCT(('Cronograma'!$G$8:$Q$8&lt;=H39)*('Cronograma'!$G$9:$Q$9&gt;=G39)))</x:f>
        <x:v>1</x:v>
      </x:c>
      <x:c r="J39" s="37" t="n">
        <x:f>IF(F39="Completado",I39,"")</x:f>
        <x:v>1</x:v>
      </x:c>
      <x:c r="K39" s="35" t="str">
        <x:v>UI/UX</x:v>
      </x:c>
      <x:c r="L39" s="38" t="str">
        <x:v>Fatima</x:v>
      </x:c>
      <x:c r="M39" s="38" t="str"/>
      <x:c r="N39" s="39" t="n">
        <x:v>46295</x:v>
      </x:c>
      <x:c r="O39" s="35" t="str">
        <x:v>INV-10</x:v>
      </x:c>
      <x:c r="P39" s="35" t="str">
        <x:v>Completado</x:v>
      </x:c>
      <x:c r="Q39" s="35" t="str">
        <x:v>R se coloca en los mismos bloques que E por criterio del cronograma; no representa una duración de trabajo medida.</x:v>
      </x:c>
      <x:c r="R39" s="35" t="str">
        <x:v>docs/missions-redesign.md
lib/features/community/presentation/mission_application_screen.dart
supabase/migrations/013_missions_redesign.sql</x:v>
      </x:c>
    </x:row>
    <x:row r="40" ht="56" customHeight="1">
      <x:c r="A40" s="34" t="str">
        <x:v>DIS-14</x:v>
      </x:c>
      <x:c r="B40" s="34" t="str">
        <x:v>Planificación y Diseño</x:v>
      </x:c>
      <x:c r="C40" s="34" t="str">
        <x:v>Fichas Profesionales</x:v>
      </x:c>
      <x:c r="D40" s="34" t="str">
        <x:v>Diseñar fichas de obra, producto y servicio</x:v>
      </x:c>
      <x:c r="E40" s="35" t="str">
        <x:v>Organizar galería, precio, disponibilidad y contacto.</x:v>
      </x:c>
      <x:c r="F40" s="35" t="str">
        <x:v>Completado</x:v>
      </x:c>
      <x:c r="G40" s="36" t="n">
        <x:v>46287</x:v>
      </x:c>
      <x:c r="H40" s="36" t="n">
        <x:v>46295</x:v>
      </x:c>
      <x:c r="I40" s="37" t="n">
        <x:f>IF(OR(G40="",H40=""),"",SUMPRODUCT(('Cronograma'!$G$8:$Q$8&lt;=H40)*('Cronograma'!$G$9:$Q$9&gt;=G40)))</x:f>
        <x:v>1</x:v>
      </x:c>
      <x:c r="J40" s="37" t="n">
        <x:f>IF(F40="Completado",I40,"")</x:f>
        <x:v>1</x:v>
      </x:c>
      <x:c r="K40" s="35" t="str">
        <x:v>UI/UX</x:v>
      </x:c>
      <x:c r="L40" s="38" t="str">
        <x:v>Fatima</x:v>
      </x:c>
      <x:c r="M40" s="38" t="str"/>
      <x:c r="N40" s="39" t="n">
        <x:v>46292</x:v>
      </x:c>
      <x:c r="O40" s="35" t="str">
        <x:v>INV-11</x:v>
      </x:c>
      <x:c r="P40" s="35" t="str">
        <x:v>Completado</x:v>
      </x:c>
      <x:c r="Q40" s="35" t="str">
        <x:v>R se coloca en los mismos bloques que E por criterio del cronograma; no representa una duración de trabajo medida.</x:v>
      </x:c>
      <x:c r="R40" s="35" t="str">
        <x:v>docs/community.md
lib/features/showcase/data/showcase_repository.dart
lib/features/showcase/presentation/showcase_composer_screen.dart
supabase/migrations/006_profile_experience.sql</x:v>
      </x:c>
    </x:row>
    <x:row r="41" ht="46" customHeight="1">
      <x:c r="A41" s="34" t="str">
        <x:v>DIS-15</x:v>
      </x:c>
      <x:c r="B41" s="34" t="str">
        <x:v>Planificación y Diseño</x:v>
      </x:c>
      <x:c r="C41" s="34" t="str">
        <x:v>Mapa y Ubicación</x:v>
      </x:c>
      <x:c r="D41" s="34" t="str">
        <x:v>Diseñar mapa, filtros y selección de ubicación</x:v>
      </x:c>
      <x:c r="E41" s="35" t="str">
        <x:v>Permitir elegir área, radio y precisión de coordenadas.</x:v>
      </x:c>
      <x:c r="F41" s="35" t="str">
        <x:v>Completado</x:v>
      </x:c>
      <x:c r="G41" s="36" t="n">
        <x:v>46296</x:v>
      </x:c>
      <x:c r="H41" s="36" t="n">
        <x:v>46302</x:v>
      </x:c>
      <x:c r="I41" s="37" t="n">
        <x:f>IF(OR(G41="",H41=""),"",SUMPRODUCT(('Cronograma'!$G$8:$Q$8&lt;=H41)*('Cronograma'!$G$9:$Q$9&gt;=G41)))</x:f>
        <x:v>1</x:v>
      </x:c>
      <x:c r="J41" s="37" t="n">
        <x:f>IF(F41="Completado",I41,"")</x:f>
        <x:v>1</x:v>
      </x:c>
      <x:c r="K41" s="35" t="str">
        <x:v>UI/UX</x:v>
      </x:c>
      <x:c r="L41" s="38" t="str">
        <x:v>Fatima</x:v>
      </x:c>
      <x:c r="M41" s="38" t="str"/>
      <x:c r="N41" s="39" t="n">
        <x:v>46297</x:v>
      </x:c>
      <x:c r="O41" s="35" t="str">
        <x:v>INV-12</x:v>
      </x:c>
      <x:c r="P41" s="35" t="str">
        <x:v>Completado</x:v>
      </x:c>
      <x:c r="Q41" s="35" t="str">
        <x:v>R se coloca en los mismos bloques que E por criterio del cronograma; no representa una duración de trabajo medida.</x:v>
      </x:c>
      <x:c r="R41" s="35" t="str">
        <x:v>docs/map.md
supabase/migrations/012_mission_map.sql
git:ffd8990:lib/features/map/presentation/mission_map_screen.dart</x:v>
      </x:c>
    </x:row>
    <x:row r="42" ht="56" customHeight="1">
      <x:c r="A42" s="34" t="str">
        <x:v>DIS-16</x:v>
      </x:c>
      <x:c r="B42" s="34" t="str">
        <x:v>Planificación y Diseño</x:v>
      </x:c>
      <x:c r="C42" s="34" t="str">
        <x:v>Notificaciones Push</x:v>
      </x:c>
      <x:c r="D42" s="34" t="str">
        <x:v>Diseñar bandeja y preferencias de alertas</x:v>
      </x:c>
      <x:c r="E42" s="35" t="str">
        <x:v>Distinguir lectura, navegación al destino y configuración push.</x:v>
      </x:c>
      <x:c r="F42" s="35" t="str">
        <x:v>Completado</x:v>
      </x:c>
      <x:c r="G42" s="36" t="n">
        <x:v>46296</x:v>
      </x:c>
      <x:c r="H42" s="36" t="n">
        <x:v>46302</x:v>
      </x:c>
      <x:c r="I42" s="37" t="n">
        <x:f>IF(OR(G42="",H42=""),"",SUMPRODUCT(('Cronograma'!$G$8:$Q$8&lt;=H42)*('Cronograma'!$G$9:$Q$9&gt;=G42)))</x:f>
        <x:v>1</x:v>
      </x:c>
      <x:c r="J42" s="37" t="n">
        <x:f>IF(F42="Completado",I42,"")</x:f>
        <x:v>1</x:v>
      </x:c>
      <x:c r="K42" s="35" t="str">
        <x:v>UI/UX</x:v>
      </x:c>
      <x:c r="L42" s="38" t="str">
        <x:v>Fatima</x:v>
      </x:c>
      <x:c r="M42" s="38" t="str"/>
      <x:c r="N42" s="39" t="n">
        <x:v>46301</x:v>
      </x:c>
      <x:c r="O42" s="35" t="str">
        <x:v>INV-13</x:v>
      </x:c>
      <x:c r="P42" s="35" t="str">
        <x:v>Completado</x:v>
      </x:c>
      <x:c r="Q42" s="35" t="str">
        <x:v>R se coloca en los mismos bloques que E por criterio del cronograma; no representa una duración de trabajo medida.</x:v>
      </x:c>
      <x:c r="R42" s="35" t="str">
        <x:v>docs/android-push.md
lib/features/notifications/data/push_controller.dart
lib/features/notifications/data/android_push_gateway.dart
lib/features/notifications/presentation/notification_settings.dart</x:v>
      </x:c>
    </x:row>
    <x:row r="43" ht="46" customHeight="1">
      <x:c r="A43" s="34" t="str">
        <x:v>DIS-17</x:v>
      </x:c>
      <x:c r="B43" s="34" t="str">
        <x:v>Planificación y Diseño</x:v>
      </x:c>
      <x:c r="C43" s="34" t="str">
        <x:v>Recorridos y Realidad Aumentada</x:v>
      </x:c>
      <x:c r="D43" s="34" t="str">
        <x:v>Diseñar captura, visor y experiencia presencial</x:v>
      </x:c>
      <x:c r="E43" s="35" t="str">
        <x:v>Definir zonas, puntos, progreso y recuperación de la experiencia AR.</x:v>
      </x:c>
      <x:c r="F43" s="35" t="str">
        <x:v>Completado</x:v>
      </x:c>
      <x:c r="G43" s="36" t="n">
        <x:v>46296</x:v>
      </x:c>
      <x:c r="H43" s="36" t="n">
        <x:v>46302</x:v>
      </x:c>
      <x:c r="I43" s="37" t="n">
        <x:f>IF(OR(G43="",H43=""),"",SUMPRODUCT(('Cronograma'!$G$8:$Q$8&lt;=H43)*('Cronograma'!$G$9:$Q$9&gt;=G43)))</x:f>
        <x:v>1</x:v>
      </x:c>
      <x:c r="J43" s="37" t="n">
        <x:f>IF(F43="Completado",I43,"")</x:f>
        <x:v>1</x:v>
      </x:c>
      <x:c r="K43" s="35" t="str">
        <x:v>Líder AR</x:v>
      </x:c>
      <x:c r="L43" s="38" t="str">
        <x:v>Santiago</x:v>
      </x:c>
      <x:c r="M43" s="38" t="str"/>
      <x:c r="N43" s="39" t="n">
        <x:v>46301</x:v>
      </x:c>
      <x:c r="O43" s="35" t="str">
        <x:v>INV-17</x:v>
      </x:c>
      <x:c r="P43" s="35" t="str">
        <x:v>Completado</x:v>
      </x:c>
      <x:c r="Q43" s="35" t="str">
        <x:v>R se coloca en los mismos bloques que E por criterio del cronograma; no representa una duración de trabajo medida.</x:v>
      </x:c>
      <x:c r="R43" s="35" t="str">
        <x:v>docs/ar-experience-design.md
docs/implementation/tours-360-plan.md
output/imagegen/ar/README.md</x:v>
      </x:c>
    </x:row>
    <x:row r="44" ht="56" customHeight="1">
      <x:c r="A44" s="34" t="str">
        <x:v>DIS-18</x:v>
      </x:c>
      <x:c r="B44" s="34" t="str">
        <x:v>Planificación y Diseño</x:v>
      </x:c>
      <x:c r="C44" s="34" t="str">
        <x:v>Moderación y Administración</x:v>
      </x:c>
      <x:c r="D44" s="34" t="str">
        <x:v>Diseñar reportes y cola de moderación</x:v>
      </x:c>
      <x:c r="E44" s="35" t="str">
        <x:v>Definir acceso privado, revisión, ocultamiento y restauración.</x:v>
      </x:c>
      <x:c r="F44" s="35" t="str">
        <x:v>Completado</x:v>
      </x:c>
      <x:c r="G44" s="36" t="n">
        <x:v>46280</x:v>
      </x:c>
      <x:c r="H44" s="36" t="n">
        <x:v>46286</x:v>
      </x:c>
      <x:c r="I44" s="37" t="n">
        <x:f>IF(OR(G44="",H44=""),"",SUMPRODUCT(('Cronograma'!$G$8:$Q$8&lt;=H44)*('Cronograma'!$G$9:$Q$9&gt;=G44)))</x:f>
        <x:v>1</x:v>
      </x:c>
      <x:c r="J44" s="37" t="n">
        <x:f>IF(F44="Completado",I44,"")</x:f>
        <x:v>1</x:v>
      </x:c>
      <x:c r="K44" s="35" t="str">
        <x:v>UI/UX</x:v>
      </x:c>
      <x:c r="L44" s="38" t="str">
        <x:v>Fatima</x:v>
      </x:c>
      <x:c r="M44" s="38" t="str"/>
      <x:c r="N44" s="39" t="n">
        <x:v>46282</x:v>
      </x:c>
      <x:c r="O44" s="35" t="str">
        <x:v>INV-18</x:v>
      </x:c>
      <x:c r="P44" s="35" t="str">
        <x:v>Completado</x:v>
      </x:c>
      <x:c r="Q44" s="35" t="str">
        <x:v>R se coloca en los mismos bloques que E por criterio del cronograma; no representa una duración de trabajo medida.</x:v>
      </x:c>
      <x:c r="R44" s="35" t="str">
        <x:v>docs/community.md
docs/account-completion.md
supabase/functions/delete-account/index.ts
lib/features/community/presentation/moderation_screen.dart</x:v>
      </x:c>
    </x:row>
    <x:row r="45" ht="46" customHeight="1">
      <x:c r="A45" s="34" t="str">
        <x:v>BD-01</x:v>
      </x:c>
      <x:c r="B45" s="34" t="str">
        <x:v>Desarrollo Base de Datos y Back-end</x:v>
      </x:c>
      <x:c r="C45" s="34" t="str">
        <x:v>Autenticación y Acceso</x:v>
      </x:c>
      <x:c r="D45" s="34" t="str">
        <x:v>Crear perfiles iniciales y trigger de Auth</x:v>
      </x:c>
      <x:c r="E45" s="35" t="str">
        <x:v>Generar perfil de cada nueva cuenta desde el servidor.</x:v>
      </x:c>
      <x:c r="F45" s="35" t="str">
        <x:v>Completado</x:v>
      </x:c>
      <x:c r="G45" s="36" t="n">
        <x:v>46273</x:v>
      </x:c>
      <x:c r="H45" s="36" t="n">
        <x:v>46279</x:v>
      </x:c>
      <x:c r="I45" s="37" t="n">
        <x:f>IF(OR(G45="",H45=""),"",SUMPRODUCT(('Cronograma'!$G$8:$Q$8&lt;=H45)*('Cronograma'!$G$9:$Q$9&gt;=G45)))</x:f>
        <x:v>1</x:v>
      </x:c>
      <x:c r="J45" s="37" t="n">
        <x:f>IF(F45="Completado",I45,"")</x:f>
        <x:v>1</x:v>
      </x:c>
      <x:c r="K45" s="35" t="str">
        <x:v>Base de datos</x:v>
      </x:c>
      <x:c r="L45" s="38" t="str">
        <x:v>Alan</x:v>
      </x:c>
      <x:c r="M45" s="38" t="str"/>
      <x:c r="N45" s="39" t="n">
        <x:v>46276</x:v>
      </x:c>
      <x:c r="O45" s="35" t="str">
        <x:v>INV-07</x:v>
      </x:c>
      <x:c r="P45" s="35" t="str">
        <x:v>Completado</x:v>
      </x:c>
      <x:c r="Q45" s="35" t="str">
        <x:v>R se coloca en los mismos bloques que E por criterio del cronograma; no representa una duración de trabajo medida.</x:v>
      </x:c>
      <x:c r="R45" s="35" t="str">
        <x:v>git:b92a237:supabase/migrations/001_initial_schema.sql
git:b92a237:supabase/functions/delete-account/index.ts
git:b92a237:lib/features/profile/data/profile_repository.dart</x:v>
      </x:c>
    </x:row>
    <x:row r="46" ht="56" customHeight="1">
      <x:c r="A46" s="34" t="str">
        <x:v>BD-02</x:v>
      </x:c>
      <x:c r="B46" s="34" t="str">
        <x:v>Desarrollo Base de Datos y Back-end</x:v>
      </x:c>
      <x:c r="C46" s="34" t="str">
        <x:v>Autenticación y Acceso</x:v>
      </x:c>
      <x:c r="D46" s="34" t="str">
        <x:v>Implementar políticas de registro y consentimientos</x:v>
      </x:c>
      <x:c r="E46" s="35" t="str">
        <x:v>Persistir términos vigentes y mayoría de edad sin escritura directa.</x:v>
      </x:c>
      <x:c r="F46" s="35" t="str">
        <x:v>Completado</x:v>
      </x:c>
      <x:c r="G46" s="36" t="n">
        <x:v>46273</x:v>
      </x:c>
      <x:c r="H46" s="36" t="n">
        <x:v>46279</x:v>
      </x:c>
      <x:c r="I46" s="37" t="n">
        <x:f>IF(OR(G46="",H46=""),"",SUMPRODUCT(('Cronograma'!$G$8:$Q$8&lt;=H46)*('Cronograma'!$G$9:$Q$9&gt;=G46)))</x:f>
        <x:v>1</x:v>
      </x:c>
      <x:c r="J46" s="37" t="n">
        <x:f>IF(F46="Completado",I46,"")</x:f>
        <x:v>1</x:v>
      </x:c>
      <x:c r="K46" s="35" t="str">
        <x:v>Base de datos</x:v>
      </x:c>
      <x:c r="L46" s="38" t="str">
        <x:v>Alan</x:v>
      </x:c>
      <x:c r="M46" s="38" t="str"/>
      <x:c r="N46" s="39" t="n">
        <x:v>46279</x:v>
      </x:c>
      <x:c r="O46" s="35" t="str">
        <x:v>INV-07</x:v>
      </x:c>
      <x:c r="P46" s="35" t="str">
        <x:v>Completado</x:v>
      </x:c>
      <x:c r="Q46" s="35" t="str">
        <x:v>R se coloca en los mismos bloques que E por criterio del cronograma; no representa una duración de trabajo medida.</x:v>
      </x:c>
      <x:c r="R46" s="35" t="str">
        <x:v>docs/account-completion.md
docs/deployment-status.md
docs/superpowers/plans/2026-09-14-account-completion.md
supabase/migrations/002_account_completion.sql</x:v>
      </x:c>
    </x:row>
    <x:row r="47" ht="56" customHeight="1">
      <x:c r="A47" s="34" t="str">
        <x:v>BD-03</x:v>
      </x:c>
      <x:c r="B47" s="34" t="str">
        <x:v>Desarrollo Base de Datos y Back-end</x:v>
      </x:c>
      <x:c r="C47" s="34" t="str">
        <x:v>Autenticación y Acceso</x:v>
      </x:c>
      <x:c r="D47" s="34" t="str">
        <x:v>Proteger cambios sensibles de la cuenta</x:v>
      </x:c>
      <x:c r="E47" s="35" t="str">
        <x:v>Restringir rol, identidad interna y operaciones autenticadas.</x:v>
      </x:c>
      <x:c r="F47" s="35" t="str">
        <x:v>Completado</x:v>
      </x:c>
      <x:c r="G47" s="36" t="n">
        <x:v>46273</x:v>
      </x:c>
      <x:c r="H47" s="36" t="n">
        <x:v>46279</x:v>
      </x:c>
      <x:c r="I47" s="37" t="n">
        <x:f>IF(OR(G47="",H47=""),"",SUMPRODUCT(('Cronograma'!$G$8:$Q$8&lt;=H47)*('Cronograma'!$G$9:$Q$9&gt;=G47)))</x:f>
        <x:v>1</x:v>
      </x:c>
      <x:c r="J47" s="37" t="n">
        <x:f>IF(F47="Completado",I47,"")</x:f>
        <x:v>1</x:v>
      </x:c>
      <x:c r="K47" s="35" t="str">
        <x:v>Base de datos</x:v>
      </x:c>
      <x:c r="L47" s="38" t="str">
        <x:v>Alan</x:v>
      </x:c>
      <x:c r="M47" s="38" t="str"/>
      <x:c r="N47" s="39" t="n">
        <x:v>46279</x:v>
      </x:c>
      <x:c r="O47" s="35" t="str">
        <x:v>INV-07</x:v>
      </x:c>
      <x:c r="P47" s="35" t="str">
        <x:v>Completado</x:v>
      </x:c>
      <x:c r="Q47" s="35" t="str">
        <x:v>R se coloca en los mismos bloques que E por criterio del cronograma; no representa una duración de trabajo medida.</x:v>
      </x:c>
      <x:c r="R47" s="35" t="str">
        <x:v>docs/account-completion.md
docs/deployment-status.md
docs/superpowers/plans/2026-09-14-account-completion.md
supabase/migrations/002_account_completion.sql</x:v>
      </x:c>
    </x:row>
    <x:row r="48" ht="56" customHeight="1">
      <x:c r="A48" s="34" t="str">
        <x:v>BD-04</x:v>
      </x:c>
      <x:c r="B48" s="34" t="str">
        <x:v>Desarrollo Base de Datos y Back-end</x:v>
      </x:c>
      <x:c r="C48" s="34" t="str">
        <x:v>Perfil y Cuenta</x:v>
      </x:c>
      <x:c r="D48" s="34" t="str">
        <x:v>Ampliar modelo para cuatro tipos de perfil</x:v>
      </x:c>
      <x:c r="E48" s="35" t="str">
        <x:v>Guardar datos profesionales y campos permitidos por tipo.</x:v>
      </x:c>
      <x:c r="F48" s="35" t="str">
        <x:v>Completado</x:v>
      </x:c>
      <x:c r="G48" s="36" t="n">
        <x:v>46287</x:v>
      </x:c>
      <x:c r="H48" s="36" t="n">
        <x:v>46295</x:v>
      </x:c>
      <x:c r="I48" s="37" t="n">
        <x:f>IF(OR(G48="",H48=""),"",SUMPRODUCT(('Cronograma'!$G$8:$Q$8&lt;=H48)*('Cronograma'!$G$9:$Q$9&gt;=G48)))</x:f>
        <x:v>1</x:v>
      </x:c>
      <x:c r="J48" s="37" t="n">
        <x:f>IF(F48="Completado",I48,"")</x:f>
        <x:v>1</x:v>
      </x:c>
      <x:c r="K48" s="35" t="str">
        <x:v>Base de datos</x:v>
      </x:c>
      <x:c r="L48" s="38" t="str">
        <x:v>Alan</x:v>
      </x:c>
      <x:c r="M48" s="38" t="str"/>
      <x:c r="N48" s="39" t="n">
        <x:v>46292</x:v>
      </x:c>
      <x:c r="O48" s="35" t="str">
        <x:v>DIS-08</x:v>
      </x:c>
      <x:c r="P48" s="35" t="str">
        <x:v>Completado</x:v>
      </x:c>
      <x:c r="Q48" s="35" t="str">
        <x:v>R se coloca en los mismos bloques que E por criterio del cronograma; no representa una duración de trabajo medida.</x:v>
      </x:c>
      <x:c r="R48" s="35" t="str">
        <x:v>docs/account-completion.md
docs/community.md
docs/deployment-status.md
supabase/migrations/006_profile_experience.sql</x:v>
      </x:c>
    </x:row>
    <x:row r="49" ht="56" customHeight="1">
      <x:c r="A49" s="34" t="str">
        <x:v>BD-05</x:v>
      </x:c>
      <x:c r="B49" s="34" t="str">
        <x:v>Desarrollo Base de Datos y Back-end</x:v>
      </x:c>
      <x:c r="C49" s="34" t="str">
        <x:v>Perfil y Cuenta</x:v>
      </x:c>
      <x:c r="D49" s="34" t="str">
        <x:v>Implementar almacenamiento privado de avatar y portada</x:v>
      </x:c>
      <x:c r="E49" s="35" t="str">
        <x:v>Validar imágenes y generar URLs firmadas de presentación.</x:v>
      </x:c>
      <x:c r="F49" s="35" t="str">
        <x:v>Completado</x:v>
      </x:c>
      <x:c r="G49" s="36" t="n">
        <x:v>46273</x:v>
      </x:c>
      <x:c r="H49" s="36" t="n">
        <x:v>46279</x:v>
      </x:c>
      <x:c r="I49" s="37" t="n">
        <x:f>IF(OR(G49="",H49=""),"",SUMPRODUCT(('Cronograma'!$G$8:$Q$8&lt;=H49)*('Cronograma'!$G$9:$Q$9&gt;=G49)))</x:f>
        <x:v>1</x:v>
      </x:c>
      <x:c r="J49" s="37" t="n">
        <x:f>IF(F49="Completado",I49,"")</x:f>
        <x:v>1</x:v>
      </x:c>
      <x:c r="K49" s="35" t="str">
        <x:v>Back-end AR</x:v>
      </x:c>
      <x:c r="L49" s="38" t="str">
        <x:v>Cristopher</x:v>
      </x:c>
      <x:c r="M49" s="38" t="str"/>
      <x:c r="N49" s="39" t="n">
        <x:v>46279</x:v>
      </x:c>
      <x:c r="O49" s="35" t="str">
        <x:v>INV-08</x:v>
      </x:c>
      <x:c r="P49" s="35" t="str">
        <x:v>Completado</x:v>
      </x:c>
      <x:c r="Q49" s="35" t="str">
        <x:v>R se coloca en los mismos bloques que E por criterio del cronograma; no representa una duración de trabajo medida.</x:v>
      </x:c>
      <x:c r="R49" s="35" t="str">
        <x:v>docs/account-completion.md
lib/features/profile/data/profile_media_repository.dart
supabase/functions/profile-media/index.ts
supabase/functions/profile-media/image.ts</x:v>
      </x:c>
    </x:row>
    <x:row r="50" ht="56" customHeight="1">
      <x:c r="A50" s="34" t="str">
        <x:v>BD-06</x:v>
      </x:c>
      <x:c r="B50" s="34" t="str">
        <x:v>Desarrollo Base de Datos y Back-end</x:v>
      </x:c>
      <x:c r="C50" s="34" t="str">
        <x:v>Perfil y Cuenta</x:v>
      </x:c>
      <x:c r="D50" s="34" t="str">
        <x:v>Implementar eliminación de cuenta y limpieza</x:v>
      </x:c>
      <x:c r="E50" s="35" t="str">
        <x:v>Borrar datos y recursos asociados con validación de identidad.</x:v>
      </x:c>
      <x:c r="F50" s="35" t="str">
        <x:v>Completado</x:v>
      </x:c>
      <x:c r="G50" s="36" t="n">
        <x:v>46280</x:v>
      </x:c>
      <x:c r="H50" s="36" t="n">
        <x:v>46286</x:v>
      </x:c>
      <x:c r="I50" s="37" t="n">
        <x:f>IF(OR(G50="",H50=""),"",SUMPRODUCT(('Cronograma'!$G$8:$Q$8&lt;=H50)*('Cronograma'!$G$9:$Q$9&gt;=G50)))</x:f>
        <x:v>1</x:v>
      </x:c>
      <x:c r="J50" s="37" t="n">
        <x:f>IF(F50="Completado",I50,"")</x:f>
        <x:v>1</x:v>
      </x:c>
      <x:c r="K50" s="35" t="str">
        <x:v>Back-end AR</x:v>
      </x:c>
      <x:c r="L50" s="38" t="str">
        <x:v>Cristopher</x:v>
      </x:c>
      <x:c r="M50" s="38" t="str"/>
      <x:c r="N50" s="39" t="n">
        <x:v>46282</x:v>
      </x:c>
      <x:c r="O50" s="35" t="str">
        <x:v>INV-08</x:v>
      </x:c>
      <x:c r="P50" s="35" t="str">
        <x:v>Completado</x:v>
      </x:c>
      <x:c r="Q50" s="35" t="str">
        <x:v>R se coloca en los mismos bloques que E por criterio del cronograma; no representa una duración de trabajo medida.</x:v>
      </x:c>
      <x:c r="R50" s="35" t="str">
        <x:v>docs/community.md
docs/account-completion.md
supabase/functions/delete-account/index.ts
lib/features/community/presentation/moderation_screen.dart</x:v>
      </x:c>
    </x:row>
    <x:row r="51" ht="56" customHeight="1">
      <x:c r="A51" s="34" t="str">
        <x:v>BD-07</x:v>
      </x:c>
      <x:c r="B51" s="34" t="str">
        <x:v>Desarrollo Base de Datos y Back-end</x:v>
      </x:c>
      <x:c r="C51" s="34" t="str">
        <x:v>Comunidad y Publicaciones</x:v>
      </x:c>
      <x:c r="D51" s="34" t="str">
        <x:v>Crear publicaciones y políticas de visibilidad</x:v>
      </x:c>
      <x:c r="E51" s="35" t="str">
        <x:v>Persistir contenido, categorías y propiedad de cada publicación.</x:v>
      </x:c>
      <x:c r="F51" s="35" t="str">
        <x:v>Completado</x:v>
      </x:c>
      <x:c r="G51" s="36" t="n">
        <x:v>46280</x:v>
      </x:c>
      <x:c r="H51" s="36" t="n">
        <x:v>46286</x:v>
      </x:c>
      <x:c r="I51" s="37" t="n">
        <x:f>IF(OR(G51="",H51=""),"",SUMPRODUCT(('Cronograma'!$G$8:$Q$8&lt;=H51)*('Cronograma'!$G$9:$Q$9&gt;=G51)))</x:f>
        <x:v>1</x:v>
      </x:c>
      <x:c r="J51" s="37" t="n">
        <x:f>IF(F51="Completado",I51,"")</x:f>
        <x:v>1</x:v>
      </x:c>
      <x:c r="K51" s="35" t="str">
        <x:v>Base de datos</x:v>
      </x:c>
      <x:c r="L51" s="38" t="str">
        <x:v>Alan</x:v>
      </x:c>
      <x:c r="M51" s="38" t="str"/>
      <x:c r="N51" s="39" t="n">
        <x:v>46281</x:v>
      </x:c>
      <x:c r="O51" s="35" t="str">
        <x:v>INV-09</x:v>
      </x:c>
      <x:c r="P51" s="35" t="str">
        <x:v>Completado</x:v>
      </x:c>
      <x:c r="Q51" s="35" t="str">
        <x:v>R se coloca en los mismos bloques que E por criterio del cronograma; no representa una duración de trabajo medida.</x:v>
      </x:c>
      <x:c r="R51" s="35" t="str">
        <x:v>docs/community.md
docs/deployment-status.md
supabase/migrations/003_community.sql
lib/features/community/data/community_repository.dart</x:v>
      </x:c>
    </x:row>
    <x:row r="52" ht="56" customHeight="1">
      <x:c r="A52" s="34" t="str">
        <x:v>BD-08</x:v>
      </x:c>
      <x:c r="B52" s="34" t="str">
        <x:v>Desarrollo Base de Datos y Back-end</x:v>
      </x:c>
      <x:c r="C52" s="34" t="str">
        <x:v>Comunidad y Publicaciones</x:v>
      </x:c>
      <x:c r="D52" s="34" t="str">
        <x:v>Crear procesamiento privado de fotografías</x:v>
      </x:c>
      <x:c r="E52" s="35" t="str">
        <x:v>Normalizar imágenes y restringir cargas al propietario.</x:v>
      </x:c>
      <x:c r="F52" s="35" t="str">
        <x:v>Completado</x:v>
      </x:c>
      <x:c r="G52" s="36" t="n">
        <x:v>46280</x:v>
      </x:c>
      <x:c r="H52" s="36" t="n">
        <x:v>46286</x:v>
      </x:c>
      <x:c r="I52" s="37" t="n">
        <x:f>IF(OR(G52="",H52=""),"",SUMPRODUCT(('Cronograma'!$G$8:$Q$8&lt;=H52)*('Cronograma'!$G$9:$Q$9&gt;=G52)))</x:f>
        <x:v>1</x:v>
      </x:c>
      <x:c r="J52" s="37" t="n">
        <x:f>IF(F52="Completado",I52,"")</x:f>
        <x:v>1</x:v>
      </x:c>
      <x:c r="K52" s="35" t="str">
        <x:v>Back-end AR</x:v>
      </x:c>
      <x:c r="L52" s="38" t="str">
        <x:v>Cristopher</x:v>
      </x:c>
      <x:c r="M52" s="38" t="str"/>
      <x:c r="N52" s="39" t="n">
        <x:v>46281</x:v>
      </x:c>
      <x:c r="O52" s="35" t="str">
        <x:v>INV-09</x:v>
      </x:c>
      <x:c r="P52" s="35" t="str">
        <x:v>Completado</x:v>
      </x:c>
      <x:c r="Q52" s="35" t="str">
        <x:v>R se coloca en los mismos bloques que E por criterio del cronograma; no representa una duración de trabajo medida.</x:v>
      </x:c>
      <x:c r="R52" s="35" t="str">
        <x:v>docs/community.md
docs/deployment-status.md
supabase/migrations/003_community.sql
lib/features/community/data/community_repository.dart</x:v>
      </x:c>
    </x:row>
    <x:row r="53" ht="56" customHeight="1">
      <x:c r="A53" s="34" t="str">
        <x:v>BD-09</x:v>
      </x:c>
      <x:c r="B53" s="34" t="str">
        <x:v>Desarrollo Base de Datos y Back-end</x:v>
      </x:c>
      <x:c r="C53" s="34" t="str">
        <x:v>Comunidad y Publicaciones</x:v>
      </x:c>
      <x:c r="D53" s="34" t="str">
        <x:v>Implementar comentarios y reacciones</x:v>
      </x:c>
      <x:c r="E53" s="35" t="str">
        <x:v>Persistir interacciones con permisos y operaciones coordinadas.</x:v>
      </x:c>
      <x:c r="F53" s="35" t="str">
        <x:v>Completado</x:v>
      </x:c>
      <x:c r="G53" s="36" t="n">
        <x:v>46287</x:v>
      </x:c>
      <x:c r="H53" s="36" t="n">
        <x:v>46295</x:v>
      </x:c>
      <x:c r="I53" s="37" t="n">
        <x:f>IF(OR(G53="",H53=""),"",SUMPRODUCT(('Cronograma'!$G$8:$Q$8&lt;=H53)*('Cronograma'!$G$9:$Q$9&gt;=G53)))</x:f>
        <x:v>1</x:v>
      </x:c>
      <x:c r="J53" s="37" t="n">
        <x:f>IF(F53="Completado",I53,"")</x:f>
        <x:v>1</x:v>
      </x:c>
      <x:c r="K53" s="35" t="str">
        <x:v>Base de datos</x:v>
      </x:c>
      <x:c r="L53" s="38" t="str">
        <x:v>Alan</x:v>
      </x:c>
      <x:c r="M53" s="38" t="str"/>
      <x:c r="N53" s="39" t="n">
        <x:v>46294</x:v>
      </x:c>
      <x:c r="O53" s="35" t="str">
        <x:v>DIS-11</x:v>
      </x:c>
      <x:c r="P53" s="35" t="str">
        <x:v>Completado</x:v>
      </x:c>
      <x:c r="Q53" s="35" t="str">
        <x:v>R se coloca en los mismos bloques que E por criterio del cronograma; no representa una duración de trabajo medida.</x:v>
      </x:c>
      <x:c r="R53" s="35" t="str">
        <x:v>docs/home-social-v7-integration.md
supabase/migrations/009_post_reactions.sql
supabase/migrations/010_post_comments.sql
lib/features/community/data/social_repository.dart</x:v>
      </x:c>
    </x:row>
    <x:row r="54" ht="46" customHeight="1">
      <x:c r="A54" s="34" t="str">
        <x:v>BD-10</x:v>
      </x:c>
      <x:c r="B54" s="34" t="str">
        <x:v>Desarrollo Base de Datos y Back-end</x:v>
      </x:c>
      <x:c r="C54" s="34" t="str">
        <x:v>Comunidad y Publicaciones</x:v>
      </x:c>
      <x:c r="D54" s="34" t="str">
        <x:v>Implementar guardados privados</x:v>
      </x:c>
      <x:c r="E54" s="35" t="str">
        <x:v>Separar publicaciones guardadas del contenido público.</x:v>
      </x:c>
      <x:c r="F54" s="35" t="str">
        <x:v>Completado</x:v>
      </x:c>
      <x:c r="G54" s="36" t="n">
        <x:v>46287</x:v>
      </x:c>
      <x:c r="H54" s="36" t="n">
        <x:v>46295</x:v>
      </x:c>
      <x:c r="I54" s="37" t="n">
        <x:f>IF(OR(G54="",H54=""),"",SUMPRODUCT(('Cronograma'!$G$8:$Q$8&lt;=H54)*('Cronograma'!$G$9:$Q$9&gt;=G54)))</x:f>
        <x:v>1</x:v>
      </x:c>
      <x:c r="J54" s="37" t="n">
        <x:f>IF(F54="Completado",I54,"")</x:f>
        <x:v>1</x:v>
      </x:c>
      <x:c r="K54" s="35" t="str">
        <x:v>Base de datos</x:v>
      </x:c>
      <x:c r="L54" s="38" t="str">
        <x:v>Alan</x:v>
      </x:c>
      <x:c r="M54" s="38" t="str"/>
      <x:c r="N54" s="39" t="n">
        <x:v>46294</x:v>
      </x:c>
      <x:c r="O54" s="35" t="str">
        <x:v>DIS-11</x:v>
      </x:c>
      <x:c r="P54" s="35" t="str">
        <x:v>Completado</x:v>
      </x:c>
      <x:c r="Q54" s="35" t="str">
        <x:v>R se coloca en los mismos bloques que E por criterio del cronograma; no representa una duración de trabajo medida.</x:v>
      </x:c>
      <x:c r="R54" s="35" t="str">
        <x:v>docs/home-social-v7-integration.md
supabase/migrations/011_post_collaboration.sql
lib/features/community/presentation/social_panels.dart</x:v>
      </x:c>
    </x:row>
    <x:row r="55" ht="46" customHeight="1">
      <x:c r="A55" s="34" t="str">
        <x:v>BD-11</x:v>
      </x:c>
      <x:c r="B55" s="34" t="str">
        <x:v>Desarrollo Base de Datos y Back-end</x:v>
      </x:c>
      <x:c r="C55" s="34" t="str">
        <x:v>Comunidad y Publicaciones</x:v>
      </x:c>
      <x:c r="D55" s="34" t="str">
        <x:v>Implementar intereses, enlaces y eventos en tiempo real</x:v>
      </x:c>
      <x:c r="E55" s="35" t="str">
        <x:v>Sincronizar avisos y datos sociales con aislamiento de privacidad.</x:v>
      </x:c>
      <x:c r="F55" s="35" t="str">
        <x:v>Completado</x:v>
      </x:c>
      <x:c r="G55" s="36" t="n">
        <x:v>46287</x:v>
      </x:c>
      <x:c r="H55" s="36" t="n">
        <x:v>46295</x:v>
      </x:c>
      <x:c r="I55" s="37" t="n">
        <x:f>IF(OR(G55="",H55=""),"",SUMPRODUCT(('Cronograma'!$G$8:$Q$8&lt;=H55)*('Cronograma'!$G$9:$Q$9&gt;=G55)))</x:f>
        <x:v>1</x:v>
      </x:c>
      <x:c r="J55" s="37" t="n">
        <x:f>IF(F55="Completado",I55,"")</x:f>
        <x:v>1</x:v>
      </x:c>
      <x:c r="K55" s="35" t="str">
        <x:v>Base de datos</x:v>
      </x:c>
      <x:c r="L55" s="38" t="str">
        <x:v>Alan</x:v>
      </x:c>
      <x:c r="M55" s="38" t="str"/>
      <x:c r="N55" s="39" t="n">
        <x:v>46294</x:v>
      </x:c>
      <x:c r="O55" s="35" t="str">
        <x:v>DIS-11</x:v>
      </x:c>
      <x:c r="P55" s="35" t="str">
        <x:v>Completado</x:v>
      </x:c>
      <x:c r="Q55" s="35" t="str">
        <x:v>R se coloca en los mismos bloques que E por criterio del cronograma; no representa una duración de trabajo medida.</x:v>
      </x:c>
      <x:c r="R55" s="35" t="str">
        <x:v>docs/home-social-v7-integration.md
lib/features/community/data/notifications_controller.dart
supabase/migrations/009_post_reactions.sql</x:v>
      </x:c>
    </x:row>
    <x:row r="56" ht="56" customHeight="1">
      <x:c r="A56" s="34" t="str">
        <x:v>BD-12</x:v>
      </x:c>
      <x:c r="B56" s="34" t="str">
        <x:v>Desarrollo Base de Datos y Back-end</x:v>
      </x:c>
      <x:c r="C56" s="34" t="str">
        <x:v>Misiones</x:v>
      </x:c>
      <x:c r="D56" s="34" t="str">
        <x:v>Crear modelo y ciclo de vida de misiones</x:v>
      </x:c>
      <x:c r="E56" s="35" t="str">
        <x:v>Definir borrador, publicación, cierre y estados de convocatoria.</x:v>
      </x:c>
      <x:c r="F56" s="35" t="str">
        <x:v>Completado</x:v>
      </x:c>
      <x:c r="G56" s="36" t="n">
        <x:v>46280</x:v>
      </x:c>
      <x:c r="H56" s="36" t="n">
        <x:v>46286</x:v>
      </x:c>
      <x:c r="I56" s="37" t="n">
        <x:f>IF(OR(G56="",H56=""),"",SUMPRODUCT(('Cronograma'!$G$8:$Q$8&lt;=H56)*('Cronograma'!$G$9:$Q$9&gt;=G56)))</x:f>
        <x:v>1</x:v>
      </x:c>
      <x:c r="J56" s="37" t="n">
        <x:f>IF(F56="Completado",I56,"")</x:f>
        <x:v>1</x:v>
      </x:c>
      <x:c r="K56" s="35" t="str">
        <x:v>Base de datos</x:v>
      </x:c>
      <x:c r="L56" s="38" t="str">
        <x:v>Alan</x:v>
      </x:c>
      <x:c r="M56" s="38" t="str"/>
      <x:c r="N56" s="39" t="n">
        <x:v>46282</x:v>
      </x:c>
      <x:c r="O56" s="35" t="str">
        <x:v>INV-10</x:v>
      </x:c>
      <x:c r="P56" s="35" t="str">
        <x:v>Completado</x:v>
      </x:c>
      <x:c r="Q56" s="35" t="str">
        <x:v>R se coloca en los mismos bloques que E por criterio del cronograma; no representa una duración de trabajo medida.</x:v>
      </x:c>
      <x:c r="R56" s="35" t="str">
        <x:v>git:b321100:README.md
supabase/migrations/005_mission_lifecycle.sql
docs/community.md
test/features/community/mission_repository_test.dart</x:v>
      </x:c>
    </x:row>
    <x:row r="57" ht="46" customHeight="1">
      <x:c r="A57" s="34" t="str">
        <x:v>BD-13</x:v>
      </x:c>
      <x:c r="B57" s="34" t="str">
        <x:v>Desarrollo Base de Datos y Back-end</x:v>
      </x:c>
      <x:c r="C57" s="34" t="str">
        <x:v>Misiones</x:v>
      </x:c>
      <x:c r="D57" s="34" t="str">
        <x:v>Implementar fechas, cupos y operaciones atómicas</x:v>
      </x:c>
      <x:c r="E57" s="35" t="str">
        <x:v>Validar ventanas de participación y prevenir ocupación duplicada.</x:v>
      </x:c>
      <x:c r="F57" s="35" t="str">
        <x:v>Completado</x:v>
      </x:c>
      <x:c r="G57" s="36" t="n">
        <x:v>46287</x:v>
      </x:c>
      <x:c r="H57" s="36" t="n">
        <x:v>46295</x:v>
      </x:c>
      <x:c r="I57" s="37" t="n">
        <x:f>IF(OR(G57="",H57=""),"",SUMPRODUCT(('Cronograma'!$G$8:$Q$8&lt;=H57)*('Cronograma'!$G$9:$Q$9&gt;=G57)))</x:f>
        <x:v>1</x:v>
      </x:c>
      <x:c r="J57" s="37" t="n">
        <x:f>IF(F57="Completado",I57,"")</x:f>
        <x:v>1</x:v>
      </x:c>
      <x:c r="K57" s="35" t="str">
        <x:v>Base de datos</x:v>
      </x:c>
      <x:c r="L57" s="38" t="str">
        <x:v>Alan</x:v>
      </x:c>
      <x:c r="M57" s="38" t="str"/>
      <x:c r="N57" s="39" t="n">
        <x:v>46295</x:v>
      </x:c>
      <x:c r="O57" s="35" t="str">
        <x:v>DIS-13</x:v>
      </x:c>
      <x:c r="P57" s="35" t="str">
        <x:v>Completado</x:v>
      </x:c>
      <x:c r="Q57" s="35" t="str">
        <x:v>R se coloca en los mismos bloques que E por criterio del cronograma; no representa una duración de trabajo medida.</x:v>
      </x:c>
      <x:c r="R57" s="35" t="str">
        <x:v>docs/missions-redesign.md
docs/implementation/missions-redesign-progress.md
supabase/migrations/013_missions_redesign.sql</x:v>
      </x:c>
    </x:row>
    <x:row r="58" ht="46" customHeight="1">
      <x:c r="A58" s="34" t="str">
        <x:v>BD-14</x:v>
      </x:c>
      <x:c r="B58" s="34" t="str">
        <x:v>Desarrollo Base de Datos y Back-end</x:v>
      </x:c>
      <x:c r="C58" s="34" t="str">
        <x:v>Misiones</x:v>
      </x:c>
      <x:c r="D58" s="34" t="str">
        <x:v>Guardar candidaturas estructuradas</x:v>
      </x:c>
      <x:c r="E58" s="35" t="str">
        <x:v>Persistir respuestas y permitir consulta privada autorizada.</x:v>
      </x:c>
      <x:c r="F58" s="35" t="str">
        <x:v>Completado</x:v>
      </x:c>
      <x:c r="G58" s="36" t="n">
        <x:v>46287</x:v>
      </x:c>
      <x:c r="H58" s="36" t="n">
        <x:v>46295</x:v>
      </x:c>
      <x:c r="I58" s="37" t="n">
        <x:f>IF(OR(G58="",H58=""),"",SUMPRODUCT(('Cronograma'!$G$8:$Q$8&lt;=H58)*('Cronograma'!$G$9:$Q$9&gt;=G58)))</x:f>
        <x:v>1</x:v>
      </x:c>
      <x:c r="J58" s="37" t="n">
        <x:f>IF(F58="Completado",I58,"")</x:f>
        <x:v>1</x:v>
      </x:c>
      <x:c r="K58" s="35" t="str">
        <x:v>Base de datos</x:v>
      </x:c>
      <x:c r="L58" s="38" t="str">
        <x:v>Alan</x:v>
      </x:c>
      <x:c r="M58" s="38" t="str"/>
      <x:c r="N58" s="39" t="n">
        <x:v>46295</x:v>
      </x:c>
      <x:c r="O58" s="35" t="str">
        <x:v>DIS-13</x:v>
      </x:c>
      <x:c r="P58" s="35" t="str">
        <x:v>Completado</x:v>
      </x:c>
      <x:c r="Q58" s="35" t="str">
        <x:v>R se coloca en los mismos bloques que E por criterio del cronograma; no representa una duración de trabajo medida.</x:v>
      </x:c>
      <x:c r="R58" s="35" t="str">
        <x:v>docs/missions-redesign.md
lib/features/community/presentation/mission_application_screen.dart
supabase/migrations/013_missions_redesign.sql</x:v>
      </x:c>
    </x:row>
    <x:row r="59" ht="46" customHeight="1">
      <x:c r="A59" s="34" t="str">
        <x:v>BD-15</x:v>
      </x:c>
      <x:c r="B59" s="34" t="str">
        <x:v>Desarrollo Base de Datos y Back-end</x:v>
      </x:c>
      <x:c r="C59" s="34" t="str">
        <x:v>Misiones</x:v>
      </x:c>
      <x:c r="D59" s="34" t="str">
        <x:v>Implementar evaluación de finalistas y avisos</x:v>
      </x:c>
      <x:c r="E59" s="35" t="str">
        <x:v>Registrar decisiones del organizador y notificar cambios de estado.</x:v>
      </x:c>
      <x:c r="F59" s="35" t="str">
        <x:v>Completado</x:v>
      </x:c>
      <x:c r="G59" s="36" t="n">
        <x:v>46287</x:v>
      </x:c>
      <x:c r="H59" s="36" t="n">
        <x:v>46295</x:v>
      </x:c>
      <x:c r="I59" s="37" t="n">
        <x:f>IF(OR(G59="",H59=""),"",SUMPRODUCT(('Cronograma'!$G$8:$Q$8&lt;=H59)*('Cronograma'!$G$9:$Q$9&gt;=G59)))</x:f>
        <x:v>1</x:v>
      </x:c>
      <x:c r="J59" s="37" t="n">
        <x:f>IF(F59="Completado",I59,"")</x:f>
        <x:v>1</x:v>
      </x:c>
      <x:c r="K59" s="35" t="str">
        <x:v>Base de datos</x:v>
      </x:c>
      <x:c r="L59" s="38" t="str">
        <x:v>Alan</x:v>
      </x:c>
      <x:c r="M59" s="38" t="str"/>
      <x:c r="N59" s="39" t="n">
        <x:v>46295</x:v>
      </x:c>
      <x:c r="O59" s="35" t="str">
        <x:v>DIS-13</x:v>
      </x:c>
      <x:c r="P59" s="35" t="str">
        <x:v>Completado</x:v>
      </x:c>
      <x:c r="Q59" s="35" t="str">
        <x:v>R se coloca en los mismos bloques que E por criterio del cronograma; no representa una duración de trabajo medida.</x:v>
      </x:c>
      <x:c r="R59" s="35" t="str">
        <x:v>docs/missions-redesign.md
lib/features/community/presentation/mission_management_screen.dart
supabase/migrations/013_missions_redesign.sql</x:v>
      </x:c>
    </x:row>
    <x:row r="60" ht="56" customHeight="1">
      <x:c r="A60" s="34" t="str">
        <x:v>BD-16</x:v>
      </x:c>
      <x:c r="B60" s="34" t="str">
        <x:v>Desarrollo Base de Datos y Back-end</x:v>
      </x:c>
      <x:c r="C60" s="34" t="str">
        <x:v>Fichas Profesionales</x:v>
      </x:c>
      <x:c r="D60" s="34" t="str">
        <x:v>Crear modelo de portafolio, catálogo y servicios</x:v>
      </x:c>
      <x:c r="E60" s="35" t="str">
        <x:v>Diferenciar fichas independientes del feed social.</x:v>
      </x:c>
      <x:c r="F60" s="35" t="str">
        <x:v>Completado</x:v>
      </x:c>
      <x:c r="G60" s="36" t="n">
        <x:v>46287</x:v>
      </x:c>
      <x:c r="H60" s="36" t="n">
        <x:v>46295</x:v>
      </x:c>
      <x:c r="I60" s="37" t="n">
        <x:f>IF(OR(G60="",H60=""),"",SUMPRODUCT(('Cronograma'!$G$8:$Q$8&lt;=H60)*('Cronograma'!$G$9:$Q$9&gt;=G60)))</x:f>
        <x:v>1</x:v>
      </x:c>
      <x:c r="J60" s="37" t="n">
        <x:f>IF(F60="Completado",I60,"")</x:f>
        <x:v>1</x:v>
      </x:c>
      <x:c r="K60" s="35" t="str">
        <x:v>Base de datos</x:v>
      </x:c>
      <x:c r="L60" s="38" t="str">
        <x:v>Alan</x:v>
      </x:c>
      <x:c r="M60" s="38" t="str"/>
      <x:c r="N60" s="39" t="n">
        <x:v>46292</x:v>
      </x:c>
      <x:c r="O60" s="35" t="str">
        <x:v>DIS-14</x:v>
      </x:c>
      <x:c r="P60" s="35" t="str">
        <x:v>Completado</x:v>
      </x:c>
      <x:c r="Q60" s="35" t="str">
        <x:v>R se coloca en los mismos bloques que E por criterio del cronograma; no representa una duración de trabajo medida.</x:v>
      </x:c>
      <x:c r="R60" s="35" t="str">
        <x:v>docs/community.md
lib/features/showcase/data/showcase_repository.dart
lib/features/showcase/presentation/showcase_composer_screen.dart
supabase/migrations/006_profile_experience.sql</x:v>
      </x:c>
    </x:row>
    <x:row r="61" ht="56" customHeight="1">
      <x:c r="A61" s="34" t="str">
        <x:v>BD-17</x:v>
      </x:c>
      <x:c r="B61" s="34" t="str">
        <x:v>Desarrollo Base de Datos y Back-end</x:v>
      </x:c>
      <x:c r="C61" s="34" t="str">
        <x:v>Fichas Profesionales</x:v>
      </x:c>
      <x:c r="D61" s="34" t="str">
        <x:v>Guardar galerías, precio MXN y disponibilidad</x:v>
      </x:c>
      <x:c r="E61" s="35" t="str">
        <x:v>Validar contenido profesional y permisos de edición.</x:v>
      </x:c>
      <x:c r="F61" s="35" t="str">
        <x:v>Completado</x:v>
      </x:c>
      <x:c r="G61" s="36" t="n">
        <x:v>46287</x:v>
      </x:c>
      <x:c r="H61" s="36" t="n">
        <x:v>46295</x:v>
      </x:c>
      <x:c r="I61" s="37" t="n">
        <x:f>IF(OR(G61="",H61=""),"",SUMPRODUCT(('Cronograma'!$G$8:$Q$8&lt;=H61)*('Cronograma'!$G$9:$Q$9&gt;=G61)))</x:f>
        <x:v>1</x:v>
      </x:c>
      <x:c r="J61" s="37" t="n">
        <x:f>IF(F61="Completado",I61,"")</x:f>
        <x:v>1</x:v>
      </x:c>
      <x:c r="K61" s="35" t="str">
        <x:v>Base de datos</x:v>
      </x:c>
      <x:c r="L61" s="38" t="str">
        <x:v>Alan</x:v>
      </x:c>
      <x:c r="M61" s="38" t="str"/>
      <x:c r="N61" s="39" t="n">
        <x:v>46292</x:v>
      </x:c>
      <x:c r="O61" s="35" t="str">
        <x:v>DIS-14</x:v>
      </x:c>
      <x:c r="P61" s="35" t="str">
        <x:v>Completado</x:v>
      </x:c>
      <x:c r="Q61" s="35" t="str">
        <x:v>R se coloca en los mismos bloques que E por criterio del cronograma; no representa una duración de trabajo medida.</x:v>
      </x:c>
      <x:c r="R61" s="35" t="str">
        <x:v>docs/community.md
lib/features/showcase/data/showcase_repository.dart
lib/features/showcase/presentation/showcase_composer_screen.dart
supabase/migrations/006_profile_experience.sql</x:v>
      </x:c>
    </x:row>
    <x:row r="62" ht="46" customHeight="1">
      <x:c r="A62" s="34" t="str">
        <x:v>BD-18</x:v>
      </x:c>
      <x:c r="B62" s="34" t="str">
        <x:v>Desarrollo Base de Datos y Back-end</x:v>
      </x:c>
      <x:c r="C62" s="34" t="str">
        <x:v>Mapa y Ubicación</x:v>
      </x:c>
      <x:c r="D62" s="34" t="str">
        <x:v>Crear consultas de mapa y filtros por radio</x:v>
      </x:c>
      <x:c r="E62" s="35" t="str">
        <x:v>Consultar coordenadas y misiones dentro del área solicitada.</x:v>
      </x:c>
      <x:c r="F62" s="35" t="str">
        <x:v>Completado</x:v>
      </x:c>
      <x:c r="G62" s="36" t="n">
        <x:v>46296</x:v>
      </x:c>
      <x:c r="H62" s="36" t="n">
        <x:v>46302</x:v>
      </x:c>
      <x:c r="I62" s="37" t="n">
        <x:f>IF(OR(G62="",H62=""),"",SUMPRODUCT(('Cronograma'!$G$8:$Q$8&lt;=H62)*('Cronograma'!$G$9:$Q$9&gt;=G62)))</x:f>
        <x:v>1</x:v>
      </x:c>
      <x:c r="J62" s="37" t="n">
        <x:f>IF(F62="Completado",I62,"")</x:f>
        <x:v>1</x:v>
      </x:c>
      <x:c r="K62" s="35" t="str">
        <x:v>Base de datos</x:v>
      </x:c>
      <x:c r="L62" s="38" t="str">
        <x:v>Alan</x:v>
      </x:c>
      <x:c r="M62" s="38" t="str"/>
      <x:c r="N62" s="39" t="n">
        <x:v>46297</x:v>
      </x:c>
      <x:c r="O62" s="35" t="str">
        <x:v>DIS-15</x:v>
      </x:c>
      <x:c r="P62" s="35" t="str">
        <x:v>Completado</x:v>
      </x:c>
      <x:c r="Q62" s="35" t="str">
        <x:v>R se coloca en los mismos bloques que E por criterio del cronograma; no representa una duración de trabajo medida.</x:v>
      </x:c>
      <x:c r="R62" s="35" t="str">
        <x:v>docs/map.md
supabase/migrations/012_mission_map.sql
git:ffd8990:lib/features/map/presentation/mission_map_screen.dart</x:v>
      </x:c>
    </x:row>
    <x:row r="63" ht="56" customHeight="1">
      <x:c r="A63" s="34" t="str">
        <x:v>BD-19</x:v>
      </x:c>
      <x:c r="B63" s="34" t="str">
        <x:v>Desarrollo Base de Datos y Back-end</x:v>
      </x:c>
      <x:c r="C63" s="34" t="str">
        <x:v>Notificaciones Push</x:v>
      </x:c>
      <x:c r="D63" s="34" t="str">
        <x:v>Crear cola de entrega y preferencias push</x:v>
      </x:c>
      <x:c r="E63" s="35" t="str">
        <x:v>Persistir tokens, eventos y configuración por usuario.</x:v>
      </x:c>
      <x:c r="F63" s="35" t="str">
        <x:v>Completado</x:v>
      </x:c>
      <x:c r="G63" s="36" t="n">
        <x:v>46296</x:v>
      </x:c>
      <x:c r="H63" s="36" t="n">
        <x:v>46302</x:v>
      </x:c>
      <x:c r="I63" s="37" t="n">
        <x:f>IF(OR(G63="",H63=""),"",SUMPRODUCT(('Cronograma'!$G$8:$Q$8&lt;=H63)*('Cronograma'!$G$9:$Q$9&gt;=G63)))</x:f>
        <x:v>1</x:v>
      </x:c>
      <x:c r="J63" s="37" t="n">
        <x:f>IF(F63="Completado",I63,"")</x:f>
        <x:v>1</x:v>
      </x:c>
      <x:c r="K63" s="35" t="str">
        <x:v>Base de datos</x:v>
      </x:c>
      <x:c r="L63" s="38" t="str">
        <x:v>Alan</x:v>
      </x:c>
      <x:c r="M63" s="38" t="str"/>
      <x:c r="N63" s="39" t="n">
        <x:v>46301</x:v>
      </x:c>
      <x:c r="O63" s="35" t="str">
        <x:v>DIS-16</x:v>
      </x:c>
      <x:c r="P63" s="35" t="str">
        <x:v>Completado</x:v>
      </x:c>
      <x:c r="Q63" s="35" t="str">
        <x:v>R se coloca en los mismos bloques que E por criterio del cronograma; no representa una duración de trabajo medida.</x:v>
      </x:c>
      <x:c r="R63" s="35" t="str">
        <x:v>supabase/migrations/014_android_push.sql
supabase/functions/send-push/index.ts
supabase/functions/send-push/delivery.ts
docs/android-push.md</x:v>
      </x:c>
    </x:row>
    <x:row r="64" ht="56" customHeight="1">
      <x:c r="A64" s="34" t="str">
        <x:v>BD-20</x:v>
      </x:c>
      <x:c r="B64" s="34" t="str">
        <x:v>Desarrollo Base de Datos y Back-end</x:v>
      </x:c>
      <x:c r="C64" s="34" t="str">
        <x:v>Notificaciones Push</x:v>
      </x:c>
      <x:c r="D64" s="34" t="str">
        <x:v>Implementar envío FCM y reintentos</x:v>
      </x:c>
      <x:c r="E64" s="35" t="str">
        <x:v>Procesar la cola sin duplicar avisos y limpiar tokens inválidos.</x:v>
      </x:c>
      <x:c r="F64" s="35" t="str">
        <x:v>Completado</x:v>
      </x:c>
      <x:c r="G64" s="36" t="n">
        <x:v>46296</x:v>
      </x:c>
      <x:c r="H64" s="36" t="n">
        <x:v>46302</x:v>
      </x:c>
      <x:c r="I64" s="37" t="n">
        <x:f>IF(OR(G64="",H64=""),"",SUMPRODUCT(('Cronograma'!$G$8:$Q$8&lt;=H64)*('Cronograma'!$G$9:$Q$9&gt;=G64)))</x:f>
        <x:v>1</x:v>
      </x:c>
      <x:c r="J64" s="37" t="n">
        <x:f>IF(F64="Completado",I64,"")</x:f>
        <x:v>1</x:v>
      </x:c>
      <x:c r="K64" s="35" t="str">
        <x:v>Back-end AR</x:v>
      </x:c>
      <x:c r="L64" s="38" t="str">
        <x:v>Cristopher</x:v>
      </x:c>
      <x:c r="M64" s="38" t="str"/>
      <x:c r="N64" s="39" t="n">
        <x:v>46301</x:v>
      </x:c>
      <x:c r="O64" s="35" t="str">
        <x:v>DIS-16</x:v>
      </x:c>
      <x:c r="P64" s="35" t="str">
        <x:v>Completado</x:v>
      </x:c>
      <x:c r="Q64" s="35" t="str">
        <x:v>R se coloca en los mismos bloques que E por criterio del cronograma; no representa una duración de trabajo medida.</x:v>
      </x:c>
      <x:c r="R64" s="35" t="str">
        <x:v>supabase/migrations/014_android_push.sql
supabase/functions/send-push/index.ts
supabase/functions/send-push/delivery.ts
docs/android-push.md</x:v>
      </x:c>
    </x:row>
    <x:row r="65" ht="56" customHeight="1">
      <x:c r="A65" s="34" t="str">
        <x:v>BD-21</x:v>
      </x:c>
      <x:c r="B65" s="34" t="str">
        <x:v>Desarrollo Base de Datos y Back-end</x:v>
      </x:c>
      <x:c r="C65" s="34" t="str">
        <x:v>Recorridos y Realidad Aumentada</x:v>
      </x:c>
      <x:c r="D65" s="34" t="str">
        <x:v>Crear migración de recorridos, zonas y versiones</x:v>
      </x:c>
      <x:c r="E65" s="35" t="str">
        <x:v>Persistir estructura de captura y resultados por versión.</x:v>
      </x:c>
      <x:c r="F65" s="35" t="str">
        <x:v>Completado</x:v>
      </x:c>
      <x:c r="G65" s="36" t="n">
        <x:v>46296</x:v>
      </x:c>
      <x:c r="H65" s="36" t="n">
        <x:v>46302</x:v>
      </x:c>
      <x:c r="I65" s="37" t="n">
        <x:f>IF(OR(G65="",H65=""),"",SUMPRODUCT(('Cronograma'!$G$8:$Q$8&lt;=H65)*('Cronograma'!$G$9:$Q$9&gt;=G65)))</x:f>
        <x:v>1</x:v>
      </x:c>
      <x:c r="J65" s="37" t="n">
        <x:f>IF(F65="Completado",I65,"")</x:f>
        <x:v>1</x:v>
      </x:c>
      <x:c r="K65" s="35" t="str">
        <x:v>Base de datos</x:v>
      </x:c>
      <x:c r="L65" s="38" t="str">
        <x:v>Alan</x:v>
      </x:c>
      <x:c r="M65" s="38" t="str"/>
      <x:c r="N65" s="39" t="n">
        <x:v>46301</x:v>
      </x:c>
      <x:c r="O65" s="35" t="str">
        <x:v>DIS-17</x:v>
      </x:c>
      <x:c r="P65" s="35" t="str">
        <x:v>Completado</x:v>
      </x:c>
      <x:c r="Q65" s="35" t="str">
        <x:v>R se coloca en los mismos bloques que E por criterio del cronograma; no representa una duración de trabajo medida.</x:v>
      </x:c>
      <x:c r="R65" s="35" t="str">
        <x:v>supabase/migrations/015_tours.sql
supabase/functions/delete-account/tour-storage.ts
supabase/tours/repair-cleanup-lease.sql
docs/implementation/tours-local-pilot-report.md</x:v>
      </x:c>
    </x:row>
    <x:row r="66" ht="56" customHeight="1">
      <x:c r="A66" s="34" t="str">
        <x:v>BD-22</x:v>
      </x:c>
      <x:c r="B66" s="34" t="str">
        <x:v>Desarrollo Base de Datos y Back-end</x:v>
      </x:c>
      <x:c r="C66" s="34" t="str">
        <x:v>Recorridos y Realidad Aumentada</x:v>
      </x:c>
      <x:c r="D66" s="34" t="str">
        <x:v>Implementar bucket privado y carga reanudable</x:v>
      </x:c>
      <x:c r="E66" s="35" t="str">
        <x:v>Aislar recursos y permitir retomar transferencias TUS.</x:v>
      </x:c>
      <x:c r="F66" s="35" t="str">
        <x:v>Completado</x:v>
      </x:c>
      <x:c r="G66" s="36" t="n">
        <x:v>46296</x:v>
      </x:c>
      <x:c r="H66" s="36" t="n">
        <x:v>46302</x:v>
      </x:c>
      <x:c r="I66" s="37" t="n">
        <x:f>IF(OR(G66="",H66=""),"",SUMPRODUCT(('Cronograma'!$G$8:$Q$8&lt;=H66)*('Cronograma'!$G$9:$Q$9&gt;=G66)))</x:f>
        <x:v>1</x:v>
      </x:c>
      <x:c r="J66" s="37" t="n">
        <x:f>IF(F66="Completado",I66,"")</x:f>
        <x:v>1</x:v>
      </x:c>
      <x:c r="K66" s="35" t="str">
        <x:v>Base de datos</x:v>
      </x:c>
      <x:c r="L66" s="38" t="str">
        <x:v>Alan</x:v>
      </x:c>
      <x:c r="M66" s="38" t="str"/>
      <x:c r="N66" s="39" t="n">
        <x:v>46301</x:v>
      </x:c>
      <x:c r="O66" s="35" t="str">
        <x:v>DIS-17</x:v>
      </x:c>
      <x:c r="P66" s="35" t="str">
        <x:v>Completado</x:v>
      </x:c>
      <x:c r="Q66" s="35" t="str">
        <x:v>R se coloca en los mismos bloques que E por criterio del cronograma; no representa una duración de trabajo medida.</x:v>
      </x:c>
      <x:c r="R66" s="35" t="str">
        <x:v>docs/ar-experience-design.md
lib/features/tours/data/tus_uploader.dart
lib/features/tours/data/tour_local_store_io.dart
lib/features/tours/data/tour_local_store_web.dart</x:v>
      </x:c>
    </x:row>
    <x:row r="67" ht="56" customHeight="1">
      <x:c r="A67" s="34" t="str">
        <x:v>BD-23</x:v>
      </x:c>
      <x:c r="B67" s="34" t="str">
        <x:v>Desarrollo Base de Datos y Back-end</x:v>
      </x:c>
      <x:c r="C67" s="34" t="str">
        <x:v>Recorridos y Realidad Aumentada</x:v>
      </x:c>
      <x:c r="D67" s="34" t="str">
        <x:v>Implementar cola, leases y limpieza de recorridos</x:v>
      </x:c>
      <x:c r="E67" s="35" t="str">
        <x:v>Coordinar ejecución, cancelación y eliminación recursiva.</x:v>
      </x:c>
      <x:c r="F67" s="35" t="str">
        <x:v>Completado</x:v>
      </x:c>
      <x:c r="G67" s="36" t="n">
        <x:v>46296</x:v>
      </x:c>
      <x:c r="H67" s="36" t="n">
        <x:v>46302</x:v>
      </x:c>
      <x:c r="I67" s="37" t="n">
        <x:f>IF(OR(G67="",H67=""),"",SUMPRODUCT(('Cronograma'!$G$8:$Q$8&lt;=H67)*('Cronograma'!$G$9:$Q$9&gt;=G67)))</x:f>
        <x:v>1</x:v>
      </x:c>
      <x:c r="J67" s="37" t="n">
        <x:f>IF(F67="Completado",I67,"")</x:f>
        <x:v>1</x:v>
      </x:c>
      <x:c r="K67" s="35" t="str">
        <x:v>Base de datos</x:v>
      </x:c>
      <x:c r="L67" s="38" t="str">
        <x:v>Alan</x:v>
      </x:c>
      <x:c r="M67" s="38" t="str"/>
      <x:c r="N67" s="39" t="n">
        <x:v>46301</x:v>
      </x:c>
      <x:c r="O67" s="35" t="str">
        <x:v>DIS-17</x:v>
      </x:c>
      <x:c r="P67" s="35" t="str">
        <x:v>Completado</x:v>
      </x:c>
      <x:c r="Q67" s="35" t="str">
        <x:v>R se coloca en los mismos bloques que E por criterio del cronograma; no representa una duración de trabajo medida.</x:v>
      </x:c>
      <x:c r="R67" s="35" t="str">
        <x:v>supabase/migrations/015_tours.sql
supabase/functions/delete-account/tour-storage.ts
supabase/tours/repair-cleanup-lease.sql
docs/implementation/tours-local-pilot-report.md</x:v>
      </x:c>
    </x:row>
    <x:row r="68" ht="56" customHeight="1">
      <x:c r="A68" s="34" t="str">
        <x:v>BD-24</x:v>
      </x:c>
      <x:c r="B68" s="34" t="str">
        <x:v>Desarrollo Base de Datos y Back-end</x:v>
      </x:c>
      <x:c r="C68" s="34" t="str">
        <x:v>Recorridos y Realidad Aumentada</x:v>
      </x:c>
      <x:c r="D68" s="34" t="str">
        <x:v>Implementar procesador Hugin y Enblend</x:v>
      </x:c>
      <x:c r="E68" s="35" t="str">
        <x:v>Generar panorama, vista previa y metadatos GPano.</x:v>
      </x:c>
      <x:c r="F68" s="35" t="str">
        <x:v>Completado</x:v>
      </x:c>
      <x:c r="G68" s="36" t="n">
        <x:v>46296</x:v>
      </x:c>
      <x:c r="H68" s="36" t="n">
        <x:v>46302</x:v>
      </x:c>
      <x:c r="I68" s="37" t="n">
        <x:f>IF(OR(G68="",H68=""),"",SUMPRODUCT(('Cronograma'!$G$8:$Q$8&lt;=H68)*('Cronograma'!$G$9:$Q$9&gt;=G68)))</x:f>
        <x:v>1</x:v>
      </x:c>
      <x:c r="J68" s="37" t="n">
        <x:f>IF(F68="Completado",I68,"")</x:f>
        <x:v>1</x:v>
      </x:c>
      <x:c r="K68" s="35" t="str">
        <x:v>Back-end AR</x:v>
      </x:c>
      <x:c r="L68" s="38" t="str">
        <x:v>Cristopher</x:v>
      </x:c>
      <x:c r="M68" s="38" t="str"/>
      <x:c r="N68" s="39" t="n">
        <x:v>46301</x:v>
      </x:c>
      <x:c r="O68" s="35" t="str">
        <x:v>DIS-17</x:v>
      </x:c>
      <x:c r="P68" s="35" t="str">
        <x:v>Completado</x:v>
      </x:c>
      <x:c r="Q68" s="35" t="str">
        <x:v>R se coloca en los mismos bloques que E por criterio del cronograma; no representa una duración de trabajo medida.</x:v>
      </x:c>
      <x:c r="R68" s="35" t="str">
        <x:v>processing/tours/README.md
processing/tours/worker.py
processing/tours/Dockerfile
docs/implementation/tours-local-pilot-report.md</x:v>
      </x:c>
    </x:row>
    <x:row r="69" ht="56" customHeight="1">
      <x:c r="A69" s="34" t="str">
        <x:v>BD-25</x:v>
      </x:c>
      <x:c r="B69" s="34" t="str">
        <x:v>Desarrollo Base de Datos y Back-end</x:v>
      </x:c>
      <x:c r="C69" s="34" t="str">
        <x:v>Moderación y Administración</x:v>
      </x:c>
      <x:c r="D69" s="34" t="str">
        <x:v>Crear reportes y cola privada de moderación</x:v>
      </x:c>
      <x:c r="E69" s="35" t="str">
        <x:v>Permitir revisión autorizada de publicaciones y misiones.</x:v>
      </x:c>
      <x:c r="F69" s="35" t="str">
        <x:v>Completado</x:v>
      </x:c>
      <x:c r="G69" s="36" t="n">
        <x:v>46280</x:v>
      </x:c>
      <x:c r="H69" s="36" t="n">
        <x:v>46286</x:v>
      </x:c>
      <x:c r="I69" s="37" t="n">
        <x:f>IF(OR(G69="",H69=""),"",SUMPRODUCT(('Cronograma'!$G$8:$Q$8&lt;=H69)*('Cronograma'!$G$9:$Q$9&gt;=G69)))</x:f>
        <x:v>1</x:v>
      </x:c>
      <x:c r="J69" s="37" t="n">
        <x:f>IF(F69="Completado",I69,"")</x:f>
        <x:v>1</x:v>
      </x:c>
      <x:c r="K69" s="35" t="str">
        <x:v>Base de datos</x:v>
      </x:c>
      <x:c r="L69" s="38" t="str">
        <x:v>Alan</x:v>
      </x:c>
      <x:c r="M69" s="38" t="str"/>
      <x:c r="N69" s="39" t="n">
        <x:v>46282</x:v>
      </x:c>
      <x:c r="O69" s="35" t="str">
        <x:v>DIS-18</x:v>
      </x:c>
      <x:c r="P69" s="35" t="str">
        <x:v>Completado</x:v>
      </x:c>
      <x:c r="Q69" s="35" t="str">
        <x:v>R se coloca en los mismos bloques que E por criterio del cronograma; no representa una duración de trabajo medida.</x:v>
      </x:c>
      <x:c r="R69" s="35" t="str">
        <x:v>docs/community.md
docs/account-completion.md
supabase/functions/delete-account/index.ts
lib/features/community/presentation/moderation_screen.dart</x:v>
      </x:c>
    </x:row>
    <x:row r="70" ht="56" customHeight="1">
      <x:c r="A70" s="34" t="str">
        <x:v>BD-26</x:v>
      </x:c>
      <x:c r="B70" s="34" t="str">
        <x:v>Desarrollo Base de Datos y Back-end</x:v>
      </x:c>
      <x:c r="C70" s="34" t="str">
        <x:v>Moderación y Administración</x:v>
      </x:c>
      <x:c r="D70" s="34" t="str">
        <x:v>Implementar ocultamiento, restauración y limpieza</x:v>
      </x:c>
      <x:c r="E70" s="35" t="str">
        <x:v>Controlar visibilidad y eliminación segura de imágenes.</x:v>
      </x:c>
      <x:c r="F70" s="35" t="str">
        <x:v>Completado</x:v>
      </x:c>
      <x:c r="G70" s="36" t="n">
        <x:v>46280</x:v>
      </x:c>
      <x:c r="H70" s="36" t="n">
        <x:v>46286</x:v>
      </x:c>
      <x:c r="I70" s="37" t="n">
        <x:f>IF(OR(G70="",H70=""),"",SUMPRODUCT(('Cronograma'!$G$8:$Q$8&lt;=H70)*('Cronograma'!$G$9:$Q$9&gt;=G70)))</x:f>
        <x:v>1</x:v>
      </x:c>
      <x:c r="J70" s="37" t="n">
        <x:f>IF(F70="Completado",I70,"")</x:f>
        <x:v>1</x:v>
      </x:c>
      <x:c r="K70" s="35" t="str">
        <x:v>Base de datos</x:v>
      </x:c>
      <x:c r="L70" s="38" t="str">
        <x:v>Alan</x:v>
      </x:c>
      <x:c r="M70" s="38" t="str"/>
      <x:c r="N70" s="39" t="n">
        <x:v>46282</x:v>
      </x:c>
      <x:c r="O70" s="35" t="str">
        <x:v>DIS-18</x:v>
      </x:c>
      <x:c r="P70" s="35" t="str">
        <x:v>Completado</x:v>
      </x:c>
      <x:c r="Q70" s="35" t="str">
        <x:v>R se coloca en los mismos bloques que E por criterio del cronograma; no representa una duración de trabajo medida.</x:v>
      </x:c>
      <x:c r="R70" s="35" t="str">
        <x:v>docs/community.md
docs/account-completion.md
supabase/functions/delete-account/index.ts
lib/features/community/presentation/moderation_screen.dart</x:v>
      </x:c>
    </x:row>
    <x:row r="71" ht="56" customHeight="1">
      <x:c r="A71" s="34" t="str">
        <x:v>FE-01</x:v>
      </x:c>
      <x:c r="B71" s="34" t="str">
        <x:v>Desarrollo Front-end (Cliente)</x:v>
      </x:c>
      <x:c r="C71" s="34" t="str">
        <x:v>Transversal</x:v>
      </x:c>
      <x:c r="D71" s="34" t="str">
        <x:v>Crear proyecto Flutter y configuración del cliente</x:v>
      </x:c>
      <x:c r="E71" s="35" t="str">
        <x:v>Preparar Android, iOS y Web con dependencias y parámetros públicos.</x:v>
      </x:c>
      <x:c r="F71" s="35" t="str">
        <x:v>Completado</x:v>
      </x:c>
      <x:c r="G71" s="36" t="n">
        <x:v>46273</x:v>
      </x:c>
      <x:c r="H71" s="36" t="n">
        <x:v>46279</x:v>
      </x:c>
      <x:c r="I71" s="37" t="n">
        <x:f>IF(OR(G71="",H71=""),"",SUMPRODUCT(('Cronograma'!$G$8:$Q$8&lt;=H71)*('Cronograma'!$G$9:$Q$9&gt;=G71)))</x:f>
        <x:v>1</x:v>
      </x:c>
      <x:c r="J71" s="37" t="n">
        <x:f>IF(F71="Completado",I71,"")</x:f>
        <x:v>1</x:v>
      </x:c>
      <x:c r="K71" s="35" t="str">
        <x:v>UI/UX</x:v>
      </x:c>
      <x:c r="L71" s="38" t="str">
        <x:v>Fatima</x:v>
      </x:c>
      <x:c r="M71" s="38" t="str"/>
      <x:c r="N71" s="39" t="n">
        <x:v>46276</x:v>
      </x:c>
      <x:c r="O71" s="35" t="str">
        <x:v>DIS-05</x:v>
      </x:c>
      <x:c r="P71" s="35" t="str">
        <x:v>Completado</x:v>
      </x:c>
      <x:c r="Q71" s="35" t="str">
        <x:v>R se coloca en los mismos bloques que E por criterio del cronograma; no representa una duración de trabajo medida.</x:v>
      </x:c>
      <x:c r="R71" s="35" t="str">
        <x:v>git:b92a237:README.md
git:b92a237:pubspec.yaml
git:b92a237:lib/main.dart
git:b92a237:lib/core/config/app_config.dart</x:v>
      </x:c>
    </x:row>
    <x:row r="72" ht="56" customHeight="1">
      <x:c r="A72" s="34" t="str">
        <x:v>FE-02</x:v>
      </x:c>
      <x:c r="B72" s="34" t="str">
        <x:v>Desarrollo Front-end (Cliente)</x:v>
      </x:c>
      <x:c r="C72" s="34" t="str">
        <x:v>Transversal</x:v>
      </x:c>
      <x:c r="D72" s="34" t="str">
        <x:v>Configurar rutas y continuidad de sesión</x:v>
      </x:c>
      <x:c r="E72" s="35" t="str">
        <x:v>Implementar go_router, guards y restauración del destino.</x:v>
      </x:c>
      <x:c r="F72" s="35" t="str">
        <x:v>Completado</x:v>
      </x:c>
      <x:c r="G72" s="36" t="n">
        <x:v>46273</x:v>
      </x:c>
      <x:c r="H72" s="36" t="n">
        <x:v>46279</x:v>
      </x:c>
      <x:c r="I72" s="37" t="n">
        <x:f>IF(OR(G72="",H72=""),"",SUMPRODUCT(('Cronograma'!$G$8:$Q$8&lt;=H72)*('Cronograma'!$G$9:$Q$9&gt;=G72)))</x:f>
        <x:v>1</x:v>
      </x:c>
      <x:c r="J72" s="37" t="n">
        <x:f>IF(F72="Completado",I72,"")</x:f>
        <x:v>1</x:v>
      </x:c>
      <x:c r="K72" s="35" t="str">
        <x:v>UI/UX</x:v>
      </x:c>
      <x:c r="L72" s="38" t="str">
        <x:v>Fatima</x:v>
      </x:c>
      <x:c r="M72" s="38" t="str"/>
      <x:c r="N72" s="39" t="n">
        <x:v>46276</x:v>
      </x:c>
      <x:c r="O72" s="35" t="str">
        <x:v>DIS-05</x:v>
      </x:c>
      <x:c r="P72" s="35" t="str">
        <x:v>Completado</x:v>
      </x:c>
      <x:c r="Q72" s="35" t="str">
        <x:v>R se coloca en los mismos bloques que E por criterio del cronograma; no representa una duración de trabajo medida.</x:v>
      </x:c>
      <x:c r="R72" s="35" t="str">
        <x:v>git:b92a237:README.md
git:b92a237:pubspec.yaml
git:b92a237:lib/main.dart
git:b92a237:lib/core/config/app_config.dart</x:v>
      </x:c>
    </x:row>
    <x:row r="73" ht="46" customHeight="1">
      <x:c r="A73" s="34" t="str">
        <x:v>FE-03</x:v>
      </x:c>
      <x:c r="B73" s="34" t="str">
        <x:v>Desarrollo Front-end (Cliente)</x:v>
      </x:c>
      <x:c r="C73" s="34" t="str">
        <x:v>Autenticación y Acceso</x:v>
      </x:c>
      <x:c r="D73" s="34" t="str">
        <x:v>Implementar registro en pasos y validadores</x:v>
      </x:c>
      <x:c r="E73" s="35" t="str">
        <x:v>Capturar datos y bloquear entradas incompletas o inválidas.</x:v>
      </x:c>
      <x:c r="F73" s="35" t="str">
        <x:v>Completado</x:v>
      </x:c>
      <x:c r="G73" s="36" t="n">
        <x:v>46287</x:v>
      </x:c>
      <x:c r="H73" s="36" t="n">
        <x:v>46295</x:v>
      </x:c>
      <x:c r="I73" s="37" t="n">
        <x:f>IF(OR(G73="",H73=""),"",SUMPRODUCT(('Cronograma'!$G$8:$Q$8&lt;=H73)*('Cronograma'!$G$9:$Q$9&gt;=G73)))</x:f>
        <x:v>1</x:v>
      </x:c>
      <x:c r="J73" s="37" t="n">
        <x:f>IF(F73="Completado",I73,"")</x:f>
        <x:v>1</x:v>
      </x:c>
      <x:c r="K73" s="35" t="str">
        <x:v>Back-end AR</x:v>
      </x:c>
      <x:c r="L73" s="38" t="str">
        <x:v>Cristopher</x:v>
      </x:c>
      <x:c r="M73" s="38" t="str"/>
      <x:c r="N73" s="39" t="n">
        <x:v>46293</x:v>
      </x:c>
      <x:c r="O73" s="35" t="str">
        <x:v>BD-03</x:v>
      </x:c>
      <x:c r="P73" s="35" t="str">
        <x:v>Completado</x:v>
      </x:c>
      <x:c r="Q73" s="35" t="str">
        <x:v>R se coloca en los mismos bloques que E por criterio del cronograma; no representa una duración de trabajo medida.</x:v>
      </x:c>
      <x:c r="R73" s="35" t="str">
        <x:v>docs/access-redesign.md
output/access-redesign-progress.md
supabase/migrations/007_minimal_registration.sql</x:v>
      </x:c>
    </x:row>
    <x:row r="74" ht="46" customHeight="1">
      <x:c r="A74" s="34" t="str">
        <x:v>FE-04</x:v>
      </x:c>
      <x:c r="B74" s="34" t="str">
        <x:v>Desarrollo Front-end (Cliente)</x:v>
      </x:c>
      <x:c r="C74" s="34" t="str">
        <x:v>Autenticación y Acceso</x:v>
      </x:c>
      <x:c r="D74" s="34" t="str">
        <x:v>Implementar inicio, cierre y persistencia de sesión</x:v>
      </x:c>
      <x:c r="E74" s="35" t="str">
        <x:v>Sincronizar autenticación y perfil durante aperturas y cambios de cuenta.</x:v>
      </x:c>
      <x:c r="F74" s="35" t="str">
        <x:v>Completado</x:v>
      </x:c>
      <x:c r="G74" s="36" t="n">
        <x:v>46273</x:v>
      </x:c>
      <x:c r="H74" s="36" t="n">
        <x:v>46279</x:v>
      </x:c>
      <x:c r="I74" s="37" t="n">
        <x:f>IF(OR(G74="",H74=""),"",SUMPRODUCT(('Cronograma'!$G$8:$Q$8&lt;=H74)*('Cronograma'!$G$9:$Q$9&gt;=G74)))</x:f>
        <x:v>1</x:v>
      </x:c>
      <x:c r="J74" s="37" t="n">
        <x:f>IF(F74="Completado",I74,"")</x:f>
        <x:v>1</x:v>
      </x:c>
      <x:c r="K74" s="35" t="str">
        <x:v>Back-end AR</x:v>
      </x:c>
      <x:c r="L74" s="38" t="str">
        <x:v>Cristopher</x:v>
      </x:c>
      <x:c r="M74" s="38" t="str"/>
      <x:c r="N74" s="39" t="n">
        <x:v>46276</x:v>
      </x:c>
      <x:c r="O74" s="35" t="str">
        <x:v>BD-03</x:v>
      </x:c>
      <x:c r="P74" s="35" t="str">
        <x:v>Completado</x:v>
      </x:c>
      <x:c r="Q74" s="35" t="str">
        <x:v>R se coloca en los mismos bloques que E por criterio del cronograma; no representa una duración de trabajo medida.</x:v>
      </x:c>
      <x:c r="R74" s="35" t="str">
        <x:v>git:b92a237:lib/features/auth/data/auth_repository.dart
git:b92a237:lib/features/auth/presentation/register_screen.dart
git:b92a237:lib/core/session/app_session_controller.dart</x:v>
      </x:c>
    </x:row>
    <x:row r="75" ht="56" customHeight="1">
      <x:c r="A75" s="34" t="str">
        <x:v>FE-05</x:v>
      </x:c>
      <x:c r="B75" s="34" t="str">
        <x:v>Desarrollo Front-end (Cliente)</x:v>
      </x:c>
      <x:c r="C75" s="34" t="str">
        <x:v>Autenticación y Acceso</x:v>
      </x:c>
      <x:c r="D75" s="34" t="str">
        <x:v>Implementar recuperación mediante OTP</x:v>
      </x:c>
      <x:c r="E75" s="35" t="str">
        <x:v>Solicitar, verificar y reenviar códigos con control de espera.</x:v>
      </x:c>
      <x:c r="F75" s="35" t="str">
        <x:v>Completado</x:v>
      </x:c>
      <x:c r="G75" s="36" t="n">
        <x:v>46273</x:v>
      </x:c>
      <x:c r="H75" s="36" t="n">
        <x:v>46279</x:v>
      </x:c>
      <x:c r="I75" s="37" t="n">
        <x:f>IF(OR(G75="",H75=""),"",SUMPRODUCT(('Cronograma'!$G$8:$Q$8&lt;=H75)*('Cronograma'!$G$9:$Q$9&gt;=G75)))</x:f>
        <x:v>1</x:v>
      </x:c>
      <x:c r="J75" s="37" t="n">
        <x:f>IF(F75="Completado",I75,"")</x:f>
        <x:v>1</x:v>
      </x:c>
      <x:c r="K75" s="35" t="str">
        <x:v>Back-end AR</x:v>
      </x:c>
      <x:c r="L75" s="38" t="str">
        <x:v>Cristopher</x:v>
      </x:c>
      <x:c r="M75" s="38" t="str"/>
      <x:c r="N75" s="39" t="n">
        <x:v>46279</x:v>
      </x:c>
      <x:c r="O75" s="35" t="str">
        <x:v>BD-03</x:v>
      </x:c>
      <x:c r="P75" s="35" t="str">
        <x:v>Completado</x:v>
      </x:c>
      <x:c r="Q75" s="35" t="str">
        <x:v>R se coloca en los mismos bloques que E por criterio del cronograma; no representa una duración de trabajo medida.</x:v>
      </x:c>
      <x:c r="R75" s="35" t="str">
        <x:v>docs/account-completion.md
docs/deployment-status.md
docs/superpowers/plans/2026-09-14-account-completion.md
supabase/migrations/002_account_completion.sql</x:v>
      </x:c>
    </x:row>
    <x:row r="76" ht="56" customHeight="1">
      <x:c r="A76" s="34" t="str">
        <x:v>FE-06</x:v>
      </x:c>
      <x:c r="B76" s="34" t="str">
        <x:v>Desarrollo Front-end (Cliente)</x:v>
      </x:c>
      <x:c r="C76" s="34" t="str">
        <x:v>Autenticación y Acceso</x:v>
      </x:c>
      <x:c r="D76" s="34" t="str">
        <x:v>Implementar cambios de contraseña y correo</x:v>
      </x:c>
      <x:c r="E76" s="35" t="str">
        <x:v>Solicitar reautenticación y confirmar operaciones sensibles.</x:v>
      </x:c>
      <x:c r="F76" s="35" t="str">
        <x:v>Completado</x:v>
      </x:c>
      <x:c r="G76" s="36" t="n">
        <x:v>46273</x:v>
      </x:c>
      <x:c r="H76" s="36" t="n">
        <x:v>46279</x:v>
      </x:c>
      <x:c r="I76" s="37" t="n">
        <x:f>IF(OR(G76="",H76=""),"",SUMPRODUCT(('Cronograma'!$G$8:$Q$8&lt;=H76)*('Cronograma'!$G$9:$Q$9&gt;=G76)))</x:f>
        <x:v>1</x:v>
      </x:c>
      <x:c r="J76" s="37" t="n">
        <x:f>IF(F76="Completado",I76,"")</x:f>
        <x:v>1</x:v>
      </x:c>
      <x:c r="K76" s="35" t="str">
        <x:v>Back-end AR</x:v>
      </x:c>
      <x:c r="L76" s="38" t="str">
        <x:v>Cristopher</x:v>
      </x:c>
      <x:c r="M76" s="38" t="str"/>
      <x:c r="N76" s="39" t="n">
        <x:v>46279</x:v>
      </x:c>
      <x:c r="O76" s="35" t="str">
        <x:v>BD-03</x:v>
      </x:c>
      <x:c r="P76" s="35" t="str">
        <x:v>Completado</x:v>
      </x:c>
      <x:c r="Q76" s="35" t="str">
        <x:v>R se coloca en los mismos bloques que E por criterio del cronograma; no representa una duración de trabajo medida.</x:v>
      </x:c>
      <x:c r="R76" s="35" t="str">
        <x:v>docs/account-completion.md
docs/deployment-status.md
docs/superpowers/plans/2026-09-14-account-completion.md
supabase/migrations/002_account_completion.sql</x:v>
      </x:c>
    </x:row>
    <x:row r="77" ht="56" customHeight="1">
      <x:c r="A77" s="34" t="str">
        <x:v>FE-07</x:v>
      </x:c>
      <x:c r="B77" s="34" t="str">
        <x:v>Desarrollo Front-end (Cliente)</x:v>
      </x:c>
      <x:c r="C77" s="34" t="str">
        <x:v>Autenticación y Acceso</x:v>
      </x:c>
      <x:c r="D77" s="34" t="str">
        <x:v>Implementar aceptación de términos y mayoría de edad</x:v>
      </x:c>
      <x:c r="E77" s="35" t="str">
        <x:v>Mostrar consentimientos explícitos y conservar la ruta pendiente.</x:v>
      </x:c>
      <x:c r="F77" s="35" t="str">
        <x:v>Completado</x:v>
      </x:c>
      <x:c r="G77" s="36" t="n">
        <x:v>46273</x:v>
      </x:c>
      <x:c r="H77" s="36" t="n">
        <x:v>46279</x:v>
      </x:c>
      <x:c r="I77" s="37" t="n">
        <x:f>IF(OR(G77="",H77=""),"",SUMPRODUCT(('Cronograma'!$G$8:$Q$8&lt;=H77)*('Cronograma'!$G$9:$Q$9&gt;=G77)))</x:f>
        <x:v>1</x:v>
      </x:c>
      <x:c r="J77" s="37" t="n">
        <x:f>IF(F77="Completado",I77,"")</x:f>
        <x:v>1</x:v>
      </x:c>
      <x:c r="K77" s="35" t="str">
        <x:v>Back-end AR</x:v>
      </x:c>
      <x:c r="L77" s="38" t="str">
        <x:v>Cristopher</x:v>
      </x:c>
      <x:c r="M77" s="38" t="str"/>
      <x:c r="N77" s="39" t="n">
        <x:v>46279</x:v>
      </x:c>
      <x:c r="O77" s="35" t="str">
        <x:v>BD-03</x:v>
      </x:c>
      <x:c r="P77" s="35" t="str">
        <x:v>Completado</x:v>
      </x:c>
      <x:c r="Q77" s="35" t="str">
        <x:v>R se coloca en los mismos bloques que E por criterio del cronograma; no representa una duración de trabajo medida.</x:v>
      </x:c>
      <x:c r="R77" s="35" t="str">
        <x:v>docs/account-completion.md
docs/deployment-status.md
docs/superpowers/plans/2026-09-14-account-completion.md
supabase/migrations/002_account_completion.sql</x:v>
      </x:c>
    </x:row>
    <x:row r="78" ht="46" customHeight="1">
      <x:c r="A78" s="34" t="str">
        <x:v>FE-08</x:v>
      </x:c>
      <x:c r="B78" s="34" t="str">
        <x:v>Desarrollo Front-end (Cliente)</x:v>
      </x:c>
      <x:c r="C78" s="34" t="str">
        <x:v>Perfil y Cuenta</x:v>
      </x:c>
      <x:c r="D78" s="34" t="str">
        <x:v>Implementar selección de los cuatro perfiles</x:v>
      </x:c>
      <x:c r="E78" s="35" t="str">
        <x:v>Presentar configuración y herramientas por tipo de cuenta.</x:v>
      </x:c>
      <x:c r="F78" s="35" t="str">
        <x:v>Completado</x:v>
      </x:c>
      <x:c r="G78" s="36" t="n">
        <x:v>46287</x:v>
      </x:c>
      <x:c r="H78" s="36" t="n">
        <x:v>46295</x:v>
      </x:c>
      <x:c r="I78" s="37" t="n">
        <x:f>IF(OR(G78="",H78=""),"",SUMPRODUCT(('Cronograma'!$G$8:$Q$8&lt;=H78)*('Cronograma'!$G$9:$Q$9&gt;=G78)))</x:f>
        <x:v>1</x:v>
      </x:c>
      <x:c r="J78" s="37" t="n">
        <x:f>IF(F78="Completado",I78,"")</x:f>
        <x:v>1</x:v>
      </x:c>
      <x:c r="K78" s="35" t="str">
        <x:v>UI/UX</x:v>
      </x:c>
      <x:c r="L78" s="38" t="str">
        <x:v>Fatima</x:v>
      </x:c>
      <x:c r="M78" s="38" t="str"/>
      <x:c r="N78" s="39" t="n">
        <x:v>46293</x:v>
      </x:c>
      <x:c r="O78" s="35" t="str">
        <x:v>BD-06</x:v>
      </x:c>
      <x:c r="P78" s="35" t="str">
        <x:v>Completado</x:v>
      </x:c>
      <x:c r="Q78" s="35" t="str">
        <x:v>R se coloca en los mismos bloques que E por criterio del cronograma; no representa una duración de trabajo medida.</x:v>
      </x:c>
      <x:c r="R78" s="35" t="str">
        <x:v>output/ux-permissions-progress.md
docs/community.md
lib/features/profile/presentation/profile_tools_sheet.dart</x:v>
      </x:c>
    </x:row>
    <x:row r="79" ht="46" customHeight="1">
      <x:c r="A79" s="34" t="str">
        <x:v>FE-09</x:v>
      </x:c>
      <x:c r="B79" s="34" t="str">
        <x:v>Desarrollo Front-end (Cliente)</x:v>
      </x:c>
      <x:c r="C79" s="34" t="str">
        <x:v>Perfil y Cuenta</x:v>
      </x:c>
      <x:c r="D79" s="34" t="str">
        <x:v>Implementar edición de identidad y datos profesionales</x:v>
      </x:c>
      <x:c r="E79" s="35" t="str">
        <x:v>Guardar nombre, usuario, biografía y campos del perfil.</x:v>
      </x:c>
      <x:c r="F79" s="35" t="str">
        <x:v>Completado</x:v>
      </x:c>
      <x:c r="G79" s="36" t="n">
        <x:v>46287</x:v>
      </x:c>
      <x:c r="H79" s="36" t="n">
        <x:v>46295</x:v>
      </x:c>
      <x:c r="I79" s="37" t="n">
        <x:f>IF(OR(G79="",H79=""),"",SUMPRODUCT(('Cronograma'!$G$8:$Q$8&lt;=H79)*('Cronograma'!$G$9:$Q$9&gt;=G79)))</x:f>
        <x:v>1</x:v>
      </x:c>
      <x:c r="J79" s="37" t="n">
        <x:f>IF(F79="Completado",I79,"")</x:f>
        <x:v>1</x:v>
      </x:c>
      <x:c r="K79" s="35" t="str">
        <x:v>UI/UX</x:v>
      </x:c>
      <x:c r="L79" s="38" t="str">
        <x:v>Fatima</x:v>
      </x:c>
      <x:c r="M79" s="38" t="str"/>
      <x:c r="N79" s="39" t="n">
        <x:v>46294</x:v>
      </x:c>
      <x:c r="O79" s="35" t="str">
        <x:v>BD-06</x:v>
      </x:c>
      <x:c r="P79" s="35" t="str">
        <x:v>Completado</x:v>
      </x:c>
      <x:c r="Q79" s="35" t="str">
        <x:v>R se coloca en los mismos bloques que E por criterio del cronograma; no representa una duración de trabajo medida.</x:v>
      </x:c>
      <x:c r="R79" s="35" t="str">
        <x:v>output/profile-redesign-progress.md
output/ux-permissions-progress.md
git:84f3151:lib/features/profile/presentation/profile_experience.dart</x:v>
      </x:c>
    </x:row>
    <x:row r="80" ht="56" customHeight="1">
      <x:c r="A80" s="34" t="str">
        <x:v>FE-10</x:v>
      </x:c>
      <x:c r="B80" s="34" t="str">
        <x:v>Desarrollo Front-end (Cliente)</x:v>
      </x:c>
      <x:c r="C80" s="34" t="str">
        <x:v>Perfil y Cuenta</x:v>
      </x:c>
      <x:c r="D80" s="34" t="str">
        <x:v>Implementar selección de avatar y portada</x:v>
      </x:c>
      <x:c r="E80" s="35" t="str">
        <x:v>Mostrar vista previa, normalizar imágenes y sincronizar cambios.</x:v>
      </x:c>
      <x:c r="F80" s="35" t="str">
        <x:v>Completado</x:v>
      </x:c>
      <x:c r="G80" s="36" t="n">
        <x:v>46273</x:v>
      </x:c>
      <x:c r="H80" s="36" t="n">
        <x:v>46279</x:v>
      </x:c>
      <x:c r="I80" s="37" t="n">
        <x:f>IF(OR(G80="",H80=""),"",SUMPRODUCT(('Cronograma'!$G$8:$Q$8&lt;=H80)*('Cronograma'!$G$9:$Q$9&gt;=G80)))</x:f>
        <x:v>1</x:v>
      </x:c>
      <x:c r="J80" s="37" t="n">
        <x:f>IF(F80="Completado",I80,"")</x:f>
        <x:v>1</x:v>
      </x:c>
      <x:c r="K80" s="35" t="str">
        <x:v>UI/UX</x:v>
      </x:c>
      <x:c r="L80" s="38" t="str">
        <x:v>Fatima</x:v>
      </x:c>
      <x:c r="M80" s="38" t="str"/>
      <x:c r="N80" s="39" t="n">
        <x:v>46279</x:v>
      </x:c>
      <x:c r="O80" s="35" t="str">
        <x:v>BD-05</x:v>
      </x:c>
      <x:c r="P80" s="35" t="str">
        <x:v>Completado</x:v>
      </x:c>
      <x:c r="Q80" s="35" t="str">
        <x:v>R se coloca en los mismos bloques que E por criterio del cronograma; no representa una duración de trabajo medida.</x:v>
      </x:c>
      <x:c r="R80" s="35" t="str">
        <x:v>docs/account-completion.md
lib/features/profile/data/profile_media_repository.dart
supabase/functions/profile-media/index.ts
supabase/functions/profile-media/image.ts</x:v>
      </x:c>
    </x:row>
    <x:row r="81" ht="46" customHeight="1">
      <x:c r="A81" s="34" t="str">
        <x:v>FE-11</x:v>
      </x:c>
      <x:c r="B81" s="34" t="str">
        <x:v>Desarrollo Front-end (Cliente)</x:v>
      </x:c>
      <x:c r="C81" s="34" t="str">
        <x:v>Perfil y Cuenta</x:v>
      </x:c>
      <x:c r="D81" s="34" t="str">
        <x:v>Implementar configuración y eliminación de cuenta</x:v>
      </x:c>
      <x:c r="E81" s="35" t="str">
        <x:v>Mostrar controles de seguridad y confirmación de borrado.</x:v>
      </x:c>
      <x:c r="F81" s="35" t="str">
        <x:v>Completado</x:v>
      </x:c>
      <x:c r="G81" s="36" t="n">
        <x:v>46287</x:v>
      </x:c>
      <x:c r="H81" s="36" t="n">
        <x:v>46295</x:v>
      </x:c>
      <x:c r="I81" s="37" t="n">
        <x:f>IF(OR(G81="",H81=""),"",SUMPRODUCT(('Cronograma'!$G$8:$Q$8&lt;=H81)*('Cronograma'!$G$9:$Q$9&gt;=G81)))</x:f>
        <x:v>1</x:v>
      </x:c>
      <x:c r="J81" s="37" t="n">
        <x:f>IF(F81="Completado",I81,"")</x:f>
        <x:v>1</x:v>
      </x:c>
      <x:c r="K81" s="35" t="str">
        <x:v>UI/UX</x:v>
      </x:c>
      <x:c r="L81" s="38" t="str">
        <x:v>Fatima</x:v>
      </x:c>
      <x:c r="M81" s="38" t="str"/>
      <x:c r="N81" s="39" t="n">
        <x:v>46294</x:v>
      </x:c>
      <x:c r="O81" s="35" t="str">
        <x:v>BD-06</x:v>
      </x:c>
      <x:c r="P81" s="35" t="str">
        <x:v>Completado</x:v>
      </x:c>
      <x:c r="Q81" s="35" t="str">
        <x:v>R se coloca en los mismos bloques que E por criterio del cronograma; no representa una duración de trabajo medida.</x:v>
      </x:c>
      <x:c r="R81" s="35" t="str">
        <x:v>output/profile-redesign-progress.md
output/ux-permissions-progress.md
git:84f3151:lib/features/profile/presentation/profile_experience.dart</x:v>
      </x:c>
    </x:row>
    <x:row r="82" ht="46" customHeight="1">
      <x:c r="A82" s="34" t="str">
        <x:v>FE-12</x:v>
      </x:c>
      <x:c r="B82" s="34" t="str">
        <x:v>Desarrollo Front-end (Cliente)</x:v>
      </x:c>
      <x:c r="C82" s="34" t="str">
        <x:v>Comunidad y Publicaciones</x:v>
      </x:c>
      <x:c r="D82" s="34" t="str">
        <x:v>Implementar feed de inicio y exploración</x:v>
      </x:c>
      <x:c r="E82" s="35" t="str">
        <x:v>Cargar publicaciones, búsqueda y estados vacíos.</x:v>
      </x:c>
      <x:c r="F82" s="35" t="str">
        <x:v>Completado</x:v>
      </x:c>
      <x:c r="G82" s="36" t="n">
        <x:v>46287</x:v>
      </x:c>
      <x:c r="H82" s="36" t="n">
        <x:v>46295</x:v>
      </x:c>
      <x:c r="I82" s="37" t="n">
        <x:f>IF(OR(G82="",H82=""),"",SUMPRODUCT(('Cronograma'!$G$8:$Q$8&lt;=H82)*('Cronograma'!$G$9:$Q$9&gt;=G82)))</x:f>
        <x:v>1</x:v>
      </x:c>
      <x:c r="J82" s="37" t="n">
        <x:f>IF(F82="Completado",I82,"")</x:f>
        <x:v>1</x:v>
      </x:c>
      <x:c r="K82" s="35" t="str">
        <x:v>UI/UX</x:v>
      </x:c>
      <x:c r="L82" s="38" t="str">
        <x:v>Fatima</x:v>
      </x:c>
      <x:c r="M82" s="38" t="str"/>
      <x:c r="N82" s="39" t="n">
        <x:v>46294</x:v>
      </x:c>
      <x:c r="O82" s="35" t="str">
        <x:v>BD-11</x:v>
      </x:c>
      <x:c r="P82" s="35" t="str">
        <x:v>Completado</x:v>
      </x:c>
      <x:c r="Q82" s="35" t="str">
        <x:v>R se coloca en los mismos bloques que E por criterio del cronograma; no representa una duración de trabajo medida.</x:v>
      </x:c>
      <x:c r="R82" s="35" t="str">
        <x:v>docs/home-social-v7-integration.md
git:9f2f91d:lib/features/community/presentation/posts_feed.dart
git:9c551ab:README.md</x:v>
      </x:c>
    </x:row>
    <x:row r="83" ht="56" customHeight="1">
      <x:c r="A83" s="34" t="str">
        <x:v>FE-13</x:v>
      </x:c>
      <x:c r="B83" s="34" t="str">
        <x:v>Desarrollo Front-end (Cliente)</x:v>
      </x:c>
      <x:c r="C83" s="34" t="str">
        <x:v>Comunidad y Publicaciones</x:v>
      </x:c>
      <x:c r="D83" s="34" t="str">
        <x:v>Implementar creación de posts con categorías y fotos</x:v>
      </x:c>
      <x:c r="E83" s="35" t="str">
        <x:v>Permitir redactar, adjuntar y publicar contenido validado.</x:v>
      </x:c>
      <x:c r="F83" s="35" t="str">
        <x:v>Completado</x:v>
      </x:c>
      <x:c r="G83" s="36" t="n">
        <x:v>46280</x:v>
      </x:c>
      <x:c r="H83" s="36" t="n">
        <x:v>46286</x:v>
      </x:c>
      <x:c r="I83" s="37" t="n">
        <x:f>IF(OR(G83="",H83=""),"",SUMPRODUCT(('Cronograma'!$G$8:$Q$8&lt;=H83)*('Cronograma'!$G$9:$Q$9&gt;=G83)))</x:f>
        <x:v>1</x:v>
      </x:c>
      <x:c r="J83" s="37" t="n">
        <x:f>IF(F83="Completado",I83,"")</x:f>
        <x:v>1</x:v>
      </x:c>
      <x:c r="K83" s="35" t="str">
        <x:v>UI/UX</x:v>
      </x:c>
      <x:c r="L83" s="38" t="str">
        <x:v>Fatima</x:v>
      </x:c>
      <x:c r="M83" s="38" t="str"/>
      <x:c r="N83" s="39" t="n">
        <x:v>46281</x:v>
      </x:c>
      <x:c r="O83" s="35" t="str">
        <x:v>BD-08</x:v>
      </x:c>
      <x:c r="P83" s="35" t="str">
        <x:v>Completado</x:v>
      </x:c>
      <x:c r="Q83" s="35" t="str">
        <x:v>R se coloca en los mismos bloques que E por criterio del cronograma; no representa una duración de trabajo medida.</x:v>
      </x:c>
      <x:c r="R83" s="35" t="str">
        <x:v>docs/community.md
docs/deployment-status.md
supabase/migrations/003_community.sql
lib/features/community/data/community_repository.dart</x:v>
      </x:c>
    </x:row>
    <x:row r="84" ht="46" customHeight="1">
      <x:c r="A84" s="34" t="str">
        <x:v>FE-14</x:v>
      </x:c>
      <x:c r="B84" s="34" t="str">
        <x:v>Desarrollo Front-end (Cliente)</x:v>
      </x:c>
      <x:c r="C84" s="34" t="str">
        <x:v>Comunidad y Publicaciones</x:v>
      </x:c>
      <x:c r="D84" s="34" t="str">
        <x:v>Implementar reacciones optimistas y gestos</x:v>
      </x:c>
      <x:c r="E84" s="35" t="str">
        <x:v>Actualizar acciones visibles y recuperar el estado tras errores.</x:v>
      </x:c>
      <x:c r="F84" s="35" t="str">
        <x:v>Completado</x:v>
      </x:c>
      <x:c r="G84" s="36" t="n">
        <x:v>46296</x:v>
      </x:c>
      <x:c r="H84" s="36" t="n">
        <x:v>46302</x:v>
      </x:c>
      <x:c r="I84" s="37" t="n">
        <x:f>IF(OR(G84="",H84=""),"",SUMPRODUCT(('Cronograma'!$G$8:$Q$8&lt;=H84)*('Cronograma'!$G$9:$Q$9&gt;=G84)))</x:f>
        <x:v>1</x:v>
      </x:c>
      <x:c r="J84" s="37" t="n">
        <x:f>IF(F84="Completado",I84,"")</x:f>
        <x:v>1</x:v>
      </x:c>
      <x:c r="K84" s="35" t="str">
        <x:v>UI/UX</x:v>
      </x:c>
      <x:c r="L84" s="38" t="str">
        <x:v>Fatima</x:v>
      </x:c>
      <x:c r="M84" s="38" t="str"/>
      <x:c r="N84" s="39" t="n">
        <x:v>46301</x:v>
      </x:c>
      <x:c r="O84" s="35" t="str">
        <x:v>BD-11</x:v>
      </x:c>
      <x:c r="P84" s="35" t="str">
        <x:v>Completado</x:v>
      </x:c>
      <x:c r="Q84" s="35" t="str">
        <x:v>R se coloca en los mismos bloques que E por criterio del cronograma; no representa una duración de trabajo medida.</x:v>
      </x:c>
      <x:c r="R84" s="35" t="str">
        <x:v>docs/implementation/modern-interactions-push-progress.md
lib/features/community/presentation/reaction_button.dart
test/features/community/social_ui_test.dart</x:v>
      </x:c>
    </x:row>
    <x:row r="85" ht="56" customHeight="1">
      <x:c r="A85" s="34" t="str">
        <x:v>FE-15</x:v>
      </x:c>
      <x:c r="B85" s="34" t="str">
        <x:v>Desarrollo Front-end (Cliente)</x:v>
      </x:c>
      <x:c r="C85" s="34" t="str">
        <x:v>Comunidad y Publicaciones</x:v>
      </x:c>
      <x:c r="D85" s="34" t="str">
        <x:v>Implementar bandeja de comentarios</x:v>
      </x:c>
      <x:c r="E85" s="35" t="str">
        <x:v>Permitir consultar, redactar y responder interacciones del post.</x:v>
      </x:c>
      <x:c r="F85" s="35" t="str">
        <x:v>Completado</x:v>
      </x:c>
      <x:c r="G85" s="36" t="n">
        <x:v>46287</x:v>
      </x:c>
      <x:c r="H85" s="36" t="n">
        <x:v>46295</x:v>
      </x:c>
      <x:c r="I85" s="37" t="n">
        <x:f>IF(OR(G85="",H85=""),"",SUMPRODUCT(('Cronograma'!$G$8:$Q$8&lt;=H85)*('Cronograma'!$G$9:$Q$9&gt;=G85)))</x:f>
        <x:v>1</x:v>
      </x:c>
      <x:c r="J85" s="37" t="n">
        <x:f>IF(F85="Completado",I85,"")</x:f>
        <x:v>1</x:v>
      </x:c>
      <x:c r="K85" s="35" t="str">
        <x:v>UI/UX</x:v>
      </x:c>
      <x:c r="L85" s="38" t="str">
        <x:v>Fatima</x:v>
      </x:c>
      <x:c r="M85" s="38" t="str"/>
      <x:c r="N85" s="39" t="n">
        <x:v>46294</x:v>
      </x:c>
      <x:c r="O85" s="35" t="str">
        <x:v>BD-11</x:v>
      </x:c>
      <x:c r="P85" s="35" t="str">
        <x:v>Completado</x:v>
      </x:c>
      <x:c r="Q85" s="35" t="str">
        <x:v>R se coloca en los mismos bloques que E por criterio del cronograma; no representa una duración de trabajo medida.</x:v>
      </x:c>
      <x:c r="R85" s="35" t="str">
        <x:v>docs/home-social-v7-integration.md
supabase/migrations/009_post_reactions.sql
supabase/migrations/010_post_comments.sql
lib/features/community/data/social_repository.dart</x:v>
      </x:c>
    </x:row>
    <x:row r="86" ht="46" customHeight="1">
      <x:c r="A86" s="34" t="str">
        <x:v>FE-16</x:v>
      </x:c>
      <x:c r="B86" s="34" t="str">
        <x:v>Desarrollo Front-end (Cliente)</x:v>
      </x:c>
      <x:c r="C86" s="34" t="str">
        <x:v>Comunidad y Publicaciones</x:v>
      </x:c>
      <x:c r="D86" s="34" t="str">
        <x:v>Implementar enlaces sociales y guardados</x:v>
      </x:c>
      <x:c r="E86" s="35" t="str">
        <x:v>Abrir enlaces y gestionar colecciones privadas del usuario.</x:v>
      </x:c>
      <x:c r="F86" s="35" t="str">
        <x:v>Completado</x:v>
      </x:c>
      <x:c r="G86" s="36" t="n">
        <x:v>46287</x:v>
      </x:c>
      <x:c r="H86" s="36" t="n">
        <x:v>46295</x:v>
      </x:c>
      <x:c r="I86" s="37" t="n">
        <x:f>IF(OR(G86="",H86=""),"",SUMPRODUCT(('Cronograma'!$G$8:$Q$8&lt;=H86)*('Cronograma'!$G$9:$Q$9&gt;=G86)))</x:f>
        <x:v>1</x:v>
      </x:c>
      <x:c r="J86" s="37" t="n">
        <x:f>IF(F86="Completado",I86,"")</x:f>
        <x:v>1</x:v>
      </x:c>
      <x:c r="K86" s="35" t="str">
        <x:v>UI/UX</x:v>
      </x:c>
      <x:c r="L86" s="38" t="str">
        <x:v>Fatima</x:v>
      </x:c>
      <x:c r="M86" s="38" t="str"/>
      <x:c r="N86" s="39" t="n">
        <x:v>46294</x:v>
      </x:c>
      <x:c r="O86" s="35" t="str">
        <x:v>BD-11</x:v>
      </x:c>
      <x:c r="P86" s="35" t="str">
        <x:v>Completado</x:v>
      </x:c>
      <x:c r="Q86" s="35" t="str">
        <x:v>R se coloca en los mismos bloques que E por criterio del cronograma; no representa una duración de trabajo medida.</x:v>
      </x:c>
      <x:c r="R86" s="35" t="str">
        <x:v>docs/home-social-v7-integration.md
supabase/migrations/011_post_collaboration.sql
lib/features/community/presentation/social_panels.dart</x:v>
      </x:c>
    </x:row>
    <x:row r="87" ht="56" customHeight="1">
      <x:c r="A87" s="34" t="str">
        <x:v>FE-17</x:v>
      </x:c>
      <x:c r="B87" s="34" t="str">
        <x:v>Desarrollo Front-end (Cliente)</x:v>
      </x:c>
      <x:c r="C87" s="34" t="str">
        <x:v>Comunidad y Publicaciones</x:v>
      </x:c>
      <x:c r="D87" s="34" t="str">
        <x:v>Implementar sincronización y paneles compartidos</x:v>
      </x:c>
      <x:c r="E87" s="35" t="str">
        <x:v>Actualizar datos en tiempo real y unificar cargas y acciones.</x:v>
      </x:c>
      <x:c r="F87" s="35" t="str">
        <x:v>Completado</x:v>
      </x:c>
      <x:c r="G87" s="36" t="n">
        <x:v>46296</x:v>
      </x:c>
      <x:c r="H87" s="36" t="n">
        <x:v>46302</x:v>
      </x:c>
      <x:c r="I87" s="37" t="n">
        <x:f>IF(OR(G87="",H87=""),"",SUMPRODUCT(('Cronograma'!$G$8:$Q$8&lt;=H87)*('Cronograma'!$G$9:$Q$9&gt;=G87)))</x:f>
        <x:v>1</x:v>
      </x:c>
      <x:c r="J87" s="37" t="n">
        <x:f>IF(F87="Completado",I87,"")</x:f>
        <x:v>1</x:v>
      </x:c>
      <x:c r="K87" s="35" t="str">
        <x:v>UI/UX</x:v>
      </x:c>
      <x:c r="L87" s="38" t="str">
        <x:v>Fatima</x:v>
      </x:c>
      <x:c r="M87" s="38" t="str"/>
      <x:c r="N87" s="39" t="n">
        <x:v>46301</x:v>
      </x:c>
      <x:c r="O87" s="35" t="str">
        <x:v>BD-11</x:v>
      </x:c>
      <x:c r="P87" s="35" t="str">
        <x:v>Completado</x:v>
      </x:c>
      <x:c r="Q87" s="35" t="str">
        <x:v>R se coloca en los mismos bloques que E por criterio del cronograma; no representa una duración de trabajo medida.</x:v>
      </x:c>
      <x:c r="R87" s="35" t="str">
        <x:v>docs/implementation/modern-interactions-push-progress.md
lib/shared/widgets/marea_action_button.dart
lib/shared/widgets/marea_panel.dart
lib/shared/widgets/marea_skeleton.dart</x:v>
      </x:c>
    </x:row>
    <x:row r="88" ht="46" customHeight="1">
      <x:c r="A88" s="34" t="str">
        <x:v>FE-18</x:v>
      </x:c>
      <x:c r="B88" s="34" t="str">
        <x:v>Desarrollo Front-end (Cliente)</x:v>
      </x:c>
      <x:c r="C88" s="34" t="str">
        <x:v>Misiones</x:v>
      </x:c>
      <x:c r="D88" s="34" t="str">
        <x:v>Implementar compositor y borradores de misión</x:v>
      </x:c>
      <x:c r="E88" s="35" t="str">
        <x:v>Capturar descripción, fechas, cupos y publicación de convocatoria.</x:v>
      </x:c>
      <x:c r="F88" s="35" t="str">
        <x:v>Completado</x:v>
      </x:c>
      <x:c r="G88" s="36" t="n">
        <x:v>46287</x:v>
      </x:c>
      <x:c r="H88" s="36" t="n">
        <x:v>46295</x:v>
      </x:c>
      <x:c r="I88" s="37" t="n">
        <x:f>IF(OR(G88="",H88=""),"",SUMPRODUCT(('Cronograma'!$G$8:$Q$8&lt;=H88)*('Cronograma'!$G$9:$Q$9&gt;=G88)))</x:f>
        <x:v>1</x:v>
      </x:c>
      <x:c r="J88" s="37" t="n">
        <x:f>IF(F88="Completado",I88,"")</x:f>
        <x:v>1</x:v>
      </x:c>
      <x:c r="K88" s="35" t="str">
        <x:v>UI/UX</x:v>
      </x:c>
      <x:c r="L88" s="38" t="str">
        <x:v>Fatima</x:v>
      </x:c>
      <x:c r="M88" s="38" t="str"/>
      <x:c r="N88" s="39" t="n">
        <x:v>46295</x:v>
      </x:c>
      <x:c r="O88" s="35" t="str">
        <x:v>BD-15</x:v>
      </x:c>
      <x:c r="P88" s="35" t="str">
        <x:v>Completado</x:v>
      </x:c>
      <x:c r="Q88" s="35" t="str">
        <x:v>R se coloca en los mismos bloques que E por criterio del cronograma; no representa una duración de trabajo medida.</x:v>
      </x:c>
      <x:c r="R88" s="35" t="str">
        <x:v>docs/missions-redesign.md
docs/implementation/missions-redesign-progress.md
supabase/migrations/013_missions_redesign.sql</x:v>
      </x:c>
    </x:row>
    <x:row r="89" ht="46" customHeight="1">
      <x:c r="A89" s="34" t="str">
        <x:v>FE-19</x:v>
      </x:c>
      <x:c r="B89" s="34" t="str">
        <x:v>Desarrollo Front-end (Cliente)</x:v>
      </x:c>
      <x:c r="C89" s="34" t="str">
        <x:v>Misiones</x:v>
      </x:c>
      <x:c r="D89" s="34" t="str">
        <x:v>Implementar formulario de candidatura</x:v>
      </x:c>
      <x:c r="E89" s="35" t="str">
        <x:v>Enviar respuestas estructuradas y mostrar el estado de participación.</x:v>
      </x:c>
      <x:c r="F89" s="35" t="str">
        <x:v>Completado</x:v>
      </x:c>
      <x:c r="G89" s="36" t="n">
        <x:v>46287</x:v>
      </x:c>
      <x:c r="H89" s="36" t="n">
        <x:v>46295</x:v>
      </x:c>
      <x:c r="I89" s="37" t="n">
        <x:f>IF(OR(G89="",H89=""),"",SUMPRODUCT(('Cronograma'!$G$8:$Q$8&lt;=H89)*('Cronograma'!$G$9:$Q$9&gt;=G89)))</x:f>
        <x:v>1</x:v>
      </x:c>
      <x:c r="J89" s="37" t="n">
        <x:f>IF(F89="Completado",I89,"")</x:f>
        <x:v>1</x:v>
      </x:c>
      <x:c r="K89" s="35" t="str">
        <x:v>UI/UX</x:v>
      </x:c>
      <x:c r="L89" s="38" t="str">
        <x:v>Fatima</x:v>
      </x:c>
      <x:c r="M89" s="38" t="str"/>
      <x:c r="N89" s="39" t="n">
        <x:v>46295</x:v>
      </x:c>
      <x:c r="O89" s="35" t="str">
        <x:v>BD-15</x:v>
      </x:c>
      <x:c r="P89" s="35" t="str">
        <x:v>Completado</x:v>
      </x:c>
      <x:c r="Q89" s="35" t="str">
        <x:v>R se coloca en los mismos bloques que E por criterio del cronograma; no representa una duración de trabajo medida.</x:v>
      </x:c>
      <x:c r="R89" s="35" t="str">
        <x:v>docs/missions-redesign.md
lib/features/community/presentation/mission_application_screen.dart
supabase/migrations/013_missions_redesign.sql</x:v>
      </x:c>
    </x:row>
    <x:row r="90" ht="46" customHeight="1">
      <x:c r="A90" s="34" t="str">
        <x:v>FE-20</x:v>
      </x:c>
      <x:c r="B90" s="34" t="str">
        <x:v>Desarrollo Front-end (Cliente)</x:v>
      </x:c>
      <x:c r="C90" s="34" t="str">
        <x:v>Misiones</x:v>
      </x:c>
      <x:c r="D90" s="34" t="str">
        <x:v>Implementar gestión de finalistas por organizador</x:v>
      </x:c>
      <x:c r="E90" s="35" t="str">
        <x:v>Revisar postulantes y guardar decisiones privadas.</x:v>
      </x:c>
      <x:c r="F90" s="35" t="str">
        <x:v>Completado</x:v>
      </x:c>
      <x:c r="G90" s="36" t="n">
        <x:v>46287</x:v>
      </x:c>
      <x:c r="H90" s="36" t="n">
        <x:v>46295</x:v>
      </x:c>
      <x:c r="I90" s="37" t="n">
        <x:f>IF(OR(G90="",H90=""),"",SUMPRODUCT(('Cronograma'!$G$8:$Q$8&lt;=H90)*('Cronograma'!$G$9:$Q$9&gt;=G90)))</x:f>
        <x:v>1</x:v>
      </x:c>
      <x:c r="J90" s="37" t="n">
        <x:f>IF(F90="Completado",I90,"")</x:f>
        <x:v>1</x:v>
      </x:c>
      <x:c r="K90" s="35" t="str">
        <x:v>UI/UX</x:v>
      </x:c>
      <x:c r="L90" s="38" t="str">
        <x:v>Fatima</x:v>
      </x:c>
      <x:c r="M90" s="38" t="str"/>
      <x:c r="N90" s="39" t="n">
        <x:v>46295</x:v>
      </x:c>
      <x:c r="O90" s="35" t="str">
        <x:v>BD-15</x:v>
      </x:c>
      <x:c r="P90" s="35" t="str">
        <x:v>Completado</x:v>
      </x:c>
      <x:c r="Q90" s="35" t="str">
        <x:v>R se coloca en los mismos bloques que E por criterio del cronograma; no representa una duración de trabajo medida.</x:v>
      </x:c>
      <x:c r="R90" s="35" t="str">
        <x:v>docs/missions-redesign.md
lib/features/community/presentation/mission_management_screen.dart
supabase/migrations/013_missions_redesign.sql</x:v>
      </x:c>
    </x:row>
    <x:row r="91" ht="46" customHeight="1">
      <x:c r="A91" s="34" t="str">
        <x:v>FE-21</x:v>
      </x:c>
      <x:c r="B91" s="34" t="str">
        <x:v>Desarrollo Front-end (Cliente)</x:v>
      </x:c>
      <x:c r="C91" s="34" t="str">
        <x:v>Misiones</x:v>
      </x:c>
      <x:c r="D91" s="34" t="str">
        <x:v>Implementar listado y avisos del ciclo de misión</x:v>
      </x:c>
      <x:c r="E91" s="35" t="str">
        <x:v>Mostrar fechas, estado, cupos y seguimiento del participante.</x:v>
      </x:c>
      <x:c r="F91" s="35" t="str">
        <x:v>Completado</x:v>
      </x:c>
      <x:c r="G91" s="36" t="n">
        <x:v>46287</x:v>
      </x:c>
      <x:c r="H91" s="36" t="n">
        <x:v>46295</x:v>
      </x:c>
      <x:c r="I91" s="37" t="n">
        <x:f>IF(OR(G91="",H91=""),"",SUMPRODUCT(('Cronograma'!$G$8:$Q$8&lt;=H91)*('Cronograma'!$G$9:$Q$9&gt;=G91)))</x:f>
        <x:v>1</x:v>
      </x:c>
      <x:c r="J91" s="37" t="n">
        <x:f>IF(F91="Completado",I91,"")</x:f>
        <x:v>1</x:v>
      </x:c>
      <x:c r="K91" s="35" t="str">
        <x:v>UI/UX</x:v>
      </x:c>
      <x:c r="L91" s="38" t="str">
        <x:v>Fatima</x:v>
      </x:c>
      <x:c r="M91" s="38" t="str"/>
      <x:c r="N91" s="39" t="n">
        <x:v>46295</x:v>
      </x:c>
      <x:c r="O91" s="35" t="str">
        <x:v>BD-15</x:v>
      </x:c>
      <x:c r="P91" s="35" t="str">
        <x:v>Completado</x:v>
      </x:c>
      <x:c r="Q91" s="35" t="str">
        <x:v>R se coloca en los mismos bloques que E por criterio del cronograma; no representa una duración de trabajo medida.</x:v>
      </x:c>
      <x:c r="R91" s="35" t="str">
        <x:v>docs/missions-redesign.md
lib/features/community/presentation/mission_management_screen.dart
supabase/migrations/013_missions_redesign.sql</x:v>
      </x:c>
    </x:row>
    <x:row r="92" ht="56" customHeight="1">
      <x:c r="A92" s="34" t="str">
        <x:v>FE-22</x:v>
      </x:c>
      <x:c r="B92" s="34" t="str">
        <x:v>Desarrollo Front-end (Cliente)</x:v>
      </x:c>
      <x:c r="C92" s="34" t="str">
        <x:v>Fichas Profesionales</x:v>
      </x:c>
      <x:c r="D92" s="34" t="str">
        <x:v>Implementar creación de fichas profesionales</x:v>
      </x:c>
      <x:c r="E92" s="35" t="str">
        <x:v>Publicar obras, productos y servicios según el tipo de perfil.</x:v>
      </x:c>
      <x:c r="F92" s="35" t="str">
        <x:v>Completado</x:v>
      </x:c>
      <x:c r="G92" s="36" t="n">
        <x:v>46287</x:v>
      </x:c>
      <x:c r="H92" s="36" t="n">
        <x:v>46295</x:v>
      </x:c>
      <x:c r="I92" s="37" t="n">
        <x:f>IF(OR(G92="",H92=""),"",SUMPRODUCT(('Cronograma'!$G$8:$Q$8&lt;=H92)*('Cronograma'!$G$9:$Q$9&gt;=G92)))</x:f>
        <x:v>1</x:v>
      </x:c>
      <x:c r="J92" s="37" t="n">
        <x:f>IF(F92="Completado",I92,"")</x:f>
        <x:v>1</x:v>
      </x:c>
      <x:c r="K92" s="35" t="str">
        <x:v>UI/UX</x:v>
      </x:c>
      <x:c r="L92" s="38" t="str">
        <x:v>Fatima</x:v>
      </x:c>
      <x:c r="M92" s="38" t="str"/>
      <x:c r="N92" s="39" t="n">
        <x:v>46292</x:v>
      </x:c>
      <x:c r="O92" s="35" t="str">
        <x:v>BD-17</x:v>
      </x:c>
      <x:c r="P92" s="35" t="str">
        <x:v>Completado</x:v>
      </x:c>
      <x:c r="Q92" s="35" t="str">
        <x:v>R se coloca en los mismos bloques que E por criterio del cronograma; no representa una duración de trabajo medida.</x:v>
      </x:c>
      <x:c r="R92" s="35" t="str">
        <x:v>docs/community.md
lib/features/showcase/data/showcase_repository.dart
lib/features/showcase/presentation/showcase_composer_screen.dart
supabase/migrations/006_profile_experience.sql</x:v>
      </x:c>
    </x:row>
    <x:row r="93" ht="56" customHeight="1">
      <x:c r="A93" s="34" t="str">
        <x:v>FE-23</x:v>
      </x:c>
      <x:c r="B93" s="34" t="str">
        <x:v>Desarrollo Front-end (Cliente)</x:v>
      </x:c>
      <x:c r="C93" s="34" t="str">
        <x:v>Fichas Profesionales</x:v>
      </x:c>
      <x:c r="D93" s="34" t="str">
        <x:v>Implementar galería, precio y disponibilidad</x:v>
      </x:c>
      <x:c r="E93" s="35" t="str">
        <x:v>Editar imágenes y datos comerciales con validación MXN.</x:v>
      </x:c>
      <x:c r="F93" s="35" t="str">
        <x:v>Completado</x:v>
      </x:c>
      <x:c r="G93" s="36" t="n">
        <x:v>46287</x:v>
      </x:c>
      <x:c r="H93" s="36" t="n">
        <x:v>46295</x:v>
      </x:c>
      <x:c r="I93" s="37" t="n">
        <x:f>IF(OR(G93="",H93=""),"",SUMPRODUCT(('Cronograma'!$G$8:$Q$8&lt;=H93)*('Cronograma'!$G$9:$Q$9&gt;=G93)))</x:f>
        <x:v>1</x:v>
      </x:c>
      <x:c r="J93" s="37" t="n">
        <x:f>IF(F93="Completado",I93,"")</x:f>
        <x:v>1</x:v>
      </x:c>
      <x:c r="K93" s="35" t="str">
        <x:v>UI/UX</x:v>
      </x:c>
      <x:c r="L93" s="38" t="str">
        <x:v>Fatima</x:v>
      </x:c>
      <x:c r="M93" s="38" t="str"/>
      <x:c r="N93" s="39" t="n">
        <x:v>46292</x:v>
      </x:c>
      <x:c r="O93" s="35" t="str">
        <x:v>BD-17</x:v>
      </x:c>
      <x:c r="P93" s="35" t="str">
        <x:v>Completado</x:v>
      </x:c>
      <x:c r="Q93" s="35" t="str">
        <x:v>R se coloca en los mismos bloques que E por criterio del cronograma; no representa una duración de trabajo medida.</x:v>
      </x:c>
      <x:c r="R93" s="35" t="str">
        <x:v>docs/community.md
lib/features/showcase/data/showcase_repository.dart
lib/features/showcase/presentation/showcase_composer_screen.dart
supabase/migrations/006_profile_experience.sql</x:v>
      </x:c>
    </x:row>
    <x:row r="94" ht="56" customHeight="1">
      <x:c r="A94" s="34" t="str">
        <x:v>FE-24</x:v>
      </x:c>
      <x:c r="B94" s="34" t="str">
        <x:v>Desarrollo Front-end (Cliente)</x:v>
      </x:c>
      <x:c r="C94" s="34" t="str">
        <x:v>Fichas Profesionales</x:v>
      </x:c>
      <x:c r="D94" s="34" t="str">
        <x:v>Implementar detalle y herramientas de fichas</x:v>
      </x:c>
      <x:c r="E94" s="35" t="str">
        <x:v>Mostrar contenido y permitir edición o eliminación autorizada.</x:v>
      </x:c>
      <x:c r="F94" s="35" t="str">
        <x:v>Completado</x:v>
      </x:c>
      <x:c r="G94" s="36" t="n">
        <x:v>46287</x:v>
      </x:c>
      <x:c r="H94" s="36" t="n">
        <x:v>46295</x:v>
      </x:c>
      <x:c r="I94" s="37" t="n">
        <x:f>IF(OR(G94="",H94=""),"",SUMPRODUCT(('Cronograma'!$G$8:$Q$8&lt;=H94)*('Cronograma'!$G$9:$Q$9&gt;=G94)))</x:f>
        <x:v>1</x:v>
      </x:c>
      <x:c r="J94" s="37" t="n">
        <x:f>IF(F94="Completado",I94,"")</x:f>
        <x:v>1</x:v>
      </x:c>
      <x:c r="K94" s="35" t="str">
        <x:v>UI/UX</x:v>
      </x:c>
      <x:c r="L94" s="38" t="str">
        <x:v>Fatima</x:v>
      </x:c>
      <x:c r="M94" s="38" t="str"/>
      <x:c r="N94" s="39" t="n">
        <x:v>46292</x:v>
      </x:c>
      <x:c r="O94" s="35" t="str">
        <x:v>BD-17</x:v>
      </x:c>
      <x:c r="P94" s="35" t="str">
        <x:v>Completado</x:v>
      </x:c>
      <x:c r="Q94" s="35" t="str">
        <x:v>R se coloca en los mismos bloques que E por criterio del cronograma; no representa una duración de trabajo medida.</x:v>
      </x:c>
      <x:c r="R94" s="35" t="str">
        <x:v>docs/community.md
lib/features/showcase/data/showcase_repository.dart
lib/features/showcase/presentation/showcase_composer_screen.dart
supabase/migrations/006_profile_experience.sql</x:v>
      </x:c>
    </x:row>
    <x:row r="95" ht="46" customHeight="1">
      <x:c r="A95" s="34" t="str">
        <x:v>FE-25</x:v>
      </x:c>
      <x:c r="B95" s="34" t="str">
        <x:v>Desarrollo Front-end (Cliente)</x:v>
      </x:c>
      <x:c r="C95" s="34" t="str">
        <x:v>Mapa y Ubicación</x:v>
      </x:c>
      <x:c r="D95" s="34" t="str">
        <x:v>Integrar mapa OpenStreetMap y selección de ubicación</x:v>
      </x:c>
      <x:c r="E95" s="35" t="str">
        <x:v>Mostrar teselas, atribución y posición aproximada o exacta.</x:v>
      </x:c>
      <x:c r="F95" s="35" t="str">
        <x:v>Completado</x:v>
      </x:c>
      <x:c r="G95" s="36" t="n">
        <x:v>46296</x:v>
      </x:c>
      <x:c r="H95" s="36" t="n">
        <x:v>46302</x:v>
      </x:c>
      <x:c r="I95" s="37" t="n">
        <x:f>IF(OR(G95="",H95=""),"",SUMPRODUCT(('Cronograma'!$G$8:$Q$8&lt;=H95)*('Cronograma'!$G$9:$Q$9&gt;=G95)))</x:f>
        <x:v>1</x:v>
      </x:c>
      <x:c r="J95" s="37" t="n">
        <x:f>IF(F95="Completado",I95,"")</x:f>
        <x:v>1</x:v>
      </x:c>
      <x:c r="K95" s="35" t="str">
        <x:v>UI/UX</x:v>
      </x:c>
      <x:c r="L95" s="38" t="str">
        <x:v>Fatima</x:v>
      </x:c>
      <x:c r="M95" s="38" t="str"/>
      <x:c r="N95" s="39" t="n">
        <x:v>46297</x:v>
      </x:c>
      <x:c r="O95" s="35" t="str">
        <x:v>BD-18</x:v>
      </x:c>
      <x:c r="P95" s="35" t="str">
        <x:v>Completado</x:v>
      </x:c>
      <x:c r="Q95" s="35" t="str">
        <x:v>R se coloca en los mismos bloques que E por criterio del cronograma; no representa una duración de trabajo medida.</x:v>
      </x:c>
      <x:c r="R95" s="35" t="str">
        <x:v>docs/map.md
supabase/migrations/012_mission_map.sql
git:ffd8990:lib/features/map/presentation/mission_map_screen.dart</x:v>
      </x:c>
    </x:row>
    <x:row r="96" ht="46" customHeight="1">
      <x:c r="A96" s="34" t="str">
        <x:v>FE-26</x:v>
      </x:c>
      <x:c r="B96" s="34" t="str">
        <x:v>Desarrollo Front-end (Cliente)</x:v>
      </x:c>
      <x:c r="C96" s="34" t="str">
        <x:v>Mapa y Ubicación</x:v>
      </x:c>
      <x:c r="D96" s="34" t="str">
        <x:v>Implementar búsqueda por área y radios de 1 a 10 km</x:v>
      </x:c>
      <x:c r="E96" s="35" t="str">
        <x:v>Actualizar resultados al explorar y filtrar el mapa.</x:v>
      </x:c>
      <x:c r="F96" s="35" t="str">
        <x:v>Completado</x:v>
      </x:c>
      <x:c r="G96" s="36" t="n">
        <x:v>46296</x:v>
      </x:c>
      <x:c r="H96" s="36" t="n">
        <x:v>46302</x:v>
      </x:c>
      <x:c r="I96" s="37" t="n">
        <x:f>IF(OR(G96="",H96=""),"",SUMPRODUCT(('Cronograma'!$G$8:$Q$8&lt;=H96)*('Cronograma'!$G$9:$Q$9&gt;=G96)))</x:f>
        <x:v>1</x:v>
      </x:c>
      <x:c r="J96" s="37" t="n">
        <x:f>IF(F96="Completado",I96,"")</x:f>
        <x:v>1</x:v>
      </x:c>
      <x:c r="K96" s="35" t="str">
        <x:v>UI/UX</x:v>
      </x:c>
      <x:c r="L96" s="38" t="str">
        <x:v>Fatima</x:v>
      </x:c>
      <x:c r="M96" s="38" t="str"/>
      <x:c r="N96" s="39" t="n">
        <x:v>46297</x:v>
      </x:c>
      <x:c r="O96" s="35" t="str">
        <x:v>BD-18</x:v>
      </x:c>
      <x:c r="P96" s="35" t="str">
        <x:v>Completado</x:v>
      </x:c>
      <x:c r="Q96" s="35" t="str">
        <x:v>R se coloca en los mismos bloques que E por criterio del cronograma; no representa una duración de trabajo medida.</x:v>
      </x:c>
      <x:c r="R96" s="35" t="str">
        <x:v>docs/map.md
supabase/migrations/012_mission_map.sql
git:ffd8990:lib/features/map/presentation/mission_map_screen.dart</x:v>
      </x:c>
    </x:row>
    <x:row r="97" ht="46" customHeight="1">
      <x:c r="A97" s="34" t="str">
        <x:v>FE-27</x:v>
      </x:c>
      <x:c r="B97" s="34" t="str">
        <x:v>Desarrollo Front-end (Cliente)</x:v>
      </x:c>
      <x:c r="C97" s="34" t="str">
        <x:v>Mapa y Ubicación</x:v>
      </x:c>
      <x:c r="D97" s="34" t="str">
        <x:v>Implementar clusters y navegación a misiones</x:v>
      </x:c>
      <x:c r="E97" s="35" t="str">
        <x:v>Agrupar marcadores y abrir detalles desde la posición seleccionada.</x:v>
      </x:c>
      <x:c r="F97" s="35" t="str">
        <x:v>Completado</x:v>
      </x:c>
      <x:c r="G97" s="36" t="n">
        <x:v>46296</x:v>
      </x:c>
      <x:c r="H97" s="36" t="n">
        <x:v>46302</x:v>
      </x:c>
      <x:c r="I97" s="37" t="n">
        <x:f>IF(OR(G97="",H97=""),"",SUMPRODUCT(('Cronograma'!$G$8:$Q$8&lt;=H97)*('Cronograma'!$G$9:$Q$9&gt;=G97)))</x:f>
        <x:v>1</x:v>
      </x:c>
      <x:c r="J97" s="37" t="n">
        <x:f>IF(F97="Completado",I97,"")</x:f>
        <x:v>1</x:v>
      </x:c>
      <x:c r="K97" s="35" t="str">
        <x:v>UI/UX</x:v>
      </x:c>
      <x:c r="L97" s="38" t="str">
        <x:v>Fatima</x:v>
      </x:c>
      <x:c r="M97" s="38" t="str"/>
      <x:c r="N97" s="39" t="n">
        <x:v>46297</x:v>
      </x:c>
      <x:c r="O97" s="35" t="str">
        <x:v>BD-18</x:v>
      </x:c>
      <x:c r="P97" s="35" t="str">
        <x:v>Completado</x:v>
      </x:c>
      <x:c r="Q97" s="35" t="str">
        <x:v>R se coloca en los mismos bloques que E por criterio del cronograma; no representa una duración de trabajo medida.</x:v>
      </x:c>
      <x:c r="R97" s="35" t="str">
        <x:v>docs/map.md
supabase/migrations/012_mission_map.sql
git:ffd8990:lib/features/map/presentation/mission_map_screen.dart</x:v>
      </x:c>
    </x:row>
    <x:row r="98" ht="56" customHeight="1">
      <x:c r="A98" s="34" t="str">
        <x:v>FE-28</x:v>
      </x:c>
      <x:c r="B98" s="34" t="str">
        <x:v>Desarrollo Front-end (Cliente)</x:v>
      </x:c>
      <x:c r="C98" s="34" t="str">
        <x:v>Notificaciones Push</x:v>
      </x:c>
      <x:c r="D98" s="34" t="str">
        <x:v>Integrar cliente FCM y permisos Android</x:v>
      </x:c>
      <x:c r="E98" s="35" t="str">
        <x:v>Registrar tokens y recibir avisos en los estados de la aplicación.</x:v>
      </x:c>
      <x:c r="F98" s="35" t="str">
        <x:v>Completado</x:v>
      </x:c>
      <x:c r="G98" s="36" t="n">
        <x:v>46296</x:v>
      </x:c>
      <x:c r="H98" s="36" t="n">
        <x:v>46302</x:v>
      </x:c>
      <x:c r="I98" s="37" t="n">
        <x:f>IF(OR(G98="",H98=""),"",SUMPRODUCT(('Cronograma'!$G$8:$Q$8&lt;=H98)*('Cronograma'!$G$9:$Q$9&gt;=G98)))</x:f>
        <x:v>1</x:v>
      </x:c>
      <x:c r="J98" s="37" t="n">
        <x:f>IF(F98="Completado",I98,"")</x:f>
        <x:v>1</x:v>
      </x:c>
      <x:c r="K98" s="35" t="str">
        <x:v>Back-end AR</x:v>
      </x:c>
      <x:c r="L98" s="38" t="str">
        <x:v>Cristopher</x:v>
      </x:c>
      <x:c r="M98" s="38" t="str"/>
      <x:c r="N98" s="39" t="n">
        <x:v>46301</x:v>
      </x:c>
      <x:c r="O98" s="35" t="str">
        <x:v>BD-20</x:v>
      </x:c>
      <x:c r="P98" s="35" t="str">
        <x:v>Completado</x:v>
      </x:c>
      <x:c r="Q98" s="35" t="str">
        <x:v>R se coloca en los mismos bloques que E por criterio del cronograma; no representa una duración de trabajo medida.</x:v>
      </x:c>
      <x:c r="R98" s="35" t="str">
        <x:v>docs/android-push.md
lib/features/notifications/data/push_controller.dart
lib/features/notifications/data/android_push_gateway.dart
lib/features/notifications/presentation/notification_settings.dart</x:v>
      </x:c>
    </x:row>
    <x:row r="99" ht="56" customHeight="1">
      <x:c r="A99" s="34" t="str">
        <x:v>FE-29</x:v>
      </x:c>
      <x:c r="B99" s="34" t="str">
        <x:v>Desarrollo Front-end (Cliente)</x:v>
      </x:c>
      <x:c r="C99" s="34" t="str">
        <x:v>Notificaciones Push</x:v>
      </x:c>
      <x:c r="D99" s="34" t="str">
        <x:v>Implementar preferencias y apertura de notificaciones</x:v>
      </x:c>
      <x:c r="E99" s="35" t="str">
        <x:v>Gestionar opt-in, lectura y navegación al destino correcto.</x:v>
      </x:c>
      <x:c r="F99" s="35" t="str">
        <x:v>Completado</x:v>
      </x:c>
      <x:c r="G99" s="36" t="n">
        <x:v>46296</x:v>
      </x:c>
      <x:c r="H99" s="36" t="n">
        <x:v>46302</x:v>
      </x:c>
      <x:c r="I99" s="37" t="n">
        <x:f>IF(OR(G99="",H99=""),"",SUMPRODUCT(('Cronograma'!$G$8:$Q$8&lt;=H99)*('Cronograma'!$G$9:$Q$9&gt;=G99)))</x:f>
        <x:v>1</x:v>
      </x:c>
      <x:c r="J99" s="37" t="n">
        <x:f>IF(F99="Completado",I99,"")</x:f>
        <x:v>1</x:v>
      </x:c>
      <x:c r="K99" s="35" t="str">
        <x:v>Back-end AR</x:v>
      </x:c>
      <x:c r="L99" s="38" t="str">
        <x:v>Cristopher</x:v>
      </x:c>
      <x:c r="M99" s="38" t="str"/>
      <x:c r="N99" s="39" t="n">
        <x:v>46301</x:v>
      </x:c>
      <x:c r="O99" s="35" t="str">
        <x:v>BD-20</x:v>
      </x:c>
      <x:c r="P99" s="35" t="str">
        <x:v>Completado</x:v>
      </x:c>
      <x:c r="Q99" s="35" t="str">
        <x:v>R se coloca en los mismos bloques que E por criterio del cronograma; no representa una duración de trabajo medida.</x:v>
      </x:c>
      <x:c r="R99" s="35" t="str">
        <x:v>docs/android-push.md
lib/features/notifications/data/push_controller.dart
lib/features/notifications/data/android_push_gateway.dart
lib/features/notifications/presentation/notification_settings.dart</x:v>
      </x:c>
    </x:row>
    <x:row r="100" ht="56" customHeight="1">
      <x:c r="A100" s="34" t="str">
        <x:v>FE-30</x:v>
      </x:c>
      <x:c r="B100" s="34" t="str">
        <x:v>Desarrollo Front-end (Cliente)</x:v>
      </x:c>
      <x:c r="C100" s="34" t="str">
        <x:v>Recorridos y Realidad Aumentada</x:v>
      </x:c>
      <x:c r="D100" s="34" t="str">
        <x:v>Implementar editor de recorridos, zonas y puntos</x:v>
      </x:c>
      <x:c r="E100" s="35" t="str">
        <x:v>Administrar estructura y versiones de captura del local.</x:v>
      </x:c>
      <x:c r="F100" s="35" t="str">
        <x:v>Completado</x:v>
      </x:c>
      <x:c r="G100" s="36" t="n">
        <x:v>46296</x:v>
      </x:c>
      <x:c r="H100" s="36" t="n">
        <x:v>46302</x:v>
      </x:c>
      <x:c r="I100" s="37" t="n">
        <x:f>IF(OR(G100="",H100=""),"",SUMPRODUCT(('Cronograma'!$G$8:$Q$8&lt;=H100)*('Cronograma'!$G$9:$Q$9&gt;=G100)))</x:f>
        <x:v>1</x:v>
      </x:c>
      <x:c r="J100" s="37" t="n">
        <x:f>IF(F100="Completado",I100,"")</x:f>
        <x:v>1</x:v>
      </x:c>
      <x:c r="K100" s="35" t="str">
        <x:v>AR</x:v>
      </x:c>
      <x:c r="L100" s="38" t="str">
        <x:v>Ximena</x:v>
      </x:c>
      <x:c r="M100" s="38" t="str"/>
      <x:c r="N100" s="39" t="n">
        <x:v>46301</x:v>
      </x:c>
      <x:c r="O100" s="35" t="str">
        <x:v>BD-24</x:v>
      </x:c>
      <x:c r="P100" s="35" t="str">
        <x:v>Completado</x:v>
      </x:c>
      <x:c r="Q100" s="35" t="str">
        <x:v>R se coloca en los mismos bloques que E por criterio del cronograma; no representa una duración de trabajo medida.</x:v>
      </x:c>
      <x:c r="R100" s="35" t="str">
        <x:v>docs/ar-experience-design.md
docs/implementation/tours-360-delivery.md
lib/features/tours/presentation/tour_editor_screen.dart
lib/features/tours/models/tour_models.dart</x:v>
      </x:c>
    </x:row>
    <x:row r="101" ht="56" customHeight="1">
      <x:c r="A101" s="34" t="str">
        <x:v>FE-31</x:v>
      </x:c>
      <x:c r="B101" s="34" t="str">
        <x:v>Desarrollo Front-end (Cliente)</x:v>
      </x:c>
      <x:c r="C101" s="34" t="str">
        <x:v>Recorridos y Realidad Aumentada</x:v>
      </x:c>
      <x:c r="D101" s="34" t="str">
        <x:v>Implementar captura guiada y orientación nativa</x:v>
      </x:c>
      <x:c r="E101" s="35" t="str">
        <x:v>Guardar tomas y mostrar cobertura usando sensores móviles.</x:v>
      </x:c>
      <x:c r="F101" s="35" t="str">
        <x:v>Completado</x:v>
      </x:c>
      <x:c r="G101" s="36" t="n">
        <x:v>46296</x:v>
      </x:c>
      <x:c r="H101" s="36" t="n">
        <x:v>46302</x:v>
      </x:c>
      <x:c r="I101" s="37" t="n">
        <x:f>IF(OR(G101="",H101=""),"",SUMPRODUCT(('Cronograma'!$G$8:$Q$8&lt;=H101)*('Cronograma'!$G$9:$Q$9&gt;=G101)))</x:f>
        <x:v>1</x:v>
      </x:c>
      <x:c r="J101" s="37" t="n">
        <x:f>IF(F101="Completado",I101,"")</x:f>
        <x:v>1</x:v>
      </x:c>
      <x:c r="K101" s="35" t="str">
        <x:v>AR</x:v>
      </x:c>
      <x:c r="L101" s="38" t="str">
        <x:v>Ximena</x:v>
      </x:c>
      <x:c r="M101" s="38" t="str"/>
      <x:c r="N101" s="39" t="n">
        <x:v>46301</x:v>
      </x:c>
      <x:c r="O101" s="35" t="str">
        <x:v>BD-24</x:v>
      </x:c>
      <x:c r="P101" s="35" t="str">
        <x:v>Completado</x:v>
      </x:c>
      <x:c r="Q101" s="35" t="str">
        <x:v>R se coloca en los mismos bloques que E por criterio del cronograma; no representa una duración de trabajo medida.</x:v>
      </x:c>
      <x:c r="R101" s="35" t="str">
        <x:v>docs/ar-experience-design.md
docs/implementation/tours-native.md
lib/features/tours/capture/tour_capture_screen.dart
lib/features/tours/capture/capture_plan.dart</x:v>
      </x:c>
    </x:row>
    <x:row r="102" ht="56" customHeight="1">
      <x:c r="A102" s="34" t="str">
        <x:v>FE-32</x:v>
      </x:c>
      <x:c r="B102" s="34" t="str">
        <x:v>Desarrollo Front-end (Cliente)</x:v>
      </x:c>
      <x:c r="C102" s="34" t="str">
        <x:v>Recorridos y Realidad Aumentada</x:v>
      </x:c>
      <x:c r="D102" s="34" t="str">
        <x:v>Implementar importación GPano y subida reanudable</x:v>
      </x:c>
      <x:c r="E102" s="35" t="str">
        <x:v>Validar panoramas y recuperar transferencias interrumpidas.</x:v>
      </x:c>
      <x:c r="F102" s="35" t="str">
        <x:v>Completado</x:v>
      </x:c>
      <x:c r="G102" s="36" t="n">
        <x:v>46296</x:v>
      </x:c>
      <x:c r="H102" s="36" t="n">
        <x:v>46302</x:v>
      </x:c>
      <x:c r="I102" s="37" t="n">
        <x:f>IF(OR(G102="",H102=""),"",SUMPRODUCT(('Cronograma'!$G$8:$Q$8&lt;=H102)*('Cronograma'!$G$9:$Q$9&gt;=G102)))</x:f>
        <x:v>1</x:v>
      </x:c>
      <x:c r="J102" s="37" t="n">
        <x:f>IF(F102="Completado",I102,"")</x:f>
        <x:v>1</x:v>
      </x:c>
      <x:c r="K102" s="35" t="str">
        <x:v>AR</x:v>
      </x:c>
      <x:c r="L102" s="38" t="str">
        <x:v>Ximena</x:v>
      </x:c>
      <x:c r="M102" s="38" t="str"/>
      <x:c r="N102" s="39" t="n">
        <x:v>46301</x:v>
      </x:c>
      <x:c r="O102" s="35" t="str">
        <x:v>BD-24</x:v>
      </x:c>
      <x:c r="P102" s="35" t="str">
        <x:v>Completado</x:v>
      </x:c>
      <x:c r="Q102" s="35" t="str">
        <x:v>R se coloca en los mismos bloques que E por criterio del cronograma; no representa una duración de trabajo medida.</x:v>
      </x:c>
      <x:c r="R102" s="35" t="str">
        <x:v>docs/ar-experience-design.md
lib/features/tours/data/tus_uploader.dart
lib/features/tours/data/tour_local_store_io.dart
lib/features/tours/data/tour_local_store_web.dart</x:v>
      </x:c>
    </x:row>
    <x:row r="103" ht="56" customHeight="1">
      <x:c r="A103" s="34" t="str">
        <x:v>FE-33</x:v>
      </x:c>
      <x:c r="B103" s="34" t="str">
        <x:v>Desarrollo Front-end (Cliente)</x:v>
      </x:c>
      <x:c r="C103" s="34" t="str">
        <x:v>Recorridos y Realidad Aumentada</x:v>
      </x:c>
      <x:c r="D103" s="34" t="str">
        <x:v>Implementar visor 360° y progreso del recorrido</x:v>
      </x:c>
      <x:c r="E103" s="35" t="str">
        <x:v>Navegar panoramas y mostrar estado de procesamiento.</x:v>
      </x:c>
      <x:c r="F103" s="35" t="str">
        <x:v>Completado</x:v>
      </x:c>
      <x:c r="G103" s="36" t="n">
        <x:v>46296</x:v>
      </x:c>
      <x:c r="H103" s="36" t="n">
        <x:v>46302</x:v>
      </x:c>
      <x:c r="I103" s="37" t="n">
        <x:f>IF(OR(G103="",H103=""),"",SUMPRODUCT(('Cronograma'!$G$8:$Q$8&lt;=H103)*('Cronograma'!$G$9:$Q$9&gt;=G103)))</x:f>
        <x:v>1</x:v>
      </x:c>
      <x:c r="J103" s="37" t="n">
        <x:f>IF(F103="Completado",I103,"")</x:f>
        <x:v>1</x:v>
      </x:c>
      <x:c r="K103" s="35" t="str">
        <x:v>AR</x:v>
      </x:c>
      <x:c r="L103" s="38" t="str">
        <x:v>Ximena</x:v>
      </x:c>
      <x:c r="M103" s="38" t="str"/>
      <x:c r="N103" s="39" t="n">
        <x:v>46301</x:v>
      </x:c>
      <x:c r="O103" s="35" t="str">
        <x:v>BD-24</x:v>
      </x:c>
      <x:c r="P103" s="35" t="str">
        <x:v>Completado</x:v>
      </x:c>
      <x:c r="Q103" s="35" t="str">
        <x:v>R se coloca en los mismos bloques que E por criterio del cronograma; no representa una duración de trabajo medida.</x:v>
      </x:c>
      <x:c r="R103" s="35" t="str">
        <x:v>docs/ar-experience-design.md
lib/features/tours/presentation/tour_panorama.dart
lib/features/tours/presentation/tour_visit_screen.dart
test/features/tours/tour_ui_test.dart</x:v>
      </x:c>
    </x:row>
    <x:row r="104" ht="56" customHeight="1">
      <x:c r="A104" s="34" t="str">
        <x:v>FE-34</x:v>
      </x:c>
      <x:c r="B104" s="34" t="str">
        <x:v>Desarrollo Front-end (Cliente)</x:v>
      </x:c>
      <x:c r="C104" s="34" t="str">
        <x:v>Recorridos y Realidad Aumentada</x:v>
      </x:c>
      <x:c r="D104" s="34" t="str">
        <x:v>Integrar reconocimiento y recuperación AR nativos</x:v>
      </x:c>
      <x:c r="E104" s="35" t="str">
        <x:v>Completar aceptación física del código Android e iOS integrado.</x:v>
      </x:c>
      <x:c r="F104" s="35" t="str">
        <x:v>WIP</x:v>
      </x:c>
      <x:c r="G104" s="36" t="n">
        <x:v>46296</x:v>
      </x:c>
      <x:c r="H104" s="36" t="n">
        <x:v>46316</x:v>
      </x:c>
      <x:c r="I104" s="37" t="n">
        <x:f>IF(OR(G104="",H104=""),"",SUMPRODUCT(('Cronograma'!$G$8:$Q$8&lt;=H104)*('Cronograma'!$G$9:$Q$9&gt;=G104)))</x:f>
        <x:v>3</x:v>
      </x:c>
      <x:c r="J104" s="37" t="str">
        <x:f>IF(F104="Completado",I104,"")</x:f>
      </x:c>
      <x:c r="K104" s="35" t="str">
        <x:v>Líder AR</x:v>
      </x:c>
      <x:c r="L104" s="38" t="str">
        <x:v>Santiago</x:v>
      </x:c>
      <x:c r="M104" s="38" t="str"/>
      <x:c r="N104" s="39" t="n">
        <x:v>46301</x:v>
      </x:c>
      <x:c r="O104" s="35" t="str">
        <x:v>BD-24</x:v>
      </x:c>
      <x:c r="P104" s="35" t="str">
        <x:v>Validar físicamente reconocimiento, estabilidad y recuperación AR.</x:v>
      </x:c>
      <x:c r="Q104" s="35" t="str">
        <x:v>Código integrado; falta aceptación física. R permanece vacía mientras la tarea está abierta.</x:v>
      </x:c>
      <x:c r="R104" s="35" t="str">
        <x:v>docs/implementation/tours-native.md
docs/ar-experience-design.md
android/app/src/main/kotlin/com/marea/app/TourAR.kt
ios/Runner/AppDelegate.swift</x:v>
      </x:c>
    </x:row>
    <x:row r="105" ht="56" customHeight="1">
      <x:c r="A105" s="34" t="str">
        <x:v>FE-35</x:v>
      </x:c>
      <x:c r="B105" s="34" t="str">
        <x:v>Desarrollo Front-end (Cliente)</x:v>
      </x:c>
      <x:c r="C105" s="34" t="str">
        <x:v>Moderación y Administración</x:v>
      </x:c>
      <x:c r="D105" s="34" t="str">
        <x:v>Implementar reporte de publicación y misión</x:v>
      </x:c>
      <x:c r="E105" s="35" t="str">
        <x:v>Capturar motivo y enviar el reporte para revisión privada.</x:v>
      </x:c>
      <x:c r="F105" s="35" t="str">
        <x:v>Completado</x:v>
      </x:c>
      <x:c r="G105" s="36" t="n">
        <x:v>46280</x:v>
      </x:c>
      <x:c r="H105" s="36" t="n">
        <x:v>46286</x:v>
      </x:c>
      <x:c r="I105" s="37" t="n">
        <x:f>IF(OR(G105="",H105=""),"",SUMPRODUCT(('Cronograma'!$G$8:$Q$8&lt;=H105)*('Cronograma'!$G$9:$Q$9&gt;=G105)))</x:f>
        <x:v>1</x:v>
      </x:c>
      <x:c r="J105" s="37" t="n">
        <x:f>IF(F105="Completado",I105,"")</x:f>
        <x:v>1</x:v>
      </x:c>
      <x:c r="K105" s="35" t="str">
        <x:v>UI/UX</x:v>
      </x:c>
      <x:c r="L105" s="38" t="str">
        <x:v>Fatima</x:v>
      </x:c>
      <x:c r="M105" s="38" t="str"/>
      <x:c r="N105" s="39" t="n">
        <x:v>46282</x:v>
      </x:c>
      <x:c r="O105" s="35" t="str">
        <x:v>BD-26</x:v>
      </x:c>
      <x:c r="P105" s="35" t="str">
        <x:v>Completado</x:v>
      </x:c>
      <x:c r="Q105" s="35" t="str">
        <x:v>R se coloca en los mismos bloques que E por criterio del cronograma; no representa una duración de trabajo medida.</x:v>
      </x:c>
      <x:c r="R105" s="35" t="str">
        <x:v>docs/community.md
docs/account-completion.md
supabase/functions/delete-account/index.ts
lib/features/community/presentation/moderation_screen.dart</x:v>
      </x:c>
    </x:row>
    <x:row r="106" ht="56" customHeight="1">
      <x:c r="A106" s="34" t="str">
        <x:v>FE-36</x:v>
      </x:c>
      <x:c r="B106" s="34" t="str">
        <x:v>Desarrollo Front-end (Cliente)</x:v>
      </x:c>
      <x:c r="C106" s="34" t="str">
        <x:v>Moderación y Administración</x:v>
      </x:c>
      <x:c r="D106" s="34" t="str">
        <x:v>Implementar bandeja privada de moderación</x:v>
      </x:c>
      <x:c r="E106" s="35" t="str">
        <x:v>Mostrar contenidos reportados únicamente al rol autorizado.</x:v>
      </x:c>
      <x:c r="F106" s="35" t="str">
        <x:v>Completado</x:v>
      </x:c>
      <x:c r="G106" s="36" t="n">
        <x:v>46280</x:v>
      </x:c>
      <x:c r="H106" s="36" t="n">
        <x:v>46286</x:v>
      </x:c>
      <x:c r="I106" s="37" t="n">
        <x:f>IF(OR(G106="",H106=""),"",SUMPRODUCT(('Cronograma'!$G$8:$Q$8&lt;=H106)*('Cronograma'!$G$9:$Q$9&gt;=G106)))</x:f>
        <x:v>1</x:v>
      </x:c>
      <x:c r="J106" s="37" t="n">
        <x:f>IF(F106="Completado",I106,"")</x:f>
        <x:v>1</x:v>
      </x:c>
      <x:c r="K106" s="35" t="str">
        <x:v>UI/UX</x:v>
      </x:c>
      <x:c r="L106" s="38" t="str">
        <x:v>Fatima</x:v>
      </x:c>
      <x:c r="M106" s="38" t="str"/>
      <x:c r="N106" s="39" t="n">
        <x:v>46282</x:v>
      </x:c>
      <x:c r="O106" s="35" t="str">
        <x:v>BD-26</x:v>
      </x:c>
      <x:c r="P106" s="35" t="str">
        <x:v>Completado</x:v>
      </x:c>
      <x:c r="Q106" s="35" t="str">
        <x:v>R se coloca en los mismos bloques que E por criterio del cronograma; no representa una duración de trabajo medida.</x:v>
      </x:c>
      <x:c r="R106" s="35" t="str">
        <x:v>docs/community.md
docs/account-completion.md
supabase/functions/delete-account/index.ts
lib/features/community/presentation/moderation_screen.dart</x:v>
      </x:c>
    </x:row>
    <x:row r="107" ht="56" customHeight="1">
      <x:c r="A107" s="34" t="str">
        <x:v>FE-37</x:v>
      </x:c>
      <x:c r="B107" s="34" t="str">
        <x:v>Desarrollo Front-end (Cliente)</x:v>
      </x:c>
      <x:c r="C107" s="34" t="str">
        <x:v>Moderación y Administración</x:v>
      </x:c>
      <x:c r="D107" s="34" t="str">
        <x:v>Implementar acciones de ocultar y restaurar</x:v>
      </x:c>
      <x:c r="E107" s="35" t="str">
        <x:v>Actualizar contenido revisado y confirmar acciones sensibles.</x:v>
      </x:c>
      <x:c r="F107" s="35" t="str">
        <x:v>Completado</x:v>
      </x:c>
      <x:c r="G107" s="36" t="n">
        <x:v>46280</x:v>
      </x:c>
      <x:c r="H107" s="36" t="n">
        <x:v>46286</x:v>
      </x:c>
      <x:c r="I107" s="37" t="n">
        <x:f>IF(OR(G107="",H107=""),"",SUMPRODUCT(('Cronograma'!$G$8:$Q$8&lt;=H107)*('Cronograma'!$G$9:$Q$9&gt;=G107)))</x:f>
        <x:v>1</x:v>
      </x:c>
      <x:c r="J107" s="37" t="n">
        <x:f>IF(F107="Completado",I107,"")</x:f>
        <x:v>1</x:v>
      </x:c>
      <x:c r="K107" s="35" t="str">
        <x:v>UI/UX</x:v>
      </x:c>
      <x:c r="L107" s="38" t="str">
        <x:v>Fatima</x:v>
      </x:c>
      <x:c r="M107" s="38" t="str"/>
      <x:c r="N107" s="39" t="n">
        <x:v>46282</x:v>
      </x:c>
      <x:c r="O107" s="35" t="str">
        <x:v>BD-26</x:v>
      </x:c>
      <x:c r="P107" s="35" t="str">
        <x:v>Completado</x:v>
      </x:c>
      <x:c r="Q107" s="35" t="str">
        <x:v>R se coloca en los mismos bloques que E por criterio del cronograma; no representa una duración de trabajo medida.</x:v>
      </x:c>
      <x:c r="R107" s="35" t="str">
        <x:v>docs/community.md
docs/account-completion.md
supabase/functions/delete-account/index.ts
lib/features/community/presentation/moderation_screen.dart</x:v>
      </x:c>
    </x:row>
    <x:row r="108" ht="56" customHeight="1">
      <x:c r="A108" s="34" t="str">
        <x:v>FE-38</x:v>
      </x:c>
      <x:c r="B108" s="34" t="str">
        <x:v>Desarrollo Front-end (Cliente)</x:v>
      </x:c>
      <x:c r="C108" s="34" t="str">
        <x:v>Transversal</x:v>
      </x:c>
      <x:c r="D108" s="34" t="str">
        <x:v>Unificar diseño responsivo, skeletons y refresco</x:v>
      </x:c>
      <x:c r="E108" s="35" t="str">
        <x:v>Aplicar estados de carga y controles coherentes en todos los módulos.</x:v>
      </x:c>
      <x:c r="F108" s="35" t="str">
        <x:v>Completado</x:v>
      </x:c>
      <x:c r="G108" s="36" t="n">
        <x:v>46296</x:v>
      </x:c>
      <x:c r="H108" s="36" t="n">
        <x:v>46302</x:v>
      </x:c>
      <x:c r="I108" s="37" t="n">
        <x:f>IF(OR(G108="",H108=""),"",SUMPRODUCT(('Cronograma'!$G$8:$Q$8&lt;=H108)*('Cronograma'!$G$9:$Q$9&gt;=G108)))</x:f>
        <x:v>1</x:v>
      </x:c>
      <x:c r="J108" s="37" t="n">
        <x:f>IF(F108="Completado",I108,"")</x:f>
        <x:v>1</x:v>
      </x:c>
      <x:c r="K108" s="35" t="str">
        <x:v>UI/UX</x:v>
      </x:c>
      <x:c r="L108" s="38" t="str">
        <x:v>Fatima</x:v>
      </x:c>
      <x:c r="M108" s="38" t="str"/>
      <x:c r="N108" s="39" t="n">
        <x:v>46301</x:v>
      </x:c>
      <x:c r="O108" s="35" t="str">
        <x:v>DIS-05</x:v>
      </x:c>
      <x:c r="P108" s="35" t="str">
        <x:v>Completado</x:v>
      </x:c>
      <x:c r="Q108" s="35" t="str">
        <x:v>R se coloca en los mismos bloques que E por criterio del cronograma; no representa una duración de trabajo medida.</x:v>
      </x:c>
      <x:c r="R108" s="35" t="str">
        <x:v>docs/implementation/modern-interactions-push-progress.md
lib/shared/widgets/marea_action_button.dart
lib/shared/widgets/marea_panel.dart
lib/shared/widgets/marea_skeleton.dart</x:v>
      </x:c>
    </x:row>
    <x:row r="109" ht="56" customHeight="1">
      <x:c r="A109" s="34" t="str">
        <x:v>QA-01</x:v>
      </x:c>
      <x:c r="B109" s="34" t="str">
        <x:v>Pruebas y Verificación (QA)</x:v>
      </x:c>
      <x:c r="C109" s="34" t="str">
        <x:v>Autenticación y Acceso</x:v>
      </x:c>
      <x:c r="D109" s="34" t="str">
        <x:v>Verificar validadores, sesión y guards de acceso</x:v>
      </x:c>
      <x:c r="E109" s="35" t="str">
        <x:v>Cubrir entradas inválidas, recuperación de sesión y redirecciones.</x:v>
      </x:c>
      <x:c r="F109" s="35" t="str">
        <x:v>Completado</x:v>
      </x:c>
      <x:c r="G109" s="36" t="n">
        <x:v>46280</x:v>
      </x:c>
      <x:c r="H109" s="36" t="n">
        <x:v>46286</x:v>
      </x:c>
      <x:c r="I109" s="37" t="n">
        <x:f>IF(OR(G109="",H109=""),"",SUMPRODUCT(('Cronograma'!$G$8:$Q$8&lt;=H109)*('Cronograma'!$G$9:$Q$9&gt;=G109)))</x:f>
        <x:v>1</x:v>
      </x:c>
      <x:c r="J109" s="37" t="n">
        <x:f>IF(F109="Completado",I109,"")</x:f>
        <x:v>1</x:v>
      </x:c>
      <x:c r="K109" s="35" t="str">
        <x:v>UI/UX</x:v>
      </x:c>
      <x:c r="L109" s="38" t="str">
        <x:v>Fatima</x:v>
      </x:c>
      <x:c r="M109" s="38" t="str"/>
      <x:c r="N109" s="39" t="n">
        <x:v>46281</x:v>
      </x:c>
      <x:c r="O109" s="35" t="str">
        <x:v>FE-07</x:v>
      </x:c>
      <x:c r="P109" s="35" t="str">
        <x:v>Completado</x:v>
      </x:c>
      <x:c r="Q109" s="35" t="str">
        <x:v>R se coloca en los mismos bloques que E por criterio del cronograma; no representa una duración de trabajo medida.</x:v>
      </x:c>
      <x:c r="R109" s="35" t="str">
        <x:v>docs/deployment-status.md
test/features/profile/data/profile_image_picker_test.dart
tool/check_database.mjs
tool/check_community_database.mjs</x:v>
      </x:c>
    </x:row>
    <x:row r="110" ht="56" customHeight="1">
      <x:c r="A110" s="34" t="str">
        <x:v>QA-02</x:v>
      </x:c>
      <x:c r="B110" s="34" t="str">
        <x:v>Pruebas y Verificación (QA)</x:v>
      </x:c>
      <x:c r="C110" s="34" t="str">
        <x:v>Autenticación y Acceso</x:v>
      </x:c>
      <x:c r="D110" s="34" t="str">
        <x:v>Verificar contrato SQL de consentimientos y privacidad</x:v>
      </x:c>
      <x:c r="E110" s="35" t="str">
        <x:v>Comprobar permisos y protección de campos sensibles.</x:v>
      </x:c>
      <x:c r="F110" s="35" t="str">
        <x:v>Completado</x:v>
      </x:c>
      <x:c r="G110" s="36" t="n">
        <x:v>46280</x:v>
      </x:c>
      <x:c r="H110" s="36" t="n">
        <x:v>46286</x:v>
      </x:c>
      <x:c r="I110" s="37" t="n">
        <x:f>IF(OR(G110="",H110=""),"",SUMPRODUCT(('Cronograma'!$G$8:$Q$8&lt;=H110)*('Cronograma'!$G$9:$Q$9&gt;=G110)))</x:f>
        <x:v>1</x:v>
      </x:c>
      <x:c r="J110" s="37" t="n">
        <x:f>IF(F110="Completado",I110,"")</x:f>
        <x:v>1</x:v>
      </x:c>
      <x:c r="K110" s="35" t="str">
        <x:v>Base de datos</x:v>
      </x:c>
      <x:c r="L110" s="38" t="str">
        <x:v>Alan</x:v>
      </x:c>
      <x:c r="M110" s="38" t="str"/>
      <x:c r="N110" s="39" t="n">
        <x:v>46281</x:v>
      </x:c>
      <x:c r="O110" s="35" t="str">
        <x:v>FE-07</x:v>
      </x:c>
      <x:c r="P110" s="35" t="str">
        <x:v>Completado</x:v>
      </x:c>
      <x:c r="Q110" s="35" t="str">
        <x:v>R se coloca en los mismos bloques que E por criterio del cronograma; no representa una duración de trabajo medida.</x:v>
      </x:c>
      <x:c r="R110" s="35" t="str">
        <x:v>docs/deployment-status.md
test/features/profile/data/profile_image_picker_test.dart
tool/check_database.mjs
tool/check_community_database.mjs</x:v>
      </x:c>
    </x:row>
    <x:row r="111" ht="46" customHeight="1">
      <x:c r="A111" s="34" t="str">
        <x:v>QA-03</x:v>
      </x:c>
      <x:c r="B111" s="34" t="str">
        <x:v>Pruebas y Verificación (QA)</x:v>
      </x:c>
      <x:c r="C111" s="34" t="str">
        <x:v>Perfil y Cuenta</x:v>
      </x:c>
      <x:c r="D111" s="34" t="str">
        <x:v>Verificar widgets y tipos de perfil</x:v>
      </x:c>
      <x:c r="E111" s="35" t="str">
        <x:v>Validar estados y herramientas de los cuatro perfiles.</x:v>
      </x:c>
      <x:c r="F111" s="35" t="str">
        <x:v>Completado</x:v>
      </x:c>
      <x:c r="G111" s="36" t="n">
        <x:v>46287</x:v>
      </x:c>
      <x:c r="H111" s="36" t="n">
        <x:v>46295</x:v>
      </x:c>
      <x:c r="I111" s="37" t="n">
        <x:f>IF(OR(G111="",H111=""),"",SUMPRODUCT(('Cronograma'!$G$8:$Q$8&lt;=H111)*('Cronograma'!$G$9:$Q$9&gt;=G111)))</x:f>
        <x:v>1</x:v>
      </x:c>
      <x:c r="J111" s="37" t="n">
        <x:f>IF(F111="Completado",I111,"")</x:f>
        <x:v>1</x:v>
      </x:c>
      <x:c r="K111" s="35" t="str">
        <x:v>UI/UX</x:v>
      </x:c>
      <x:c r="L111" s="38" t="str">
        <x:v>Fatima</x:v>
      </x:c>
      <x:c r="M111" s="38" t="str"/>
      <x:c r="N111" s="39" t="n">
        <x:v>46294</x:v>
      </x:c>
      <x:c r="O111" s="35" t="str">
        <x:v>FE-11</x:v>
      </x:c>
      <x:c r="P111" s="35" t="str">
        <x:v>Completado</x:v>
      </x:c>
      <x:c r="Q111" s="35" t="str">
        <x:v>R se coloca en los mismos bloques que E por criterio del cronograma; no representa una duración de trabajo medida.</x:v>
      </x:c>
      <x:c r="R111" s="35" t="str">
        <x:v>output/profile-redesign-progress.md
output/ux-permissions-progress.md
git:84f3151:lib/features/profile/presentation/profile_experience.dart</x:v>
      </x:c>
    </x:row>
    <x:row r="112" ht="46" customHeight="1">
      <x:c r="A112" s="34" t="str">
        <x:v>QA-04</x:v>
      </x:c>
      <x:c r="B112" s="34" t="str">
        <x:v>Pruebas y Verificación (QA)</x:v>
      </x:c>
      <x:c r="C112" s="34" t="str">
        <x:v>Comunidad y Publicaciones</x:v>
      </x:c>
      <x:c r="D112" s="34" t="str">
        <x:v>Verificar comentarios, reacciones y guardados</x:v>
      </x:c>
      <x:c r="E112" s="35" t="str">
        <x:v>Comprobar permisos y contratos de las interacciones sociales.</x:v>
      </x:c>
      <x:c r="F112" s="35" t="str">
        <x:v>Completado</x:v>
      </x:c>
      <x:c r="G112" s="36" t="n">
        <x:v>46287</x:v>
      </x:c>
      <x:c r="H112" s="36" t="n">
        <x:v>46295</x:v>
      </x:c>
      <x:c r="I112" s="37" t="n">
        <x:f>IF(OR(G112="",H112=""),"",SUMPRODUCT(('Cronograma'!$G$8:$Q$8&lt;=H112)*('Cronograma'!$G$9:$Q$9&gt;=G112)))</x:f>
        <x:v>1</x:v>
      </x:c>
      <x:c r="J112" s="37" t="n">
        <x:f>IF(F112="Completado",I112,"")</x:f>
        <x:v>1</x:v>
      </x:c>
      <x:c r="K112" s="35" t="str">
        <x:v>Base de datos</x:v>
      </x:c>
      <x:c r="L112" s="38" t="str">
        <x:v>Alan</x:v>
      </x:c>
      <x:c r="M112" s="38" t="str"/>
      <x:c r="N112" s="39" t="n">
        <x:v>46294</x:v>
      </x:c>
      <x:c r="O112" s="35" t="str">
        <x:v>FE-16</x:v>
      </x:c>
      <x:c r="P112" s="35" t="str">
        <x:v>Completado</x:v>
      </x:c>
      <x:c r="Q112" s="35" t="str">
        <x:v>R se coloca en los mismos bloques que E por criterio del cronograma; no representa una duración de trabajo medida.</x:v>
      </x:c>
      <x:c r="R112" s="35" t="str">
        <x:v>docs/home-social-v7-integration.md
docs/implementation/home-social-v7-progress.md
tool/check_live_social_flow.mjs</x:v>
      </x:c>
    </x:row>
    <x:row r="113" ht="46" customHeight="1">
      <x:c r="A113" s="34" t="str">
        <x:v>QA-05</x:v>
      </x:c>
      <x:c r="B113" s="34" t="str">
        <x:v>Pruebas y Verificación (QA)</x:v>
      </x:c>
      <x:c r="C113" s="34" t="str">
        <x:v>Comunidad y Publicaciones</x:v>
      </x:c>
      <x:c r="D113" s="34" t="str">
        <x:v>Verificar regresión de la interfaz v7</x:v>
      </x:c>
      <x:c r="E113" s="35" t="str">
        <x:v>Comprobar feed, formularios, paneles y adaptación de pantallas.</x:v>
      </x:c>
      <x:c r="F113" s="35" t="str">
        <x:v>Completado</x:v>
      </x:c>
      <x:c r="G113" s="36" t="n">
        <x:v>46287</x:v>
      </x:c>
      <x:c r="H113" s="36" t="n">
        <x:v>46295</x:v>
      </x:c>
      <x:c r="I113" s="37" t="n">
        <x:f>IF(OR(G113="",H113=""),"",SUMPRODUCT(('Cronograma'!$G$8:$Q$8&lt;=H113)*('Cronograma'!$G$9:$Q$9&gt;=G113)))</x:f>
        <x:v>1</x:v>
      </x:c>
      <x:c r="J113" s="37" t="n">
        <x:f>IF(F113="Completado",I113,"")</x:f>
        <x:v>1</x:v>
      </x:c>
      <x:c r="K113" s="35" t="str">
        <x:v>UI/UX</x:v>
      </x:c>
      <x:c r="L113" s="38" t="str">
        <x:v>Fatima</x:v>
      </x:c>
      <x:c r="M113" s="38" t="str"/>
      <x:c r="N113" s="39" t="n">
        <x:v>46294</x:v>
      </x:c>
      <x:c r="O113" s="35" t="str">
        <x:v>FE-16</x:v>
      </x:c>
      <x:c r="P113" s="35" t="str">
        <x:v>Completado</x:v>
      </x:c>
      <x:c r="Q113" s="35" t="str">
        <x:v>R se coloca en los mismos bloques que E por criterio del cronograma; no representa una duración de trabajo medida.</x:v>
      </x:c>
      <x:c r="R113" s="35" t="str">
        <x:v>docs/home-social-v7-integration.md
docs/implementation/home-social-v7-progress.md
tool/check_live_social_flow.mjs</x:v>
      </x:c>
    </x:row>
    <x:row r="114" ht="46" customHeight="1">
      <x:c r="A114" s="34" t="str">
        <x:v>QA-06</x:v>
      </x:c>
      <x:c r="B114" s="34" t="str">
        <x:v>Pruebas y Verificación (QA)</x:v>
      </x:c>
      <x:c r="C114" s="34" t="str">
        <x:v>Misiones</x:v>
      </x:c>
      <x:c r="D114" s="34" t="str">
        <x:v>Ejecutar comprobaciones SQL de misiones</x:v>
      </x:c>
      <x:c r="E114" s="35" t="str">
        <x:v>Comprobar cupos, candidaturas, finalistas y aislamiento de organizador.</x:v>
      </x:c>
      <x:c r="F114" s="35" t="str">
        <x:v>Completado</x:v>
      </x:c>
      <x:c r="G114" s="36" t="n">
        <x:v>46287</x:v>
      </x:c>
      <x:c r="H114" s="36" t="n">
        <x:v>46295</x:v>
      </x:c>
      <x:c r="I114" s="37" t="n">
        <x:f>IF(OR(G114="",H114=""),"",SUMPRODUCT(('Cronograma'!$G$8:$Q$8&lt;=H114)*('Cronograma'!$G$9:$Q$9&gt;=G114)))</x:f>
        <x:v>1</x:v>
      </x:c>
      <x:c r="J114" s="37" t="n">
        <x:f>IF(F114="Completado",I114,"")</x:f>
        <x:v>1</x:v>
      </x:c>
      <x:c r="K114" s="35" t="str">
        <x:v>Base de datos</x:v>
      </x:c>
      <x:c r="L114" s="38" t="str">
        <x:v>Alan</x:v>
      </x:c>
      <x:c r="M114" s="38" t="str"/>
      <x:c r="N114" s="39" t="n">
        <x:v>46295</x:v>
      </x:c>
      <x:c r="O114" s="35" t="str">
        <x:v>FE-21</x:v>
      </x:c>
      <x:c r="P114" s="35" t="str">
        <x:v>Completado</x:v>
      </x:c>
      <x:c r="Q114" s="35" t="str">
        <x:v>R se coloca en los mismos bloques que E por criterio del cronograma; no representa una duración de trabajo medida.</x:v>
      </x:c>
      <x:c r="R114" s="35" t="str">
        <x:v>docs/deployment-status.md
docs/implementation/missions-redesign-progress.md
tool/check_live_missions_flow.mjs</x:v>
      </x:c>
    </x:row>
    <x:row r="115" ht="46" customHeight="1">
      <x:c r="A115" s="34" t="str">
        <x:v>QA-07</x:v>
      </x:c>
      <x:c r="B115" s="34" t="str">
        <x:v>Pruebas y Verificación (QA)</x:v>
      </x:c>
      <x:c r="C115" s="34" t="str">
        <x:v>Misiones</x:v>
      </x:c>
      <x:c r="D115" s="34" t="str">
        <x:v>Verificar widgets y regresión de candidaturas</x:v>
      </x:c>
      <x:c r="E115" s="35" t="str">
        <x:v>Comprobar compositor, seguimiento y decisiones del organizador.</x:v>
      </x:c>
      <x:c r="F115" s="35" t="str">
        <x:v>Completado</x:v>
      </x:c>
      <x:c r="G115" s="36" t="n">
        <x:v>46287</x:v>
      </x:c>
      <x:c r="H115" s="36" t="n">
        <x:v>46295</x:v>
      </x:c>
      <x:c r="I115" s="37" t="n">
        <x:f>IF(OR(G115="",H115=""),"",SUMPRODUCT(('Cronograma'!$G$8:$Q$8&lt;=H115)*('Cronograma'!$G$9:$Q$9&gt;=G115)))</x:f>
        <x:v>1</x:v>
      </x:c>
      <x:c r="J115" s="37" t="n">
        <x:f>IF(F115="Completado",I115,"")</x:f>
        <x:v>1</x:v>
      </x:c>
      <x:c r="K115" s="35" t="str">
        <x:v>UI/UX</x:v>
      </x:c>
      <x:c r="L115" s="38" t="str">
        <x:v>Fatima</x:v>
      </x:c>
      <x:c r="M115" s="38" t="str"/>
      <x:c r="N115" s="39" t="n">
        <x:v>46295</x:v>
      </x:c>
      <x:c r="O115" s="35" t="str">
        <x:v>FE-21</x:v>
      </x:c>
      <x:c r="P115" s="35" t="str">
        <x:v>Completado</x:v>
      </x:c>
      <x:c r="Q115" s="35" t="str">
        <x:v>R se coloca en los mismos bloques que E por criterio del cronograma; no representa una duración de trabajo medida.</x:v>
      </x:c>
      <x:c r="R115" s="35" t="str">
        <x:v>docs/deployment-status.md
docs/implementation/missions-redesign-progress.md
tool/check_live_missions_flow.mjs</x:v>
      </x:c>
    </x:row>
    <x:row r="116" ht="56" customHeight="1">
      <x:c r="A116" s="34" t="str">
        <x:v>QA-08</x:v>
      </x:c>
      <x:c r="B116" s="34" t="str">
        <x:v>Pruebas y Verificación (QA)</x:v>
      </x:c>
      <x:c r="C116" s="34" t="str">
        <x:v>Fichas Profesionales</x:v>
      </x:c>
      <x:c r="D116" s="34" t="str">
        <x:v>Verificar edición y visibilidad de fichas</x:v>
      </x:c>
      <x:c r="E116" s="35" t="str">
        <x:v>Comprobar galería, disponibilidad y acceso por tipo de cuenta.</x:v>
      </x:c>
      <x:c r="F116" s="35" t="str">
        <x:v>Completado</x:v>
      </x:c>
      <x:c r="G116" s="36" t="n">
        <x:v>46287</x:v>
      </x:c>
      <x:c r="H116" s="36" t="n">
        <x:v>46295</x:v>
      </x:c>
      <x:c r="I116" s="37" t="n">
        <x:f>IF(OR(G116="",H116=""),"",SUMPRODUCT(('Cronograma'!$G$8:$Q$8&lt;=H116)*('Cronograma'!$G$9:$Q$9&gt;=G116)))</x:f>
        <x:v>1</x:v>
      </x:c>
      <x:c r="J116" s="37" t="n">
        <x:f>IF(F116="Completado",I116,"")</x:f>
        <x:v>1</x:v>
      </x:c>
      <x:c r="K116" s="35" t="str">
        <x:v>UI/UX</x:v>
      </x:c>
      <x:c r="L116" s="38" t="str">
        <x:v>Fatima</x:v>
      </x:c>
      <x:c r="M116" s="38" t="str"/>
      <x:c r="N116" s="39" t="n">
        <x:v>46292</x:v>
      </x:c>
      <x:c r="O116" s="35" t="str">
        <x:v>FE-24</x:v>
      </x:c>
      <x:c r="P116" s="35" t="str">
        <x:v>Completado</x:v>
      </x:c>
      <x:c r="Q116" s="35" t="str">
        <x:v>R se coloca en los mismos bloques que E por criterio del cronograma; no representa una duración de trabajo medida.</x:v>
      </x:c>
      <x:c r="R116" s="35" t="str">
        <x:v>docs/community.md
lib/features/showcase/data/showcase_repository.dart
lib/features/showcase/presentation/showcase_composer_screen.dart
supabase/migrations/006_profile_experience.sql</x:v>
      </x:c>
    </x:row>
    <x:row r="117" ht="46" customHeight="1">
      <x:c r="A117" s="34" t="str">
        <x:v>QA-09</x:v>
      </x:c>
      <x:c r="B117" s="34" t="str">
        <x:v>Pruebas y Verificación (QA)</x:v>
      </x:c>
      <x:c r="C117" s="34" t="str">
        <x:v>Notificaciones Push</x:v>
      </x:c>
      <x:c r="D117" s="34" t="str">
        <x:v>Verificar envío y apertura push en Samsung</x:v>
      </x:c>
      <x:c r="E117" s="35" t="str">
        <x:v>Comprobar avisos con app visible, en segundo plano y proceso cerrado.</x:v>
      </x:c>
      <x:c r="F117" s="35" t="str">
        <x:v>Completado</x:v>
      </x:c>
      <x:c r="G117" s="36" t="n">
        <x:v>46296</x:v>
      </x:c>
      <x:c r="H117" s="36" t="n">
        <x:v>46302</x:v>
      </x:c>
      <x:c r="I117" s="37" t="n">
        <x:f>IF(OR(G117="",H117=""),"",SUMPRODUCT(('Cronograma'!$G$8:$Q$8&lt;=H117)*('Cronograma'!$G$9:$Q$9&gt;=G117)))</x:f>
        <x:v>1</x:v>
      </x:c>
      <x:c r="J117" s="37" t="n">
        <x:f>IF(F117="Completado",I117,"")</x:f>
        <x:v>1</x:v>
      </x:c>
      <x:c r="K117" s="35" t="str">
        <x:v>Back-end AR</x:v>
      </x:c>
      <x:c r="L117" s="38" t="str">
        <x:v>Cristopher</x:v>
      </x:c>
      <x:c r="M117" s="38" t="str"/>
      <x:c r="N117" s="39" t="n">
        <x:v>46301</x:v>
      </x:c>
      <x:c r="O117" s="35" t="str">
        <x:v>FE-29</x:v>
      </x:c>
      <x:c r="P117" s="35" t="str">
        <x:v>Completado</x:v>
      </x:c>
      <x:c r="Q117" s="35" t="str">
        <x:v>R se coloca en los mismos bloques que E por criterio del cronograma; no representa una duración de trabajo medida.</x:v>
      </x:c>
      <x:c r="R117" s="35" t="str">
        <x:v>docs/android-push.md
docs/implementation/modern-interactions-push-progress.md
test/features/notifications/push_controller_test.dart</x:v>
      </x:c>
    </x:row>
    <x:row r="118" ht="56" customHeight="1">
      <x:c r="A118" s="34" t="str">
        <x:v>QA-10</x:v>
      </x:c>
      <x:c r="B118" s="34" t="str">
        <x:v>Pruebas y Verificación (QA)</x:v>
      </x:c>
      <x:c r="C118" s="34" t="str">
        <x:v>Recorridos y Realidad Aumentada</x:v>
      </x:c>
      <x:c r="D118" s="34" t="str">
        <x:v>Ejecutar pruebas automáticas de recorridos</x:v>
      </x:c>
      <x:c r="E118" s="35" t="str">
        <x:v>Comprobar cliente, procesador, contratos SQL y código nativo.</x:v>
      </x:c>
      <x:c r="F118" s="35" t="str">
        <x:v>Completado</x:v>
      </x:c>
      <x:c r="G118" s="36" t="n">
        <x:v>46296</x:v>
      </x:c>
      <x:c r="H118" s="36" t="n">
        <x:v>46302</x:v>
      </x:c>
      <x:c r="I118" s="37" t="n">
        <x:f>IF(OR(G118="",H118=""),"",SUMPRODUCT(('Cronograma'!$G$8:$Q$8&lt;=H118)*('Cronograma'!$G$9:$Q$9&gt;=G118)))</x:f>
        <x:v>1</x:v>
      </x:c>
      <x:c r="J118" s="37" t="n">
        <x:f>IF(F118="Completado",I118,"")</x:f>
        <x:v>1</x:v>
      </x:c>
      <x:c r="K118" s="35" t="str">
        <x:v>Back-end AR</x:v>
      </x:c>
      <x:c r="L118" s="38" t="str">
        <x:v>Cristopher</x:v>
      </x:c>
      <x:c r="M118" s="38" t="str"/>
      <x:c r="N118" s="39" t="n">
        <x:v>46301</x:v>
      </x:c>
      <x:c r="O118" s="35" t="str">
        <x:v>FE-33</x:v>
      </x:c>
      <x:c r="P118" s="35" t="str">
        <x:v>Completado</x:v>
      </x:c>
      <x:c r="Q118" s="35" t="str">
        <x:v>R se coloca en los mismos bloques que E por criterio del cronograma; no representa una duración de trabajo medida.</x:v>
      </x:c>
      <x:c r="R118" s="35" t="str">
        <x:v>docs/implementation/tours-local-pilot-report.md
test/features/tours/tour_editor_recovery_test.dart
test/features/tours/tour_ar_recovery_test.dart
tool/check_tours_migrations.mjs</x:v>
      </x:c>
    </x:row>
    <x:row r="119" ht="56" customHeight="1">
      <x:c r="A119" s="34" t="str">
        <x:v>QA-11</x:v>
      </x:c>
      <x:c r="B119" s="34" t="str">
        <x:v>Pruebas y Verificación (QA)</x:v>
      </x:c>
      <x:c r="C119" s="34" t="str">
        <x:v>Recorridos y Realidad Aumentada</x:v>
      </x:c>
      <x:c r="D119" s="34" t="str">
        <x:v>Procesar panoramas con fixtures sintéticos</x:v>
      </x:c>
      <x:c r="E119" s="35" t="str">
        <x:v>Verificar Hugin, Enblend, formatos de salida y metadatos GPano.</x:v>
      </x:c>
      <x:c r="F119" s="35" t="str">
        <x:v>Completado</x:v>
      </x:c>
      <x:c r="G119" s="36" t="n">
        <x:v>46296</x:v>
      </x:c>
      <x:c r="H119" s="36" t="n">
        <x:v>46302</x:v>
      </x:c>
      <x:c r="I119" s="37" t="n">
        <x:f>IF(OR(G119="",H119=""),"",SUMPRODUCT(('Cronograma'!$G$8:$Q$8&lt;=H119)*('Cronograma'!$G$9:$Q$9&gt;=G119)))</x:f>
        <x:v>1</x:v>
      </x:c>
      <x:c r="J119" s="37" t="n">
        <x:f>IF(F119="Completado",I119,"")</x:f>
        <x:v>1</x:v>
      </x:c>
      <x:c r="K119" s="35" t="str">
        <x:v>Back-end AR</x:v>
      </x:c>
      <x:c r="L119" s="38" t="str">
        <x:v>Cristopher</x:v>
      </x:c>
      <x:c r="M119" s="38" t="str"/>
      <x:c r="N119" s="39" t="n">
        <x:v>46301</x:v>
      </x:c>
      <x:c r="O119" s="35" t="str">
        <x:v>FE-33</x:v>
      </x:c>
      <x:c r="P119" s="35" t="str">
        <x:v>Completado</x:v>
      </x:c>
      <x:c r="Q119" s="35" t="str">
        <x:v>R se coloca en los mismos bloques que E por criterio del cronograma; no representa una duración de trabajo medida.</x:v>
      </x:c>
      <x:c r="R119" s="35" t="str">
        <x:v>docs/implementation/tours-local-pilot-report.md
processing/tours/pilot-image.json
processing/tours/local_runner.py
processing/tours/check_live.py</x:v>
      </x:c>
    </x:row>
    <x:row r="120" ht="56" customHeight="1">
      <x:c r="A120" s="34" t="str">
        <x:v>QA-12</x:v>
      </x:c>
      <x:c r="B120" s="34" t="str">
        <x:v>Pruebas y Verificación (QA)</x:v>
      </x:c>
      <x:c r="C120" s="34" t="str">
        <x:v>Recorridos y Realidad Aumentada</x:v>
      </x:c>
      <x:c r="D120" s="34" t="str">
        <x:v>Corregir fallos encontrados en el piloto local</x:v>
      </x:c>
      <x:c r="E120" s="35" t="str">
        <x:v>Resolver mezcla, respuestas vacías, reintentos y renovación de leases.</x:v>
      </x:c>
      <x:c r="F120" s="35" t="str">
        <x:v>Completado</x:v>
      </x:c>
      <x:c r="G120" s="36" t="n">
        <x:v>46296</x:v>
      </x:c>
      <x:c r="H120" s="36" t="n">
        <x:v>46302</x:v>
      </x:c>
      <x:c r="I120" s="37" t="n">
        <x:f>IF(OR(G120="",H120=""),"",SUMPRODUCT(('Cronograma'!$G$8:$Q$8&lt;=H120)*('Cronograma'!$G$9:$Q$9&gt;=G120)))</x:f>
        <x:v>1</x:v>
      </x:c>
      <x:c r="J120" s="37" t="n">
        <x:f>IF(F120="Completado",I120,"")</x:f>
        <x:v>1</x:v>
      </x:c>
      <x:c r="K120" s="35" t="str">
        <x:v>Back-end AR</x:v>
      </x:c>
      <x:c r="L120" s="38" t="str">
        <x:v>Cristopher</x:v>
      </x:c>
      <x:c r="M120" s="38" t="str"/>
      <x:c r="N120" s="39" t="n">
        <x:v>46301</x:v>
      </x:c>
      <x:c r="O120" s="35" t="str">
        <x:v>FE-33</x:v>
      </x:c>
      <x:c r="P120" s="35" t="str">
        <x:v>Completado</x:v>
      </x:c>
      <x:c r="Q120" s="35" t="str">
        <x:v>R se coloca en los mismos bloques que E por criterio del cronograma; no representa una duración de trabajo medida.</x:v>
      </x:c>
      <x:c r="R120" s="35" t="str">
        <x:v>docs/implementation/tours-local-pilot-report.md
processing/tours/pilot-image.json
processing/tours/local_runner.py
processing/tours/check_live.py</x:v>
      </x:c>
    </x:row>
    <x:row r="121" ht="56" customHeight="1">
      <x:c r="A121" s="34" t="str">
        <x:v>QA-13</x:v>
      </x:c>
      <x:c r="B121" s="34" t="str">
        <x:v>Pruebas y Verificación (QA)</x:v>
      </x:c>
      <x:c r="C121" s="34" t="str">
        <x:v>Autenticación y Acceso</x:v>
      </x:c>
      <x:c r="D121" s="34" t="str">
        <x:v>Verificar entrega real de OTP y recuperación</x:v>
      </x:c>
      <x:c r="E121" s="35" t="str">
        <x:v>Completar flujo de correo desde una cuenta nueva en dispositivo.</x:v>
      </x:c>
      <x:c r="F121" s="35" t="str">
        <x:v>Pendiente</x:v>
      </x:c>
      <x:c r="G121" s="36" t="n">
        <x:v>46303</x:v>
      </x:c>
      <x:c r="H121" s="36" t="n">
        <x:v>46309</x:v>
      </x:c>
      <x:c r="I121" s="37" t="n">
        <x:f>IF(OR(G121="",H121=""),"",SUMPRODUCT(('Cronograma'!$G$8:$Q$8&lt;=H121)*('Cronograma'!$G$9:$Q$9&gt;=G121)))</x:f>
        <x:v>1</x:v>
      </x:c>
      <x:c r="J121" s="37" t="str">
        <x:f>IF(F121="Completado",I121,"")</x:f>
      </x:c>
      <x:c r="K121" s="35" t="str">
        <x:v>Back-end AR</x:v>
      </x:c>
      <x:c r="L121" s="38" t="str">
        <x:v>Cristopher</x:v>
      </x:c>
      <x:c r="M121" s="38" t="str"/>
      <x:c r="N121" s="39"/>
      <x:c r="O121" s="35" t="str">
        <x:v>FE-07</x:v>
      </x:c>
      <x:c r="P121" s="35" t="str">
        <x:v>Completar flujo de correo desde una cuenta nueva en dispositivo.</x:v>
      </x:c>
      <x:c r="Q121" s="35" t="str">
        <x:v>Solo estimación; ejecución pendiente.</x:v>
      </x:c>
      <x:c r="R121" s="35" t="str">
        <x:v>docs/email-setup.md
docs/deployment-status.md
docs/map.md
docs/access-redesign.md</x:v>
      </x:c>
    </x:row>
    <x:row r="122" ht="56" customHeight="1">
      <x:c r="A122" s="34" t="str">
        <x:v>QA-14</x:v>
      </x:c>
      <x:c r="B122" s="34" t="str">
        <x:v>Pruebas y Verificación (QA)</x:v>
      </x:c>
      <x:c r="C122" s="34" t="str">
        <x:v>Perfil y Cuenta</x:v>
      </x:c>
      <x:c r="D122" s="34" t="str">
        <x:v>Verificar privacidad al cambiar de sesión</x:v>
      </x:c>
      <x:c r="E122" s="35" t="str">
        <x:v>Comprobar aislamiento de medios y datos entre dos cuentas físicas.</x:v>
      </x:c>
      <x:c r="F122" s="35" t="str">
        <x:v>Pendiente</x:v>
      </x:c>
      <x:c r="G122" s="36" t="n">
        <x:v>46303</x:v>
      </x:c>
      <x:c r="H122" s="36" t="n">
        <x:v>46309</x:v>
      </x:c>
      <x:c r="I122" s="37" t="n">
        <x:f>IF(OR(G122="",H122=""),"",SUMPRODUCT(('Cronograma'!$G$8:$Q$8&lt;=H122)*('Cronograma'!$G$9:$Q$9&gt;=G122)))</x:f>
        <x:v>1</x:v>
      </x:c>
      <x:c r="J122" s="37" t="str">
        <x:f>IF(F122="Completado",I122,"")</x:f>
      </x:c>
      <x:c r="K122" s="35" t="str">
        <x:v>Base de datos</x:v>
      </x:c>
      <x:c r="L122" s="38" t="str">
        <x:v>Alan</x:v>
      </x:c>
      <x:c r="M122" s="38" t="str"/>
      <x:c r="N122" s="39"/>
      <x:c r="O122" s="35" t="str">
        <x:v>FE-11</x:v>
      </x:c>
      <x:c r="P122" s="35" t="str">
        <x:v>Comprobar aislamiento de medios y datos entre dos cuentas físicas.</x:v>
      </x:c>
      <x:c r="Q122" s="35" t="str">
        <x:v>Solo estimación; ejecución pendiente.</x:v>
      </x:c>
      <x:c r="R122" s="35" t="str">
        <x:v>docs/email-setup.md
docs/deployment-status.md
docs/map.md
docs/access-redesign.md</x:v>
      </x:c>
    </x:row>
    <x:row r="123" ht="56" customHeight="1">
      <x:c r="A123" s="34" t="str">
        <x:v>QA-15</x:v>
      </x:c>
      <x:c r="B123" s="34" t="str">
        <x:v>Pruebas y Verificación (QA)</x:v>
      </x:c>
      <x:c r="C123" s="34" t="str">
        <x:v>Comunidad y Publicaciones</x:v>
      </x:c>
      <x:c r="D123" s="34" t="str">
        <x:v>Verificar fotografías y gestos en dispositivos reales</x:v>
      </x:c>
      <x:c r="E123" s="35" t="str">
        <x:v>Probar cámara, galería, teclado y errores de conectividad.</x:v>
      </x:c>
      <x:c r="F123" s="35" t="str">
        <x:v>Pendiente</x:v>
      </x:c>
      <x:c r="G123" s="36" t="n">
        <x:v>46303</x:v>
      </x:c>
      <x:c r="H123" s="36" t="n">
        <x:v>46309</x:v>
      </x:c>
      <x:c r="I123" s="37" t="n">
        <x:f>IF(OR(G123="",H123=""),"",SUMPRODUCT(('Cronograma'!$G$8:$Q$8&lt;=H123)*('Cronograma'!$G$9:$Q$9&gt;=G123)))</x:f>
        <x:v>1</x:v>
      </x:c>
      <x:c r="J123" s="37" t="str">
        <x:f>IF(F123="Completado",I123,"")</x:f>
      </x:c>
      <x:c r="K123" s="35" t="str">
        <x:v>UI/UX</x:v>
      </x:c>
      <x:c r="L123" s="38" t="str">
        <x:v>Fatima</x:v>
      </x:c>
      <x:c r="M123" s="38" t="str"/>
      <x:c r="N123" s="39"/>
      <x:c r="O123" s="35" t="str">
        <x:v>FE-17</x:v>
      </x:c>
      <x:c r="P123" s="35" t="str">
        <x:v>Probar cámara, galería, teclado y errores de conectividad.</x:v>
      </x:c>
      <x:c r="Q123" s="35" t="str">
        <x:v>Solo estimación; ejecución pendiente.</x:v>
      </x:c>
      <x:c r="R123" s="35" t="str">
        <x:v>docs/email-setup.md
docs/deployment-status.md
docs/map.md
docs/access-redesign.md</x:v>
      </x:c>
    </x:row>
    <x:row r="124" ht="56" customHeight="1">
      <x:c r="A124" s="34" t="str">
        <x:v>QA-16</x:v>
      </x:c>
      <x:c r="B124" s="34" t="str">
        <x:v>Pruebas y Verificación (QA)</x:v>
      </x:c>
      <x:c r="C124" s="34" t="str">
        <x:v>Mapa y Ubicación</x:v>
      </x:c>
      <x:c r="D124" s="34" t="str">
        <x:v>Verificar permisos GPS y búsqueda geográfica real</x:v>
      </x:c>
      <x:c r="E124" s="35" t="str">
        <x:v>Probar ubicación denegada, precisión y filtros en movimiento.</x:v>
      </x:c>
      <x:c r="F124" s="35" t="str">
        <x:v>Pendiente</x:v>
      </x:c>
      <x:c r="G124" s="36" t="n">
        <x:v>46303</x:v>
      </x:c>
      <x:c r="H124" s="36" t="n">
        <x:v>46309</x:v>
      </x:c>
      <x:c r="I124" s="37" t="n">
        <x:f>IF(OR(G124="",H124=""),"",SUMPRODUCT(('Cronograma'!$G$8:$Q$8&lt;=H124)*('Cronograma'!$G$9:$Q$9&gt;=G124)))</x:f>
        <x:v>1</x:v>
      </x:c>
      <x:c r="J124" s="37" t="str">
        <x:f>IF(F124="Completado",I124,"")</x:f>
      </x:c>
      <x:c r="K124" s="35" t="str">
        <x:v>UI/UX</x:v>
      </x:c>
      <x:c r="L124" s="38" t="str">
        <x:v>Fatima</x:v>
      </x:c>
      <x:c r="M124" s="38" t="str"/>
      <x:c r="N124" s="39"/>
      <x:c r="O124" s="35" t="str">
        <x:v>FE-27</x:v>
      </x:c>
      <x:c r="P124" s="35" t="str">
        <x:v>Probar ubicación denegada, precisión y filtros en movimiento.</x:v>
      </x:c>
      <x:c r="Q124" s="35" t="str">
        <x:v>Solo estimación; ejecución pendiente.</x:v>
      </x:c>
      <x:c r="R124" s="35" t="str">
        <x:v>docs/email-setup.md
docs/deployment-status.md
docs/map.md
docs/access-redesign.md</x:v>
      </x:c>
    </x:row>
    <x:row r="125" ht="46" customHeight="1">
      <x:c r="A125" s="34" t="str">
        <x:v>QA-17</x:v>
      </x:c>
      <x:c r="B125" s="34" t="str">
        <x:v>Pruebas y Verificación (QA)</x:v>
      </x:c>
      <x:c r="C125" s="34" t="str">
        <x:v>Notificaciones Push</x:v>
      </x:c>
      <x:c r="D125" s="34" t="str">
        <x:v>Probar permisos, cambio de cuenta y renovación de token</x:v>
      </x:c>
      <x:c r="E125" s="35" t="str">
        <x:v>Completar matriz física adicional de notificaciones Android.</x:v>
      </x:c>
      <x:c r="F125" s="35" t="str">
        <x:v>Pendiente</x:v>
      </x:c>
      <x:c r="G125" s="36" t="n">
        <x:v>46303</x:v>
      </x:c>
      <x:c r="H125" s="36" t="n">
        <x:v>46316</x:v>
      </x:c>
      <x:c r="I125" s="37" t="n">
        <x:f>IF(OR(G125="",H125=""),"",SUMPRODUCT(('Cronograma'!$G$8:$Q$8&lt;=H125)*('Cronograma'!$G$9:$Q$9&gt;=G125)))</x:f>
        <x:v>2</x:v>
      </x:c>
      <x:c r="J125" s="37" t="str">
        <x:f>IF(F125="Completado",I125,"")</x:f>
      </x:c>
      <x:c r="K125" s="35" t="str">
        <x:v>Back-end AR</x:v>
      </x:c>
      <x:c r="L125" s="38" t="str">
        <x:v>Cristopher</x:v>
      </x:c>
      <x:c r="M125" s="38" t="str"/>
      <x:c r="N125" s="39"/>
      <x:c r="O125" s="35" t="str">
        <x:v>FE-29</x:v>
      </x:c>
      <x:c r="P125" s="35" t="str">
        <x:v>Completar matriz física adicional de notificaciones Android.</x:v>
      </x:c>
      <x:c r="Q125" s="35" t="str">
        <x:v>Solo estimación; ejecución pendiente.</x:v>
      </x:c>
      <x:c r="R125" s="35" t="str">
        <x:v>docs/android-push.md
docs/implementation/tours-local-pilot-report.md
docs/home-social-v7-integration.md</x:v>
      </x:c>
    </x:row>
    <x:row r="126" ht="46" customHeight="1">
      <x:c r="A126" s="34" t="str">
        <x:v>QA-18</x:v>
      </x:c>
      <x:c r="B126" s="34" t="str">
        <x:v>Pruebas y Verificación (QA)</x:v>
      </x:c>
      <x:c r="C126" s="34" t="str">
        <x:v>Moderación y Administración</x:v>
      </x:c>
      <x:c r="D126" s="34" t="str">
        <x:v>Verificar reportes y restauración con cuentas reales</x:v>
      </x:c>
      <x:c r="E126" s="35" t="str">
        <x:v>Comprobar acceso restringido y cambios visibles tras moderación.</x:v>
      </x:c>
      <x:c r="F126" s="35" t="str">
        <x:v>Pendiente</x:v>
      </x:c>
      <x:c r="G126" s="36" t="n">
        <x:v>46310</x:v>
      </x:c>
      <x:c r="H126" s="36" t="n">
        <x:v>46316</x:v>
      </x:c>
      <x:c r="I126" s="37" t="n">
        <x:f>IF(OR(G126="",H126=""),"",SUMPRODUCT(('Cronograma'!$G$8:$Q$8&lt;=H126)*('Cronograma'!$G$9:$Q$9&gt;=G126)))</x:f>
        <x:v>1</x:v>
      </x:c>
      <x:c r="J126" s="37" t="str">
        <x:f>IF(F126="Completado",I126,"")</x:f>
      </x:c>
      <x:c r="K126" s="35" t="str">
        <x:v>Base de datos</x:v>
      </x:c>
      <x:c r="L126" s="38" t="str">
        <x:v>Alan</x:v>
      </x:c>
      <x:c r="M126" s="38" t="str"/>
      <x:c r="N126" s="39"/>
      <x:c r="O126" s="35" t="str">
        <x:v>FE-37</x:v>
      </x:c>
      <x:c r="P126" s="35" t="str">
        <x:v>Comprobar acceso restringido y cambios visibles tras moderación.</x:v>
      </x:c>
      <x:c r="Q126" s="35" t="str">
        <x:v>Solo estimación; ejecución pendiente.</x:v>
      </x:c>
      <x:c r="R126" s="35" t="str">
        <x:v>docs/android-push.md
docs/implementation/tours-local-pilot-report.md
docs/home-social-v7-integration.md</x:v>
      </x:c>
    </x:row>
    <x:row r="127" ht="46" customHeight="1">
      <x:c r="A127" s="34" t="str">
        <x:v>QA-19</x:v>
      </x:c>
      <x:c r="B127" s="34" t="str">
        <x:v>Pruebas y Verificación (QA)</x:v>
      </x:c>
      <x:c r="C127" s="34" t="str">
        <x:v>Recorridos y Realidad Aumentada</x:v>
      </x:c>
      <x:c r="D127" s="34" t="str">
        <x:v>Calibrar captura óptica y FOV en teléfonos</x:v>
      </x:c>
      <x:c r="E127" s="35" t="str">
        <x:v>Medir cobertura real y ajustar orientación y encuadre.</x:v>
      </x:c>
      <x:c r="F127" s="35" t="str">
        <x:v>Pendiente</x:v>
      </x:c>
      <x:c r="G127" s="36" t="n">
        <x:v>46303</x:v>
      </x:c>
      <x:c r="H127" s="36" t="n">
        <x:v>46316</x:v>
      </x:c>
      <x:c r="I127" s="37" t="n">
        <x:f>IF(OR(G127="",H127=""),"",SUMPRODUCT(('Cronograma'!$G$8:$Q$8&lt;=H127)*('Cronograma'!$G$9:$Q$9&gt;=G127)))</x:f>
        <x:v>2</x:v>
      </x:c>
      <x:c r="J127" s="37" t="str">
        <x:f>IF(F127="Completado",I127,"")</x:f>
      </x:c>
      <x:c r="K127" s="35" t="str">
        <x:v>AR</x:v>
      </x:c>
      <x:c r="L127" s="38" t="str">
        <x:v>Ximena</x:v>
      </x:c>
      <x:c r="M127" s="38" t="str"/>
      <x:c r="N127" s="39"/>
      <x:c r="O127" s="35" t="str">
        <x:v>FE-33</x:v>
      </x:c>
      <x:c r="P127" s="35" t="str">
        <x:v>Medir cobertura real y ajustar orientación y encuadre.</x:v>
      </x:c>
      <x:c r="Q127" s="35" t="str">
        <x:v>Solo estimación; ejecución pendiente.</x:v>
      </x:c>
      <x:c r="R127" s="35" t="str">
        <x:v>docs/implementation/tours-local-pilot-report.md
docs/implementation/tours-native.md</x:v>
      </x:c>
    </x:row>
    <x:row r="128" ht="46" customHeight="1">
      <x:c r="A128" s="34" t="str">
        <x:v>QA-20</x:v>
      </x:c>
      <x:c r="B128" s="34" t="str">
        <x:v>Pruebas y Verificación (QA)</x:v>
      </x:c>
      <x:c r="C128" s="34" t="str">
        <x:v>Recorridos y Realidad Aumentada</x:v>
      </x:c>
      <x:c r="D128" s="34" t="str">
        <x:v>Validar panoramas de un local físico</x:v>
      </x:c>
      <x:c r="E128" s="35" t="str">
        <x:v>Revisar costuras, zonas próximas, baja textura y cobertura completa.</x:v>
      </x:c>
      <x:c r="F128" s="35" t="str">
        <x:v>Pendiente</x:v>
      </x:c>
      <x:c r="G128" s="36" t="n">
        <x:v>46310</x:v>
      </x:c>
      <x:c r="H128" s="36" t="n">
        <x:v>46326</x:v>
      </x:c>
      <x:c r="I128" s="37" t="n">
        <x:f>IF(OR(G128="",H128=""),"",SUMPRODUCT(('Cronograma'!$G$8:$Q$8&lt;=H128)*('Cronograma'!$G$9:$Q$9&gt;=G128)))</x:f>
        <x:v>2</x:v>
      </x:c>
      <x:c r="J128" s="37" t="str">
        <x:f>IF(F128="Completado",I128,"")</x:f>
      </x:c>
      <x:c r="K128" s="35" t="str">
        <x:v>AR</x:v>
      </x:c>
      <x:c r="L128" s="38" t="str">
        <x:v>Ximena</x:v>
      </x:c>
      <x:c r="M128" s="38" t="str"/>
      <x:c r="N128" s="39"/>
      <x:c r="O128" s="35" t="str">
        <x:v>FE-33</x:v>
      </x:c>
      <x:c r="P128" s="35" t="str">
        <x:v>Revisar costuras, zonas próximas, baja textura y cobertura completa.</x:v>
      </x:c>
      <x:c r="Q128" s="35" t="str">
        <x:v>Solo estimación; ejecución pendiente.</x:v>
      </x:c>
      <x:c r="R128" s="35" t="str">
        <x:v>docs/implementation/tours-local-pilot-report.md
docs/implementation/tours-native.md</x:v>
      </x:c>
    </x:row>
    <x:row r="129" ht="46" customHeight="1">
      <x:c r="A129" s="34" t="str">
        <x:v>QA-21</x:v>
      </x:c>
      <x:c r="B129" s="34" t="str">
        <x:v>Pruebas y Verificación (QA)</x:v>
      </x:c>
      <x:c r="C129" s="34" t="str">
        <x:v>Recorridos y Realidad Aumentada</x:v>
      </x:c>
      <x:c r="D129" s="34" t="str">
        <x:v>Validar reconocimiento AR en Android e iPhone</x:v>
      </x:c>
      <x:c r="E129" s="35" t="str">
        <x:v>Comprobar referencia física, estabilidad y seguimiento nativo.</x:v>
      </x:c>
      <x:c r="F129" s="35" t="str">
        <x:v>Pendiente</x:v>
      </x:c>
      <x:c r="G129" s="36" t="n">
        <x:v>46310</x:v>
      </x:c>
      <x:c r="H129" s="36" t="n">
        <x:v>46326</x:v>
      </x:c>
      <x:c r="I129" s="37" t="n">
        <x:f>IF(OR(G129="",H129=""),"",SUMPRODUCT(('Cronograma'!$G$8:$Q$8&lt;=H129)*('Cronograma'!$G$9:$Q$9&gt;=G129)))</x:f>
        <x:v>2</x:v>
      </x:c>
      <x:c r="J129" s="37" t="str">
        <x:f>IF(F129="Completado",I129,"")</x:f>
      </x:c>
      <x:c r="K129" s="35" t="str">
        <x:v>Líder AR</x:v>
      </x:c>
      <x:c r="L129" s="38" t="str">
        <x:v>Santiago</x:v>
      </x:c>
      <x:c r="M129" s="38" t="str"/>
      <x:c r="N129" s="39"/>
      <x:c r="O129" s="35" t="str">
        <x:v>FE-33</x:v>
      </x:c>
      <x:c r="P129" s="35" t="str">
        <x:v>Comprobar referencia física, estabilidad y seguimiento nativo.</x:v>
      </x:c>
      <x:c r="Q129" s="35" t="str">
        <x:v>Solo estimación; ejecución pendiente.</x:v>
      </x:c>
      <x:c r="R129" s="35" t="str">
        <x:v>docs/implementation/tours-local-pilot-report.md
docs/implementation/tours-native.md
docs/ar-experience-design.md</x:v>
      </x:c>
    </x:row>
    <x:row r="130" ht="46" customHeight="1">
      <x:c r="A130" s="34" t="str">
        <x:v>QA-22</x:v>
      </x:c>
      <x:c r="B130" s="34" t="str">
        <x:v>Pruebas y Verificación (QA)</x:v>
      </x:c>
      <x:c r="C130" s="34" t="str">
        <x:v>Recorridos y Realidad Aumentada</x:v>
      </x:c>
      <x:c r="D130" s="34" t="str">
        <x:v>Validar recuperación, permisos y equipos sin soporte</x:v>
      </x:c>
      <x:c r="E130" s="35" t="str">
        <x:v>Comprobar fallbacks y recuperación después de perder tracking.</x:v>
      </x:c>
      <x:c r="F130" s="35" t="str">
        <x:v>Pendiente</x:v>
      </x:c>
      <x:c r="G130" s="36" t="n">
        <x:v>46317</x:v>
      </x:c>
      <x:c r="H130" s="36" t="n">
        <x:v>46326</x:v>
      </x:c>
      <x:c r="I130" s="37" t="n">
        <x:f>IF(OR(G130="",H130=""),"",SUMPRODUCT(('Cronograma'!$G$8:$Q$8&lt;=H130)*('Cronograma'!$G$9:$Q$9&gt;=G130)))</x:f>
        <x:v>1</x:v>
      </x:c>
      <x:c r="J130" s="37" t="str">
        <x:f>IF(F130="Completado",I130,"")</x:f>
      </x:c>
      <x:c r="K130" s="35" t="str">
        <x:v>Líder AR</x:v>
      </x:c>
      <x:c r="L130" s="38" t="str">
        <x:v>Santiago</x:v>
      </x:c>
      <x:c r="M130" s="38" t="str"/>
      <x:c r="N130" s="39"/>
      <x:c r="O130" s="35" t="str">
        <x:v>FE-33</x:v>
      </x:c>
      <x:c r="P130" s="35" t="str">
        <x:v>Comprobar fallbacks y recuperación después de perder tracking.</x:v>
      </x:c>
      <x:c r="Q130" s="35" t="str">
        <x:v>Solo estimación; ejecución pendiente.</x:v>
      </x:c>
      <x:c r="R130" s="35" t="str">
        <x:v>docs/implementation/tours-local-pilot-report.md
docs/implementation/tours-native.md
docs/ar-experience-design.md</x:v>
      </x:c>
    </x:row>
    <x:row r="131" ht="46" customHeight="1">
      <x:c r="A131" s="34" t="str">
        <x:v>QA-23</x:v>
      </x:c>
      <x:c r="B131" s="34" t="str">
        <x:v>Pruebas y Verificación (QA)</x:v>
      </x:c>
      <x:c r="C131" s="34" t="str">
        <x:v>Recorridos y Realidad Aumentada</x:v>
      </x:c>
      <x:c r="D131" s="34" t="str">
        <x:v>Corregir incidencias de captura y reconocimiento</x:v>
      </x:c>
      <x:c r="E131" s="35" t="str">
        <x:v>Resolver hallazgos de la aceptación física y repetir casos afectados.</x:v>
      </x:c>
      <x:c r="F131" s="35" t="str">
        <x:v>Pendiente</x:v>
      </x:c>
      <x:c r="G131" s="36" t="n">
        <x:v>46317</x:v>
      </x:c>
      <x:c r="H131" s="36" t="n">
        <x:v>46333</x:v>
      </x:c>
      <x:c r="I131" s="37" t="n">
        <x:f>IF(OR(G131="",H131=""),"",SUMPRODUCT(('Cronograma'!$G$8:$Q$8&lt;=H131)*('Cronograma'!$G$9:$Q$9&gt;=G131)))</x:f>
        <x:v>2</x:v>
      </x:c>
      <x:c r="J131" s="37" t="str">
        <x:f>IF(F131="Completado",I131,"")</x:f>
      </x:c>
      <x:c r="K131" s="35" t="str">
        <x:v>Back-end AR</x:v>
      </x:c>
      <x:c r="L131" s="38" t="str">
        <x:v>Cristopher</x:v>
      </x:c>
      <x:c r="M131" s="38" t="str"/>
      <x:c r="N131" s="39"/>
      <x:c r="O131" s="35" t="str">
        <x:v>FE-33</x:v>
      </x:c>
      <x:c r="P131" s="35" t="str">
        <x:v>Resolver hallazgos de la aceptación física y repetir casos afectados.</x:v>
      </x:c>
      <x:c r="Q131" s="35" t="str">
        <x:v>Solo estimación; ejecución pendiente.</x:v>
      </x:c>
      <x:c r="R131" s="35" t="str">
        <x:v>docs/implementation/tours-local-pilot-report.md
docs/ar-experience-design.md</x:v>
      </x:c>
    </x:row>
    <x:row r="132" ht="46" customHeight="1">
      <x:c r="A132" s="34" t="str">
        <x:v>QA-24</x:v>
      </x:c>
      <x:c r="B132" s="34" t="str">
        <x:v>Pruebas y Verificación (QA)</x:v>
      </x:c>
      <x:c r="C132" s="34" t="str">
        <x:v>Transversal</x:v>
      </x:c>
      <x:c r="D132" s="34" t="str">
        <x:v>Ejecutar regresión integrada después de los ajustes</x:v>
      </x:c>
      <x:c r="E132" s="35" t="str">
        <x:v>Comprobar módulos, privacidad y recorridos antes del piloto final.</x:v>
      </x:c>
      <x:c r="F132" s="35" t="str">
        <x:v>Pendiente</x:v>
      </x:c>
      <x:c r="G132" s="36" t="n">
        <x:v>46327</x:v>
      </x:c>
      <x:c r="H132" s="36" t="n">
        <x:v>46340</x:v>
      </x:c>
      <x:c r="I132" s="37" t="n">
        <x:f>IF(OR(G132="",H132=""),"",SUMPRODUCT(('Cronograma'!$G$8:$Q$8&lt;=H132)*('Cronograma'!$G$9:$Q$9&gt;=G132)))</x:f>
        <x:v>2</x:v>
      </x:c>
      <x:c r="J132" s="37" t="str">
        <x:f>IF(F132="Completado",I132,"")</x:f>
      </x:c>
      <x:c r="K132" s="35" t="str">
        <x:v>Back-end AR</x:v>
      </x:c>
      <x:c r="L132" s="38" t="str">
        <x:v>Cristopher</x:v>
      </x:c>
      <x:c r="M132" s="38" t="str"/>
      <x:c r="N132" s="39"/>
      <x:c r="O132" s="35" t="str">
        <x:v>FE-38</x:v>
      </x:c>
      <x:c r="P132" s="35" t="str">
        <x:v>Comprobar módulos, privacidad y recorridos antes del piloto final.</x:v>
      </x:c>
      <x:c r="Q132" s="35" t="str">
        <x:v>Solo estimación; ejecución pendiente.</x:v>
      </x:c>
      <x:c r="R132" s="35" t="str">
        <x:v>docs/android-push.md
docs/implementation/tours-local-pilot-report.md
docs/home-social-v7-integration.md</x:v>
      </x:c>
    </x:row>
    <x:row r="133" ht="46" customHeight="1">
      <x:c r="A133" s="34" t="str">
        <x:v>DEP-01</x:v>
      </x:c>
      <x:c r="B133" s="34" t="str">
        <x:v>Despliegue y Pilotos</x:v>
      </x:c>
      <x:c r="C133" s="34" t="str">
        <x:v>Transversal</x:v>
      </x:c>
      <x:c r="D133" s="34" t="str">
        <x:v>Publicar repositorio y conservar historial del MVP</x:v>
      </x:c>
      <x:c r="E133" s="35" t="str">
        <x:v>Integrar la entrega pública y los antecedentes del desarrollo.</x:v>
      </x:c>
      <x:c r="F133" s="35" t="str">
        <x:v>Completado</x:v>
      </x:c>
      <x:c r="G133" s="36" t="n">
        <x:v>46287</x:v>
      </x:c>
      <x:c r="H133" s="36" t="n">
        <x:v>46295</x:v>
      </x:c>
      <x:c r="I133" s="37" t="n">
        <x:f>IF(OR(G133="",H133=""),"",SUMPRODUCT(('Cronograma'!$G$8:$Q$8&lt;=H133)*('Cronograma'!$G$9:$Q$9&gt;=G133)))</x:f>
        <x:v>1</x:v>
      </x:c>
      <x:c r="J133" s="37" t="n">
        <x:f>IF(F133="Completado",I133,"")</x:f>
        <x:v>1</x:v>
      </x:c>
      <x:c r="K133" s="35" t="str">
        <x:v>Back-end AR</x:v>
      </x:c>
      <x:c r="L133" s="38" t="str">
        <x:v>Cristopher</x:v>
      </x:c>
      <x:c r="M133" s="38" t="str"/>
      <x:c r="N133" s="39" t="n">
        <x:v>46287</x:v>
      </x:c>
      <x:c r="O133" s="35" t="str">
        <x:v>FE-02</x:v>
      </x:c>
      <x:c r="P133" s="35" t="str">
        <x:v>Completado</x:v>
      </x:c>
      <x:c r="Q133" s="35" t="str">
        <x:v>R se coloca en los mismos bloques que E por criterio del cronograma; no representa una duración de trabajo medida.</x:v>
      </x:c>
      <x:c r="R133" s="35" t="str">
        <x:v>git:1c7a5d0:README.md
.gitignore
README.md</x:v>
      </x:c>
    </x:row>
    <x:row r="134" ht="56" customHeight="1">
      <x:c r="A134" s="34" t="str">
        <x:v>DEP-02</x:v>
      </x:c>
      <x:c r="B134" s="34" t="str">
        <x:v>Despliegue y Pilotos</x:v>
      </x:c>
      <x:c r="C134" s="34" t="str">
        <x:v>Autenticación y Acceso</x:v>
      </x:c>
      <x:c r="D134" s="34" t="str">
        <x:v>Aplicar migraciones iniciales de acceso y cuenta</x:v>
      </x:c>
      <x:c r="E134" s="35" t="str">
        <x:v>Configurar Auth, políticas y funciones del MVP remoto.</x:v>
      </x:c>
      <x:c r="F134" s="35" t="str">
        <x:v>Completado</x:v>
      </x:c>
      <x:c r="G134" s="36" t="n">
        <x:v>46273</x:v>
      </x:c>
      <x:c r="H134" s="36" t="n">
        <x:v>46279</x:v>
      </x:c>
      <x:c r="I134" s="37" t="n">
        <x:f>IF(OR(G134="",H134=""),"",SUMPRODUCT(('Cronograma'!$G$8:$Q$8&lt;=H134)*('Cronograma'!$G$9:$Q$9&gt;=G134)))</x:f>
        <x:v>1</x:v>
      </x:c>
      <x:c r="J134" s="37" t="n">
        <x:f>IF(F134="Completado",I134,"")</x:f>
        <x:v>1</x:v>
      </x:c>
      <x:c r="K134" s="35" t="str">
        <x:v>Base de datos</x:v>
      </x:c>
      <x:c r="L134" s="38" t="str">
        <x:v>Alan</x:v>
      </x:c>
      <x:c r="M134" s="38" t="str"/>
      <x:c r="N134" s="39" t="n">
        <x:v>46279</x:v>
      </x:c>
      <x:c r="O134" s="35" t="str">
        <x:v>FE-07</x:v>
      </x:c>
      <x:c r="P134" s="35" t="str">
        <x:v>Completado</x:v>
      </x:c>
      <x:c r="Q134" s="35" t="str">
        <x:v>R se coloca en los mismos bloques que E por criterio del cronograma; no representa una duración de trabajo medida.</x:v>
      </x:c>
      <x:c r="R134" s="35" t="str">
        <x:v>docs/account-completion.md
docs/deployment-status.md
docs/superpowers/plans/2026-09-14-account-completion.md
supabase/migrations/002_account_completion.sql</x:v>
      </x:c>
    </x:row>
    <x:row r="135" ht="56" customHeight="1">
      <x:c r="A135" s="34" t="str">
        <x:v>DEP-03</x:v>
      </x:c>
      <x:c r="B135" s="34" t="str">
        <x:v>Despliegue y Pilotos</x:v>
      </x:c>
      <x:c r="C135" s="34" t="str">
        <x:v>Comunidad y Publicaciones</x:v>
      </x:c>
      <x:c r="D135" s="34" t="str">
        <x:v>Aplicar migraciones sociales y almacenamiento</x:v>
      </x:c>
      <x:c r="E135" s="35" t="str">
        <x:v>Habilitar feed, fotografías y permisos del entorno remoto.</x:v>
      </x:c>
      <x:c r="F135" s="35" t="str">
        <x:v>Completado</x:v>
      </x:c>
      <x:c r="G135" s="36" t="n">
        <x:v>46280</x:v>
      </x:c>
      <x:c r="H135" s="36" t="n">
        <x:v>46286</x:v>
      </x:c>
      <x:c r="I135" s="37" t="n">
        <x:f>IF(OR(G135="",H135=""),"",SUMPRODUCT(('Cronograma'!$G$8:$Q$8&lt;=H135)*('Cronograma'!$G$9:$Q$9&gt;=G135)))</x:f>
        <x:v>1</x:v>
      </x:c>
      <x:c r="J135" s="37" t="n">
        <x:f>IF(F135="Completado",I135,"")</x:f>
        <x:v>1</x:v>
      </x:c>
      <x:c r="K135" s="35" t="str">
        <x:v>Base de datos</x:v>
      </x:c>
      <x:c r="L135" s="38" t="str">
        <x:v>Alan</x:v>
      </x:c>
      <x:c r="M135" s="38" t="str"/>
      <x:c r="N135" s="39" t="n">
        <x:v>46281</x:v>
      </x:c>
      <x:c r="O135" s="35" t="str">
        <x:v>FE-13</x:v>
      </x:c>
      <x:c r="P135" s="35" t="str">
        <x:v>Completado</x:v>
      </x:c>
      <x:c r="Q135" s="35" t="str">
        <x:v>R se coloca en los mismos bloques que E por criterio del cronograma; no representa una duración de trabajo medida.</x:v>
      </x:c>
      <x:c r="R135" s="35" t="str">
        <x:v>docs/community.md
docs/deployment-status.md
supabase/migrations/003_community.sql
lib/features/community/data/community_repository.dart</x:v>
      </x:c>
    </x:row>
    <x:row r="136" ht="46" customHeight="1">
      <x:c r="A136" s="34" t="str">
        <x:v>DEP-04</x:v>
      </x:c>
      <x:c r="B136" s="34" t="str">
        <x:v>Despliegue y Pilotos</x:v>
      </x:c>
      <x:c r="C136" s="34" t="str">
        <x:v>Transversal</x:v>
      </x:c>
      <x:c r="D136" s="34" t="str">
        <x:v>Integrar perfiles, fichas y diseño social v7</x:v>
      </x:c>
      <x:c r="E136" s="35" t="str">
        <x:v>Publicar migraciones y versión visual consolidada.</x:v>
      </x:c>
      <x:c r="F136" s="35" t="str">
        <x:v>Completado</x:v>
      </x:c>
      <x:c r="G136" s="36" t="n">
        <x:v>46287</x:v>
      </x:c>
      <x:c r="H136" s="36" t="n">
        <x:v>46295</x:v>
      </x:c>
      <x:c r="I136" s="37" t="n">
        <x:f>IF(OR(G136="",H136=""),"",SUMPRODUCT(('Cronograma'!$G$8:$Q$8&lt;=H136)*('Cronograma'!$G$9:$Q$9&gt;=G136)))</x:f>
        <x:v>1</x:v>
      </x:c>
      <x:c r="J136" s="37" t="n">
        <x:f>IF(F136="Completado",I136,"")</x:f>
        <x:v>1</x:v>
      </x:c>
      <x:c r="K136" s="35" t="str">
        <x:v>Base de datos</x:v>
      </x:c>
      <x:c r="L136" s="38" t="str">
        <x:v>Alan</x:v>
      </x:c>
      <x:c r="M136" s="38" t="str"/>
      <x:c r="N136" s="39" t="n">
        <x:v>46294</x:v>
      </x:c>
      <x:c r="O136" s="35" t="str">
        <x:v>FE-02</x:v>
      </x:c>
      <x:c r="P136" s="35" t="str">
        <x:v>Completado</x:v>
      </x:c>
      <x:c r="Q136" s="35" t="str">
        <x:v>R se coloca en los mismos bloques que E por criterio del cronograma; no representa una duración de trabajo medida.</x:v>
      </x:c>
      <x:c r="R136" s="35" t="str">
        <x:v>docs/home-social-v7-integration.md
docs/implementation/home-social-v7-progress.md
tool/check_live_social_flow.mjs</x:v>
      </x:c>
    </x:row>
    <x:row r="137" ht="46" customHeight="1">
      <x:c r="A137" s="34" t="str">
        <x:v>DEP-05</x:v>
      </x:c>
      <x:c r="B137" s="34" t="str">
        <x:v>Despliegue y Pilotos</x:v>
      </x:c>
      <x:c r="C137" s="34" t="str">
        <x:v>Misiones</x:v>
      </x:c>
      <x:c r="D137" s="34" t="str">
        <x:v>Desplegar rediseño de misiones y verificar contrato</x:v>
      </x:c>
      <x:c r="E137" s="35" t="str">
        <x:v>Aplicar migración y comprobar consultas del organizador y participante.</x:v>
      </x:c>
      <x:c r="F137" s="35" t="str">
        <x:v>Completado</x:v>
      </x:c>
      <x:c r="G137" s="36" t="n">
        <x:v>46287</x:v>
      </x:c>
      <x:c r="H137" s="36" t="n">
        <x:v>46295</x:v>
      </x:c>
      <x:c r="I137" s="37" t="n">
        <x:f>IF(OR(G137="",H137=""),"",SUMPRODUCT(('Cronograma'!$G$8:$Q$8&lt;=H137)*('Cronograma'!$G$9:$Q$9&gt;=G137)))</x:f>
        <x:v>1</x:v>
      </x:c>
      <x:c r="J137" s="37" t="n">
        <x:f>IF(F137="Completado",I137,"")</x:f>
        <x:v>1</x:v>
      </x:c>
      <x:c r="K137" s="35" t="str">
        <x:v>Base de datos</x:v>
      </x:c>
      <x:c r="L137" s="38" t="str">
        <x:v>Alan</x:v>
      </x:c>
      <x:c r="M137" s="38" t="str"/>
      <x:c r="N137" s="39" t="n">
        <x:v>46295</x:v>
      </x:c>
      <x:c r="O137" s="35" t="str">
        <x:v>QA-07</x:v>
      </x:c>
      <x:c r="P137" s="35" t="str">
        <x:v>Completado</x:v>
      </x:c>
      <x:c r="Q137" s="35" t="str">
        <x:v>R se coloca en los mismos bloques que E por criterio del cronograma; no representa una duración de trabajo medida.</x:v>
      </x:c>
      <x:c r="R137" s="35" t="str">
        <x:v>docs/deployment-status.md
docs/implementation/missions-redesign-progress.md
tool/check_live_missions_flow.mjs</x:v>
      </x:c>
    </x:row>
    <x:row r="138" ht="46" customHeight="1">
      <x:c r="A138" s="34" t="str">
        <x:v>DEP-06</x:v>
      </x:c>
      <x:c r="B138" s="34" t="str">
        <x:v>Despliegue y Pilotos</x:v>
      </x:c>
      <x:c r="C138" s="34" t="str">
        <x:v>Mapa y Ubicación</x:v>
      </x:c>
      <x:c r="D138" s="34" t="str">
        <x:v>Aplicar consultas de mapa al backend remoto</x:v>
      </x:c>
      <x:c r="E138" s="35" t="str">
        <x:v>Habilitar filtros geográficos usados por el cliente.</x:v>
      </x:c>
      <x:c r="F138" s="35" t="str">
        <x:v>Completado</x:v>
      </x:c>
      <x:c r="G138" s="36" t="n">
        <x:v>46296</x:v>
      </x:c>
      <x:c r="H138" s="36" t="n">
        <x:v>46302</x:v>
      </x:c>
      <x:c r="I138" s="37" t="n">
        <x:f>IF(OR(G138="",H138=""),"",SUMPRODUCT(('Cronograma'!$G$8:$Q$8&lt;=H138)*('Cronograma'!$G$9:$Q$9&gt;=G138)))</x:f>
        <x:v>1</x:v>
      </x:c>
      <x:c r="J138" s="37" t="n">
        <x:f>IF(F138="Completado",I138,"")</x:f>
        <x:v>1</x:v>
      </x:c>
      <x:c r="K138" s="35" t="str">
        <x:v>Base de datos</x:v>
      </x:c>
      <x:c r="L138" s="38" t="str">
        <x:v>Alan</x:v>
      </x:c>
      <x:c r="M138" s="38" t="str"/>
      <x:c r="N138" s="39" t="n">
        <x:v>46297</x:v>
      </x:c>
      <x:c r="O138" s="35" t="str">
        <x:v>FE-27</x:v>
      </x:c>
      <x:c r="P138" s="35" t="str">
        <x:v>Completado</x:v>
      </x:c>
      <x:c r="Q138" s="35" t="str">
        <x:v>R se coloca en los mismos bloques que E por criterio del cronograma; no representa una duración de trabajo medida.</x:v>
      </x:c>
      <x:c r="R138" s="35" t="str">
        <x:v>docs/map.md
supabase/migrations/012_mission_map.sql
git:ffd8990:lib/features/map/presentation/mission_map_screen.dart</x:v>
      </x:c>
    </x:row>
    <x:row r="139" ht="56" customHeight="1">
      <x:c r="A139" s="34" t="str">
        <x:v>DEP-07</x:v>
      </x:c>
      <x:c r="B139" s="34" t="str">
        <x:v>Despliegue y Pilotos</x:v>
      </x:c>
      <x:c r="C139" s="34" t="str">
        <x:v>Notificaciones Push</x:v>
      </x:c>
      <x:c r="D139" s="34" t="str">
        <x:v>Configurar Firebase y secretos de entrega en Vault</x:v>
      </x:c>
      <x:c r="E139" s="35" t="str">
        <x:v>Preparar credenciales y transporte FCM para Android.</x:v>
      </x:c>
      <x:c r="F139" s="35" t="str">
        <x:v>Completado</x:v>
      </x:c>
      <x:c r="G139" s="36" t="n">
        <x:v>46296</x:v>
      </x:c>
      <x:c r="H139" s="36" t="n">
        <x:v>46302</x:v>
      </x:c>
      <x:c r="I139" s="37" t="n">
        <x:f>IF(OR(G139="",H139=""),"",SUMPRODUCT(('Cronograma'!$G$8:$Q$8&lt;=H139)*('Cronograma'!$G$9:$Q$9&gt;=G139)))</x:f>
        <x:v>1</x:v>
      </x:c>
      <x:c r="J139" s="37" t="n">
        <x:f>IF(F139="Completado",I139,"")</x:f>
        <x:v>1</x:v>
      </x:c>
      <x:c r="K139" s="35" t="str">
        <x:v>Back-end AR</x:v>
      </x:c>
      <x:c r="L139" s="38" t="str">
        <x:v>Cristopher</x:v>
      </x:c>
      <x:c r="M139" s="38" t="str"/>
      <x:c r="N139" s="39" t="n">
        <x:v>46301</x:v>
      </x:c>
      <x:c r="O139" s="35" t="str">
        <x:v>QA-09</x:v>
      </x:c>
      <x:c r="P139" s="35" t="str">
        <x:v>Completado</x:v>
      </x:c>
      <x:c r="Q139" s="35" t="str">
        <x:v>R se coloca en los mismos bloques que E por criterio del cronograma; no representa una duración de trabajo medida.</x:v>
      </x:c>
      <x:c r="R139" s="35" t="str">
        <x:v>docs/android-push.md
docs/implementation/modern-interactions-push-progress.md
supabase/push/activate.sql
android/app/build.gradle.kts</x:v>
      </x:c>
    </x:row>
    <x:row r="140" ht="56" customHeight="1">
      <x:c r="A140" s="34" t="str">
        <x:v>DEP-08</x:v>
      </x:c>
      <x:c r="B140" s="34" t="str">
        <x:v>Despliegue y Pilotos</x:v>
      </x:c>
      <x:c r="C140" s="34" t="str">
        <x:v>Notificaciones Push</x:v>
      </x:c>
      <x:c r="D140" s="34" t="str">
        <x:v>Desplegar función push y programar la cola</x:v>
      </x:c>
      <x:c r="E140" s="35" t="str">
        <x:v>Activar send-push, pg_net y ejecución periódica.</x:v>
      </x:c>
      <x:c r="F140" s="35" t="str">
        <x:v>Completado</x:v>
      </x:c>
      <x:c r="G140" s="36" t="n">
        <x:v>46296</x:v>
      </x:c>
      <x:c r="H140" s="36" t="n">
        <x:v>46302</x:v>
      </x:c>
      <x:c r="I140" s="37" t="n">
        <x:f>IF(OR(G140="",H140=""),"",SUMPRODUCT(('Cronograma'!$G$8:$Q$8&lt;=H140)*('Cronograma'!$G$9:$Q$9&gt;=G140)))</x:f>
        <x:v>1</x:v>
      </x:c>
      <x:c r="J140" s="37" t="n">
        <x:f>IF(F140="Completado",I140,"")</x:f>
        <x:v>1</x:v>
      </x:c>
      <x:c r="K140" s="35" t="str">
        <x:v>Back-end AR</x:v>
      </x:c>
      <x:c r="L140" s="38" t="str">
        <x:v>Cristopher</x:v>
      </x:c>
      <x:c r="M140" s="38" t="str"/>
      <x:c r="N140" s="39" t="n">
        <x:v>46301</x:v>
      </x:c>
      <x:c r="O140" s="35" t="str">
        <x:v>QA-09</x:v>
      </x:c>
      <x:c r="P140" s="35" t="str">
        <x:v>Completado</x:v>
      </x:c>
      <x:c r="Q140" s="35" t="str">
        <x:v>R se coloca en los mismos bloques que E por criterio del cronograma; no representa una duración de trabajo medida.</x:v>
      </x:c>
      <x:c r="R140" s="35" t="str">
        <x:v>docs/android-push.md
docs/implementation/modern-interactions-push-progress.md
supabase/push/activate.sql
android/app/build.gradle.kts</x:v>
      </x:c>
    </x:row>
    <x:row r="141" ht="56" customHeight="1">
      <x:c r="A141" s="34" t="str">
        <x:v>DEP-09</x:v>
      </x:c>
      <x:c r="B141" s="34" t="str">
        <x:v>Despliegue y Pilotos</x:v>
      </x:c>
      <x:c r="C141" s="34" t="str">
        <x:v>Transversal</x:v>
      </x:c>
      <x:c r="D141" s="34" t="str">
        <x:v>Publicar compilación Web y preparar APK</x:v>
      </x:c>
      <x:c r="E141" s="35" t="str">
        <x:v>Distribuir la versión actual con configuración del entorno.</x:v>
      </x:c>
      <x:c r="F141" s="35" t="str">
        <x:v>Completado</x:v>
      </x:c>
      <x:c r="G141" s="36" t="n">
        <x:v>46296</x:v>
      </x:c>
      <x:c r="H141" s="36" t="n">
        <x:v>46302</x:v>
      </x:c>
      <x:c r="I141" s="37" t="n">
        <x:f>IF(OR(G141="",H141=""),"",SUMPRODUCT(('Cronograma'!$G$8:$Q$8&lt;=H141)*('Cronograma'!$G$9:$Q$9&gt;=G141)))</x:f>
        <x:v>1</x:v>
      </x:c>
      <x:c r="J141" s="37" t="n">
        <x:f>IF(F141="Completado",I141,"")</x:f>
        <x:v>1</x:v>
      </x:c>
      <x:c r="K141" s="35" t="str">
        <x:v>Back-end AR</x:v>
      </x:c>
      <x:c r="L141" s="38" t="str">
        <x:v>Cristopher</x:v>
      </x:c>
      <x:c r="M141" s="38" t="str"/>
      <x:c r="N141" s="39" t="n">
        <x:v>46301</x:v>
      </x:c>
      <x:c r="O141" s="35" t="str">
        <x:v>FE-38</x:v>
      </x:c>
      <x:c r="P141" s="35" t="str">
        <x:v>Completado</x:v>
      </x:c>
      <x:c r="Q141" s="35" t="str">
        <x:v>R se coloca en los mismos bloques que E por criterio del cronograma; no representa una duración de trabajo medida.</x:v>
      </x:c>
      <x:c r="R141" s="35" t="str">
        <x:v>docs/android-push.md
docs/implementation/modern-interactions-push-progress.md
supabase/push/activate.sql
android/app/build.gradle.kts</x:v>
      </x:c>
    </x:row>
    <x:row r="142" ht="56" customHeight="1">
      <x:c r="A142" s="34" t="str">
        <x:v>DEP-10</x:v>
      </x:c>
      <x:c r="B142" s="34" t="str">
        <x:v>Despliegue y Pilotos</x:v>
      </x:c>
      <x:c r="C142" s="34" t="str">
        <x:v>Recorridos y Realidad Aumentada</x:v>
      </x:c>
      <x:c r="D142" s="34" t="str">
        <x:v>Aplicar migración de recorridos y limpieza remota</x:v>
      </x:c>
      <x:c r="E142" s="35" t="str">
        <x:v>Habilitar bucket privado, tour-dispatch y borrado recursivo.</x:v>
      </x:c>
      <x:c r="F142" s="35" t="str">
        <x:v>Completado</x:v>
      </x:c>
      <x:c r="G142" s="36" t="n">
        <x:v>46296</x:v>
      </x:c>
      <x:c r="H142" s="36" t="n">
        <x:v>46302</x:v>
      </x:c>
      <x:c r="I142" s="37" t="n">
        <x:f>IF(OR(G142="",H142=""),"",SUMPRODUCT(('Cronograma'!$G$8:$Q$8&lt;=H142)*('Cronograma'!$G$9:$Q$9&gt;=G142)))</x:f>
        <x:v>1</x:v>
      </x:c>
      <x:c r="J142" s="37" t="n">
        <x:f>IF(F142="Completado",I142,"")</x:f>
        <x:v>1</x:v>
      </x:c>
      <x:c r="K142" s="35" t="str">
        <x:v>Base de datos</x:v>
      </x:c>
      <x:c r="L142" s="38" t="str">
        <x:v>Alan</x:v>
      </x:c>
      <x:c r="M142" s="38" t="str"/>
      <x:c r="N142" s="39" t="n">
        <x:v>46301</x:v>
      </x:c>
      <x:c r="O142" s="35" t="str">
        <x:v>QA-12</x:v>
      </x:c>
      <x:c r="P142" s="35" t="str">
        <x:v>Completado</x:v>
      </x:c>
      <x:c r="Q142" s="35" t="str">
        <x:v>R se coloca en los mismos bloques que E por criterio del cronograma; no representa una duración de trabajo medida.</x:v>
      </x:c>
      <x:c r="R142" s="35" t="str">
        <x:v>docs/implementation/tours-local-pilot-report.md
processing/tours/pilot-image.json
processing/tours/local_runner.py
processing/tours/check_live.py</x:v>
      </x:c>
    </x:row>
    <x:row r="143" ht="56" customHeight="1">
      <x:c r="A143" s="34" t="str">
        <x:v>DEP-11</x:v>
      </x:c>
      <x:c r="B143" s="34" t="str">
        <x:v>Despliegue y Pilotos</x:v>
      </x:c>
      <x:c r="C143" s="34" t="str">
        <x:v>Recorridos y Realidad Aumentada</x:v>
      </x:c>
      <x:c r="D143" s="34" t="str">
        <x:v>Ejecutar piloto Docker con Supabase real</x:v>
      </x:c>
      <x:c r="E143" s="35" t="str">
        <x:v>Procesar fixtures y verificar contratos de cola y almacenamiento.</x:v>
      </x:c>
      <x:c r="F143" s="35" t="str">
        <x:v>Completado</x:v>
      </x:c>
      <x:c r="G143" s="36" t="n">
        <x:v>46296</x:v>
      </x:c>
      <x:c r="H143" s="36" t="n">
        <x:v>46302</x:v>
      </x:c>
      <x:c r="I143" s="37" t="n">
        <x:f>IF(OR(G143="",H143=""),"",SUMPRODUCT(('Cronograma'!$G$8:$Q$8&lt;=H143)*('Cronograma'!$G$9:$Q$9&gt;=G143)))</x:f>
        <x:v>1</x:v>
      </x:c>
      <x:c r="J143" s="37" t="n">
        <x:f>IF(F143="Completado",I143,"")</x:f>
        <x:v>1</x:v>
      </x:c>
      <x:c r="K143" s="35" t="str">
        <x:v>Back-end AR</x:v>
      </x:c>
      <x:c r="L143" s="38" t="str">
        <x:v>Cristopher</x:v>
      </x:c>
      <x:c r="M143" s="38" t="str"/>
      <x:c r="N143" s="39" t="n">
        <x:v>46301</x:v>
      </x:c>
      <x:c r="O143" s="35" t="str">
        <x:v>QA-12</x:v>
      </x:c>
      <x:c r="P143" s="35" t="str">
        <x:v>Completado</x:v>
      </x:c>
      <x:c r="Q143" s="35" t="str">
        <x:v>R se coloca en los mismos bloques que E por criterio del cronograma; no representa una duración de trabajo medida.</x:v>
      </x:c>
      <x:c r="R143" s="35" t="str">
        <x:v>docs/implementation/tours-local-pilot-report.md
processing/tours/pilot-image.json
processing/tours/local_runner.py
processing/tours/check_live.py</x:v>
      </x:c>
    </x:row>
    <x:row r="144" ht="56" customHeight="1">
      <x:c r="A144" s="34" t="str">
        <x:v>DEP-12</x:v>
      </x:c>
      <x:c r="B144" s="34" t="str">
        <x:v>Despliegue y Pilotos</x:v>
      </x:c>
      <x:c r="C144" s="34" t="str">
        <x:v>Recorridos y Realidad Aumentada</x:v>
      </x:c>
      <x:c r="D144" s="34" t="str">
        <x:v>Habilitar facturación e identidad de Google Cloud</x:v>
      </x:c>
      <x:c r="E144" s="35" t="str">
        <x:v>Resolver requisitos externos para ejecutar el worker en la nube.</x:v>
      </x:c>
      <x:c r="F144" s="35" t="str">
        <x:v>Pendiente</x:v>
      </x:c>
      <x:c r="G144" s="36" t="n">
        <x:v>46303</x:v>
      </x:c>
      <x:c r="H144" s="36" t="n">
        <x:v>46316</x:v>
      </x:c>
      <x:c r="I144" s="37" t="n">
        <x:f>IF(OR(G144="",H144=""),"",SUMPRODUCT(('Cronograma'!$G$8:$Q$8&lt;=H144)*('Cronograma'!$G$9:$Q$9&gt;=G144)))</x:f>
        <x:v>2</x:v>
      </x:c>
      <x:c r="J144" s="37" t="str">
        <x:f>IF(F144="Completado",I144,"")</x:f>
      </x:c>
      <x:c r="K144" s="35" t="str">
        <x:v>Back-end AR</x:v>
      </x:c>
      <x:c r="L144" s="38" t="str">
        <x:v>Cristopher</x:v>
      </x:c>
      <x:c r="M144" s="38" t="str"/>
      <x:c r="N144" s="39"/>
      <x:c r="O144" s="35" t="str">
        <x:v>QA-12</x:v>
      </x:c>
      <x:c r="P144" s="35" t="str">
        <x:v>Resolver requisitos externos para ejecutar el worker en la nube.</x:v>
      </x:c>
      <x:c r="Q144" s="35" t="str">
        <x:v>Solo estimación; ejecución pendiente.</x:v>
      </x:c>
      <x:c r="R144" s="35" t="str">
        <x:v>docs/implementation/tours-local-pilot-report.md
processing/tours/README.md
processing/tours/bootstrap.sh
processing/tours/deploy.sh</x:v>
      </x:c>
    </x:row>
    <x:row r="145" ht="56" customHeight="1">
      <x:c r="A145" s="34" t="str">
        <x:v>DEP-13</x:v>
      </x:c>
      <x:c r="B145" s="34" t="str">
        <x:v>Despliegue y Pilotos</x:v>
      </x:c>
      <x:c r="C145" s="34" t="str">
        <x:v>Recorridos y Realidad Aumentada</x:v>
      </x:c>
      <x:c r="D145" s="34" t="str">
        <x:v>Configurar IAM, secretos y registro de imágenes</x:v>
      </x:c>
      <x:c r="E145" s="35" t="str">
        <x:v>Preparar accesos del servicio y artefactos del procesador.</x:v>
      </x:c>
      <x:c r="F145" s="35" t="str">
        <x:v>Pendiente</x:v>
      </x:c>
      <x:c r="G145" s="36" t="n">
        <x:v>46310</x:v>
      </x:c>
      <x:c r="H145" s="36" t="n">
        <x:v>46326</x:v>
      </x:c>
      <x:c r="I145" s="37" t="n">
        <x:f>IF(OR(G145="",H145=""),"",SUMPRODUCT(('Cronograma'!$G$8:$Q$8&lt;=H145)*('Cronograma'!$G$9:$Q$9&gt;=G145)))</x:f>
        <x:v>2</x:v>
      </x:c>
      <x:c r="J145" s="37" t="str">
        <x:f>IF(F145="Completado",I145,"")</x:f>
      </x:c>
      <x:c r="K145" s="35" t="str">
        <x:v>Back-end AR</x:v>
      </x:c>
      <x:c r="L145" s="38" t="str">
        <x:v>Cristopher</x:v>
      </x:c>
      <x:c r="M145" s="38" t="str"/>
      <x:c r="N145" s="39"/>
      <x:c r="O145" s="35" t="str">
        <x:v>QA-12</x:v>
      </x:c>
      <x:c r="P145" s="35" t="str">
        <x:v>Preparar accesos del servicio y artefactos del procesador.</x:v>
      </x:c>
      <x:c r="Q145" s="35" t="str">
        <x:v>Solo estimación; ejecución pendiente.</x:v>
      </x:c>
      <x:c r="R145" s="35" t="str">
        <x:v>docs/implementation/tours-local-pilot-report.md
processing/tours/README.md
processing/tours/bootstrap.sh
processing/tours/deploy.sh</x:v>
      </x:c>
    </x:row>
    <x:row r="146" ht="56" customHeight="1">
      <x:c r="A146" s="34" t="str">
        <x:v>DEP-14</x:v>
      </x:c>
      <x:c r="B146" s="34" t="str">
        <x:v>Despliegue y Pilotos</x:v>
      </x:c>
      <x:c r="C146" s="34" t="str">
        <x:v>Recorridos y Realidad Aumentada</x:v>
      </x:c>
      <x:c r="D146" s="34" t="str">
        <x:v>Desplegar worker en Cloud Run y activar monitoreo</x:v>
      </x:c>
      <x:c r="E146" s="35" t="str">
        <x:v>Publicar servicio y comprobar dispatch, colas y alertas operativas.</x:v>
      </x:c>
      <x:c r="F146" s="35" t="str">
        <x:v>Pendiente</x:v>
      </x:c>
      <x:c r="G146" s="36" t="n">
        <x:v>46317</x:v>
      </x:c>
      <x:c r="H146" s="36" t="n">
        <x:v>46333</x:v>
      </x:c>
      <x:c r="I146" s="37" t="n">
        <x:f>IF(OR(G146="",H146=""),"",SUMPRODUCT(('Cronograma'!$G$8:$Q$8&lt;=H146)*('Cronograma'!$G$9:$Q$9&gt;=G146)))</x:f>
        <x:v>2</x:v>
      </x:c>
      <x:c r="J146" s="37" t="str">
        <x:f>IF(F146="Completado",I146,"")</x:f>
      </x:c>
      <x:c r="K146" s="35" t="str">
        <x:v>Back-end AR</x:v>
      </x:c>
      <x:c r="L146" s="38" t="str">
        <x:v>Cristopher</x:v>
      </x:c>
      <x:c r="M146" s="38" t="str"/>
      <x:c r="N146" s="39"/>
      <x:c r="O146" s="35" t="str">
        <x:v>QA-12</x:v>
      </x:c>
      <x:c r="P146" s="35" t="str">
        <x:v>Publicar servicio y comprobar dispatch, colas y alertas operativas.</x:v>
      </x:c>
      <x:c r="Q146" s="35" t="str">
        <x:v>Solo estimación; ejecución pendiente.</x:v>
      </x:c>
      <x:c r="R146" s="35" t="str">
        <x:v>docs/implementation/tours-local-pilot-report.md
processing/tours/README.md
processing/tours/bootstrap.sh
processing/tours/deploy.sh</x:v>
      </x:c>
    </x:row>
    <x:row r="147" ht="46" customHeight="1">
      <x:c r="A147" s="34" t="str">
        <x:v>DEP-15</x:v>
      </x:c>
      <x:c r="B147" s="34" t="str">
        <x:v>Despliegue y Pilotos</x:v>
      </x:c>
      <x:c r="C147" s="34" t="str">
        <x:v>Transversal</x:v>
      </x:c>
      <x:c r="D147" s="34" t="str">
        <x:v>Preparar distribución Android e instalación iOS de piloto</x:v>
      </x:c>
      <x:c r="E147" s="35" t="str">
        <x:v>Generar APK y resolver firma autorizada para iPhone.</x:v>
      </x:c>
      <x:c r="F147" s="35" t="str">
        <x:v>Pendiente</x:v>
      </x:c>
      <x:c r="G147" s="36" t="n">
        <x:v>46327</x:v>
      </x:c>
      <x:c r="H147" s="36" t="n">
        <x:v>46333</x:v>
      </x:c>
      <x:c r="I147" s="37" t="n">
        <x:f>IF(OR(G147="",H147=""),"",SUMPRODUCT(('Cronograma'!$G$8:$Q$8&lt;=H147)*('Cronograma'!$G$9:$Q$9&gt;=G147)))</x:f>
        <x:v>1</x:v>
      </x:c>
      <x:c r="J147" s="37" t="str">
        <x:f>IF(F147="Completado",I147,"")</x:f>
      </x:c>
      <x:c r="K147" s="35" t="str">
        <x:v>Back-end AR</x:v>
      </x:c>
      <x:c r="L147" s="38" t="str">
        <x:v>Cristopher</x:v>
      </x:c>
      <x:c r="M147" s="38" t="str"/>
      <x:c r="N147" s="39"/>
      <x:c r="O147" s="35" t="str">
        <x:v>FE-38</x:v>
      </x:c>
      <x:c r="P147" s="35" t="str">
        <x:v>Generar APK y resolver firma autorizada para iPhone.</x:v>
      </x:c>
      <x:c r="Q147" s="35" t="str">
        <x:v>Solo estimación; ejecución pendiente.</x:v>
      </x:c>
      <x:c r="R147" s="35" t="str">
        <x:v>README.md
tool/README.md
docs/implementation/tours-local-pilot-report.md</x:v>
      </x:c>
    </x:row>
    <x:row r="148" ht="46" customHeight="1">
      <x:c r="A148" s="34" t="str">
        <x:v>DEP-16</x:v>
      </x:c>
      <x:c r="B148" s="34" t="str">
        <x:v>Despliegue y Pilotos</x:v>
      </x:c>
      <x:c r="C148" s="34" t="str">
        <x:v>Transversal</x:v>
      </x:c>
      <x:c r="D148" s="34" t="str">
        <x:v>Ejecutar piloto de aceptación en un local real</x:v>
      </x:c>
      <x:c r="E148" s="35" t="str">
        <x:v>Recorrer cuenta, comunidad, misiones, catálogo, push y AR.</x:v>
      </x:c>
      <x:c r="F148" s="35" t="str">
        <x:v>Pendiente</x:v>
      </x:c>
      <x:c r="G148" s="36" t="n">
        <x:v>46327</x:v>
      </x:c>
      <x:c r="H148" s="36" t="n">
        <x:v>46340</x:v>
      </x:c>
      <x:c r="I148" s="37" t="n">
        <x:f>IF(OR(G148="",H148=""),"",SUMPRODUCT(('Cronograma'!$G$8:$Q$8&lt;=H148)*('Cronograma'!$G$9:$Q$9&gt;=G148)))</x:f>
        <x:v>2</x:v>
      </x:c>
      <x:c r="J148" s="37" t="str">
        <x:f>IF(F148="Completado",I148,"")</x:f>
      </x:c>
      <x:c r="K148" s="35" t="str">
        <x:v>Líder AR</x:v>
      </x:c>
      <x:c r="L148" s="38" t="str">
        <x:v>Santiago</x:v>
      </x:c>
      <x:c r="M148" s="38" t="str"/>
      <x:c r="N148" s="39"/>
      <x:c r="O148" s="35" t="str">
        <x:v>FE-38</x:v>
      </x:c>
      <x:c r="P148" s="35" t="str">
        <x:v>Recorrer cuenta, comunidad, misiones, catálogo, push y AR.</x:v>
      </x:c>
      <x:c r="Q148" s="35" t="str">
        <x:v>Solo estimación; ejecución pendiente.</x:v>
      </x:c>
      <x:c r="R148" s="35" t="str">
        <x:v>docs/ar-experience-design.md
docs/implementation/tours-local-pilot-report.md</x:v>
      </x:c>
    </x:row>
    <x:row r="149" ht="46" customHeight="1">
      <x:c r="A149" s="34" t="str">
        <x:v>DEP-17</x:v>
      </x:c>
      <x:c r="B149" s="34" t="str">
        <x:v>Despliegue y Pilotos</x:v>
      </x:c>
      <x:c r="C149" s="34" t="str">
        <x:v>Transversal</x:v>
      </x:c>
      <x:c r="D149" s="34" t="str">
        <x:v>Estabilizar la versión tras el piloto</x:v>
      </x:c>
      <x:c r="E149" s="35" t="str">
        <x:v>Resolver incidencias y comprobar nuevamente los flujos afectados.</x:v>
      </x:c>
      <x:c r="F149" s="35" t="str">
        <x:v>Pendiente</x:v>
      </x:c>
      <x:c r="G149" s="36" t="n">
        <x:v>46334</x:v>
      </x:c>
      <x:c r="H149" s="36" t="n">
        <x:v>46344</x:v>
      </x:c>
      <x:c r="I149" s="37" t="n">
        <x:f>IF(OR(G149="",H149=""),"",SUMPRODUCT(('Cronograma'!$G$8:$Q$8&lt;=H149)*('Cronograma'!$G$9:$Q$9&gt;=G149)))</x:f>
        <x:v>2</x:v>
      </x:c>
      <x:c r="J149" s="37" t="str">
        <x:f>IF(F149="Completado",I149,"")</x:f>
      </x:c>
      <x:c r="K149" s="35" t="str">
        <x:v>Líder AR</x:v>
      </x:c>
      <x:c r="L149" s="38" t="str">
        <x:v>Santiago</x:v>
      </x:c>
      <x:c r="M149" s="38" t="str"/>
      <x:c r="N149" s="39"/>
      <x:c r="O149" s="35" t="str">
        <x:v>FE-38</x:v>
      </x:c>
      <x:c r="P149" s="35" t="str">
        <x:v>Resolver incidencias y comprobar nuevamente los flujos afectados.</x:v>
      </x:c>
      <x:c r="Q149" s="35" t="str">
        <x:v>Solo estimación; ejecución pendiente.</x:v>
      </x:c>
      <x:c r="R149" s="35" t="str">
        <x:v>README.md
tool/README.md
docs/implementation/tours-local-pilot-report.md</x:v>
      </x:c>
    </x:row>
    <x:row r="150" ht="46" customHeight="1">
      <x:c r="A150" s="34" t="str">
        <x:v>DEP-18</x:v>
      </x:c>
      <x:c r="B150" s="34" t="str">
        <x:v>Despliegue y Pilotos</x:v>
      </x:c>
      <x:c r="C150" s="34" t="str">
        <x:v>Transversal</x:v>
      </x:c>
      <x:c r="D150" s="34" t="str">
        <x:v>Entregar la versión técnica final el 18 de noviembre</x:v>
      </x:c>
      <x:c r="E150" s="35" t="str">
        <x:v>Consolidar configuración, compilaciones y estado de aceptación.</x:v>
      </x:c>
      <x:c r="F150" s="35" t="str">
        <x:v>Pendiente</x:v>
      </x:c>
      <x:c r="G150" s="36" t="n">
        <x:v>46341</x:v>
      </x:c>
      <x:c r="H150" s="36" t="n">
        <x:v>46344</x:v>
      </x:c>
      <x:c r="I150" s="37" t="n">
        <x:f>IF(OR(G150="",H150=""),"",SUMPRODUCT(('Cronograma'!$G$8:$Q$8&lt;=H150)*('Cronograma'!$G$9:$Q$9&gt;=G150)))</x:f>
        <x:v>1</x:v>
      </x:c>
      <x:c r="J150" s="37" t="str">
        <x:f>IF(F150="Completado",I150,"")</x:f>
      </x:c>
      <x:c r="K150" s="35" t="str">
        <x:v>Documentación y planeación</x:v>
      </x:c>
      <x:c r="L150" s="38" t="str">
        <x:v>Josefina</x:v>
      </x:c>
      <x:c r="M150" s="38" t="str"/>
      <x:c r="N150" s="39"/>
      <x:c r="O150" s="35" t="str">
        <x:v>FE-38</x:v>
      </x:c>
      <x:c r="P150" s="35" t="str">
        <x:v>Consolidar configuración, compilaciones y estado de aceptación.</x:v>
      </x:c>
      <x:c r="Q150" s="35" t="str">
        <x:v>Solo estimación; ejecución pendiente.</x:v>
      </x:c>
      <x:c r="R150" s="35" t="str">
        <x:v>README.md
tool/README.md
docs/implementation/tours-local-pilot-report.md</x:v>
      </x:c>
    </x:row>
  </x:sheetData>
  <x:mergeCells>
    <x:mergeCell ref="A2:R2"/>
    <x:mergeCell ref="A3:R3"/>
    <x:mergeCell ref="A4:R4"/>
    <x:mergeCell ref="A5:R5"/>
    <x:mergeCell ref="A6:R6"/>
  </x:mergeCells>
  <x:dataValidations count="3">
    <x:dataValidation type="list" sqref="F9:F150">
      <x:formula1>"Completado,WIP,Pendiente"</x:formula1>
    </x:dataValidation>
    <x:dataValidation type="list" sqref="L9:L150">
      <x:formula1>"Santiago,Cristopher,Alan,Ximena,Josefina,Fatima"</x:formula1>
    </x:dataValidation>
    <x:dataValidation type="list" sqref="M9:M150">
      <x:formula1>"Santiago,Cristopher,Alan,Ximena,Josefina,Fatima"</x:formula1>
    </x:dataValidation>
  </x:dataValidations>
  <x:printOptions gridLines="0" headings="0"/>
  <x:pageMargins left="0.25" right="0.25" top="0.35" bottom="0.35" header="0.15" footer="0.15"/>
  <x:pageSetup paperSize="8" orientation="landscape" scale="100"/>
  <x:headerFooter>
    <x:oddFooter>&amp;LMAREA&amp;C&amp;P / &amp;N&amp;R01 sep–18 nov 2026</x:oddFooter>
  </x:headerFooter>
  <x:tableParts count="1">
    <x:tablePart r:id="Rc1ae1eb073424fd8"/>
  </x:tableParts>
</x:worksheet>
</file>